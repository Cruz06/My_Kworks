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ЭтаКнига"/>
  <bookViews>
    <workbookView xWindow="-120" yWindow="-120" windowWidth="17520" windowHeight="13200" activeTab="4"/>
  </bookViews>
  <sheets>
    <sheet name="cover" sheetId="5" r:id="rId1"/>
    <sheet name="Worksheet" sheetId="1" r:id="rId2"/>
    <sheet name="list1" sheetId="2" r:id="rId3"/>
    <sheet name="list2" sheetId="6" r:id="rId4"/>
    <sheet name="rez" sheetId="4" r:id="rId5"/>
  </sheets>
  <definedNames>
    <definedName name="_xlnm._FilterDatabase" localSheetId="0" hidden="1">cover!$B$1:$K$1</definedName>
    <definedName name="_xlnm._FilterDatabase" localSheetId="2" hidden="1">list1!$B$5:$AD$498</definedName>
    <definedName name="_xlnm._FilterDatabase" localSheetId="3" hidden="1">list2!$B$4:$AD$498</definedName>
    <definedName name="_xlnm._FilterDatabase" localSheetId="4" hidden="1">rez!$A$1:$AD$1</definedName>
    <definedName name="_xlnm._FilterDatabase" localSheetId="1" hidden="1">Worksheet!$A$1:$DE$494</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28" i="2" l="1"/>
  <c r="H230" i="2"/>
  <c r="H231" i="2"/>
  <c r="H232" i="2"/>
  <c r="H233" i="2"/>
  <c r="F228" i="2"/>
  <c r="F230" i="2"/>
  <c r="F231" i="2"/>
  <c r="F232" i="2"/>
  <c r="F233" i="2"/>
  <c r="H176" i="2" l="1"/>
  <c r="H201" i="2"/>
  <c r="H413" i="2"/>
  <c r="H412" i="2"/>
  <c r="H411" i="2"/>
  <c r="H410" i="2"/>
  <c r="H409" i="2"/>
  <c r="H408" i="2"/>
  <c r="H407" i="2"/>
  <c r="H406" i="2"/>
  <c r="H405" i="2"/>
  <c r="H404" i="2"/>
  <c r="H403" i="2"/>
  <c r="H398" i="2"/>
  <c r="H397" i="2"/>
  <c r="H396" i="2"/>
  <c r="H395" i="2"/>
  <c r="H394" i="2"/>
  <c r="H393" i="2"/>
  <c r="H392" i="2"/>
  <c r="H391" i="2"/>
  <c r="H390" i="2"/>
  <c r="H376" i="2"/>
  <c r="H375" i="2"/>
  <c r="H374" i="2"/>
  <c r="H373" i="2"/>
  <c r="H372" i="2"/>
  <c r="H371" i="2"/>
  <c r="H370" i="2"/>
  <c r="H369" i="2"/>
  <c r="H368" i="2"/>
  <c r="H367" i="2"/>
  <c r="H366" i="2"/>
  <c r="H365" i="2"/>
  <c r="H364" i="2"/>
  <c r="H363" i="2"/>
  <c r="H362" i="2"/>
  <c r="H361" i="2"/>
  <c r="H300" i="2"/>
  <c r="H299" i="2"/>
  <c r="H298" i="2"/>
  <c r="H297" i="2"/>
  <c r="H296" i="2"/>
  <c r="H295" i="2"/>
  <c r="H294" i="2"/>
  <c r="H293" i="2"/>
  <c r="H286" i="2"/>
  <c r="H285" i="2"/>
  <c r="H284" i="2"/>
  <c r="H283" i="2"/>
  <c r="H282" i="2"/>
  <c r="H281" i="2"/>
  <c r="H280" i="2"/>
  <c r="H279" i="2"/>
  <c r="H267" i="2"/>
  <c r="H266" i="2"/>
  <c r="H265" i="2"/>
  <c r="H264" i="2"/>
  <c r="H263" i="2"/>
  <c r="H262" i="2"/>
  <c r="H261" i="2"/>
  <c r="H260" i="2"/>
  <c r="H259" i="2"/>
  <c r="H258" i="2"/>
  <c r="H257" i="2"/>
  <c r="H224" i="2"/>
  <c r="H223" i="2"/>
  <c r="H222" i="2"/>
  <c r="H221" i="2"/>
  <c r="H220" i="2"/>
  <c r="H219" i="2"/>
  <c r="H218" i="2"/>
  <c r="H217" i="2"/>
  <c r="H216" i="2"/>
  <c r="H215" i="2"/>
  <c r="H214" i="2"/>
  <c r="H213" i="2"/>
  <c r="H212" i="2"/>
  <c r="H211" i="2"/>
  <c r="H210" i="2"/>
  <c r="H209" i="2"/>
  <c r="H208" i="2"/>
  <c r="H207" i="2"/>
  <c r="H206" i="2"/>
  <c r="H205" i="2"/>
  <c r="H204" i="2"/>
  <c r="H203" i="2"/>
  <c r="H202" i="2"/>
  <c r="H200" i="2"/>
  <c r="H199" i="2"/>
  <c r="H198" i="2"/>
  <c r="H197" i="2"/>
  <c r="H196" i="2"/>
  <c r="H195" i="2"/>
  <c r="H194" i="2"/>
  <c r="H193" i="2"/>
  <c r="H192" i="2"/>
  <c r="H191" i="2"/>
  <c r="H190" i="2"/>
  <c r="H189" i="2"/>
  <c r="H188" i="2"/>
  <c r="H186" i="2"/>
  <c r="H185" i="2"/>
  <c r="H184" i="2"/>
  <c r="H183" i="2"/>
  <c r="H182" i="2"/>
  <c r="H181" i="2"/>
  <c r="H180" i="2"/>
  <c r="H179" i="2"/>
  <c r="H178" i="2"/>
  <c r="H177" i="2"/>
  <c r="H175" i="2"/>
  <c r="H174" i="2"/>
  <c r="H173" i="2"/>
  <c r="H172" i="2"/>
  <c r="H171" i="2"/>
  <c r="H170" i="2"/>
  <c r="H169" i="2"/>
  <c r="H168" i="2"/>
  <c r="H167" i="2"/>
  <c r="H153" i="2"/>
  <c r="H152" i="2"/>
  <c r="H151" i="2"/>
  <c r="H150" i="2"/>
  <c r="H149" i="2"/>
  <c r="H148" i="2"/>
  <c r="H90" i="2"/>
  <c r="H89" i="2"/>
  <c r="H88" i="2"/>
  <c r="H87" i="2"/>
  <c r="H77" i="2"/>
  <c r="H76" i="2"/>
  <c r="H75" i="2"/>
  <c r="H74" i="2"/>
  <c r="H73" i="2"/>
  <c r="H72" i="2"/>
  <c r="H71" i="2"/>
  <c r="H64" i="2"/>
  <c r="H62" i="2"/>
  <c r="H61" i="2"/>
  <c r="H60" i="2"/>
  <c r="H35" i="2"/>
  <c r="H34" i="2"/>
  <c r="H33" i="2"/>
  <c r="H32" i="2"/>
  <c r="H31" i="2"/>
  <c r="H30" i="2"/>
  <c r="H29" i="2"/>
  <c r="H28" i="2"/>
  <c r="H27" i="2"/>
  <c r="H26" i="2"/>
  <c r="H25" i="2"/>
  <c r="H24" i="2"/>
  <c r="H23" i="2"/>
  <c r="H22" i="2"/>
  <c r="H21" i="2"/>
  <c r="H20" i="2"/>
  <c r="H19" i="2"/>
  <c r="H18" i="2"/>
  <c r="H17" i="2"/>
  <c r="H16" i="2"/>
  <c r="H14" i="2"/>
  <c r="H12" i="2"/>
  <c r="H10" i="2"/>
  <c r="G413" i="2"/>
  <c r="G412" i="2"/>
  <c r="G411" i="2"/>
  <c r="G410" i="2"/>
  <c r="G409" i="2"/>
  <c r="G408" i="2"/>
  <c r="G407" i="2"/>
  <c r="G406" i="2"/>
  <c r="G405" i="2"/>
  <c r="G404" i="2"/>
  <c r="G403" i="2"/>
  <c r="G398" i="2"/>
  <c r="G397" i="2"/>
  <c r="G396" i="2"/>
  <c r="G395" i="2"/>
  <c r="G394" i="2"/>
  <c r="G393" i="2"/>
  <c r="G392" i="2"/>
  <c r="G391" i="2"/>
  <c r="G390" i="2"/>
  <c r="G376" i="2"/>
  <c r="G375" i="2"/>
  <c r="G374" i="2"/>
  <c r="G373" i="2"/>
  <c r="G372" i="2"/>
  <c r="G371" i="2"/>
  <c r="G370" i="2"/>
  <c r="G369" i="2"/>
  <c r="G368" i="2"/>
  <c r="G367" i="2"/>
  <c r="G366" i="2"/>
  <c r="G365" i="2"/>
  <c r="G364" i="2"/>
  <c r="G363" i="2"/>
  <c r="G362" i="2"/>
  <c r="G361" i="2"/>
  <c r="G300" i="2"/>
  <c r="G299" i="2"/>
  <c r="G298" i="2"/>
  <c r="G297" i="2"/>
  <c r="G296" i="2"/>
  <c r="G295" i="2"/>
  <c r="G294" i="2"/>
  <c r="G293" i="2"/>
  <c r="G286" i="2"/>
  <c r="G285" i="2"/>
  <c r="G284" i="2"/>
  <c r="G283" i="2"/>
  <c r="G282" i="2"/>
  <c r="G281" i="2"/>
  <c r="G280" i="2"/>
  <c r="G279" i="2"/>
  <c r="G267" i="2"/>
  <c r="G266" i="2"/>
  <c r="G265" i="2"/>
  <c r="G264" i="2"/>
  <c r="G263" i="2"/>
  <c r="G262" i="2"/>
  <c r="G261" i="2"/>
  <c r="G260" i="2"/>
  <c r="G259" i="2"/>
  <c r="G258" i="2"/>
  <c r="G257" i="2"/>
  <c r="G224" i="2"/>
  <c r="G223" i="2"/>
  <c r="G222" i="2"/>
  <c r="G221" i="2"/>
  <c r="G220" i="2"/>
  <c r="G219" i="2"/>
  <c r="G218" i="2"/>
  <c r="G217" i="2"/>
  <c r="G216" i="2"/>
  <c r="G215" i="2"/>
  <c r="G214" i="2"/>
  <c r="G213" i="2"/>
  <c r="G212" i="2"/>
  <c r="G211" i="2"/>
  <c r="G210" i="2"/>
  <c r="G209" i="2"/>
  <c r="G208" i="2"/>
  <c r="G207" i="2"/>
  <c r="G206" i="2"/>
  <c r="G205" i="2"/>
  <c r="G204" i="2"/>
  <c r="G203" i="2"/>
  <c r="G202" i="2"/>
  <c r="G200" i="2"/>
  <c r="G199" i="2"/>
  <c r="G198" i="2"/>
  <c r="G197" i="2"/>
  <c r="G196" i="2"/>
  <c r="G195" i="2"/>
  <c r="G194" i="2"/>
  <c r="G193" i="2"/>
  <c r="G192" i="2"/>
  <c r="G191" i="2"/>
  <c r="G190" i="2"/>
  <c r="G189" i="2"/>
  <c r="G188" i="2"/>
  <c r="G186" i="2"/>
  <c r="G185" i="2"/>
  <c r="G184" i="2"/>
  <c r="G183" i="2"/>
  <c r="G182" i="2"/>
  <c r="G181" i="2"/>
  <c r="G179" i="2"/>
  <c r="G178" i="2"/>
  <c r="G177" i="2"/>
  <c r="G176" i="2"/>
  <c r="G175" i="2"/>
  <c r="G174" i="2"/>
  <c r="G173" i="2"/>
  <c r="G172" i="2"/>
  <c r="G171" i="2"/>
  <c r="G170" i="2"/>
  <c r="G169" i="2"/>
  <c r="G168" i="2"/>
  <c r="G167" i="2"/>
  <c r="G153" i="2"/>
  <c r="G152" i="2"/>
  <c r="G151" i="2"/>
  <c r="G150" i="2"/>
  <c r="G149" i="2"/>
  <c r="G148" i="2"/>
  <c r="G89" i="2"/>
  <c r="G88" i="2"/>
  <c r="G87" i="2"/>
  <c r="G77" i="2"/>
  <c r="G76" i="2"/>
  <c r="G75" i="2"/>
  <c r="G74" i="2"/>
  <c r="G73" i="2"/>
  <c r="G72" i="2"/>
  <c r="G71" i="2"/>
  <c r="G64" i="2"/>
  <c r="G62" i="2"/>
  <c r="G61" i="2"/>
  <c r="G60" i="2"/>
  <c r="G35" i="2"/>
  <c r="G34" i="2"/>
  <c r="G33" i="2"/>
  <c r="G32" i="2"/>
  <c r="G31" i="2"/>
  <c r="G30" i="2"/>
  <c r="G29" i="2"/>
  <c r="G28" i="2"/>
  <c r="G27" i="2"/>
  <c r="G26" i="2"/>
  <c r="G25" i="2"/>
  <c r="G24" i="2"/>
  <c r="G23" i="2"/>
  <c r="G22" i="2"/>
  <c r="G21" i="2"/>
  <c r="G20" i="2"/>
  <c r="G19" i="2"/>
  <c r="G18" i="2"/>
  <c r="G17" i="2"/>
  <c r="G16" i="2"/>
  <c r="G14" i="2"/>
  <c r="G12" i="2"/>
  <c r="G10" i="2"/>
  <c r="F280" i="2"/>
  <c r="F201" i="2"/>
  <c r="F146" i="2"/>
  <c r="F145" i="2"/>
  <c r="F144" i="2"/>
  <c r="F143" i="2"/>
  <c r="F142" i="2"/>
  <c r="F141" i="2"/>
  <c r="F140" i="2"/>
  <c r="F282" i="2"/>
  <c r="F498" i="2"/>
  <c r="F497" i="2"/>
  <c r="F496" i="2"/>
  <c r="F495" i="2"/>
  <c r="F494" i="2"/>
  <c r="F493" i="2"/>
  <c r="F492" i="2"/>
  <c r="F491" i="2"/>
  <c r="F490" i="2"/>
  <c r="F489" i="2"/>
  <c r="F488" i="2"/>
  <c r="F487" i="2"/>
  <c r="F486" i="2"/>
  <c r="F485" i="2"/>
  <c r="F484" i="2"/>
  <c r="F483" i="2"/>
  <c r="F482" i="2"/>
  <c r="F481" i="2"/>
  <c r="F480" i="2"/>
  <c r="F413" i="2"/>
  <c r="F412" i="2"/>
  <c r="F411" i="2"/>
  <c r="F410" i="2"/>
  <c r="F409" i="2"/>
  <c r="F408" i="2"/>
  <c r="F407" i="2"/>
  <c r="F406" i="2"/>
  <c r="F405" i="2"/>
  <c r="F404" i="2"/>
  <c r="F403" i="2"/>
  <c r="F398" i="2"/>
  <c r="F397" i="2"/>
  <c r="F396" i="2"/>
  <c r="F395" i="2"/>
  <c r="F394" i="2"/>
  <c r="F393" i="2"/>
  <c r="F392" i="2"/>
  <c r="F391" i="2"/>
  <c r="F390" i="2"/>
  <c r="F376" i="2"/>
  <c r="F375" i="2"/>
  <c r="F374" i="2"/>
  <c r="F373" i="2"/>
  <c r="F372" i="2"/>
  <c r="F371" i="2"/>
  <c r="F370" i="2"/>
  <c r="F369" i="2"/>
  <c r="F368" i="2"/>
  <c r="F367" i="2"/>
  <c r="F366" i="2"/>
  <c r="F365" i="2"/>
  <c r="F364" i="2"/>
  <c r="F363" i="2"/>
  <c r="F362" i="2"/>
  <c r="F361" i="2"/>
  <c r="F300" i="2"/>
  <c r="F299" i="2"/>
  <c r="F298" i="2"/>
  <c r="F297" i="2"/>
  <c r="F296" i="2"/>
  <c r="F295" i="2"/>
  <c r="F294" i="2"/>
  <c r="F293" i="2"/>
  <c r="F286" i="2"/>
  <c r="F285" i="2"/>
  <c r="F284" i="2"/>
  <c r="F283" i="2"/>
  <c r="F281" i="2"/>
  <c r="F279" i="2"/>
  <c r="F267" i="2"/>
  <c r="F266" i="2"/>
  <c r="F265" i="2"/>
  <c r="F264" i="2"/>
  <c r="F263" i="2"/>
  <c r="F262" i="2"/>
  <c r="F261" i="2"/>
  <c r="F260" i="2"/>
  <c r="F259" i="2"/>
  <c r="F258" i="2"/>
  <c r="F257" i="2"/>
  <c r="F224" i="2"/>
  <c r="F223" i="2"/>
  <c r="F222" i="2"/>
  <c r="F221" i="2"/>
  <c r="F220" i="2"/>
  <c r="F219" i="2"/>
  <c r="F218" i="2"/>
  <c r="F217" i="2"/>
  <c r="F216" i="2"/>
  <c r="F215" i="2"/>
  <c r="F214" i="2"/>
  <c r="F213" i="2"/>
  <c r="F212" i="2"/>
  <c r="F211" i="2"/>
  <c r="F210" i="2"/>
  <c r="F209" i="2"/>
  <c r="F208" i="2"/>
  <c r="F207" i="2"/>
  <c r="F206" i="2"/>
  <c r="F205" i="2"/>
  <c r="F204" i="2"/>
  <c r="F203" i="2"/>
  <c r="F202" i="2"/>
  <c r="F200" i="2"/>
  <c r="F199" i="2"/>
  <c r="F198" i="2"/>
  <c r="F197" i="2"/>
  <c r="F196" i="2"/>
  <c r="F195" i="2"/>
  <c r="F194" i="2"/>
  <c r="F193" i="2"/>
  <c r="F192" i="2"/>
  <c r="F191" i="2"/>
  <c r="F190" i="2"/>
  <c r="F189" i="2"/>
  <c r="F188" i="2"/>
  <c r="F186" i="2"/>
  <c r="F185" i="2"/>
  <c r="F184" i="2"/>
  <c r="F183" i="2"/>
  <c r="F182" i="2"/>
  <c r="F181" i="2"/>
  <c r="F180" i="2"/>
  <c r="F179" i="2"/>
  <c r="F178" i="2"/>
  <c r="F177" i="2"/>
  <c r="F176" i="2"/>
  <c r="F175" i="2"/>
  <c r="F174" i="2"/>
  <c r="F173" i="2"/>
  <c r="F172" i="2"/>
  <c r="F171" i="2"/>
  <c r="F170" i="2"/>
  <c r="F169" i="2"/>
  <c r="F168" i="2"/>
  <c r="F167" i="2"/>
  <c r="F153" i="2"/>
  <c r="F152" i="2"/>
  <c r="F151" i="2"/>
  <c r="F150" i="2"/>
  <c r="F149" i="2"/>
  <c r="F148"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2" i="2"/>
  <c r="F61" i="2"/>
  <c r="F60" i="2"/>
  <c r="F59" i="2"/>
  <c r="F58" i="2"/>
  <c r="F57" i="2"/>
  <c r="F56" i="2"/>
  <c r="F55" i="2"/>
  <c r="F54" i="2"/>
  <c r="F53" i="2"/>
  <c r="F52" i="2"/>
  <c r="F51" i="2"/>
  <c r="F50" i="2"/>
  <c r="F49" i="2"/>
  <c r="F48" i="2"/>
  <c r="F47" i="2"/>
  <c r="F46" i="2"/>
  <c r="F45" i="2"/>
  <c r="F44" i="2"/>
  <c r="F43" i="2"/>
  <c r="F42" i="2"/>
  <c r="F41" i="2"/>
  <c r="F40" i="2"/>
  <c r="F39" i="2"/>
  <c r="F38" i="2"/>
  <c r="F37" i="2"/>
  <c r="F36" i="2"/>
  <c r="F26" i="2"/>
  <c r="F24" i="2"/>
  <c r="F19" i="2"/>
  <c r="F18" i="2"/>
  <c r="F17" i="2"/>
  <c r="F16" i="2"/>
  <c r="F15" i="2"/>
  <c r="F14" i="2"/>
  <c r="F13" i="2"/>
  <c r="F12" i="2"/>
  <c r="F11" i="2"/>
  <c r="F10" i="2"/>
  <c r="C10" i="2"/>
  <c r="C280" i="2"/>
  <c r="C201" i="2"/>
  <c r="C145" i="2"/>
  <c r="C144" i="2"/>
  <c r="C143" i="2"/>
  <c r="C142" i="2"/>
  <c r="C141" i="2"/>
  <c r="C140" i="2"/>
  <c r="C139" i="2"/>
  <c r="C138" i="2"/>
  <c r="C137" i="2"/>
  <c r="C136" i="2"/>
  <c r="C135" i="2"/>
  <c r="C134" i="2"/>
  <c r="C282" i="2"/>
  <c r="C498" i="2"/>
  <c r="C497" i="2"/>
  <c r="C496" i="2"/>
  <c r="C495" i="2"/>
  <c r="C494" i="2"/>
  <c r="C493" i="2"/>
  <c r="C492" i="2"/>
  <c r="C491" i="2"/>
  <c r="C490" i="2"/>
  <c r="C489" i="2"/>
  <c r="C488" i="2"/>
  <c r="C487" i="2"/>
  <c r="C486" i="2"/>
  <c r="C485" i="2"/>
  <c r="C484" i="2"/>
  <c r="C483" i="2"/>
  <c r="C482" i="2"/>
  <c r="C481" i="2"/>
  <c r="C480" i="2"/>
  <c r="C413" i="2"/>
  <c r="C412" i="2"/>
  <c r="C411" i="2"/>
  <c r="C410" i="2"/>
  <c r="C409" i="2"/>
  <c r="C408" i="2"/>
  <c r="C407" i="2"/>
  <c r="C406" i="2"/>
  <c r="C405" i="2"/>
  <c r="C404" i="2"/>
  <c r="C403" i="2"/>
  <c r="C398" i="2"/>
  <c r="C397" i="2"/>
  <c r="C396" i="2"/>
  <c r="C395" i="2"/>
  <c r="C394" i="2"/>
  <c r="C393" i="2"/>
  <c r="C392" i="2"/>
  <c r="C391" i="2"/>
  <c r="C390" i="2"/>
  <c r="C376" i="2"/>
  <c r="C375" i="2"/>
  <c r="C374" i="2"/>
  <c r="C373" i="2"/>
  <c r="C372" i="2"/>
  <c r="C371" i="2"/>
  <c r="C370" i="2"/>
  <c r="C369" i="2"/>
  <c r="C368" i="2"/>
  <c r="C367" i="2"/>
  <c r="C366" i="2"/>
  <c r="C365" i="2"/>
  <c r="C364" i="2"/>
  <c r="C363" i="2"/>
  <c r="C362" i="2"/>
  <c r="C361" i="2"/>
  <c r="C300" i="2"/>
  <c r="C299" i="2"/>
  <c r="C298" i="2"/>
  <c r="C297" i="2"/>
  <c r="C296" i="2"/>
  <c r="C295" i="2"/>
  <c r="C294" i="2"/>
  <c r="C293" i="2"/>
  <c r="C286" i="2"/>
  <c r="C285" i="2"/>
  <c r="C284" i="2"/>
  <c r="C283" i="2"/>
  <c r="C281" i="2"/>
  <c r="C279" i="2"/>
  <c r="C267" i="2"/>
  <c r="C266" i="2"/>
  <c r="C265" i="2"/>
  <c r="C264" i="2"/>
  <c r="C263" i="2"/>
  <c r="C262" i="2"/>
  <c r="C261" i="2"/>
  <c r="C260" i="2"/>
  <c r="C259" i="2"/>
  <c r="C258" i="2"/>
  <c r="C257" i="2"/>
  <c r="C224" i="2"/>
  <c r="C223" i="2"/>
  <c r="C222" i="2"/>
  <c r="C221" i="2"/>
  <c r="C220" i="2"/>
  <c r="C219" i="2"/>
  <c r="C218" i="2"/>
  <c r="C217" i="2"/>
  <c r="C216" i="2"/>
  <c r="C215" i="2"/>
  <c r="C214" i="2"/>
  <c r="C213" i="2"/>
  <c r="C212" i="2"/>
  <c r="C211" i="2"/>
  <c r="C210" i="2"/>
  <c r="C209" i="2"/>
  <c r="C208" i="2"/>
  <c r="C207" i="2"/>
  <c r="C206" i="2"/>
  <c r="C205" i="2"/>
  <c r="C204" i="2"/>
  <c r="C203" i="2"/>
  <c r="C202" i="2"/>
  <c r="C200" i="2"/>
  <c r="C199" i="2"/>
  <c r="C198" i="2"/>
  <c r="C197" i="2"/>
  <c r="C196" i="2"/>
  <c r="C195" i="2"/>
  <c r="C194" i="2"/>
  <c r="C193" i="2"/>
  <c r="C192" i="2"/>
  <c r="C191" i="2"/>
  <c r="C190" i="2"/>
  <c r="C189" i="2"/>
  <c r="C188" i="2"/>
  <c r="C186" i="2"/>
  <c r="C185" i="2"/>
  <c r="C184" i="2"/>
  <c r="C183" i="2"/>
  <c r="C182" i="2"/>
  <c r="C181" i="2"/>
  <c r="C180" i="2"/>
  <c r="C179" i="2"/>
  <c r="C178" i="2"/>
  <c r="C177" i="2"/>
  <c r="C176" i="2"/>
  <c r="C175" i="2"/>
  <c r="C174" i="2"/>
  <c r="C173" i="2"/>
  <c r="C172" i="2"/>
  <c r="C171" i="2"/>
  <c r="C170" i="2"/>
  <c r="C169" i="2"/>
  <c r="C168" i="2"/>
  <c r="C167" i="2"/>
  <c r="C153" i="2"/>
  <c r="C152" i="2"/>
  <c r="C151" i="2"/>
  <c r="C150" i="2"/>
  <c r="C149" i="2"/>
  <c r="C148" i="2"/>
  <c r="C14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2" i="2"/>
  <c r="C61" i="2"/>
  <c r="C60" i="2"/>
  <c r="C59" i="2"/>
  <c r="C58" i="2"/>
  <c r="C57" i="2"/>
  <c r="C56" i="2"/>
  <c r="C55" i="2"/>
  <c r="C54" i="2"/>
  <c r="C53" i="2"/>
  <c r="C52" i="2"/>
  <c r="C51" i="2"/>
  <c r="C50" i="2"/>
  <c r="C49" i="2"/>
  <c r="C48" i="2"/>
  <c r="C47" i="2"/>
  <c r="C46" i="2"/>
  <c r="C45" i="2"/>
  <c r="C44" i="2"/>
  <c r="C43" i="2"/>
  <c r="C42" i="2"/>
  <c r="C41" i="2"/>
  <c r="C40" i="2"/>
  <c r="C39" i="2"/>
  <c r="C38" i="2"/>
  <c r="C37" i="2"/>
  <c r="C36" i="2"/>
  <c r="C26" i="2"/>
  <c r="C24" i="2"/>
  <c r="C19" i="2"/>
  <c r="C18" i="2"/>
  <c r="C17" i="2"/>
  <c r="C16" i="2"/>
  <c r="C15" i="2"/>
  <c r="C14" i="2"/>
  <c r="C13" i="2"/>
  <c r="C12" i="2"/>
  <c r="C11" i="2"/>
  <c r="C6" i="2"/>
  <c r="C7" i="2"/>
  <c r="C8" i="2"/>
  <c r="C9" i="2"/>
  <c r="A498" i="6" l="1"/>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V479" i="2" l="1"/>
  <c r="U479" i="2"/>
  <c r="T479" i="2"/>
  <c r="V478" i="2"/>
  <c r="U478" i="2"/>
  <c r="T478" i="2"/>
  <c r="V477" i="2"/>
  <c r="U477" i="2"/>
  <c r="T477" i="2"/>
  <c r="V476" i="2"/>
  <c r="U476" i="2"/>
  <c r="T476" i="2"/>
  <c r="V475" i="2"/>
  <c r="U475" i="2"/>
  <c r="T475" i="2"/>
  <c r="V474" i="2"/>
  <c r="U474" i="2"/>
  <c r="T474" i="2"/>
  <c r="V473" i="2"/>
  <c r="U473" i="2"/>
  <c r="T473" i="2"/>
  <c r="V472" i="2"/>
  <c r="U472" i="2"/>
  <c r="T472" i="2"/>
  <c r="V471" i="2"/>
  <c r="U471" i="2"/>
  <c r="T471" i="2"/>
  <c r="V470" i="2"/>
  <c r="U470" i="2"/>
  <c r="T470" i="2"/>
  <c r="V469" i="2"/>
  <c r="U469" i="2"/>
  <c r="T469" i="2"/>
  <c r="V468" i="2"/>
  <c r="U468" i="2"/>
  <c r="T468" i="2"/>
  <c r="V467" i="2"/>
  <c r="U467" i="2"/>
  <c r="T467" i="2"/>
  <c r="V466" i="2"/>
  <c r="U466" i="2"/>
  <c r="T466" i="2"/>
  <c r="V465" i="2"/>
  <c r="U465" i="2"/>
  <c r="T465" i="2"/>
  <c r="V464" i="2"/>
  <c r="U464" i="2"/>
  <c r="T464" i="2"/>
  <c r="V463" i="2"/>
  <c r="U463" i="2"/>
  <c r="T463" i="2"/>
  <c r="V462" i="2"/>
  <c r="U462" i="2"/>
  <c r="T462" i="2"/>
  <c r="V461" i="2"/>
  <c r="U461" i="2"/>
  <c r="T461" i="2"/>
  <c r="V460" i="2"/>
  <c r="U460" i="2"/>
  <c r="T460" i="2"/>
  <c r="V459" i="2"/>
  <c r="U459" i="2"/>
  <c r="T459" i="2"/>
  <c r="V458" i="2"/>
  <c r="U458" i="2"/>
  <c r="T458" i="2"/>
  <c r="V457" i="2"/>
  <c r="U457" i="2"/>
  <c r="T457" i="2"/>
  <c r="V456" i="2"/>
  <c r="U456" i="2"/>
  <c r="T456" i="2"/>
  <c r="V455" i="2"/>
  <c r="U455" i="2"/>
  <c r="T455" i="2"/>
  <c r="V454" i="2"/>
  <c r="U454" i="2"/>
  <c r="T454" i="2"/>
  <c r="V453" i="2"/>
  <c r="U453" i="2"/>
  <c r="T453" i="2"/>
  <c r="V452" i="2"/>
  <c r="U452" i="2"/>
  <c r="T452" i="2"/>
  <c r="V451" i="2"/>
  <c r="U451" i="2"/>
  <c r="T451" i="2"/>
  <c r="V450" i="2"/>
  <c r="U450" i="2"/>
  <c r="T450" i="2"/>
  <c r="V360" i="2"/>
  <c r="U360" i="2"/>
  <c r="T360" i="2"/>
  <c r="V359" i="2"/>
  <c r="U359" i="2"/>
  <c r="T359" i="2"/>
  <c r="V358" i="2"/>
  <c r="U358" i="2"/>
  <c r="T358" i="2"/>
  <c r="V357" i="2"/>
  <c r="U357" i="2"/>
  <c r="T357" i="2"/>
  <c r="V256" i="2"/>
  <c r="U256" i="2"/>
  <c r="T256" i="2"/>
  <c r="V255" i="2"/>
  <c r="U255" i="2"/>
  <c r="T255" i="2"/>
  <c r="V254" i="2"/>
  <c r="U254" i="2"/>
  <c r="T254" i="2"/>
  <c r="V253" i="2"/>
  <c r="U253" i="2"/>
  <c r="T253" i="2"/>
  <c r="V252" i="2"/>
  <c r="U252" i="2"/>
  <c r="T252" i="2"/>
  <c r="V251" i="2"/>
  <c r="U251" i="2"/>
  <c r="T251" i="2"/>
  <c r="V250" i="2"/>
  <c r="U250" i="2"/>
  <c r="T250" i="2"/>
  <c r="V249" i="2"/>
  <c r="U249" i="2"/>
  <c r="T249" i="2"/>
  <c r="V248" i="2"/>
  <c r="U248" i="2"/>
  <c r="T248" i="2"/>
  <c r="V247" i="2"/>
  <c r="U247" i="2"/>
  <c r="T247" i="2"/>
  <c r="V246" i="2"/>
  <c r="U246" i="2"/>
  <c r="T246" i="2"/>
  <c r="V245" i="2"/>
  <c r="U245" i="2"/>
  <c r="T245" i="2"/>
  <c r="V244" i="2"/>
  <c r="U244" i="2"/>
  <c r="T244" i="2"/>
  <c r="V243" i="2"/>
  <c r="U243" i="2"/>
  <c r="T243" i="2"/>
  <c r="V242" i="2"/>
  <c r="U242" i="2"/>
  <c r="T242" i="2"/>
  <c r="V241" i="2"/>
  <c r="U241" i="2"/>
  <c r="T241" i="2"/>
  <c r="V240" i="2"/>
  <c r="U240" i="2"/>
  <c r="T240" i="2"/>
  <c r="V239" i="2"/>
  <c r="U239" i="2"/>
  <c r="T239" i="2"/>
  <c r="V238" i="2"/>
  <c r="U238" i="2"/>
  <c r="T238" i="2"/>
  <c r="V237" i="2"/>
  <c r="U237" i="2"/>
  <c r="T237" i="2"/>
  <c r="V236" i="2"/>
  <c r="U236" i="2"/>
  <c r="T236" i="2"/>
  <c r="V235" i="2"/>
  <c r="U235" i="2"/>
  <c r="T235" i="2"/>
  <c r="V234" i="2"/>
  <c r="U234" i="2"/>
  <c r="T234" i="2"/>
  <c r="V132" i="2"/>
  <c r="U132" i="2"/>
  <c r="T132" i="2"/>
  <c r="V131" i="2"/>
  <c r="U131" i="2"/>
  <c r="T131" i="2"/>
  <c r="V130" i="2"/>
  <c r="U130" i="2"/>
  <c r="T130" i="2"/>
  <c r="V129" i="2"/>
  <c r="U129" i="2"/>
  <c r="T129" i="2"/>
  <c r="V128" i="2"/>
  <c r="U128" i="2"/>
  <c r="T128" i="2"/>
  <c r="V127" i="2"/>
  <c r="U127" i="2"/>
  <c r="T127" i="2"/>
  <c r="V126" i="2"/>
  <c r="U126" i="2"/>
  <c r="T126" i="2"/>
  <c r="V125" i="2"/>
  <c r="U125" i="2"/>
  <c r="T125" i="2"/>
  <c r="V124" i="2"/>
  <c r="U124" i="2"/>
  <c r="T124" i="2"/>
  <c r="V123" i="2"/>
  <c r="U123" i="2"/>
  <c r="T123" i="2"/>
  <c r="V122" i="2"/>
  <c r="U122" i="2"/>
  <c r="T122" i="2"/>
  <c r="V121" i="2"/>
  <c r="U121" i="2"/>
  <c r="T121" i="2"/>
  <c r="V120" i="2"/>
  <c r="U120" i="2"/>
  <c r="T120" i="2"/>
  <c r="V119" i="2"/>
  <c r="U119" i="2"/>
  <c r="T119" i="2"/>
  <c r="V118" i="2"/>
  <c r="U118" i="2"/>
  <c r="T118" i="2"/>
  <c r="V117" i="2"/>
  <c r="U117" i="2"/>
  <c r="T117" i="2"/>
  <c r="V116" i="2"/>
  <c r="U116" i="2"/>
  <c r="T116" i="2"/>
  <c r="V115" i="2"/>
  <c r="U115" i="2"/>
  <c r="T115" i="2"/>
  <c r="V114" i="2"/>
  <c r="U114" i="2"/>
  <c r="T114" i="2"/>
  <c r="V113" i="2"/>
  <c r="U113" i="2"/>
  <c r="T113" i="2"/>
  <c r="V112" i="2"/>
  <c r="U112" i="2"/>
  <c r="T112" i="2"/>
  <c r="V111" i="2"/>
  <c r="Q111" i="2"/>
  <c r="U111" i="2"/>
  <c r="P111" i="2"/>
  <c r="T111" i="2"/>
  <c r="O111" i="2"/>
  <c r="Q479" i="2"/>
  <c r="P479" i="2"/>
  <c r="O479" i="2"/>
  <c r="Q478" i="2"/>
  <c r="P478" i="2"/>
  <c r="O478" i="2"/>
  <c r="Q477" i="2"/>
  <c r="P477" i="2"/>
  <c r="O477" i="2"/>
  <c r="Q476" i="2"/>
  <c r="P476" i="2"/>
  <c r="O476" i="2"/>
  <c r="Q475" i="2"/>
  <c r="P475" i="2"/>
  <c r="O475" i="2"/>
  <c r="Q474" i="2"/>
  <c r="P474" i="2"/>
  <c r="O474" i="2"/>
  <c r="Q473" i="2"/>
  <c r="P473" i="2"/>
  <c r="O473" i="2"/>
  <c r="Q472" i="2"/>
  <c r="P472" i="2"/>
  <c r="O472" i="2"/>
  <c r="Q471" i="2"/>
  <c r="P471" i="2"/>
  <c r="O471" i="2"/>
  <c r="Q470" i="2"/>
  <c r="P470" i="2"/>
  <c r="O470" i="2"/>
  <c r="Q469" i="2"/>
  <c r="P469" i="2"/>
  <c r="O469" i="2"/>
  <c r="Q468" i="2"/>
  <c r="P468" i="2"/>
  <c r="O468" i="2"/>
  <c r="Q467" i="2"/>
  <c r="P467" i="2"/>
  <c r="O467" i="2"/>
  <c r="Q466" i="2"/>
  <c r="P466" i="2"/>
  <c r="O466" i="2"/>
  <c r="Q465" i="2"/>
  <c r="P465" i="2"/>
  <c r="O465" i="2"/>
  <c r="Q464" i="2"/>
  <c r="P464" i="2"/>
  <c r="O464" i="2"/>
  <c r="Q463" i="2"/>
  <c r="P463" i="2"/>
  <c r="O463" i="2"/>
  <c r="Q462" i="2"/>
  <c r="P462" i="2"/>
  <c r="O462" i="2"/>
  <c r="Q461" i="2"/>
  <c r="P461" i="2"/>
  <c r="O461" i="2"/>
  <c r="Q460" i="2"/>
  <c r="P460" i="2"/>
  <c r="O460" i="2"/>
  <c r="Q459" i="2"/>
  <c r="P459" i="2"/>
  <c r="O459" i="2"/>
  <c r="Q458" i="2"/>
  <c r="P458" i="2"/>
  <c r="O458" i="2"/>
  <c r="Q457" i="2"/>
  <c r="P457" i="2"/>
  <c r="O457" i="2"/>
  <c r="Q456" i="2"/>
  <c r="P456" i="2"/>
  <c r="O456" i="2"/>
  <c r="Q455" i="2"/>
  <c r="P455" i="2"/>
  <c r="O455" i="2"/>
  <c r="Q454" i="2"/>
  <c r="P454" i="2"/>
  <c r="O454" i="2"/>
  <c r="Q453" i="2"/>
  <c r="P453" i="2"/>
  <c r="O453" i="2"/>
  <c r="Q452" i="2"/>
  <c r="P452" i="2"/>
  <c r="O452" i="2"/>
  <c r="Q451" i="2"/>
  <c r="P451" i="2"/>
  <c r="O451" i="2"/>
  <c r="Q450" i="2"/>
  <c r="P450" i="2"/>
  <c r="O450" i="2"/>
  <c r="Q360" i="2"/>
  <c r="P360" i="2"/>
  <c r="O360" i="2"/>
  <c r="Q359" i="2"/>
  <c r="P359" i="2"/>
  <c r="O359" i="2"/>
  <c r="Q358" i="2"/>
  <c r="P358" i="2"/>
  <c r="O358" i="2"/>
  <c r="Q357" i="2"/>
  <c r="P357" i="2"/>
  <c r="O357" i="2"/>
  <c r="Q256" i="2"/>
  <c r="P256" i="2"/>
  <c r="O256" i="2"/>
  <c r="Q255" i="2"/>
  <c r="P255" i="2"/>
  <c r="O255" i="2"/>
  <c r="Q254" i="2"/>
  <c r="P254" i="2"/>
  <c r="O254" i="2"/>
  <c r="Q253" i="2"/>
  <c r="P253" i="2"/>
  <c r="O253" i="2"/>
  <c r="Q252" i="2"/>
  <c r="P252" i="2"/>
  <c r="O252" i="2"/>
  <c r="Q251" i="2"/>
  <c r="P251" i="2"/>
  <c r="O251" i="2"/>
  <c r="Q250" i="2"/>
  <c r="P250" i="2"/>
  <c r="O250" i="2"/>
  <c r="Q249" i="2"/>
  <c r="P249" i="2"/>
  <c r="O249" i="2"/>
  <c r="Q248" i="2"/>
  <c r="P248" i="2"/>
  <c r="O248" i="2"/>
  <c r="Q247" i="2"/>
  <c r="P247" i="2"/>
  <c r="O247" i="2"/>
  <c r="Q246" i="2"/>
  <c r="P246" i="2"/>
  <c r="O246" i="2"/>
  <c r="Q245" i="2"/>
  <c r="P245" i="2"/>
  <c r="O245" i="2"/>
  <c r="Q244" i="2"/>
  <c r="P244" i="2"/>
  <c r="O244" i="2"/>
  <c r="Q243" i="2"/>
  <c r="P243" i="2"/>
  <c r="O243" i="2"/>
  <c r="Q242" i="2"/>
  <c r="P242" i="2"/>
  <c r="O242" i="2"/>
  <c r="Q241" i="2"/>
  <c r="P241" i="2"/>
  <c r="O241" i="2"/>
  <c r="Q240" i="2"/>
  <c r="P240" i="2"/>
  <c r="O240" i="2"/>
  <c r="Q239" i="2"/>
  <c r="P239" i="2"/>
  <c r="O239" i="2"/>
  <c r="Q238" i="2"/>
  <c r="P238" i="2"/>
  <c r="O238" i="2"/>
  <c r="Q237" i="2"/>
  <c r="P237" i="2"/>
  <c r="O237" i="2"/>
  <c r="Q236" i="2"/>
  <c r="P236" i="2"/>
  <c r="O236" i="2"/>
  <c r="Q235" i="2"/>
  <c r="P235" i="2"/>
  <c r="O235" i="2"/>
  <c r="Q234" i="2"/>
  <c r="P234" i="2"/>
  <c r="O234" i="2"/>
  <c r="Q132" i="2"/>
  <c r="P132" i="2"/>
  <c r="O132" i="2"/>
  <c r="Q131" i="2"/>
  <c r="P131" i="2"/>
  <c r="O131" i="2"/>
  <c r="Q130" i="2"/>
  <c r="P130" i="2"/>
  <c r="O130" i="2"/>
  <c r="Q129" i="2"/>
  <c r="P129" i="2"/>
  <c r="O129" i="2"/>
  <c r="Q128" i="2"/>
  <c r="P128" i="2"/>
  <c r="O128" i="2"/>
  <c r="Q127" i="2"/>
  <c r="P127" i="2"/>
  <c r="O127" i="2"/>
  <c r="Q126" i="2"/>
  <c r="P126" i="2"/>
  <c r="O126" i="2"/>
  <c r="Q125" i="2"/>
  <c r="P125" i="2"/>
  <c r="O125" i="2"/>
  <c r="Q124" i="2"/>
  <c r="P124" i="2"/>
  <c r="O124" i="2"/>
  <c r="Q123" i="2"/>
  <c r="P123" i="2"/>
  <c r="O123" i="2"/>
  <c r="Q122" i="2"/>
  <c r="P122" i="2"/>
  <c r="O122" i="2"/>
  <c r="Q121" i="2"/>
  <c r="P121" i="2"/>
  <c r="O121" i="2"/>
  <c r="Q120" i="2"/>
  <c r="P120" i="2"/>
  <c r="O120" i="2"/>
  <c r="Q119" i="2"/>
  <c r="P119" i="2"/>
  <c r="O119" i="2"/>
  <c r="Q118" i="2"/>
  <c r="P118" i="2"/>
  <c r="O118" i="2"/>
  <c r="Q117" i="2"/>
  <c r="P117" i="2"/>
  <c r="O117" i="2"/>
  <c r="Q116" i="2"/>
  <c r="P116" i="2"/>
  <c r="O116" i="2"/>
  <c r="Q115" i="2"/>
  <c r="P115" i="2"/>
  <c r="O115" i="2"/>
  <c r="Q114" i="2"/>
  <c r="P114" i="2"/>
  <c r="O114" i="2"/>
  <c r="Q113" i="2"/>
  <c r="P113" i="2"/>
  <c r="O113" i="2"/>
  <c r="Q112" i="2"/>
  <c r="P112" i="2"/>
  <c r="O112" i="2"/>
  <c r="AA498" i="2"/>
  <c r="Z498" i="2"/>
  <c r="AA497" i="2"/>
  <c r="Z497" i="2"/>
  <c r="AA496" i="2"/>
  <c r="Z496" i="2"/>
  <c r="AA495" i="2"/>
  <c r="Z495" i="2"/>
  <c r="AA494" i="2"/>
  <c r="Z494" i="2"/>
  <c r="AA493" i="2"/>
  <c r="Z493" i="2"/>
  <c r="AA492" i="2"/>
  <c r="Z492" i="2"/>
  <c r="AA491" i="2"/>
  <c r="Z491" i="2"/>
  <c r="AA490" i="2"/>
  <c r="Z490" i="2"/>
  <c r="AA489" i="2"/>
  <c r="Z489" i="2"/>
  <c r="AA488" i="2"/>
  <c r="Z488" i="2"/>
  <c r="AA487" i="2"/>
  <c r="Z487" i="2"/>
  <c r="AA486" i="2"/>
  <c r="Z486" i="2"/>
  <c r="AA485" i="2"/>
  <c r="Z485" i="2"/>
  <c r="AA484" i="2"/>
  <c r="Z484" i="2"/>
  <c r="AA483" i="2"/>
  <c r="Z483" i="2"/>
  <c r="AA482" i="2"/>
  <c r="Z482" i="2"/>
  <c r="AA481" i="2"/>
  <c r="Z481" i="2"/>
  <c r="AA480" i="2"/>
  <c r="Z480" i="2"/>
  <c r="AA479" i="2"/>
  <c r="Z479" i="2"/>
  <c r="AA478" i="2"/>
  <c r="Z478" i="2"/>
  <c r="AA477" i="2"/>
  <c r="Z477" i="2"/>
  <c r="AA476" i="2"/>
  <c r="Z476" i="2"/>
  <c r="AA475" i="2"/>
  <c r="Z475" i="2"/>
  <c r="AA474" i="2"/>
  <c r="Z474" i="2"/>
  <c r="AA473" i="2"/>
  <c r="Z473" i="2"/>
  <c r="AA472" i="2"/>
  <c r="Z472" i="2"/>
  <c r="AA471" i="2"/>
  <c r="Z471" i="2"/>
  <c r="AA470" i="2"/>
  <c r="Z470" i="2"/>
  <c r="AA469" i="2"/>
  <c r="Z469" i="2"/>
  <c r="AA468" i="2"/>
  <c r="Z468" i="2"/>
  <c r="AA467" i="2"/>
  <c r="Z467" i="2"/>
  <c r="AA466" i="2"/>
  <c r="Z466" i="2"/>
  <c r="AA465" i="2"/>
  <c r="Z465" i="2"/>
  <c r="AA464" i="2"/>
  <c r="Z464" i="2"/>
  <c r="AA463" i="2"/>
  <c r="Z463" i="2"/>
  <c r="AA462" i="2"/>
  <c r="Z462" i="2"/>
  <c r="AA461" i="2"/>
  <c r="Z461" i="2"/>
  <c r="AA460" i="2"/>
  <c r="Z460" i="2"/>
  <c r="AA459" i="2"/>
  <c r="Z459" i="2"/>
  <c r="AA458" i="2"/>
  <c r="Z458" i="2"/>
  <c r="AA457" i="2"/>
  <c r="Z457" i="2"/>
  <c r="AA456" i="2"/>
  <c r="Z456" i="2"/>
  <c r="AA455" i="2"/>
  <c r="Z455" i="2"/>
  <c r="AA454" i="2"/>
  <c r="Z454" i="2"/>
  <c r="AA453" i="2"/>
  <c r="Z453" i="2"/>
  <c r="AA452" i="2"/>
  <c r="Z452" i="2"/>
  <c r="AA451" i="2"/>
  <c r="Z451" i="2"/>
  <c r="AA450" i="2"/>
  <c r="Z450" i="2"/>
  <c r="AA449" i="2"/>
  <c r="Z449" i="2"/>
  <c r="AA448" i="2"/>
  <c r="Z448" i="2"/>
  <c r="AA447" i="2"/>
  <c r="Z447" i="2"/>
  <c r="AA446" i="2"/>
  <c r="Z446" i="2"/>
  <c r="AA445" i="2"/>
  <c r="Z445" i="2"/>
  <c r="AA444" i="2"/>
  <c r="Z444" i="2"/>
  <c r="AA443" i="2"/>
  <c r="Z443" i="2"/>
  <c r="AA442" i="2"/>
  <c r="Z442" i="2"/>
  <c r="AA441" i="2"/>
  <c r="Z441" i="2"/>
  <c r="AA440" i="2"/>
  <c r="Z440" i="2"/>
  <c r="AA439" i="2"/>
  <c r="Z439" i="2"/>
  <c r="AA438" i="2"/>
  <c r="Z438" i="2"/>
  <c r="AA437" i="2"/>
  <c r="Z437" i="2"/>
  <c r="AA436" i="2"/>
  <c r="Z436" i="2"/>
  <c r="AA435" i="2"/>
  <c r="Z435" i="2"/>
  <c r="AA434" i="2"/>
  <c r="Z434" i="2"/>
  <c r="AA433" i="2"/>
  <c r="Z433" i="2"/>
  <c r="AA432" i="2"/>
  <c r="Z432" i="2"/>
  <c r="AA431" i="2"/>
  <c r="Z431" i="2"/>
  <c r="AA430" i="2"/>
  <c r="Z430" i="2"/>
  <c r="AA429" i="2"/>
  <c r="Z429" i="2"/>
  <c r="AA428" i="2"/>
  <c r="Z428" i="2"/>
  <c r="AA427" i="2"/>
  <c r="Z427" i="2"/>
  <c r="AA426" i="2"/>
  <c r="Z426" i="2"/>
  <c r="AA425" i="2"/>
  <c r="Z425" i="2"/>
  <c r="AA424" i="2"/>
  <c r="Z424" i="2"/>
  <c r="AA423" i="2"/>
  <c r="Z423" i="2"/>
  <c r="AA422" i="2"/>
  <c r="Z422" i="2"/>
  <c r="AA421" i="2"/>
  <c r="Z421" i="2"/>
  <c r="AA420" i="2"/>
  <c r="Z420" i="2"/>
  <c r="AA419" i="2"/>
  <c r="Z419" i="2"/>
  <c r="AA418" i="2"/>
  <c r="Z418" i="2"/>
  <c r="AA417" i="2"/>
  <c r="Z417" i="2"/>
  <c r="AA416" i="2"/>
  <c r="Z416" i="2"/>
  <c r="AA415" i="2"/>
  <c r="Z415" i="2"/>
  <c r="AA414" i="2"/>
  <c r="Z414" i="2"/>
  <c r="AA413" i="2"/>
  <c r="Z413" i="2"/>
  <c r="AA412" i="2"/>
  <c r="Z412" i="2"/>
  <c r="AA411" i="2"/>
  <c r="Z411" i="2"/>
  <c r="AA410" i="2"/>
  <c r="Z410" i="2"/>
  <c r="AA409" i="2"/>
  <c r="Z409" i="2"/>
  <c r="AA408" i="2"/>
  <c r="Z408" i="2"/>
  <c r="AA407" i="2"/>
  <c r="Z407" i="2"/>
  <c r="AA406" i="2"/>
  <c r="Z406" i="2"/>
  <c r="AA405" i="2"/>
  <c r="Z405" i="2"/>
  <c r="AA404" i="2"/>
  <c r="Z404" i="2"/>
  <c r="AA403" i="2"/>
  <c r="Z403" i="2"/>
  <c r="AA402" i="2"/>
  <c r="Z402" i="2"/>
  <c r="AA401" i="2"/>
  <c r="Z401" i="2"/>
  <c r="AA400" i="2"/>
  <c r="Z400" i="2"/>
  <c r="AA399" i="2"/>
  <c r="Z399" i="2"/>
  <c r="AA398" i="2"/>
  <c r="Z398" i="2"/>
  <c r="AA397" i="2"/>
  <c r="Z397" i="2"/>
  <c r="AA396" i="2"/>
  <c r="Z396" i="2"/>
  <c r="AA395" i="2"/>
  <c r="Z395" i="2"/>
  <c r="AA394" i="2"/>
  <c r="Z394" i="2"/>
  <c r="AA393" i="2"/>
  <c r="Z393" i="2"/>
  <c r="AA392" i="2"/>
  <c r="Z392" i="2"/>
  <c r="AA391" i="2"/>
  <c r="Z391" i="2"/>
  <c r="AA390" i="2"/>
  <c r="Z390" i="2"/>
  <c r="AA389" i="2"/>
  <c r="Z389" i="2"/>
  <c r="AA388" i="2"/>
  <c r="Z388" i="2"/>
  <c r="AA387" i="2"/>
  <c r="Z387" i="2"/>
  <c r="AA386" i="2"/>
  <c r="Z386" i="2"/>
  <c r="AA385" i="2"/>
  <c r="Z385" i="2"/>
  <c r="AA384" i="2"/>
  <c r="Z384" i="2"/>
  <c r="AA383" i="2"/>
  <c r="Z383" i="2"/>
  <c r="AA382" i="2"/>
  <c r="Z382" i="2"/>
  <c r="AA381" i="2"/>
  <c r="Z381" i="2"/>
  <c r="AA380" i="2"/>
  <c r="Z380" i="2"/>
  <c r="AA379" i="2"/>
  <c r="Z379" i="2"/>
  <c r="AA378" i="2"/>
  <c r="Z378" i="2"/>
  <c r="AA377" i="2"/>
  <c r="Z377" i="2"/>
  <c r="AA376" i="2"/>
  <c r="Z376" i="2"/>
  <c r="AA375" i="2"/>
  <c r="Z375" i="2"/>
  <c r="AA374" i="2"/>
  <c r="Z374" i="2"/>
  <c r="AA373" i="2"/>
  <c r="Z373" i="2"/>
  <c r="AA372" i="2"/>
  <c r="Z372" i="2"/>
  <c r="AA371" i="2"/>
  <c r="Z371" i="2"/>
  <c r="AA370" i="2"/>
  <c r="Z370" i="2"/>
  <c r="AA369" i="2"/>
  <c r="Z369" i="2"/>
  <c r="AA368" i="2"/>
  <c r="Z368" i="2"/>
  <c r="AA367" i="2"/>
  <c r="Z367" i="2"/>
  <c r="AA366" i="2"/>
  <c r="Z366" i="2"/>
  <c r="AA365" i="2"/>
  <c r="Z365" i="2"/>
  <c r="AA364" i="2"/>
  <c r="Z364" i="2"/>
  <c r="AA363" i="2"/>
  <c r="Z363" i="2"/>
  <c r="AA362" i="2"/>
  <c r="Z362" i="2"/>
  <c r="AA361" i="2"/>
  <c r="Z361" i="2"/>
  <c r="AA360" i="2"/>
  <c r="Z360" i="2"/>
  <c r="AA359" i="2"/>
  <c r="Z359" i="2"/>
  <c r="AA358" i="2"/>
  <c r="Z358" i="2"/>
  <c r="AA357" i="2"/>
  <c r="Z357" i="2"/>
  <c r="AA356" i="2"/>
  <c r="Z356" i="2"/>
  <c r="AA355" i="2"/>
  <c r="Z355" i="2"/>
  <c r="AA354" i="2"/>
  <c r="Z354" i="2"/>
  <c r="AA353" i="2"/>
  <c r="Z353" i="2"/>
  <c r="AA352" i="2"/>
  <c r="Z352" i="2"/>
  <c r="AA351" i="2"/>
  <c r="Z351" i="2"/>
  <c r="AA350" i="2"/>
  <c r="Z350" i="2"/>
  <c r="AA349" i="2"/>
  <c r="Z349" i="2"/>
  <c r="AA348" i="2"/>
  <c r="Z348" i="2"/>
  <c r="AA347" i="2"/>
  <c r="Z347" i="2"/>
  <c r="AA346" i="2"/>
  <c r="Z346" i="2"/>
  <c r="AA345" i="2"/>
  <c r="Z345" i="2"/>
  <c r="AA344" i="2"/>
  <c r="Z344" i="2"/>
  <c r="AA343" i="2"/>
  <c r="Z343" i="2"/>
  <c r="AA342" i="2"/>
  <c r="Z342" i="2"/>
  <c r="AA341" i="2"/>
  <c r="Z341" i="2"/>
  <c r="AA340" i="2"/>
  <c r="Z340" i="2"/>
  <c r="AA339" i="2"/>
  <c r="Z339" i="2"/>
  <c r="AA338" i="2"/>
  <c r="Z338" i="2"/>
  <c r="AA337" i="2"/>
  <c r="Z337" i="2"/>
  <c r="AA336" i="2"/>
  <c r="Z336" i="2"/>
  <c r="AA335" i="2"/>
  <c r="Z335" i="2"/>
  <c r="AA334" i="2"/>
  <c r="Z334" i="2"/>
  <c r="AA333" i="2"/>
  <c r="Z333" i="2"/>
  <c r="AA332" i="2"/>
  <c r="Z332" i="2"/>
  <c r="AA331" i="2"/>
  <c r="Z331" i="2"/>
  <c r="AA330" i="2"/>
  <c r="Z330" i="2"/>
  <c r="AA329" i="2"/>
  <c r="Z329" i="2"/>
  <c r="AA328" i="2"/>
  <c r="Z328" i="2"/>
  <c r="AA327" i="2"/>
  <c r="Z327" i="2"/>
  <c r="AA326" i="2"/>
  <c r="Z326" i="2"/>
  <c r="AA325" i="2"/>
  <c r="Z325" i="2"/>
  <c r="AA324" i="2"/>
  <c r="Z324" i="2"/>
  <c r="AA323" i="2"/>
  <c r="Z323" i="2"/>
  <c r="AA322" i="2"/>
  <c r="Z322" i="2"/>
  <c r="AA321" i="2"/>
  <c r="Z321" i="2"/>
  <c r="AA320" i="2"/>
  <c r="Z320" i="2"/>
  <c r="AA319" i="2"/>
  <c r="Z319" i="2"/>
  <c r="AA318" i="2"/>
  <c r="Z318" i="2"/>
  <c r="AA317" i="2"/>
  <c r="Z317" i="2"/>
  <c r="AA316" i="2"/>
  <c r="Z316" i="2"/>
  <c r="AA315" i="2"/>
  <c r="Z315" i="2"/>
  <c r="AA314" i="2"/>
  <c r="Z314" i="2"/>
  <c r="AA313" i="2"/>
  <c r="Z313" i="2"/>
  <c r="AA312" i="2"/>
  <c r="Z312" i="2"/>
  <c r="AA311" i="2"/>
  <c r="Z311" i="2"/>
  <c r="AA310" i="2"/>
  <c r="Z310" i="2"/>
  <c r="AA309" i="2"/>
  <c r="Z309" i="2"/>
  <c r="AA308" i="2"/>
  <c r="Z308" i="2"/>
  <c r="AA307" i="2"/>
  <c r="Z307" i="2"/>
  <c r="AA306" i="2"/>
  <c r="Z306" i="2"/>
  <c r="AA305" i="2"/>
  <c r="Z305" i="2"/>
  <c r="AA304" i="2"/>
  <c r="Z304" i="2"/>
  <c r="AA303" i="2"/>
  <c r="Z303" i="2"/>
  <c r="AA302" i="2"/>
  <c r="Z302" i="2"/>
  <c r="AA301" i="2"/>
  <c r="Z301" i="2"/>
  <c r="AA300" i="2"/>
  <c r="Z300" i="2"/>
  <c r="AA299" i="2"/>
  <c r="Z299" i="2"/>
  <c r="AA298" i="2"/>
  <c r="Z298" i="2"/>
  <c r="AA297" i="2"/>
  <c r="Z297" i="2"/>
  <c r="AA296" i="2"/>
  <c r="Z296" i="2"/>
  <c r="AA295" i="2"/>
  <c r="Z295" i="2"/>
  <c r="AA294" i="2"/>
  <c r="Z294" i="2"/>
  <c r="AA293" i="2"/>
  <c r="Z293" i="2"/>
  <c r="AA292" i="2"/>
  <c r="Z292" i="2"/>
  <c r="AA291" i="2"/>
  <c r="Z291" i="2"/>
  <c r="AA290" i="2"/>
  <c r="Z290" i="2"/>
  <c r="AA289" i="2"/>
  <c r="Z289" i="2"/>
  <c r="AA288" i="2"/>
  <c r="Z288" i="2"/>
  <c r="AA287" i="2"/>
  <c r="Z287" i="2"/>
  <c r="AA286" i="2"/>
  <c r="Z286" i="2"/>
  <c r="AA285" i="2"/>
  <c r="Z285" i="2"/>
  <c r="AA284" i="2"/>
  <c r="Z284" i="2"/>
  <c r="AA283" i="2"/>
  <c r="Z283" i="2"/>
  <c r="AA282" i="2"/>
  <c r="Z282" i="2"/>
  <c r="AA281" i="2"/>
  <c r="Z281" i="2"/>
  <c r="AA280" i="2"/>
  <c r="Z280" i="2"/>
  <c r="AA279" i="2"/>
  <c r="Z279" i="2"/>
  <c r="AA278" i="2"/>
  <c r="Z278" i="2"/>
  <c r="AA277" i="2"/>
  <c r="Z277" i="2"/>
  <c r="AA276" i="2"/>
  <c r="Z276" i="2"/>
  <c r="AA275" i="2"/>
  <c r="Z275" i="2"/>
  <c r="AA274" i="2"/>
  <c r="Z274" i="2"/>
  <c r="AA273" i="2"/>
  <c r="Z273" i="2"/>
  <c r="AA272" i="2"/>
  <c r="Z272" i="2"/>
  <c r="AA271" i="2"/>
  <c r="Z271" i="2"/>
  <c r="AA270" i="2"/>
  <c r="Z270" i="2"/>
  <c r="AA269" i="2"/>
  <c r="Z269" i="2"/>
  <c r="AA268" i="2"/>
  <c r="Z268" i="2"/>
  <c r="AA267" i="2"/>
  <c r="Z267" i="2"/>
  <c r="AA266" i="2"/>
  <c r="Z266" i="2"/>
  <c r="AA265" i="2"/>
  <c r="Z265" i="2"/>
  <c r="AA264" i="2"/>
  <c r="Z264" i="2"/>
  <c r="AA263" i="2"/>
  <c r="Z263" i="2"/>
  <c r="AA262" i="2"/>
  <c r="Z262" i="2"/>
  <c r="AA261" i="2"/>
  <c r="Z261" i="2"/>
  <c r="AA260" i="2"/>
  <c r="Z260" i="2"/>
  <c r="AA259" i="2"/>
  <c r="Z259" i="2"/>
  <c r="AA258" i="2"/>
  <c r="Z258" i="2"/>
  <c r="AA257" i="2"/>
  <c r="Z257" i="2"/>
  <c r="AA256" i="2"/>
  <c r="Z256" i="2"/>
  <c r="AA255" i="2"/>
  <c r="Z255" i="2"/>
  <c r="AA254" i="2"/>
  <c r="Z254" i="2"/>
  <c r="AA253" i="2"/>
  <c r="Z253" i="2"/>
  <c r="AA252" i="2"/>
  <c r="Z252" i="2"/>
  <c r="AA251" i="2"/>
  <c r="Z251" i="2"/>
  <c r="AA250" i="2"/>
  <c r="Z250" i="2"/>
  <c r="AA249" i="2"/>
  <c r="Z249" i="2"/>
  <c r="AA248" i="2"/>
  <c r="Z248" i="2"/>
  <c r="AA247" i="2"/>
  <c r="Z247" i="2"/>
  <c r="AA246" i="2"/>
  <c r="Z246" i="2"/>
  <c r="AA245" i="2"/>
  <c r="Z245" i="2"/>
  <c r="AA244" i="2"/>
  <c r="Z244" i="2"/>
  <c r="AA243" i="2"/>
  <c r="Z243" i="2"/>
  <c r="AA242" i="2"/>
  <c r="Z242" i="2"/>
  <c r="AA241" i="2"/>
  <c r="Z241" i="2"/>
  <c r="AA240" i="2"/>
  <c r="Z240" i="2"/>
  <c r="AA239" i="2"/>
  <c r="Z239" i="2"/>
  <c r="AA238" i="2"/>
  <c r="Z238" i="2"/>
  <c r="AA237" i="2"/>
  <c r="Z237" i="2"/>
  <c r="AA236" i="2"/>
  <c r="Z236" i="2"/>
  <c r="AA235" i="2"/>
  <c r="Z235" i="2"/>
  <c r="AA234" i="2"/>
  <c r="Z234" i="2"/>
  <c r="AA233" i="2"/>
  <c r="Z233" i="2"/>
  <c r="AA232" i="2"/>
  <c r="Z232" i="2"/>
  <c r="AA231" i="2"/>
  <c r="Z231" i="2"/>
  <c r="AA230" i="2"/>
  <c r="Z230" i="2"/>
  <c r="AA229" i="2"/>
  <c r="Z229" i="2"/>
  <c r="AA228" i="2"/>
  <c r="Z228" i="2"/>
  <c r="AA227" i="2"/>
  <c r="Z227" i="2"/>
  <c r="AA226" i="2"/>
  <c r="Z226" i="2"/>
  <c r="AA225" i="2"/>
  <c r="Z225" i="2"/>
  <c r="AA224" i="2"/>
  <c r="Z224" i="2"/>
  <c r="AA223" i="2"/>
  <c r="Z223" i="2"/>
  <c r="AA222" i="2"/>
  <c r="Z222" i="2"/>
  <c r="AA221" i="2"/>
  <c r="Z221" i="2"/>
  <c r="AA220" i="2"/>
  <c r="Z220" i="2"/>
  <c r="AA219" i="2"/>
  <c r="Z219" i="2"/>
  <c r="AA218" i="2"/>
  <c r="Z218" i="2"/>
  <c r="AA217" i="2"/>
  <c r="Z217" i="2"/>
  <c r="AA216" i="2"/>
  <c r="Z216" i="2"/>
  <c r="AA215" i="2"/>
  <c r="Z215" i="2"/>
  <c r="AA214" i="2"/>
  <c r="Z214" i="2"/>
  <c r="AA213" i="2"/>
  <c r="Z213" i="2"/>
  <c r="AA212" i="2"/>
  <c r="Z212" i="2"/>
  <c r="AA211" i="2"/>
  <c r="Z211" i="2"/>
  <c r="AA210" i="2"/>
  <c r="Z210" i="2"/>
  <c r="AA209" i="2"/>
  <c r="Z209" i="2"/>
  <c r="AA208" i="2"/>
  <c r="Z208" i="2"/>
  <c r="AA207" i="2"/>
  <c r="Z207" i="2"/>
  <c r="AA206" i="2"/>
  <c r="Z206" i="2"/>
  <c r="AA205" i="2"/>
  <c r="Z205" i="2"/>
  <c r="AA204" i="2"/>
  <c r="Z204" i="2"/>
  <c r="AA203" i="2"/>
  <c r="Z203" i="2"/>
  <c r="AA202" i="2"/>
  <c r="Z202" i="2"/>
  <c r="AA201" i="2"/>
  <c r="Z201" i="2"/>
  <c r="AA200" i="2"/>
  <c r="Z200" i="2"/>
  <c r="AA199" i="2"/>
  <c r="Z199" i="2"/>
  <c r="AA198" i="2"/>
  <c r="Z198" i="2"/>
  <c r="AA197" i="2"/>
  <c r="Z197" i="2"/>
  <c r="AA196" i="2"/>
  <c r="Z196" i="2"/>
  <c r="AA195" i="2"/>
  <c r="Z195" i="2"/>
  <c r="AA194" i="2"/>
  <c r="Z194" i="2"/>
  <c r="AA193" i="2"/>
  <c r="Z193" i="2"/>
  <c r="AA192" i="2"/>
  <c r="Z192" i="2"/>
  <c r="AA191" i="2"/>
  <c r="Z191" i="2"/>
  <c r="AA190" i="2"/>
  <c r="Z190" i="2"/>
  <c r="AA189" i="2"/>
  <c r="Z189" i="2"/>
  <c r="AA188" i="2"/>
  <c r="Z188" i="2"/>
  <c r="AA187" i="2"/>
  <c r="Z187" i="2"/>
  <c r="AA186" i="2"/>
  <c r="Z186" i="2"/>
  <c r="AA185" i="2"/>
  <c r="Z185" i="2"/>
  <c r="AA184" i="2"/>
  <c r="Z184" i="2"/>
  <c r="AA183" i="2"/>
  <c r="Z183" i="2"/>
  <c r="AA182" i="2"/>
  <c r="Z182" i="2"/>
  <c r="AA181" i="2"/>
  <c r="Z181" i="2"/>
  <c r="AA180" i="2"/>
  <c r="Z180" i="2"/>
  <c r="AA179" i="2"/>
  <c r="Z179" i="2"/>
  <c r="AA178" i="2"/>
  <c r="Z178" i="2"/>
  <c r="AA177" i="2"/>
  <c r="Z177" i="2"/>
  <c r="AA176" i="2"/>
  <c r="Z176" i="2"/>
  <c r="AA175" i="2"/>
  <c r="Z175" i="2"/>
  <c r="AA174" i="2"/>
  <c r="Z174" i="2"/>
  <c r="AA173" i="2"/>
  <c r="Z173" i="2"/>
  <c r="AA172" i="2"/>
  <c r="Z172" i="2"/>
  <c r="AA171" i="2"/>
  <c r="Z171" i="2"/>
  <c r="AA170" i="2"/>
  <c r="Z170" i="2"/>
  <c r="AA169" i="2"/>
  <c r="Z169" i="2"/>
  <c r="AA168" i="2"/>
  <c r="Z168" i="2"/>
  <c r="AA167" i="2"/>
  <c r="Z167" i="2"/>
  <c r="AA166" i="2"/>
  <c r="Z166" i="2"/>
  <c r="AA165" i="2"/>
  <c r="Z165" i="2"/>
  <c r="AA164" i="2"/>
  <c r="Z164" i="2"/>
  <c r="AA163" i="2"/>
  <c r="Z163" i="2"/>
  <c r="AA162" i="2"/>
  <c r="Z162" i="2"/>
  <c r="AA161" i="2"/>
  <c r="Z161" i="2"/>
  <c r="AA160" i="2"/>
  <c r="Z160" i="2"/>
  <c r="AA159" i="2"/>
  <c r="Z159" i="2"/>
  <c r="AA158" i="2"/>
  <c r="Z158" i="2"/>
  <c r="AA157" i="2"/>
  <c r="Z157" i="2"/>
  <c r="AA156" i="2"/>
  <c r="Z156" i="2"/>
  <c r="AA155" i="2"/>
  <c r="Z155" i="2"/>
  <c r="AA154" i="2"/>
  <c r="Z154" i="2"/>
  <c r="AA153" i="2"/>
  <c r="Z153" i="2"/>
  <c r="AA152" i="2"/>
  <c r="Z152" i="2"/>
  <c r="AA151" i="2"/>
  <c r="Z151" i="2"/>
  <c r="AA150" i="2"/>
  <c r="Z150" i="2"/>
  <c r="AA149" i="2"/>
  <c r="Z149" i="2"/>
  <c r="AA148" i="2"/>
  <c r="Z148" i="2"/>
  <c r="AA147" i="2"/>
  <c r="Z147" i="2"/>
  <c r="AA146" i="2"/>
  <c r="Z146" i="2"/>
  <c r="AA145" i="2"/>
  <c r="Z145" i="2"/>
  <c r="AA144" i="2"/>
  <c r="Z144" i="2"/>
  <c r="AA143" i="2"/>
  <c r="Z143" i="2"/>
  <c r="AA142" i="2"/>
  <c r="Z142" i="2"/>
  <c r="AA141" i="2"/>
  <c r="Z141" i="2"/>
  <c r="AA140" i="2"/>
  <c r="Z140" i="2"/>
  <c r="AA139" i="2"/>
  <c r="Z139" i="2"/>
  <c r="AA138" i="2"/>
  <c r="Z138" i="2"/>
  <c r="AA137" i="2"/>
  <c r="Z137" i="2"/>
  <c r="AA136" i="2"/>
  <c r="Z136" i="2"/>
  <c r="AA135" i="2"/>
  <c r="Z135" i="2"/>
  <c r="AA134" i="2"/>
  <c r="Z134" i="2"/>
  <c r="AA133" i="2"/>
  <c r="Z133" i="2"/>
  <c r="AA132" i="2"/>
  <c r="Z132" i="2"/>
  <c r="AA131" i="2"/>
  <c r="Z131" i="2"/>
  <c r="AA130" i="2"/>
  <c r="Z130" i="2"/>
  <c r="AA129" i="2"/>
  <c r="Z129" i="2"/>
  <c r="AA128" i="2"/>
  <c r="Z128" i="2"/>
  <c r="AA127" i="2"/>
  <c r="Z127" i="2"/>
  <c r="AA126" i="2"/>
  <c r="Z126" i="2"/>
  <c r="AA125" i="2"/>
  <c r="Z125" i="2"/>
  <c r="AA124" i="2"/>
  <c r="Z124" i="2"/>
  <c r="AA123" i="2"/>
  <c r="Z123" i="2"/>
  <c r="AA122" i="2"/>
  <c r="Z122" i="2"/>
  <c r="AA121" i="2"/>
  <c r="Z121" i="2"/>
  <c r="AA120" i="2"/>
  <c r="Z120" i="2"/>
  <c r="AA119" i="2"/>
  <c r="Z119" i="2"/>
  <c r="AA118" i="2"/>
  <c r="Z118" i="2"/>
  <c r="AA117" i="2"/>
  <c r="Z117" i="2"/>
  <c r="AA116" i="2"/>
  <c r="Z116" i="2"/>
  <c r="AA115" i="2"/>
  <c r="Z115" i="2"/>
  <c r="AA114" i="2"/>
  <c r="Z114" i="2"/>
  <c r="AA113" i="2"/>
  <c r="Z113" i="2"/>
  <c r="AA112" i="2"/>
  <c r="Z112" i="2"/>
  <c r="AA111" i="2"/>
  <c r="Z111" i="2"/>
  <c r="AA110" i="2"/>
  <c r="Z110" i="2"/>
  <c r="AA109" i="2"/>
  <c r="Z109" i="2"/>
  <c r="AA108" i="2"/>
  <c r="Z108" i="2"/>
  <c r="AA107" i="2"/>
  <c r="Z107" i="2"/>
  <c r="AA106" i="2"/>
  <c r="Z106" i="2"/>
  <c r="AA105" i="2"/>
  <c r="Z105" i="2"/>
  <c r="AA104" i="2"/>
  <c r="Z104" i="2"/>
  <c r="AA103" i="2"/>
  <c r="Z103" i="2"/>
  <c r="AA102" i="2"/>
  <c r="Z102" i="2"/>
  <c r="AA101" i="2"/>
  <c r="Z101" i="2"/>
  <c r="AA100" i="2"/>
  <c r="Z100" i="2"/>
  <c r="AA99" i="2"/>
  <c r="Z99" i="2"/>
  <c r="AA98" i="2"/>
  <c r="Z98" i="2"/>
  <c r="AA97" i="2"/>
  <c r="Z97" i="2"/>
  <c r="AA96" i="2"/>
  <c r="Z96" i="2"/>
  <c r="AA95" i="2"/>
  <c r="Z95" i="2"/>
  <c r="AA94" i="2"/>
  <c r="Z94" i="2"/>
  <c r="AA93" i="2"/>
  <c r="Z93" i="2"/>
  <c r="AA92" i="2"/>
  <c r="Z92" i="2"/>
  <c r="AA91" i="2"/>
  <c r="Z91" i="2"/>
  <c r="AA90" i="2"/>
  <c r="Z90" i="2"/>
  <c r="AA89" i="2"/>
  <c r="Z89" i="2"/>
  <c r="AA88" i="2"/>
  <c r="Z88" i="2"/>
  <c r="AA87" i="2"/>
  <c r="Z87" i="2"/>
  <c r="AA86" i="2"/>
  <c r="Z86" i="2"/>
  <c r="AA85" i="2"/>
  <c r="Z85" i="2"/>
  <c r="AA84" i="2"/>
  <c r="Z84" i="2"/>
  <c r="AA83" i="2"/>
  <c r="Z83" i="2"/>
  <c r="AA82" i="2"/>
  <c r="Z82" i="2"/>
  <c r="AA81" i="2"/>
  <c r="Z81" i="2"/>
  <c r="AA80" i="2"/>
  <c r="Z80" i="2"/>
  <c r="AA79" i="2"/>
  <c r="Z79" i="2"/>
  <c r="AA78" i="2"/>
  <c r="Z78" i="2"/>
  <c r="AA77" i="2"/>
  <c r="Z77" i="2"/>
  <c r="AA76" i="2"/>
  <c r="Z76" i="2"/>
  <c r="AA75" i="2"/>
  <c r="Z75" i="2"/>
  <c r="AA74" i="2"/>
  <c r="Z74" i="2"/>
  <c r="AA73" i="2"/>
  <c r="Z73" i="2"/>
  <c r="AA72" i="2"/>
  <c r="Z72" i="2"/>
  <c r="AA71" i="2"/>
  <c r="Z71" i="2"/>
  <c r="AA70" i="2"/>
  <c r="Z70" i="2"/>
  <c r="AA69" i="2"/>
  <c r="Z69" i="2"/>
  <c r="AA68" i="2"/>
  <c r="Z68" i="2"/>
  <c r="AA67" i="2"/>
  <c r="Z67" i="2"/>
  <c r="AA66" i="2"/>
  <c r="Z66" i="2"/>
  <c r="AA65" i="2"/>
  <c r="Z65" i="2"/>
  <c r="AA64" i="2"/>
  <c r="Z64" i="2"/>
  <c r="AA63" i="2"/>
  <c r="Z63" i="2"/>
  <c r="AA62" i="2"/>
  <c r="Z62" i="2"/>
  <c r="AA61" i="2"/>
  <c r="Z61" i="2"/>
  <c r="AA60" i="2"/>
  <c r="Z60" i="2"/>
  <c r="AA59" i="2"/>
  <c r="Z59" i="2"/>
  <c r="AA58" i="2"/>
  <c r="Z58" i="2"/>
  <c r="AA57" i="2"/>
  <c r="Z57" i="2"/>
  <c r="AA56" i="2"/>
  <c r="Z56" i="2"/>
  <c r="AA55" i="2"/>
  <c r="Z55" i="2"/>
  <c r="AA54" i="2"/>
  <c r="Z54" i="2"/>
  <c r="AA53" i="2"/>
  <c r="Z53" i="2"/>
  <c r="AA52" i="2"/>
  <c r="Z52" i="2"/>
  <c r="AA51" i="2"/>
  <c r="Z51" i="2"/>
  <c r="AA50" i="2"/>
  <c r="Z50" i="2"/>
  <c r="AA49" i="2"/>
  <c r="Z49" i="2"/>
  <c r="AA48" i="2"/>
  <c r="Z48" i="2"/>
  <c r="AA47" i="2"/>
  <c r="Z47" i="2"/>
  <c r="AA46" i="2"/>
  <c r="Z46" i="2"/>
  <c r="AA45" i="2"/>
  <c r="Z45" i="2"/>
  <c r="AA44" i="2"/>
  <c r="Z44" i="2"/>
  <c r="AA43" i="2"/>
  <c r="Z43" i="2"/>
  <c r="AA42" i="2"/>
  <c r="Z42" i="2"/>
  <c r="AA41" i="2"/>
  <c r="Z41" i="2"/>
  <c r="AA40" i="2"/>
  <c r="Z40" i="2"/>
  <c r="AA39" i="2"/>
  <c r="Z39" i="2"/>
  <c r="AA38" i="2"/>
  <c r="Z38" i="2"/>
  <c r="AA37" i="2"/>
  <c r="Z37" i="2"/>
  <c r="AA36" i="2"/>
  <c r="Z36" i="2"/>
  <c r="AA35" i="2"/>
  <c r="Z35" i="2"/>
  <c r="AA34" i="2"/>
  <c r="Z34" i="2"/>
  <c r="AA33" i="2"/>
  <c r="Z33" i="2"/>
  <c r="AA32" i="2"/>
  <c r="Z32" i="2"/>
  <c r="AA31" i="2"/>
  <c r="Z31" i="2"/>
  <c r="AA30" i="2"/>
  <c r="Z30" i="2"/>
  <c r="AA29" i="2"/>
  <c r="Z29" i="2"/>
  <c r="AA28" i="2"/>
  <c r="Z28" i="2"/>
  <c r="AA27" i="2"/>
  <c r="Z27" i="2"/>
  <c r="AA26" i="2"/>
  <c r="Z26" i="2"/>
  <c r="AA25" i="2"/>
  <c r="Z25" i="2"/>
  <c r="AA24" i="2"/>
  <c r="Z24" i="2"/>
  <c r="AA23" i="2"/>
  <c r="Z23" i="2"/>
  <c r="AA22" i="2"/>
  <c r="Z22" i="2"/>
  <c r="AA21" i="2"/>
  <c r="Z21" i="2"/>
  <c r="AA20" i="2"/>
  <c r="Z20" i="2"/>
  <c r="AA19" i="2"/>
  <c r="Z19" i="2"/>
  <c r="AA18" i="2"/>
  <c r="Z18" i="2"/>
  <c r="AA17" i="2"/>
  <c r="Z17" i="2"/>
  <c r="AA16" i="2"/>
  <c r="Z16" i="2"/>
  <c r="AA15" i="2"/>
  <c r="Z15" i="2"/>
  <c r="AA14" i="2"/>
  <c r="Z14" i="2"/>
  <c r="AA13" i="2"/>
  <c r="Z13" i="2"/>
  <c r="AA12" i="2"/>
  <c r="Z12" i="2"/>
  <c r="AA11" i="2"/>
  <c r="Z11" i="2"/>
  <c r="AA10" i="2"/>
  <c r="Z10" i="2"/>
  <c r="AA9" i="2"/>
  <c r="Z9" i="2"/>
  <c r="AA8" i="2"/>
  <c r="Z8" i="2"/>
  <c r="AA7" i="2"/>
  <c r="Z7" i="2"/>
  <c r="AA6" i="2"/>
  <c r="Z6" i="2"/>
  <c r="AA498" i="6"/>
  <c r="Z498" i="6"/>
  <c r="W498" i="6"/>
  <c r="N498" i="6"/>
  <c r="M498" i="6"/>
  <c r="J498" i="6"/>
  <c r="I498" i="6"/>
  <c r="AA497" i="6"/>
  <c r="Z497" i="6"/>
  <c r="W497" i="6"/>
  <c r="N497" i="6"/>
  <c r="M497" i="6"/>
  <c r="J497" i="6"/>
  <c r="I497" i="6"/>
  <c r="AA496" i="6"/>
  <c r="Z496" i="6"/>
  <c r="W496" i="6"/>
  <c r="N496" i="6"/>
  <c r="M496" i="6"/>
  <c r="J496" i="6"/>
  <c r="I496" i="6"/>
  <c r="AA495" i="6"/>
  <c r="Z495" i="6"/>
  <c r="W495" i="6"/>
  <c r="N495" i="6"/>
  <c r="M495" i="6"/>
  <c r="J495" i="6"/>
  <c r="I495" i="6"/>
  <c r="AA494" i="6"/>
  <c r="Z494" i="6"/>
  <c r="W494" i="6"/>
  <c r="N494" i="6"/>
  <c r="M494" i="6"/>
  <c r="J494" i="6"/>
  <c r="I494" i="6"/>
  <c r="AA493" i="6"/>
  <c r="Z493" i="6"/>
  <c r="W493" i="6"/>
  <c r="N493" i="6"/>
  <c r="M493" i="6"/>
  <c r="J493" i="6"/>
  <c r="I493" i="6"/>
  <c r="AA492" i="6"/>
  <c r="Z492" i="6"/>
  <c r="W492" i="6"/>
  <c r="N492" i="6"/>
  <c r="M492" i="6"/>
  <c r="J492" i="6"/>
  <c r="I492" i="6"/>
  <c r="AA491" i="6"/>
  <c r="Z491" i="6"/>
  <c r="W491" i="6"/>
  <c r="N491" i="6"/>
  <c r="M491" i="6"/>
  <c r="J491" i="6"/>
  <c r="I491" i="6"/>
  <c r="AA490" i="6"/>
  <c r="Z490" i="6"/>
  <c r="W490" i="6"/>
  <c r="N490" i="6"/>
  <c r="M490" i="6"/>
  <c r="J490" i="6"/>
  <c r="I490" i="6"/>
  <c r="AA489" i="6"/>
  <c r="Z489" i="6"/>
  <c r="W489" i="6"/>
  <c r="N489" i="6"/>
  <c r="M489" i="6"/>
  <c r="J489" i="6"/>
  <c r="I489" i="6"/>
  <c r="AA488" i="6"/>
  <c r="Z488" i="6"/>
  <c r="W488" i="6"/>
  <c r="N488" i="6"/>
  <c r="M488" i="6"/>
  <c r="J488" i="6"/>
  <c r="I488" i="6"/>
  <c r="AA487" i="6"/>
  <c r="Z487" i="6"/>
  <c r="W487" i="6"/>
  <c r="N487" i="6"/>
  <c r="M487" i="6"/>
  <c r="J487" i="6"/>
  <c r="I487" i="6"/>
  <c r="AA486" i="6"/>
  <c r="Z486" i="6"/>
  <c r="W486" i="6"/>
  <c r="N486" i="6"/>
  <c r="M486" i="6"/>
  <c r="J486" i="6"/>
  <c r="I486" i="6"/>
  <c r="AA485" i="6"/>
  <c r="Z485" i="6"/>
  <c r="W485" i="6"/>
  <c r="N485" i="6"/>
  <c r="M485" i="6"/>
  <c r="J485" i="6"/>
  <c r="I485" i="6"/>
  <c r="AA484" i="6"/>
  <c r="Z484" i="6"/>
  <c r="W484" i="6"/>
  <c r="N484" i="6"/>
  <c r="M484" i="6"/>
  <c r="J484" i="6"/>
  <c r="I484" i="6"/>
  <c r="AA483" i="6"/>
  <c r="Z483" i="6"/>
  <c r="W483" i="6"/>
  <c r="N483" i="6"/>
  <c r="M483" i="6"/>
  <c r="J483" i="6"/>
  <c r="I483" i="6"/>
  <c r="AA482" i="6"/>
  <c r="Z482" i="6"/>
  <c r="W482" i="6"/>
  <c r="N482" i="6"/>
  <c r="M482" i="6"/>
  <c r="J482" i="6"/>
  <c r="I482" i="6"/>
  <c r="AA481" i="6"/>
  <c r="Z481" i="6"/>
  <c r="W481" i="6"/>
  <c r="N481" i="6"/>
  <c r="M481" i="6"/>
  <c r="J481" i="6"/>
  <c r="I481" i="6"/>
  <c r="AA480" i="6"/>
  <c r="Z480" i="6"/>
  <c r="W480" i="6"/>
  <c r="N480" i="6"/>
  <c r="M480" i="6"/>
  <c r="J480" i="6"/>
  <c r="I480" i="6"/>
  <c r="AA479" i="6"/>
  <c r="Z479" i="6"/>
  <c r="W479" i="6"/>
  <c r="N479" i="6"/>
  <c r="M479" i="6"/>
  <c r="J479" i="6"/>
  <c r="I479" i="6"/>
  <c r="AA478" i="6"/>
  <c r="Z478" i="6"/>
  <c r="W478" i="6"/>
  <c r="N478" i="6"/>
  <c r="M478" i="6"/>
  <c r="J478" i="6"/>
  <c r="I478" i="6"/>
  <c r="AA477" i="6"/>
  <c r="Z477" i="6"/>
  <c r="W477" i="6"/>
  <c r="N477" i="6"/>
  <c r="M477" i="6"/>
  <c r="J477" i="6"/>
  <c r="I477" i="6"/>
  <c r="AA476" i="6"/>
  <c r="Z476" i="6"/>
  <c r="W476" i="6"/>
  <c r="N476" i="6"/>
  <c r="M476" i="6"/>
  <c r="J476" i="6"/>
  <c r="I476" i="6"/>
  <c r="AA475" i="6"/>
  <c r="Z475" i="6"/>
  <c r="W475" i="6"/>
  <c r="N475" i="6"/>
  <c r="M475" i="6"/>
  <c r="J475" i="6"/>
  <c r="I475" i="6"/>
  <c r="AA474" i="6"/>
  <c r="Z474" i="6"/>
  <c r="W474" i="6"/>
  <c r="N474" i="6"/>
  <c r="M474" i="6"/>
  <c r="J474" i="6"/>
  <c r="I474" i="6"/>
  <c r="AA473" i="6"/>
  <c r="Z473" i="6"/>
  <c r="W473" i="6"/>
  <c r="N473" i="6"/>
  <c r="M473" i="6"/>
  <c r="J473" i="6"/>
  <c r="I473" i="6"/>
  <c r="AA472" i="6"/>
  <c r="Z472" i="6"/>
  <c r="W472" i="6"/>
  <c r="N472" i="6"/>
  <c r="M472" i="6"/>
  <c r="J472" i="6"/>
  <c r="I472" i="6"/>
  <c r="AA471" i="6"/>
  <c r="Z471" i="6"/>
  <c r="W471" i="6"/>
  <c r="N471" i="6"/>
  <c r="M471" i="6"/>
  <c r="J471" i="6"/>
  <c r="I471" i="6"/>
  <c r="AA470" i="6"/>
  <c r="Z470" i="6"/>
  <c r="W470" i="6"/>
  <c r="N470" i="6"/>
  <c r="M470" i="6"/>
  <c r="J470" i="6"/>
  <c r="I470" i="6"/>
  <c r="AA469" i="6"/>
  <c r="Z469" i="6"/>
  <c r="W469" i="6"/>
  <c r="N469" i="6"/>
  <c r="M469" i="6"/>
  <c r="J469" i="6"/>
  <c r="I469" i="6"/>
  <c r="AA468" i="6"/>
  <c r="Z468" i="6"/>
  <c r="W468" i="6"/>
  <c r="N468" i="6"/>
  <c r="M468" i="6"/>
  <c r="J468" i="6"/>
  <c r="I468" i="6"/>
  <c r="AA467" i="6"/>
  <c r="Z467" i="6"/>
  <c r="W467" i="6"/>
  <c r="N467" i="6"/>
  <c r="M467" i="6"/>
  <c r="J467" i="6"/>
  <c r="I467" i="6"/>
  <c r="AA466" i="6"/>
  <c r="Z466" i="6"/>
  <c r="W466" i="6"/>
  <c r="N466" i="6"/>
  <c r="M466" i="6"/>
  <c r="J466" i="6"/>
  <c r="I466" i="6"/>
  <c r="AA465" i="6"/>
  <c r="Z465" i="6"/>
  <c r="W465" i="6"/>
  <c r="N465" i="6"/>
  <c r="M465" i="6"/>
  <c r="J465" i="6"/>
  <c r="I465" i="6"/>
  <c r="AA464" i="6"/>
  <c r="Z464" i="6"/>
  <c r="W464" i="6"/>
  <c r="N464" i="6"/>
  <c r="M464" i="6"/>
  <c r="J464" i="6"/>
  <c r="I464" i="6"/>
  <c r="D464" i="6"/>
  <c r="AA463" i="6"/>
  <c r="Z463" i="6"/>
  <c r="W463" i="6"/>
  <c r="N463" i="6"/>
  <c r="M463" i="6"/>
  <c r="J463" i="6"/>
  <c r="I463" i="6"/>
  <c r="D463" i="6"/>
  <c r="AA462" i="6"/>
  <c r="Z462" i="6"/>
  <c r="W462" i="6"/>
  <c r="N462" i="6"/>
  <c r="M462" i="6"/>
  <c r="J462" i="6"/>
  <c r="I462" i="6"/>
  <c r="AA461" i="6"/>
  <c r="Z461" i="6"/>
  <c r="W461" i="6"/>
  <c r="N461" i="6"/>
  <c r="M461" i="6"/>
  <c r="J461" i="6"/>
  <c r="I461" i="6"/>
  <c r="D461" i="6"/>
  <c r="AA460" i="6"/>
  <c r="Z460" i="6"/>
  <c r="W460" i="6"/>
  <c r="N460" i="6"/>
  <c r="M460" i="6"/>
  <c r="J460" i="6"/>
  <c r="I460" i="6"/>
  <c r="AA459" i="6"/>
  <c r="Z459" i="6"/>
  <c r="W459" i="6"/>
  <c r="N459" i="6"/>
  <c r="M459" i="6"/>
  <c r="J459" i="6"/>
  <c r="I459" i="6"/>
  <c r="AA458" i="6"/>
  <c r="Z458" i="6"/>
  <c r="W458" i="6"/>
  <c r="N458" i="6"/>
  <c r="M458" i="6"/>
  <c r="J458" i="6"/>
  <c r="I458" i="6"/>
  <c r="AA457" i="6"/>
  <c r="Z457" i="6"/>
  <c r="W457" i="6"/>
  <c r="N457" i="6"/>
  <c r="M457" i="6"/>
  <c r="J457" i="6"/>
  <c r="I457" i="6"/>
  <c r="AA456" i="6"/>
  <c r="Z456" i="6"/>
  <c r="W456" i="6"/>
  <c r="N456" i="6"/>
  <c r="M456" i="6"/>
  <c r="J456" i="6"/>
  <c r="I456" i="6"/>
  <c r="AA455" i="6"/>
  <c r="Z455" i="6"/>
  <c r="W455" i="6"/>
  <c r="N455" i="6"/>
  <c r="M455" i="6"/>
  <c r="J455" i="6"/>
  <c r="I455" i="6"/>
  <c r="AA454" i="6"/>
  <c r="Z454" i="6"/>
  <c r="W454" i="6"/>
  <c r="N454" i="6"/>
  <c r="M454" i="6"/>
  <c r="J454" i="6"/>
  <c r="I454" i="6"/>
  <c r="AA453" i="6"/>
  <c r="Z453" i="6"/>
  <c r="W453" i="6"/>
  <c r="N453" i="6"/>
  <c r="M453" i="6"/>
  <c r="J453" i="6"/>
  <c r="I453" i="6"/>
  <c r="AA452" i="6"/>
  <c r="Z452" i="6"/>
  <c r="W452" i="6"/>
  <c r="N452" i="6"/>
  <c r="M452" i="6"/>
  <c r="J452" i="6"/>
  <c r="I452" i="6"/>
  <c r="AA451" i="6"/>
  <c r="Z451" i="6"/>
  <c r="W451" i="6"/>
  <c r="N451" i="6"/>
  <c r="M451" i="6"/>
  <c r="J451" i="6"/>
  <c r="I451" i="6"/>
  <c r="AA450" i="6"/>
  <c r="Z450" i="6"/>
  <c r="W450" i="6"/>
  <c r="N450" i="6"/>
  <c r="M450" i="6"/>
  <c r="J450" i="6"/>
  <c r="I450" i="6"/>
  <c r="AA449" i="6"/>
  <c r="Z449" i="6"/>
  <c r="W449" i="6"/>
  <c r="N449" i="6"/>
  <c r="M449" i="6"/>
  <c r="J449" i="6"/>
  <c r="I449" i="6"/>
  <c r="AA448" i="6"/>
  <c r="Z448" i="6"/>
  <c r="W448" i="6"/>
  <c r="N448" i="6"/>
  <c r="M448" i="6"/>
  <c r="J448" i="6"/>
  <c r="I448" i="6"/>
  <c r="AA447" i="6"/>
  <c r="Z447" i="6"/>
  <c r="W447" i="6"/>
  <c r="N447" i="6"/>
  <c r="M447" i="6"/>
  <c r="J447" i="6"/>
  <c r="I447" i="6"/>
  <c r="AA446" i="6"/>
  <c r="Z446" i="6"/>
  <c r="W446" i="6"/>
  <c r="N446" i="6"/>
  <c r="M446" i="6"/>
  <c r="J446" i="6"/>
  <c r="I446" i="6"/>
  <c r="AA445" i="6"/>
  <c r="Z445" i="6"/>
  <c r="W445" i="6"/>
  <c r="N445" i="6"/>
  <c r="M445" i="6"/>
  <c r="J445" i="6"/>
  <c r="I445" i="6"/>
  <c r="AA444" i="6"/>
  <c r="Z444" i="6"/>
  <c r="W444" i="6"/>
  <c r="N444" i="6"/>
  <c r="M444" i="6"/>
  <c r="J444" i="6"/>
  <c r="I444" i="6"/>
  <c r="AA443" i="6"/>
  <c r="Z443" i="6"/>
  <c r="W443" i="6"/>
  <c r="N443" i="6"/>
  <c r="M443" i="6"/>
  <c r="J443" i="6"/>
  <c r="I443" i="6"/>
  <c r="AA442" i="6"/>
  <c r="Z442" i="6"/>
  <c r="W442" i="6"/>
  <c r="N442" i="6"/>
  <c r="M442" i="6"/>
  <c r="J442" i="6"/>
  <c r="I442" i="6"/>
  <c r="AA441" i="6"/>
  <c r="Z441" i="6"/>
  <c r="W441" i="6"/>
  <c r="N441" i="6"/>
  <c r="M441" i="6"/>
  <c r="J441" i="6"/>
  <c r="I441" i="6"/>
  <c r="AA440" i="6"/>
  <c r="Z440" i="6"/>
  <c r="W440" i="6"/>
  <c r="N440" i="6"/>
  <c r="M440" i="6"/>
  <c r="J440" i="6"/>
  <c r="I440" i="6"/>
  <c r="AA439" i="6"/>
  <c r="Z439" i="6"/>
  <c r="W439" i="6"/>
  <c r="N439" i="6"/>
  <c r="M439" i="6"/>
  <c r="J439" i="6"/>
  <c r="I439" i="6"/>
  <c r="AA438" i="6"/>
  <c r="Z438" i="6"/>
  <c r="W438" i="6"/>
  <c r="N438" i="6"/>
  <c r="M438" i="6"/>
  <c r="J438" i="6"/>
  <c r="I438" i="6"/>
  <c r="AA437" i="6"/>
  <c r="Z437" i="6"/>
  <c r="W437" i="6"/>
  <c r="N437" i="6"/>
  <c r="M437" i="6"/>
  <c r="J437" i="6"/>
  <c r="I437" i="6"/>
  <c r="AA436" i="6"/>
  <c r="Z436" i="6"/>
  <c r="W436" i="6"/>
  <c r="N436" i="6"/>
  <c r="M436" i="6"/>
  <c r="J436" i="6"/>
  <c r="I436" i="6"/>
  <c r="AA435" i="6"/>
  <c r="Z435" i="6"/>
  <c r="W435" i="6"/>
  <c r="N435" i="6"/>
  <c r="M435" i="6"/>
  <c r="J435" i="6"/>
  <c r="I435" i="6"/>
  <c r="AA434" i="6"/>
  <c r="Z434" i="6"/>
  <c r="W434" i="6"/>
  <c r="N434" i="6"/>
  <c r="M434" i="6"/>
  <c r="J434" i="6"/>
  <c r="I434" i="6"/>
  <c r="AA433" i="6"/>
  <c r="Z433" i="6"/>
  <c r="W433" i="6"/>
  <c r="N433" i="6"/>
  <c r="M433" i="6"/>
  <c r="J433" i="6"/>
  <c r="I433" i="6"/>
  <c r="AA432" i="6"/>
  <c r="Z432" i="6"/>
  <c r="W432" i="6"/>
  <c r="N432" i="6"/>
  <c r="M432" i="6"/>
  <c r="J432" i="6"/>
  <c r="I432" i="6"/>
  <c r="AA431" i="6"/>
  <c r="Z431" i="6"/>
  <c r="W431" i="6"/>
  <c r="N431" i="6"/>
  <c r="M431" i="6"/>
  <c r="J431" i="6"/>
  <c r="I431" i="6"/>
  <c r="AA430" i="6"/>
  <c r="Z430" i="6"/>
  <c r="W430" i="6"/>
  <c r="N430" i="6"/>
  <c r="M430" i="6"/>
  <c r="J430" i="6"/>
  <c r="I430" i="6"/>
  <c r="AA429" i="6"/>
  <c r="Z429" i="6"/>
  <c r="W429" i="6"/>
  <c r="N429" i="6"/>
  <c r="M429" i="6"/>
  <c r="J429" i="6"/>
  <c r="I429" i="6"/>
  <c r="AA428" i="6"/>
  <c r="Z428" i="6"/>
  <c r="W428" i="6"/>
  <c r="N428" i="6"/>
  <c r="M428" i="6"/>
  <c r="J428" i="6"/>
  <c r="I428" i="6"/>
  <c r="AA427" i="6"/>
  <c r="Z427" i="6"/>
  <c r="W427" i="6"/>
  <c r="N427" i="6"/>
  <c r="M427" i="6"/>
  <c r="J427" i="6"/>
  <c r="I427" i="6"/>
  <c r="AA426" i="6"/>
  <c r="Z426" i="6"/>
  <c r="W426" i="6"/>
  <c r="N426" i="6"/>
  <c r="M426" i="6"/>
  <c r="J426" i="6"/>
  <c r="I426" i="6"/>
  <c r="AA425" i="6"/>
  <c r="Z425" i="6"/>
  <c r="W425" i="6"/>
  <c r="N425" i="6"/>
  <c r="M425" i="6"/>
  <c r="J425" i="6"/>
  <c r="I425" i="6"/>
  <c r="AA424" i="6"/>
  <c r="Z424" i="6"/>
  <c r="W424" i="6"/>
  <c r="N424" i="6"/>
  <c r="M424" i="6"/>
  <c r="J424" i="6"/>
  <c r="I424" i="6"/>
  <c r="AA423" i="6"/>
  <c r="Z423" i="6"/>
  <c r="W423" i="6"/>
  <c r="N423" i="6"/>
  <c r="M423" i="6"/>
  <c r="J423" i="6"/>
  <c r="I423" i="6"/>
  <c r="AA422" i="6"/>
  <c r="Z422" i="6"/>
  <c r="W422" i="6"/>
  <c r="N422" i="6"/>
  <c r="M422" i="6"/>
  <c r="J422" i="6"/>
  <c r="I422" i="6"/>
  <c r="AA421" i="6"/>
  <c r="Z421" i="6"/>
  <c r="W421" i="6"/>
  <c r="N421" i="6"/>
  <c r="M421" i="6"/>
  <c r="J421" i="6"/>
  <c r="I421" i="6"/>
  <c r="AA420" i="6"/>
  <c r="Z420" i="6"/>
  <c r="W420" i="6"/>
  <c r="N420" i="6"/>
  <c r="M420" i="6"/>
  <c r="J420" i="6"/>
  <c r="I420" i="6"/>
  <c r="AA419" i="6"/>
  <c r="Z419" i="6"/>
  <c r="W419" i="6"/>
  <c r="N419" i="6"/>
  <c r="M419" i="6"/>
  <c r="J419" i="6"/>
  <c r="I419" i="6"/>
  <c r="AA418" i="6"/>
  <c r="Z418" i="6"/>
  <c r="W418" i="6"/>
  <c r="N418" i="6"/>
  <c r="M418" i="6"/>
  <c r="J418" i="6"/>
  <c r="I418" i="6"/>
  <c r="AA417" i="6"/>
  <c r="Z417" i="6"/>
  <c r="W417" i="6"/>
  <c r="N417" i="6"/>
  <c r="M417" i="6"/>
  <c r="J417" i="6"/>
  <c r="I417" i="6"/>
  <c r="AA416" i="6"/>
  <c r="Z416" i="6"/>
  <c r="W416" i="6"/>
  <c r="N416" i="6"/>
  <c r="M416" i="6"/>
  <c r="J416" i="6"/>
  <c r="I416" i="6"/>
  <c r="AA415" i="6"/>
  <c r="Z415" i="6"/>
  <c r="W415" i="6"/>
  <c r="N415" i="6"/>
  <c r="M415" i="6"/>
  <c r="J415" i="6"/>
  <c r="I415" i="6"/>
  <c r="AA414" i="6"/>
  <c r="Z414" i="6"/>
  <c r="W414" i="6"/>
  <c r="N414" i="6"/>
  <c r="M414" i="6"/>
  <c r="J414" i="6"/>
  <c r="I414" i="6"/>
  <c r="AA413" i="6"/>
  <c r="Z413" i="6"/>
  <c r="W413" i="6"/>
  <c r="N413" i="6"/>
  <c r="M413" i="6"/>
  <c r="J413" i="6"/>
  <c r="I413" i="6"/>
  <c r="AA412" i="6"/>
  <c r="Z412" i="6"/>
  <c r="W412" i="6"/>
  <c r="N412" i="6"/>
  <c r="M412" i="6"/>
  <c r="J412" i="6"/>
  <c r="I412" i="6"/>
  <c r="AA411" i="6"/>
  <c r="Z411" i="6"/>
  <c r="W411" i="6"/>
  <c r="N411" i="6"/>
  <c r="M411" i="6"/>
  <c r="J411" i="6"/>
  <c r="I411" i="6"/>
  <c r="AA410" i="6"/>
  <c r="Z410" i="6"/>
  <c r="W410" i="6"/>
  <c r="N410" i="6"/>
  <c r="M410" i="6"/>
  <c r="J410" i="6"/>
  <c r="I410" i="6"/>
  <c r="AA409" i="6"/>
  <c r="Z409" i="6"/>
  <c r="W409" i="6"/>
  <c r="N409" i="6"/>
  <c r="M409" i="6"/>
  <c r="J409" i="6"/>
  <c r="I409" i="6"/>
  <c r="AA408" i="6"/>
  <c r="Z408" i="6"/>
  <c r="W408" i="6"/>
  <c r="N408" i="6"/>
  <c r="M408" i="6"/>
  <c r="J408" i="6"/>
  <c r="I408" i="6"/>
  <c r="AA407" i="6"/>
  <c r="Z407" i="6"/>
  <c r="W407" i="6"/>
  <c r="N407" i="6"/>
  <c r="M407" i="6"/>
  <c r="J407" i="6"/>
  <c r="I407" i="6"/>
  <c r="AA406" i="6"/>
  <c r="Z406" i="6"/>
  <c r="W406" i="6"/>
  <c r="N406" i="6"/>
  <c r="M406" i="6"/>
  <c r="J406" i="6"/>
  <c r="I406" i="6"/>
  <c r="AA405" i="6"/>
  <c r="Z405" i="6"/>
  <c r="W405" i="6"/>
  <c r="N405" i="6"/>
  <c r="M405" i="6"/>
  <c r="J405" i="6"/>
  <c r="I405" i="6"/>
  <c r="AA404" i="6"/>
  <c r="Z404" i="6"/>
  <c r="W404" i="6"/>
  <c r="N404" i="6"/>
  <c r="M404" i="6"/>
  <c r="J404" i="6"/>
  <c r="I404" i="6"/>
  <c r="AA403" i="6"/>
  <c r="Z403" i="6"/>
  <c r="W403" i="6"/>
  <c r="N403" i="6"/>
  <c r="M403" i="6"/>
  <c r="J403" i="6"/>
  <c r="I403" i="6"/>
  <c r="AA402" i="6"/>
  <c r="Z402" i="6"/>
  <c r="W402" i="6"/>
  <c r="N402" i="6"/>
  <c r="M402" i="6"/>
  <c r="J402" i="6"/>
  <c r="I402" i="6"/>
  <c r="AA401" i="6"/>
  <c r="Z401" i="6"/>
  <c r="W401" i="6"/>
  <c r="N401" i="6"/>
  <c r="M401" i="6"/>
  <c r="J401" i="6"/>
  <c r="I401" i="6"/>
  <c r="AA400" i="6"/>
  <c r="Z400" i="6"/>
  <c r="W400" i="6"/>
  <c r="N400" i="6"/>
  <c r="M400" i="6"/>
  <c r="J400" i="6"/>
  <c r="I400" i="6"/>
  <c r="AA399" i="6"/>
  <c r="Z399" i="6"/>
  <c r="W399" i="6"/>
  <c r="N399" i="6"/>
  <c r="M399" i="6"/>
  <c r="J399" i="6"/>
  <c r="I399" i="6"/>
  <c r="AA398" i="6"/>
  <c r="Z398" i="6"/>
  <c r="W398" i="6"/>
  <c r="N398" i="6"/>
  <c r="M398" i="6"/>
  <c r="J398" i="6"/>
  <c r="I398" i="6"/>
  <c r="AA397" i="6"/>
  <c r="Z397" i="6"/>
  <c r="W397" i="6"/>
  <c r="N397" i="6"/>
  <c r="M397" i="6"/>
  <c r="J397" i="6"/>
  <c r="I397" i="6"/>
  <c r="AA396" i="6"/>
  <c r="Z396" i="6"/>
  <c r="W396" i="6"/>
  <c r="N396" i="6"/>
  <c r="M396" i="6"/>
  <c r="J396" i="6"/>
  <c r="I396" i="6"/>
  <c r="AA395" i="6"/>
  <c r="Z395" i="6"/>
  <c r="W395" i="6"/>
  <c r="N395" i="6"/>
  <c r="M395" i="6"/>
  <c r="J395" i="6"/>
  <c r="I395" i="6"/>
  <c r="AA394" i="6"/>
  <c r="Z394" i="6"/>
  <c r="W394" i="6"/>
  <c r="N394" i="6"/>
  <c r="M394" i="6"/>
  <c r="J394" i="6"/>
  <c r="I394" i="6"/>
  <c r="AA393" i="6"/>
  <c r="Z393" i="6"/>
  <c r="W393" i="6"/>
  <c r="N393" i="6"/>
  <c r="M393" i="6"/>
  <c r="J393" i="6"/>
  <c r="I393" i="6"/>
  <c r="AA392" i="6"/>
  <c r="Z392" i="6"/>
  <c r="W392" i="6"/>
  <c r="N392" i="6"/>
  <c r="M392" i="6"/>
  <c r="J392" i="6"/>
  <c r="I392" i="6"/>
  <c r="AA391" i="6"/>
  <c r="Z391" i="6"/>
  <c r="W391" i="6"/>
  <c r="N391" i="6"/>
  <c r="M391" i="6"/>
  <c r="J391" i="6"/>
  <c r="I391" i="6"/>
  <c r="AA390" i="6"/>
  <c r="Z390" i="6"/>
  <c r="W390" i="6"/>
  <c r="N390" i="6"/>
  <c r="M390" i="6"/>
  <c r="J390" i="6"/>
  <c r="I390" i="6"/>
  <c r="AA389" i="6"/>
  <c r="Z389" i="6"/>
  <c r="W389" i="6"/>
  <c r="N389" i="6"/>
  <c r="M389" i="6"/>
  <c r="J389" i="6"/>
  <c r="I389" i="6"/>
  <c r="AA388" i="6"/>
  <c r="Z388" i="6"/>
  <c r="W388" i="6"/>
  <c r="N388" i="6"/>
  <c r="M388" i="6"/>
  <c r="J388" i="6"/>
  <c r="I388" i="6"/>
  <c r="AA387" i="6"/>
  <c r="Z387" i="6"/>
  <c r="W387" i="6"/>
  <c r="N387" i="6"/>
  <c r="M387" i="6"/>
  <c r="J387" i="6"/>
  <c r="I387" i="6"/>
  <c r="AA386" i="6"/>
  <c r="Z386" i="6"/>
  <c r="W386" i="6"/>
  <c r="N386" i="6"/>
  <c r="M386" i="6"/>
  <c r="J386" i="6"/>
  <c r="I386" i="6"/>
  <c r="AA385" i="6"/>
  <c r="Z385" i="6"/>
  <c r="W385" i="6"/>
  <c r="N385" i="6"/>
  <c r="M385" i="6"/>
  <c r="J385" i="6"/>
  <c r="I385" i="6"/>
  <c r="AA384" i="6"/>
  <c r="Z384" i="6"/>
  <c r="W384" i="6"/>
  <c r="N384" i="6"/>
  <c r="M384" i="6"/>
  <c r="J384" i="6"/>
  <c r="I384" i="6"/>
  <c r="AA383" i="6"/>
  <c r="Z383" i="6"/>
  <c r="W383" i="6"/>
  <c r="N383" i="6"/>
  <c r="M383" i="6"/>
  <c r="J383" i="6"/>
  <c r="I383" i="6"/>
  <c r="AA382" i="6"/>
  <c r="Z382" i="6"/>
  <c r="W382" i="6"/>
  <c r="N382" i="6"/>
  <c r="M382" i="6"/>
  <c r="J382" i="6"/>
  <c r="I382" i="6"/>
  <c r="AA381" i="6"/>
  <c r="Z381" i="6"/>
  <c r="W381" i="6"/>
  <c r="N381" i="6"/>
  <c r="M381" i="6"/>
  <c r="J381" i="6"/>
  <c r="I381" i="6"/>
  <c r="AA380" i="6"/>
  <c r="Z380" i="6"/>
  <c r="W380" i="6"/>
  <c r="N380" i="6"/>
  <c r="M380" i="6"/>
  <c r="J380" i="6"/>
  <c r="I380" i="6"/>
  <c r="AA379" i="6"/>
  <c r="Z379" i="6"/>
  <c r="W379" i="6"/>
  <c r="N379" i="6"/>
  <c r="M379" i="6"/>
  <c r="J379" i="6"/>
  <c r="I379" i="6"/>
  <c r="AA378" i="6"/>
  <c r="Z378" i="6"/>
  <c r="W378" i="6"/>
  <c r="N378" i="6"/>
  <c r="M378" i="6"/>
  <c r="J378" i="6"/>
  <c r="I378" i="6"/>
  <c r="AA377" i="6"/>
  <c r="Z377" i="6"/>
  <c r="W377" i="6"/>
  <c r="N377" i="6"/>
  <c r="M377" i="6"/>
  <c r="J377" i="6"/>
  <c r="I377" i="6"/>
  <c r="AA376" i="6"/>
  <c r="Z376" i="6"/>
  <c r="W376" i="6"/>
  <c r="N376" i="6"/>
  <c r="M376" i="6"/>
  <c r="J376" i="6"/>
  <c r="I376" i="6"/>
  <c r="AA375" i="6"/>
  <c r="Z375" i="6"/>
  <c r="W375" i="6"/>
  <c r="N375" i="6"/>
  <c r="M375" i="6"/>
  <c r="J375" i="6"/>
  <c r="I375" i="6"/>
  <c r="AA374" i="6"/>
  <c r="Z374" i="6"/>
  <c r="W374" i="6"/>
  <c r="N374" i="6"/>
  <c r="M374" i="6"/>
  <c r="J374" i="6"/>
  <c r="I374" i="6"/>
  <c r="AA373" i="6"/>
  <c r="Z373" i="6"/>
  <c r="W373" i="6"/>
  <c r="N373" i="6"/>
  <c r="M373" i="6"/>
  <c r="J373" i="6"/>
  <c r="I373" i="6"/>
  <c r="AA372" i="6"/>
  <c r="Z372" i="6"/>
  <c r="W372" i="6"/>
  <c r="N372" i="6"/>
  <c r="M372" i="6"/>
  <c r="J372" i="6"/>
  <c r="I372" i="6"/>
  <c r="AA371" i="6"/>
  <c r="Z371" i="6"/>
  <c r="W371" i="6"/>
  <c r="N371" i="6"/>
  <c r="M371" i="6"/>
  <c r="J371" i="6"/>
  <c r="I371" i="6"/>
  <c r="AA370" i="6"/>
  <c r="Z370" i="6"/>
  <c r="W370" i="6"/>
  <c r="N370" i="6"/>
  <c r="M370" i="6"/>
  <c r="J370" i="6"/>
  <c r="I370" i="6"/>
  <c r="AA369" i="6"/>
  <c r="Z369" i="6"/>
  <c r="W369" i="6"/>
  <c r="N369" i="6"/>
  <c r="M369" i="6"/>
  <c r="J369" i="6"/>
  <c r="I369" i="6"/>
  <c r="AA368" i="6"/>
  <c r="Z368" i="6"/>
  <c r="W368" i="6"/>
  <c r="N368" i="6"/>
  <c r="M368" i="6"/>
  <c r="J368" i="6"/>
  <c r="I368" i="6"/>
  <c r="AA367" i="6"/>
  <c r="Z367" i="6"/>
  <c r="W367" i="6"/>
  <c r="N367" i="6"/>
  <c r="M367" i="6"/>
  <c r="J367" i="6"/>
  <c r="I367" i="6"/>
  <c r="AA366" i="6"/>
  <c r="Z366" i="6"/>
  <c r="W366" i="6"/>
  <c r="N366" i="6"/>
  <c r="M366" i="6"/>
  <c r="J366" i="6"/>
  <c r="I366" i="6"/>
  <c r="AA365" i="6"/>
  <c r="Z365" i="6"/>
  <c r="W365" i="6"/>
  <c r="N365" i="6"/>
  <c r="M365" i="6"/>
  <c r="J365" i="6"/>
  <c r="I365" i="6"/>
  <c r="AA364" i="6"/>
  <c r="Z364" i="6"/>
  <c r="W364" i="6"/>
  <c r="N364" i="6"/>
  <c r="M364" i="6"/>
  <c r="J364" i="6"/>
  <c r="I364" i="6"/>
  <c r="AA363" i="6"/>
  <c r="Z363" i="6"/>
  <c r="W363" i="6"/>
  <c r="N363" i="6"/>
  <c r="M363" i="6"/>
  <c r="J363" i="6"/>
  <c r="I363" i="6"/>
  <c r="AA362" i="6"/>
  <c r="Z362" i="6"/>
  <c r="W362" i="6"/>
  <c r="N362" i="6"/>
  <c r="M362" i="6"/>
  <c r="J362" i="6"/>
  <c r="I362" i="6"/>
  <c r="AA361" i="6"/>
  <c r="Z361" i="6"/>
  <c r="W361" i="6"/>
  <c r="N361" i="6"/>
  <c r="M361" i="6"/>
  <c r="J361" i="6"/>
  <c r="I361" i="6"/>
  <c r="AA360" i="6"/>
  <c r="Z360" i="6"/>
  <c r="W360" i="6"/>
  <c r="N360" i="6"/>
  <c r="M360" i="6"/>
  <c r="J360" i="6"/>
  <c r="I360" i="6"/>
  <c r="AA359" i="6"/>
  <c r="Z359" i="6"/>
  <c r="W359" i="6"/>
  <c r="N359" i="6"/>
  <c r="M359" i="6"/>
  <c r="J359" i="6"/>
  <c r="I359" i="6"/>
  <c r="AA358" i="6"/>
  <c r="Z358" i="6"/>
  <c r="W358" i="6"/>
  <c r="N358" i="6"/>
  <c r="M358" i="6"/>
  <c r="J358" i="6"/>
  <c r="I358" i="6"/>
  <c r="AA357" i="6"/>
  <c r="Z357" i="6"/>
  <c r="W357" i="6"/>
  <c r="N357" i="6"/>
  <c r="M357" i="6"/>
  <c r="J357" i="6"/>
  <c r="I357" i="6"/>
  <c r="AA356" i="6"/>
  <c r="Z356" i="6"/>
  <c r="W356" i="6"/>
  <c r="N356" i="6"/>
  <c r="M356" i="6"/>
  <c r="J356" i="6"/>
  <c r="I356" i="6"/>
  <c r="AA355" i="6"/>
  <c r="Z355" i="6"/>
  <c r="W355" i="6"/>
  <c r="N355" i="6"/>
  <c r="M355" i="6"/>
  <c r="J355" i="6"/>
  <c r="I355" i="6"/>
  <c r="AA354" i="6"/>
  <c r="Z354" i="6"/>
  <c r="W354" i="6"/>
  <c r="N354" i="6"/>
  <c r="M354" i="6"/>
  <c r="J354" i="6"/>
  <c r="I354" i="6"/>
  <c r="AA353" i="6"/>
  <c r="Z353" i="6"/>
  <c r="W353" i="6"/>
  <c r="N353" i="6"/>
  <c r="M353" i="6"/>
  <c r="J353" i="6"/>
  <c r="I353" i="6"/>
  <c r="AA352" i="6"/>
  <c r="Z352" i="6"/>
  <c r="W352" i="6"/>
  <c r="N352" i="6"/>
  <c r="M352" i="6"/>
  <c r="J352" i="6"/>
  <c r="I352" i="6"/>
  <c r="AA351" i="6"/>
  <c r="Z351" i="6"/>
  <c r="W351" i="6"/>
  <c r="N351" i="6"/>
  <c r="M351" i="6"/>
  <c r="J351" i="6"/>
  <c r="I351" i="6"/>
  <c r="AA350" i="6"/>
  <c r="Z350" i="6"/>
  <c r="W350" i="6"/>
  <c r="N350" i="6"/>
  <c r="M350" i="6"/>
  <c r="J350" i="6"/>
  <c r="I350" i="6"/>
  <c r="AA349" i="6"/>
  <c r="Z349" i="6"/>
  <c r="W349" i="6"/>
  <c r="N349" i="6"/>
  <c r="M349" i="6"/>
  <c r="J349" i="6"/>
  <c r="I349" i="6"/>
  <c r="AA348" i="6"/>
  <c r="Z348" i="6"/>
  <c r="W348" i="6"/>
  <c r="N348" i="6"/>
  <c r="M348" i="6"/>
  <c r="J348" i="6"/>
  <c r="I348" i="6"/>
  <c r="AA347" i="6"/>
  <c r="Z347" i="6"/>
  <c r="W347" i="6"/>
  <c r="N347" i="6"/>
  <c r="M347" i="6"/>
  <c r="J347" i="6"/>
  <c r="I347" i="6"/>
  <c r="AA346" i="6"/>
  <c r="Z346" i="6"/>
  <c r="W346" i="6"/>
  <c r="N346" i="6"/>
  <c r="M346" i="6"/>
  <c r="J346" i="6"/>
  <c r="I346" i="6"/>
  <c r="AA345" i="6"/>
  <c r="Z345" i="6"/>
  <c r="W345" i="6"/>
  <c r="N345" i="6"/>
  <c r="M345" i="6"/>
  <c r="J345" i="6"/>
  <c r="I345" i="6"/>
  <c r="AA344" i="6"/>
  <c r="Z344" i="6"/>
  <c r="W344" i="6"/>
  <c r="N344" i="6"/>
  <c r="M344" i="6"/>
  <c r="J344" i="6"/>
  <c r="I344" i="6"/>
  <c r="AA343" i="6"/>
  <c r="Z343" i="6"/>
  <c r="W343" i="6"/>
  <c r="N343" i="6"/>
  <c r="M343" i="6"/>
  <c r="J343" i="6"/>
  <c r="I343" i="6"/>
  <c r="AA342" i="6"/>
  <c r="Z342" i="6"/>
  <c r="W342" i="6"/>
  <c r="N342" i="6"/>
  <c r="M342" i="6"/>
  <c r="J342" i="6"/>
  <c r="I342" i="6"/>
  <c r="AA341" i="6"/>
  <c r="Z341" i="6"/>
  <c r="W341" i="6"/>
  <c r="N341" i="6"/>
  <c r="M341" i="6"/>
  <c r="J341" i="6"/>
  <c r="I341" i="6"/>
  <c r="AA340" i="6"/>
  <c r="Z340" i="6"/>
  <c r="W340" i="6"/>
  <c r="N340" i="6"/>
  <c r="M340" i="6"/>
  <c r="J340" i="6"/>
  <c r="I340" i="6"/>
  <c r="AA339" i="6"/>
  <c r="Z339" i="6"/>
  <c r="W339" i="6"/>
  <c r="N339" i="6"/>
  <c r="M339" i="6"/>
  <c r="J339" i="6"/>
  <c r="I339" i="6"/>
  <c r="AA338" i="6"/>
  <c r="Z338" i="6"/>
  <c r="W338" i="6"/>
  <c r="N338" i="6"/>
  <c r="M338" i="6"/>
  <c r="J338" i="6"/>
  <c r="I338" i="6"/>
  <c r="AA337" i="6"/>
  <c r="Z337" i="6"/>
  <c r="W337" i="6"/>
  <c r="N337" i="6"/>
  <c r="M337" i="6"/>
  <c r="J337" i="6"/>
  <c r="I337" i="6"/>
  <c r="AA336" i="6"/>
  <c r="Z336" i="6"/>
  <c r="W336" i="6"/>
  <c r="N336" i="6"/>
  <c r="M336" i="6"/>
  <c r="J336" i="6"/>
  <c r="I336" i="6"/>
  <c r="AA335" i="6"/>
  <c r="Z335" i="6"/>
  <c r="W335" i="6"/>
  <c r="N335" i="6"/>
  <c r="M335" i="6"/>
  <c r="J335" i="6"/>
  <c r="I335" i="6"/>
  <c r="AA334" i="6"/>
  <c r="Z334" i="6"/>
  <c r="W334" i="6"/>
  <c r="N334" i="6"/>
  <c r="M334" i="6"/>
  <c r="J334" i="6"/>
  <c r="I334" i="6"/>
  <c r="AA333" i="6"/>
  <c r="Z333" i="6"/>
  <c r="W333" i="6"/>
  <c r="N333" i="6"/>
  <c r="M333" i="6"/>
  <c r="J333" i="6"/>
  <c r="I333" i="6"/>
  <c r="AA332" i="6"/>
  <c r="Z332" i="6"/>
  <c r="W332" i="6"/>
  <c r="N332" i="6"/>
  <c r="M332" i="6"/>
  <c r="J332" i="6"/>
  <c r="I332" i="6"/>
  <c r="AA331" i="6"/>
  <c r="Z331" i="6"/>
  <c r="W331" i="6"/>
  <c r="N331" i="6"/>
  <c r="M331" i="6"/>
  <c r="J331" i="6"/>
  <c r="I331" i="6"/>
  <c r="AA330" i="6"/>
  <c r="Z330" i="6"/>
  <c r="W330" i="6"/>
  <c r="N330" i="6"/>
  <c r="M330" i="6"/>
  <c r="J330" i="6"/>
  <c r="I330" i="6"/>
  <c r="AA329" i="6"/>
  <c r="Z329" i="6"/>
  <c r="W329" i="6"/>
  <c r="N329" i="6"/>
  <c r="M329" i="6"/>
  <c r="J329" i="6"/>
  <c r="I329" i="6"/>
  <c r="AA328" i="6"/>
  <c r="Z328" i="6"/>
  <c r="W328" i="6"/>
  <c r="N328" i="6"/>
  <c r="M328" i="6"/>
  <c r="J328" i="6"/>
  <c r="I328" i="6"/>
  <c r="AA327" i="6"/>
  <c r="Z327" i="6"/>
  <c r="W327" i="6"/>
  <c r="N327" i="6"/>
  <c r="M327" i="6"/>
  <c r="J327" i="6"/>
  <c r="I327" i="6"/>
  <c r="AA326" i="6"/>
  <c r="Z326" i="6"/>
  <c r="W326" i="6"/>
  <c r="N326" i="6"/>
  <c r="M326" i="6"/>
  <c r="J326" i="6"/>
  <c r="I326" i="6"/>
  <c r="AA325" i="6"/>
  <c r="Z325" i="6"/>
  <c r="W325" i="6"/>
  <c r="N325" i="6"/>
  <c r="M325" i="6"/>
  <c r="J325" i="6"/>
  <c r="I325" i="6"/>
  <c r="AA324" i="6"/>
  <c r="Z324" i="6"/>
  <c r="W324" i="6"/>
  <c r="N324" i="6"/>
  <c r="M324" i="6"/>
  <c r="J324" i="6"/>
  <c r="I324" i="6"/>
  <c r="AA323" i="6"/>
  <c r="Z323" i="6"/>
  <c r="W323" i="6"/>
  <c r="N323" i="6"/>
  <c r="M323" i="6"/>
  <c r="J323" i="6"/>
  <c r="I323" i="6"/>
  <c r="AA322" i="6"/>
  <c r="Z322" i="6"/>
  <c r="W322" i="6"/>
  <c r="N322" i="6"/>
  <c r="M322" i="6"/>
  <c r="J322" i="6"/>
  <c r="I322" i="6"/>
  <c r="AA321" i="6"/>
  <c r="Z321" i="6"/>
  <c r="W321" i="6"/>
  <c r="N321" i="6"/>
  <c r="M321" i="6"/>
  <c r="J321" i="6"/>
  <c r="I321" i="6"/>
  <c r="AA320" i="6"/>
  <c r="Z320" i="6"/>
  <c r="W320" i="6"/>
  <c r="N320" i="6"/>
  <c r="M320" i="6"/>
  <c r="J320" i="6"/>
  <c r="I320" i="6"/>
  <c r="AA319" i="6"/>
  <c r="Z319" i="6"/>
  <c r="W319" i="6"/>
  <c r="N319" i="6"/>
  <c r="M319" i="6"/>
  <c r="J319" i="6"/>
  <c r="I319" i="6"/>
  <c r="AA318" i="6"/>
  <c r="Z318" i="6"/>
  <c r="W318" i="6"/>
  <c r="N318" i="6"/>
  <c r="M318" i="6"/>
  <c r="J318" i="6"/>
  <c r="I318" i="6"/>
  <c r="AA317" i="6"/>
  <c r="Z317" i="6"/>
  <c r="W317" i="6"/>
  <c r="N317" i="6"/>
  <c r="M317" i="6"/>
  <c r="J317" i="6"/>
  <c r="I317" i="6"/>
  <c r="AA316" i="6"/>
  <c r="Z316" i="6"/>
  <c r="W316" i="6"/>
  <c r="N316" i="6"/>
  <c r="M316" i="6"/>
  <c r="J316" i="6"/>
  <c r="I316" i="6"/>
  <c r="AA315" i="6"/>
  <c r="Z315" i="6"/>
  <c r="W315" i="6"/>
  <c r="N315" i="6"/>
  <c r="M315" i="6"/>
  <c r="J315" i="6"/>
  <c r="I315" i="6"/>
  <c r="AA314" i="6"/>
  <c r="Z314" i="6"/>
  <c r="W314" i="6"/>
  <c r="N314" i="6"/>
  <c r="M314" i="6"/>
  <c r="J314" i="6"/>
  <c r="I314" i="6"/>
  <c r="AA313" i="6"/>
  <c r="Z313" i="6"/>
  <c r="W313" i="6"/>
  <c r="N313" i="6"/>
  <c r="M313" i="6"/>
  <c r="J313" i="6"/>
  <c r="I313" i="6"/>
  <c r="AA312" i="6"/>
  <c r="Z312" i="6"/>
  <c r="W312" i="6"/>
  <c r="N312" i="6"/>
  <c r="M312" i="6"/>
  <c r="J312" i="6"/>
  <c r="I312" i="6"/>
  <c r="AA311" i="6"/>
  <c r="Z311" i="6"/>
  <c r="W311" i="6"/>
  <c r="N311" i="6"/>
  <c r="M311" i="6"/>
  <c r="J311" i="6"/>
  <c r="I311" i="6"/>
  <c r="AA310" i="6"/>
  <c r="Z310" i="6"/>
  <c r="W310" i="6"/>
  <c r="N310" i="6"/>
  <c r="M310" i="6"/>
  <c r="J310" i="6"/>
  <c r="I310" i="6"/>
  <c r="AA309" i="6"/>
  <c r="Z309" i="6"/>
  <c r="W309" i="6"/>
  <c r="N309" i="6"/>
  <c r="M309" i="6"/>
  <c r="J309" i="6"/>
  <c r="I309" i="6"/>
  <c r="AA308" i="6"/>
  <c r="Z308" i="6"/>
  <c r="W308" i="6"/>
  <c r="N308" i="6"/>
  <c r="M308" i="6"/>
  <c r="J308" i="6"/>
  <c r="I308" i="6"/>
  <c r="AA307" i="6"/>
  <c r="Z307" i="6"/>
  <c r="W307" i="6"/>
  <c r="N307" i="6"/>
  <c r="M307" i="6"/>
  <c r="J307" i="6"/>
  <c r="I307" i="6"/>
  <c r="AA306" i="6"/>
  <c r="Z306" i="6"/>
  <c r="W306" i="6"/>
  <c r="N306" i="6"/>
  <c r="M306" i="6"/>
  <c r="J306" i="6"/>
  <c r="I306" i="6"/>
  <c r="AA305" i="6"/>
  <c r="Z305" i="6"/>
  <c r="W305" i="6"/>
  <c r="N305" i="6"/>
  <c r="M305" i="6"/>
  <c r="J305" i="6"/>
  <c r="I305" i="6"/>
  <c r="AA304" i="6"/>
  <c r="Z304" i="6"/>
  <c r="W304" i="6"/>
  <c r="N304" i="6"/>
  <c r="M304" i="6"/>
  <c r="J304" i="6"/>
  <c r="I304" i="6"/>
  <c r="AA303" i="6"/>
  <c r="Z303" i="6"/>
  <c r="W303" i="6"/>
  <c r="N303" i="6"/>
  <c r="M303" i="6"/>
  <c r="J303" i="6"/>
  <c r="I303" i="6"/>
  <c r="AA302" i="6"/>
  <c r="Z302" i="6"/>
  <c r="W302" i="6"/>
  <c r="N302" i="6"/>
  <c r="M302" i="6"/>
  <c r="J302" i="6"/>
  <c r="I302" i="6"/>
  <c r="AA301" i="6"/>
  <c r="Z301" i="6"/>
  <c r="W301" i="6"/>
  <c r="N301" i="6"/>
  <c r="M301" i="6"/>
  <c r="J301" i="6"/>
  <c r="I301" i="6"/>
  <c r="AA300" i="6"/>
  <c r="Z300" i="6"/>
  <c r="W300" i="6"/>
  <c r="N300" i="6"/>
  <c r="M300" i="6"/>
  <c r="J300" i="6"/>
  <c r="I300" i="6"/>
  <c r="AA299" i="6"/>
  <c r="Z299" i="6"/>
  <c r="W299" i="6"/>
  <c r="N299" i="6"/>
  <c r="M299" i="6"/>
  <c r="J299" i="6"/>
  <c r="I299" i="6"/>
  <c r="AA298" i="6"/>
  <c r="Z298" i="6"/>
  <c r="W298" i="6"/>
  <c r="N298" i="6"/>
  <c r="M298" i="6"/>
  <c r="J298" i="6"/>
  <c r="I298" i="6"/>
  <c r="AA297" i="6"/>
  <c r="Z297" i="6"/>
  <c r="W297" i="6"/>
  <c r="N297" i="6"/>
  <c r="M297" i="6"/>
  <c r="J297" i="6"/>
  <c r="I297" i="6"/>
  <c r="AA296" i="6"/>
  <c r="Z296" i="6"/>
  <c r="W296" i="6"/>
  <c r="N296" i="6"/>
  <c r="M296" i="6"/>
  <c r="J296" i="6"/>
  <c r="I296" i="6"/>
  <c r="AA295" i="6"/>
  <c r="Z295" i="6"/>
  <c r="W295" i="6"/>
  <c r="N295" i="6"/>
  <c r="M295" i="6"/>
  <c r="J295" i="6"/>
  <c r="I295" i="6"/>
  <c r="AA294" i="6"/>
  <c r="Z294" i="6"/>
  <c r="W294" i="6"/>
  <c r="N294" i="6"/>
  <c r="M294" i="6"/>
  <c r="J294" i="6"/>
  <c r="I294" i="6"/>
  <c r="AA293" i="6"/>
  <c r="Z293" i="6"/>
  <c r="W293" i="6"/>
  <c r="N293" i="6"/>
  <c r="M293" i="6"/>
  <c r="J293" i="6"/>
  <c r="I293" i="6"/>
  <c r="AA292" i="6"/>
  <c r="Z292" i="6"/>
  <c r="W292" i="6"/>
  <c r="N292" i="6"/>
  <c r="M292" i="6"/>
  <c r="J292" i="6"/>
  <c r="I292" i="6"/>
  <c r="AA291" i="6"/>
  <c r="Z291" i="6"/>
  <c r="W291" i="6"/>
  <c r="N291" i="6"/>
  <c r="M291" i="6"/>
  <c r="J291" i="6"/>
  <c r="I291" i="6"/>
  <c r="AA290" i="6"/>
  <c r="Z290" i="6"/>
  <c r="W290" i="6"/>
  <c r="N290" i="6"/>
  <c r="M290" i="6"/>
  <c r="J290" i="6"/>
  <c r="I290" i="6"/>
  <c r="AA289" i="6"/>
  <c r="Z289" i="6"/>
  <c r="W289" i="6"/>
  <c r="N289" i="6"/>
  <c r="M289" i="6"/>
  <c r="J289" i="6"/>
  <c r="I289" i="6"/>
  <c r="AA288" i="6"/>
  <c r="Z288" i="6"/>
  <c r="W288" i="6"/>
  <c r="N288" i="6"/>
  <c r="M288" i="6"/>
  <c r="J288" i="6"/>
  <c r="I288" i="6"/>
  <c r="AA287" i="6"/>
  <c r="Z287" i="6"/>
  <c r="W287" i="6"/>
  <c r="N287" i="6"/>
  <c r="M287" i="6"/>
  <c r="J287" i="6"/>
  <c r="I287" i="6"/>
  <c r="AA286" i="6"/>
  <c r="Z286" i="6"/>
  <c r="W286" i="6"/>
  <c r="N286" i="6"/>
  <c r="M286" i="6"/>
  <c r="J286" i="6"/>
  <c r="I286" i="6"/>
  <c r="AA285" i="6"/>
  <c r="Z285" i="6"/>
  <c r="W285" i="6"/>
  <c r="N285" i="6"/>
  <c r="M285" i="6"/>
  <c r="J285" i="6"/>
  <c r="I285" i="6"/>
  <c r="AA284" i="6"/>
  <c r="Z284" i="6"/>
  <c r="W284" i="6"/>
  <c r="N284" i="6"/>
  <c r="M284" i="6"/>
  <c r="J284" i="6"/>
  <c r="I284" i="6"/>
  <c r="AA283" i="6"/>
  <c r="Z283" i="6"/>
  <c r="W283" i="6"/>
  <c r="N283" i="6"/>
  <c r="M283" i="6"/>
  <c r="J283" i="6"/>
  <c r="I283" i="6"/>
  <c r="AA282" i="6"/>
  <c r="Z282" i="6"/>
  <c r="W282" i="6"/>
  <c r="N282" i="6"/>
  <c r="M282" i="6"/>
  <c r="J282" i="6"/>
  <c r="I282" i="6"/>
  <c r="AA281" i="6"/>
  <c r="Z281" i="6"/>
  <c r="W281" i="6"/>
  <c r="N281" i="6"/>
  <c r="M281" i="6"/>
  <c r="J281" i="6"/>
  <c r="I281" i="6"/>
  <c r="AA280" i="6"/>
  <c r="Z280" i="6"/>
  <c r="W280" i="6"/>
  <c r="N280" i="6"/>
  <c r="M280" i="6"/>
  <c r="J280" i="6"/>
  <c r="I280" i="6"/>
  <c r="AA279" i="6"/>
  <c r="Z279" i="6"/>
  <c r="W279" i="6"/>
  <c r="N279" i="6"/>
  <c r="M279" i="6"/>
  <c r="J279" i="6"/>
  <c r="I279" i="6"/>
  <c r="AA278" i="6"/>
  <c r="Z278" i="6"/>
  <c r="W278" i="6"/>
  <c r="N278" i="6"/>
  <c r="M278" i="6"/>
  <c r="J278" i="6"/>
  <c r="I278" i="6"/>
  <c r="AA277" i="6"/>
  <c r="Z277" i="6"/>
  <c r="W277" i="6"/>
  <c r="N277" i="6"/>
  <c r="M277" i="6"/>
  <c r="J277" i="6"/>
  <c r="I277" i="6"/>
  <c r="AA276" i="6"/>
  <c r="Z276" i="6"/>
  <c r="W276" i="6"/>
  <c r="N276" i="6"/>
  <c r="M276" i="6"/>
  <c r="J276" i="6"/>
  <c r="I276" i="6"/>
  <c r="AA275" i="6"/>
  <c r="Z275" i="6"/>
  <c r="W275" i="6"/>
  <c r="N275" i="6"/>
  <c r="M275" i="6"/>
  <c r="J275" i="6"/>
  <c r="I275" i="6"/>
  <c r="AA274" i="6"/>
  <c r="Z274" i="6"/>
  <c r="W274" i="6"/>
  <c r="N274" i="6"/>
  <c r="M274" i="6"/>
  <c r="J274" i="6"/>
  <c r="I274" i="6"/>
  <c r="AA273" i="6"/>
  <c r="Z273" i="6"/>
  <c r="W273" i="6"/>
  <c r="N273" i="6"/>
  <c r="M273" i="6"/>
  <c r="J273" i="6"/>
  <c r="I273" i="6"/>
  <c r="AA272" i="6"/>
  <c r="Z272" i="6"/>
  <c r="W272" i="6"/>
  <c r="N272" i="6"/>
  <c r="M272" i="6"/>
  <c r="J272" i="6"/>
  <c r="I272" i="6"/>
  <c r="AA271" i="6"/>
  <c r="Z271" i="6"/>
  <c r="W271" i="6"/>
  <c r="N271" i="6"/>
  <c r="M271" i="6"/>
  <c r="J271" i="6"/>
  <c r="I271" i="6"/>
  <c r="AA270" i="6"/>
  <c r="Z270" i="6"/>
  <c r="W270" i="6"/>
  <c r="N270" i="6"/>
  <c r="M270" i="6"/>
  <c r="J270" i="6"/>
  <c r="I270" i="6"/>
  <c r="AA269" i="6"/>
  <c r="Z269" i="6"/>
  <c r="W269" i="6"/>
  <c r="N269" i="6"/>
  <c r="M269" i="6"/>
  <c r="J269" i="6"/>
  <c r="I269" i="6"/>
  <c r="AA268" i="6"/>
  <c r="Z268" i="6"/>
  <c r="W268" i="6"/>
  <c r="N268" i="6"/>
  <c r="M268" i="6"/>
  <c r="J268" i="6"/>
  <c r="I268" i="6"/>
  <c r="AA267" i="6"/>
  <c r="Z267" i="6"/>
  <c r="W267" i="6"/>
  <c r="N267" i="6"/>
  <c r="M267" i="6"/>
  <c r="J267" i="6"/>
  <c r="I267" i="6"/>
  <c r="AA266" i="6"/>
  <c r="Z266" i="6"/>
  <c r="W266" i="6"/>
  <c r="N266" i="6"/>
  <c r="M266" i="6"/>
  <c r="J266" i="6"/>
  <c r="I266" i="6"/>
  <c r="AA265" i="6"/>
  <c r="Z265" i="6"/>
  <c r="W265" i="6"/>
  <c r="N265" i="6"/>
  <c r="M265" i="6"/>
  <c r="J265" i="6"/>
  <c r="I265" i="6"/>
  <c r="AA264" i="6"/>
  <c r="Z264" i="6"/>
  <c r="W264" i="6"/>
  <c r="N264" i="6"/>
  <c r="M264" i="6"/>
  <c r="J264" i="6"/>
  <c r="I264" i="6"/>
  <c r="AA263" i="6"/>
  <c r="Z263" i="6"/>
  <c r="W263" i="6"/>
  <c r="N263" i="6"/>
  <c r="M263" i="6"/>
  <c r="J263" i="6"/>
  <c r="I263" i="6"/>
  <c r="AA262" i="6"/>
  <c r="Z262" i="6"/>
  <c r="W262" i="6"/>
  <c r="N262" i="6"/>
  <c r="M262" i="6"/>
  <c r="J262" i="6"/>
  <c r="I262" i="6"/>
  <c r="AA261" i="6"/>
  <c r="Z261" i="6"/>
  <c r="W261" i="6"/>
  <c r="N261" i="6"/>
  <c r="M261" i="6"/>
  <c r="J261" i="6"/>
  <c r="I261" i="6"/>
  <c r="AA260" i="6"/>
  <c r="Z260" i="6"/>
  <c r="W260" i="6"/>
  <c r="N260" i="6"/>
  <c r="M260" i="6"/>
  <c r="J260" i="6"/>
  <c r="I260" i="6"/>
  <c r="AA259" i="6"/>
  <c r="Z259" i="6"/>
  <c r="W259" i="6"/>
  <c r="N259" i="6"/>
  <c r="M259" i="6"/>
  <c r="J259" i="6"/>
  <c r="I259" i="6"/>
  <c r="AA258" i="6"/>
  <c r="Z258" i="6"/>
  <c r="W258" i="6"/>
  <c r="N258" i="6"/>
  <c r="M258" i="6"/>
  <c r="J258" i="6"/>
  <c r="I258" i="6"/>
  <c r="AA257" i="6"/>
  <c r="Z257" i="6"/>
  <c r="W257" i="6"/>
  <c r="N257" i="6"/>
  <c r="M257" i="6"/>
  <c r="J257" i="6"/>
  <c r="I257" i="6"/>
  <c r="AA256" i="6"/>
  <c r="Z256" i="6"/>
  <c r="W256" i="6"/>
  <c r="N256" i="6"/>
  <c r="M256" i="6"/>
  <c r="J256" i="6"/>
  <c r="I256" i="6"/>
  <c r="AA255" i="6"/>
  <c r="Z255" i="6"/>
  <c r="W255" i="6"/>
  <c r="N255" i="6"/>
  <c r="M255" i="6"/>
  <c r="J255" i="6"/>
  <c r="I255" i="6"/>
  <c r="AA254" i="6"/>
  <c r="Z254" i="6"/>
  <c r="W254" i="6"/>
  <c r="N254" i="6"/>
  <c r="M254" i="6"/>
  <c r="J254" i="6"/>
  <c r="I254" i="6"/>
  <c r="AA253" i="6"/>
  <c r="Z253" i="6"/>
  <c r="W253" i="6"/>
  <c r="N253" i="6"/>
  <c r="M253" i="6"/>
  <c r="J253" i="6"/>
  <c r="I253" i="6"/>
  <c r="AA252" i="6"/>
  <c r="Z252" i="6"/>
  <c r="W252" i="6"/>
  <c r="N252" i="6"/>
  <c r="M252" i="6"/>
  <c r="J252" i="6"/>
  <c r="I252" i="6"/>
  <c r="AA251" i="6"/>
  <c r="Z251" i="6"/>
  <c r="W251" i="6"/>
  <c r="N251" i="6"/>
  <c r="M251" i="6"/>
  <c r="J251" i="6"/>
  <c r="I251" i="6"/>
  <c r="AA250" i="6"/>
  <c r="Z250" i="6"/>
  <c r="W250" i="6"/>
  <c r="N250" i="6"/>
  <c r="M250" i="6"/>
  <c r="J250" i="6"/>
  <c r="I250" i="6"/>
  <c r="AA249" i="6"/>
  <c r="Z249" i="6"/>
  <c r="W249" i="6"/>
  <c r="N249" i="6"/>
  <c r="M249" i="6"/>
  <c r="J249" i="6"/>
  <c r="I249" i="6"/>
  <c r="AA248" i="6"/>
  <c r="Z248" i="6"/>
  <c r="W248" i="6"/>
  <c r="N248" i="6"/>
  <c r="M248" i="6"/>
  <c r="J248" i="6"/>
  <c r="I248" i="6"/>
  <c r="AA247" i="6"/>
  <c r="Z247" i="6"/>
  <c r="W247" i="6"/>
  <c r="N247" i="6"/>
  <c r="M247" i="6"/>
  <c r="J247" i="6"/>
  <c r="I247" i="6"/>
  <c r="AA246" i="6"/>
  <c r="Z246" i="6"/>
  <c r="W246" i="6"/>
  <c r="N246" i="6"/>
  <c r="M246" i="6"/>
  <c r="J246" i="6"/>
  <c r="I246" i="6"/>
  <c r="AA245" i="6"/>
  <c r="Z245" i="6"/>
  <c r="W245" i="6"/>
  <c r="N245" i="6"/>
  <c r="M245" i="6"/>
  <c r="J245" i="6"/>
  <c r="I245" i="6"/>
  <c r="AA244" i="6"/>
  <c r="Z244" i="6"/>
  <c r="W244" i="6"/>
  <c r="N244" i="6"/>
  <c r="M244" i="6"/>
  <c r="J244" i="6"/>
  <c r="I244" i="6"/>
  <c r="D244" i="6"/>
  <c r="AA243" i="6"/>
  <c r="Z243" i="6"/>
  <c r="W243" i="6"/>
  <c r="N243" i="6"/>
  <c r="M243" i="6"/>
  <c r="J243" i="6"/>
  <c r="I243" i="6"/>
  <c r="AA242" i="6"/>
  <c r="Z242" i="6"/>
  <c r="W242" i="6"/>
  <c r="N242" i="6"/>
  <c r="M242" i="6"/>
  <c r="J242" i="6"/>
  <c r="I242" i="6"/>
  <c r="D242" i="6"/>
  <c r="AA241" i="6"/>
  <c r="Z241" i="6"/>
  <c r="W241" i="6"/>
  <c r="N241" i="6"/>
  <c r="M241" i="6"/>
  <c r="J241" i="6"/>
  <c r="I241" i="6"/>
  <c r="AA240" i="6"/>
  <c r="Z240" i="6"/>
  <c r="W240" i="6"/>
  <c r="N240" i="6"/>
  <c r="M240" i="6"/>
  <c r="J240" i="6"/>
  <c r="I240" i="6"/>
  <c r="AA239" i="6"/>
  <c r="Z239" i="6"/>
  <c r="W239" i="6"/>
  <c r="N239" i="6"/>
  <c r="M239" i="6"/>
  <c r="J239" i="6"/>
  <c r="I239" i="6"/>
  <c r="AA238" i="6"/>
  <c r="Z238" i="6"/>
  <c r="W238" i="6"/>
  <c r="N238" i="6"/>
  <c r="M238" i="6"/>
  <c r="J238" i="6"/>
  <c r="I238" i="6"/>
  <c r="AA237" i="6"/>
  <c r="Z237" i="6"/>
  <c r="W237" i="6"/>
  <c r="N237" i="6"/>
  <c r="M237" i="6"/>
  <c r="J237" i="6"/>
  <c r="I237" i="6"/>
  <c r="AA236" i="6"/>
  <c r="Z236" i="6"/>
  <c r="W236" i="6"/>
  <c r="N236" i="6"/>
  <c r="M236" i="6"/>
  <c r="J236" i="6"/>
  <c r="I236" i="6"/>
  <c r="AA235" i="6"/>
  <c r="Z235" i="6"/>
  <c r="W235" i="6"/>
  <c r="N235" i="6"/>
  <c r="M235" i="6"/>
  <c r="J235" i="6"/>
  <c r="I235" i="6"/>
  <c r="AA234" i="6"/>
  <c r="Z234" i="6"/>
  <c r="W234" i="6"/>
  <c r="N234" i="6"/>
  <c r="M234" i="6"/>
  <c r="J234" i="6"/>
  <c r="I234" i="6"/>
  <c r="AA233" i="6"/>
  <c r="Z233" i="6"/>
  <c r="W233" i="6"/>
  <c r="N233" i="6"/>
  <c r="M233" i="6"/>
  <c r="J233" i="6"/>
  <c r="I233" i="6"/>
  <c r="AA232" i="6"/>
  <c r="Z232" i="6"/>
  <c r="W232" i="6"/>
  <c r="N232" i="6"/>
  <c r="M232" i="6"/>
  <c r="J232" i="6"/>
  <c r="I232" i="6"/>
  <c r="AA231" i="6"/>
  <c r="Z231" i="6"/>
  <c r="W231" i="6"/>
  <c r="N231" i="6"/>
  <c r="M231" i="6"/>
  <c r="J231" i="6"/>
  <c r="I231" i="6"/>
  <c r="AA230" i="6"/>
  <c r="Z230" i="6"/>
  <c r="W230" i="6"/>
  <c r="N230" i="6"/>
  <c r="M230" i="6"/>
  <c r="J230" i="6"/>
  <c r="I230" i="6"/>
  <c r="AA229" i="6"/>
  <c r="Z229" i="6"/>
  <c r="W229" i="6"/>
  <c r="N229" i="6"/>
  <c r="M229" i="6"/>
  <c r="J229" i="6"/>
  <c r="I229" i="6"/>
  <c r="AA228" i="6"/>
  <c r="Z228" i="6"/>
  <c r="W228" i="6"/>
  <c r="N228" i="6"/>
  <c r="M228" i="6"/>
  <c r="J228" i="6"/>
  <c r="I228" i="6"/>
  <c r="AA227" i="6"/>
  <c r="Z227" i="6"/>
  <c r="W227" i="6"/>
  <c r="N227" i="6"/>
  <c r="M227" i="6"/>
  <c r="J227" i="6"/>
  <c r="I227" i="6"/>
  <c r="AA226" i="6"/>
  <c r="Z226" i="6"/>
  <c r="W226" i="6"/>
  <c r="N226" i="6"/>
  <c r="M226" i="6"/>
  <c r="J226" i="6"/>
  <c r="I226" i="6"/>
  <c r="AA225" i="6"/>
  <c r="Z225" i="6"/>
  <c r="W225" i="6"/>
  <c r="N225" i="6"/>
  <c r="M225" i="6"/>
  <c r="J225" i="6"/>
  <c r="I225" i="6"/>
  <c r="AA224" i="6"/>
  <c r="Z224" i="6"/>
  <c r="W224" i="6"/>
  <c r="N224" i="6"/>
  <c r="M224" i="6"/>
  <c r="J224" i="6"/>
  <c r="I224" i="6"/>
  <c r="AA223" i="6"/>
  <c r="Z223" i="6"/>
  <c r="W223" i="6"/>
  <c r="N223" i="6"/>
  <c r="M223" i="6"/>
  <c r="J223" i="6"/>
  <c r="I223" i="6"/>
  <c r="AA222" i="6"/>
  <c r="Z222" i="6"/>
  <c r="W222" i="6"/>
  <c r="N222" i="6"/>
  <c r="M222" i="6"/>
  <c r="J222" i="6"/>
  <c r="I222" i="6"/>
  <c r="AA221" i="6"/>
  <c r="Z221" i="6"/>
  <c r="W221" i="6"/>
  <c r="N221" i="6"/>
  <c r="M221" i="6"/>
  <c r="J221" i="6"/>
  <c r="I221" i="6"/>
  <c r="AA220" i="6"/>
  <c r="Z220" i="6"/>
  <c r="W220" i="6"/>
  <c r="N220" i="6"/>
  <c r="M220" i="6"/>
  <c r="J220" i="6"/>
  <c r="I220" i="6"/>
  <c r="AA219" i="6"/>
  <c r="Z219" i="6"/>
  <c r="W219" i="6"/>
  <c r="N219" i="6"/>
  <c r="M219" i="6"/>
  <c r="J219" i="6"/>
  <c r="I219" i="6"/>
  <c r="AA218" i="6"/>
  <c r="Z218" i="6"/>
  <c r="W218" i="6"/>
  <c r="N218" i="6"/>
  <c r="M218" i="6"/>
  <c r="J218" i="6"/>
  <c r="I218" i="6"/>
  <c r="AA217" i="6"/>
  <c r="Z217" i="6"/>
  <c r="W217" i="6"/>
  <c r="N217" i="6"/>
  <c r="M217" i="6"/>
  <c r="J217" i="6"/>
  <c r="I217" i="6"/>
  <c r="AA216" i="6"/>
  <c r="Z216" i="6"/>
  <c r="W216" i="6"/>
  <c r="N216" i="6"/>
  <c r="M216" i="6"/>
  <c r="J216" i="6"/>
  <c r="I216" i="6"/>
  <c r="AA215" i="6"/>
  <c r="Z215" i="6"/>
  <c r="W215" i="6"/>
  <c r="N215" i="6"/>
  <c r="M215" i="6"/>
  <c r="J215" i="6"/>
  <c r="I215" i="6"/>
  <c r="AA214" i="6"/>
  <c r="Z214" i="6"/>
  <c r="W214" i="6"/>
  <c r="N214" i="6"/>
  <c r="M214" i="6"/>
  <c r="J214" i="6"/>
  <c r="I214" i="6"/>
  <c r="AA213" i="6"/>
  <c r="Z213" i="6"/>
  <c r="W213" i="6"/>
  <c r="N213" i="6"/>
  <c r="M213" i="6"/>
  <c r="J213" i="6"/>
  <c r="I213" i="6"/>
  <c r="AA212" i="6"/>
  <c r="Z212" i="6"/>
  <c r="W212" i="6"/>
  <c r="N212" i="6"/>
  <c r="M212" i="6"/>
  <c r="J212" i="6"/>
  <c r="I212" i="6"/>
  <c r="AA211" i="6"/>
  <c r="Z211" i="6"/>
  <c r="W211" i="6"/>
  <c r="N211" i="6"/>
  <c r="M211" i="6"/>
  <c r="J211" i="6"/>
  <c r="I211" i="6"/>
  <c r="AA210" i="6"/>
  <c r="Z210" i="6"/>
  <c r="W210" i="6"/>
  <c r="N210" i="6"/>
  <c r="M210" i="6"/>
  <c r="J210" i="6"/>
  <c r="I210" i="6"/>
  <c r="AA209" i="6"/>
  <c r="Z209" i="6"/>
  <c r="W209" i="6"/>
  <c r="N209" i="6"/>
  <c r="M209" i="6"/>
  <c r="J209" i="6"/>
  <c r="I209" i="6"/>
  <c r="AA208" i="6"/>
  <c r="Z208" i="6"/>
  <c r="W208" i="6"/>
  <c r="N208" i="6"/>
  <c r="M208" i="6"/>
  <c r="J208" i="6"/>
  <c r="I208" i="6"/>
  <c r="AA207" i="6"/>
  <c r="Z207" i="6"/>
  <c r="W207" i="6"/>
  <c r="N207" i="6"/>
  <c r="M207" i="6"/>
  <c r="J207" i="6"/>
  <c r="I207" i="6"/>
  <c r="AA206" i="6"/>
  <c r="Z206" i="6"/>
  <c r="W206" i="6"/>
  <c r="N206" i="6"/>
  <c r="M206" i="6"/>
  <c r="J206" i="6"/>
  <c r="I206" i="6"/>
  <c r="AA205" i="6"/>
  <c r="Z205" i="6"/>
  <c r="W205" i="6"/>
  <c r="N205" i="6"/>
  <c r="M205" i="6"/>
  <c r="J205" i="6"/>
  <c r="I205" i="6"/>
  <c r="AA204" i="6"/>
  <c r="Z204" i="6"/>
  <c r="W204" i="6"/>
  <c r="N204" i="6"/>
  <c r="M204" i="6"/>
  <c r="J204" i="6"/>
  <c r="I204" i="6"/>
  <c r="AA203" i="6"/>
  <c r="Z203" i="6"/>
  <c r="W203" i="6"/>
  <c r="N203" i="6"/>
  <c r="M203" i="6"/>
  <c r="J203" i="6"/>
  <c r="I203" i="6"/>
  <c r="AA202" i="6"/>
  <c r="Z202" i="6"/>
  <c r="W202" i="6"/>
  <c r="N202" i="6"/>
  <c r="M202" i="6"/>
  <c r="J202" i="6"/>
  <c r="I202" i="6"/>
  <c r="AA201" i="6"/>
  <c r="Z201" i="6"/>
  <c r="W201" i="6"/>
  <c r="N201" i="6"/>
  <c r="M201" i="6"/>
  <c r="J201" i="6"/>
  <c r="I201" i="6"/>
  <c r="AA200" i="6"/>
  <c r="Z200" i="6"/>
  <c r="W200" i="6"/>
  <c r="N200" i="6"/>
  <c r="M200" i="6"/>
  <c r="J200" i="6"/>
  <c r="I200" i="6"/>
  <c r="AA199" i="6"/>
  <c r="Z199" i="6"/>
  <c r="W199" i="6"/>
  <c r="N199" i="6"/>
  <c r="M199" i="6"/>
  <c r="J199" i="6"/>
  <c r="I199" i="6"/>
  <c r="AA198" i="6"/>
  <c r="Z198" i="6"/>
  <c r="W198" i="6"/>
  <c r="N198" i="6"/>
  <c r="M198" i="6"/>
  <c r="J198" i="6"/>
  <c r="I198" i="6"/>
  <c r="AA197" i="6"/>
  <c r="Z197" i="6"/>
  <c r="W197" i="6"/>
  <c r="N197" i="6"/>
  <c r="M197" i="6"/>
  <c r="J197" i="6"/>
  <c r="I197" i="6"/>
  <c r="AA196" i="6"/>
  <c r="Z196" i="6"/>
  <c r="W196" i="6"/>
  <c r="N196" i="6"/>
  <c r="M196" i="6"/>
  <c r="J196" i="6"/>
  <c r="I196" i="6"/>
  <c r="AA195" i="6"/>
  <c r="Z195" i="6"/>
  <c r="W195" i="6"/>
  <c r="N195" i="6"/>
  <c r="M195" i="6"/>
  <c r="J195" i="6"/>
  <c r="I195" i="6"/>
  <c r="AA194" i="6"/>
  <c r="Z194" i="6"/>
  <c r="W194" i="6"/>
  <c r="N194" i="6"/>
  <c r="M194" i="6"/>
  <c r="J194" i="6"/>
  <c r="I194" i="6"/>
  <c r="AA193" i="6"/>
  <c r="Z193" i="6"/>
  <c r="W193" i="6"/>
  <c r="N193" i="6"/>
  <c r="M193" i="6"/>
  <c r="J193" i="6"/>
  <c r="I193" i="6"/>
  <c r="AA192" i="6"/>
  <c r="Z192" i="6"/>
  <c r="W192" i="6"/>
  <c r="N192" i="6"/>
  <c r="M192" i="6"/>
  <c r="J192" i="6"/>
  <c r="I192" i="6"/>
  <c r="AA191" i="6"/>
  <c r="Z191" i="6"/>
  <c r="W191" i="6"/>
  <c r="N191" i="6"/>
  <c r="M191" i="6"/>
  <c r="J191" i="6"/>
  <c r="I191" i="6"/>
  <c r="AA190" i="6"/>
  <c r="Z190" i="6"/>
  <c r="W190" i="6"/>
  <c r="N190" i="6"/>
  <c r="M190" i="6"/>
  <c r="J190" i="6"/>
  <c r="I190" i="6"/>
  <c r="AA189" i="6"/>
  <c r="Z189" i="6"/>
  <c r="W189" i="6"/>
  <c r="N189" i="6"/>
  <c r="M189" i="6"/>
  <c r="J189" i="6"/>
  <c r="I189" i="6"/>
  <c r="AA188" i="6"/>
  <c r="Z188" i="6"/>
  <c r="W188" i="6"/>
  <c r="N188" i="6"/>
  <c r="M188" i="6"/>
  <c r="J188" i="6"/>
  <c r="I188" i="6"/>
  <c r="AA187" i="6"/>
  <c r="Z187" i="6"/>
  <c r="W187" i="6"/>
  <c r="N187" i="6"/>
  <c r="M187" i="6"/>
  <c r="J187" i="6"/>
  <c r="I187" i="6"/>
  <c r="AA186" i="6"/>
  <c r="Z186" i="6"/>
  <c r="W186" i="6"/>
  <c r="N186" i="6"/>
  <c r="M186" i="6"/>
  <c r="J186" i="6"/>
  <c r="I186" i="6"/>
  <c r="AA185" i="6"/>
  <c r="Z185" i="6"/>
  <c r="W185" i="6"/>
  <c r="N185" i="6"/>
  <c r="M185" i="6"/>
  <c r="J185" i="6"/>
  <c r="I185" i="6"/>
  <c r="AA184" i="6"/>
  <c r="Z184" i="6"/>
  <c r="W184" i="6"/>
  <c r="N184" i="6"/>
  <c r="M184" i="6"/>
  <c r="J184" i="6"/>
  <c r="I184" i="6"/>
  <c r="AA183" i="6"/>
  <c r="Z183" i="6"/>
  <c r="W183" i="6"/>
  <c r="N183" i="6"/>
  <c r="M183" i="6"/>
  <c r="J183" i="6"/>
  <c r="I183" i="6"/>
  <c r="AA182" i="6"/>
  <c r="Z182" i="6"/>
  <c r="W182" i="6"/>
  <c r="N182" i="6"/>
  <c r="M182" i="6"/>
  <c r="J182" i="6"/>
  <c r="I182" i="6"/>
  <c r="AA181" i="6"/>
  <c r="Z181" i="6"/>
  <c r="W181" i="6"/>
  <c r="N181" i="6"/>
  <c r="M181" i="6"/>
  <c r="J181" i="6"/>
  <c r="I181" i="6"/>
  <c r="AA180" i="6"/>
  <c r="Z180" i="6"/>
  <c r="W180" i="6"/>
  <c r="N180" i="6"/>
  <c r="M180" i="6"/>
  <c r="J180" i="6"/>
  <c r="I180" i="6"/>
  <c r="AA179" i="6"/>
  <c r="Z179" i="6"/>
  <c r="W179" i="6"/>
  <c r="N179" i="6"/>
  <c r="M179" i="6"/>
  <c r="J179" i="6"/>
  <c r="I179" i="6"/>
  <c r="AA178" i="6"/>
  <c r="Z178" i="6"/>
  <c r="W178" i="6"/>
  <c r="N178" i="6"/>
  <c r="M178" i="6"/>
  <c r="J178" i="6"/>
  <c r="I178" i="6"/>
  <c r="AA177" i="6"/>
  <c r="Z177" i="6"/>
  <c r="W177" i="6"/>
  <c r="N177" i="6"/>
  <c r="M177" i="6"/>
  <c r="J177" i="6"/>
  <c r="I177" i="6"/>
  <c r="AA176" i="6"/>
  <c r="Z176" i="6"/>
  <c r="W176" i="6"/>
  <c r="N176" i="6"/>
  <c r="M176" i="6"/>
  <c r="J176" i="6"/>
  <c r="I176" i="6"/>
  <c r="AA175" i="6"/>
  <c r="Z175" i="6"/>
  <c r="W175" i="6"/>
  <c r="N175" i="6"/>
  <c r="M175" i="6"/>
  <c r="J175" i="6"/>
  <c r="I175" i="6"/>
  <c r="AA174" i="6"/>
  <c r="Z174" i="6"/>
  <c r="W174" i="6"/>
  <c r="N174" i="6"/>
  <c r="M174" i="6"/>
  <c r="J174" i="6"/>
  <c r="I174" i="6"/>
  <c r="AA173" i="6"/>
  <c r="Z173" i="6"/>
  <c r="W173" i="6"/>
  <c r="N173" i="6"/>
  <c r="M173" i="6"/>
  <c r="J173" i="6"/>
  <c r="I173" i="6"/>
  <c r="AA172" i="6"/>
  <c r="Z172" i="6"/>
  <c r="W172" i="6"/>
  <c r="N172" i="6"/>
  <c r="M172" i="6"/>
  <c r="J172" i="6"/>
  <c r="I172" i="6"/>
  <c r="AA171" i="6"/>
  <c r="Z171" i="6"/>
  <c r="W171" i="6"/>
  <c r="N171" i="6"/>
  <c r="M171" i="6"/>
  <c r="J171" i="6"/>
  <c r="I171" i="6"/>
  <c r="AA170" i="6"/>
  <c r="Z170" i="6"/>
  <c r="W170" i="6"/>
  <c r="N170" i="6"/>
  <c r="M170" i="6"/>
  <c r="J170" i="6"/>
  <c r="I170" i="6"/>
  <c r="AA169" i="6"/>
  <c r="Z169" i="6"/>
  <c r="W169" i="6"/>
  <c r="N169" i="6"/>
  <c r="M169" i="6"/>
  <c r="J169" i="6"/>
  <c r="I169" i="6"/>
  <c r="AA168" i="6"/>
  <c r="Z168" i="6"/>
  <c r="W168" i="6"/>
  <c r="N168" i="6"/>
  <c r="M168" i="6"/>
  <c r="J168" i="6"/>
  <c r="I168" i="6"/>
  <c r="AA167" i="6"/>
  <c r="Z167" i="6"/>
  <c r="W167" i="6"/>
  <c r="N167" i="6"/>
  <c r="M167" i="6"/>
  <c r="J167" i="6"/>
  <c r="I167" i="6"/>
  <c r="AA166" i="6"/>
  <c r="Z166" i="6"/>
  <c r="W166" i="6"/>
  <c r="N166" i="6"/>
  <c r="M166" i="6"/>
  <c r="J166" i="6"/>
  <c r="I166" i="6"/>
  <c r="AA165" i="6"/>
  <c r="Z165" i="6"/>
  <c r="W165" i="6"/>
  <c r="N165" i="6"/>
  <c r="M165" i="6"/>
  <c r="J165" i="6"/>
  <c r="I165" i="6"/>
  <c r="AA164" i="6"/>
  <c r="Z164" i="6"/>
  <c r="W164" i="6"/>
  <c r="N164" i="6"/>
  <c r="M164" i="6"/>
  <c r="J164" i="6"/>
  <c r="I164" i="6"/>
  <c r="AA163" i="6"/>
  <c r="Z163" i="6"/>
  <c r="W163" i="6"/>
  <c r="N163" i="6"/>
  <c r="M163" i="6"/>
  <c r="J163" i="6"/>
  <c r="I163" i="6"/>
  <c r="AA162" i="6"/>
  <c r="Z162" i="6"/>
  <c r="W162" i="6"/>
  <c r="N162" i="6"/>
  <c r="M162" i="6"/>
  <c r="J162" i="6"/>
  <c r="I162" i="6"/>
  <c r="AA161" i="6"/>
  <c r="Z161" i="6"/>
  <c r="W161" i="6"/>
  <c r="N161" i="6"/>
  <c r="M161" i="6"/>
  <c r="J161" i="6"/>
  <c r="I161" i="6"/>
  <c r="AA160" i="6"/>
  <c r="Z160" i="6"/>
  <c r="W160" i="6"/>
  <c r="N160" i="6"/>
  <c r="M160" i="6"/>
  <c r="J160" i="6"/>
  <c r="I160" i="6"/>
  <c r="AA159" i="6"/>
  <c r="Z159" i="6"/>
  <c r="W159" i="6"/>
  <c r="N159" i="6"/>
  <c r="M159" i="6"/>
  <c r="J159" i="6"/>
  <c r="I159" i="6"/>
  <c r="AA158" i="6"/>
  <c r="Z158" i="6"/>
  <c r="W158" i="6"/>
  <c r="N158" i="6"/>
  <c r="M158" i="6"/>
  <c r="J158" i="6"/>
  <c r="I158" i="6"/>
  <c r="AA157" i="6"/>
  <c r="Z157" i="6"/>
  <c r="W157" i="6"/>
  <c r="N157" i="6"/>
  <c r="M157" i="6"/>
  <c r="J157" i="6"/>
  <c r="I157" i="6"/>
  <c r="AA156" i="6"/>
  <c r="Z156" i="6"/>
  <c r="W156" i="6"/>
  <c r="N156" i="6"/>
  <c r="M156" i="6"/>
  <c r="J156" i="6"/>
  <c r="I156" i="6"/>
  <c r="AA155" i="6"/>
  <c r="Z155" i="6"/>
  <c r="W155" i="6"/>
  <c r="N155" i="6"/>
  <c r="M155" i="6"/>
  <c r="J155" i="6"/>
  <c r="I155" i="6"/>
  <c r="AA154" i="6"/>
  <c r="Z154" i="6"/>
  <c r="W154" i="6"/>
  <c r="N154" i="6"/>
  <c r="M154" i="6"/>
  <c r="J154" i="6"/>
  <c r="I154" i="6"/>
  <c r="AA153" i="6"/>
  <c r="Z153" i="6"/>
  <c r="W153" i="6"/>
  <c r="N153" i="6"/>
  <c r="M153" i="6"/>
  <c r="J153" i="6"/>
  <c r="I153" i="6"/>
  <c r="AA152" i="6"/>
  <c r="Z152" i="6"/>
  <c r="W152" i="6"/>
  <c r="N152" i="6"/>
  <c r="M152" i="6"/>
  <c r="J152" i="6"/>
  <c r="I152" i="6"/>
  <c r="AA151" i="6"/>
  <c r="Z151" i="6"/>
  <c r="W151" i="6"/>
  <c r="N151" i="6"/>
  <c r="M151" i="6"/>
  <c r="J151" i="6"/>
  <c r="I151" i="6"/>
  <c r="AA150" i="6"/>
  <c r="Z150" i="6"/>
  <c r="W150" i="6"/>
  <c r="N150" i="6"/>
  <c r="M150" i="6"/>
  <c r="J150" i="6"/>
  <c r="I150" i="6"/>
  <c r="AA149" i="6"/>
  <c r="Z149" i="6"/>
  <c r="W149" i="6"/>
  <c r="N149" i="6"/>
  <c r="M149" i="6"/>
  <c r="J149" i="6"/>
  <c r="I149" i="6"/>
  <c r="AA148" i="6"/>
  <c r="Z148" i="6"/>
  <c r="W148" i="6"/>
  <c r="N148" i="6"/>
  <c r="M148" i="6"/>
  <c r="J148" i="6"/>
  <c r="I148" i="6"/>
  <c r="AA147" i="6"/>
  <c r="Z147" i="6"/>
  <c r="W147" i="6"/>
  <c r="N147" i="6"/>
  <c r="M147" i="6"/>
  <c r="J147" i="6"/>
  <c r="I147" i="6"/>
  <c r="AA146" i="6"/>
  <c r="Z146" i="6"/>
  <c r="W146" i="6"/>
  <c r="N146" i="6"/>
  <c r="M146" i="6"/>
  <c r="J146" i="6"/>
  <c r="I146" i="6"/>
  <c r="AA145" i="6"/>
  <c r="Z145" i="6"/>
  <c r="W145" i="6"/>
  <c r="N145" i="6"/>
  <c r="M145" i="6"/>
  <c r="J145" i="6"/>
  <c r="I145" i="6"/>
  <c r="AA144" i="6"/>
  <c r="Z144" i="6"/>
  <c r="W144" i="6"/>
  <c r="N144" i="6"/>
  <c r="M144" i="6"/>
  <c r="J144" i="6"/>
  <c r="I144" i="6"/>
  <c r="AA143" i="6"/>
  <c r="Z143" i="6"/>
  <c r="W143" i="6"/>
  <c r="N143" i="6"/>
  <c r="M143" i="6"/>
  <c r="J143" i="6"/>
  <c r="I143" i="6"/>
  <c r="AA142" i="6"/>
  <c r="Z142" i="6"/>
  <c r="W142" i="6"/>
  <c r="N142" i="6"/>
  <c r="M142" i="6"/>
  <c r="J142" i="6"/>
  <c r="I142" i="6"/>
  <c r="AA141" i="6"/>
  <c r="Z141" i="6"/>
  <c r="W141" i="6"/>
  <c r="N141" i="6"/>
  <c r="M141" i="6"/>
  <c r="J141" i="6"/>
  <c r="I141" i="6"/>
  <c r="AA140" i="6"/>
  <c r="Z140" i="6"/>
  <c r="W140" i="6"/>
  <c r="N140" i="6"/>
  <c r="M140" i="6"/>
  <c r="J140" i="6"/>
  <c r="I140" i="6"/>
  <c r="AA139" i="6"/>
  <c r="Z139" i="6"/>
  <c r="W139" i="6"/>
  <c r="N139" i="6"/>
  <c r="M139" i="6"/>
  <c r="J139" i="6"/>
  <c r="I139" i="6"/>
  <c r="AA138" i="6"/>
  <c r="Z138" i="6"/>
  <c r="W138" i="6"/>
  <c r="N138" i="6"/>
  <c r="M138" i="6"/>
  <c r="J138" i="6"/>
  <c r="I138" i="6"/>
  <c r="AA137" i="6"/>
  <c r="Z137" i="6"/>
  <c r="W137" i="6"/>
  <c r="N137" i="6"/>
  <c r="M137" i="6"/>
  <c r="J137" i="6"/>
  <c r="I137" i="6"/>
  <c r="AA136" i="6"/>
  <c r="Z136" i="6"/>
  <c r="W136" i="6"/>
  <c r="N136" i="6"/>
  <c r="M136" i="6"/>
  <c r="J136" i="6"/>
  <c r="I136" i="6"/>
  <c r="AA135" i="6"/>
  <c r="Z135" i="6"/>
  <c r="W135" i="6"/>
  <c r="N135" i="6"/>
  <c r="M135" i="6"/>
  <c r="J135" i="6"/>
  <c r="I135" i="6"/>
  <c r="AA134" i="6"/>
  <c r="Z134" i="6"/>
  <c r="W134" i="6"/>
  <c r="N134" i="6"/>
  <c r="M134" i="6"/>
  <c r="J134" i="6"/>
  <c r="I134" i="6"/>
  <c r="AA133" i="6"/>
  <c r="Z133" i="6"/>
  <c r="W133" i="6"/>
  <c r="N133" i="6"/>
  <c r="M133" i="6"/>
  <c r="J133" i="6"/>
  <c r="I133" i="6"/>
  <c r="AA132" i="6"/>
  <c r="Z132" i="6"/>
  <c r="W132" i="6"/>
  <c r="N132" i="6"/>
  <c r="M132" i="6"/>
  <c r="J132" i="6"/>
  <c r="I132" i="6"/>
  <c r="AA131" i="6"/>
  <c r="Z131" i="6"/>
  <c r="W131" i="6"/>
  <c r="N131" i="6"/>
  <c r="M131" i="6"/>
  <c r="J131" i="6"/>
  <c r="I131" i="6"/>
  <c r="AA130" i="6"/>
  <c r="Z130" i="6"/>
  <c r="W130" i="6"/>
  <c r="N130" i="6"/>
  <c r="M130" i="6"/>
  <c r="J130" i="6"/>
  <c r="I130" i="6"/>
  <c r="AA129" i="6"/>
  <c r="Z129" i="6"/>
  <c r="W129" i="6"/>
  <c r="N129" i="6"/>
  <c r="M129" i="6"/>
  <c r="J129" i="6"/>
  <c r="I129" i="6"/>
  <c r="AA128" i="6"/>
  <c r="Z128" i="6"/>
  <c r="W128" i="6"/>
  <c r="N128" i="6"/>
  <c r="M128" i="6"/>
  <c r="J128" i="6"/>
  <c r="I128" i="6"/>
  <c r="AA127" i="6"/>
  <c r="Z127" i="6"/>
  <c r="W127" i="6"/>
  <c r="N127" i="6"/>
  <c r="M127" i="6"/>
  <c r="J127" i="6"/>
  <c r="I127" i="6"/>
  <c r="AA126" i="6"/>
  <c r="Z126" i="6"/>
  <c r="W126" i="6"/>
  <c r="N126" i="6"/>
  <c r="M126" i="6"/>
  <c r="J126" i="6"/>
  <c r="I126" i="6"/>
  <c r="AA125" i="6"/>
  <c r="Z125" i="6"/>
  <c r="W125" i="6"/>
  <c r="N125" i="6"/>
  <c r="M125" i="6"/>
  <c r="J125" i="6"/>
  <c r="I125" i="6"/>
  <c r="AA124" i="6"/>
  <c r="Z124" i="6"/>
  <c r="W124" i="6"/>
  <c r="N124" i="6"/>
  <c r="M124" i="6"/>
  <c r="J124" i="6"/>
  <c r="I124" i="6"/>
  <c r="AA123" i="6"/>
  <c r="Z123" i="6"/>
  <c r="W123" i="6"/>
  <c r="N123" i="6"/>
  <c r="M123" i="6"/>
  <c r="J123" i="6"/>
  <c r="I123" i="6"/>
  <c r="AA122" i="6"/>
  <c r="Z122" i="6"/>
  <c r="W122" i="6"/>
  <c r="N122" i="6"/>
  <c r="M122" i="6"/>
  <c r="J122" i="6"/>
  <c r="I122" i="6"/>
  <c r="AA121" i="6"/>
  <c r="Z121" i="6"/>
  <c r="W121" i="6"/>
  <c r="N121" i="6"/>
  <c r="M121" i="6"/>
  <c r="J121" i="6"/>
  <c r="I121" i="6"/>
  <c r="AA120" i="6"/>
  <c r="Z120" i="6"/>
  <c r="W120" i="6"/>
  <c r="N120" i="6"/>
  <c r="M120" i="6"/>
  <c r="J120" i="6"/>
  <c r="I120" i="6"/>
  <c r="AA119" i="6"/>
  <c r="Z119" i="6"/>
  <c r="W119" i="6"/>
  <c r="N119" i="6"/>
  <c r="M119" i="6"/>
  <c r="J119" i="6"/>
  <c r="I119" i="6"/>
  <c r="AA118" i="6"/>
  <c r="Z118" i="6"/>
  <c r="W118" i="6"/>
  <c r="N118" i="6"/>
  <c r="M118" i="6"/>
  <c r="J118" i="6"/>
  <c r="I118" i="6"/>
  <c r="AA117" i="6"/>
  <c r="Z117" i="6"/>
  <c r="W117" i="6"/>
  <c r="N117" i="6"/>
  <c r="M117" i="6"/>
  <c r="J117" i="6"/>
  <c r="I117" i="6"/>
  <c r="AA116" i="6"/>
  <c r="Z116" i="6"/>
  <c r="W116" i="6"/>
  <c r="N116" i="6"/>
  <c r="M116" i="6"/>
  <c r="J116" i="6"/>
  <c r="I116" i="6"/>
  <c r="AA115" i="6"/>
  <c r="Z115" i="6"/>
  <c r="W115" i="6"/>
  <c r="N115" i="6"/>
  <c r="M115" i="6"/>
  <c r="J115" i="6"/>
  <c r="I115" i="6"/>
  <c r="AA114" i="6"/>
  <c r="Z114" i="6"/>
  <c r="W114" i="6"/>
  <c r="N114" i="6"/>
  <c r="M114" i="6"/>
  <c r="J114" i="6"/>
  <c r="I114" i="6"/>
  <c r="AA113" i="6"/>
  <c r="Z113" i="6"/>
  <c r="W113" i="6"/>
  <c r="N113" i="6"/>
  <c r="M113" i="6"/>
  <c r="J113" i="6"/>
  <c r="I113" i="6"/>
  <c r="AA112" i="6"/>
  <c r="Z112" i="6"/>
  <c r="W112" i="6"/>
  <c r="N112" i="6"/>
  <c r="M112" i="6"/>
  <c r="J112" i="6"/>
  <c r="I112" i="6"/>
  <c r="AA111" i="6"/>
  <c r="Z111" i="6"/>
  <c r="W111" i="6"/>
  <c r="N111" i="6"/>
  <c r="M111" i="6"/>
  <c r="J111" i="6"/>
  <c r="I111" i="6"/>
  <c r="AA110" i="6"/>
  <c r="Z110" i="6"/>
  <c r="W110" i="6"/>
  <c r="N110" i="6"/>
  <c r="M110" i="6"/>
  <c r="J110" i="6"/>
  <c r="I110" i="6"/>
  <c r="AA109" i="6"/>
  <c r="Z109" i="6"/>
  <c r="W109" i="6"/>
  <c r="N109" i="6"/>
  <c r="M109" i="6"/>
  <c r="J109" i="6"/>
  <c r="I109" i="6"/>
  <c r="AA108" i="6"/>
  <c r="Z108" i="6"/>
  <c r="W108" i="6"/>
  <c r="N108" i="6"/>
  <c r="M108" i="6"/>
  <c r="J108" i="6"/>
  <c r="I108" i="6"/>
  <c r="AA107" i="6"/>
  <c r="Z107" i="6"/>
  <c r="W107" i="6"/>
  <c r="N107" i="6"/>
  <c r="M107" i="6"/>
  <c r="J107" i="6"/>
  <c r="I107" i="6"/>
  <c r="AA106" i="6"/>
  <c r="Z106" i="6"/>
  <c r="W106" i="6"/>
  <c r="N106" i="6"/>
  <c r="M106" i="6"/>
  <c r="J106" i="6"/>
  <c r="I106" i="6"/>
  <c r="D106" i="6"/>
  <c r="AA105" i="6"/>
  <c r="Z105" i="6"/>
  <c r="W105" i="6"/>
  <c r="N105" i="6"/>
  <c r="M105" i="6"/>
  <c r="J105" i="6"/>
  <c r="I105" i="6"/>
  <c r="AA104" i="6"/>
  <c r="Z104" i="6"/>
  <c r="W104" i="6"/>
  <c r="N104" i="6"/>
  <c r="M104" i="6"/>
  <c r="J104" i="6"/>
  <c r="I104" i="6"/>
  <c r="AA103" i="6"/>
  <c r="Z103" i="6"/>
  <c r="W103" i="6"/>
  <c r="N103" i="6"/>
  <c r="M103" i="6"/>
  <c r="J103" i="6"/>
  <c r="I103" i="6"/>
  <c r="AA102" i="6"/>
  <c r="Z102" i="6"/>
  <c r="W102" i="6"/>
  <c r="N102" i="6"/>
  <c r="M102" i="6"/>
  <c r="J102" i="6"/>
  <c r="I102" i="6"/>
  <c r="AA101" i="6"/>
  <c r="Z101" i="6"/>
  <c r="W101" i="6"/>
  <c r="N101" i="6"/>
  <c r="M101" i="6"/>
  <c r="J101" i="6"/>
  <c r="I101" i="6"/>
  <c r="AA100" i="6"/>
  <c r="Z100" i="6"/>
  <c r="W100" i="6"/>
  <c r="N100" i="6"/>
  <c r="M100" i="6"/>
  <c r="J100" i="6"/>
  <c r="I100" i="6"/>
  <c r="AA99" i="6"/>
  <c r="Z99" i="6"/>
  <c r="W99" i="6"/>
  <c r="N99" i="6"/>
  <c r="M99" i="6"/>
  <c r="J99" i="6"/>
  <c r="I99" i="6"/>
  <c r="AA98" i="6"/>
  <c r="Z98" i="6"/>
  <c r="W98" i="6"/>
  <c r="N98" i="6"/>
  <c r="M98" i="6"/>
  <c r="J98" i="6"/>
  <c r="I98" i="6"/>
  <c r="AA97" i="6"/>
  <c r="Z97" i="6"/>
  <c r="W97" i="6"/>
  <c r="N97" i="6"/>
  <c r="M97" i="6"/>
  <c r="J97" i="6"/>
  <c r="I97" i="6"/>
  <c r="AA96" i="6"/>
  <c r="Z96" i="6"/>
  <c r="W96" i="6"/>
  <c r="N96" i="6"/>
  <c r="M96" i="6"/>
  <c r="J96" i="6"/>
  <c r="I96" i="6"/>
  <c r="AA95" i="6"/>
  <c r="Z95" i="6"/>
  <c r="W95" i="6"/>
  <c r="N95" i="6"/>
  <c r="M95" i="6"/>
  <c r="J95" i="6"/>
  <c r="I95" i="6"/>
  <c r="AA94" i="6"/>
  <c r="Z94" i="6"/>
  <c r="W94" i="6"/>
  <c r="N94" i="6"/>
  <c r="M94" i="6"/>
  <c r="J94" i="6"/>
  <c r="I94" i="6"/>
  <c r="AA93" i="6"/>
  <c r="Z93" i="6"/>
  <c r="W93" i="6"/>
  <c r="N93" i="6"/>
  <c r="M93" i="6"/>
  <c r="J93" i="6"/>
  <c r="I93" i="6"/>
  <c r="AA92" i="6"/>
  <c r="Z92" i="6"/>
  <c r="W92" i="6"/>
  <c r="N92" i="6"/>
  <c r="M92" i="6"/>
  <c r="J92" i="6"/>
  <c r="I92" i="6"/>
  <c r="AA91" i="6"/>
  <c r="Z91" i="6"/>
  <c r="W91" i="6"/>
  <c r="N91" i="6"/>
  <c r="M91" i="6"/>
  <c r="J91" i="6"/>
  <c r="I91" i="6"/>
  <c r="AA90" i="6"/>
  <c r="Z90" i="6"/>
  <c r="W90" i="6"/>
  <c r="N90" i="6"/>
  <c r="M90" i="6"/>
  <c r="J90" i="6"/>
  <c r="I90" i="6"/>
  <c r="AA89" i="6"/>
  <c r="Z89" i="6"/>
  <c r="W89" i="6"/>
  <c r="N89" i="6"/>
  <c r="M89" i="6"/>
  <c r="J89" i="6"/>
  <c r="I89" i="6"/>
  <c r="AA88" i="6"/>
  <c r="Z88" i="6"/>
  <c r="W88" i="6"/>
  <c r="N88" i="6"/>
  <c r="M88" i="6"/>
  <c r="J88" i="6"/>
  <c r="I88" i="6"/>
  <c r="AA87" i="6"/>
  <c r="Z87" i="6"/>
  <c r="W87" i="6"/>
  <c r="N87" i="6"/>
  <c r="M87" i="6"/>
  <c r="J87" i="6"/>
  <c r="I87" i="6"/>
  <c r="AA86" i="6"/>
  <c r="Z86" i="6"/>
  <c r="W86" i="6"/>
  <c r="N86" i="6"/>
  <c r="M86" i="6"/>
  <c r="J86" i="6"/>
  <c r="I86" i="6"/>
  <c r="AA85" i="6"/>
  <c r="Z85" i="6"/>
  <c r="W85" i="6"/>
  <c r="N85" i="6"/>
  <c r="M85" i="6"/>
  <c r="J85" i="6"/>
  <c r="I85" i="6"/>
  <c r="AA84" i="6"/>
  <c r="Z84" i="6"/>
  <c r="W84" i="6"/>
  <c r="N84" i="6"/>
  <c r="M84" i="6"/>
  <c r="J84" i="6"/>
  <c r="I84" i="6"/>
  <c r="AA83" i="6"/>
  <c r="Z83" i="6"/>
  <c r="W83" i="6"/>
  <c r="N83" i="6"/>
  <c r="M83" i="6"/>
  <c r="J83" i="6"/>
  <c r="I83" i="6"/>
  <c r="AA82" i="6"/>
  <c r="Z82" i="6"/>
  <c r="W82" i="6"/>
  <c r="N82" i="6"/>
  <c r="M82" i="6"/>
  <c r="J82" i="6"/>
  <c r="I82" i="6"/>
  <c r="AA81" i="6"/>
  <c r="Z81" i="6"/>
  <c r="W81" i="6"/>
  <c r="N81" i="6"/>
  <c r="M81" i="6"/>
  <c r="J81" i="6"/>
  <c r="I81" i="6"/>
  <c r="AA80" i="6"/>
  <c r="Z80" i="6"/>
  <c r="W80" i="6"/>
  <c r="N80" i="6"/>
  <c r="M80" i="6"/>
  <c r="J80" i="6"/>
  <c r="I80" i="6"/>
  <c r="AA79" i="6"/>
  <c r="Z79" i="6"/>
  <c r="W79" i="6"/>
  <c r="N79" i="6"/>
  <c r="M79" i="6"/>
  <c r="J79" i="6"/>
  <c r="I79" i="6"/>
  <c r="AA78" i="6"/>
  <c r="Z78" i="6"/>
  <c r="W78" i="6"/>
  <c r="N78" i="6"/>
  <c r="M78" i="6"/>
  <c r="J78" i="6"/>
  <c r="I78" i="6"/>
  <c r="AA77" i="6"/>
  <c r="Z77" i="6"/>
  <c r="W77" i="6"/>
  <c r="N77" i="6"/>
  <c r="M77" i="6"/>
  <c r="J77" i="6"/>
  <c r="I77" i="6"/>
  <c r="AA76" i="6"/>
  <c r="Z76" i="6"/>
  <c r="W76" i="6"/>
  <c r="N76" i="6"/>
  <c r="M76" i="6"/>
  <c r="J76" i="6"/>
  <c r="I76" i="6"/>
  <c r="AA75" i="6"/>
  <c r="Z75" i="6"/>
  <c r="W75" i="6"/>
  <c r="N75" i="6"/>
  <c r="M75" i="6"/>
  <c r="J75" i="6"/>
  <c r="I75" i="6"/>
  <c r="AA74" i="6"/>
  <c r="Z74" i="6"/>
  <c r="W74" i="6"/>
  <c r="N74" i="6"/>
  <c r="M74" i="6"/>
  <c r="J74" i="6"/>
  <c r="I74" i="6"/>
  <c r="AA73" i="6"/>
  <c r="Z73" i="6"/>
  <c r="W73" i="6"/>
  <c r="N73" i="6"/>
  <c r="M73" i="6"/>
  <c r="J73" i="6"/>
  <c r="I73" i="6"/>
  <c r="AA72" i="6"/>
  <c r="Z72" i="6"/>
  <c r="W72" i="6"/>
  <c r="N72" i="6"/>
  <c r="M72" i="6"/>
  <c r="J72" i="6"/>
  <c r="I72" i="6"/>
  <c r="AA71" i="6"/>
  <c r="Z71" i="6"/>
  <c r="W71" i="6"/>
  <c r="N71" i="6"/>
  <c r="M71" i="6"/>
  <c r="J71" i="6"/>
  <c r="I71" i="6"/>
  <c r="AA70" i="6"/>
  <c r="Z70" i="6"/>
  <c r="W70" i="6"/>
  <c r="N70" i="6"/>
  <c r="M70" i="6"/>
  <c r="J70" i="6"/>
  <c r="I70" i="6"/>
  <c r="AA69" i="6"/>
  <c r="Z69" i="6"/>
  <c r="W69" i="6"/>
  <c r="N69" i="6"/>
  <c r="M69" i="6"/>
  <c r="J69" i="6"/>
  <c r="I69" i="6"/>
  <c r="AA68" i="6"/>
  <c r="Z68" i="6"/>
  <c r="W68" i="6"/>
  <c r="N68" i="6"/>
  <c r="M68" i="6"/>
  <c r="J68" i="6"/>
  <c r="I68" i="6"/>
  <c r="AA67" i="6"/>
  <c r="Z67" i="6"/>
  <c r="W67" i="6"/>
  <c r="N67" i="6"/>
  <c r="M67" i="6"/>
  <c r="J67" i="6"/>
  <c r="I67" i="6"/>
  <c r="AA66" i="6"/>
  <c r="Z66" i="6"/>
  <c r="W66" i="6"/>
  <c r="N66" i="6"/>
  <c r="M66" i="6"/>
  <c r="J66" i="6"/>
  <c r="I66" i="6"/>
  <c r="AA65" i="6"/>
  <c r="Z65" i="6"/>
  <c r="W65" i="6"/>
  <c r="N65" i="6"/>
  <c r="M65" i="6"/>
  <c r="J65" i="6"/>
  <c r="I65" i="6"/>
  <c r="AA64" i="6"/>
  <c r="Z64" i="6"/>
  <c r="W64" i="6"/>
  <c r="N64" i="6"/>
  <c r="M64" i="6"/>
  <c r="J64" i="6"/>
  <c r="I64" i="6"/>
  <c r="AA63" i="6"/>
  <c r="Z63" i="6"/>
  <c r="W63" i="6"/>
  <c r="N63" i="6"/>
  <c r="M63" i="6"/>
  <c r="J63" i="6"/>
  <c r="I63" i="6"/>
  <c r="D63" i="6"/>
  <c r="AA62" i="6"/>
  <c r="Z62" i="6"/>
  <c r="W62" i="6"/>
  <c r="N62" i="6"/>
  <c r="M62" i="6"/>
  <c r="J62" i="6"/>
  <c r="I62" i="6"/>
  <c r="AA61" i="6"/>
  <c r="Z61" i="6"/>
  <c r="W61" i="6"/>
  <c r="N61" i="6"/>
  <c r="M61" i="6"/>
  <c r="J61" i="6"/>
  <c r="I61" i="6"/>
  <c r="AA60" i="6"/>
  <c r="Z60" i="6"/>
  <c r="W60" i="6"/>
  <c r="N60" i="6"/>
  <c r="M60" i="6"/>
  <c r="J60" i="6"/>
  <c r="I60" i="6"/>
  <c r="AA59" i="6"/>
  <c r="Z59" i="6"/>
  <c r="W59" i="6"/>
  <c r="N59" i="6"/>
  <c r="M59" i="6"/>
  <c r="J59" i="6"/>
  <c r="I59" i="6"/>
  <c r="AA58" i="6"/>
  <c r="Z58" i="6"/>
  <c r="W58" i="6"/>
  <c r="N58" i="6"/>
  <c r="M58" i="6"/>
  <c r="J58" i="6"/>
  <c r="I58" i="6"/>
  <c r="AA57" i="6"/>
  <c r="Z57" i="6"/>
  <c r="W57" i="6"/>
  <c r="N57" i="6"/>
  <c r="M57" i="6"/>
  <c r="J57" i="6"/>
  <c r="I57" i="6"/>
  <c r="AA56" i="6"/>
  <c r="Z56" i="6"/>
  <c r="W56" i="6"/>
  <c r="N56" i="6"/>
  <c r="M56" i="6"/>
  <c r="J56" i="6"/>
  <c r="I56" i="6"/>
  <c r="AA55" i="6"/>
  <c r="Z55" i="6"/>
  <c r="W55" i="6"/>
  <c r="N55" i="6"/>
  <c r="M55" i="6"/>
  <c r="J55" i="6"/>
  <c r="I55" i="6"/>
  <c r="AA54" i="6"/>
  <c r="Z54" i="6"/>
  <c r="W54" i="6"/>
  <c r="N54" i="6"/>
  <c r="M54" i="6"/>
  <c r="J54" i="6"/>
  <c r="I54" i="6"/>
  <c r="AA53" i="6"/>
  <c r="Z53" i="6"/>
  <c r="W53" i="6"/>
  <c r="N53" i="6"/>
  <c r="M53" i="6"/>
  <c r="J53" i="6"/>
  <c r="I53" i="6"/>
  <c r="AA52" i="6"/>
  <c r="Z52" i="6"/>
  <c r="W52" i="6"/>
  <c r="N52" i="6"/>
  <c r="M52" i="6"/>
  <c r="J52" i="6"/>
  <c r="I52" i="6"/>
  <c r="AA51" i="6"/>
  <c r="Z51" i="6"/>
  <c r="W51" i="6"/>
  <c r="N51" i="6"/>
  <c r="M51" i="6"/>
  <c r="J51" i="6"/>
  <c r="I51" i="6"/>
  <c r="AA50" i="6"/>
  <c r="Z50" i="6"/>
  <c r="W50" i="6"/>
  <c r="N50" i="6"/>
  <c r="M50" i="6"/>
  <c r="J50" i="6"/>
  <c r="I50" i="6"/>
  <c r="AA49" i="6"/>
  <c r="Z49" i="6"/>
  <c r="W49" i="6"/>
  <c r="N49" i="6"/>
  <c r="M49" i="6"/>
  <c r="J49" i="6"/>
  <c r="I49" i="6"/>
  <c r="AA48" i="6"/>
  <c r="Z48" i="6"/>
  <c r="W48" i="6"/>
  <c r="N48" i="6"/>
  <c r="M48" i="6"/>
  <c r="J48" i="6"/>
  <c r="I48" i="6"/>
  <c r="AA47" i="6"/>
  <c r="Z47" i="6"/>
  <c r="W47" i="6"/>
  <c r="N47" i="6"/>
  <c r="M47" i="6"/>
  <c r="J47" i="6"/>
  <c r="I47" i="6"/>
  <c r="AA46" i="6"/>
  <c r="Z46" i="6"/>
  <c r="W46" i="6"/>
  <c r="N46" i="6"/>
  <c r="M46" i="6"/>
  <c r="J46" i="6"/>
  <c r="I46" i="6"/>
  <c r="AA45" i="6"/>
  <c r="Z45" i="6"/>
  <c r="W45" i="6"/>
  <c r="N45" i="6"/>
  <c r="M45" i="6"/>
  <c r="J45" i="6"/>
  <c r="I45" i="6"/>
  <c r="AA44" i="6"/>
  <c r="Z44" i="6"/>
  <c r="W44" i="6"/>
  <c r="N44" i="6"/>
  <c r="M44" i="6"/>
  <c r="J44" i="6"/>
  <c r="I44" i="6"/>
  <c r="AA43" i="6"/>
  <c r="Z43" i="6"/>
  <c r="W43" i="6"/>
  <c r="N43" i="6"/>
  <c r="M43" i="6"/>
  <c r="J43" i="6"/>
  <c r="I43" i="6"/>
  <c r="AA42" i="6"/>
  <c r="Z42" i="6"/>
  <c r="W42" i="6"/>
  <c r="N42" i="6"/>
  <c r="M42" i="6"/>
  <c r="J42" i="6"/>
  <c r="I42" i="6"/>
  <c r="AA41" i="6"/>
  <c r="Z41" i="6"/>
  <c r="W41" i="6"/>
  <c r="N41" i="6"/>
  <c r="M41" i="6"/>
  <c r="J41" i="6"/>
  <c r="I41" i="6"/>
  <c r="AA40" i="6"/>
  <c r="Z40" i="6"/>
  <c r="W40" i="6"/>
  <c r="N40" i="6"/>
  <c r="M40" i="6"/>
  <c r="J40" i="6"/>
  <c r="I40" i="6"/>
  <c r="AA39" i="6"/>
  <c r="Z39" i="6"/>
  <c r="W39" i="6"/>
  <c r="N39" i="6"/>
  <c r="M39" i="6"/>
  <c r="J39" i="6"/>
  <c r="I39" i="6"/>
  <c r="AA38" i="6"/>
  <c r="Z38" i="6"/>
  <c r="W38" i="6"/>
  <c r="N38" i="6"/>
  <c r="M38" i="6"/>
  <c r="J38" i="6"/>
  <c r="I38" i="6"/>
  <c r="AA37" i="6"/>
  <c r="Z37" i="6"/>
  <c r="W37" i="6"/>
  <c r="N37" i="6"/>
  <c r="M37" i="6"/>
  <c r="J37" i="6"/>
  <c r="I37" i="6"/>
  <c r="AA36" i="6"/>
  <c r="Z36" i="6"/>
  <c r="W36" i="6"/>
  <c r="N36" i="6"/>
  <c r="M36" i="6"/>
  <c r="J36" i="6"/>
  <c r="I36" i="6"/>
  <c r="AA35" i="6"/>
  <c r="Z35" i="6"/>
  <c r="W35" i="6"/>
  <c r="N35" i="6"/>
  <c r="M35" i="6"/>
  <c r="J35" i="6"/>
  <c r="I35" i="6"/>
  <c r="AA34" i="6"/>
  <c r="Z34" i="6"/>
  <c r="W34" i="6"/>
  <c r="N34" i="6"/>
  <c r="M34" i="6"/>
  <c r="J34" i="6"/>
  <c r="I34" i="6"/>
  <c r="AA33" i="6"/>
  <c r="Z33" i="6"/>
  <c r="W33" i="6"/>
  <c r="N33" i="6"/>
  <c r="M33" i="6"/>
  <c r="J33" i="6"/>
  <c r="I33" i="6"/>
  <c r="AA32" i="6"/>
  <c r="Z32" i="6"/>
  <c r="W32" i="6"/>
  <c r="N32" i="6"/>
  <c r="M32" i="6"/>
  <c r="J32" i="6"/>
  <c r="I32" i="6"/>
  <c r="AA31" i="6"/>
  <c r="Z31" i="6"/>
  <c r="W31" i="6"/>
  <c r="N31" i="6"/>
  <c r="M31" i="6"/>
  <c r="J31" i="6"/>
  <c r="I31" i="6"/>
  <c r="AA30" i="6"/>
  <c r="Z30" i="6"/>
  <c r="W30" i="6"/>
  <c r="N30" i="6"/>
  <c r="M30" i="6"/>
  <c r="J30" i="6"/>
  <c r="I30" i="6"/>
  <c r="AA29" i="6"/>
  <c r="Z29" i="6"/>
  <c r="W29" i="6"/>
  <c r="N29" i="6"/>
  <c r="M29" i="6"/>
  <c r="J29" i="6"/>
  <c r="I29" i="6"/>
  <c r="AA28" i="6"/>
  <c r="Z28" i="6"/>
  <c r="W28" i="6"/>
  <c r="N28" i="6"/>
  <c r="M28" i="6"/>
  <c r="J28" i="6"/>
  <c r="I28" i="6"/>
  <c r="AA27" i="6"/>
  <c r="Z27" i="6"/>
  <c r="W27" i="6"/>
  <c r="N27" i="6"/>
  <c r="M27" i="6"/>
  <c r="J27" i="6"/>
  <c r="I27" i="6"/>
  <c r="AA26" i="6"/>
  <c r="Z26" i="6"/>
  <c r="W26" i="6"/>
  <c r="N26" i="6"/>
  <c r="M26" i="6"/>
  <c r="J26" i="6"/>
  <c r="I26" i="6"/>
  <c r="AA25" i="6"/>
  <c r="Z25" i="6"/>
  <c r="W25" i="6"/>
  <c r="N25" i="6"/>
  <c r="M25" i="6"/>
  <c r="J25" i="6"/>
  <c r="I25" i="6"/>
  <c r="AA24" i="6"/>
  <c r="Z24" i="6"/>
  <c r="W24" i="6"/>
  <c r="N24" i="6"/>
  <c r="M24" i="6"/>
  <c r="J24" i="6"/>
  <c r="I24" i="6"/>
  <c r="AA23" i="6"/>
  <c r="Z23" i="6"/>
  <c r="W23" i="6"/>
  <c r="N23" i="6"/>
  <c r="M23" i="6"/>
  <c r="J23" i="6"/>
  <c r="I23" i="6"/>
  <c r="AA22" i="6"/>
  <c r="Z22" i="6"/>
  <c r="W22" i="6"/>
  <c r="N22" i="6"/>
  <c r="M22" i="6"/>
  <c r="J22" i="6"/>
  <c r="I22" i="6"/>
  <c r="AA21" i="6"/>
  <c r="Z21" i="6"/>
  <c r="W21" i="6"/>
  <c r="N21" i="6"/>
  <c r="M21" i="6"/>
  <c r="J21" i="6"/>
  <c r="I21" i="6"/>
  <c r="AA20" i="6"/>
  <c r="Z20" i="6"/>
  <c r="W20" i="6"/>
  <c r="N20" i="6"/>
  <c r="M20" i="6"/>
  <c r="J20" i="6"/>
  <c r="I20" i="6"/>
  <c r="AA19" i="6"/>
  <c r="Z19" i="6"/>
  <c r="W19" i="6"/>
  <c r="N19" i="6"/>
  <c r="M19" i="6"/>
  <c r="J19" i="6"/>
  <c r="I19" i="6"/>
  <c r="AA18" i="6"/>
  <c r="Z18" i="6"/>
  <c r="W18" i="6"/>
  <c r="N18" i="6"/>
  <c r="M18" i="6"/>
  <c r="J18" i="6"/>
  <c r="I18" i="6"/>
  <c r="AA17" i="6"/>
  <c r="Z17" i="6"/>
  <c r="W17" i="6"/>
  <c r="N17" i="6"/>
  <c r="M17" i="6"/>
  <c r="J17" i="6"/>
  <c r="I17" i="6"/>
  <c r="AA16" i="6"/>
  <c r="Z16" i="6"/>
  <c r="W16" i="6"/>
  <c r="N16" i="6"/>
  <c r="M16" i="6"/>
  <c r="J16" i="6"/>
  <c r="I16" i="6"/>
  <c r="AA15" i="6"/>
  <c r="Z15" i="6"/>
  <c r="W15" i="6"/>
  <c r="N15" i="6"/>
  <c r="M15" i="6"/>
  <c r="J15" i="6"/>
  <c r="I15" i="6"/>
  <c r="AA14" i="6"/>
  <c r="Z14" i="6"/>
  <c r="W14" i="6"/>
  <c r="N14" i="6"/>
  <c r="M14" i="6"/>
  <c r="J14" i="6"/>
  <c r="I14" i="6"/>
  <c r="AA13" i="6"/>
  <c r="Z13" i="6"/>
  <c r="W13" i="6"/>
  <c r="N13" i="6"/>
  <c r="M13" i="6"/>
  <c r="J13" i="6"/>
  <c r="I13" i="6"/>
  <c r="AA12" i="6"/>
  <c r="Z12" i="6"/>
  <c r="W12" i="6"/>
  <c r="N12" i="6"/>
  <c r="M12" i="6"/>
  <c r="J12" i="6"/>
  <c r="I12" i="6"/>
  <c r="AA11" i="6"/>
  <c r="Z11" i="6"/>
  <c r="W11" i="6"/>
  <c r="N11" i="6"/>
  <c r="M11" i="6"/>
  <c r="J11" i="6"/>
  <c r="I11" i="6"/>
  <c r="AA10" i="6"/>
  <c r="Z10" i="6"/>
  <c r="W10" i="6"/>
  <c r="N10" i="6"/>
  <c r="M10" i="6"/>
  <c r="J10" i="6"/>
  <c r="I10" i="6"/>
  <c r="AA9" i="6"/>
  <c r="Z9" i="6"/>
  <c r="W9" i="6"/>
  <c r="N9" i="6"/>
  <c r="M9" i="6"/>
  <c r="J9" i="6"/>
  <c r="I9" i="6"/>
  <c r="AA8" i="6"/>
  <c r="Z8" i="6"/>
  <c r="W8" i="6"/>
  <c r="N8" i="6"/>
  <c r="M8" i="6"/>
  <c r="J8" i="6"/>
  <c r="I8" i="6"/>
  <c r="AA7" i="6"/>
  <c r="Z7" i="6"/>
  <c r="W7" i="6"/>
  <c r="N7" i="6"/>
  <c r="M7" i="6"/>
  <c r="J7" i="6"/>
  <c r="I7" i="6"/>
  <c r="AA6" i="6"/>
  <c r="Z6" i="6"/>
  <c r="W6" i="6"/>
  <c r="N6" i="6"/>
  <c r="M6" i="6"/>
  <c r="J6" i="6"/>
  <c r="I6" i="6"/>
  <c r="E498" i="2" l="1"/>
  <c r="E498" i="6" s="1"/>
  <c r="E497" i="2"/>
  <c r="E497" i="6" s="1"/>
  <c r="E496" i="2"/>
  <c r="E496" i="6" s="1"/>
  <c r="E495" i="2"/>
  <c r="E495" i="6" s="1"/>
  <c r="E494" i="2"/>
  <c r="E494" i="6" s="1"/>
  <c r="E493" i="2"/>
  <c r="E493" i="6" s="1"/>
  <c r="E492" i="2"/>
  <c r="E492" i="6" s="1"/>
  <c r="E491" i="2"/>
  <c r="E491" i="6" s="1"/>
  <c r="E490" i="2"/>
  <c r="E490" i="6" s="1"/>
  <c r="E489" i="2"/>
  <c r="E489" i="6" s="1"/>
  <c r="E488" i="2"/>
  <c r="E488" i="6" s="1"/>
  <c r="E487" i="2"/>
  <c r="E487" i="6" s="1"/>
  <c r="E486" i="2"/>
  <c r="E486" i="6" s="1"/>
  <c r="E485" i="2"/>
  <c r="E485" i="6" s="1"/>
  <c r="E484" i="2"/>
  <c r="E484" i="6" s="1"/>
  <c r="E483" i="2"/>
  <c r="E483" i="6" s="1"/>
  <c r="E482" i="2"/>
  <c r="E482" i="6" s="1"/>
  <c r="E481" i="2"/>
  <c r="E481" i="6" s="1"/>
  <c r="E480" i="2"/>
  <c r="E480" i="6" s="1"/>
  <c r="E479" i="2"/>
  <c r="E479" i="6" s="1"/>
  <c r="E478" i="2"/>
  <c r="E478" i="6" s="1"/>
  <c r="E477" i="2"/>
  <c r="E477" i="6" s="1"/>
  <c r="E476" i="2"/>
  <c r="E476" i="6" s="1"/>
  <c r="E475" i="2"/>
  <c r="E475" i="6" s="1"/>
  <c r="E474" i="2"/>
  <c r="E474" i="6" s="1"/>
  <c r="E473" i="2"/>
  <c r="E473" i="6" s="1"/>
  <c r="E472" i="2"/>
  <c r="E472" i="6" s="1"/>
  <c r="E471" i="2"/>
  <c r="E471" i="6" s="1"/>
  <c r="E470" i="2"/>
  <c r="E470" i="6" s="1"/>
  <c r="E469" i="2"/>
  <c r="E469" i="6" s="1"/>
  <c r="E468" i="2"/>
  <c r="E468" i="6" s="1"/>
  <c r="E467" i="2"/>
  <c r="E467" i="6" s="1"/>
  <c r="E466" i="2"/>
  <c r="E466" i="6" s="1"/>
  <c r="E465" i="2"/>
  <c r="E465" i="6" s="1"/>
  <c r="E464" i="2"/>
  <c r="E464" i="6" s="1"/>
  <c r="E463" i="2"/>
  <c r="E463" i="6" s="1"/>
  <c r="E462" i="2"/>
  <c r="E462" i="6" s="1"/>
  <c r="E461" i="2"/>
  <c r="E461" i="6" s="1"/>
  <c r="E460" i="2"/>
  <c r="E460" i="6" s="1"/>
  <c r="E459" i="2"/>
  <c r="E459" i="6" s="1"/>
  <c r="E458" i="2"/>
  <c r="E458" i="6" s="1"/>
  <c r="E457" i="2"/>
  <c r="E457" i="6" s="1"/>
  <c r="E456" i="2"/>
  <c r="E456" i="6" s="1"/>
  <c r="E455" i="2"/>
  <c r="E455" i="6" s="1"/>
  <c r="E454" i="2"/>
  <c r="E454" i="6" s="1"/>
  <c r="E453" i="2"/>
  <c r="E453" i="6" s="1"/>
  <c r="E452" i="2"/>
  <c r="E452" i="6" s="1"/>
  <c r="E451" i="2"/>
  <c r="E451" i="6" s="1"/>
  <c r="E450" i="2"/>
  <c r="E450" i="6" s="1"/>
  <c r="E413" i="2"/>
  <c r="E413" i="6" s="1"/>
  <c r="E412" i="2"/>
  <c r="E412" i="6" s="1"/>
  <c r="E411" i="2"/>
  <c r="E411" i="6" s="1"/>
  <c r="E410" i="2"/>
  <c r="E410" i="6" s="1"/>
  <c r="E409" i="2"/>
  <c r="E409" i="6" s="1"/>
  <c r="E408" i="2"/>
  <c r="E408" i="6" s="1"/>
  <c r="E407" i="2"/>
  <c r="E407" i="6" s="1"/>
  <c r="E406" i="2"/>
  <c r="E406" i="6" s="1"/>
  <c r="E405" i="2"/>
  <c r="E405" i="6" s="1"/>
  <c r="E404" i="2"/>
  <c r="E404" i="6" s="1"/>
  <c r="E403" i="2"/>
  <c r="E403" i="6" s="1"/>
  <c r="E402" i="2"/>
  <c r="E402" i="6" s="1"/>
  <c r="E401" i="2"/>
  <c r="E401" i="6" s="1"/>
  <c r="E400" i="2"/>
  <c r="E400" i="6" s="1"/>
  <c r="E399" i="2"/>
  <c r="E399" i="6" s="1"/>
  <c r="E398" i="2"/>
  <c r="E398" i="6" s="1"/>
  <c r="E397" i="2"/>
  <c r="E397" i="6" s="1"/>
  <c r="E396" i="2"/>
  <c r="E396" i="6" s="1"/>
  <c r="E395" i="2"/>
  <c r="E395" i="6" s="1"/>
  <c r="E394" i="2"/>
  <c r="E394" i="6" s="1"/>
  <c r="E393" i="2"/>
  <c r="E393" i="6" s="1"/>
  <c r="E392" i="2"/>
  <c r="E392" i="6" s="1"/>
  <c r="E391" i="2"/>
  <c r="E391" i="6" s="1"/>
  <c r="E390" i="2"/>
  <c r="E390" i="6" s="1"/>
  <c r="E376" i="2"/>
  <c r="E376" i="6" s="1"/>
  <c r="E375" i="2"/>
  <c r="E375" i="6" s="1"/>
  <c r="E374" i="2"/>
  <c r="E374" i="6" s="1"/>
  <c r="E373" i="2"/>
  <c r="E373" i="6" s="1"/>
  <c r="E372" i="2"/>
  <c r="E372" i="6" s="1"/>
  <c r="E371" i="2"/>
  <c r="E371" i="6" s="1"/>
  <c r="E370" i="2"/>
  <c r="E370" i="6" s="1"/>
  <c r="E369" i="2"/>
  <c r="E369" i="6" s="1"/>
  <c r="E368" i="2"/>
  <c r="E368" i="6" s="1"/>
  <c r="E367" i="2"/>
  <c r="E367" i="6" s="1"/>
  <c r="E366" i="2"/>
  <c r="E366" i="6" s="1"/>
  <c r="E365" i="2"/>
  <c r="E365" i="6" s="1"/>
  <c r="E364" i="2"/>
  <c r="E364" i="6" s="1"/>
  <c r="E363" i="2"/>
  <c r="E363" i="6" s="1"/>
  <c r="E362" i="2"/>
  <c r="E362" i="6" s="1"/>
  <c r="E361" i="2"/>
  <c r="E361" i="6" s="1"/>
  <c r="E360" i="2"/>
  <c r="E360" i="6" s="1"/>
  <c r="E359" i="2"/>
  <c r="E359" i="6" s="1"/>
  <c r="E358" i="2"/>
  <c r="E358" i="6" s="1"/>
  <c r="E357" i="2"/>
  <c r="E357" i="6" s="1"/>
  <c r="E300" i="2"/>
  <c r="E300" i="6" s="1"/>
  <c r="E299" i="2"/>
  <c r="E299" i="6" s="1"/>
  <c r="E298" i="2"/>
  <c r="E298" i="6" s="1"/>
  <c r="E297" i="2"/>
  <c r="E297" i="6" s="1"/>
  <c r="E296" i="2"/>
  <c r="E296" i="6" s="1"/>
  <c r="E295" i="2"/>
  <c r="E295" i="6" s="1"/>
  <c r="E294" i="2"/>
  <c r="E294" i="6" s="1"/>
  <c r="E293" i="2"/>
  <c r="E293" i="6" s="1"/>
  <c r="E286" i="2"/>
  <c r="E286" i="6" s="1"/>
  <c r="E285" i="2"/>
  <c r="E285" i="6" s="1"/>
  <c r="E284" i="2"/>
  <c r="E284" i="6" s="1"/>
  <c r="E283" i="2"/>
  <c r="E283" i="6" s="1"/>
  <c r="E282" i="2"/>
  <c r="E282" i="6" s="1"/>
  <c r="E281" i="2"/>
  <c r="E281" i="6" s="1"/>
  <c r="E280" i="2"/>
  <c r="E280" i="6" s="1"/>
  <c r="E279" i="2"/>
  <c r="E279" i="6" s="1"/>
  <c r="E267" i="2"/>
  <c r="E267" i="6" s="1"/>
  <c r="E266" i="2"/>
  <c r="E266" i="6" s="1"/>
  <c r="E265" i="2"/>
  <c r="E265" i="6" s="1"/>
  <c r="E264" i="2"/>
  <c r="E264" i="6" s="1"/>
  <c r="E263" i="2"/>
  <c r="E263" i="6" s="1"/>
  <c r="E262" i="2"/>
  <c r="E262" i="6" s="1"/>
  <c r="E261" i="2"/>
  <c r="E261" i="6" s="1"/>
  <c r="E260" i="2"/>
  <c r="E260" i="6" s="1"/>
  <c r="E259" i="2"/>
  <c r="E259" i="6" s="1"/>
  <c r="E258" i="2"/>
  <c r="E258" i="6" s="1"/>
  <c r="E257" i="2"/>
  <c r="E257" i="6" s="1"/>
  <c r="E256" i="2"/>
  <c r="E256" i="6" s="1"/>
  <c r="E255" i="2"/>
  <c r="E255" i="6" s="1"/>
  <c r="E254" i="2"/>
  <c r="E254" i="6" s="1"/>
  <c r="E253" i="2"/>
  <c r="E253" i="6" s="1"/>
  <c r="E252" i="2"/>
  <c r="E252" i="6" s="1"/>
  <c r="E251" i="2"/>
  <c r="E251" i="6" s="1"/>
  <c r="E250" i="2"/>
  <c r="E250" i="6" s="1"/>
  <c r="E249" i="2"/>
  <c r="E249" i="6" s="1"/>
  <c r="E248" i="2"/>
  <c r="E248" i="6" s="1"/>
  <c r="E247" i="2"/>
  <c r="E247" i="6" s="1"/>
  <c r="E246" i="2"/>
  <c r="E246" i="6" s="1"/>
  <c r="E245" i="2"/>
  <c r="E245" i="6" s="1"/>
  <c r="E244" i="2"/>
  <c r="E244" i="6" s="1"/>
  <c r="E243" i="2"/>
  <c r="E243" i="6" s="1"/>
  <c r="E242" i="2"/>
  <c r="E242" i="6" s="1"/>
  <c r="E241" i="2"/>
  <c r="E241" i="6" s="1"/>
  <c r="E240" i="2"/>
  <c r="E240" i="6" s="1"/>
  <c r="E239" i="2"/>
  <c r="E239" i="6" s="1"/>
  <c r="E238" i="2"/>
  <c r="E238" i="6" s="1"/>
  <c r="E237" i="2"/>
  <c r="E237" i="6" s="1"/>
  <c r="E236" i="2"/>
  <c r="E236" i="6" s="1"/>
  <c r="E235" i="2"/>
  <c r="E235" i="6" s="1"/>
  <c r="E234" i="2"/>
  <c r="E234" i="6" s="1"/>
  <c r="E224" i="2"/>
  <c r="E224" i="6" s="1"/>
  <c r="E223" i="2"/>
  <c r="E223" i="6" s="1"/>
  <c r="E222" i="2"/>
  <c r="E222" i="6" s="1"/>
  <c r="E221" i="2"/>
  <c r="E221" i="6" s="1"/>
  <c r="E220" i="2"/>
  <c r="E220" i="6" s="1"/>
  <c r="E219" i="2"/>
  <c r="E219" i="6" s="1"/>
  <c r="E218" i="2"/>
  <c r="E218" i="6" s="1"/>
  <c r="E217" i="2"/>
  <c r="E217" i="6" s="1"/>
  <c r="E216" i="2"/>
  <c r="E216" i="6" s="1"/>
  <c r="E215" i="2"/>
  <c r="E215" i="6" s="1"/>
  <c r="E214" i="2"/>
  <c r="E214" i="6" s="1"/>
  <c r="E213" i="2"/>
  <c r="E213" i="6" s="1"/>
  <c r="E212" i="2"/>
  <c r="E212" i="6" s="1"/>
  <c r="E211" i="2"/>
  <c r="E211" i="6" s="1"/>
  <c r="E210" i="2"/>
  <c r="E210" i="6" s="1"/>
  <c r="E209" i="2"/>
  <c r="E209" i="6" s="1"/>
  <c r="E208" i="2"/>
  <c r="E208" i="6" s="1"/>
  <c r="E207" i="2"/>
  <c r="E207" i="6" s="1"/>
  <c r="E206" i="2"/>
  <c r="E206" i="6" s="1"/>
  <c r="E205" i="2"/>
  <c r="E205" i="6" s="1"/>
  <c r="E204" i="2"/>
  <c r="E204" i="6" s="1"/>
  <c r="E203" i="2"/>
  <c r="E203" i="6" s="1"/>
  <c r="E202" i="2"/>
  <c r="E202" i="6" s="1"/>
  <c r="E201" i="2"/>
  <c r="E201" i="6" s="1"/>
  <c r="E200" i="2"/>
  <c r="E200" i="6" s="1"/>
  <c r="E199" i="2"/>
  <c r="E199" i="6" s="1"/>
  <c r="E198" i="2"/>
  <c r="E198" i="6" s="1"/>
  <c r="E197" i="2"/>
  <c r="E197" i="6" s="1"/>
  <c r="E196" i="2"/>
  <c r="E196" i="6" s="1"/>
  <c r="E195" i="2"/>
  <c r="E195" i="6" s="1"/>
  <c r="E194" i="2"/>
  <c r="E194" i="6" s="1"/>
  <c r="E193" i="2"/>
  <c r="E193" i="6" s="1"/>
  <c r="E192" i="2"/>
  <c r="E192" i="6" s="1"/>
  <c r="E190" i="2"/>
  <c r="E190" i="6" s="1"/>
  <c r="E189" i="2"/>
  <c r="E189" i="6" s="1"/>
  <c r="E188" i="2"/>
  <c r="E188" i="6" s="1"/>
  <c r="E187" i="2"/>
  <c r="E187" i="6" s="1"/>
  <c r="E186" i="2"/>
  <c r="E186" i="6" s="1"/>
  <c r="E185" i="2"/>
  <c r="E185" i="6" s="1"/>
  <c r="E184" i="2"/>
  <c r="E184" i="6" s="1"/>
  <c r="E183" i="2"/>
  <c r="E183" i="6" s="1"/>
  <c r="E182" i="2"/>
  <c r="E182" i="6" s="1"/>
  <c r="E181" i="2"/>
  <c r="E181" i="6" s="1"/>
  <c r="E180" i="2"/>
  <c r="E180" i="6" s="1"/>
  <c r="E179" i="2"/>
  <c r="E179" i="6" s="1"/>
  <c r="E178" i="2"/>
  <c r="E178" i="6" s="1"/>
  <c r="E177" i="2"/>
  <c r="E177" i="6" s="1"/>
  <c r="E176" i="2"/>
  <c r="E176" i="6" s="1"/>
  <c r="E175" i="2"/>
  <c r="E175" i="6" s="1"/>
  <c r="E174" i="2"/>
  <c r="E174" i="6" s="1"/>
  <c r="E173" i="2"/>
  <c r="E173" i="6" s="1"/>
  <c r="E172" i="2"/>
  <c r="E172" i="6" s="1"/>
  <c r="E171" i="2"/>
  <c r="E171" i="6" s="1"/>
  <c r="E170" i="2"/>
  <c r="E170" i="6" s="1"/>
  <c r="E169" i="2"/>
  <c r="E169" i="6" s="1"/>
  <c r="E168" i="2"/>
  <c r="E168" i="6" s="1"/>
  <c r="E167" i="2"/>
  <c r="E167" i="6" s="1"/>
  <c r="E153" i="2"/>
  <c r="E153" i="6" s="1"/>
  <c r="E152" i="2"/>
  <c r="E152" i="6" s="1"/>
  <c r="E151" i="2"/>
  <c r="E151" i="6" s="1"/>
  <c r="E150" i="2"/>
  <c r="E150" i="6" s="1"/>
  <c r="E149" i="2"/>
  <c r="E149" i="6" s="1"/>
  <c r="E148" i="2"/>
  <c r="E148" i="6" s="1"/>
  <c r="E147" i="2"/>
  <c r="E147" i="6" s="1"/>
  <c r="E146" i="2"/>
  <c r="E146" i="6" s="1"/>
  <c r="E145" i="2"/>
  <c r="E145" i="6" s="1"/>
  <c r="E144" i="2"/>
  <c r="E144" i="6" s="1"/>
  <c r="E143" i="2"/>
  <c r="E143" i="6" s="1"/>
  <c r="E142" i="2"/>
  <c r="E142" i="6" s="1"/>
  <c r="E141" i="2"/>
  <c r="E141" i="6" s="1"/>
  <c r="E140" i="2"/>
  <c r="E140" i="6" s="1"/>
  <c r="E139" i="2"/>
  <c r="E139" i="6" s="1"/>
  <c r="E138" i="2"/>
  <c r="E138" i="6" s="1"/>
  <c r="E137" i="2"/>
  <c r="E137" i="6" s="1"/>
  <c r="E136" i="2"/>
  <c r="E136" i="6" s="1"/>
  <c r="E135" i="2"/>
  <c r="E135" i="6" s="1"/>
  <c r="E134" i="2"/>
  <c r="E134" i="6" s="1"/>
  <c r="E133" i="2"/>
  <c r="E133" i="6" s="1"/>
  <c r="E132" i="2"/>
  <c r="E132" i="6" s="1"/>
  <c r="E131" i="2"/>
  <c r="E131" i="6" s="1"/>
  <c r="E130" i="2"/>
  <c r="E130" i="6" s="1"/>
  <c r="E129" i="2"/>
  <c r="E129" i="6" s="1"/>
  <c r="E128" i="2"/>
  <c r="E128" i="6" s="1"/>
  <c r="E127" i="2"/>
  <c r="E127" i="6" s="1"/>
  <c r="E126" i="2"/>
  <c r="E126" i="6" s="1"/>
  <c r="E125" i="2"/>
  <c r="E125" i="6" s="1"/>
  <c r="E124" i="2"/>
  <c r="E124" i="6" s="1"/>
  <c r="E123" i="2"/>
  <c r="E123" i="6" s="1"/>
  <c r="E122" i="2"/>
  <c r="E122" i="6" s="1"/>
  <c r="E121" i="2"/>
  <c r="E121" i="6" s="1"/>
  <c r="E120" i="2"/>
  <c r="E120" i="6" s="1"/>
  <c r="E119" i="2"/>
  <c r="E119" i="6" s="1"/>
  <c r="E118" i="2"/>
  <c r="E118" i="6" s="1"/>
  <c r="E117" i="2"/>
  <c r="E117" i="6" s="1"/>
  <c r="E116" i="2"/>
  <c r="E116" i="6" s="1"/>
  <c r="E115" i="2"/>
  <c r="E115" i="6" s="1"/>
  <c r="E114" i="2"/>
  <c r="E114" i="6" s="1"/>
  <c r="E113" i="2"/>
  <c r="E113" i="6" s="1"/>
  <c r="E112" i="2"/>
  <c r="E112" i="6" s="1"/>
  <c r="E111" i="2"/>
  <c r="E111" i="6" s="1"/>
  <c r="E110" i="2"/>
  <c r="E110" i="6" s="1"/>
  <c r="E109" i="2"/>
  <c r="E109" i="6" s="1"/>
  <c r="E108" i="2"/>
  <c r="E108" i="6" s="1"/>
  <c r="E107" i="2"/>
  <c r="E107" i="6" s="1"/>
  <c r="E106" i="2"/>
  <c r="E106" i="6" s="1"/>
  <c r="E105" i="2"/>
  <c r="E105" i="6" s="1"/>
  <c r="E104" i="2"/>
  <c r="E104" i="6" s="1"/>
  <c r="E103" i="2"/>
  <c r="E103" i="6" s="1"/>
  <c r="E102" i="2"/>
  <c r="E102" i="6" s="1"/>
  <c r="E101" i="2"/>
  <c r="E101" i="6" s="1"/>
  <c r="E100" i="2"/>
  <c r="E100" i="6" s="1"/>
  <c r="E99" i="2"/>
  <c r="E99" i="6" s="1"/>
  <c r="E98" i="2"/>
  <c r="E98" i="6" s="1"/>
  <c r="E97" i="2"/>
  <c r="E97" i="6" s="1"/>
  <c r="E96" i="2"/>
  <c r="E96" i="6" s="1"/>
  <c r="E95" i="2"/>
  <c r="E95" i="6" s="1"/>
  <c r="E94" i="2"/>
  <c r="E94" i="6" s="1"/>
  <c r="E93" i="2"/>
  <c r="E93" i="6" s="1"/>
  <c r="E92" i="2"/>
  <c r="E92" i="6" s="1"/>
  <c r="E91" i="2"/>
  <c r="E91" i="6" s="1"/>
  <c r="E90" i="2"/>
  <c r="E90" i="6" s="1"/>
  <c r="E89" i="2"/>
  <c r="E89" i="6" s="1"/>
  <c r="E88" i="2"/>
  <c r="E88" i="6" s="1"/>
  <c r="E87" i="2"/>
  <c r="E87" i="6" s="1"/>
  <c r="E86" i="2"/>
  <c r="E86" i="6" s="1"/>
  <c r="E85" i="2"/>
  <c r="E85" i="6" s="1"/>
  <c r="E84" i="2"/>
  <c r="E84" i="6" s="1"/>
  <c r="E83" i="2"/>
  <c r="E83" i="6" s="1"/>
  <c r="E82" i="2"/>
  <c r="E82" i="6" s="1"/>
  <c r="E81" i="2"/>
  <c r="E81" i="6" s="1"/>
  <c r="E80" i="2"/>
  <c r="E80" i="6" s="1"/>
  <c r="E79" i="2"/>
  <c r="E79" i="6" s="1"/>
  <c r="E78" i="2"/>
  <c r="E78" i="6" s="1"/>
  <c r="E77" i="2"/>
  <c r="E77" i="6" s="1"/>
  <c r="E76" i="2"/>
  <c r="E76" i="6" s="1"/>
  <c r="E75" i="2"/>
  <c r="E75" i="6" s="1"/>
  <c r="E74" i="2"/>
  <c r="E74" i="6" s="1"/>
  <c r="E73" i="2"/>
  <c r="E73" i="6" s="1"/>
  <c r="E72" i="2"/>
  <c r="E72" i="6" s="1"/>
  <c r="E71" i="2"/>
  <c r="E71" i="6" s="1"/>
  <c r="E70" i="2"/>
  <c r="E70" i="6" s="1"/>
  <c r="E69" i="2"/>
  <c r="E69" i="6" s="1"/>
  <c r="E68" i="2"/>
  <c r="E68" i="6" s="1"/>
  <c r="E67" i="2"/>
  <c r="E67" i="6" s="1"/>
  <c r="E66" i="2"/>
  <c r="E66" i="6" s="1"/>
  <c r="E65" i="2"/>
  <c r="E65" i="6" s="1"/>
  <c r="E64" i="2"/>
  <c r="E64" i="6" s="1"/>
  <c r="E63" i="2"/>
  <c r="E63" i="6" s="1"/>
  <c r="E62" i="2"/>
  <c r="E62" i="6" s="1"/>
  <c r="E61" i="2"/>
  <c r="E61" i="6" s="1"/>
  <c r="E60" i="2"/>
  <c r="E60" i="6" s="1"/>
  <c r="E59" i="2"/>
  <c r="E59" i="6" s="1"/>
  <c r="E58" i="2"/>
  <c r="E58" i="6" s="1"/>
  <c r="E57" i="2"/>
  <c r="E57" i="6" s="1"/>
  <c r="E56" i="2"/>
  <c r="E56" i="6" s="1"/>
  <c r="E55" i="2"/>
  <c r="E55" i="6" s="1"/>
  <c r="E54" i="2"/>
  <c r="E54" i="6" s="1"/>
  <c r="E53" i="2"/>
  <c r="E53" i="6" s="1"/>
  <c r="E52" i="2"/>
  <c r="E52" i="6" s="1"/>
  <c r="E51" i="2"/>
  <c r="E51" i="6" s="1"/>
  <c r="E50" i="2"/>
  <c r="E50" i="6" s="1"/>
  <c r="E49" i="2"/>
  <c r="E49" i="6" s="1"/>
  <c r="E48" i="2"/>
  <c r="E48" i="6" s="1"/>
  <c r="E47" i="2"/>
  <c r="E47" i="6" s="1"/>
  <c r="E46" i="2"/>
  <c r="E46" i="6" s="1"/>
  <c r="E45" i="2"/>
  <c r="E45" i="6" s="1"/>
  <c r="E44" i="2"/>
  <c r="E44" i="6" s="1"/>
  <c r="E43" i="2"/>
  <c r="E43" i="6" s="1"/>
  <c r="E42" i="2"/>
  <c r="E42" i="6" s="1"/>
  <c r="E41" i="2"/>
  <c r="E41" i="6" s="1"/>
  <c r="E40" i="2"/>
  <c r="E40" i="6" s="1"/>
  <c r="E39" i="2"/>
  <c r="E39" i="6" s="1"/>
  <c r="E38" i="2"/>
  <c r="E38" i="6" s="1"/>
  <c r="E37" i="2"/>
  <c r="E37" i="6" s="1"/>
  <c r="E36" i="2"/>
  <c r="E36" i="6" s="1"/>
  <c r="E35" i="2"/>
  <c r="E35" i="6" s="1"/>
  <c r="E34" i="2"/>
  <c r="E34" i="6" s="1"/>
  <c r="E33" i="2"/>
  <c r="E33" i="6" s="1"/>
  <c r="E32" i="2"/>
  <c r="E32" i="6" s="1"/>
  <c r="E31" i="2"/>
  <c r="E31" i="6" s="1"/>
  <c r="E30" i="2"/>
  <c r="E30" i="6" s="1"/>
  <c r="E29" i="2"/>
  <c r="E29" i="6" s="1"/>
  <c r="E28" i="2"/>
  <c r="E28" i="6" s="1"/>
  <c r="E27" i="2"/>
  <c r="E27" i="6" s="1"/>
  <c r="E26" i="2"/>
  <c r="E26" i="6" s="1"/>
  <c r="E25" i="2"/>
  <c r="E25" i="6" s="1"/>
  <c r="E24" i="2"/>
  <c r="E24" i="6" s="1"/>
  <c r="E23" i="2"/>
  <c r="E23" i="6" s="1"/>
  <c r="E22" i="2"/>
  <c r="E22" i="6" s="1"/>
  <c r="E21" i="2"/>
  <c r="E21" i="6" s="1"/>
  <c r="E20" i="2"/>
  <c r="E20" i="6" s="1"/>
  <c r="E19" i="2"/>
  <c r="E19" i="6" s="1"/>
  <c r="E18" i="2"/>
  <c r="E18" i="6" s="1"/>
  <c r="E17" i="2"/>
  <c r="E17" i="6" s="1"/>
  <c r="E16" i="2"/>
  <c r="E16" i="6" s="1"/>
  <c r="E15" i="2"/>
  <c r="E15" i="6" s="1"/>
  <c r="E14" i="2"/>
  <c r="E14" i="6" s="1"/>
  <c r="E13" i="2"/>
  <c r="E13" i="6" s="1"/>
  <c r="E12" i="2"/>
  <c r="E12" i="6" s="1"/>
  <c r="E11" i="2"/>
  <c r="E11" i="6" s="1"/>
  <c r="E10" i="2"/>
  <c r="E10" i="6" s="1"/>
  <c r="E9" i="2"/>
  <c r="E9" i="6" s="1"/>
  <c r="E8" i="2"/>
  <c r="E8" i="6" s="1"/>
  <c r="E7" i="2"/>
  <c r="E7" i="6" s="1"/>
  <c r="E6" i="2"/>
  <c r="E6" i="6" s="1"/>
  <c r="E449" i="2"/>
  <c r="E449" i="6" s="1"/>
  <c r="E448" i="2"/>
  <c r="E448" i="6" s="1"/>
  <c r="E447" i="2"/>
  <c r="E447" i="6" s="1"/>
  <c r="E446" i="2"/>
  <c r="E446" i="6" s="1"/>
  <c r="E445" i="2"/>
  <c r="E445" i="6" s="1"/>
  <c r="E444" i="2"/>
  <c r="E444" i="6" s="1"/>
  <c r="E443" i="2"/>
  <c r="E443" i="6" s="1"/>
  <c r="E442" i="2"/>
  <c r="E442" i="6" s="1"/>
  <c r="E441" i="2"/>
  <c r="E441" i="6" s="1"/>
  <c r="E440" i="2"/>
  <c r="E440" i="6" s="1"/>
  <c r="E439" i="2"/>
  <c r="E439" i="6" s="1"/>
  <c r="E438" i="2"/>
  <c r="E438" i="6" s="1"/>
  <c r="E437" i="2"/>
  <c r="E437" i="6" s="1"/>
  <c r="E436" i="2"/>
  <c r="E436" i="6" s="1"/>
  <c r="E435" i="2"/>
  <c r="E435" i="6" s="1"/>
  <c r="E434" i="2"/>
  <c r="E434" i="6" s="1"/>
  <c r="E433" i="2"/>
  <c r="E433" i="6" s="1"/>
  <c r="E432" i="2"/>
  <c r="E432" i="6" s="1"/>
  <c r="E431" i="2"/>
  <c r="E431" i="6" s="1"/>
  <c r="E430" i="2"/>
  <c r="E430" i="6" s="1"/>
  <c r="E429" i="2"/>
  <c r="E429" i="6" s="1"/>
  <c r="E428" i="2"/>
  <c r="E428" i="6" s="1"/>
  <c r="E427" i="2"/>
  <c r="E427" i="6" s="1"/>
  <c r="E426" i="2"/>
  <c r="E426" i="6" s="1"/>
  <c r="E425" i="2"/>
  <c r="E425" i="6" s="1"/>
  <c r="E424" i="2"/>
  <c r="E424" i="6" s="1"/>
  <c r="E423" i="2"/>
  <c r="E423" i="6" s="1"/>
  <c r="E422" i="2"/>
  <c r="E422" i="6" s="1"/>
  <c r="E421" i="2"/>
  <c r="E421" i="6" s="1"/>
  <c r="E420" i="2"/>
  <c r="E420" i="6" s="1"/>
  <c r="E419" i="2"/>
  <c r="E419" i="6" s="1"/>
  <c r="E418" i="2"/>
  <c r="E418" i="6" s="1"/>
  <c r="E417" i="2"/>
  <c r="E417" i="6" s="1"/>
  <c r="E416" i="2"/>
  <c r="E416" i="6" s="1"/>
  <c r="E415" i="2"/>
  <c r="E415" i="6" s="1"/>
  <c r="E414" i="2"/>
  <c r="E414" i="6" s="1"/>
  <c r="E389" i="2"/>
  <c r="E389" i="6" s="1"/>
  <c r="E388" i="2"/>
  <c r="E388" i="6" s="1"/>
  <c r="E387" i="2"/>
  <c r="E387" i="6" s="1"/>
  <c r="E386" i="2"/>
  <c r="E386" i="6" s="1"/>
  <c r="E385" i="2"/>
  <c r="E385" i="6" s="1"/>
  <c r="E384" i="2"/>
  <c r="E384" i="6" s="1"/>
  <c r="E383" i="2"/>
  <c r="E383" i="6" s="1"/>
  <c r="E382" i="2"/>
  <c r="E382" i="6" s="1"/>
  <c r="E381" i="2"/>
  <c r="E381" i="6" s="1"/>
  <c r="E380" i="2"/>
  <c r="E380" i="6" s="1"/>
  <c r="E379" i="2"/>
  <c r="E379" i="6" s="1"/>
  <c r="E378" i="2"/>
  <c r="E378" i="6" s="1"/>
  <c r="E377" i="2"/>
  <c r="E377" i="6" s="1"/>
  <c r="E356" i="2"/>
  <c r="E356" i="6" s="1"/>
  <c r="E355" i="2"/>
  <c r="E355" i="6" s="1"/>
  <c r="E354" i="2"/>
  <c r="E354" i="6" s="1"/>
  <c r="E353" i="2"/>
  <c r="E353" i="6" s="1"/>
  <c r="E352" i="2"/>
  <c r="E352" i="6" s="1"/>
  <c r="E351" i="2"/>
  <c r="E351" i="6" s="1"/>
  <c r="E350" i="2"/>
  <c r="E350" i="6" s="1"/>
  <c r="E349" i="2"/>
  <c r="E349" i="6" s="1"/>
  <c r="E348" i="2"/>
  <c r="E348" i="6" s="1"/>
  <c r="E347" i="2"/>
  <c r="E347" i="6" s="1"/>
  <c r="E346" i="2"/>
  <c r="E346" i="6" s="1"/>
  <c r="E345" i="2"/>
  <c r="E345" i="6" s="1"/>
  <c r="E344" i="2"/>
  <c r="E344" i="6" s="1"/>
  <c r="E343" i="2"/>
  <c r="E343" i="6" s="1"/>
  <c r="E342" i="2"/>
  <c r="E342" i="6" s="1"/>
  <c r="E341" i="2"/>
  <c r="E341" i="6" s="1"/>
  <c r="E340" i="2"/>
  <c r="E340" i="6" s="1"/>
  <c r="E339" i="2"/>
  <c r="E339" i="6" s="1"/>
  <c r="E338" i="2"/>
  <c r="E338" i="6" s="1"/>
  <c r="E337" i="2"/>
  <c r="E337" i="6" s="1"/>
  <c r="E336" i="2"/>
  <c r="E336" i="6" s="1"/>
  <c r="E335" i="2"/>
  <c r="E335" i="6" s="1"/>
  <c r="E334" i="2"/>
  <c r="E334" i="6" s="1"/>
  <c r="E333" i="2"/>
  <c r="E333" i="6" s="1"/>
  <c r="E332" i="2"/>
  <c r="E332" i="6" s="1"/>
  <c r="E331" i="2"/>
  <c r="E331" i="6" s="1"/>
  <c r="E330" i="2"/>
  <c r="E330" i="6" s="1"/>
  <c r="E329" i="2"/>
  <c r="E329" i="6" s="1"/>
  <c r="E328" i="2"/>
  <c r="E328" i="6" s="1"/>
  <c r="E327" i="2"/>
  <c r="E327" i="6" s="1"/>
  <c r="E326" i="2"/>
  <c r="E326" i="6" s="1"/>
  <c r="E325" i="2"/>
  <c r="E325" i="6" s="1"/>
  <c r="E324" i="2"/>
  <c r="E324" i="6" s="1"/>
  <c r="E323" i="2"/>
  <c r="E323" i="6" s="1"/>
  <c r="E322" i="2"/>
  <c r="E322" i="6" s="1"/>
  <c r="E321" i="2"/>
  <c r="E321" i="6" s="1"/>
  <c r="E320" i="2"/>
  <c r="E320" i="6" s="1"/>
  <c r="E319" i="2"/>
  <c r="E319" i="6" s="1"/>
  <c r="E318" i="2"/>
  <c r="E318" i="6" s="1"/>
  <c r="E317" i="2"/>
  <c r="E317" i="6" s="1"/>
  <c r="E316" i="2"/>
  <c r="E316" i="6" s="1"/>
  <c r="E315" i="2"/>
  <c r="E315" i="6" s="1"/>
  <c r="E314" i="2"/>
  <c r="E314" i="6" s="1"/>
  <c r="E313" i="2"/>
  <c r="E313" i="6" s="1"/>
  <c r="E312" i="2"/>
  <c r="E312" i="6" s="1"/>
  <c r="E311" i="2"/>
  <c r="E311" i="6" s="1"/>
  <c r="E310" i="2"/>
  <c r="E310" i="6" s="1"/>
  <c r="E309" i="2"/>
  <c r="E309" i="6" s="1"/>
  <c r="E308" i="2"/>
  <c r="E308" i="6" s="1"/>
  <c r="E307" i="2"/>
  <c r="E307" i="6" s="1"/>
  <c r="E306" i="2"/>
  <c r="E306" i="6" s="1"/>
  <c r="E305" i="2"/>
  <c r="E305" i="6" s="1"/>
  <c r="E304" i="2"/>
  <c r="E304" i="6" s="1"/>
  <c r="E303" i="2"/>
  <c r="E303" i="6" s="1"/>
  <c r="E302" i="2"/>
  <c r="E302" i="6" s="1"/>
  <c r="E301" i="2"/>
  <c r="E301" i="6" s="1"/>
  <c r="E292" i="2"/>
  <c r="E292" i="6" s="1"/>
  <c r="E291" i="2"/>
  <c r="E291" i="6" s="1"/>
  <c r="E290" i="2"/>
  <c r="E290" i="6" s="1"/>
  <c r="E289" i="2"/>
  <c r="E289" i="6" s="1"/>
  <c r="E288" i="2"/>
  <c r="E288" i="6" s="1"/>
  <c r="E287" i="2"/>
  <c r="E287" i="6" s="1"/>
  <c r="E278" i="2"/>
  <c r="E278" i="6" s="1"/>
  <c r="E277" i="2"/>
  <c r="E277" i="6" s="1"/>
  <c r="E276" i="2"/>
  <c r="E276" i="6" s="1"/>
  <c r="E275" i="2"/>
  <c r="E275" i="6" s="1"/>
  <c r="E274" i="2"/>
  <c r="E274" i="6" s="1"/>
  <c r="E273" i="2"/>
  <c r="E273" i="6" s="1"/>
  <c r="E272" i="2"/>
  <c r="E272" i="6" s="1"/>
  <c r="E271" i="2"/>
  <c r="E271" i="6" s="1"/>
  <c r="E270" i="2"/>
  <c r="E270" i="6" s="1"/>
  <c r="E269" i="2"/>
  <c r="E269" i="6" s="1"/>
  <c r="E268" i="2"/>
  <c r="E268" i="6" s="1"/>
  <c r="E233" i="2"/>
  <c r="E233" i="6" s="1"/>
  <c r="E232" i="2"/>
  <c r="E232" i="6" s="1"/>
  <c r="E231" i="2"/>
  <c r="E231" i="6" s="1"/>
  <c r="E230" i="2"/>
  <c r="E230" i="6" s="1"/>
  <c r="E229" i="2"/>
  <c r="E229" i="6" s="1"/>
  <c r="E228" i="2"/>
  <c r="E228" i="6" s="1"/>
  <c r="E227" i="2"/>
  <c r="E227" i="6" s="1"/>
  <c r="E226" i="2"/>
  <c r="E226" i="6" s="1"/>
  <c r="E225" i="2"/>
  <c r="E225" i="6" s="1"/>
  <c r="E191" i="2"/>
  <c r="E191" i="6" s="1"/>
  <c r="E166" i="2"/>
  <c r="E166" i="6" s="1"/>
  <c r="E165" i="2"/>
  <c r="E165" i="6" s="1"/>
  <c r="E164" i="2"/>
  <c r="E164" i="6" s="1"/>
  <c r="E163" i="2"/>
  <c r="E163" i="6" s="1"/>
  <c r="E162" i="2"/>
  <c r="E162" i="6" s="1"/>
  <c r="E161" i="2"/>
  <c r="E161" i="6" s="1"/>
  <c r="E160" i="2"/>
  <c r="E160" i="6" s="1"/>
  <c r="E159" i="2"/>
  <c r="E159" i="6" s="1"/>
  <c r="E158" i="2"/>
  <c r="E158" i="6" s="1"/>
  <c r="E157" i="2"/>
  <c r="E157" i="6" s="1"/>
  <c r="E156" i="2"/>
  <c r="E156" i="6" s="1"/>
  <c r="E155" i="2"/>
  <c r="E155" i="6" s="1"/>
  <c r="E154" i="2"/>
  <c r="E154" i="6" s="1"/>
  <c r="AC498" i="2" l="1"/>
  <c r="AC498" i="6" s="1"/>
  <c r="AB498" i="2"/>
  <c r="AB498" i="6" s="1"/>
  <c r="AC497" i="2"/>
  <c r="AC497" i="6" s="1"/>
  <c r="AB497" i="2"/>
  <c r="AB497" i="6" s="1"/>
  <c r="AC496" i="2"/>
  <c r="AC496" i="6" s="1"/>
  <c r="AB496" i="2"/>
  <c r="AB496" i="6" s="1"/>
  <c r="AC495" i="2"/>
  <c r="AC495" i="6" s="1"/>
  <c r="AB495" i="2"/>
  <c r="AB495" i="6" s="1"/>
  <c r="AC494" i="2"/>
  <c r="AC494" i="6" s="1"/>
  <c r="AB494" i="2"/>
  <c r="AB494" i="6" s="1"/>
  <c r="AC493" i="2"/>
  <c r="AC493" i="6" s="1"/>
  <c r="AB493" i="2"/>
  <c r="AB493" i="6" s="1"/>
  <c r="AC492" i="2"/>
  <c r="AC492" i="6" s="1"/>
  <c r="AB492" i="2"/>
  <c r="AB492" i="6" s="1"/>
  <c r="AC491" i="2"/>
  <c r="AC491" i="6" s="1"/>
  <c r="AB491" i="2"/>
  <c r="AB491" i="6" s="1"/>
  <c r="AC490" i="2"/>
  <c r="AC490" i="6" s="1"/>
  <c r="AB490" i="2"/>
  <c r="AB490" i="6" s="1"/>
  <c r="AC489" i="2"/>
  <c r="AC489" i="6" s="1"/>
  <c r="AB489" i="2"/>
  <c r="AB489" i="6" s="1"/>
  <c r="AC488" i="2"/>
  <c r="AC488" i="6" s="1"/>
  <c r="AB488" i="2"/>
  <c r="AB488" i="6" s="1"/>
  <c r="AC487" i="2"/>
  <c r="AC487" i="6" s="1"/>
  <c r="AB487" i="2"/>
  <c r="AB487" i="6" s="1"/>
  <c r="AC486" i="2"/>
  <c r="AC486" i="6" s="1"/>
  <c r="AB486" i="2"/>
  <c r="AB486" i="6" s="1"/>
  <c r="AC485" i="2"/>
  <c r="AC485" i="6" s="1"/>
  <c r="AB485" i="2"/>
  <c r="AB485" i="6" s="1"/>
  <c r="AC484" i="2"/>
  <c r="AC484" i="6" s="1"/>
  <c r="AB484" i="2"/>
  <c r="AB484" i="6" s="1"/>
  <c r="AC483" i="2"/>
  <c r="AC483" i="6" s="1"/>
  <c r="AB483" i="2"/>
  <c r="AB483" i="6" s="1"/>
  <c r="AC482" i="2"/>
  <c r="AC482" i="6" s="1"/>
  <c r="AB482" i="2"/>
  <c r="AB482" i="6" s="1"/>
  <c r="AC481" i="2"/>
  <c r="AC481" i="6" s="1"/>
  <c r="AB481" i="2"/>
  <c r="AB481" i="6" s="1"/>
  <c r="AC480" i="2"/>
  <c r="AC480" i="6" s="1"/>
  <c r="AB480" i="2"/>
  <c r="AB480" i="6" s="1"/>
  <c r="AC479" i="2"/>
  <c r="AC479" i="6" s="1"/>
  <c r="AB479" i="2"/>
  <c r="AB479" i="6" s="1"/>
  <c r="AC478" i="2"/>
  <c r="AC478" i="6" s="1"/>
  <c r="AB478" i="2"/>
  <c r="AB478" i="6" s="1"/>
  <c r="AC477" i="2"/>
  <c r="AC477" i="6" s="1"/>
  <c r="AB477" i="2"/>
  <c r="AB477" i="6" s="1"/>
  <c r="AC476" i="2"/>
  <c r="AC476" i="6" s="1"/>
  <c r="AB476" i="2"/>
  <c r="AB476" i="6" s="1"/>
  <c r="AC475" i="2"/>
  <c r="AC475" i="6" s="1"/>
  <c r="AB475" i="2"/>
  <c r="AB475" i="6" s="1"/>
  <c r="AC474" i="2"/>
  <c r="AC474" i="6" s="1"/>
  <c r="AB474" i="2"/>
  <c r="AB474" i="6" s="1"/>
  <c r="AC473" i="2"/>
  <c r="AC473" i="6" s="1"/>
  <c r="AB473" i="2"/>
  <c r="AB473" i="6" s="1"/>
  <c r="AC472" i="2"/>
  <c r="AC472" i="6" s="1"/>
  <c r="AB472" i="2"/>
  <c r="AB472" i="6" s="1"/>
  <c r="AC471" i="2"/>
  <c r="AC471" i="6" s="1"/>
  <c r="AB471" i="2"/>
  <c r="AB471" i="6" s="1"/>
  <c r="AC470" i="2"/>
  <c r="AC470" i="6" s="1"/>
  <c r="AB470" i="2"/>
  <c r="AB470" i="6" s="1"/>
  <c r="AC469" i="2"/>
  <c r="AC469" i="6" s="1"/>
  <c r="AB469" i="2"/>
  <c r="AB469" i="6" s="1"/>
  <c r="AC468" i="2"/>
  <c r="AC468" i="6" s="1"/>
  <c r="AB468" i="2"/>
  <c r="AB468" i="6" s="1"/>
  <c r="AC467" i="2"/>
  <c r="AC467" i="6" s="1"/>
  <c r="AB467" i="2"/>
  <c r="AB467" i="6" s="1"/>
  <c r="AC466" i="2"/>
  <c r="AC466" i="6" s="1"/>
  <c r="AB466" i="2"/>
  <c r="AB466" i="6" s="1"/>
  <c r="AC465" i="2"/>
  <c r="AC465" i="6" s="1"/>
  <c r="AB465" i="2"/>
  <c r="AB465" i="6" s="1"/>
  <c r="AC464" i="2"/>
  <c r="AC464" i="6" s="1"/>
  <c r="AB464" i="2"/>
  <c r="AB464" i="6" s="1"/>
  <c r="AC463" i="2"/>
  <c r="AC463" i="6" s="1"/>
  <c r="AB463" i="2"/>
  <c r="AB463" i="6" s="1"/>
  <c r="AC462" i="2"/>
  <c r="AC462" i="6" s="1"/>
  <c r="AB462" i="2"/>
  <c r="AB462" i="6" s="1"/>
  <c r="AC461" i="2"/>
  <c r="AC461" i="6" s="1"/>
  <c r="AB461" i="2"/>
  <c r="AB461" i="6" s="1"/>
  <c r="AC460" i="2"/>
  <c r="AC460" i="6" s="1"/>
  <c r="AB460" i="2"/>
  <c r="AB460" i="6" s="1"/>
  <c r="AC459" i="2"/>
  <c r="AC459" i="6" s="1"/>
  <c r="AB459" i="2"/>
  <c r="AB459" i="6" s="1"/>
  <c r="AC458" i="2"/>
  <c r="AC458" i="6" s="1"/>
  <c r="AB458" i="2"/>
  <c r="AB458" i="6" s="1"/>
  <c r="AC457" i="2"/>
  <c r="AC457" i="6" s="1"/>
  <c r="AB457" i="2"/>
  <c r="AB457" i="6" s="1"/>
  <c r="AC456" i="2"/>
  <c r="AC456" i="6" s="1"/>
  <c r="AB456" i="2"/>
  <c r="AB456" i="6" s="1"/>
  <c r="AC455" i="2"/>
  <c r="AC455" i="6" s="1"/>
  <c r="AB455" i="2"/>
  <c r="AB455" i="6" s="1"/>
  <c r="AC454" i="2"/>
  <c r="AC454" i="6" s="1"/>
  <c r="AB454" i="2"/>
  <c r="AB454" i="6" s="1"/>
  <c r="AC453" i="2"/>
  <c r="AC453" i="6" s="1"/>
  <c r="AB453" i="2"/>
  <c r="AB453" i="6" s="1"/>
  <c r="AC452" i="2"/>
  <c r="AC452" i="6" s="1"/>
  <c r="AB452" i="2"/>
  <c r="AB452" i="6" s="1"/>
  <c r="AC451" i="2"/>
  <c r="AC451" i="6" s="1"/>
  <c r="AB451" i="2"/>
  <c r="AB451" i="6" s="1"/>
  <c r="AC450" i="2"/>
  <c r="AC450" i="6" s="1"/>
  <c r="AB450" i="2"/>
  <c r="AB450" i="6" s="1"/>
  <c r="AC449" i="2"/>
  <c r="AC449" i="6" s="1"/>
  <c r="AB449" i="2"/>
  <c r="AB449" i="6" s="1"/>
  <c r="AC448" i="2"/>
  <c r="AC448" i="6" s="1"/>
  <c r="AB448" i="2"/>
  <c r="AB448" i="6" s="1"/>
  <c r="AC447" i="2"/>
  <c r="AC447" i="6" s="1"/>
  <c r="AB447" i="2"/>
  <c r="AB447" i="6" s="1"/>
  <c r="AC446" i="2"/>
  <c r="AC446" i="6" s="1"/>
  <c r="AB446" i="2"/>
  <c r="AB446" i="6" s="1"/>
  <c r="AC445" i="2"/>
  <c r="AC445" i="6" s="1"/>
  <c r="AB445" i="2"/>
  <c r="AB445" i="6" s="1"/>
  <c r="AC444" i="2"/>
  <c r="AC444" i="6" s="1"/>
  <c r="AB444" i="2"/>
  <c r="AB444" i="6" s="1"/>
  <c r="AC443" i="2"/>
  <c r="AC443" i="6" s="1"/>
  <c r="AB443" i="2"/>
  <c r="AB443" i="6" s="1"/>
  <c r="AC442" i="2"/>
  <c r="AC442" i="6" s="1"/>
  <c r="AB442" i="2"/>
  <c r="AB442" i="6" s="1"/>
  <c r="AC441" i="2"/>
  <c r="AC441" i="6" s="1"/>
  <c r="AB441" i="2"/>
  <c r="AB441" i="6" s="1"/>
  <c r="AC440" i="2"/>
  <c r="AC440" i="6" s="1"/>
  <c r="AB440" i="2"/>
  <c r="AB440" i="6" s="1"/>
  <c r="AC439" i="2"/>
  <c r="AC439" i="6" s="1"/>
  <c r="AB439" i="2"/>
  <c r="AB439" i="6" s="1"/>
  <c r="AC438" i="2"/>
  <c r="AC438" i="6" s="1"/>
  <c r="AB438" i="2"/>
  <c r="AB438" i="6" s="1"/>
  <c r="AC437" i="2"/>
  <c r="AC437" i="6" s="1"/>
  <c r="AB437" i="2"/>
  <c r="AB437" i="6" s="1"/>
  <c r="AC436" i="2"/>
  <c r="AC436" i="6" s="1"/>
  <c r="AB436" i="2"/>
  <c r="AB436" i="6" s="1"/>
  <c r="AC435" i="2"/>
  <c r="AC435" i="6" s="1"/>
  <c r="AB435" i="2"/>
  <c r="AB435" i="6" s="1"/>
  <c r="AC434" i="2"/>
  <c r="AC434" i="6" s="1"/>
  <c r="AB434" i="2"/>
  <c r="AB434" i="6" s="1"/>
  <c r="AC433" i="2"/>
  <c r="AC433" i="6" s="1"/>
  <c r="AB433" i="2"/>
  <c r="AB433" i="6" s="1"/>
  <c r="AC432" i="2"/>
  <c r="AC432" i="6" s="1"/>
  <c r="AB432" i="2"/>
  <c r="AB432" i="6" s="1"/>
  <c r="AC431" i="2"/>
  <c r="AC431" i="6" s="1"/>
  <c r="AB431" i="2"/>
  <c r="AB431" i="6" s="1"/>
  <c r="AC430" i="2"/>
  <c r="AC430" i="6" s="1"/>
  <c r="AB430" i="2"/>
  <c r="AB430" i="6" s="1"/>
  <c r="AC429" i="2"/>
  <c r="AC429" i="6" s="1"/>
  <c r="AB429" i="2"/>
  <c r="AB429" i="6" s="1"/>
  <c r="AC428" i="2"/>
  <c r="AC428" i="6" s="1"/>
  <c r="AB428" i="2"/>
  <c r="AB428" i="6" s="1"/>
  <c r="AC427" i="2"/>
  <c r="AC427" i="6" s="1"/>
  <c r="AB427" i="2"/>
  <c r="AB427" i="6" s="1"/>
  <c r="AC426" i="2"/>
  <c r="AC426" i="6" s="1"/>
  <c r="AB426" i="2"/>
  <c r="AB426" i="6" s="1"/>
  <c r="AC425" i="2"/>
  <c r="AC425" i="6" s="1"/>
  <c r="AB425" i="2"/>
  <c r="AB425" i="6" s="1"/>
  <c r="AC424" i="2"/>
  <c r="AC424" i="6" s="1"/>
  <c r="AB424" i="2"/>
  <c r="AB424" i="6" s="1"/>
  <c r="AC423" i="2"/>
  <c r="AC423" i="6" s="1"/>
  <c r="AB423" i="2"/>
  <c r="AB423" i="6" s="1"/>
  <c r="AC422" i="2"/>
  <c r="AC422" i="6" s="1"/>
  <c r="AB422" i="2"/>
  <c r="AB422" i="6" s="1"/>
  <c r="AC421" i="2"/>
  <c r="AC421" i="6" s="1"/>
  <c r="AB421" i="2"/>
  <c r="AB421" i="6" s="1"/>
  <c r="AC420" i="2"/>
  <c r="AC420" i="6" s="1"/>
  <c r="AB420" i="2"/>
  <c r="AB420" i="6" s="1"/>
  <c r="AC419" i="2"/>
  <c r="AC419" i="6" s="1"/>
  <c r="AB419" i="2"/>
  <c r="AB419" i="6" s="1"/>
  <c r="AC418" i="2"/>
  <c r="AC418" i="6" s="1"/>
  <c r="AB418" i="2"/>
  <c r="AB418" i="6" s="1"/>
  <c r="AC417" i="2"/>
  <c r="AC417" i="6" s="1"/>
  <c r="AB417" i="2"/>
  <c r="AB417" i="6" s="1"/>
  <c r="AC416" i="2"/>
  <c r="AC416" i="6" s="1"/>
  <c r="AB416" i="2"/>
  <c r="AB416" i="6" s="1"/>
  <c r="AC415" i="2"/>
  <c r="AC415" i="6" s="1"/>
  <c r="AB415" i="2"/>
  <c r="AB415" i="6" s="1"/>
  <c r="AC414" i="2"/>
  <c r="AC414" i="6" s="1"/>
  <c r="AB414" i="2"/>
  <c r="AB414" i="6" s="1"/>
  <c r="AC413" i="2"/>
  <c r="AC413" i="6" s="1"/>
  <c r="AB413" i="2"/>
  <c r="AB413" i="6" s="1"/>
  <c r="AC412" i="2"/>
  <c r="AC412" i="6" s="1"/>
  <c r="AB412" i="2"/>
  <c r="AB412" i="6" s="1"/>
  <c r="AC411" i="2"/>
  <c r="AC411" i="6" s="1"/>
  <c r="AB411" i="2"/>
  <c r="AB411" i="6" s="1"/>
  <c r="AC410" i="2"/>
  <c r="AC410" i="6" s="1"/>
  <c r="AB410" i="2"/>
  <c r="AB410" i="6" s="1"/>
  <c r="AC409" i="2"/>
  <c r="AC409" i="6" s="1"/>
  <c r="AB409" i="2"/>
  <c r="AB409" i="6" s="1"/>
  <c r="AC408" i="2"/>
  <c r="AC408" i="6" s="1"/>
  <c r="AB408" i="2"/>
  <c r="AB408" i="6" s="1"/>
  <c r="AC407" i="2"/>
  <c r="AC407" i="6" s="1"/>
  <c r="AB407" i="2"/>
  <c r="AB407" i="6" s="1"/>
  <c r="AC406" i="2"/>
  <c r="AC406" i="6" s="1"/>
  <c r="AB406" i="2"/>
  <c r="AB406" i="6" s="1"/>
  <c r="AC405" i="2"/>
  <c r="AC405" i="6" s="1"/>
  <c r="AB405" i="2"/>
  <c r="AB405" i="6" s="1"/>
  <c r="AC404" i="2"/>
  <c r="AC404" i="6" s="1"/>
  <c r="AB404" i="2"/>
  <c r="AB404" i="6" s="1"/>
  <c r="AC403" i="2"/>
  <c r="AC403" i="6" s="1"/>
  <c r="AB403" i="2"/>
  <c r="AB403" i="6" s="1"/>
  <c r="AC402" i="2"/>
  <c r="AC402" i="6" s="1"/>
  <c r="AB402" i="2"/>
  <c r="AB402" i="6" s="1"/>
  <c r="AC401" i="2"/>
  <c r="AC401" i="6" s="1"/>
  <c r="AB401" i="2"/>
  <c r="AB401" i="6" s="1"/>
  <c r="AC400" i="2"/>
  <c r="AC400" i="6" s="1"/>
  <c r="AB400" i="2"/>
  <c r="AB400" i="6" s="1"/>
  <c r="AC399" i="2"/>
  <c r="AC399" i="6" s="1"/>
  <c r="AB399" i="2"/>
  <c r="AB399" i="6" s="1"/>
  <c r="AC398" i="2"/>
  <c r="AC398" i="6" s="1"/>
  <c r="AB398" i="2"/>
  <c r="AB398" i="6" s="1"/>
  <c r="AC397" i="2"/>
  <c r="AC397" i="6" s="1"/>
  <c r="AB397" i="2"/>
  <c r="AB397" i="6" s="1"/>
  <c r="AC396" i="2"/>
  <c r="AC396" i="6" s="1"/>
  <c r="AB396" i="2"/>
  <c r="AB396" i="6" s="1"/>
  <c r="AC395" i="2"/>
  <c r="AC395" i="6" s="1"/>
  <c r="AB395" i="2"/>
  <c r="AB395" i="6" s="1"/>
  <c r="AC394" i="2"/>
  <c r="AC394" i="6" s="1"/>
  <c r="AB394" i="2"/>
  <c r="AB394" i="6" s="1"/>
  <c r="AC393" i="2"/>
  <c r="AC393" i="6" s="1"/>
  <c r="AB393" i="2"/>
  <c r="AB393" i="6" s="1"/>
  <c r="AC392" i="2"/>
  <c r="AC392" i="6" s="1"/>
  <c r="AB392" i="2"/>
  <c r="AB392" i="6" s="1"/>
  <c r="AC391" i="2"/>
  <c r="AC391" i="6" s="1"/>
  <c r="AB391" i="2"/>
  <c r="AB391" i="6" s="1"/>
  <c r="AC390" i="2"/>
  <c r="AC390" i="6" s="1"/>
  <c r="AB390" i="2"/>
  <c r="AB390" i="6" s="1"/>
  <c r="AC389" i="2"/>
  <c r="AC389" i="6" s="1"/>
  <c r="AB389" i="2"/>
  <c r="AB389" i="6" s="1"/>
  <c r="AC388" i="2"/>
  <c r="AC388" i="6" s="1"/>
  <c r="AB388" i="2"/>
  <c r="AB388" i="6" s="1"/>
  <c r="AC387" i="2"/>
  <c r="AC387" i="6" s="1"/>
  <c r="AB387" i="2"/>
  <c r="AB387" i="6" s="1"/>
  <c r="AC386" i="2"/>
  <c r="AC386" i="6" s="1"/>
  <c r="AB386" i="2"/>
  <c r="AB386" i="6" s="1"/>
  <c r="AC385" i="2"/>
  <c r="AC385" i="6" s="1"/>
  <c r="AB385" i="2"/>
  <c r="AB385" i="6" s="1"/>
  <c r="AC384" i="2"/>
  <c r="AC384" i="6" s="1"/>
  <c r="AB384" i="2"/>
  <c r="AB384" i="6" s="1"/>
  <c r="AC383" i="2"/>
  <c r="AC383" i="6" s="1"/>
  <c r="AB383" i="2"/>
  <c r="AB383" i="6" s="1"/>
  <c r="AC382" i="2"/>
  <c r="AC382" i="6" s="1"/>
  <c r="AB382" i="2"/>
  <c r="AB382" i="6" s="1"/>
  <c r="AC381" i="2"/>
  <c r="AC381" i="6" s="1"/>
  <c r="AB381" i="2"/>
  <c r="AB381" i="6" s="1"/>
  <c r="AC380" i="2"/>
  <c r="AC380" i="6" s="1"/>
  <c r="AB380" i="2"/>
  <c r="AB380" i="6" s="1"/>
  <c r="AC379" i="2"/>
  <c r="AC379" i="6" s="1"/>
  <c r="AB379" i="2"/>
  <c r="AB379" i="6" s="1"/>
  <c r="AC378" i="2"/>
  <c r="AC378" i="6" s="1"/>
  <c r="AB378" i="2"/>
  <c r="AB378" i="6" s="1"/>
  <c r="AC377" i="2"/>
  <c r="AC377" i="6" s="1"/>
  <c r="AB377" i="2"/>
  <c r="AB377" i="6" s="1"/>
  <c r="AC376" i="2"/>
  <c r="AC376" i="6" s="1"/>
  <c r="AB376" i="2"/>
  <c r="AB376" i="6" s="1"/>
  <c r="AC375" i="2"/>
  <c r="AC375" i="6" s="1"/>
  <c r="AB375" i="2"/>
  <c r="AB375" i="6" s="1"/>
  <c r="AC374" i="2"/>
  <c r="AC374" i="6" s="1"/>
  <c r="AB374" i="2"/>
  <c r="AB374" i="6" s="1"/>
  <c r="AC373" i="2"/>
  <c r="AC373" i="6" s="1"/>
  <c r="AB373" i="2"/>
  <c r="AB373" i="6" s="1"/>
  <c r="AC372" i="2"/>
  <c r="AC372" i="6" s="1"/>
  <c r="AB372" i="2"/>
  <c r="AB372" i="6" s="1"/>
  <c r="AC371" i="2"/>
  <c r="AC371" i="6" s="1"/>
  <c r="AB371" i="2"/>
  <c r="AB371" i="6" s="1"/>
  <c r="AC370" i="2"/>
  <c r="AC370" i="6" s="1"/>
  <c r="AB370" i="2"/>
  <c r="AB370" i="6" s="1"/>
  <c r="AC369" i="2"/>
  <c r="AC369" i="6" s="1"/>
  <c r="AB369" i="2"/>
  <c r="AB369" i="6" s="1"/>
  <c r="AC368" i="2"/>
  <c r="AC368" i="6" s="1"/>
  <c r="AB368" i="2"/>
  <c r="AB368" i="6" s="1"/>
  <c r="AC367" i="2"/>
  <c r="AC367" i="6" s="1"/>
  <c r="AB367" i="2"/>
  <c r="AB367" i="6" s="1"/>
  <c r="AC366" i="2"/>
  <c r="AC366" i="6" s="1"/>
  <c r="AB366" i="2"/>
  <c r="AB366" i="6" s="1"/>
  <c r="AC365" i="2"/>
  <c r="AC365" i="6" s="1"/>
  <c r="AB365" i="2"/>
  <c r="AB365" i="6" s="1"/>
  <c r="AC364" i="2"/>
  <c r="AC364" i="6" s="1"/>
  <c r="AB364" i="2"/>
  <c r="AB364" i="6" s="1"/>
  <c r="AC363" i="2"/>
  <c r="AC363" i="6" s="1"/>
  <c r="AB363" i="2"/>
  <c r="AB363" i="6" s="1"/>
  <c r="AC362" i="2"/>
  <c r="AC362" i="6" s="1"/>
  <c r="AB362" i="2"/>
  <c r="AB362" i="6" s="1"/>
  <c r="AC361" i="2"/>
  <c r="AC361" i="6" s="1"/>
  <c r="AB361" i="2"/>
  <c r="AB361" i="6" s="1"/>
  <c r="AC360" i="2"/>
  <c r="AC360" i="6" s="1"/>
  <c r="AB360" i="2"/>
  <c r="AB360" i="6" s="1"/>
  <c r="AC359" i="2"/>
  <c r="AC359" i="6" s="1"/>
  <c r="AB359" i="2"/>
  <c r="AB359" i="6" s="1"/>
  <c r="AC358" i="2"/>
  <c r="AC358" i="6" s="1"/>
  <c r="AB358" i="2"/>
  <c r="AB358" i="6" s="1"/>
  <c r="AC357" i="2"/>
  <c r="AC357" i="6" s="1"/>
  <c r="AB357" i="2"/>
  <c r="AB357" i="6" s="1"/>
  <c r="AC356" i="2"/>
  <c r="AC356" i="6" s="1"/>
  <c r="AB356" i="2"/>
  <c r="AB356" i="6" s="1"/>
  <c r="AC355" i="2"/>
  <c r="AC355" i="6" s="1"/>
  <c r="AB355" i="2"/>
  <c r="AB355" i="6" s="1"/>
  <c r="AC354" i="2"/>
  <c r="AC354" i="6" s="1"/>
  <c r="AB354" i="2"/>
  <c r="AB354" i="6" s="1"/>
  <c r="AC353" i="2"/>
  <c r="AC353" i="6" s="1"/>
  <c r="AB353" i="2"/>
  <c r="AB353" i="6" s="1"/>
  <c r="AC352" i="2"/>
  <c r="AC352" i="6" s="1"/>
  <c r="AB352" i="2"/>
  <c r="AB352" i="6" s="1"/>
  <c r="AC351" i="2"/>
  <c r="AC351" i="6" s="1"/>
  <c r="AB351" i="2"/>
  <c r="AB351" i="6" s="1"/>
  <c r="AC350" i="2"/>
  <c r="AC350" i="6" s="1"/>
  <c r="AB350" i="2"/>
  <c r="AB350" i="6" s="1"/>
  <c r="AC349" i="2"/>
  <c r="AC349" i="6" s="1"/>
  <c r="AB349" i="2"/>
  <c r="AB349" i="6" s="1"/>
  <c r="AC348" i="2"/>
  <c r="AC348" i="6" s="1"/>
  <c r="AB348" i="2"/>
  <c r="AB348" i="6" s="1"/>
  <c r="AC347" i="2"/>
  <c r="AC347" i="6" s="1"/>
  <c r="AB347" i="2"/>
  <c r="AB347" i="6" s="1"/>
  <c r="AC346" i="2"/>
  <c r="AC346" i="6" s="1"/>
  <c r="AB346" i="2"/>
  <c r="AB346" i="6" s="1"/>
  <c r="AC345" i="2"/>
  <c r="AC345" i="6" s="1"/>
  <c r="AB345" i="2"/>
  <c r="AB345" i="6" s="1"/>
  <c r="AC344" i="2"/>
  <c r="AC344" i="6" s="1"/>
  <c r="AB344" i="2"/>
  <c r="AB344" i="6" s="1"/>
  <c r="AC343" i="2"/>
  <c r="AC343" i="6" s="1"/>
  <c r="AB343" i="2"/>
  <c r="AB343" i="6" s="1"/>
  <c r="AC342" i="2"/>
  <c r="AC342" i="6" s="1"/>
  <c r="AB342" i="2"/>
  <c r="AB342" i="6" s="1"/>
  <c r="AC341" i="2"/>
  <c r="AC341" i="6" s="1"/>
  <c r="AB341" i="2"/>
  <c r="AB341" i="6" s="1"/>
  <c r="AC340" i="2"/>
  <c r="AC340" i="6" s="1"/>
  <c r="AB340" i="2"/>
  <c r="AB340" i="6" s="1"/>
  <c r="AC339" i="2"/>
  <c r="AC339" i="6" s="1"/>
  <c r="AB339" i="2"/>
  <c r="AB339" i="6" s="1"/>
  <c r="AC338" i="2"/>
  <c r="AC338" i="6" s="1"/>
  <c r="AB338" i="2"/>
  <c r="AB338" i="6" s="1"/>
  <c r="AC337" i="2"/>
  <c r="AC337" i="6" s="1"/>
  <c r="AB337" i="2"/>
  <c r="AB337" i="6" s="1"/>
  <c r="AC336" i="2"/>
  <c r="AC336" i="6" s="1"/>
  <c r="AB336" i="2"/>
  <c r="AB336" i="6" s="1"/>
  <c r="AC335" i="2"/>
  <c r="AC335" i="6" s="1"/>
  <c r="AB335" i="2"/>
  <c r="AB335" i="6" s="1"/>
  <c r="AC334" i="2"/>
  <c r="AC334" i="6" s="1"/>
  <c r="AB334" i="2"/>
  <c r="AB334" i="6" s="1"/>
  <c r="AC333" i="2"/>
  <c r="AC333" i="6" s="1"/>
  <c r="AB333" i="2"/>
  <c r="AB333" i="6" s="1"/>
  <c r="AC332" i="2"/>
  <c r="AC332" i="6" s="1"/>
  <c r="AB332" i="2"/>
  <c r="AB332" i="6" s="1"/>
  <c r="AC331" i="2"/>
  <c r="AC331" i="6" s="1"/>
  <c r="AB331" i="2"/>
  <c r="AB331" i="6" s="1"/>
  <c r="AC330" i="2"/>
  <c r="AC330" i="6" s="1"/>
  <c r="AB330" i="2"/>
  <c r="AB330" i="6" s="1"/>
  <c r="AC329" i="2"/>
  <c r="AC329" i="6" s="1"/>
  <c r="AB329" i="2"/>
  <c r="AB329" i="6" s="1"/>
  <c r="AC328" i="2"/>
  <c r="AC328" i="6" s="1"/>
  <c r="AB328" i="2"/>
  <c r="AB328" i="6" s="1"/>
  <c r="AC327" i="2"/>
  <c r="AC327" i="6" s="1"/>
  <c r="AB327" i="2"/>
  <c r="AB327" i="6" s="1"/>
  <c r="AC326" i="2"/>
  <c r="AC326" i="6" s="1"/>
  <c r="AB326" i="2"/>
  <c r="AB326" i="6" s="1"/>
  <c r="AC325" i="2"/>
  <c r="AC325" i="6" s="1"/>
  <c r="AB325" i="2"/>
  <c r="AB325" i="6" s="1"/>
  <c r="AC324" i="2"/>
  <c r="AC324" i="6" s="1"/>
  <c r="AB324" i="2"/>
  <c r="AB324" i="6" s="1"/>
  <c r="AC323" i="2"/>
  <c r="AC323" i="6" s="1"/>
  <c r="AB323" i="2"/>
  <c r="AB323" i="6" s="1"/>
  <c r="AC322" i="2"/>
  <c r="AC322" i="6" s="1"/>
  <c r="AB322" i="2"/>
  <c r="AB322" i="6" s="1"/>
  <c r="AC321" i="2"/>
  <c r="AC321" i="6" s="1"/>
  <c r="AB321" i="2"/>
  <c r="AB321" i="6" s="1"/>
  <c r="AC320" i="2"/>
  <c r="AC320" i="6" s="1"/>
  <c r="AB320" i="2"/>
  <c r="AB320" i="6" s="1"/>
  <c r="AC319" i="2"/>
  <c r="AC319" i="6" s="1"/>
  <c r="AB319" i="2"/>
  <c r="AB319" i="6" s="1"/>
  <c r="AC318" i="2"/>
  <c r="AC318" i="6" s="1"/>
  <c r="AB318" i="2"/>
  <c r="AB318" i="6" s="1"/>
  <c r="AC317" i="2"/>
  <c r="AC317" i="6" s="1"/>
  <c r="AB317" i="2"/>
  <c r="AB317" i="6" s="1"/>
  <c r="AC316" i="2"/>
  <c r="AC316" i="6" s="1"/>
  <c r="AB316" i="2"/>
  <c r="AB316" i="6" s="1"/>
  <c r="AC315" i="2"/>
  <c r="AC315" i="6" s="1"/>
  <c r="AB315" i="2"/>
  <c r="AB315" i="6" s="1"/>
  <c r="AC314" i="2"/>
  <c r="AC314" i="6" s="1"/>
  <c r="AB314" i="2"/>
  <c r="AB314" i="6" s="1"/>
  <c r="AC313" i="2"/>
  <c r="AC313" i="6" s="1"/>
  <c r="AB313" i="2"/>
  <c r="AB313" i="6" s="1"/>
  <c r="AC312" i="2"/>
  <c r="AC312" i="6" s="1"/>
  <c r="AB312" i="2"/>
  <c r="AB312" i="6" s="1"/>
  <c r="AC311" i="2"/>
  <c r="AC311" i="6" s="1"/>
  <c r="AB311" i="2"/>
  <c r="AB311" i="6" s="1"/>
  <c r="AC310" i="2"/>
  <c r="AC310" i="6" s="1"/>
  <c r="AB310" i="2"/>
  <c r="AB310" i="6" s="1"/>
  <c r="AC309" i="2"/>
  <c r="AC309" i="6" s="1"/>
  <c r="AB309" i="2"/>
  <c r="AB309" i="6" s="1"/>
  <c r="AC308" i="2"/>
  <c r="AC308" i="6" s="1"/>
  <c r="AB308" i="2"/>
  <c r="AB308" i="6" s="1"/>
  <c r="AC307" i="2"/>
  <c r="AC307" i="6" s="1"/>
  <c r="AB307" i="2"/>
  <c r="AB307" i="6" s="1"/>
  <c r="AC306" i="2"/>
  <c r="AC306" i="6" s="1"/>
  <c r="AB306" i="2"/>
  <c r="AB306" i="6" s="1"/>
  <c r="AC305" i="2"/>
  <c r="AC305" i="6" s="1"/>
  <c r="AB305" i="2"/>
  <c r="AB305" i="6" s="1"/>
  <c r="AC304" i="2"/>
  <c r="AC304" i="6" s="1"/>
  <c r="AB304" i="2"/>
  <c r="AB304" i="6" s="1"/>
  <c r="AC303" i="2"/>
  <c r="AC303" i="6" s="1"/>
  <c r="AB303" i="2"/>
  <c r="AB303" i="6" s="1"/>
  <c r="AC302" i="2"/>
  <c r="AC302" i="6" s="1"/>
  <c r="AB302" i="2"/>
  <c r="AB302" i="6" s="1"/>
  <c r="AC301" i="2"/>
  <c r="AC301" i="6" s="1"/>
  <c r="AB301" i="2"/>
  <c r="AB301" i="6" s="1"/>
  <c r="AC300" i="2"/>
  <c r="AC300" i="6" s="1"/>
  <c r="AB300" i="2"/>
  <c r="AB300" i="6" s="1"/>
  <c r="AC299" i="2"/>
  <c r="AC299" i="6" s="1"/>
  <c r="AB299" i="2"/>
  <c r="AB299" i="6" s="1"/>
  <c r="AC298" i="2"/>
  <c r="AC298" i="6" s="1"/>
  <c r="AB298" i="2"/>
  <c r="AB298" i="6" s="1"/>
  <c r="AC297" i="2"/>
  <c r="AC297" i="6" s="1"/>
  <c r="AB297" i="2"/>
  <c r="AB297" i="6" s="1"/>
  <c r="AC296" i="2"/>
  <c r="AC296" i="6" s="1"/>
  <c r="AB296" i="2"/>
  <c r="AB296" i="6" s="1"/>
  <c r="AC295" i="2"/>
  <c r="AC295" i="6" s="1"/>
  <c r="AB295" i="2"/>
  <c r="AB295" i="6" s="1"/>
  <c r="AC294" i="2"/>
  <c r="AC294" i="6" s="1"/>
  <c r="AB294" i="2"/>
  <c r="AB294" i="6" s="1"/>
  <c r="AC293" i="2"/>
  <c r="AC293" i="6" s="1"/>
  <c r="AB293" i="2"/>
  <c r="AB293" i="6" s="1"/>
  <c r="AC292" i="2"/>
  <c r="AC292" i="6" s="1"/>
  <c r="AB292" i="2"/>
  <c r="AB292" i="6" s="1"/>
  <c r="AC291" i="2"/>
  <c r="AC291" i="6" s="1"/>
  <c r="AB291" i="2"/>
  <c r="AB291" i="6" s="1"/>
  <c r="AC290" i="2"/>
  <c r="AC290" i="6" s="1"/>
  <c r="AB290" i="2"/>
  <c r="AB290" i="6" s="1"/>
  <c r="AC289" i="2"/>
  <c r="AC289" i="6" s="1"/>
  <c r="AB289" i="2"/>
  <c r="AB289" i="6" s="1"/>
  <c r="AC288" i="2"/>
  <c r="AC288" i="6" s="1"/>
  <c r="AB288" i="2"/>
  <c r="AB288" i="6" s="1"/>
  <c r="AC287" i="2"/>
  <c r="AC287" i="6" s="1"/>
  <c r="AB287" i="2"/>
  <c r="AB287" i="6" s="1"/>
  <c r="AC286" i="2"/>
  <c r="AC286" i="6" s="1"/>
  <c r="AB286" i="2"/>
  <c r="AB286" i="6" s="1"/>
  <c r="AC285" i="2"/>
  <c r="AC285" i="6" s="1"/>
  <c r="AB285" i="2"/>
  <c r="AB285" i="6" s="1"/>
  <c r="AC284" i="2"/>
  <c r="AC284" i="6" s="1"/>
  <c r="AB284" i="2"/>
  <c r="AB284" i="6" s="1"/>
  <c r="AC283" i="2"/>
  <c r="AC283" i="6" s="1"/>
  <c r="AB283" i="2"/>
  <c r="AB283" i="6" s="1"/>
  <c r="AC282" i="2"/>
  <c r="AC282" i="6" s="1"/>
  <c r="AB282" i="2"/>
  <c r="AB282" i="6" s="1"/>
  <c r="AC281" i="2"/>
  <c r="AC281" i="6" s="1"/>
  <c r="AB281" i="2"/>
  <c r="AB281" i="6" s="1"/>
  <c r="AC280" i="2"/>
  <c r="AC280" i="6" s="1"/>
  <c r="AB280" i="2"/>
  <c r="AB280" i="6" s="1"/>
  <c r="AC279" i="2"/>
  <c r="AC279" i="6" s="1"/>
  <c r="AB279" i="2"/>
  <c r="AB279" i="6" s="1"/>
  <c r="AC278" i="2"/>
  <c r="AC278" i="6" s="1"/>
  <c r="AB278" i="2"/>
  <c r="AB278" i="6" s="1"/>
  <c r="AC277" i="2"/>
  <c r="AC277" i="6" s="1"/>
  <c r="AB277" i="2"/>
  <c r="AB277" i="6" s="1"/>
  <c r="AC276" i="2"/>
  <c r="AC276" i="6" s="1"/>
  <c r="AB276" i="2"/>
  <c r="AB276" i="6" s="1"/>
  <c r="AC275" i="2"/>
  <c r="AC275" i="6" s="1"/>
  <c r="AB275" i="2"/>
  <c r="AB275" i="6" s="1"/>
  <c r="AC274" i="2"/>
  <c r="AC274" i="6" s="1"/>
  <c r="AB274" i="2"/>
  <c r="AB274" i="6" s="1"/>
  <c r="AC273" i="2"/>
  <c r="AC273" i="6" s="1"/>
  <c r="AB273" i="2"/>
  <c r="AB273" i="6" s="1"/>
  <c r="AC272" i="2"/>
  <c r="AC272" i="6" s="1"/>
  <c r="AB272" i="2"/>
  <c r="AB272" i="6" s="1"/>
  <c r="AC271" i="2"/>
  <c r="AC271" i="6" s="1"/>
  <c r="AB271" i="2"/>
  <c r="AB271" i="6" s="1"/>
  <c r="AC270" i="2"/>
  <c r="AC270" i="6" s="1"/>
  <c r="AB270" i="2"/>
  <c r="AB270" i="6" s="1"/>
  <c r="AC269" i="2"/>
  <c r="AC269" i="6" s="1"/>
  <c r="AB269" i="2"/>
  <c r="AB269" i="6" s="1"/>
  <c r="AC268" i="2"/>
  <c r="AC268" i="6" s="1"/>
  <c r="AB268" i="2"/>
  <c r="AB268" i="6" s="1"/>
  <c r="AC267" i="2"/>
  <c r="AC267" i="6" s="1"/>
  <c r="AB267" i="2"/>
  <c r="AB267" i="6" s="1"/>
  <c r="AC266" i="2"/>
  <c r="AC266" i="6" s="1"/>
  <c r="AB266" i="2"/>
  <c r="AB266" i="6" s="1"/>
  <c r="AC265" i="2"/>
  <c r="AC265" i="6" s="1"/>
  <c r="AB265" i="2"/>
  <c r="AB265" i="6" s="1"/>
  <c r="AC264" i="2"/>
  <c r="AC264" i="6" s="1"/>
  <c r="AB264" i="2"/>
  <c r="AB264" i="6" s="1"/>
  <c r="AC263" i="2"/>
  <c r="AC263" i="6" s="1"/>
  <c r="AB263" i="2"/>
  <c r="AB263" i="6" s="1"/>
  <c r="AC262" i="2"/>
  <c r="AC262" i="6" s="1"/>
  <c r="AB262" i="2"/>
  <c r="AB262" i="6" s="1"/>
  <c r="AC261" i="2"/>
  <c r="AC261" i="6" s="1"/>
  <c r="AB261" i="2"/>
  <c r="AB261" i="6" s="1"/>
  <c r="AC260" i="2"/>
  <c r="AC260" i="6" s="1"/>
  <c r="AB260" i="2"/>
  <c r="AB260" i="6" s="1"/>
  <c r="AC259" i="2"/>
  <c r="AC259" i="6" s="1"/>
  <c r="AB259" i="2"/>
  <c r="AB259" i="6" s="1"/>
  <c r="AC258" i="2"/>
  <c r="AC258" i="6" s="1"/>
  <c r="AB258" i="2"/>
  <c r="AB258" i="6" s="1"/>
  <c r="AC257" i="2"/>
  <c r="AC257" i="6" s="1"/>
  <c r="AB257" i="2"/>
  <c r="AB257" i="6" s="1"/>
  <c r="AC256" i="2"/>
  <c r="AC256" i="6" s="1"/>
  <c r="AB256" i="2"/>
  <c r="AB256" i="6" s="1"/>
  <c r="AC255" i="2"/>
  <c r="AC255" i="6" s="1"/>
  <c r="AB255" i="2"/>
  <c r="AB255" i="6" s="1"/>
  <c r="AC254" i="2"/>
  <c r="AC254" i="6" s="1"/>
  <c r="AB254" i="2"/>
  <c r="AB254" i="6" s="1"/>
  <c r="AC253" i="2"/>
  <c r="AC253" i="6" s="1"/>
  <c r="AB253" i="2"/>
  <c r="AB253" i="6" s="1"/>
  <c r="AC252" i="2"/>
  <c r="AC252" i="6" s="1"/>
  <c r="AB252" i="2"/>
  <c r="AB252" i="6" s="1"/>
  <c r="AC251" i="2"/>
  <c r="AC251" i="6" s="1"/>
  <c r="AB251" i="2"/>
  <c r="AB251" i="6" s="1"/>
  <c r="AC250" i="2"/>
  <c r="AC250" i="6" s="1"/>
  <c r="AB250" i="2"/>
  <c r="AB250" i="6" s="1"/>
  <c r="AC249" i="2"/>
  <c r="AC249" i="6" s="1"/>
  <c r="AB249" i="2"/>
  <c r="AB249" i="6" s="1"/>
  <c r="AC248" i="2"/>
  <c r="AC248" i="6" s="1"/>
  <c r="AB248" i="2"/>
  <c r="AB248" i="6" s="1"/>
  <c r="AC247" i="2"/>
  <c r="AC247" i="6" s="1"/>
  <c r="AB247" i="2"/>
  <c r="AB247" i="6" s="1"/>
  <c r="AC246" i="2"/>
  <c r="AC246" i="6" s="1"/>
  <c r="AB246" i="2"/>
  <c r="AB246" i="6" s="1"/>
  <c r="AC245" i="2"/>
  <c r="AC245" i="6" s="1"/>
  <c r="AB245" i="2"/>
  <c r="AB245" i="6" s="1"/>
  <c r="AC244" i="2"/>
  <c r="AC244" i="6" s="1"/>
  <c r="AB244" i="2"/>
  <c r="AB244" i="6" s="1"/>
  <c r="AC243" i="2"/>
  <c r="AC243" i="6" s="1"/>
  <c r="AB243" i="2"/>
  <c r="AB243" i="6" s="1"/>
  <c r="AC242" i="2"/>
  <c r="AC242" i="6" s="1"/>
  <c r="AB242" i="2"/>
  <c r="AB242" i="6" s="1"/>
  <c r="AC241" i="2"/>
  <c r="AC241" i="6" s="1"/>
  <c r="AB241" i="2"/>
  <c r="AB241" i="6" s="1"/>
  <c r="AC240" i="2"/>
  <c r="AC240" i="6" s="1"/>
  <c r="AB240" i="2"/>
  <c r="AB240" i="6" s="1"/>
  <c r="AC239" i="2"/>
  <c r="AC239" i="6" s="1"/>
  <c r="AB239" i="2"/>
  <c r="AB239" i="6" s="1"/>
  <c r="AC238" i="2"/>
  <c r="AC238" i="6" s="1"/>
  <c r="AB238" i="2"/>
  <c r="AB238" i="6" s="1"/>
  <c r="AC237" i="2"/>
  <c r="AC237" i="6" s="1"/>
  <c r="AB237" i="2"/>
  <c r="AB237" i="6" s="1"/>
  <c r="AC236" i="2"/>
  <c r="AC236" i="6" s="1"/>
  <c r="AB236" i="2"/>
  <c r="AB236" i="6" s="1"/>
  <c r="AC235" i="2"/>
  <c r="AC235" i="6" s="1"/>
  <c r="AB235" i="2"/>
  <c r="AB235" i="6" s="1"/>
  <c r="AC234" i="2"/>
  <c r="AC234" i="6" s="1"/>
  <c r="AB234" i="2"/>
  <c r="AB234" i="6" s="1"/>
  <c r="AC233" i="2"/>
  <c r="AC233" i="6" s="1"/>
  <c r="AB233" i="2"/>
  <c r="AB233" i="6" s="1"/>
  <c r="AC232" i="2"/>
  <c r="AC232" i="6" s="1"/>
  <c r="AB232" i="2"/>
  <c r="AB232" i="6" s="1"/>
  <c r="AC231" i="2"/>
  <c r="AC231" i="6" s="1"/>
  <c r="AB231" i="2"/>
  <c r="AB231" i="6" s="1"/>
  <c r="AC230" i="2"/>
  <c r="AC230" i="6" s="1"/>
  <c r="AB230" i="2"/>
  <c r="AB230" i="6" s="1"/>
  <c r="AC229" i="2"/>
  <c r="AC229" i="6" s="1"/>
  <c r="AB229" i="2"/>
  <c r="AB229" i="6" s="1"/>
  <c r="AC228" i="2"/>
  <c r="AC228" i="6" s="1"/>
  <c r="AB228" i="2"/>
  <c r="AB228" i="6" s="1"/>
  <c r="AC227" i="2"/>
  <c r="AC227" i="6" s="1"/>
  <c r="AB227" i="2"/>
  <c r="AB227" i="6" s="1"/>
  <c r="AC226" i="2"/>
  <c r="AC226" i="6" s="1"/>
  <c r="AB226" i="2"/>
  <c r="AB226" i="6" s="1"/>
  <c r="AC225" i="2"/>
  <c r="AC225" i="6" s="1"/>
  <c r="AB225" i="2"/>
  <c r="AB225" i="6" s="1"/>
  <c r="AC224" i="2"/>
  <c r="AC224" i="6" s="1"/>
  <c r="AB224" i="2"/>
  <c r="AB224" i="6" s="1"/>
  <c r="AC223" i="2"/>
  <c r="AC223" i="6" s="1"/>
  <c r="AB223" i="2"/>
  <c r="AB223" i="6" s="1"/>
  <c r="AC222" i="2"/>
  <c r="AC222" i="6" s="1"/>
  <c r="AB222" i="2"/>
  <c r="AB222" i="6" s="1"/>
  <c r="AC221" i="2"/>
  <c r="AC221" i="6" s="1"/>
  <c r="AB221" i="2"/>
  <c r="AB221" i="6" s="1"/>
  <c r="AC220" i="2"/>
  <c r="AC220" i="6" s="1"/>
  <c r="AB220" i="2"/>
  <c r="AB220" i="6" s="1"/>
  <c r="AC219" i="2"/>
  <c r="AC219" i="6" s="1"/>
  <c r="AB219" i="2"/>
  <c r="AB219" i="6" s="1"/>
  <c r="AC218" i="2"/>
  <c r="AC218" i="6" s="1"/>
  <c r="AB218" i="2"/>
  <c r="AB218" i="6" s="1"/>
  <c r="AC217" i="2"/>
  <c r="AC217" i="6" s="1"/>
  <c r="AB217" i="2"/>
  <c r="AB217" i="6" s="1"/>
  <c r="AC216" i="2"/>
  <c r="AC216" i="6" s="1"/>
  <c r="AB216" i="2"/>
  <c r="AB216" i="6" s="1"/>
  <c r="AC215" i="2"/>
  <c r="AC215" i="6" s="1"/>
  <c r="AB215" i="2"/>
  <c r="AB215" i="6" s="1"/>
  <c r="AC214" i="2"/>
  <c r="AC214" i="6" s="1"/>
  <c r="AB214" i="2"/>
  <c r="AB214" i="6" s="1"/>
  <c r="AC213" i="2"/>
  <c r="AC213" i="6" s="1"/>
  <c r="AB213" i="2"/>
  <c r="AB213" i="6" s="1"/>
  <c r="AC212" i="2"/>
  <c r="AC212" i="6" s="1"/>
  <c r="AB212" i="2"/>
  <c r="AB212" i="6" s="1"/>
  <c r="AC211" i="2"/>
  <c r="AC211" i="6" s="1"/>
  <c r="AB211" i="2"/>
  <c r="AB211" i="6" s="1"/>
  <c r="AC210" i="2"/>
  <c r="AC210" i="6" s="1"/>
  <c r="AB210" i="2"/>
  <c r="AB210" i="6" s="1"/>
  <c r="AC209" i="2"/>
  <c r="AC209" i="6" s="1"/>
  <c r="AB209" i="2"/>
  <c r="AB209" i="6" s="1"/>
  <c r="AC208" i="2"/>
  <c r="AC208" i="6" s="1"/>
  <c r="AB208" i="2"/>
  <c r="AB208" i="6" s="1"/>
  <c r="AC207" i="2"/>
  <c r="AC207" i="6" s="1"/>
  <c r="AB207" i="2"/>
  <c r="AB207" i="6" s="1"/>
  <c r="AC206" i="2"/>
  <c r="AC206" i="6" s="1"/>
  <c r="AB206" i="2"/>
  <c r="AB206" i="6" s="1"/>
  <c r="AC205" i="2"/>
  <c r="AC205" i="6" s="1"/>
  <c r="AB205" i="2"/>
  <c r="AB205" i="6" s="1"/>
  <c r="AC204" i="2"/>
  <c r="AC204" i="6" s="1"/>
  <c r="AB204" i="2"/>
  <c r="AB204" i="6" s="1"/>
  <c r="AC203" i="2"/>
  <c r="AC203" i="6" s="1"/>
  <c r="AB203" i="2"/>
  <c r="AB203" i="6" s="1"/>
  <c r="AC202" i="2"/>
  <c r="AC202" i="6" s="1"/>
  <c r="AB202" i="2"/>
  <c r="AB202" i="6" s="1"/>
  <c r="AC201" i="2"/>
  <c r="AC201" i="6" s="1"/>
  <c r="AB201" i="2"/>
  <c r="AB201" i="6" s="1"/>
  <c r="AC200" i="2"/>
  <c r="AC200" i="6" s="1"/>
  <c r="AB200" i="2"/>
  <c r="AB200" i="6" s="1"/>
  <c r="AC199" i="2"/>
  <c r="AC199" i="6" s="1"/>
  <c r="AB199" i="2"/>
  <c r="AB199" i="6" s="1"/>
  <c r="AC198" i="2"/>
  <c r="AC198" i="6" s="1"/>
  <c r="AB198" i="2"/>
  <c r="AB198" i="6" s="1"/>
  <c r="AC197" i="2"/>
  <c r="AC197" i="6" s="1"/>
  <c r="AB197" i="2"/>
  <c r="AB197" i="6" s="1"/>
  <c r="AC196" i="2"/>
  <c r="AC196" i="6" s="1"/>
  <c r="AB196" i="2"/>
  <c r="AB196" i="6" s="1"/>
  <c r="AC195" i="2"/>
  <c r="AC195" i="6" s="1"/>
  <c r="AB195" i="2"/>
  <c r="AB195" i="6" s="1"/>
  <c r="AC194" i="2"/>
  <c r="AC194" i="6" s="1"/>
  <c r="AB194" i="2"/>
  <c r="AB194" i="6" s="1"/>
  <c r="AC193" i="2"/>
  <c r="AC193" i="6" s="1"/>
  <c r="AB193" i="2"/>
  <c r="AB193" i="6" s="1"/>
  <c r="AC192" i="2"/>
  <c r="AC192" i="6" s="1"/>
  <c r="AB192" i="2"/>
  <c r="AB192" i="6" s="1"/>
  <c r="AC191" i="2"/>
  <c r="AC191" i="6" s="1"/>
  <c r="AB191" i="2"/>
  <c r="AB191" i="6" s="1"/>
  <c r="AC190" i="2"/>
  <c r="AC190" i="6" s="1"/>
  <c r="AB190" i="2"/>
  <c r="AB190" i="6" s="1"/>
  <c r="AC189" i="2"/>
  <c r="AC189" i="6" s="1"/>
  <c r="AB189" i="2"/>
  <c r="AB189" i="6" s="1"/>
  <c r="AC188" i="2"/>
  <c r="AC188" i="6" s="1"/>
  <c r="AB188" i="2"/>
  <c r="AB188" i="6" s="1"/>
  <c r="AC187" i="2"/>
  <c r="AC187" i="6" s="1"/>
  <c r="AB187" i="2"/>
  <c r="AB187" i="6" s="1"/>
  <c r="AC186" i="2"/>
  <c r="AC186" i="6" s="1"/>
  <c r="AB186" i="2"/>
  <c r="AB186" i="6" s="1"/>
  <c r="AC185" i="2"/>
  <c r="AC185" i="6" s="1"/>
  <c r="AB185" i="2"/>
  <c r="AB185" i="6" s="1"/>
  <c r="AC184" i="2"/>
  <c r="AC184" i="6" s="1"/>
  <c r="AB184" i="2"/>
  <c r="AB184" i="6" s="1"/>
  <c r="AC183" i="2"/>
  <c r="AC183" i="6" s="1"/>
  <c r="AB183" i="2"/>
  <c r="AB183" i="6" s="1"/>
  <c r="AC182" i="2"/>
  <c r="AC182" i="6" s="1"/>
  <c r="AB182" i="2"/>
  <c r="AB182" i="6" s="1"/>
  <c r="AC181" i="2"/>
  <c r="AC181" i="6" s="1"/>
  <c r="AB181" i="2"/>
  <c r="AB181" i="6" s="1"/>
  <c r="AC180" i="2"/>
  <c r="AC180" i="6" s="1"/>
  <c r="AB180" i="2"/>
  <c r="AB180" i="6" s="1"/>
  <c r="AC179" i="2"/>
  <c r="AC179" i="6" s="1"/>
  <c r="AB179" i="2"/>
  <c r="AB179" i="6" s="1"/>
  <c r="AC178" i="2"/>
  <c r="AC178" i="6" s="1"/>
  <c r="AB178" i="2"/>
  <c r="AB178" i="6" s="1"/>
  <c r="AC177" i="2"/>
  <c r="AC177" i="6" s="1"/>
  <c r="AB177" i="2"/>
  <c r="AB177" i="6" s="1"/>
  <c r="AC176" i="2"/>
  <c r="AC176" i="6" s="1"/>
  <c r="AB176" i="2"/>
  <c r="AB176" i="6" s="1"/>
  <c r="AC175" i="2"/>
  <c r="AC175" i="6" s="1"/>
  <c r="AB175" i="2"/>
  <c r="AB175" i="6" s="1"/>
  <c r="AC174" i="2"/>
  <c r="AC174" i="6" s="1"/>
  <c r="AB174" i="2"/>
  <c r="AB174" i="6" s="1"/>
  <c r="AC173" i="2"/>
  <c r="AC173" i="6" s="1"/>
  <c r="AB173" i="2"/>
  <c r="AB173" i="6" s="1"/>
  <c r="AC172" i="2"/>
  <c r="AC172" i="6" s="1"/>
  <c r="AB172" i="2"/>
  <c r="AB172" i="6" s="1"/>
  <c r="AC171" i="2"/>
  <c r="AC171" i="6" s="1"/>
  <c r="AB171" i="2"/>
  <c r="AB171" i="6" s="1"/>
  <c r="AC170" i="2"/>
  <c r="AC170" i="6" s="1"/>
  <c r="AB170" i="2"/>
  <c r="AB170" i="6" s="1"/>
  <c r="AC169" i="2"/>
  <c r="AC169" i="6" s="1"/>
  <c r="AB169" i="2"/>
  <c r="AB169" i="6" s="1"/>
  <c r="AC168" i="2"/>
  <c r="AC168" i="6" s="1"/>
  <c r="AB168" i="2"/>
  <c r="AB168" i="6" s="1"/>
  <c r="AC167" i="2"/>
  <c r="AC167" i="6" s="1"/>
  <c r="AB167" i="2"/>
  <c r="AB167" i="6" s="1"/>
  <c r="AC166" i="2"/>
  <c r="AC166" i="6" s="1"/>
  <c r="AB166" i="2"/>
  <c r="AB166" i="6" s="1"/>
  <c r="AC165" i="2"/>
  <c r="AC165" i="6" s="1"/>
  <c r="AB165" i="2"/>
  <c r="AB165" i="6" s="1"/>
  <c r="AC164" i="2"/>
  <c r="AC164" i="6" s="1"/>
  <c r="AB164" i="2"/>
  <c r="AB164" i="6" s="1"/>
  <c r="AC163" i="2"/>
  <c r="AC163" i="6" s="1"/>
  <c r="AB163" i="2"/>
  <c r="AB163" i="6" s="1"/>
  <c r="AC162" i="2"/>
  <c r="AC162" i="6" s="1"/>
  <c r="AB162" i="2"/>
  <c r="AB162" i="6" s="1"/>
  <c r="AC161" i="2"/>
  <c r="AC161" i="6" s="1"/>
  <c r="AB161" i="2"/>
  <c r="AB161" i="6" s="1"/>
  <c r="AC160" i="2"/>
  <c r="AC160" i="6" s="1"/>
  <c r="AB160" i="2"/>
  <c r="AB160" i="6" s="1"/>
  <c r="AC159" i="2"/>
  <c r="AC159" i="6" s="1"/>
  <c r="AB159" i="2"/>
  <c r="AB159" i="6" s="1"/>
  <c r="AC158" i="2"/>
  <c r="AC158" i="6" s="1"/>
  <c r="AB158" i="2"/>
  <c r="AB158" i="6" s="1"/>
  <c r="AC157" i="2"/>
  <c r="AC157" i="6" s="1"/>
  <c r="AB157" i="2"/>
  <c r="AB157" i="6" s="1"/>
  <c r="AC156" i="2"/>
  <c r="AC156" i="6" s="1"/>
  <c r="AB156" i="2"/>
  <c r="AB156" i="6" s="1"/>
  <c r="AC155" i="2"/>
  <c r="AC155" i="6" s="1"/>
  <c r="AB155" i="2"/>
  <c r="AB155" i="6" s="1"/>
  <c r="AC154" i="2"/>
  <c r="AC154" i="6" s="1"/>
  <c r="AB154" i="2"/>
  <c r="AB154" i="6" s="1"/>
  <c r="AC153" i="2"/>
  <c r="AC153" i="6" s="1"/>
  <c r="AB153" i="2"/>
  <c r="AB153" i="6" s="1"/>
  <c r="AC152" i="2"/>
  <c r="AC152" i="6" s="1"/>
  <c r="AB152" i="2"/>
  <c r="AB152" i="6" s="1"/>
  <c r="AC151" i="2"/>
  <c r="AC151" i="6" s="1"/>
  <c r="AB151" i="2"/>
  <c r="AB151" i="6" s="1"/>
  <c r="AC150" i="2"/>
  <c r="AC150" i="6" s="1"/>
  <c r="AB150" i="2"/>
  <c r="AB150" i="6" s="1"/>
  <c r="AC149" i="2"/>
  <c r="AC149" i="6" s="1"/>
  <c r="AB149" i="2"/>
  <c r="AB149" i="6" s="1"/>
  <c r="AC148" i="2"/>
  <c r="AC148" i="6" s="1"/>
  <c r="AB148" i="2"/>
  <c r="AB148" i="6" s="1"/>
  <c r="AC147" i="2"/>
  <c r="AC147" i="6" s="1"/>
  <c r="AB147" i="2"/>
  <c r="AB147" i="6" s="1"/>
  <c r="AC146" i="2"/>
  <c r="AC146" i="6" s="1"/>
  <c r="AB146" i="2"/>
  <c r="AB146" i="6" s="1"/>
  <c r="AC145" i="2"/>
  <c r="AC145" i="6" s="1"/>
  <c r="AB145" i="2"/>
  <c r="AB145" i="6" s="1"/>
  <c r="AC144" i="2"/>
  <c r="AC144" i="6" s="1"/>
  <c r="AB144" i="2"/>
  <c r="AB144" i="6" s="1"/>
  <c r="AC143" i="2"/>
  <c r="AC143" i="6" s="1"/>
  <c r="AB143" i="2"/>
  <c r="AB143" i="6" s="1"/>
  <c r="AC142" i="2"/>
  <c r="AC142" i="6" s="1"/>
  <c r="AB142" i="2"/>
  <c r="AB142" i="6" s="1"/>
  <c r="AC141" i="2"/>
  <c r="AC141" i="6" s="1"/>
  <c r="AB141" i="2"/>
  <c r="AB141" i="6" s="1"/>
  <c r="AC140" i="2"/>
  <c r="AC140" i="6" s="1"/>
  <c r="AB140" i="2"/>
  <c r="AB140" i="6" s="1"/>
  <c r="AC139" i="2"/>
  <c r="AC139" i="6" s="1"/>
  <c r="AB139" i="2"/>
  <c r="AB139" i="6" s="1"/>
  <c r="AC138" i="2"/>
  <c r="AC138" i="6" s="1"/>
  <c r="AB138" i="2"/>
  <c r="AB138" i="6" s="1"/>
  <c r="AC137" i="2"/>
  <c r="AC137" i="6" s="1"/>
  <c r="AB137" i="2"/>
  <c r="AB137" i="6" s="1"/>
  <c r="AC136" i="2"/>
  <c r="AC136" i="6" s="1"/>
  <c r="AB136" i="2"/>
  <c r="AB136" i="6" s="1"/>
  <c r="AC135" i="2"/>
  <c r="AC135" i="6" s="1"/>
  <c r="AB135" i="2"/>
  <c r="AB135" i="6" s="1"/>
  <c r="AC134" i="2"/>
  <c r="AC134" i="6" s="1"/>
  <c r="AB134" i="2"/>
  <c r="AB134" i="6" s="1"/>
  <c r="AC133" i="2"/>
  <c r="AC133" i="6" s="1"/>
  <c r="AB133" i="2"/>
  <c r="AB133" i="6" s="1"/>
  <c r="AC132" i="2"/>
  <c r="AC132" i="6" s="1"/>
  <c r="AB132" i="2"/>
  <c r="AB132" i="6" s="1"/>
  <c r="AC131" i="2"/>
  <c r="AC131" i="6" s="1"/>
  <c r="AB131" i="2"/>
  <c r="AB131" i="6" s="1"/>
  <c r="AC130" i="2"/>
  <c r="AC130" i="6" s="1"/>
  <c r="AB130" i="2"/>
  <c r="AB130" i="6" s="1"/>
  <c r="AC129" i="2"/>
  <c r="AC129" i="6" s="1"/>
  <c r="AB129" i="2"/>
  <c r="AB129" i="6" s="1"/>
  <c r="AC128" i="2"/>
  <c r="AC128" i="6" s="1"/>
  <c r="AB128" i="2"/>
  <c r="AB128" i="6" s="1"/>
  <c r="AC127" i="2"/>
  <c r="AC127" i="6" s="1"/>
  <c r="AB127" i="2"/>
  <c r="AB127" i="6" s="1"/>
  <c r="AC126" i="2"/>
  <c r="AC126" i="6" s="1"/>
  <c r="AB126" i="2"/>
  <c r="AB126" i="6" s="1"/>
  <c r="AC125" i="2"/>
  <c r="AC125" i="6" s="1"/>
  <c r="AB125" i="2"/>
  <c r="AB125" i="6" s="1"/>
  <c r="AC124" i="2"/>
  <c r="AC124" i="6" s="1"/>
  <c r="AB124" i="2"/>
  <c r="AB124" i="6" s="1"/>
  <c r="AC123" i="2"/>
  <c r="AC123" i="6" s="1"/>
  <c r="AB123" i="2"/>
  <c r="AB123" i="6" s="1"/>
  <c r="AC122" i="2"/>
  <c r="AC122" i="6" s="1"/>
  <c r="AB122" i="2"/>
  <c r="AB122" i="6" s="1"/>
  <c r="AC121" i="2"/>
  <c r="AC121" i="6" s="1"/>
  <c r="AB121" i="2"/>
  <c r="AB121" i="6" s="1"/>
  <c r="AC120" i="2"/>
  <c r="AC120" i="6" s="1"/>
  <c r="AB120" i="2"/>
  <c r="AB120" i="6" s="1"/>
  <c r="AC119" i="2"/>
  <c r="AC119" i="6" s="1"/>
  <c r="AB119" i="2"/>
  <c r="AB119" i="6" s="1"/>
  <c r="AC118" i="2"/>
  <c r="AC118" i="6" s="1"/>
  <c r="AB118" i="2"/>
  <c r="AB118" i="6" s="1"/>
  <c r="AC117" i="2"/>
  <c r="AC117" i="6" s="1"/>
  <c r="AB117" i="2"/>
  <c r="AB117" i="6" s="1"/>
  <c r="AC116" i="2"/>
  <c r="AC116" i="6" s="1"/>
  <c r="AB116" i="2"/>
  <c r="AB116" i="6" s="1"/>
  <c r="AC115" i="2"/>
  <c r="AC115" i="6" s="1"/>
  <c r="AB115" i="2"/>
  <c r="AB115" i="6" s="1"/>
  <c r="AC114" i="2"/>
  <c r="AC114" i="6" s="1"/>
  <c r="AB114" i="2"/>
  <c r="AB114" i="6" s="1"/>
  <c r="AC113" i="2"/>
  <c r="AC113" i="6" s="1"/>
  <c r="AB113" i="2"/>
  <c r="AB113" i="6" s="1"/>
  <c r="AC112" i="2"/>
  <c r="AC112" i="6" s="1"/>
  <c r="AB112" i="2"/>
  <c r="AB112" i="6" s="1"/>
  <c r="AC111" i="2"/>
  <c r="AC111" i="6" s="1"/>
  <c r="AB111" i="2"/>
  <c r="AB111" i="6" s="1"/>
  <c r="AC110" i="2"/>
  <c r="AC110" i="6" s="1"/>
  <c r="AB110" i="2"/>
  <c r="AB110" i="6" s="1"/>
  <c r="AC109" i="2"/>
  <c r="AC109" i="6" s="1"/>
  <c r="AB109" i="2"/>
  <c r="AB109" i="6" s="1"/>
  <c r="AC108" i="2"/>
  <c r="AC108" i="6" s="1"/>
  <c r="AB108" i="2"/>
  <c r="AB108" i="6" s="1"/>
  <c r="AC107" i="2"/>
  <c r="AC107" i="6" s="1"/>
  <c r="AB107" i="2"/>
  <c r="AB107" i="6" s="1"/>
  <c r="AC106" i="2"/>
  <c r="AC106" i="6" s="1"/>
  <c r="AB106" i="2"/>
  <c r="AB106" i="6" s="1"/>
  <c r="AC105" i="2"/>
  <c r="AC105" i="6" s="1"/>
  <c r="AB105" i="2"/>
  <c r="AB105" i="6" s="1"/>
  <c r="AC104" i="2"/>
  <c r="AC104" i="6" s="1"/>
  <c r="AB104" i="2"/>
  <c r="AB104" i="6" s="1"/>
  <c r="AC103" i="2"/>
  <c r="AC103" i="6" s="1"/>
  <c r="AB103" i="2"/>
  <c r="AB103" i="6" s="1"/>
  <c r="AC102" i="2"/>
  <c r="AC102" i="6" s="1"/>
  <c r="AB102" i="2"/>
  <c r="AB102" i="6" s="1"/>
  <c r="AC101" i="2"/>
  <c r="AC101" i="6" s="1"/>
  <c r="AB101" i="2"/>
  <c r="AB101" i="6" s="1"/>
  <c r="AC100" i="2"/>
  <c r="AC100" i="6" s="1"/>
  <c r="AB100" i="2"/>
  <c r="AB100" i="6" s="1"/>
  <c r="AC99" i="2"/>
  <c r="AC99" i="6" s="1"/>
  <c r="AB99" i="2"/>
  <c r="AB99" i="6" s="1"/>
  <c r="AC98" i="2"/>
  <c r="AC98" i="6" s="1"/>
  <c r="AB98" i="2"/>
  <c r="AB98" i="6" s="1"/>
  <c r="AC97" i="2"/>
  <c r="AC97" i="6" s="1"/>
  <c r="AB97" i="2"/>
  <c r="AB97" i="6" s="1"/>
  <c r="AC96" i="2"/>
  <c r="AC96" i="6" s="1"/>
  <c r="AB96" i="2"/>
  <c r="AB96" i="6" s="1"/>
  <c r="AC95" i="2"/>
  <c r="AC95" i="6" s="1"/>
  <c r="AB95" i="2"/>
  <c r="AB95" i="6" s="1"/>
  <c r="AC94" i="2"/>
  <c r="AC94" i="6" s="1"/>
  <c r="AB94" i="2"/>
  <c r="AB94" i="6" s="1"/>
  <c r="AC93" i="2"/>
  <c r="AC93" i="6" s="1"/>
  <c r="AB93" i="2"/>
  <c r="AB93" i="6" s="1"/>
  <c r="AC92" i="2"/>
  <c r="AC92" i="6" s="1"/>
  <c r="AB92" i="2"/>
  <c r="AB92" i="6" s="1"/>
  <c r="AC91" i="2"/>
  <c r="AC91" i="6" s="1"/>
  <c r="AB91" i="2"/>
  <c r="AB91" i="6" s="1"/>
  <c r="AC90" i="2"/>
  <c r="AC90" i="6" s="1"/>
  <c r="AB90" i="2"/>
  <c r="AB90" i="6" s="1"/>
  <c r="AC89" i="2"/>
  <c r="AC89" i="6" s="1"/>
  <c r="AB89" i="2"/>
  <c r="AB89" i="6" s="1"/>
  <c r="AC88" i="2"/>
  <c r="AC88" i="6" s="1"/>
  <c r="AB88" i="2"/>
  <c r="AB88" i="6" s="1"/>
  <c r="AC87" i="2"/>
  <c r="AC87" i="6" s="1"/>
  <c r="AB87" i="2"/>
  <c r="AB87" i="6" s="1"/>
  <c r="AC86" i="2"/>
  <c r="AC86" i="6" s="1"/>
  <c r="AB86" i="2"/>
  <c r="AB86" i="6" s="1"/>
  <c r="AC85" i="2"/>
  <c r="AC85" i="6" s="1"/>
  <c r="AB85" i="2"/>
  <c r="AB85" i="6" s="1"/>
  <c r="AC84" i="2"/>
  <c r="AC84" i="6" s="1"/>
  <c r="AB84" i="2"/>
  <c r="AB84" i="6" s="1"/>
  <c r="AC83" i="2"/>
  <c r="AC83" i="6" s="1"/>
  <c r="AB83" i="2"/>
  <c r="AB83" i="6" s="1"/>
  <c r="AC82" i="2"/>
  <c r="AC82" i="6" s="1"/>
  <c r="AB82" i="2"/>
  <c r="AB82" i="6" s="1"/>
  <c r="AC81" i="2"/>
  <c r="AC81" i="6" s="1"/>
  <c r="AB81" i="2"/>
  <c r="AB81" i="6" s="1"/>
  <c r="AC80" i="2"/>
  <c r="AC80" i="6" s="1"/>
  <c r="AB80" i="2"/>
  <c r="AB80" i="6" s="1"/>
  <c r="AC79" i="2"/>
  <c r="AC79" i="6" s="1"/>
  <c r="AB79" i="2"/>
  <c r="AB79" i="6" s="1"/>
  <c r="AC78" i="2"/>
  <c r="AC78" i="6" s="1"/>
  <c r="AB78" i="2"/>
  <c r="AB78" i="6" s="1"/>
  <c r="AC77" i="2"/>
  <c r="AC77" i="6" s="1"/>
  <c r="AB77" i="2"/>
  <c r="AB77" i="6" s="1"/>
  <c r="AC76" i="2"/>
  <c r="AC76" i="6" s="1"/>
  <c r="AB76" i="2"/>
  <c r="AB76" i="6" s="1"/>
  <c r="AC75" i="2"/>
  <c r="AC75" i="6" s="1"/>
  <c r="AB75" i="2"/>
  <c r="AB75" i="6" s="1"/>
  <c r="AC74" i="2"/>
  <c r="AC74" i="6" s="1"/>
  <c r="AB74" i="2"/>
  <c r="AB74" i="6" s="1"/>
  <c r="AC73" i="2"/>
  <c r="AC73" i="6" s="1"/>
  <c r="AB73" i="2"/>
  <c r="AB73" i="6" s="1"/>
  <c r="AC72" i="2"/>
  <c r="AC72" i="6" s="1"/>
  <c r="AB72" i="2"/>
  <c r="AB72" i="6" s="1"/>
  <c r="AC71" i="2"/>
  <c r="AC71" i="6" s="1"/>
  <c r="AB71" i="2"/>
  <c r="AB71" i="6" s="1"/>
  <c r="AC70" i="2"/>
  <c r="AC70" i="6" s="1"/>
  <c r="AB70" i="2"/>
  <c r="AB70" i="6" s="1"/>
  <c r="AC69" i="2"/>
  <c r="AC69" i="6" s="1"/>
  <c r="AB69" i="2"/>
  <c r="AB69" i="6" s="1"/>
  <c r="AC68" i="2"/>
  <c r="AC68" i="6" s="1"/>
  <c r="AB68" i="2"/>
  <c r="AB68" i="6" s="1"/>
  <c r="AC67" i="2"/>
  <c r="AC67" i="6" s="1"/>
  <c r="AB67" i="2"/>
  <c r="AB67" i="6" s="1"/>
  <c r="AC66" i="2"/>
  <c r="AC66" i="6" s="1"/>
  <c r="AB66" i="2"/>
  <c r="AB66" i="6" s="1"/>
  <c r="AC65" i="2"/>
  <c r="AC65" i="6" s="1"/>
  <c r="AB65" i="2"/>
  <c r="AB65" i="6" s="1"/>
  <c r="AC64" i="2"/>
  <c r="AC64" i="6" s="1"/>
  <c r="AB64" i="2"/>
  <c r="AB64" i="6" s="1"/>
  <c r="AC63" i="2"/>
  <c r="AC63" i="6" s="1"/>
  <c r="AB63" i="2"/>
  <c r="AB63" i="6" s="1"/>
  <c r="AC62" i="2"/>
  <c r="AC62" i="6" s="1"/>
  <c r="AB62" i="2"/>
  <c r="AB62" i="6" s="1"/>
  <c r="AC61" i="2"/>
  <c r="AC61" i="6" s="1"/>
  <c r="AB61" i="2"/>
  <c r="AB61" i="6" s="1"/>
  <c r="AC60" i="2"/>
  <c r="AC60" i="6" s="1"/>
  <c r="AB60" i="2"/>
  <c r="AB60" i="6" s="1"/>
  <c r="AC59" i="2"/>
  <c r="AC59" i="6" s="1"/>
  <c r="AB59" i="2"/>
  <c r="AB59" i="6" s="1"/>
  <c r="AC58" i="2"/>
  <c r="AC58" i="6" s="1"/>
  <c r="AB58" i="2"/>
  <c r="AB58" i="6" s="1"/>
  <c r="AC57" i="2"/>
  <c r="AC57" i="6" s="1"/>
  <c r="AB57" i="2"/>
  <c r="AB57" i="6" s="1"/>
  <c r="AC56" i="2"/>
  <c r="AC56" i="6" s="1"/>
  <c r="AB56" i="2"/>
  <c r="AB56" i="6" s="1"/>
  <c r="AC55" i="2"/>
  <c r="AC55" i="6" s="1"/>
  <c r="AB55" i="2"/>
  <c r="AB55" i="6" s="1"/>
  <c r="AC54" i="2"/>
  <c r="AC54" i="6" s="1"/>
  <c r="AB54" i="2"/>
  <c r="AB54" i="6" s="1"/>
  <c r="AC53" i="2"/>
  <c r="AC53" i="6" s="1"/>
  <c r="AB53" i="2"/>
  <c r="AB53" i="6" s="1"/>
  <c r="AC52" i="2"/>
  <c r="AC52" i="6" s="1"/>
  <c r="AB52" i="2"/>
  <c r="AB52" i="6" s="1"/>
  <c r="AC51" i="2"/>
  <c r="AC51" i="6" s="1"/>
  <c r="AB51" i="2"/>
  <c r="AB51" i="6" s="1"/>
  <c r="AC50" i="2"/>
  <c r="AC50" i="6" s="1"/>
  <c r="AB50" i="2"/>
  <c r="AB50" i="6" s="1"/>
  <c r="AC49" i="2"/>
  <c r="AC49" i="6" s="1"/>
  <c r="AB49" i="2"/>
  <c r="AB49" i="6" s="1"/>
  <c r="AC48" i="2"/>
  <c r="AC48" i="6" s="1"/>
  <c r="AB48" i="2"/>
  <c r="AB48" i="6" s="1"/>
  <c r="AC47" i="2"/>
  <c r="AC47" i="6" s="1"/>
  <c r="AB47" i="2"/>
  <c r="AB47" i="6" s="1"/>
  <c r="AC46" i="2"/>
  <c r="AC46" i="6" s="1"/>
  <c r="AB46" i="2"/>
  <c r="AB46" i="6" s="1"/>
  <c r="AC45" i="2"/>
  <c r="AC45" i="6" s="1"/>
  <c r="AB45" i="2"/>
  <c r="AB45" i="6" s="1"/>
  <c r="AC44" i="2"/>
  <c r="AC44" i="6" s="1"/>
  <c r="AB44" i="2"/>
  <c r="AB44" i="6" s="1"/>
  <c r="AC43" i="2"/>
  <c r="AC43" i="6" s="1"/>
  <c r="AB43" i="2"/>
  <c r="AB43" i="6" s="1"/>
  <c r="AC42" i="2"/>
  <c r="AC42" i="6" s="1"/>
  <c r="AB42" i="2"/>
  <c r="AB42" i="6" s="1"/>
  <c r="AC41" i="2"/>
  <c r="AC41" i="6" s="1"/>
  <c r="AB41" i="2"/>
  <c r="AB41" i="6" s="1"/>
  <c r="AC40" i="2"/>
  <c r="AC40" i="6" s="1"/>
  <c r="AB40" i="2"/>
  <c r="AB40" i="6" s="1"/>
  <c r="AC39" i="2"/>
  <c r="AC39" i="6" s="1"/>
  <c r="AB39" i="2"/>
  <c r="AB39" i="6" s="1"/>
  <c r="AC38" i="2"/>
  <c r="AC38" i="6" s="1"/>
  <c r="AB38" i="2"/>
  <c r="AB38" i="6" s="1"/>
  <c r="AC37" i="2"/>
  <c r="AC37" i="6" s="1"/>
  <c r="AB37" i="2"/>
  <c r="AB37" i="6" s="1"/>
  <c r="AC36" i="2"/>
  <c r="AC36" i="6" s="1"/>
  <c r="AB36" i="2"/>
  <c r="AB36" i="6" s="1"/>
  <c r="AC35" i="2"/>
  <c r="AC35" i="6" s="1"/>
  <c r="AB35" i="2"/>
  <c r="AB35" i="6" s="1"/>
  <c r="AC34" i="2"/>
  <c r="AC34" i="6" s="1"/>
  <c r="AB34" i="2"/>
  <c r="AB34" i="6" s="1"/>
  <c r="AC33" i="2"/>
  <c r="AC33" i="6" s="1"/>
  <c r="AB33" i="2"/>
  <c r="AB33" i="6" s="1"/>
  <c r="AC32" i="2"/>
  <c r="AC32" i="6" s="1"/>
  <c r="AB32" i="2"/>
  <c r="AB32" i="6" s="1"/>
  <c r="AC31" i="2"/>
  <c r="AC31" i="6" s="1"/>
  <c r="AB31" i="2"/>
  <c r="AB31" i="6" s="1"/>
  <c r="AC30" i="2"/>
  <c r="AC30" i="6" s="1"/>
  <c r="AB30" i="2"/>
  <c r="AB30" i="6" s="1"/>
  <c r="AC29" i="2"/>
  <c r="AC29" i="6" s="1"/>
  <c r="AB29" i="2"/>
  <c r="AB29" i="6" s="1"/>
  <c r="AC28" i="2"/>
  <c r="AC28" i="6" s="1"/>
  <c r="AB28" i="2"/>
  <c r="AB28" i="6" s="1"/>
  <c r="AC27" i="2"/>
  <c r="AC27" i="6" s="1"/>
  <c r="AB27" i="2"/>
  <c r="AB27" i="6" s="1"/>
  <c r="AC26" i="2"/>
  <c r="AC26" i="6" s="1"/>
  <c r="AB26" i="2"/>
  <c r="AB26" i="6" s="1"/>
  <c r="AC25" i="2"/>
  <c r="AC25" i="6" s="1"/>
  <c r="AB25" i="2"/>
  <c r="AB25" i="6" s="1"/>
  <c r="AC24" i="2"/>
  <c r="AC24" i="6" s="1"/>
  <c r="AB24" i="2"/>
  <c r="AB24" i="6" s="1"/>
  <c r="AC23" i="2"/>
  <c r="AC23" i="6" s="1"/>
  <c r="AB23" i="2"/>
  <c r="AB23" i="6" s="1"/>
  <c r="AC22" i="2"/>
  <c r="AC22" i="6" s="1"/>
  <c r="AB22" i="2"/>
  <c r="AB22" i="6" s="1"/>
  <c r="AC21" i="2"/>
  <c r="AC21" i="6" s="1"/>
  <c r="AB21" i="2"/>
  <c r="AB21" i="6" s="1"/>
  <c r="AC20" i="2"/>
  <c r="AC20" i="6" s="1"/>
  <c r="AB20" i="2"/>
  <c r="AB20" i="6" s="1"/>
  <c r="AC19" i="2"/>
  <c r="AC19" i="6" s="1"/>
  <c r="AB19" i="2"/>
  <c r="AB19" i="6" s="1"/>
  <c r="AC18" i="2"/>
  <c r="AC18" i="6" s="1"/>
  <c r="AB18" i="2"/>
  <c r="AB18" i="6" s="1"/>
  <c r="AC17" i="2"/>
  <c r="AC17" i="6" s="1"/>
  <c r="AB17" i="2"/>
  <c r="AB17" i="6" s="1"/>
  <c r="AC16" i="2"/>
  <c r="AC16" i="6" s="1"/>
  <c r="AB16" i="2"/>
  <c r="AB16" i="6" s="1"/>
  <c r="AC15" i="2"/>
  <c r="AC15" i="6" s="1"/>
  <c r="AB15" i="2"/>
  <c r="AB15" i="6" s="1"/>
  <c r="AC14" i="2"/>
  <c r="AC14" i="6" s="1"/>
  <c r="AB14" i="2"/>
  <c r="AB14" i="6" s="1"/>
  <c r="AC13" i="2"/>
  <c r="AC13" i="6" s="1"/>
  <c r="AB13" i="2"/>
  <c r="AB13" i="6" s="1"/>
  <c r="AC12" i="2"/>
  <c r="AC12" i="6" s="1"/>
  <c r="AB12" i="2"/>
  <c r="AB12" i="6" s="1"/>
  <c r="AC11" i="2"/>
  <c r="AC11" i="6" s="1"/>
  <c r="AB11" i="2"/>
  <c r="AB11" i="6" s="1"/>
  <c r="AC10" i="2"/>
  <c r="AC10" i="6" s="1"/>
  <c r="AB10" i="2"/>
  <c r="AB10" i="6" s="1"/>
  <c r="AC9" i="2"/>
  <c r="AC9" i="6" s="1"/>
  <c r="AB9" i="2"/>
  <c r="AB9" i="6" s="1"/>
  <c r="AC8" i="2"/>
  <c r="AC8" i="6" s="1"/>
  <c r="AB8" i="2"/>
  <c r="AB8" i="6" s="1"/>
  <c r="AC7" i="2"/>
  <c r="AC7" i="6" s="1"/>
  <c r="AB7" i="2"/>
  <c r="AB7" i="6" s="1"/>
  <c r="AC6" i="2"/>
  <c r="AC6" i="6" s="1"/>
  <c r="AB6" i="2"/>
  <c r="AB6" i="6" s="1"/>
  <c r="Y498" i="2"/>
  <c r="Y498" i="6" s="1"/>
  <c r="X498" i="2"/>
  <c r="X498" i="6" s="1"/>
  <c r="Y497" i="2"/>
  <c r="Y497" i="6" s="1"/>
  <c r="X497" i="2"/>
  <c r="X497" i="6" s="1"/>
  <c r="Y496" i="2"/>
  <c r="Y496" i="6" s="1"/>
  <c r="X496" i="2"/>
  <c r="X496" i="6" s="1"/>
  <c r="Y495" i="2"/>
  <c r="Y495" i="6" s="1"/>
  <c r="X495" i="2"/>
  <c r="X495" i="6" s="1"/>
  <c r="Y494" i="2"/>
  <c r="Y494" i="6" s="1"/>
  <c r="X494" i="2"/>
  <c r="X494" i="6" s="1"/>
  <c r="Y493" i="6"/>
  <c r="X493" i="6"/>
  <c r="Y492" i="6"/>
  <c r="X492" i="6"/>
  <c r="Y491" i="6"/>
  <c r="X491" i="6"/>
  <c r="Y490" i="6"/>
  <c r="X490" i="6"/>
  <c r="Y489" i="6"/>
  <c r="X489" i="6"/>
  <c r="Y488" i="6"/>
  <c r="X488" i="6"/>
  <c r="Y487" i="6"/>
  <c r="X487" i="6"/>
  <c r="Y486" i="6"/>
  <c r="X486" i="6"/>
  <c r="Y485" i="6"/>
  <c r="X485" i="6"/>
  <c r="Y484" i="6"/>
  <c r="X484" i="6"/>
  <c r="Y483" i="6"/>
  <c r="X483" i="6"/>
  <c r="Y482" i="6"/>
  <c r="X482" i="6"/>
  <c r="Y481" i="6"/>
  <c r="X481" i="6"/>
  <c r="Y480" i="6"/>
  <c r="X480" i="6"/>
  <c r="Y479" i="2"/>
  <c r="Y479" i="6" s="1"/>
  <c r="X479" i="2"/>
  <c r="X479" i="6" s="1"/>
  <c r="Y478" i="2"/>
  <c r="Y478" i="6" s="1"/>
  <c r="X478" i="2"/>
  <c r="X478" i="6" s="1"/>
  <c r="Y477" i="2"/>
  <c r="Y477" i="6" s="1"/>
  <c r="X477" i="2"/>
  <c r="X477" i="6" s="1"/>
  <c r="Y476" i="2"/>
  <c r="Y476" i="6" s="1"/>
  <c r="X476" i="2"/>
  <c r="X476" i="6" s="1"/>
  <c r="Y475" i="2"/>
  <c r="Y475" i="6" s="1"/>
  <c r="X475" i="2"/>
  <c r="X475" i="6" s="1"/>
  <c r="Y474" i="2"/>
  <c r="Y474" i="6" s="1"/>
  <c r="X474" i="2"/>
  <c r="X474" i="6" s="1"/>
  <c r="Y473" i="2"/>
  <c r="Y473" i="6" s="1"/>
  <c r="X473" i="2"/>
  <c r="X473" i="6" s="1"/>
  <c r="Y472" i="2"/>
  <c r="Y472" i="6" s="1"/>
  <c r="X472" i="2"/>
  <c r="X472" i="6" s="1"/>
  <c r="Y471" i="2"/>
  <c r="Y471" i="6" s="1"/>
  <c r="X471" i="2"/>
  <c r="X471" i="6" s="1"/>
  <c r="Y470" i="2"/>
  <c r="Y470" i="6" s="1"/>
  <c r="X470" i="2"/>
  <c r="X470" i="6" s="1"/>
  <c r="Y469" i="2"/>
  <c r="Y469" i="6" s="1"/>
  <c r="X469" i="2"/>
  <c r="X469" i="6" s="1"/>
  <c r="Y468" i="2"/>
  <c r="Y468" i="6" s="1"/>
  <c r="X468" i="2"/>
  <c r="X468" i="6" s="1"/>
  <c r="Y467" i="2"/>
  <c r="Y467" i="6" s="1"/>
  <c r="X467" i="2"/>
  <c r="X467" i="6" s="1"/>
  <c r="Y466" i="2"/>
  <c r="Y466" i="6" s="1"/>
  <c r="X466" i="2"/>
  <c r="X466" i="6" s="1"/>
  <c r="Y465" i="2"/>
  <c r="Y465" i="6" s="1"/>
  <c r="X465" i="2"/>
  <c r="X465" i="6" s="1"/>
  <c r="Y464" i="2"/>
  <c r="Y464" i="6" s="1"/>
  <c r="X464" i="2"/>
  <c r="X464" i="6" s="1"/>
  <c r="Y463" i="2"/>
  <c r="Y463" i="6" s="1"/>
  <c r="X463" i="2"/>
  <c r="X463" i="6" s="1"/>
  <c r="Y462" i="2"/>
  <c r="Y462" i="6" s="1"/>
  <c r="X462" i="2"/>
  <c r="X462" i="6" s="1"/>
  <c r="Y461" i="2"/>
  <c r="Y461" i="6" s="1"/>
  <c r="X461" i="2"/>
  <c r="X461" i="6" s="1"/>
  <c r="Y460" i="2"/>
  <c r="Y460" i="6" s="1"/>
  <c r="X460" i="2"/>
  <c r="X460" i="6" s="1"/>
  <c r="Y459" i="2"/>
  <c r="Y459" i="6" s="1"/>
  <c r="X459" i="2"/>
  <c r="X459" i="6" s="1"/>
  <c r="Y458" i="2"/>
  <c r="Y458" i="6" s="1"/>
  <c r="X458" i="2"/>
  <c r="X458" i="6" s="1"/>
  <c r="Y457" i="2"/>
  <c r="Y457" i="6" s="1"/>
  <c r="X457" i="2"/>
  <c r="X457" i="6" s="1"/>
  <c r="Y456" i="2"/>
  <c r="Y456" i="6" s="1"/>
  <c r="X456" i="2"/>
  <c r="X456" i="6" s="1"/>
  <c r="Y455" i="2"/>
  <c r="Y455" i="6" s="1"/>
  <c r="X455" i="2"/>
  <c r="X455" i="6" s="1"/>
  <c r="Y454" i="2"/>
  <c r="Y454" i="6" s="1"/>
  <c r="X454" i="2"/>
  <c r="X454" i="6" s="1"/>
  <c r="Y453" i="2"/>
  <c r="Y453" i="6" s="1"/>
  <c r="X453" i="2"/>
  <c r="X453" i="6" s="1"/>
  <c r="Y452" i="2"/>
  <c r="Y452" i="6" s="1"/>
  <c r="X452" i="2"/>
  <c r="X452" i="6" s="1"/>
  <c r="Y451" i="2"/>
  <c r="Y451" i="6" s="1"/>
  <c r="X451" i="2"/>
  <c r="X451" i="6" s="1"/>
  <c r="Y450" i="2"/>
  <c r="Y450" i="6" s="1"/>
  <c r="X450" i="2"/>
  <c r="X450" i="6" s="1"/>
  <c r="Y449" i="2"/>
  <c r="Y449" i="6" s="1"/>
  <c r="X449" i="2"/>
  <c r="X449" i="6" s="1"/>
  <c r="Y448" i="2"/>
  <c r="Y448" i="6" s="1"/>
  <c r="X448" i="2"/>
  <c r="X448" i="6" s="1"/>
  <c r="Y447" i="2"/>
  <c r="Y447" i="6" s="1"/>
  <c r="X447" i="2"/>
  <c r="X447" i="6" s="1"/>
  <c r="Y446" i="2"/>
  <c r="Y446" i="6" s="1"/>
  <c r="X446" i="2"/>
  <c r="X446" i="6" s="1"/>
  <c r="Y445" i="2"/>
  <c r="Y445" i="6" s="1"/>
  <c r="X445" i="2"/>
  <c r="X445" i="6" s="1"/>
  <c r="Y444" i="2"/>
  <c r="Y444" i="6" s="1"/>
  <c r="X444" i="2"/>
  <c r="X444" i="6" s="1"/>
  <c r="Y443" i="2"/>
  <c r="Y443" i="6" s="1"/>
  <c r="X443" i="2"/>
  <c r="X443" i="6" s="1"/>
  <c r="Y442" i="2"/>
  <c r="Y442" i="6" s="1"/>
  <c r="X442" i="2"/>
  <c r="X442" i="6" s="1"/>
  <c r="Y441" i="2"/>
  <c r="Y441" i="6" s="1"/>
  <c r="X441" i="2"/>
  <c r="X441" i="6" s="1"/>
  <c r="Y440" i="2"/>
  <c r="Y440" i="6" s="1"/>
  <c r="X440" i="2"/>
  <c r="X440" i="6" s="1"/>
  <c r="Y439" i="2"/>
  <c r="Y439" i="6" s="1"/>
  <c r="X439" i="2"/>
  <c r="X439" i="6" s="1"/>
  <c r="Y438" i="2"/>
  <c r="Y438" i="6" s="1"/>
  <c r="X438" i="2"/>
  <c r="X438" i="6" s="1"/>
  <c r="Y437" i="2"/>
  <c r="Y437" i="6" s="1"/>
  <c r="X437" i="2"/>
  <c r="X437" i="6" s="1"/>
  <c r="Y436" i="2"/>
  <c r="Y436" i="6" s="1"/>
  <c r="X436" i="2"/>
  <c r="X436" i="6" s="1"/>
  <c r="Y435" i="2"/>
  <c r="Y435" i="6" s="1"/>
  <c r="X435" i="2"/>
  <c r="X435" i="6" s="1"/>
  <c r="Y434" i="2"/>
  <c r="Y434" i="6" s="1"/>
  <c r="X434" i="2"/>
  <c r="X434" i="6" s="1"/>
  <c r="Y433" i="2"/>
  <c r="Y433" i="6" s="1"/>
  <c r="X433" i="2"/>
  <c r="X433" i="6" s="1"/>
  <c r="Y432" i="2"/>
  <c r="Y432" i="6" s="1"/>
  <c r="X432" i="2"/>
  <c r="X432" i="6" s="1"/>
  <c r="Y431" i="2"/>
  <c r="Y431" i="6" s="1"/>
  <c r="X431" i="2"/>
  <c r="X431" i="6" s="1"/>
  <c r="Y430" i="2"/>
  <c r="Y430" i="6" s="1"/>
  <c r="X430" i="2"/>
  <c r="X430" i="6" s="1"/>
  <c r="Y429" i="2"/>
  <c r="Y429" i="6" s="1"/>
  <c r="X429" i="2"/>
  <c r="X429" i="6" s="1"/>
  <c r="Y428" i="2"/>
  <c r="Y428" i="6" s="1"/>
  <c r="X428" i="2"/>
  <c r="X428" i="6" s="1"/>
  <c r="Y427" i="2"/>
  <c r="Y427" i="6" s="1"/>
  <c r="X427" i="2"/>
  <c r="X427" i="6" s="1"/>
  <c r="Y426" i="2"/>
  <c r="Y426" i="6" s="1"/>
  <c r="X426" i="2"/>
  <c r="X426" i="6" s="1"/>
  <c r="Y425" i="2"/>
  <c r="Y425" i="6" s="1"/>
  <c r="X425" i="2"/>
  <c r="X425" i="6" s="1"/>
  <c r="Y424" i="2"/>
  <c r="Y424" i="6" s="1"/>
  <c r="X424" i="2"/>
  <c r="X424" i="6" s="1"/>
  <c r="Y423" i="2"/>
  <c r="Y423" i="6" s="1"/>
  <c r="X423" i="2"/>
  <c r="X423" i="6" s="1"/>
  <c r="Y422" i="2"/>
  <c r="Y422" i="6" s="1"/>
  <c r="X422" i="2"/>
  <c r="X422" i="6" s="1"/>
  <c r="Y421" i="2"/>
  <c r="Y421" i="6" s="1"/>
  <c r="X421" i="2"/>
  <c r="X421" i="6" s="1"/>
  <c r="Y420" i="2"/>
  <c r="Y420" i="6" s="1"/>
  <c r="X420" i="2"/>
  <c r="X420" i="6" s="1"/>
  <c r="Y419" i="2"/>
  <c r="Y419" i="6" s="1"/>
  <c r="X419" i="2"/>
  <c r="X419" i="6" s="1"/>
  <c r="Y418" i="2"/>
  <c r="Y418" i="6" s="1"/>
  <c r="X418" i="2"/>
  <c r="X418" i="6" s="1"/>
  <c r="Y417" i="2"/>
  <c r="Y417" i="6" s="1"/>
  <c r="X417" i="2"/>
  <c r="X417" i="6" s="1"/>
  <c r="Y416" i="2"/>
  <c r="Y416" i="6" s="1"/>
  <c r="X416" i="2"/>
  <c r="X416" i="6" s="1"/>
  <c r="Y415" i="2"/>
  <c r="Y415" i="6" s="1"/>
  <c r="X415" i="2"/>
  <c r="X415" i="6" s="1"/>
  <c r="Y414" i="2"/>
  <c r="Y414" i="6" s="1"/>
  <c r="X414" i="2"/>
  <c r="X414" i="6" s="1"/>
  <c r="Y413" i="2"/>
  <c r="Y413" i="6" s="1"/>
  <c r="X413" i="2"/>
  <c r="X413" i="6" s="1"/>
  <c r="Y412" i="2"/>
  <c r="Y412" i="6" s="1"/>
  <c r="X412" i="2"/>
  <c r="X412" i="6" s="1"/>
  <c r="Y411" i="2"/>
  <c r="Y411" i="6" s="1"/>
  <c r="X411" i="2"/>
  <c r="X411" i="6" s="1"/>
  <c r="Y410" i="2"/>
  <c r="Y410" i="6" s="1"/>
  <c r="X410" i="2"/>
  <c r="X410" i="6" s="1"/>
  <c r="Y409" i="2"/>
  <c r="Y409" i="6" s="1"/>
  <c r="X409" i="2"/>
  <c r="X409" i="6" s="1"/>
  <c r="Y408" i="2"/>
  <c r="Y408" i="6" s="1"/>
  <c r="X408" i="2"/>
  <c r="X408" i="6" s="1"/>
  <c r="Y407" i="2"/>
  <c r="Y407" i="6" s="1"/>
  <c r="X407" i="2"/>
  <c r="X407" i="6" s="1"/>
  <c r="Y406" i="2"/>
  <c r="Y406" i="6" s="1"/>
  <c r="X406" i="2"/>
  <c r="X406" i="6" s="1"/>
  <c r="Y405" i="2"/>
  <c r="Y405" i="6" s="1"/>
  <c r="X405" i="2"/>
  <c r="X405" i="6" s="1"/>
  <c r="Y404" i="2"/>
  <c r="Y404" i="6" s="1"/>
  <c r="X404" i="2"/>
  <c r="X404" i="6" s="1"/>
  <c r="Y403" i="2"/>
  <c r="Y403" i="6" s="1"/>
  <c r="X403" i="2"/>
  <c r="X403" i="6" s="1"/>
  <c r="Y402" i="2"/>
  <c r="Y402" i="6" s="1"/>
  <c r="X402" i="2"/>
  <c r="X402" i="6" s="1"/>
  <c r="Y401" i="2"/>
  <c r="Y401" i="6" s="1"/>
  <c r="X401" i="2"/>
  <c r="X401" i="6" s="1"/>
  <c r="Y400" i="2"/>
  <c r="Y400" i="6" s="1"/>
  <c r="X400" i="2"/>
  <c r="X400" i="6" s="1"/>
  <c r="Y399" i="2"/>
  <c r="Y399" i="6" s="1"/>
  <c r="X399" i="2"/>
  <c r="X399" i="6" s="1"/>
  <c r="Y398" i="2"/>
  <c r="Y398" i="6" s="1"/>
  <c r="X398" i="2"/>
  <c r="X398" i="6" s="1"/>
  <c r="Y397" i="2"/>
  <c r="Y397" i="6" s="1"/>
  <c r="X397" i="2"/>
  <c r="X397" i="6" s="1"/>
  <c r="Y396" i="2"/>
  <c r="Y396" i="6" s="1"/>
  <c r="X396" i="2"/>
  <c r="X396" i="6" s="1"/>
  <c r="Y395" i="2"/>
  <c r="Y395" i="6" s="1"/>
  <c r="X395" i="2"/>
  <c r="X395" i="6" s="1"/>
  <c r="Y394" i="2"/>
  <c r="Y394" i="6" s="1"/>
  <c r="X394" i="2"/>
  <c r="X394" i="6" s="1"/>
  <c r="Y393" i="2"/>
  <c r="Y393" i="6" s="1"/>
  <c r="X393" i="2"/>
  <c r="X393" i="6" s="1"/>
  <c r="Y392" i="2"/>
  <c r="Y392" i="6" s="1"/>
  <c r="X392" i="2"/>
  <c r="X392" i="6" s="1"/>
  <c r="Y391" i="2"/>
  <c r="Y391" i="6" s="1"/>
  <c r="X391" i="2"/>
  <c r="X391" i="6" s="1"/>
  <c r="Y390" i="2"/>
  <c r="Y390" i="6" s="1"/>
  <c r="X390" i="2"/>
  <c r="X390" i="6" s="1"/>
  <c r="Y389" i="2"/>
  <c r="Y389" i="6" s="1"/>
  <c r="X389" i="2"/>
  <c r="X389" i="6" s="1"/>
  <c r="Y388" i="2"/>
  <c r="Y388" i="6" s="1"/>
  <c r="X388" i="2"/>
  <c r="X388" i="6" s="1"/>
  <c r="Y387" i="2"/>
  <c r="Y387" i="6" s="1"/>
  <c r="X387" i="2"/>
  <c r="X387" i="6" s="1"/>
  <c r="Y386" i="2"/>
  <c r="Y386" i="6" s="1"/>
  <c r="X386" i="2"/>
  <c r="X386" i="6" s="1"/>
  <c r="Y385" i="2"/>
  <c r="Y385" i="6" s="1"/>
  <c r="X385" i="2"/>
  <c r="X385" i="6" s="1"/>
  <c r="Y384" i="2"/>
  <c r="Y384" i="6" s="1"/>
  <c r="X384" i="2"/>
  <c r="X384" i="6" s="1"/>
  <c r="Y383" i="2"/>
  <c r="Y383" i="6" s="1"/>
  <c r="X383" i="2"/>
  <c r="X383" i="6" s="1"/>
  <c r="Y382" i="2"/>
  <c r="Y382" i="6" s="1"/>
  <c r="X382" i="2"/>
  <c r="X382" i="6" s="1"/>
  <c r="Y381" i="2"/>
  <c r="Y381" i="6" s="1"/>
  <c r="X381" i="2"/>
  <c r="X381" i="6" s="1"/>
  <c r="Y380" i="2"/>
  <c r="Y380" i="6" s="1"/>
  <c r="X380" i="2"/>
  <c r="X380" i="6" s="1"/>
  <c r="Y379" i="2"/>
  <c r="Y379" i="6" s="1"/>
  <c r="X379" i="2"/>
  <c r="X379" i="6" s="1"/>
  <c r="Y378" i="2"/>
  <c r="Y378" i="6" s="1"/>
  <c r="X378" i="2"/>
  <c r="X378" i="6" s="1"/>
  <c r="Y377" i="2"/>
  <c r="Y377" i="6" s="1"/>
  <c r="X377" i="2"/>
  <c r="X377" i="6" s="1"/>
  <c r="Y376" i="2"/>
  <c r="Y376" i="6" s="1"/>
  <c r="X376" i="2"/>
  <c r="X376" i="6" s="1"/>
  <c r="Y375" i="2"/>
  <c r="Y375" i="6" s="1"/>
  <c r="X375" i="2"/>
  <c r="X375" i="6" s="1"/>
  <c r="Y374" i="2"/>
  <c r="Y374" i="6" s="1"/>
  <c r="X374" i="2"/>
  <c r="X374" i="6" s="1"/>
  <c r="Y373" i="2"/>
  <c r="Y373" i="6" s="1"/>
  <c r="X373" i="2"/>
  <c r="X373" i="6" s="1"/>
  <c r="Y372" i="2"/>
  <c r="Y372" i="6" s="1"/>
  <c r="X372" i="2"/>
  <c r="X372" i="6" s="1"/>
  <c r="Y371" i="2"/>
  <c r="Y371" i="6" s="1"/>
  <c r="X371" i="2"/>
  <c r="X371" i="6" s="1"/>
  <c r="Y370" i="2"/>
  <c r="Y370" i="6" s="1"/>
  <c r="X370" i="2"/>
  <c r="X370" i="6" s="1"/>
  <c r="Y369" i="2"/>
  <c r="Y369" i="6" s="1"/>
  <c r="X369" i="2"/>
  <c r="X369" i="6" s="1"/>
  <c r="Y368" i="2"/>
  <c r="Y368" i="6" s="1"/>
  <c r="X368" i="2"/>
  <c r="X368" i="6" s="1"/>
  <c r="Y367" i="2"/>
  <c r="Y367" i="6" s="1"/>
  <c r="X367" i="2"/>
  <c r="X367" i="6" s="1"/>
  <c r="Y366" i="2"/>
  <c r="Y366" i="6" s="1"/>
  <c r="X366" i="2"/>
  <c r="X366" i="6" s="1"/>
  <c r="Y365" i="2"/>
  <c r="Y365" i="6" s="1"/>
  <c r="X365" i="2"/>
  <c r="X365" i="6" s="1"/>
  <c r="Y364" i="6"/>
  <c r="X364" i="6"/>
  <c r="Y363" i="6"/>
  <c r="X363" i="6"/>
  <c r="Y362" i="6"/>
  <c r="X362" i="6"/>
  <c r="Y361" i="6"/>
  <c r="X361" i="6"/>
  <c r="Y360" i="2"/>
  <c r="Y360" i="6" s="1"/>
  <c r="X360" i="2"/>
  <c r="X360" i="6" s="1"/>
  <c r="Y359" i="2"/>
  <c r="Y359" i="6" s="1"/>
  <c r="X359" i="2"/>
  <c r="X359" i="6" s="1"/>
  <c r="Y358" i="2"/>
  <c r="Y358" i="6" s="1"/>
  <c r="X358" i="2"/>
  <c r="X358" i="6" s="1"/>
  <c r="Y357" i="2"/>
  <c r="Y357" i="6" s="1"/>
  <c r="X357" i="2"/>
  <c r="X357" i="6" s="1"/>
  <c r="Y356" i="2"/>
  <c r="Y356" i="6" s="1"/>
  <c r="X356" i="2"/>
  <c r="X356" i="6" s="1"/>
  <c r="Y355" i="2"/>
  <c r="Y355" i="6" s="1"/>
  <c r="X355" i="2"/>
  <c r="X355" i="6" s="1"/>
  <c r="Y354" i="2"/>
  <c r="Y354" i="6" s="1"/>
  <c r="X354" i="2"/>
  <c r="X354" i="6" s="1"/>
  <c r="Y353" i="2"/>
  <c r="Y353" i="6" s="1"/>
  <c r="X353" i="2"/>
  <c r="X353" i="6" s="1"/>
  <c r="Y352" i="2"/>
  <c r="Y352" i="6" s="1"/>
  <c r="X352" i="2"/>
  <c r="X352" i="6" s="1"/>
  <c r="Y351" i="2"/>
  <c r="Y351" i="6" s="1"/>
  <c r="X351" i="2"/>
  <c r="X351" i="6" s="1"/>
  <c r="Y350" i="2"/>
  <c r="Y350" i="6" s="1"/>
  <c r="X350" i="2"/>
  <c r="X350" i="6" s="1"/>
  <c r="Y349" i="2"/>
  <c r="Y349" i="6" s="1"/>
  <c r="X349" i="2"/>
  <c r="X349" i="6" s="1"/>
  <c r="Y348" i="2"/>
  <c r="Y348" i="6" s="1"/>
  <c r="X348" i="2"/>
  <c r="X348" i="6" s="1"/>
  <c r="Y347" i="2"/>
  <c r="Y347" i="6" s="1"/>
  <c r="X347" i="2"/>
  <c r="X347" i="6" s="1"/>
  <c r="Y346" i="2"/>
  <c r="Y346" i="6" s="1"/>
  <c r="X346" i="2"/>
  <c r="X346" i="6" s="1"/>
  <c r="Y345" i="2"/>
  <c r="Y345" i="6" s="1"/>
  <c r="X345" i="2"/>
  <c r="X345" i="6" s="1"/>
  <c r="Y344" i="2"/>
  <c r="Y344" i="6" s="1"/>
  <c r="X344" i="2"/>
  <c r="X344" i="6" s="1"/>
  <c r="Y343" i="2"/>
  <c r="Y343" i="6" s="1"/>
  <c r="X343" i="2"/>
  <c r="X343" i="6" s="1"/>
  <c r="Y342" i="2"/>
  <c r="Y342" i="6" s="1"/>
  <c r="X342" i="2"/>
  <c r="X342" i="6" s="1"/>
  <c r="Y341" i="2"/>
  <c r="Y341" i="6" s="1"/>
  <c r="X341" i="2"/>
  <c r="X341" i="6" s="1"/>
  <c r="Y340" i="2"/>
  <c r="Y340" i="6" s="1"/>
  <c r="X340" i="2"/>
  <c r="X340" i="6" s="1"/>
  <c r="Y339" i="2"/>
  <c r="Y339" i="6" s="1"/>
  <c r="X339" i="2"/>
  <c r="X339" i="6" s="1"/>
  <c r="Y338" i="2"/>
  <c r="Y338" i="6" s="1"/>
  <c r="X338" i="2"/>
  <c r="X338" i="6" s="1"/>
  <c r="Y337" i="2"/>
  <c r="Y337" i="6" s="1"/>
  <c r="X337" i="2"/>
  <c r="X337" i="6" s="1"/>
  <c r="Y336" i="2"/>
  <c r="Y336" i="6" s="1"/>
  <c r="X336" i="2"/>
  <c r="X336" i="6" s="1"/>
  <c r="Y335" i="2"/>
  <c r="Y335" i="6" s="1"/>
  <c r="X335" i="2"/>
  <c r="X335" i="6" s="1"/>
  <c r="Y334" i="2"/>
  <c r="Y334" i="6" s="1"/>
  <c r="X334" i="2"/>
  <c r="X334" i="6" s="1"/>
  <c r="Y333" i="2"/>
  <c r="Y333" i="6" s="1"/>
  <c r="X333" i="2"/>
  <c r="X333" i="6" s="1"/>
  <c r="Y332" i="2"/>
  <c r="Y332" i="6" s="1"/>
  <c r="X332" i="2"/>
  <c r="X332" i="6" s="1"/>
  <c r="Y331" i="2"/>
  <c r="Y331" i="6" s="1"/>
  <c r="X331" i="2"/>
  <c r="X331" i="6" s="1"/>
  <c r="Y330" i="2"/>
  <c r="Y330" i="6" s="1"/>
  <c r="X330" i="2"/>
  <c r="X330" i="6" s="1"/>
  <c r="Y329" i="2"/>
  <c r="Y329" i="6" s="1"/>
  <c r="X329" i="2"/>
  <c r="X329" i="6" s="1"/>
  <c r="Y328" i="2"/>
  <c r="Y328" i="6" s="1"/>
  <c r="X328" i="2"/>
  <c r="X328" i="6" s="1"/>
  <c r="Y327" i="2"/>
  <c r="Y327" i="6" s="1"/>
  <c r="X327" i="2"/>
  <c r="X327" i="6" s="1"/>
  <c r="Y326" i="2"/>
  <c r="Y326" i="6" s="1"/>
  <c r="X326" i="2"/>
  <c r="X326" i="6" s="1"/>
  <c r="Y325" i="2"/>
  <c r="Y325" i="6" s="1"/>
  <c r="X325" i="2"/>
  <c r="X325" i="6" s="1"/>
  <c r="Y324" i="2"/>
  <c r="Y324" i="6" s="1"/>
  <c r="X324" i="2"/>
  <c r="X324" i="6" s="1"/>
  <c r="Y323" i="2"/>
  <c r="Y323" i="6" s="1"/>
  <c r="X323" i="2"/>
  <c r="X323" i="6" s="1"/>
  <c r="Y322" i="2"/>
  <c r="Y322" i="6" s="1"/>
  <c r="X322" i="2"/>
  <c r="X322" i="6" s="1"/>
  <c r="Y321" i="2"/>
  <c r="Y321" i="6" s="1"/>
  <c r="X321" i="2"/>
  <c r="X321" i="6" s="1"/>
  <c r="Y320" i="2"/>
  <c r="Y320" i="6" s="1"/>
  <c r="X320" i="2"/>
  <c r="X320" i="6" s="1"/>
  <c r="Y319" i="2"/>
  <c r="Y319" i="6" s="1"/>
  <c r="X319" i="2"/>
  <c r="X319" i="6" s="1"/>
  <c r="Y318" i="2"/>
  <c r="Y318" i="6" s="1"/>
  <c r="X318" i="2"/>
  <c r="X318" i="6" s="1"/>
  <c r="Y317" i="2"/>
  <c r="Y317" i="6" s="1"/>
  <c r="X317" i="2"/>
  <c r="X317" i="6" s="1"/>
  <c r="Y316" i="2"/>
  <c r="Y316" i="6" s="1"/>
  <c r="X316" i="2"/>
  <c r="X316" i="6" s="1"/>
  <c r="Y315" i="2"/>
  <c r="Y315" i="6" s="1"/>
  <c r="X315" i="2"/>
  <c r="X315" i="6" s="1"/>
  <c r="Y314" i="2"/>
  <c r="Y314" i="6" s="1"/>
  <c r="X314" i="2"/>
  <c r="X314" i="6" s="1"/>
  <c r="Y313" i="2"/>
  <c r="Y313" i="6" s="1"/>
  <c r="X313" i="2"/>
  <c r="X313" i="6" s="1"/>
  <c r="Y312" i="2"/>
  <c r="Y312" i="6" s="1"/>
  <c r="X312" i="2"/>
  <c r="X312" i="6" s="1"/>
  <c r="Y311" i="2"/>
  <c r="Y311" i="6" s="1"/>
  <c r="X311" i="2"/>
  <c r="X311" i="6" s="1"/>
  <c r="Y310" i="2"/>
  <c r="Y310" i="6" s="1"/>
  <c r="X310" i="2"/>
  <c r="X310" i="6" s="1"/>
  <c r="Y309" i="2"/>
  <c r="Y309" i="6" s="1"/>
  <c r="X309" i="2"/>
  <c r="X309" i="6" s="1"/>
  <c r="Y308" i="2"/>
  <c r="Y308" i="6" s="1"/>
  <c r="X308" i="2"/>
  <c r="X308" i="6" s="1"/>
  <c r="Y307" i="2"/>
  <c r="Y307" i="6" s="1"/>
  <c r="X307" i="2"/>
  <c r="X307" i="6" s="1"/>
  <c r="Y306" i="2"/>
  <c r="Y306" i="6" s="1"/>
  <c r="X306" i="2"/>
  <c r="X306" i="6" s="1"/>
  <c r="Y305" i="2"/>
  <c r="Y305" i="6" s="1"/>
  <c r="X305" i="2"/>
  <c r="X305" i="6" s="1"/>
  <c r="Y304" i="2"/>
  <c r="Y304" i="6" s="1"/>
  <c r="X304" i="2"/>
  <c r="X304" i="6" s="1"/>
  <c r="Y303" i="2"/>
  <c r="Y303" i="6" s="1"/>
  <c r="X303" i="2"/>
  <c r="X303" i="6" s="1"/>
  <c r="Y302" i="2"/>
  <c r="Y302" i="6" s="1"/>
  <c r="X302" i="2"/>
  <c r="X302" i="6" s="1"/>
  <c r="Y301" i="2"/>
  <c r="Y301" i="6" s="1"/>
  <c r="X301" i="2"/>
  <c r="X301" i="6" s="1"/>
  <c r="Y300" i="2"/>
  <c r="Y300" i="6" s="1"/>
  <c r="X300" i="2"/>
  <c r="X300" i="6" s="1"/>
  <c r="Y299" i="2"/>
  <c r="Y299" i="6" s="1"/>
  <c r="X299" i="2"/>
  <c r="X299" i="6" s="1"/>
  <c r="Y298" i="2"/>
  <c r="Y298" i="6" s="1"/>
  <c r="X298" i="2"/>
  <c r="X298" i="6" s="1"/>
  <c r="Y297" i="2"/>
  <c r="Y297" i="6" s="1"/>
  <c r="X297" i="2"/>
  <c r="X297" i="6" s="1"/>
  <c r="Y296" i="2"/>
  <c r="Y296" i="6" s="1"/>
  <c r="X296" i="2"/>
  <c r="X296" i="6" s="1"/>
  <c r="Y295" i="2"/>
  <c r="Y295" i="6" s="1"/>
  <c r="X295" i="2"/>
  <c r="X295" i="6" s="1"/>
  <c r="Y294" i="2"/>
  <c r="Y294" i="6" s="1"/>
  <c r="X294" i="2"/>
  <c r="X294" i="6" s="1"/>
  <c r="Y293" i="2"/>
  <c r="Y293" i="6" s="1"/>
  <c r="X293" i="2"/>
  <c r="X293" i="6" s="1"/>
  <c r="Y292" i="2"/>
  <c r="Y292" i="6" s="1"/>
  <c r="X292" i="2"/>
  <c r="X292" i="6" s="1"/>
  <c r="Y291" i="2"/>
  <c r="Y291" i="6" s="1"/>
  <c r="X291" i="2"/>
  <c r="X291" i="6" s="1"/>
  <c r="Y290" i="2"/>
  <c r="Y290" i="6" s="1"/>
  <c r="X290" i="2"/>
  <c r="X290" i="6" s="1"/>
  <c r="Y289" i="2"/>
  <c r="Y289" i="6" s="1"/>
  <c r="X289" i="2"/>
  <c r="X289" i="6" s="1"/>
  <c r="Y288" i="2"/>
  <c r="Y288" i="6" s="1"/>
  <c r="X288" i="2"/>
  <c r="X288" i="6" s="1"/>
  <c r="Y287" i="2"/>
  <c r="Y287" i="6" s="1"/>
  <c r="X287" i="2"/>
  <c r="X287" i="6" s="1"/>
  <c r="Y286" i="2"/>
  <c r="Y286" i="6" s="1"/>
  <c r="X286" i="2"/>
  <c r="X286" i="6" s="1"/>
  <c r="Y285" i="2"/>
  <c r="Y285" i="6" s="1"/>
  <c r="X285" i="2"/>
  <c r="X285" i="6" s="1"/>
  <c r="Y284" i="2"/>
  <c r="Y284" i="6" s="1"/>
  <c r="X284" i="2"/>
  <c r="X284" i="6" s="1"/>
  <c r="Y283" i="2"/>
  <c r="Y283" i="6" s="1"/>
  <c r="X283" i="2"/>
  <c r="X283" i="6" s="1"/>
  <c r="Y282" i="2"/>
  <c r="Y282" i="6" s="1"/>
  <c r="X282" i="2"/>
  <c r="X282" i="6" s="1"/>
  <c r="Y281" i="2"/>
  <c r="Y281" i="6" s="1"/>
  <c r="X281" i="2"/>
  <c r="X281" i="6" s="1"/>
  <c r="Y280" i="2"/>
  <c r="Y280" i="6" s="1"/>
  <c r="X280" i="2"/>
  <c r="X280" i="6" s="1"/>
  <c r="Y279" i="2"/>
  <c r="Y279" i="6" s="1"/>
  <c r="X279" i="2"/>
  <c r="X279" i="6" s="1"/>
  <c r="Y278" i="2"/>
  <c r="Y278" i="6" s="1"/>
  <c r="X278" i="2"/>
  <c r="X278" i="6" s="1"/>
  <c r="Y277" i="2"/>
  <c r="Y277" i="6" s="1"/>
  <c r="X277" i="2"/>
  <c r="X277" i="6" s="1"/>
  <c r="Y276" i="2"/>
  <c r="Y276" i="6" s="1"/>
  <c r="X276" i="2"/>
  <c r="X276" i="6" s="1"/>
  <c r="Y275" i="2"/>
  <c r="Y275" i="6" s="1"/>
  <c r="X275" i="2"/>
  <c r="X275" i="6" s="1"/>
  <c r="Y274" i="2"/>
  <c r="Y274" i="6" s="1"/>
  <c r="X274" i="2"/>
  <c r="X274" i="6" s="1"/>
  <c r="Y273" i="2"/>
  <c r="Y273" i="6" s="1"/>
  <c r="X273" i="2"/>
  <c r="X273" i="6" s="1"/>
  <c r="Y272" i="2"/>
  <c r="Y272" i="6" s="1"/>
  <c r="X272" i="2"/>
  <c r="X272" i="6" s="1"/>
  <c r="Y271" i="2"/>
  <c r="Y271" i="6" s="1"/>
  <c r="X271" i="2"/>
  <c r="X271" i="6" s="1"/>
  <c r="Y270" i="2"/>
  <c r="Y270" i="6" s="1"/>
  <c r="X270" i="2"/>
  <c r="X270" i="6" s="1"/>
  <c r="Y269" i="2"/>
  <c r="Y269" i="6" s="1"/>
  <c r="X269" i="2"/>
  <c r="X269" i="6" s="1"/>
  <c r="Y268" i="2"/>
  <c r="Y268" i="6" s="1"/>
  <c r="X268" i="2"/>
  <c r="X268" i="6" s="1"/>
  <c r="Y267" i="6"/>
  <c r="X267" i="6"/>
  <c r="Y266" i="6"/>
  <c r="X266" i="6"/>
  <c r="Y265" i="6"/>
  <c r="X265" i="6"/>
  <c r="Y264" i="6"/>
  <c r="X264" i="6"/>
  <c r="Y263" i="6"/>
  <c r="X263" i="6"/>
  <c r="Y262" i="6"/>
  <c r="X262" i="6"/>
  <c r="Y261" i="6"/>
  <c r="X261" i="6"/>
  <c r="Y260" i="6"/>
  <c r="X260" i="6"/>
  <c r="Y259" i="6"/>
  <c r="X259" i="6"/>
  <c r="Y258" i="6"/>
  <c r="X258" i="6"/>
  <c r="Y257" i="6"/>
  <c r="X257" i="6"/>
  <c r="Y256" i="2"/>
  <c r="Y256" i="6" s="1"/>
  <c r="X256" i="2"/>
  <c r="X256" i="6" s="1"/>
  <c r="Y255" i="2"/>
  <c r="Y255" i="6" s="1"/>
  <c r="X255" i="2"/>
  <c r="X255" i="6" s="1"/>
  <c r="Y254" i="2"/>
  <c r="Y254" i="6" s="1"/>
  <c r="X254" i="2"/>
  <c r="X254" i="6" s="1"/>
  <c r="Y253" i="2"/>
  <c r="Y253" i="6" s="1"/>
  <c r="X253" i="2"/>
  <c r="X253" i="6" s="1"/>
  <c r="Y252" i="2"/>
  <c r="Y252" i="6" s="1"/>
  <c r="X252" i="2"/>
  <c r="X252" i="6" s="1"/>
  <c r="Y251" i="2"/>
  <c r="Y251" i="6" s="1"/>
  <c r="X251" i="2"/>
  <c r="X251" i="6" s="1"/>
  <c r="Y250" i="2"/>
  <c r="Y250" i="6" s="1"/>
  <c r="X250" i="2"/>
  <c r="X250" i="6" s="1"/>
  <c r="Y249" i="2"/>
  <c r="Y249" i="6" s="1"/>
  <c r="X249" i="2"/>
  <c r="X249" i="6" s="1"/>
  <c r="Y248" i="2"/>
  <c r="Y248" i="6" s="1"/>
  <c r="X248" i="2"/>
  <c r="X248" i="6" s="1"/>
  <c r="Y247" i="2"/>
  <c r="Y247" i="6" s="1"/>
  <c r="X247" i="2"/>
  <c r="X247" i="6" s="1"/>
  <c r="Y246" i="2"/>
  <c r="Y246" i="6" s="1"/>
  <c r="X246" i="2"/>
  <c r="X246" i="6" s="1"/>
  <c r="Y245" i="2"/>
  <c r="Y245" i="6" s="1"/>
  <c r="X245" i="2"/>
  <c r="X245" i="6" s="1"/>
  <c r="Y244" i="2"/>
  <c r="Y244" i="6" s="1"/>
  <c r="X244" i="2"/>
  <c r="X244" i="6" s="1"/>
  <c r="Y243" i="2"/>
  <c r="Y243" i="6" s="1"/>
  <c r="X243" i="2"/>
  <c r="X243" i="6" s="1"/>
  <c r="Y242" i="2"/>
  <c r="Y242" i="6" s="1"/>
  <c r="X242" i="2"/>
  <c r="X242" i="6" s="1"/>
  <c r="Y241" i="2"/>
  <c r="Y241" i="6" s="1"/>
  <c r="X241" i="2"/>
  <c r="X241" i="6" s="1"/>
  <c r="Y240" i="2"/>
  <c r="Y240" i="6" s="1"/>
  <c r="X240" i="2"/>
  <c r="X240" i="6" s="1"/>
  <c r="Y239" i="2"/>
  <c r="Y239" i="6" s="1"/>
  <c r="X239" i="2"/>
  <c r="X239" i="6" s="1"/>
  <c r="Y238" i="2"/>
  <c r="Y238" i="6" s="1"/>
  <c r="X238" i="2"/>
  <c r="X238" i="6" s="1"/>
  <c r="Y237" i="2"/>
  <c r="Y237" i="6" s="1"/>
  <c r="X237" i="2"/>
  <c r="X237" i="6" s="1"/>
  <c r="Y236" i="2"/>
  <c r="Y236" i="6" s="1"/>
  <c r="X236" i="2"/>
  <c r="X236" i="6" s="1"/>
  <c r="Y235" i="2"/>
  <c r="Y235" i="6" s="1"/>
  <c r="X235" i="2"/>
  <c r="X235" i="6" s="1"/>
  <c r="Y234" i="2"/>
  <c r="Y234" i="6" s="1"/>
  <c r="X234" i="2"/>
  <c r="X234" i="6" s="1"/>
  <c r="Y233" i="2"/>
  <c r="Y233" i="6" s="1"/>
  <c r="X233" i="2"/>
  <c r="X233" i="6" s="1"/>
  <c r="Y232" i="2"/>
  <c r="Y232" i="6" s="1"/>
  <c r="X232" i="2"/>
  <c r="X232" i="6" s="1"/>
  <c r="Y231" i="2"/>
  <c r="Y231" i="6" s="1"/>
  <c r="X231" i="2"/>
  <c r="X231" i="6" s="1"/>
  <c r="Y230" i="2"/>
  <c r="Y230" i="6" s="1"/>
  <c r="X230" i="2"/>
  <c r="X230" i="6" s="1"/>
  <c r="Y229" i="2"/>
  <c r="Y229" i="6" s="1"/>
  <c r="X229" i="2"/>
  <c r="X229" i="6" s="1"/>
  <c r="Y228" i="2"/>
  <c r="Y228" i="6" s="1"/>
  <c r="X228" i="2"/>
  <c r="X228" i="6" s="1"/>
  <c r="Y227" i="2"/>
  <c r="Y227" i="6" s="1"/>
  <c r="X227" i="2"/>
  <c r="X227" i="6" s="1"/>
  <c r="Y226" i="2"/>
  <c r="Y226" i="6" s="1"/>
  <c r="X226" i="2"/>
  <c r="X226" i="6" s="1"/>
  <c r="Y225" i="2"/>
  <c r="Y225" i="6" s="1"/>
  <c r="X225" i="2"/>
  <c r="X225" i="6" s="1"/>
  <c r="Y224" i="2"/>
  <c r="Y224" i="6" s="1"/>
  <c r="X224" i="2"/>
  <c r="X224" i="6" s="1"/>
  <c r="Y223" i="2"/>
  <c r="Y223" i="6" s="1"/>
  <c r="X223" i="2"/>
  <c r="X223" i="6" s="1"/>
  <c r="Y222" i="2"/>
  <c r="Y222" i="6" s="1"/>
  <c r="X222" i="2"/>
  <c r="X222" i="6" s="1"/>
  <c r="Y221" i="2"/>
  <c r="Y221" i="6" s="1"/>
  <c r="X221" i="2"/>
  <c r="X221" i="6" s="1"/>
  <c r="Y220" i="2"/>
  <c r="Y220" i="6" s="1"/>
  <c r="X220" i="2"/>
  <c r="X220" i="6" s="1"/>
  <c r="Y219" i="2"/>
  <c r="Y219" i="6" s="1"/>
  <c r="X219" i="2"/>
  <c r="X219" i="6" s="1"/>
  <c r="Y218" i="2"/>
  <c r="Y218" i="6" s="1"/>
  <c r="X218" i="2"/>
  <c r="X218" i="6" s="1"/>
  <c r="Y217" i="2"/>
  <c r="Y217" i="6" s="1"/>
  <c r="X217" i="2"/>
  <c r="X217" i="6" s="1"/>
  <c r="Y216" i="2"/>
  <c r="Y216" i="6" s="1"/>
  <c r="X216" i="2"/>
  <c r="X216" i="6" s="1"/>
  <c r="Y215" i="2"/>
  <c r="Y215" i="6" s="1"/>
  <c r="X215" i="2"/>
  <c r="X215" i="6" s="1"/>
  <c r="Y214" i="2"/>
  <c r="Y214" i="6" s="1"/>
  <c r="X214" i="2"/>
  <c r="X214" i="6" s="1"/>
  <c r="Y213" i="2"/>
  <c r="Y213" i="6" s="1"/>
  <c r="X213" i="2"/>
  <c r="X213" i="6" s="1"/>
  <c r="Y212" i="2"/>
  <c r="Y212" i="6" s="1"/>
  <c r="X212" i="2"/>
  <c r="X212" i="6" s="1"/>
  <c r="Y211" i="2"/>
  <c r="Y211" i="6" s="1"/>
  <c r="X211" i="2"/>
  <c r="X211" i="6" s="1"/>
  <c r="Y210" i="2"/>
  <c r="Y210" i="6" s="1"/>
  <c r="X210" i="2"/>
  <c r="X210" i="6" s="1"/>
  <c r="Y209" i="2"/>
  <c r="Y209" i="6" s="1"/>
  <c r="X209" i="2"/>
  <c r="X209" i="6" s="1"/>
  <c r="Y208" i="2"/>
  <c r="Y208" i="6" s="1"/>
  <c r="X208" i="2"/>
  <c r="X208" i="6" s="1"/>
  <c r="Y207" i="2"/>
  <c r="Y207" i="6" s="1"/>
  <c r="X207" i="2"/>
  <c r="X207" i="6" s="1"/>
  <c r="Y206" i="2"/>
  <c r="Y206" i="6" s="1"/>
  <c r="X206" i="2"/>
  <c r="X206" i="6" s="1"/>
  <c r="Y205" i="2"/>
  <c r="Y205" i="6" s="1"/>
  <c r="X205" i="2"/>
  <c r="X205" i="6" s="1"/>
  <c r="Y204" i="2"/>
  <c r="Y204" i="6" s="1"/>
  <c r="X204" i="2"/>
  <c r="X204" i="6" s="1"/>
  <c r="Y203" i="2"/>
  <c r="Y203" i="6" s="1"/>
  <c r="X203" i="2"/>
  <c r="X203" i="6" s="1"/>
  <c r="Y202" i="2"/>
  <c r="Y202" i="6" s="1"/>
  <c r="X202" i="2"/>
  <c r="X202" i="6" s="1"/>
  <c r="Y201" i="2"/>
  <c r="Y201" i="6" s="1"/>
  <c r="X201" i="2"/>
  <c r="X201" i="6" s="1"/>
  <c r="Y200" i="2"/>
  <c r="Y200" i="6" s="1"/>
  <c r="X200" i="2"/>
  <c r="X200" i="6" s="1"/>
  <c r="Y199" i="2"/>
  <c r="Y199" i="6" s="1"/>
  <c r="X199" i="2"/>
  <c r="X199" i="6" s="1"/>
  <c r="Y198" i="2"/>
  <c r="Y198" i="6" s="1"/>
  <c r="X198" i="2"/>
  <c r="X198" i="6" s="1"/>
  <c r="Y197" i="2"/>
  <c r="Y197" i="6" s="1"/>
  <c r="X197" i="2"/>
  <c r="X197" i="6" s="1"/>
  <c r="Y196" i="2"/>
  <c r="Y196" i="6" s="1"/>
  <c r="X196" i="2"/>
  <c r="X196" i="6" s="1"/>
  <c r="Y195" i="2"/>
  <c r="Y195" i="6" s="1"/>
  <c r="X195" i="2"/>
  <c r="X195" i="6" s="1"/>
  <c r="Y194" i="2"/>
  <c r="Y194" i="6" s="1"/>
  <c r="X194" i="2"/>
  <c r="X194" i="6" s="1"/>
  <c r="Y193" i="2"/>
  <c r="Y193" i="6" s="1"/>
  <c r="X193" i="2"/>
  <c r="X193" i="6" s="1"/>
  <c r="Y192" i="2"/>
  <c r="Y192" i="6" s="1"/>
  <c r="X192" i="2"/>
  <c r="X192" i="6" s="1"/>
  <c r="Y191" i="2"/>
  <c r="Y191" i="6" s="1"/>
  <c r="X191" i="2"/>
  <c r="X191" i="6" s="1"/>
  <c r="Y190" i="2"/>
  <c r="Y190" i="6" s="1"/>
  <c r="X190" i="2"/>
  <c r="X190" i="6" s="1"/>
  <c r="Y189" i="2"/>
  <c r="Y189" i="6" s="1"/>
  <c r="X189" i="2"/>
  <c r="X189" i="6" s="1"/>
  <c r="Y188" i="2"/>
  <c r="Y188" i="6" s="1"/>
  <c r="X188" i="2"/>
  <c r="X188" i="6" s="1"/>
  <c r="Y187" i="6"/>
  <c r="X187" i="2"/>
  <c r="X187" i="6" s="1"/>
  <c r="Y186" i="2"/>
  <c r="Y186" i="6" s="1"/>
  <c r="X186" i="2"/>
  <c r="X186" i="6" s="1"/>
  <c r="Y185" i="2"/>
  <c r="Y185" i="6" s="1"/>
  <c r="X185" i="2"/>
  <c r="X185" i="6" s="1"/>
  <c r="Y184" i="2"/>
  <c r="Y184" i="6" s="1"/>
  <c r="X184" i="2"/>
  <c r="X184" i="6" s="1"/>
  <c r="Y183" i="2"/>
  <c r="Y183" i="6" s="1"/>
  <c r="X183" i="2"/>
  <c r="X183" i="6" s="1"/>
  <c r="Y182" i="2"/>
  <c r="Y182" i="6" s="1"/>
  <c r="X182" i="2"/>
  <c r="X182" i="6" s="1"/>
  <c r="Y181" i="2"/>
  <c r="Y181" i="6" s="1"/>
  <c r="X181" i="2"/>
  <c r="X181" i="6" s="1"/>
  <c r="Y180" i="2"/>
  <c r="Y180" i="6" s="1"/>
  <c r="X180" i="2"/>
  <c r="X180" i="6" s="1"/>
  <c r="Y179" i="2"/>
  <c r="Y179" i="6" s="1"/>
  <c r="X179" i="2"/>
  <c r="X179" i="6" s="1"/>
  <c r="Y178" i="2"/>
  <c r="Y178" i="6" s="1"/>
  <c r="X178" i="2"/>
  <c r="X178" i="6" s="1"/>
  <c r="Y177" i="2"/>
  <c r="Y177" i="6" s="1"/>
  <c r="X177" i="2"/>
  <c r="X177" i="6" s="1"/>
  <c r="Y176" i="2"/>
  <c r="Y176" i="6" s="1"/>
  <c r="X176" i="2"/>
  <c r="X176" i="6" s="1"/>
  <c r="Y175" i="2"/>
  <c r="Y175" i="6" s="1"/>
  <c r="X175" i="2"/>
  <c r="X175" i="6" s="1"/>
  <c r="Y174" i="2"/>
  <c r="Y174" i="6" s="1"/>
  <c r="X174" i="2"/>
  <c r="X174" i="6" s="1"/>
  <c r="Y173" i="2"/>
  <c r="Y173" i="6" s="1"/>
  <c r="X173" i="2"/>
  <c r="X173" i="6" s="1"/>
  <c r="Y172" i="2"/>
  <c r="Y172" i="6" s="1"/>
  <c r="X172" i="2"/>
  <c r="X172" i="6" s="1"/>
  <c r="Y171" i="2"/>
  <c r="Y171" i="6" s="1"/>
  <c r="X171" i="2"/>
  <c r="X171" i="6" s="1"/>
  <c r="Y170" i="2"/>
  <c r="Y170" i="6" s="1"/>
  <c r="X170" i="2"/>
  <c r="X170" i="6" s="1"/>
  <c r="Y169" i="2"/>
  <c r="Y169" i="6" s="1"/>
  <c r="X169" i="2"/>
  <c r="X169" i="6" s="1"/>
  <c r="Y168" i="2"/>
  <c r="Y168" i="6" s="1"/>
  <c r="X168" i="2"/>
  <c r="X168" i="6" s="1"/>
  <c r="Y167" i="2"/>
  <c r="Y167" i="6" s="1"/>
  <c r="X167" i="2"/>
  <c r="X167" i="6" s="1"/>
  <c r="Y166" i="2"/>
  <c r="Y166" i="6" s="1"/>
  <c r="X166" i="2"/>
  <c r="X166" i="6" s="1"/>
  <c r="Y165" i="2"/>
  <c r="Y165" i="6" s="1"/>
  <c r="X165" i="2"/>
  <c r="X165" i="6" s="1"/>
  <c r="Y164" i="2"/>
  <c r="Y164" i="6" s="1"/>
  <c r="X164" i="2"/>
  <c r="X164" i="6" s="1"/>
  <c r="Y163" i="2"/>
  <c r="Y163" i="6" s="1"/>
  <c r="X163" i="2"/>
  <c r="X163" i="6" s="1"/>
  <c r="Y162" i="2"/>
  <c r="Y162" i="6" s="1"/>
  <c r="X162" i="2"/>
  <c r="X162" i="6" s="1"/>
  <c r="Y161" i="2"/>
  <c r="Y161" i="6" s="1"/>
  <c r="X161" i="2"/>
  <c r="X161" i="6" s="1"/>
  <c r="Y160" i="2"/>
  <c r="Y160" i="6" s="1"/>
  <c r="X160" i="2"/>
  <c r="X160" i="6" s="1"/>
  <c r="Y159" i="2"/>
  <c r="Y159" i="6" s="1"/>
  <c r="X159" i="2"/>
  <c r="X159" i="6" s="1"/>
  <c r="Y158" i="2"/>
  <c r="Y158" i="6" s="1"/>
  <c r="X158" i="2"/>
  <c r="X158" i="6" s="1"/>
  <c r="Y157" i="2"/>
  <c r="Y157" i="6" s="1"/>
  <c r="X157" i="2"/>
  <c r="X157" i="6" s="1"/>
  <c r="Y156" i="2"/>
  <c r="Y156" i="6" s="1"/>
  <c r="X156" i="2"/>
  <c r="X156" i="6" s="1"/>
  <c r="Y155" i="2"/>
  <c r="Y155" i="6" s="1"/>
  <c r="X155" i="2"/>
  <c r="X155" i="6" s="1"/>
  <c r="Y154" i="2"/>
  <c r="Y154" i="6" s="1"/>
  <c r="X154" i="2"/>
  <c r="X154" i="6" s="1"/>
  <c r="Y153" i="2"/>
  <c r="Y153" i="6" s="1"/>
  <c r="X153" i="2"/>
  <c r="X153" i="6" s="1"/>
  <c r="Y152" i="2"/>
  <c r="Y152" i="6" s="1"/>
  <c r="X152" i="2"/>
  <c r="X152" i="6" s="1"/>
  <c r="Y151" i="2"/>
  <c r="Y151" i="6" s="1"/>
  <c r="X151" i="2"/>
  <c r="X151" i="6" s="1"/>
  <c r="Y150" i="2"/>
  <c r="Y150" i="6" s="1"/>
  <c r="X150" i="2"/>
  <c r="X150" i="6" s="1"/>
  <c r="Y149" i="2"/>
  <c r="Y149" i="6" s="1"/>
  <c r="X149" i="2"/>
  <c r="X149" i="6" s="1"/>
  <c r="Y148" i="2"/>
  <c r="Y148" i="6" s="1"/>
  <c r="X148" i="2"/>
  <c r="X148" i="6" s="1"/>
  <c r="Y147" i="2"/>
  <c r="Y147" i="6" s="1"/>
  <c r="X147" i="2"/>
  <c r="X147" i="6" s="1"/>
  <c r="Y146" i="6"/>
  <c r="X146" i="6"/>
  <c r="Y145" i="6"/>
  <c r="X145" i="6"/>
  <c r="Y144" i="6"/>
  <c r="X144" i="6"/>
  <c r="Y143" i="6"/>
  <c r="X143" i="6"/>
  <c r="Y142" i="6"/>
  <c r="X142" i="6"/>
  <c r="Y141" i="6"/>
  <c r="X141" i="6"/>
  <c r="Y140" i="6"/>
  <c r="X140" i="6"/>
  <c r="Y139" i="6"/>
  <c r="X139" i="6"/>
  <c r="Y138" i="6"/>
  <c r="X138" i="6"/>
  <c r="Y137" i="6"/>
  <c r="X137" i="6"/>
  <c r="Y136" i="6"/>
  <c r="X136" i="6"/>
  <c r="Y135" i="6"/>
  <c r="X135" i="6"/>
  <c r="Y134" i="6"/>
  <c r="X134" i="6"/>
  <c r="Y133" i="2"/>
  <c r="Y133" i="6" s="1"/>
  <c r="X133" i="2"/>
  <c r="X133" i="6" s="1"/>
  <c r="Y132" i="2"/>
  <c r="Y132" i="6" s="1"/>
  <c r="X132" i="2"/>
  <c r="X132" i="6" s="1"/>
  <c r="Y131" i="2"/>
  <c r="Y131" i="6" s="1"/>
  <c r="X131" i="2"/>
  <c r="X131" i="6" s="1"/>
  <c r="Y130" i="2"/>
  <c r="Y130" i="6" s="1"/>
  <c r="X130" i="2"/>
  <c r="X130" i="6" s="1"/>
  <c r="Y129" i="2"/>
  <c r="Y129" i="6" s="1"/>
  <c r="X129" i="2"/>
  <c r="X129" i="6" s="1"/>
  <c r="Y128" i="2"/>
  <c r="Y128" i="6" s="1"/>
  <c r="X128" i="2"/>
  <c r="X128" i="6" s="1"/>
  <c r="Y127" i="2"/>
  <c r="Y127" i="6" s="1"/>
  <c r="X127" i="2"/>
  <c r="X127" i="6" s="1"/>
  <c r="Y126" i="2"/>
  <c r="Y126" i="6" s="1"/>
  <c r="X126" i="2"/>
  <c r="X126" i="6" s="1"/>
  <c r="Y125" i="2"/>
  <c r="Y125" i="6" s="1"/>
  <c r="X125" i="2"/>
  <c r="X125" i="6" s="1"/>
  <c r="Y124" i="2"/>
  <c r="Y124" i="6" s="1"/>
  <c r="X124" i="2"/>
  <c r="X124" i="6" s="1"/>
  <c r="Y123" i="2"/>
  <c r="Y123" i="6" s="1"/>
  <c r="X123" i="2"/>
  <c r="X123" i="6" s="1"/>
  <c r="Y122" i="2"/>
  <c r="Y122" i="6" s="1"/>
  <c r="X122" i="2"/>
  <c r="X122" i="6" s="1"/>
  <c r="Y121" i="2"/>
  <c r="Y121" i="6" s="1"/>
  <c r="X121" i="2"/>
  <c r="X121" i="6" s="1"/>
  <c r="Y120" i="2"/>
  <c r="Y120" i="6" s="1"/>
  <c r="X120" i="2"/>
  <c r="X120" i="6" s="1"/>
  <c r="Y119" i="2"/>
  <c r="Y119" i="6" s="1"/>
  <c r="X119" i="2"/>
  <c r="X119" i="6" s="1"/>
  <c r="Y118" i="2"/>
  <c r="Y118" i="6" s="1"/>
  <c r="X118" i="2"/>
  <c r="X118" i="6" s="1"/>
  <c r="Y117" i="2"/>
  <c r="Y117" i="6" s="1"/>
  <c r="X117" i="2"/>
  <c r="X117" i="6" s="1"/>
  <c r="Y116" i="2"/>
  <c r="Y116" i="6" s="1"/>
  <c r="X116" i="2"/>
  <c r="X116" i="6" s="1"/>
  <c r="Y115" i="2"/>
  <c r="Y115" i="6" s="1"/>
  <c r="X115" i="2"/>
  <c r="X115" i="6" s="1"/>
  <c r="Y114" i="2"/>
  <c r="Y114" i="6" s="1"/>
  <c r="X114" i="2"/>
  <c r="X114" i="6" s="1"/>
  <c r="Y113" i="2"/>
  <c r="Y113" i="6" s="1"/>
  <c r="X113" i="2"/>
  <c r="X113" i="6" s="1"/>
  <c r="Y112" i="2"/>
  <c r="Y112" i="6" s="1"/>
  <c r="X112" i="2"/>
  <c r="X112" i="6" s="1"/>
  <c r="Y111" i="2"/>
  <c r="Y111" i="6" s="1"/>
  <c r="X111" i="2"/>
  <c r="X111" i="6" s="1"/>
  <c r="Y110" i="2"/>
  <c r="Y110" i="6" s="1"/>
  <c r="X110" i="2"/>
  <c r="X110" i="6" s="1"/>
  <c r="Y109" i="2"/>
  <c r="Y109" i="6" s="1"/>
  <c r="X109" i="2"/>
  <c r="X109" i="6" s="1"/>
  <c r="Y108" i="2"/>
  <c r="Y108" i="6" s="1"/>
  <c r="X108" i="2"/>
  <c r="X108" i="6" s="1"/>
  <c r="Y107" i="2"/>
  <c r="Y107" i="6" s="1"/>
  <c r="X107" i="2"/>
  <c r="X107" i="6" s="1"/>
  <c r="Y106" i="2"/>
  <c r="Y106" i="6" s="1"/>
  <c r="X106" i="2"/>
  <c r="X106" i="6" s="1"/>
  <c r="Y105" i="2"/>
  <c r="Y105" i="6" s="1"/>
  <c r="X105" i="2"/>
  <c r="X105" i="6" s="1"/>
  <c r="Y104" i="2"/>
  <c r="Y104" i="6" s="1"/>
  <c r="X104" i="2"/>
  <c r="X104" i="6" s="1"/>
  <c r="Y103" i="2"/>
  <c r="Y103" i="6" s="1"/>
  <c r="X103" i="2"/>
  <c r="X103" i="6" s="1"/>
  <c r="Y102" i="2"/>
  <c r="Y102" i="6" s="1"/>
  <c r="X102" i="2"/>
  <c r="X102" i="6" s="1"/>
  <c r="Y101" i="2"/>
  <c r="Y101" i="6" s="1"/>
  <c r="X101" i="2"/>
  <c r="X101" i="6" s="1"/>
  <c r="Y100" i="2"/>
  <c r="Y100" i="6" s="1"/>
  <c r="X100" i="2"/>
  <c r="X100" i="6" s="1"/>
  <c r="Y99" i="2"/>
  <c r="Y99" i="6" s="1"/>
  <c r="X99" i="2"/>
  <c r="X99" i="6" s="1"/>
  <c r="Y98" i="2"/>
  <c r="Y98" i="6" s="1"/>
  <c r="X98" i="2"/>
  <c r="X98" i="6" s="1"/>
  <c r="Y97" i="2"/>
  <c r="Y97" i="6" s="1"/>
  <c r="X97" i="2"/>
  <c r="X97" i="6" s="1"/>
  <c r="Y96" i="2"/>
  <c r="Y96" i="6" s="1"/>
  <c r="X96" i="2"/>
  <c r="X96" i="6" s="1"/>
  <c r="Y95" i="2"/>
  <c r="Y95" i="6" s="1"/>
  <c r="X95" i="2"/>
  <c r="X95" i="6" s="1"/>
  <c r="Y94" i="2"/>
  <c r="Y94" i="6" s="1"/>
  <c r="X94" i="2"/>
  <c r="X94" i="6" s="1"/>
  <c r="Y93" i="2"/>
  <c r="Y93" i="6" s="1"/>
  <c r="X93" i="2"/>
  <c r="X93" i="6" s="1"/>
  <c r="Y92" i="2"/>
  <c r="Y92" i="6" s="1"/>
  <c r="X92" i="2"/>
  <c r="X92" i="6" s="1"/>
  <c r="Y91" i="2"/>
  <c r="Y91" i="6" s="1"/>
  <c r="X91" i="2"/>
  <c r="X91" i="6" s="1"/>
  <c r="Y90" i="2"/>
  <c r="Y90" i="6" s="1"/>
  <c r="X90" i="2"/>
  <c r="X90" i="6" s="1"/>
  <c r="Y89" i="2"/>
  <c r="Y89" i="6" s="1"/>
  <c r="X89" i="2"/>
  <c r="X89" i="6" s="1"/>
  <c r="Y88" i="2"/>
  <c r="Y88" i="6" s="1"/>
  <c r="X88" i="2"/>
  <c r="X88" i="6" s="1"/>
  <c r="Y87" i="2"/>
  <c r="Y87" i="6" s="1"/>
  <c r="X87" i="2"/>
  <c r="X87" i="6" s="1"/>
  <c r="Y86" i="2"/>
  <c r="Y86" i="6" s="1"/>
  <c r="X86" i="2"/>
  <c r="X86" i="6" s="1"/>
  <c r="Y85" i="2"/>
  <c r="Y85" i="6" s="1"/>
  <c r="X85" i="2"/>
  <c r="X85" i="6" s="1"/>
  <c r="Y84" i="2"/>
  <c r="Y84" i="6" s="1"/>
  <c r="X84" i="2"/>
  <c r="X84" i="6" s="1"/>
  <c r="Y83" i="2"/>
  <c r="Y83" i="6" s="1"/>
  <c r="X83" i="2"/>
  <c r="X83" i="6" s="1"/>
  <c r="Y82" i="2"/>
  <c r="Y82" i="6" s="1"/>
  <c r="X82" i="2"/>
  <c r="X82" i="6" s="1"/>
  <c r="Y81" i="2"/>
  <c r="Y81" i="6" s="1"/>
  <c r="X81" i="2"/>
  <c r="X81" i="6" s="1"/>
  <c r="Y80" i="2"/>
  <c r="Y80" i="6" s="1"/>
  <c r="X80" i="2"/>
  <c r="X80" i="6" s="1"/>
  <c r="Y79" i="2"/>
  <c r="Y79" i="6" s="1"/>
  <c r="X79" i="2"/>
  <c r="X79" i="6" s="1"/>
  <c r="Y78" i="2"/>
  <c r="Y78" i="6" s="1"/>
  <c r="X78" i="2"/>
  <c r="X78" i="6" s="1"/>
  <c r="Y77" i="2"/>
  <c r="Y77" i="6" s="1"/>
  <c r="X77" i="2"/>
  <c r="X77" i="6" s="1"/>
  <c r="Y76" i="2"/>
  <c r="Y76" i="6" s="1"/>
  <c r="X76" i="2"/>
  <c r="X76" i="6" s="1"/>
  <c r="Y75" i="2"/>
  <c r="Y75" i="6" s="1"/>
  <c r="X75" i="2"/>
  <c r="X75" i="6" s="1"/>
  <c r="Y74" i="2"/>
  <c r="Y74" i="6" s="1"/>
  <c r="X74" i="2"/>
  <c r="X74" i="6" s="1"/>
  <c r="Y73" i="2"/>
  <c r="Y73" i="6" s="1"/>
  <c r="X73" i="2"/>
  <c r="X73" i="6" s="1"/>
  <c r="Y72" i="2"/>
  <c r="Y72" i="6" s="1"/>
  <c r="X72" i="2"/>
  <c r="X72" i="6" s="1"/>
  <c r="Y71" i="2"/>
  <c r="Y71" i="6" s="1"/>
  <c r="X71" i="2"/>
  <c r="X71" i="6" s="1"/>
  <c r="Y70" i="2"/>
  <c r="Y70" i="6" s="1"/>
  <c r="X70" i="2"/>
  <c r="X70" i="6" s="1"/>
  <c r="Y69" i="2"/>
  <c r="Y69" i="6" s="1"/>
  <c r="X69" i="2"/>
  <c r="X69" i="6" s="1"/>
  <c r="Y68" i="2"/>
  <c r="Y68" i="6" s="1"/>
  <c r="X68" i="2"/>
  <c r="X68" i="6" s="1"/>
  <c r="Y67" i="2"/>
  <c r="Y67" i="6" s="1"/>
  <c r="X67" i="2"/>
  <c r="X67" i="6" s="1"/>
  <c r="Y66" i="2"/>
  <c r="Y66" i="6" s="1"/>
  <c r="X66" i="2"/>
  <c r="X66" i="6" s="1"/>
  <c r="Y65" i="2"/>
  <c r="Y65" i="6" s="1"/>
  <c r="X65" i="2"/>
  <c r="X65" i="6" s="1"/>
  <c r="Y64" i="2"/>
  <c r="Y64" i="6" s="1"/>
  <c r="X64" i="2"/>
  <c r="X64" i="6" s="1"/>
  <c r="Y63" i="2"/>
  <c r="Y63" i="6" s="1"/>
  <c r="X63" i="2"/>
  <c r="X63" i="6" s="1"/>
  <c r="Y62" i="2"/>
  <c r="Y62" i="6" s="1"/>
  <c r="X62" i="2"/>
  <c r="X62" i="6" s="1"/>
  <c r="Y61" i="2"/>
  <c r="Y61" i="6" s="1"/>
  <c r="X61" i="2"/>
  <c r="X61" i="6" s="1"/>
  <c r="Y60" i="2"/>
  <c r="Y60" i="6" s="1"/>
  <c r="X60" i="2"/>
  <c r="X60" i="6" s="1"/>
  <c r="Y59" i="2"/>
  <c r="Y59" i="6" s="1"/>
  <c r="X59" i="2"/>
  <c r="X59" i="6" s="1"/>
  <c r="Y58" i="2"/>
  <c r="Y58" i="6" s="1"/>
  <c r="X58" i="2"/>
  <c r="X58" i="6" s="1"/>
  <c r="Y57" i="2"/>
  <c r="Y57" i="6" s="1"/>
  <c r="X57" i="2"/>
  <c r="X57" i="6" s="1"/>
  <c r="Y56" i="2"/>
  <c r="Y56" i="6" s="1"/>
  <c r="X56" i="2"/>
  <c r="X56" i="6" s="1"/>
  <c r="Y55" i="2"/>
  <c r="Y55" i="6" s="1"/>
  <c r="X55" i="2"/>
  <c r="X55" i="6" s="1"/>
  <c r="Y54" i="2"/>
  <c r="Y54" i="6" s="1"/>
  <c r="X54" i="2"/>
  <c r="X54" i="6" s="1"/>
  <c r="Y53" i="2"/>
  <c r="Y53" i="6" s="1"/>
  <c r="X53" i="2"/>
  <c r="X53" i="6" s="1"/>
  <c r="Y52" i="2"/>
  <c r="Y52" i="6" s="1"/>
  <c r="X52" i="2"/>
  <c r="X52" i="6" s="1"/>
  <c r="Y51" i="2"/>
  <c r="Y51" i="6" s="1"/>
  <c r="X51" i="2"/>
  <c r="X51" i="6" s="1"/>
  <c r="Y50" i="2"/>
  <c r="Y50" i="6" s="1"/>
  <c r="X50" i="2"/>
  <c r="X50" i="6" s="1"/>
  <c r="Y49" i="2"/>
  <c r="Y49" i="6" s="1"/>
  <c r="X49" i="2"/>
  <c r="X49" i="6" s="1"/>
  <c r="Y48" i="2"/>
  <c r="Y48" i="6" s="1"/>
  <c r="X48" i="2"/>
  <c r="X48" i="6" s="1"/>
  <c r="Y47" i="2"/>
  <c r="Y47" i="6" s="1"/>
  <c r="X47" i="2"/>
  <c r="X47" i="6" s="1"/>
  <c r="Y46" i="2"/>
  <c r="Y46" i="6" s="1"/>
  <c r="X46" i="2"/>
  <c r="X46" i="6" s="1"/>
  <c r="Y45" i="2"/>
  <c r="Y45" i="6" s="1"/>
  <c r="X45" i="2"/>
  <c r="X45" i="6" s="1"/>
  <c r="Y44" i="2"/>
  <c r="Y44" i="6" s="1"/>
  <c r="X44" i="2"/>
  <c r="X44" i="6" s="1"/>
  <c r="Y43" i="2"/>
  <c r="Y43" i="6" s="1"/>
  <c r="X43" i="2"/>
  <c r="X43" i="6" s="1"/>
  <c r="Y42" i="2"/>
  <c r="Y42" i="6" s="1"/>
  <c r="X42" i="2"/>
  <c r="X42" i="6" s="1"/>
  <c r="Y41" i="2"/>
  <c r="Y41" i="6" s="1"/>
  <c r="X41" i="2"/>
  <c r="X41" i="6" s="1"/>
  <c r="Y40" i="2"/>
  <c r="Y40" i="6" s="1"/>
  <c r="X40" i="2"/>
  <c r="X40" i="6" s="1"/>
  <c r="Y39" i="2"/>
  <c r="Y39" i="6" s="1"/>
  <c r="X39" i="2"/>
  <c r="X39" i="6" s="1"/>
  <c r="Y38" i="2"/>
  <c r="Y38" i="6" s="1"/>
  <c r="X38" i="2"/>
  <c r="X38" i="6" s="1"/>
  <c r="Y37" i="2"/>
  <c r="Y37" i="6" s="1"/>
  <c r="X37" i="2"/>
  <c r="X37" i="6" s="1"/>
  <c r="Y36" i="2"/>
  <c r="Y36" i="6" s="1"/>
  <c r="X36" i="2"/>
  <c r="X36" i="6" s="1"/>
  <c r="Y35" i="2"/>
  <c r="Y35" i="6" s="1"/>
  <c r="X35" i="2"/>
  <c r="X35" i="6" s="1"/>
  <c r="Y34" i="2"/>
  <c r="Y34" i="6" s="1"/>
  <c r="X34" i="2"/>
  <c r="X34" i="6" s="1"/>
  <c r="Y33" i="2"/>
  <c r="Y33" i="6" s="1"/>
  <c r="X33" i="2"/>
  <c r="X33" i="6" s="1"/>
  <c r="Y32" i="2"/>
  <c r="Y32" i="6" s="1"/>
  <c r="X32" i="2"/>
  <c r="X32" i="6" s="1"/>
  <c r="Y31" i="2"/>
  <c r="Y31" i="6" s="1"/>
  <c r="X31" i="2"/>
  <c r="X31" i="6" s="1"/>
  <c r="Y30" i="2"/>
  <c r="Y30" i="6" s="1"/>
  <c r="X30" i="2"/>
  <c r="X30" i="6" s="1"/>
  <c r="Y29" i="2"/>
  <c r="Y29" i="6" s="1"/>
  <c r="X29" i="2"/>
  <c r="X29" i="6" s="1"/>
  <c r="Y28" i="2"/>
  <c r="Y28" i="6" s="1"/>
  <c r="X28" i="2"/>
  <c r="X28" i="6" s="1"/>
  <c r="Y27" i="2"/>
  <c r="Y27" i="6" s="1"/>
  <c r="X27" i="2"/>
  <c r="X27" i="6" s="1"/>
  <c r="Y26" i="2"/>
  <c r="Y26" i="6" s="1"/>
  <c r="X26" i="2"/>
  <c r="X26" i="6" s="1"/>
  <c r="Y25" i="2"/>
  <c r="Y25" i="6" s="1"/>
  <c r="X25" i="2"/>
  <c r="X25" i="6" s="1"/>
  <c r="Y24" i="2"/>
  <c r="Y24" i="6" s="1"/>
  <c r="X24" i="2"/>
  <c r="X24" i="6" s="1"/>
  <c r="Y23" i="2"/>
  <c r="Y23" i="6" s="1"/>
  <c r="X23" i="2"/>
  <c r="X23" i="6" s="1"/>
  <c r="Y22" i="2"/>
  <c r="Y22" i="6" s="1"/>
  <c r="X22" i="2"/>
  <c r="X22" i="6" s="1"/>
  <c r="Y21" i="2"/>
  <c r="Y21" i="6" s="1"/>
  <c r="X21" i="2"/>
  <c r="X21" i="6" s="1"/>
  <c r="Y20" i="2"/>
  <c r="Y20" i="6" s="1"/>
  <c r="X20" i="2"/>
  <c r="X20" i="6" s="1"/>
  <c r="Y19" i="2"/>
  <c r="Y19" i="6" s="1"/>
  <c r="X19" i="2"/>
  <c r="X19" i="6" s="1"/>
  <c r="Y18" i="2"/>
  <c r="Y18" i="6" s="1"/>
  <c r="X18" i="2"/>
  <c r="X18" i="6" s="1"/>
  <c r="Y17" i="2"/>
  <c r="Y17" i="6" s="1"/>
  <c r="X17" i="2"/>
  <c r="X17" i="6" s="1"/>
  <c r="Y16" i="2"/>
  <c r="Y16" i="6" s="1"/>
  <c r="X16" i="2"/>
  <c r="X16" i="6" s="1"/>
  <c r="Y15" i="2"/>
  <c r="Y15" i="6" s="1"/>
  <c r="X15" i="2"/>
  <c r="X15" i="6" s="1"/>
  <c r="Y14" i="2"/>
  <c r="Y14" i="6" s="1"/>
  <c r="X14" i="2"/>
  <c r="X14" i="6" s="1"/>
  <c r="Y13" i="2"/>
  <c r="Y13" i="6" s="1"/>
  <c r="X13" i="2"/>
  <c r="X13" i="6" s="1"/>
  <c r="Y12" i="2"/>
  <c r="Y12" i="6" s="1"/>
  <c r="X12" i="2"/>
  <c r="X12" i="6" s="1"/>
  <c r="Y11" i="2"/>
  <c r="Y11" i="6" s="1"/>
  <c r="X11" i="2"/>
  <c r="X11" i="6" s="1"/>
  <c r="Y10" i="2"/>
  <c r="Y10" i="6" s="1"/>
  <c r="X10" i="2"/>
  <c r="X10" i="6" s="1"/>
  <c r="Y9" i="2"/>
  <c r="Y9" i="6" s="1"/>
  <c r="X9" i="2"/>
  <c r="X9" i="6" s="1"/>
  <c r="Y8" i="2"/>
  <c r="Y8" i="6" s="1"/>
  <c r="X8" i="2"/>
  <c r="X8" i="6" s="1"/>
  <c r="Y7" i="2"/>
  <c r="Y7" i="6" s="1"/>
  <c r="X7" i="2"/>
  <c r="X7" i="6" s="1"/>
  <c r="Y6" i="2"/>
  <c r="Y6" i="6" s="1"/>
  <c r="X6" i="2"/>
  <c r="X6" i="6" s="1"/>
  <c r="V498" i="2"/>
  <c r="V498" i="6" s="1"/>
  <c r="U498" i="2"/>
  <c r="U498" i="6" s="1"/>
  <c r="T498" i="2"/>
  <c r="T498" i="6" s="1"/>
  <c r="S498" i="2"/>
  <c r="S498" i="6" s="1"/>
  <c r="V497" i="2"/>
  <c r="V497" i="6" s="1"/>
  <c r="U497" i="2"/>
  <c r="U497" i="6" s="1"/>
  <c r="T497" i="2"/>
  <c r="T497" i="6" s="1"/>
  <c r="S497" i="2"/>
  <c r="S497" i="6" s="1"/>
  <c r="V496" i="2"/>
  <c r="V496" i="6" s="1"/>
  <c r="U496" i="2"/>
  <c r="U496" i="6" s="1"/>
  <c r="T496" i="2"/>
  <c r="T496" i="6" s="1"/>
  <c r="S496" i="2"/>
  <c r="S496" i="6" s="1"/>
  <c r="V495" i="2"/>
  <c r="V495" i="6" s="1"/>
  <c r="U495" i="2"/>
  <c r="U495" i="6" s="1"/>
  <c r="T495" i="2"/>
  <c r="T495" i="6" s="1"/>
  <c r="S495" i="2"/>
  <c r="S495" i="6" s="1"/>
  <c r="V494" i="2"/>
  <c r="V494" i="6" s="1"/>
  <c r="U494" i="2"/>
  <c r="U494" i="6" s="1"/>
  <c r="T494" i="2"/>
  <c r="T494" i="6" s="1"/>
  <c r="S494" i="2"/>
  <c r="S494" i="6" s="1"/>
  <c r="V493" i="2"/>
  <c r="V493" i="6" s="1"/>
  <c r="U493" i="2"/>
  <c r="U493" i="6" s="1"/>
  <c r="T493" i="2"/>
  <c r="T493" i="6" s="1"/>
  <c r="S493" i="2"/>
  <c r="S493" i="6" s="1"/>
  <c r="V492" i="2"/>
  <c r="V492" i="6" s="1"/>
  <c r="U492" i="2"/>
  <c r="U492" i="6" s="1"/>
  <c r="T492" i="2"/>
  <c r="T492" i="6" s="1"/>
  <c r="S492" i="2"/>
  <c r="S492" i="6" s="1"/>
  <c r="V491" i="2"/>
  <c r="V491" i="6" s="1"/>
  <c r="U491" i="2"/>
  <c r="U491" i="6" s="1"/>
  <c r="T491" i="2"/>
  <c r="T491" i="6" s="1"/>
  <c r="S491" i="2"/>
  <c r="S491" i="6" s="1"/>
  <c r="V490" i="2"/>
  <c r="V490" i="6" s="1"/>
  <c r="U490" i="2"/>
  <c r="U490" i="6" s="1"/>
  <c r="T490" i="2"/>
  <c r="T490" i="6" s="1"/>
  <c r="S490" i="2"/>
  <c r="S490" i="6" s="1"/>
  <c r="V489" i="2"/>
  <c r="V489" i="6" s="1"/>
  <c r="U489" i="2"/>
  <c r="U489" i="6" s="1"/>
  <c r="T489" i="2"/>
  <c r="T489" i="6" s="1"/>
  <c r="S489" i="2"/>
  <c r="S489" i="6" s="1"/>
  <c r="V488" i="2"/>
  <c r="V488" i="6" s="1"/>
  <c r="U488" i="2"/>
  <c r="U488" i="6" s="1"/>
  <c r="T488" i="2"/>
  <c r="T488" i="6" s="1"/>
  <c r="S488" i="2"/>
  <c r="S488" i="6" s="1"/>
  <c r="V487" i="2"/>
  <c r="V487" i="6" s="1"/>
  <c r="U487" i="2"/>
  <c r="U487" i="6" s="1"/>
  <c r="T487" i="2"/>
  <c r="T487" i="6" s="1"/>
  <c r="S487" i="2"/>
  <c r="S487" i="6" s="1"/>
  <c r="V486" i="2"/>
  <c r="V486" i="6" s="1"/>
  <c r="U486" i="2"/>
  <c r="U486" i="6" s="1"/>
  <c r="T486" i="2"/>
  <c r="T486" i="6" s="1"/>
  <c r="S486" i="2"/>
  <c r="S486" i="6" s="1"/>
  <c r="V485" i="2"/>
  <c r="V485" i="6" s="1"/>
  <c r="U485" i="2"/>
  <c r="U485" i="6" s="1"/>
  <c r="T485" i="2"/>
  <c r="T485" i="6" s="1"/>
  <c r="S485" i="2"/>
  <c r="S485" i="6" s="1"/>
  <c r="V484" i="2"/>
  <c r="V484" i="6" s="1"/>
  <c r="U484" i="2"/>
  <c r="U484" i="6" s="1"/>
  <c r="T484" i="2"/>
  <c r="T484" i="6" s="1"/>
  <c r="S484" i="2"/>
  <c r="S484" i="6" s="1"/>
  <c r="V483" i="2"/>
  <c r="V483" i="6" s="1"/>
  <c r="U483" i="2"/>
  <c r="U483" i="6" s="1"/>
  <c r="T483" i="2"/>
  <c r="T483" i="6" s="1"/>
  <c r="S483" i="2"/>
  <c r="S483" i="6" s="1"/>
  <c r="V482" i="2"/>
  <c r="V482" i="6" s="1"/>
  <c r="U482" i="2"/>
  <c r="U482" i="6" s="1"/>
  <c r="T482" i="2"/>
  <c r="T482" i="6" s="1"/>
  <c r="S482" i="2"/>
  <c r="S482" i="6" s="1"/>
  <c r="V481" i="2"/>
  <c r="V481" i="6" s="1"/>
  <c r="U481" i="2"/>
  <c r="U481" i="6" s="1"/>
  <c r="T481" i="2"/>
  <c r="T481" i="6" s="1"/>
  <c r="S481" i="2"/>
  <c r="S481" i="6" s="1"/>
  <c r="V480" i="2"/>
  <c r="V480" i="6" s="1"/>
  <c r="U480" i="2"/>
  <c r="U480" i="6" s="1"/>
  <c r="T480" i="2"/>
  <c r="T480" i="6" s="1"/>
  <c r="S480" i="2"/>
  <c r="S480" i="6" s="1"/>
  <c r="V479" i="6"/>
  <c r="U479" i="6"/>
  <c r="T479" i="6"/>
  <c r="S479" i="2"/>
  <c r="S479" i="6" s="1"/>
  <c r="V478" i="6"/>
  <c r="U478" i="6"/>
  <c r="T478" i="6"/>
  <c r="S478" i="2"/>
  <c r="S478" i="6" s="1"/>
  <c r="V477" i="6"/>
  <c r="U477" i="6"/>
  <c r="T477" i="6"/>
  <c r="S477" i="2"/>
  <c r="S477" i="6" s="1"/>
  <c r="V476" i="6"/>
  <c r="U476" i="6"/>
  <c r="T476" i="6"/>
  <c r="S476" i="2"/>
  <c r="S476" i="6" s="1"/>
  <c r="V475" i="6"/>
  <c r="U475" i="6"/>
  <c r="T475" i="6"/>
  <c r="S475" i="2"/>
  <c r="S475" i="6" s="1"/>
  <c r="V474" i="6"/>
  <c r="U474" i="6"/>
  <c r="T474" i="6"/>
  <c r="S474" i="2"/>
  <c r="S474" i="6" s="1"/>
  <c r="V473" i="6"/>
  <c r="U473" i="6"/>
  <c r="T473" i="6"/>
  <c r="S473" i="2"/>
  <c r="S473" i="6" s="1"/>
  <c r="V472" i="6"/>
  <c r="U472" i="6"/>
  <c r="T472" i="6"/>
  <c r="S472" i="2"/>
  <c r="S472" i="6" s="1"/>
  <c r="V471" i="6"/>
  <c r="U471" i="6"/>
  <c r="T471" i="6"/>
  <c r="S471" i="2"/>
  <c r="S471" i="6" s="1"/>
  <c r="V470" i="6"/>
  <c r="U470" i="6"/>
  <c r="T470" i="6"/>
  <c r="S470" i="2"/>
  <c r="S470" i="6" s="1"/>
  <c r="V469" i="6"/>
  <c r="U469" i="6"/>
  <c r="T469" i="6"/>
  <c r="S469" i="2"/>
  <c r="S469" i="6" s="1"/>
  <c r="V468" i="6"/>
  <c r="U468" i="6"/>
  <c r="T468" i="6"/>
  <c r="S468" i="2"/>
  <c r="S468" i="6" s="1"/>
  <c r="V467" i="6"/>
  <c r="U467" i="6"/>
  <c r="T467" i="6"/>
  <c r="S467" i="2"/>
  <c r="S467" i="6" s="1"/>
  <c r="V466" i="6"/>
  <c r="U466" i="6"/>
  <c r="T466" i="6"/>
  <c r="S466" i="2"/>
  <c r="S466" i="6" s="1"/>
  <c r="V465" i="6"/>
  <c r="U465" i="6"/>
  <c r="T465" i="6"/>
  <c r="S465" i="2"/>
  <c r="S465" i="6" s="1"/>
  <c r="V464" i="6"/>
  <c r="U464" i="6"/>
  <c r="T464" i="6"/>
  <c r="S464" i="2"/>
  <c r="S464" i="6" s="1"/>
  <c r="V463" i="6"/>
  <c r="U463" i="6"/>
  <c r="T463" i="6"/>
  <c r="S463" i="2"/>
  <c r="S463" i="6" s="1"/>
  <c r="V462" i="6"/>
  <c r="U462" i="6"/>
  <c r="T462" i="6"/>
  <c r="S462" i="2"/>
  <c r="S462" i="6" s="1"/>
  <c r="V461" i="6"/>
  <c r="U461" i="6"/>
  <c r="T461" i="6"/>
  <c r="S461" i="2"/>
  <c r="S461" i="6" s="1"/>
  <c r="V460" i="6"/>
  <c r="U460" i="6"/>
  <c r="T460" i="6"/>
  <c r="S460" i="2"/>
  <c r="S460" i="6" s="1"/>
  <c r="V459" i="6"/>
  <c r="U459" i="6"/>
  <c r="T459" i="6"/>
  <c r="S459" i="2"/>
  <c r="S459" i="6" s="1"/>
  <c r="V458" i="6"/>
  <c r="U458" i="6"/>
  <c r="T458" i="6"/>
  <c r="S458" i="2"/>
  <c r="S458" i="6" s="1"/>
  <c r="V457" i="6"/>
  <c r="U457" i="6"/>
  <c r="T457" i="6"/>
  <c r="S457" i="2"/>
  <c r="S457" i="6" s="1"/>
  <c r="V456" i="6"/>
  <c r="U456" i="6"/>
  <c r="T456" i="6"/>
  <c r="S456" i="2"/>
  <c r="S456" i="6" s="1"/>
  <c r="V455" i="6"/>
  <c r="U455" i="6"/>
  <c r="T455" i="6"/>
  <c r="S455" i="2"/>
  <c r="S455" i="6" s="1"/>
  <c r="V454" i="6"/>
  <c r="U454" i="6"/>
  <c r="T454" i="6"/>
  <c r="S454" i="2"/>
  <c r="S454" i="6" s="1"/>
  <c r="V453" i="6"/>
  <c r="U453" i="6"/>
  <c r="T453" i="6"/>
  <c r="S453" i="2"/>
  <c r="S453" i="6" s="1"/>
  <c r="V452" i="6"/>
  <c r="U452" i="6"/>
  <c r="T452" i="6"/>
  <c r="S452" i="2"/>
  <c r="S452" i="6" s="1"/>
  <c r="V451" i="6"/>
  <c r="U451" i="6"/>
  <c r="T451" i="6"/>
  <c r="S451" i="2"/>
  <c r="S451" i="6" s="1"/>
  <c r="V450" i="6"/>
  <c r="U450" i="6"/>
  <c r="T450" i="6"/>
  <c r="S450" i="2"/>
  <c r="S450" i="6" s="1"/>
  <c r="V449" i="2"/>
  <c r="V449" i="6" s="1"/>
  <c r="U449" i="2"/>
  <c r="U449" i="6" s="1"/>
  <c r="T449" i="2"/>
  <c r="T449" i="6" s="1"/>
  <c r="S449" i="2"/>
  <c r="S449" i="6" s="1"/>
  <c r="V448" i="2"/>
  <c r="V448" i="6" s="1"/>
  <c r="U448" i="2"/>
  <c r="U448" i="6" s="1"/>
  <c r="T448" i="2"/>
  <c r="T448" i="6" s="1"/>
  <c r="S448" i="2"/>
  <c r="S448" i="6" s="1"/>
  <c r="V447" i="2"/>
  <c r="V447" i="6" s="1"/>
  <c r="U447" i="2"/>
  <c r="U447" i="6" s="1"/>
  <c r="T447" i="2"/>
  <c r="T447" i="6" s="1"/>
  <c r="S447" i="2"/>
  <c r="S447" i="6" s="1"/>
  <c r="V446" i="2"/>
  <c r="V446" i="6" s="1"/>
  <c r="U446" i="2"/>
  <c r="U446" i="6" s="1"/>
  <c r="T446" i="2"/>
  <c r="T446" i="6" s="1"/>
  <c r="S446" i="2"/>
  <c r="S446" i="6" s="1"/>
  <c r="V445" i="2"/>
  <c r="V445" i="6" s="1"/>
  <c r="U445" i="2"/>
  <c r="U445" i="6" s="1"/>
  <c r="T445" i="2"/>
  <c r="T445" i="6" s="1"/>
  <c r="S445" i="2"/>
  <c r="S445" i="6" s="1"/>
  <c r="V444" i="2"/>
  <c r="V444" i="6" s="1"/>
  <c r="U444" i="2"/>
  <c r="U444" i="6" s="1"/>
  <c r="T444" i="2"/>
  <c r="T444" i="6" s="1"/>
  <c r="S444" i="2"/>
  <c r="S444" i="6" s="1"/>
  <c r="V443" i="2"/>
  <c r="V443" i="6" s="1"/>
  <c r="U443" i="2"/>
  <c r="U443" i="6" s="1"/>
  <c r="T443" i="2"/>
  <c r="T443" i="6" s="1"/>
  <c r="S443" i="2"/>
  <c r="S443" i="6" s="1"/>
  <c r="V442" i="2"/>
  <c r="V442" i="6" s="1"/>
  <c r="U442" i="2"/>
  <c r="U442" i="6" s="1"/>
  <c r="T442" i="2"/>
  <c r="T442" i="6" s="1"/>
  <c r="S442" i="2"/>
  <c r="S442" i="6" s="1"/>
  <c r="V441" i="2"/>
  <c r="V441" i="6" s="1"/>
  <c r="U441" i="2"/>
  <c r="U441" i="6" s="1"/>
  <c r="T441" i="2"/>
  <c r="T441" i="6" s="1"/>
  <c r="S441" i="2"/>
  <c r="S441" i="6" s="1"/>
  <c r="V440" i="2"/>
  <c r="V440" i="6" s="1"/>
  <c r="U440" i="2"/>
  <c r="U440" i="6" s="1"/>
  <c r="T440" i="2"/>
  <c r="T440" i="6" s="1"/>
  <c r="S440" i="2"/>
  <c r="S440" i="6" s="1"/>
  <c r="V439" i="2"/>
  <c r="V439" i="6" s="1"/>
  <c r="U439" i="2"/>
  <c r="U439" i="6" s="1"/>
  <c r="T439" i="2"/>
  <c r="T439" i="6" s="1"/>
  <c r="S439" i="2"/>
  <c r="S439" i="6" s="1"/>
  <c r="V438" i="2"/>
  <c r="V438" i="6" s="1"/>
  <c r="U438" i="2"/>
  <c r="U438" i="6" s="1"/>
  <c r="T438" i="2"/>
  <c r="T438" i="6" s="1"/>
  <c r="S438" i="2"/>
  <c r="S438" i="6" s="1"/>
  <c r="V437" i="2"/>
  <c r="V437" i="6" s="1"/>
  <c r="U437" i="2"/>
  <c r="U437" i="6" s="1"/>
  <c r="T437" i="2"/>
  <c r="T437" i="6" s="1"/>
  <c r="S437" i="2"/>
  <c r="S437" i="6" s="1"/>
  <c r="V436" i="2"/>
  <c r="V436" i="6" s="1"/>
  <c r="U436" i="2"/>
  <c r="U436" i="6" s="1"/>
  <c r="T436" i="2"/>
  <c r="T436" i="6" s="1"/>
  <c r="S436" i="2"/>
  <c r="S436" i="6" s="1"/>
  <c r="V435" i="2"/>
  <c r="V435" i="6" s="1"/>
  <c r="U435" i="2"/>
  <c r="U435" i="6" s="1"/>
  <c r="T435" i="2"/>
  <c r="T435" i="6" s="1"/>
  <c r="S435" i="2"/>
  <c r="S435" i="6" s="1"/>
  <c r="V434" i="2"/>
  <c r="V434" i="6" s="1"/>
  <c r="U434" i="2"/>
  <c r="U434" i="6" s="1"/>
  <c r="T434" i="2"/>
  <c r="T434" i="6" s="1"/>
  <c r="S434" i="2"/>
  <c r="S434" i="6" s="1"/>
  <c r="V433" i="2"/>
  <c r="V433" i="6" s="1"/>
  <c r="U433" i="2"/>
  <c r="U433" i="6" s="1"/>
  <c r="T433" i="2"/>
  <c r="T433" i="6" s="1"/>
  <c r="S433" i="2"/>
  <c r="S433" i="6" s="1"/>
  <c r="V432" i="2"/>
  <c r="V432" i="6" s="1"/>
  <c r="U432" i="2"/>
  <c r="U432" i="6" s="1"/>
  <c r="T432" i="2"/>
  <c r="T432" i="6" s="1"/>
  <c r="S432" i="2"/>
  <c r="S432" i="6" s="1"/>
  <c r="V431" i="2"/>
  <c r="V431" i="6" s="1"/>
  <c r="U431" i="2"/>
  <c r="U431" i="6" s="1"/>
  <c r="T431" i="2"/>
  <c r="T431" i="6" s="1"/>
  <c r="S431" i="2"/>
  <c r="S431" i="6" s="1"/>
  <c r="V430" i="2"/>
  <c r="V430" i="6" s="1"/>
  <c r="U430" i="2"/>
  <c r="U430" i="6" s="1"/>
  <c r="T430" i="2"/>
  <c r="T430" i="6" s="1"/>
  <c r="S430" i="2"/>
  <c r="S430" i="6" s="1"/>
  <c r="V429" i="2"/>
  <c r="V429" i="6" s="1"/>
  <c r="U429" i="2"/>
  <c r="U429" i="6" s="1"/>
  <c r="T429" i="2"/>
  <c r="T429" i="6" s="1"/>
  <c r="S429" i="2"/>
  <c r="S429" i="6" s="1"/>
  <c r="V428" i="2"/>
  <c r="V428" i="6" s="1"/>
  <c r="U428" i="2"/>
  <c r="U428" i="6" s="1"/>
  <c r="T428" i="2"/>
  <c r="T428" i="6" s="1"/>
  <c r="S428" i="2"/>
  <c r="S428" i="6" s="1"/>
  <c r="V427" i="2"/>
  <c r="V427" i="6" s="1"/>
  <c r="U427" i="2"/>
  <c r="U427" i="6" s="1"/>
  <c r="T427" i="2"/>
  <c r="T427" i="6" s="1"/>
  <c r="S427" i="2"/>
  <c r="S427" i="6" s="1"/>
  <c r="V426" i="2"/>
  <c r="V426" i="6" s="1"/>
  <c r="U426" i="2"/>
  <c r="U426" i="6" s="1"/>
  <c r="T426" i="2"/>
  <c r="T426" i="6" s="1"/>
  <c r="S426" i="2"/>
  <c r="S426" i="6" s="1"/>
  <c r="V425" i="2"/>
  <c r="V425" i="6" s="1"/>
  <c r="U425" i="2"/>
  <c r="U425" i="6" s="1"/>
  <c r="T425" i="2"/>
  <c r="T425" i="6" s="1"/>
  <c r="S425" i="2"/>
  <c r="S425" i="6" s="1"/>
  <c r="V424" i="2"/>
  <c r="V424" i="6" s="1"/>
  <c r="U424" i="2"/>
  <c r="U424" i="6" s="1"/>
  <c r="T424" i="2"/>
  <c r="T424" i="6" s="1"/>
  <c r="S424" i="2"/>
  <c r="S424" i="6" s="1"/>
  <c r="V423" i="2"/>
  <c r="V423" i="6" s="1"/>
  <c r="U423" i="2"/>
  <c r="U423" i="6" s="1"/>
  <c r="T423" i="2"/>
  <c r="T423" i="6" s="1"/>
  <c r="S423" i="2"/>
  <c r="S423" i="6" s="1"/>
  <c r="V422" i="2"/>
  <c r="V422" i="6" s="1"/>
  <c r="U422" i="2"/>
  <c r="U422" i="6" s="1"/>
  <c r="T422" i="2"/>
  <c r="T422" i="6" s="1"/>
  <c r="S422" i="2"/>
  <c r="S422" i="6" s="1"/>
  <c r="V421" i="2"/>
  <c r="V421" i="6" s="1"/>
  <c r="U421" i="2"/>
  <c r="U421" i="6" s="1"/>
  <c r="T421" i="2"/>
  <c r="T421" i="6" s="1"/>
  <c r="S421" i="2"/>
  <c r="S421" i="6" s="1"/>
  <c r="V420" i="2"/>
  <c r="V420" i="6" s="1"/>
  <c r="U420" i="2"/>
  <c r="U420" i="6" s="1"/>
  <c r="T420" i="2"/>
  <c r="T420" i="6" s="1"/>
  <c r="S420" i="2"/>
  <c r="S420" i="6" s="1"/>
  <c r="V419" i="2"/>
  <c r="V419" i="6" s="1"/>
  <c r="U419" i="2"/>
  <c r="U419" i="6" s="1"/>
  <c r="T419" i="2"/>
  <c r="T419" i="6" s="1"/>
  <c r="S419" i="2"/>
  <c r="S419" i="6" s="1"/>
  <c r="V418" i="2"/>
  <c r="V418" i="6" s="1"/>
  <c r="U418" i="2"/>
  <c r="U418" i="6" s="1"/>
  <c r="T418" i="2"/>
  <c r="T418" i="6" s="1"/>
  <c r="S418" i="2"/>
  <c r="S418" i="6" s="1"/>
  <c r="V417" i="2"/>
  <c r="V417" i="6" s="1"/>
  <c r="U417" i="2"/>
  <c r="U417" i="6" s="1"/>
  <c r="T417" i="2"/>
  <c r="T417" i="6" s="1"/>
  <c r="S417" i="2"/>
  <c r="S417" i="6" s="1"/>
  <c r="V416" i="2"/>
  <c r="V416" i="6" s="1"/>
  <c r="U416" i="2"/>
  <c r="U416" i="6" s="1"/>
  <c r="T416" i="2"/>
  <c r="T416" i="6" s="1"/>
  <c r="S416" i="2"/>
  <c r="S416" i="6" s="1"/>
  <c r="V415" i="2"/>
  <c r="V415" i="6" s="1"/>
  <c r="U415" i="2"/>
  <c r="U415" i="6" s="1"/>
  <c r="T415" i="2"/>
  <c r="T415" i="6" s="1"/>
  <c r="S415" i="2"/>
  <c r="S415" i="6" s="1"/>
  <c r="V414" i="2"/>
  <c r="V414" i="6" s="1"/>
  <c r="U414" i="2"/>
  <c r="U414" i="6" s="1"/>
  <c r="T414" i="2"/>
  <c r="T414" i="6" s="1"/>
  <c r="S414" i="2"/>
  <c r="S414" i="6" s="1"/>
  <c r="V413" i="2"/>
  <c r="V413" i="6" s="1"/>
  <c r="U413" i="2"/>
  <c r="U413" i="6" s="1"/>
  <c r="T413" i="2"/>
  <c r="T413" i="6" s="1"/>
  <c r="S413" i="2"/>
  <c r="S413" i="6" s="1"/>
  <c r="V412" i="2"/>
  <c r="V412" i="6" s="1"/>
  <c r="U412" i="2"/>
  <c r="U412" i="6" s="1"/>
  <c r="T412" i="2"/>
  <c r="T412" i="6" s="1"/>
  <c r="S412" i="2"/>
  <c r="S412" i="6" s="1"/>
  <c r="V411" i="2"/>
  <c r="V411" i="6" s="1"/>
  <c r="U411" i="2"/>
  <c r="U411" i="6" s="1"/>
  <c r="T411" i="2"/>
  <c r="T411" i="6" s="1"/>
  <c r="S411" i="2"/>
  <c r="S411" i="6" s="1"/>
  <c r="V410" i="2"/>
  <c r="V410" i="6" s="1"/>
  <c r="U410" i="2"/>
  <c r="U410" i="6" s="1"/>
  <c r="T410" i="2"/>
  <c r="T410" i="6" s="1"/>
  <c r="S410" i="2"/>
  <c r="S410" i="6" s="1"/>
  <c r="V409" i="2"/>
  <c r="V409" i="6" s="1"/>
  <c r="U409" i="2"/>
  <c r="U409" i="6" s="1"/>
  <c r="T409" i="2"/>
  <c r="T409" i="6" s="1"/>
  <c r="S409" i="2"/>
  <c r="S409" i="6" s="1"/>
  <c r="V408" i="2"/>
  <c r="V408" i="6" s="1"/>
  <c r="U408" i="2"/>
  <c r="U408" i="6" s="1"/>
  <c r="T408" i="2"/>
  <c r="T408" i="6" s="1"/>
  <c r="S408" i="2"/>
  <c r="S408" i="6" s="1"/>
  <c r="V407" i="2"/>
  <c r="V407" i="6" s="1"/>
  <c r="U407" i="2"/>
  <c r="U407" i="6" s="1"/>
  <c r="T407" i="2"/>
  <c r="T407" i="6" s="1"/>
  <c r="S407" i="2"/>
  <c r="S407" i="6" s="1"/>
  <c r="V406" i="2"/>
  <c r="V406" i="6" s="1"/>
  <c r="U406" i="2"/>
  <c r="U406" i="6" s="1"/>
  <c r="T406" i="2"/>
  <c r="T406" i="6" s="1"/>
  <c r="S406" i="2"/>
  <c r="S406" i="6" s="1"/>
  <c r="V405" i="2"/>
  <c r="V405" i="6" s="1"/>
  <c r="U405" i="2"/>
  <c r="U405" i="6" s="1"/>
  <c r="T405" i="2"/>
  <c r="T405" i="6" s="1"/>
  <c r="S405" i="2"/>
  <c r="S405" i="6" s="1"/>
  <c r="V404" i="2"/>
  <c r="V404" i="6" s="1"/>
  <c r="U404" i="2"/>
  <c r="U404" i="6" s="1"/>
  <c r="T404" i="2"/>
  <c r="T404" i="6" s="1"/>
  <c r="S404" i="2"/>
  <c r="S404" i="6" s="1"/>
  <c r="V403" i="2"/>
  <c r="V403" i="6" s="1"/>
  <c r="U403" i="2"/>
  <c r="U403" i="6" s="1"/>
  <c r="T403" i="2"/>
  <c r="T403" i="6" s="1"/>
  <c r="S403" i="2"/>
  <c r="S403" i="6" s="1"/>
  <c r="V402" i="2"/>
  <c r="V402" i="6" s="1"/>
  <c r="U402" i="2"/>
  <c r="U402" i="6" s="1"/>
  <c r="T402" i="2"/>
  <c r="T402" i="6" s="1"/>
  <c r="S402" i="2"/>
  <c r="S402" i="6" s="1"/>
  <c r="V401" i="2"/>
  <c r="V401" i="6" s="1"/>
  <c r="U401" i="2"/>
  <c r="U401" i="6" s="1"/>
  <c r="T401" i="2"/>
  <c r="T401" i="6" s="1"/>
  <c r="S401" i="2"/>
  <c r="S401" i="6" s="1"/>
  <c r="V400" i="2"/>
  <c r="V400" i="6" s="1"/>
  <c r="U400" i="2"/>
  <c r="U400" i="6" s="1"/>
  <c r="T400" i="2"/>
  <c r="T400" i="6" s="1"/>
  <c r="S400" i="2"/>
  <c r="S400" i="6" s="1"/>
  <c r="V399" i="2"/>
  <c r="V399" i="6" s="1"/>
  <c r="U399" i="2"/>
  <c r="U399" i="6" s="1"/>
  <c r="T399" i="2"/>
  <c r="T399" i="6" s="1"/>
  <c r="S399" i="2"/>
  <c r="S399" i="6" s="1"/>
  <c r="V398" i="2"/>
  <c r="V398" i="6" s="1"/>
  <c r="U398" i="2"/>
  <c r="U398" i="6" s="1"/>
  <c r="T398" i="2"/>
  <c r="T398" i="6" s="1"/>
  <c r="S398" i="2"/>
  <c r="S398" i="6" s="1"/>
  <c r="V397" i="2"/>
  <c r="V397" i="6" s="1"/>
  <c r="U397" i="2"/>
  <c r="U397" i="6" s="1"/>
  <c r="T397" i="2"/>
  <c r="T397" i="6" s="1"/>
  <c r="S397" i="2"/>
  <c r="S397" i="6" s="1"/>
  <c r="V396" i="2"/>
  <c r="V396" i="6" s="1"/>
  <c r="U396" i="2"/>
  <c r="U396" i="6" s="1"/>
  <c r="T396" i="2"/>
  <c r="T396" i="6" s="1"/>
  <c r="S396" i="2"/>
  <c r="S396" i="6" s="1"/>
  <c r="V395" i="2"/>
  <c r="V395" i="6" s="1"/>
  <c r="U395" i="2"/>
  <c r="U395" i="6" s="1"/>
  <c r="T395" i="2"/>
  <c r="T395" i="6" s="1"/>
  <c r="S395" i="2"/>
  <c r="S395" i="6" s="1"/>
  <c r="V394" i="2"/>
  <c r="V394" i="6" s="1"/>
  <c r="U394" i="2"/>
  <c r="U394" i="6" s="1"/>
  <c r="T394" i="2"/>
  <c r="T394" i="6" s="1"/>
  <c r="S394" i="2"/>
  <c r="S394" i="6" s="1"/>
  <c r="V393" i="2"/>
  <c r="V393" i="6" s="1"/>
  <c r="U393" i="2"/>
  <c r="U393" i="6" s="1"/>
  <c r="T393" i="2"/>
  <c r="T393" i="6" s="1"/>
  <c r="S393" i="2"/>
  <c r="S393" i="6" s="1"/>
  <c r="V392" i="2"/>
  <c r="V392" i="6" s="1"/>
  <c r="U392" i="2"/>
  <c r="U392" i="6" s="1"/>
  <c r="T392" i="2"/>
  <c r="T392" i="6" s="1"/>
  <c r="S392" i="2"/>
  <c r="S392" i="6" s="1"/>
  <c r="V391" i="2"/>
  <c r="V391" i="6" s="1"/>
  <c r="U391" i="2"/>
  <c r="U391" i="6" s="1"/>
  <c r="T391" i="2"/>
  <c r="T391" i="6" s="1"/>
  <c r="S391" i="2"/>
  <c r="S391" i="6" s="1"/>
  <c r="V390" i="2"/>
  <c r="V390" i="6" s="1"/>
  <c r="U390" i="2"/>
  <c r="U390" i="6" s="1"/>
  <c r="T390" i="2"/>
  <c r="T390" i="6" s="1"/>
  <c r="S390" i="2"/>
  <c r="S390" i="6" s="1"/>
  <c r="V389" i="2"/>
  <c r="V389" i="6" s="1"/>
  <c r="U389" i="2"/>
  <c r="U389" i="6" s="1"/>
  <c r="T389" i="2"/>
  <c r="T389" i="6" s="1"/>
  <c r="S389" i="2"/>
  <c r="S389" i="6" s="1"/>
  <c r="V388" i="2"/>
  <c r="V388" i="6" s="1"/>
  <c r="U388" i="2"/>
  <c r="U388" i="6" s="1"/>
  <c r="T388" i="2"/>
  <c r="T388" i="6" s="1"/>
  <c r="S388" i="2"/>
  <c r="S388" i="6" s="1"/>
  <c r="V387" i="2"/>
  <c r="V387" i="6" s="1"/>
  <c r="U387" i="2"/>
  <c r="U387" i="6" s="1"/>
  <c r="T387" i="2"/>
  <c r="T387" i="6" s="1"/>
  <c r="S387" i="2"/>
  <c r="S387" i="6" s="1"/>
  <c r="V386" i="2"/>
  <c r="V386" i="6" s="1"/>
  <c r="U386" i="2"/>
  <c r="U386" i="6" s="1"/>
  <c r="T386" i="2"/>
  <c r="T386" i="6" s="1"/>
  <c r="S386" i="2"/>
  <c r="S386" i="6" s="1"/>
  <c r="V385" i="2"/>
  <c r="V385" i="6" s="1"/>
  <c r="U385" i="2"/>
  <c r="U385" i="6" s="1"/>
  <c r="T385" i="2"/>
  <c r="T385" i="6" s="1"/>
  <c r="S385" i="2"/>
  <c r="S385" i="6" s="1"/>
  <c r="V384" i="2"/>
  <c r="V384" i="6" s="1"/>
  <c r="U384" i="2"/>
  <c r="U384" i="6" s="1"/>
  <c r="T384" i="2"/>
  <c r="T384" i="6" s="1"/>
  <c r="S384" i="2"/>
  <c r="S384" i="6" s="1"/>
  <c r="V383" i="2"/>
  <c r="V383" i="6" s="1"/>
  <c r="U383" i="2"/>
  <c r="U383" i="6" s="1"/>
  <c r="T383" i="2"/>
  <c r="T383" i="6" s="1"/>
  <c r="S383" i="2"/>
  <c r="S383" i="6" s="1"/>
  <c r="V382" i="2"/>
  <c r="V382" i="6" s="1"/>
  <c r="U382" i="2"/>
  <c r="U382" i="6" s="1"/>
  <c r="T382" i="2"/>
  <c r="T382" i="6" s="1"/>
  <c r="S382" i="2"/>
  <c r="S382" i="6" s="1"/>
  <c r="V381" i="2"/>
  <c r="V381" i="6" s="1"/>
  <c r="U381" i="2"/>
  <c r="U381" i="6" s="1"/>
  <c r="T381" i="2"/>
  <c r="T381" i="6" s="1"/>
  <c r="S381" i="2"/>
  <c r="S381" i="6" s="1"/>
  <c r="V380" i="2"/>
  <c r="V380" i="6" s="1"/>
  <c r="U380" i="2"/>
  <c r="U380" i="6" s="1"/>
  <c r="T380" i="2"/>
  <c r="T380" i="6" s="1"/>
  <c r="S380" i="2"/>
  <c r="S380" i="6" s="1"/>
  <c r="V379" i="2"/>
  <c r="V379" i="6" s="1"/>
  <c r="U379" i="2"/>
  <c r="U379" i="6" s="1"/>
  <c r="T379" i="2"/>
  <c r="T379" i="6" s="1"/>
  <c r="S379" i="2"/>
  <c r="S379" i="6" s="1"/>
  <c r="V378" i="2"/>
  <c r="V378" i="6" s="1"/>
  <c r="U378" i="2"/>
  <c r="U378" i="6" s="1"/>
  <c r="T378" i="2"/>
  <c r="T378" i="6" s="1"/>
  <c r="S378" i="2"/>
  <c r="S378" i="6" s="1"/>
  <c r="V377" i="2"/>
  <c r="V377" i="6" s="1"/>
  <c r="U377" i="2"/>
  <c r="U377" i="6" s="1"/>
  <c r="T377" i="2"/>
  <c r="T377" i="6" s="1"/>
  <c r="S377" i="2"/>
  <c r="S377" i="6" s="1"/>
  <c r="V376" i="2"/>
  <c r="V376" i="6" s="1"/>
  <c r="U376" i="2"/>
  <c r="U376" i="6" s="1"/>
  <c r="T376" i="2"/>
  <c r="T376" i="6" s="1"/>
  <c r="S376" i="2"/>
  <c r="S376" i="6" s="1"/>
  <c r="V375" i="2"/>
  <c r="V375" i="6" s="1"/>
  <c r="U375" i="2"/>
  <c r="U375" i="6" s="1"/>
  <c r="T375" i="2"/>
  <c r="T375" i="6" s="1"/>
  <c r="S375" i="2"/>
  <c r="S375" i="6" s="1"/>
  <c r="V374" i="2"/>
  <c r="V374" i="6" s="1"/>
  <c r="U374" i="2"/>
  <c r="U374" i="6" s="1"/>
  <c r="T374" i="2"/>
  <c r="T374" i="6" s="1"/>
  <c r="S374" i="2"/>
  <c r="S374" i="6" s="1"/>
  <c r="V373" i="2"/>
  <c r="V373" i="6" s="1"/>
  <c r="U373" i="2"/>
  <c r="U373" i="6" s="1"/>
  <c r="T373" i="2"/>
  <c r="T373" i="6" s="1"/>
  <c r="S373" i="2"/>
  <c r="S373" i="6" s="1"/>
  <c r="V372" i="2"/>
  <c r="V372" i="6" s="1"/>
  <c r="U372" i="2"/>
  <c r="U372" i="6" s="1"/>
  <c r="T372" i="2"/>
  <c r="T372" i="6" s="1"/>
  <c r="S372" i="2"/>
  <c r="S372" i="6" s="1"/>
  <c r="V371" i="2"/>
  <c r="V371" i="6" s="1"/>
  <c r="U371" i="2"/>
  <c r="U371" i="6" s="1"/>
  <c r="T371" i="2"/>
  <c r="T371" i="6" s="1"/>
  <c r="S371" i="2"/>
  <c r="S371" i="6" s="1"/>
  <c r="V370" i="2"/>
  <c r="V370" i="6" s="1"/>
  <c r="U370" i="2"/>
  <c r="U370" i="6" s="1"/>
  <c r="T370" i="2"/>
  <c r="T370" i="6" s="1"/>
  <c r="S370" i="2"/>
  <c r="S370" i="6" s="1"/>
  <c r="V369" i="2"/>
  <c r="V369" i="6" s="1"/>
  <c r="U369" i="2"/>
  <c r="U369" i="6" s="1"/>
  <c r="T369" i="2"/>
  <c r="T369" i="6" s="1"/>
  <c r="S369" i="2"/>
  <c r="S369" i="6" s="1"/>
  <c r="V368" i="2"/>
  <c r="V368" i="6" s="1"/>
  <c r="U368" i="2"/>
  <c r="U368" i="6" s="1"/>
  <c r="T368" i="2"/>
  <c r="T368" i="6" s="1"/>
  <c r="S368" i="2"/>
  <c r="S368" i="6" s="1"/>
  <c r="V367" i="2"/>
  <c r="V367" i="6" s="1"/>
  <c r="U367" i="2"/>
  <c r="U367" i="6" s="1"/>
  <c r="T367" i="2"/>
  <c r="T367" i="6" s="1"/>
  <c r="S367" i="2"/>
  <c r="S367" i="6" s="1"/>
  <c r="V366" i="2"/>
  <c r="V366" i="6" s="1"/>
  <c r="U366" i="2"/>
  <c r="U366" i="6" s="1"/>
  <c r="T366" i="2"/>
  <c r="T366" i="6" s="1"/>
  <c r="S366" i="2"/>
  <c r="S366" i="6" s="1"/>
  <c r="V365" i="2"/>
  <c r="V365" i="6" s="1"/>
  <c r="U365" i="2"/>
  <c r="U365" i="6" s="1"/>
  <c r="T365" i="2"/>
  <c r="T365" i="6" s="1"/>
  <c r="S365" i="2"/>
  <c r="S365" i="6" s="1"/>
  <c r="V364" i="2"/>
  <c r="V364" i="6" s="1"/>
  <c r="U364" i="2"/>
  <c r="U364" i="6" s="1"/>
  <c r="T364" i="2"/>
  <c r="T364" i="6" s="1"/>
  <c r="S364" i="2"/>
  <c r="S364" i="6" s="1"/>
  <c r="V363" i="2"/>
  <c r="V363" i="6" s="1"/>
  <c r="U363" i="2"/>
  <c r="U363" i="6" s="1"/>
  <c r="T363" i="2"/>
  <c r="T363" i="6" s="1"/>
  <c r="S363" i="2"/>
  <c r="S363" i="6" s="1"/>
  <c r="V362" i="2"/>
  <c r="V362" i="6" s="1"/>
  <c r="U362" i="2"/>
  <c r="U362" i="6" s="1"/>
  <c r="T362" i="2"/>
  <c r="T362" i="6" s="1"/>
  <c r="S362" i="2"/>
  <c r="S362" i="6" s="1"/>
  <c r="V361" i="2"/>
  <c r="V361" i="6" s="1"/>
  <c r="U361" i="2"/>
  <c r="U361" i="6" s="1"/>
  <c r="T361" i="2"/>
  <c r="T361" i="6" s="1"/>
  <c r="S361" i="2"/>
  <c r="S361" i="6" s="1"/>
  <c r="V360" i="6"/>
  <c r="U360" i="6"/>
  <c r="T360" i="6"/>
  <c r="S360" i="2"/>
  <c r="S360" i="6" s="1"/>
  <c r="V359" i="6"/>
  <c r="U359" i="6"/>
  <c r="T359" i="6"/>
  <c r="S359" i="2"/>
  <c r="S359" i="6" s="1"/>
  <c r="V358" i="6"/>
  <c r="U358" i="6"/>
  <c r="T358" i="6"/>
  <c r="S358" i="2"/>
  <c r="S358" i="6" s="1"/>
  <c r="V357" i="6"/>
  <c r="U357" i="6"/>
  <c r="T357" i="6"/>
  <c r="S357" i="2"/>
  <c r="S357" i="6" s="1"/>
  <c r="V356" i="2"/>
  <c r="V356" i="6" s="1"/>
  <c r="U356" i="2"/>
  <c r="U356" i="6" s="1"/>
  <c r="T356" i="2"/>
  <c r="T356" i="6" s="1"/>
  <c r="S356" i="2"/>
  <c r="S356" i="6" s="1"/>
  <c r="V355" i="2"/>
  <c r="V355" i="6" s="1"/>
  <c r="U355" i="2"/>
  <c r="U355" i="6" s="1"/>
  <c r="T355" i="2"/>
  <c r="T355" i="6" s="1"/>
  <c r="S355" i="2"/>
  <c r="S355" i="6" s="1"/>
  <c r="V354" i="2"/>
  <c r="V354" i="6" s="1"/>
  <c r="U354" i="2"/>
  <c r="U354" i="6" s="1"/>
  <c r="T354" i="2"/>
  <c r="T354" i="6" s="1"/>
  <c r="S354" i="2"/>
  <c r="S354" i="6" s="1"/>
  <c r="V353" i="2"/>
  <c r="V353" i="6" s="1"/>
  <c r="U353" i="2"/>
  <c r="U353" i="6" s="1"/>
  <c r="T353" i="2"/>
  <c r="T353" i="6" s="1"/>
  <c r="S353" i="2"/>
  <c r="S353" i="6" s="1"/>
  <c r="V352" i="2"/>
  <c r="V352" i="6" s="1"/>
  <c r="U352" i="2"/>
  <c r="U352" i="6" s="1"/>
  <c r="T352" i="2"/>
  <c r="T352" i="6" s="1"/>
  <c r="S352" i="2"/>
  <c r="S352" i="6" s="1"/>
  <c r="V351" i="2"/>
  <c r="V351" i="6" s="1"/>
  <c r="U351" i="2"/>
  <c r="U351" i="6" s="1"/>
  <c r="T351" i="2"/>
  <c r="T351" i="6" s="1"/>
  <c r="S351" i="2"/>
  <c r="S351" i="6" s="1"/>
  <c r="V350" i="2"/>
  <c r="V350" i="6" s="1"/>
  <c r="U350" i="2"/>
  <c r="U350" i="6" s="1"/>
  <c r="T350" i="2"/>
  <c r="T350" i="6" s="1"/>
  <c r="S350" i="2"/>
  <c r="S350" i="6" s="1"/>
  <c r="V349" i="2"/>
  <c r="V349" i="6" s="1"/>
  <c r="U349" i="2"/>
  <c r="U349" i="6" s="1"/>
  <c r="T349" i="2"/>
  <c r="T349" i="6" s="1"/>
  <c r="S349" i="2"/>
  <c r="S349" i="6" s="1"/>
  <c r="V348" i="2"/>
  <c r="V348" i="6" s="1"/>
  <c r="U348" i="2"/>
  <c r="U348" i="6" s="1"/>
  <c r="T348" i="2"/>
  <c r="T348" i="6" s="1"/>
  <c r="S348" i="2"/>
  <c r="S348" i="6" s="1"/>
  <c r="V347" i="2"/>
  <c r="V347" i="6" s="1"/>
  <c r="U347" i="2"/>
  <c r="U347" i="6" s="1"/>
  <c r="T347" i="2"/>
  <c r="T347" i="6" s="1"/>
  <c r="S347" i="2"/>
  <c r="S347" i="6" s="1"/>
  <c r="V346" i="2"/>
  <c r="V346" i="6" s="1"/>
  <c r="U346" i="2"/>
  <c r="U346" i="6" s="1"/>
  <c r="T346" i="2"/>
  <c r="T346" i="6" s="1"/>
  <c r="S346" i="2"/>
  <c r="S346" i="6" s="1"/>
  <c r="V345" i="2"/>
  <c r="V345" i="6" s="1"/>
  <c r="U345" i="2"/>
  <c r="U345" i="6" s="1"/>
  <c r="T345" i="2"/>
  <c r="T345" i="6" s="1"/>
  <c r="S345" i="2"/>
  <c r="S345" i="6" s="1"/>
  <c r="V344" i="2"/>
  <c r="V344" i="6" s="1"/>
  <c r="U344" i="2"/>
  <c r="U344" i="6" s="1"/>
  <c r="T344" i="2"/>
  <c r="T344" i="6" s="1"/>
  <c r="S344" i="2"/>
  <c r="S344" i="6" s="1"/>
  <c r="V343" i="2"/>
  <c r="V343" i="6" s="1"/>
  <c r="U343" i="2"/>
  <c r="U343" i="6" s="1"/>
  <c r="T343" i="2"/>
  <c r="T343" i="6" s="1"/>
  <c r="S343" i="2"/>
  <c r="S343" i="6" s="1"/>
  <c r="V342" i="2"/>
  <c r="V342" i="6" s="1"/>
  <c r="U342" i="2"/>
  <c r="U342" i="6" s="1"/>
  <c r="T342" i="2"/>
  <c r="T342" i="6" s="1"/>
  <c r="S342" i="2"/>
  <c r="S342" i="6" s="1"/>
  <c r="V341" i="2"/>
  <c r="V341" i="6" s="1"/>
  <c r="U341" i="2"/>
  <c r="U341" i="6" s="1"/>
  <c r="T341" i="2"/>
  <c r="T341" i="6" s="1"/>
  <c r="S341" i="2"/>
  <c r="S341" i="6" s="1"/>
  <c r="V340" i="2"/>
  <c r="V340" i="6" s="1"/>
  <c r="U340" i="2"/>
  <c r="U340" i="6" s="1"/>
  <c r="T340" i="2"/>
  <c r="T340" i="6" s="1"/>
  <c r="S340" i="2"/>
  <c r="S340" i="6" s="1"/>
  <c r="V339" i="2"/>
  <c r="V339" i="6" s="1"/>
  <c r="U339" i="2"/>
  <c r="U339" i="6" s="1"/>
  <c r="T339" i="2"/>
  <c r="T339" i="6" s="1"/>
  <c r="S339" i="2"/>
  <c r="S339" i="6" s="1"/>
  <c r="V338" i="2"/>
  <c r="V338" i="6" s="1"/>
  <c r="U338" i="2"/>
  <c r="U338" i="6" s="1"/>
  <c r="T338" i="2"/>
  <c r="T338" i="6" s="1"/>
  <c r="S338" i="2"/>
  <c r="S338" i="6" s="1"/>
  <c r="V337" i="2"/>
  <c r="V337" i="6" s="1"/>
  <c r="U337" i="2"/>
  <c r="U337" i="6" s="1"/>
  <c r="T337" i="2"/>
  <c r="T337" i="6" s="1"/>
  <c r="S337" i="2"/>
  <c r="S337" i="6" s="1"/>
  <c r="V336" i="2"/>
  <c r="V336" i="6" s="1"/>
  <c r="U336" i="2"/>
  <c r="U336" i="6" s="1"/>
  <c r="T336" i="2"/>
  <c r="T336" i="6" s="1"/>
  <c r="S336" i="2"/>
  <c r="S336" i="6" s="1"/>
  <c r="V335" i="2"/>
  <c r="V335" i="6" s="1"/>
  <c r="U335" i="2"/>
  <c r="U335" i="6" s="1"/>
  <c r="T335" i="2"/>
  <c r="T335" i="6" s="1"/>
  <c r="S335" i="2"/>
  <c r="S335" i="6" s="1"/>
  <c r="V334" i="2"/>
  <c r="V334" i="6" s="1"/>
  <c r="U334" i="2"/>
  <c r="U334" i="6" s="1"/>
  <c r="T334" i="2"/>
  <c r="T334" i="6" s="1"/>
  <c r="S334" i="2"/>
  <c r="S334" i="6" s="1"/>
  <c r="V333" i="2"/>
  <c r="V333" i="6" s="1"/>
  <c r="U333" i="2"/>
  <c r="U333" i="6" s="1"/>
  <c r="T333" i="2"/>
  <c r="T333" i="6" s="1"/>
  <c r="S333" i="2"/>
  <c r="S333" i="6" s="1"/>
  <c r="V332" i="2"/>
  <c r="V332" i="6" s="1"/>
  <c r="U332" i="2"/>
  <c r="U332" i="6" s="1"/>
  <c r="T332" i="2"/>
  <c r="T332" i="6" s="1"/>
  <c r="S332" i="2"/>
  <c r="S332" i="6" s="1"/>
  <c r="V331" i="2"/>
  <c r="V331" i="6" s="1"/>
  <c r="U331" i="2"/>
  <c r="U331" i="6" s="1"/>
  <c r="T331" i="2"/>
  <c r="T331" i="6" s="1"/>
  <c r="S331" i="2"/>
  <c r="S331" i="6" s="1"/>
  <c r="V330" i="2"/>
  <c r="V330" i="6" s="1"/>
  <c r="U330" i="2"/>
  <c r="U330" i="6" s="1"/>
  <c r="T330" i="2"/>
  <c r="T330" i="6" s="1"/>
  <c r="S330" i="2"/>
  <c r="S330" i="6" s="1"/>
  <c r="V329" i="2"/>
  <c r="V329" i="6" s="1"/>
  <c r="U329" i="2"/>
  <c r="U329" i="6" s="1"/>
  <c r="T329" i="2"/>
  <c r="T329" i="6" s="1"/>
  <c r="S329" i="2"/>
  <c r="S329" i="6" s="1"/>
  <c r="V328" i="2"/>
  <c r="V328" i="6" s="1"/>
  <c r="U328" i="2"/>
  <c r="U328" i="6" s="1"/>
  <c r="T328" i="2"/>
  <c r="T328" i="6" s="1"/>
  <c r="S328" i="2"/>
  <c r="S328" i="6" s="1"/>
  <c r="V327" i="2"/>
  <c r="V327" i="6" s="1"/>
  <c r="U327" i="2"/>
  <c r="U327" i="6" s="1"/>
  <c r="T327" i="2"/>
  <c r="T327" i="6" s="1"/>
  <c r="S327" i="2"/>
  <c r="S327" i="6" s="1"/>
  <c r="V326" i="2"/>
  <c r="V326" i="6" s="1"/>
  <c r="U326" i="2"/>
  <c r="U326" i="6" s="1"/>
  <c r="T326" i="2"/>
  <c r="T326" i="6" s="1"/>
  <c r="S326" i="2"/>
  <c r="S326" i="6" s="1"/>
  <c r="V325" i="2"/>
  <c r="V325" i="6" s="1"/>
  <c r="U325" i="2"/>
  <c r="U325" i="6" s="1"/>
  <c r="T325" i="2"/>
  <c r="T325" i="6" s="1"/>
  <c r="S325" i="2"/>
  <c r="S325" i="6" s="1"/>
  <c r="V324" i="2"/>
  <c r="V324" i="6" s="1"/>
  <c r="U324" i="2"/>
  <c r="U324" i="6" s="1"/>
  <c r="T324" i="2"/>
  <c r="T324" i="6" s="1"/>
  <c r="S324" i="2"/>
  <c r="S324" i="6" s="1"/>
  <c r="V323" i="2"/>
  <c r="V323" i="6" s="1"/>
  <c r="U323" i="2"/>
  <c r="U323" i="6" s="1"/>
  <c r="T323" i="2"/>
  <c r="T323" i="6" s="1"/>
  <c r="S323" i="2"/>
  <c r="S323" i="6" s="1"/>
  <c r="V322" i="2"/>
  <c r="V322" i="6" s="1"/>
  <c r="U322" i="2"/>
  <c r="U322" i="6" s="1"/>
  <c r="T322" i="2"/>
  <c r="T322" i="6" s="1"/>
  <c r="S322" i="2"/>
  <c r="S322" i="6" s="1"/>
  <c r="V321" i="2"/>
  <c r="V321" i="6" s="1"/>
  <c r="U321" i="2"/>
  <c r="U321" i="6" s="1"/>
  <c r="T321" i="2"/>
  <c r="T321" i="6" s="1"/>
  <c r="S321" i="2"/>
  <c r="S321" i="6" s="1"/>
  <c r="V320" i="2"/>
  <c r="V320" i="6" s="1"/>
  <c r="U320" i="2"/>
  <c r="U320" i="6" s="1"/>
  <c r="T320" i="2"/>
  <c r="T320" i="6" s="1"/>
  <c r="S320" i="2"/>
  <c r="S320" i="6" s="1"/>
  <c r="V319" i="2"/>
  <c r="V319" i="6" s="1"/>
  <c r="U319" i="2"/>
  <c r="U319" i="6" s="1"/>
  <c r="T319" i="2"/>
  <c r="T319" i="6" s="1"/>
  <c r="S319" i="2"/>
  <c r="S319" i="6" s="1"/>
  <c r="V318" i="2"/>
  <c r="V318" i="6" s="1"/>
  <c r="U318" i="2"/>
  <c r="U318" i="6" s="1"/>
  <c r="T318" i="2"/>
  <c r="T318" i="6" s="1"/>
  <c r="S318" i="2"/>
  <c r="S318" i="6" s="1"/>
  <c r="V317" i="2"/>
  <c r="V317" i="6" s="1"/>
  <c r="U317" i="2"/>
  <c r="U317" i="6" s="1"/>
  <c r="T317" i="2"/>
  <c r="T317" i="6" s="1"/>
  <c r="S317" i="2"/>
  <c r="S317" i="6" s="1"/>
  <c r="V316" i="2"/>
  <c r="V316" i="6" s="1"/>
  <c r="U316" i="2"/>
  <c r="U316" i="6" s="1"/>
  <c r="T316" i="2"/>
  <c r="T316" i="6" s="1"/>
  <c r="S316" i="2"/>
  <c r="S316" i="6" s="1"/>
  <c r="V315" i="2"/>
  <c r="V315" i="6" s="1"/>
  <c r="U315" i="2"/>
  <c r="U315" i="6" s="1"/>
  <c r="T315" i="2"/>
  <c r="T315" i="6" s="1"/>
  <c r="S315" i="2"/>
  <c r="S315" i="6" s="1"/>
  <c r="V314" i="2"/>
  <c r="V314" i="6" s="1"/>
  <c r="U314" i="2"/>
  <c r="U314" i="6" s="1"/>
  <c r="T314" i="2"/>
  <c r="T314" i="6" s="1"/>
  <c r="S314" i="2"/>
  <c r="S314" i="6" s="1"/>
  <c r="V313" i="2"/>
  <c r="V313" i="6" s="1"/>
  <c r="U313" i="2"/>
  <c r="U313" i="6" s="1"/>
  <c r="T313" i="2"/>
  <c r="T313" i="6" s="1"/>
  <c r="S313" i="2"/>
  <c r="S313" i="6" s="1"/>
  <c r="V312" i="2"/>
  <c r="V312" i="6" s="1"/>
  <c r="U312" i="2"/>
  <c r="U312" i="6" s="1"/>
  <c r="T312" i="2"/>
  <c r="T312" i="6" s="1"/>
  <c r="S312" i="2"/>
  <c r="S312" i="6" s="1"/>
  <c r="V311" i="2"/>
  <c r="V311" i="6" s="1"/>
  <c r="U311" i="2"/>
  <c r="U311" i="6" s="1"/>
  <c r="T311" i="2"/>
  <c r="T311" i="6" s="1"/>
  <c r="S311" i="2"/>
  <c r="S311" i="6" s="1"/>
  <c r="V310" i="2"/>
  <c r="V310" i="6" s="1"/>
  <c r="U310" i="2"/>
  <c r="U310" i="6" s="1"/>
  <c r="T310" i="2"/>
  <c r="T310" i="6" s="1"/>
  <c r="S310" i="2"/>
  <c r="S310" i="6" s="1"/>
  <c r="V309" i="2"/>
  <c r="V309" i="6" s="1"/>
  <c r="U309" i="2"/>
  <c r="U309" i="6" s="1"/>
  <c r="T309" i="2"/>
  <c r="T309" i="6" s="1"/>
  <c r="S309" i="2"/>
  <c r="S309" i="6" s="1"/>
  <c r="V308" i="2"/>
  <c r="V308" i="6" s="1"/>
  <c r="U308" i="2"/>
  <c r="U308" i="6" s="1"/>
  <c r="T308" i="2"/>
  <c r="T308" i="6" s="1"/>
  <c r="S308" i="2"/>
  <c r="S308" i="6" s="1"/>
  <c r="V307" i="2"/>
  <c r="V307" i="6" s="1"/>
  <c r="U307" i="2"/>
  <c r="U307" i="6" s="1"/>
  <c r="T307" i="2"/>
  <c r="T307" i="6" s="1"/>
  <c r="S307" i="2"/>
  <c r="S307" i="6" s="1"/>
  <c r="V306" i="2"/>
  <c r="V306" i="6" s="1"/>
  <c r="U306" i="2"/>
  <c r="U306" i="6" s="1"/>
  <c r="T306" i="2"/>
  <c r="T306" i="6" s="1"/>
  <c r="S306" i="2"/>
  <c r="S306" i="6" s="1"/>
  <c r="V305" i="2"/>
  <c r="V305" i="6" s="1"/>
  <c r="U305" i="2"/>
  <c r="U305" i="6" s="1"/>
  <c r="T305" i="2"/>
  <c r="T305" i="6" s="1"/>
  <c r="S305" i="2"/>
  <c r="S305" i="6" s="1"/>
  <c r="V304" i="2"/>
  <c r="V304" i="6" s="1"/>
  <c r="U304" i="2"/>
  <c r="U304" i="6" s="1"/>
  <c r="T304" i="2"/>
  <c r="T304" i="6" s="1"/>
  <c r="S304" i="2"/>
  <c r="S304" i="6" s="1"/>
  <c r="V303" i="2"/>
  <c r="V303" i="6" s="1"/>
  <c r="U303" i="2"/>
  <c r="U303" i="6" s="1"/>
  <c r="T303" i="2"/>
  <c r="T303" i="6" s="1"/>
  <c r="S303" i="2"/>
  <c r="S303" i="6" s="1"/>
  <c r="V302" i="2"/>
  <c r="V302" i="6" s="1"/>
  <c r="U302" i="2"/>
  <c r="U302" i="6" s="1"/>
  <c r="T302" i="2"/>
  <c r="T302" i="6" s="1"/>
  <c r="S302" i="2"/>
  <c r="S302" i="6" s="1"/>
  <c r="V301" i="2"/>
  <c r="V301" i="6" s="1"/>
  <c r="U301" i="2"/>
  <c r="U301" i="6" s="1"/>
  <c r="T301" i="2"/>
  <c r="T301" i="6" s="1"/>
  <c r="S301" i="2"/>
  <c r="S301" i="6" s="1"/>
  <c r="V300" i="2"/>
  <c r="V300" i="6" s="1"/>
  <c r="U300" i="2"/>
  <c r="U300" i="6" s="1"/>
  <c r="T300" i="2"/>
  <c r="T300" i="6" s="1"/>
  <c r="S300" i="2"/>
  <c r="S300" i="6" s="1"/>
  <c r="V299" i="2"/>
  <c r="V299" i="6" s="1"/>
  <c r="U299" i="2"/>
  <c r="U299" i="6" s="1"/>
  <c r="T299" i="2"/>
  <c r="T299" i="6" s="1"/>
  <c r="S299" i="2"/>
  <c r="S299" i="6" s="1"/>
  <c r="V298" i="2"/>
  <c r="V298" i="6" s="1"/>
  <c r="U298" i="2"/>
  <c r="U298" i="6" s="1"/>
  <c r="T298" i="2"/>
  <c r="T298" i="6" s="1"/>
  <c r="S298" i="2"/>
  <c r="S298" i="6" s="1"/>
  <c r="V297" i="2"/>
  <c r="V297" i="6" s="1"/>
  <c r="U297" i="2"/>
  <c r="U297" i="6" s="1"/>
  <c r="T297" i="2"/>
  <c r="T297" i="6" s="1"/>
  <c r="S297" i="2"/>
  <c r="S297" i="6" s="1"/>
  <c r="V296" i="2"/>
  <c r="V296" i="6" s="1"/>
  <c r="U296" i="2"/>
  <c r="U296" i="6" s="1"/>
  <c r="T296" i="2"/>
  <c r="T296" i="6" s="1"/>
  <c r="S296" i="2"/>
  <c r="S296" i="6" s="1"/>
  <c r="V295" i="2"/>
  <c r="V295" i="6" s="1"/>
  <c r="U295" i="2"/>
  <c r="U295" i="6" s="1"/>
  <c r="T295" i="2"/>
  <c r="T295" i="6" s="1"/>
  <c r="S295" i="2"/>
  <c r="S295" i="6" s="1"/>
  <c r="V294" i="2"/>
  <c r="V294" i="6" s="1"/>
  <c r="U294" i="2"/>
  <c r="U294" i="6" s="1"/>
  <c r="T294" i="2"/>
  <c r="T294" i="6" s="1"/>
  <c r="S294" i="2"/>
  <c r="S294" i="6" s="1"/>
  <c r="V293" i="2"/>
  <c r="V293" i="6" s="1"/>
  <c r="U293" i="2"/>
  <c r="U293" i="6" s="1"/>
  <c r="T293" i="2"/>
  <c r="T293" i="6" s="1"/>
  <c r="S293" i="2"/>
  <c r="S293" i="6" s="1"/>
  <c r="V292" i="2"/>
  <c r="V292" i="6" s="1"/>
  <c r="U292" i="2"/>
  <c r="U292" i="6" s="1"/>
  <c r="T292" i="2"/>
  <c r="T292" i="6" s="1"/>
  <c r="S292" i="2"/>
  <c r="S292" i="6" s="1"/>
  <c r="V291" i="2"/>
  <c r="V291" i="6" s="1"/>
  <c r="U291" i="2"/>
  <c r="U291" i="6" s="1"/>
  <c r="T291" i="2"/>
  <c r="T291" i="6" s="1"/>
  <c r="S291" i="2"/>
  <c r="S291" i="6" s="1"/>
  <c r="V290" i="2"/>
  <c r="V290" i="6" s="1"/>
  <c r="U290" i="2"/>
  <c r="U290" i="6" s="1"/>
  <c r="T290" i="2"/>
  <c r="T290" i="6" s="1"/>
  <c r="S290" i="2"/>
  <c r="S290" i="6" s="1"/>
  <c r="V289" i="2"/>
  <c r="V289" i="6" s="1"/>
  <c r="U289" i="2"/>
  <c r="U289" i="6" s="1"/>
  <c r="T289" i="2"/>
  <c r="T289" i="6" s="1"/>
  <c r="S289" i="2"/>
  <c r="S289" i="6" s="1"/>
  <c r="V288" i="2"/>
  <c r="V288" i="6" s="1"/>
  <c r="U288" i="2"/>
  <c r="U288" i="6" s="1"/>
  <c r="T288" i="2"/>
  <c r="T288" i="6" s="1"/>
  <c r="S288" i="2"/>
  <c r="S288" i="6" s="1"/>
  <c r="V287" i="2"/>
  <c r="V287" i="6" s="1"/>
  <c r="U287" i="2"/>
  <c r="U287" i="6" s="1"/>
  <c r="T287" i="2"/>
  <c r="T287" i="6" s="1"/>
  <c r="S287" i="2"/>
  <c r="S287" i="6" s="1"/>
  <c r="V286" i="2"/>
  <c r="V286" i="6" s="1"/>
  <c r="U286" i="2"/>
  <c r="U286" i="6" s="1"/>
  <c r="T286" i="2"/>
  <c r="T286" i="6" s="1"/>
  <c r="S286" i="2"/>
  <c r="S286" i="6" s="1"/>
  <c r="V285" i="2"/>
  <c r="V285" i="6" s="1"/>
  <c r="U285" i="2"/>
  <c r="U285" i="6" s="1"/>
  <c r="T285" i="2"/>
  <c r="T285" i="6" s="1"/>
  <c r="S285" i="2"/>
  <c r="S285" i="6" s="1"/>
  <c r="V284" i="2"/>
  <c r="V284" i="6" s="1"/>
  <c r="U284" i="2"/>
  <c r="U284" i="6" s="1"/>
  <c r="T284" i="2"/>
  <c r="T284" i="6" s="1"/>
  <c r="S284" i="2"/>
  <c r="S284" i="6" s="1"/>
  <c r="V283" i="2"/>
  <c r="V283" i="6" s="1"/>
  <c r="U283" i="2"/>
  <c r="U283" i="6" s="1"/>
  <c r="T283" i="2"/>
  <c r="T283" i="6" s="1"/>
  <c r="S283" i="2"/>
  <c r="S283" i="6" s="1"/>
  <c r="V282" i="2"/>
  <c r="V282" i="6" s="1"/>
  <c r="U282" i="2"/>
  <c r="U282" i="6" s="1"/>
  <c r="T282" i="2"/>
  <c r="T282" i="6" s="1"/>
  <c r="S282" i="2"/>
  <c r="S282" i="6" s="1"/>
  <c r="V281" i="2"/>
  <c r="V281" i="6" s="1"/>
  <c r="U281" i="2"/>
  <c r="U281" i="6" s="1"/>
  <c r="T281" i="2"/>
  <c r="T281" i="6" s="1"/>
  <c r="S281" i="2"/>
  <c r="S281" i="6" s="1"/>
  <c r="V280" i="2"/>
  <c r="V280" i="6" s="1"/>
  <c r="U280" i="2"/>
  <c r="U280" i="6" s="1"/>
  <c r="T280" i="2"/>
  <c r="T280" i="6" s="1"/>
  <c r="S280" i="2"/>
  <c r="S280" i="6" s="1"/>
  <c r="V279" i="2"/>
  <c r="V279" i="6" s="1"/>
  <c r="U279" i="2"/>
  <c r="U279" i="6" s="1"/>
  <c r="T279" i="2"/>
  <c r="T279" i="6" s="1"/>
  <c r="S279" i="2"/>
  <c r="S279" i="6" s="1"/>
  <c r="V278" i="2"/>
  <c r="V278" i="6" s="1"/>
  <c r="U278" i="2"/>
  <c r="U278" i="6" s="1"/>
  <c r="T278" i="2"/>
  <c r="T278" i="6" s="1"/>
  <c r="S278" i="2"/>
  <c r="S278" i="6" s="1"/>
  <c r="V277" i="2"/>
  <c r="V277" i="6" s="1"/>
  <c r="U277" i="2"/>
  <c r="U277" i="6" s="1"/>
  <c r="T277" i="2"/>
  <c r="T277" i="6" s="1"/>
  <c r="S277" i="2"/>
  <c r="S277" i="6" s="1"/>
  <c r="V276" i="2"/>
  <c r="V276" i="6" s="1"/>
  <c r="U276" i="2"/>
  <c r="U276" i="6" s="1"/>
  <c r="T276" i="2"/>
  <c r="T276" i="6" s="1"/>
  <c r="S276" i="2"/>
  <c r="S276" i="6" s="1"/>
  <c r="V275" i="2"/>
  <c r="V275" i="6" s="1"/>
  <c r="U275" i="2"/>
  <c r="U275" i="6" s="1"/>
  <c r="T275" i="2"/>
  <c r="T275" i="6" s="1"/>
  <c r="S275" i="2"/>
  <c r="S275" i="6" s="1"/>
  <c r="V274" i="2"/>
  <c r="V274" i="6" s="1"/>
  <c r="U274" i="2"/>
  <c r="U274" i="6" s="1"/>
  <c r="T274" i="2"/>
  <c r="T274" i="6" s="1"/>
  <c r="S274" i="2"/>
  <c r="S274" i="6" s="1"/>
  <c r="V273" i="2"/>
  <c r="V273" i="6" s="1"/>
  <c r="U273" i="2"/>
  <c r="U273" i="6" s="1"/>
  <c r="T273" i="2"/>
  <c r="T273" i="6" s="1"/>
  <c r="S273" i="2"/>
  <c r="S273" i="6" s="1"/>
  <c r="V272" i="2"/>
  <c r="V272" i="6" s="1"/>
  <c r="U272" i="2"/>
  <c r="U272" i="6" s="1"/>
  <c r="T272" i="2"/>
  <c r="T272" i="6" s="1"/>
  <c r="S272" i="2"/>
  <c r="S272" i="6" s="1"/>
  <c r="V271" i="2"/>
  <c r="V271" i="6" s="1"/>
  <c r="U271" i="2"/>
  <c r="U271" i="6" s="1"/>
  <c r="T271" i="2"/>
  <c r="T271" i="6" s="1"/>
  <c r="S271" i="2"/>
  <c r="S271" i="6" s="1"/>
  <c r="V270" i="2"/>
  <c r="V270" i="6" s="1"/>
  <c r="U270" i="2"/>
  <c r="U270" i="6" s="1"/>
  <c r="T270" i="2"/>
  <c r="T270" i="6" s="1"/>
  <c r="S270" i="2"/>
  <c r="S270" i="6" s="1"/>
  <c r="V269" i="2"/>
  <c r="V269" i="6" s="1"/>
  <c r="U269" i="2"/>
  <c r="U269" i="6" s="1"/>
  <c r="T269" i="2"/>
  <c r="T269" i="6" s="1"/>
  <c r="S269" i="2"/>
  <c r="S269" i="6" s="1"/>
  <c r="V268" i="2"/>
  <c r="V268" i="6" s="1"/>
  <c r="U268" i="2"/>
  <c r="U268" i="6" s="1"/>
  <c r="T268" i="2"/>
  <c r="T268" i="6" s="1"/>
  <c r="S268" i="2"/>
  <c r="S268" i="6" s="1"/>
  <c r="V267" i="2"/>
  <c r="V267" i="6" s="1"/>
  <c r="U267" i="2"/>
  <c r="U267" i="6" s="1"/>
  <c r="T267" i="2"/>
  <c r="T267" i="6" s="1"/>
  <c r="S267" i="2"/>
  <c r="S267" i="6" s="1"/>
  <c r="V266" i="2"/>
  <c r="V266" i="6" s="1"/>
  <c r="U266" i="2"/>
  <c r="U266" i="6" s="1"/>
  <c r="T266" i="2"/>
  <c r="T266" i="6" s="1"/>
  <c r="S266" i="2"/>
  <c r="S266" i="6" s="1"/>
  <c r="V265" i="2"/>
  <c r="V265" i="6" s="1"/>
  <c r="U265" i="2"/>
  <c r="U265" i="6" s="1"/>
  <c r="T265" i="2"/>
  <c r="T265" i="6" s="1"/>
  <c r="S265" i="2"/>
  <c r="S265" i="6" s="1"/>
  <c r="V264" i="2"/>
  <c r="V264" i="6" s="1"/>
  <c r="U264" i="2"/>
  <c r="U264" i="6" s="1"/>
  <c r="T264" i="2"/>
  <c r="T264" i="6" s="1"/>
  <c r="S264" i="2"/>
  <c r="S264" i="6" s="1"/>
  <c r="V263" i="2"/>
  <c r="V263" i="6" s="1"/>
  <c r="U263" i="2"/>
  <c r="U263" i="6" s="1"/>
  <c r="T263" i="2"/>
  <c r="T263" i="6" s="1"/>
  <c r="S263" i="2"/>
  <c r="S263" i="6" s="1"/>
  <c r="V262" i="2"/>
  <c r="V262" i="6" s="1"/>
  <c r="U262" i="2"/>
  <c r="U262" i="6" s="1"/>
  <c r="T262" i="2"/>
  <c r="T262" i="6" s="1"/>
  <c r="S262" i="2"/>
  <c r="S262" i="6" s="1"/>
  <c r="V261" i="2"/>
  <c r="V261" i="6" s="1"/>
  <c r="U261" i="2"/>
  <c r="U261" i="6" s="1"/>
  <c r="T261" i="2"/>
  <c r="T261" i="6" s="1"/>
  <c r="S261" i="2"/>
  <c r="S261" i="6" s="1"/>
  <c r="V260" i="2"/>
  <c r="V260" i="6" s="1"/>
  <c r="U260" i="2"/>
  <c r="U260" i="6" s="1"/>
  <c r="T260" i="2"/>
  <c r="T260" i="6" s="1"/>
  <c r="S260" i="2"/>
  <c r="S260" i="6" s="1"/>
  <c r="V259" i="2"/>
  <c r="V259" i="6" s="1"/>
  <c r="U259" i="2"/>
  <c r="U259" i="6" s="1"/>
  <c r="T259" i="2"/>
  <c r="T259" i="6" s="1"/>
  <c r="S259" i="2"/>
  <c r="S259" i="6" s="1"/>
  <c r="V258" i="2"/>
  <c r="V258" i="6" s="1"/>
  <c r="U258" i="2"/>
  <c r="U258" i="6" s="1"/>
  <c r="T258" i="2"/>
  <c r="T258" i="6" s="1"/>
  <c r="S258" i="2"/>
  <c r="S258" i="6" s="1"/>
  <c r="V257" i="2"/>
  <c r="V257" i="6" s="1"/>
  <c r="U257" i="2"/>
  <c r="U257" i="6" s="1"/>
  <c r="T257" i="2"/>
  <c r="T257" i="6" s="1"/>
  <c r="S257" i="2"/>
  <c r="S257" i="6" s="1"/>
  <c r="V256" i="6"/>
  <c r="U256" i="6"/>
  <c r="T256" i="6"/>
  <c r="S256" i="2"/>
  <c r="S256" i="6" s="1"/>
  <c r="V255" i="6"/>
  <c r="U255" i="6"/>
  <c r="T255" i="6"/>
  <c r="S255" i="2"/>
  <c r="S255" i="6" s="1"/>
  <c r="V254" i="6"/>
  <c r="U254" i="6"/>
  <c r="T254" i="6"/>
  <c r="S254" i="2"/>
  <c r="S254" i="6" s="1"/>
  <c r="V253" i="6"/>
  <c r="U253" i="6"/>
  <c r="T253" i="6"/>
  <c r="S253" i="2"/>
  <c r="S253" i="6" s="1"/>
  <c r="V252" i="6"/>
  <c r="U252" i="6"/>
  <c r="T252" i="6"/>
  <c r="S252" i="2"/>
  <c r="S252" i="6" s="1"/>
  <c r="V251" i="6"/>
  <c r="U251" i="6"/>
  <c r="T251" i="6"/>
  <c r="S251" i="2"/>
  <c r="S251" i="6" s="1"/>
  <c r="V250" i="6"/>
  <c r="U250" i="6"/>
  <c r="T250" i="6"/>
  <c r="S250" i="2"/>
  <c r="S250" i="6" s="1"/>
  <c r="V249" i="6"/>
  <c r="U249" i="6"/>
  <c r="T249" i="6"/>
  <c r="S249" i="2"/>
  <c r="S249" i="6" s="1"/>
  <c r="V248" i="6"/>
  <c r="U248" i="6"/>
  <c r="T248" i="6"/>
  <c r="S248" i="2"/>
  <c r="S248" i="6" s="1"/>
  <c r="V247" i="6"/>
  <c r="U247" i="6"/>
  <c r="T247" i="6"/>
  <c r="S247" i="2"/>
  <c r="S247" i="6" s="1"/>
  <c r="V246" i="6"/>
  <c r="U246" i="6"/>
  <c r="T246" i="6"/>
  <c r="S246" i="2"/>
  <c r="S246" i="6" s="1"/>
  <c r="V245" i="6"/>
  <c r="U245" i="6"/>
  <c r="T245" i="6"/>
  <c r="S245" i="2"/>
  <c r="S245" i="6" s="1"/>
  <c r="V244" i="6"/>
  <c r="U244" i="6"/>
  <c r="T244" i="6"/>
  <c r="S244" i="2"/>
  <c r="S244" i="6" s="1"/>
  <c r="V243" i="6"/>
  <c r="U243" i="6"/>
  <c r="T243" i="6"/>
  <c r="S243" i="2"/>
  <c r="S243" i="6" s="1"/>
  <c r="V242" i="6"/>
  <c r="U242" i="6"/>
  <c r="T242" i="6"/>
  <c r="S242" i="2"/>
  <c r="S242" i="6" s="1"/>
  <c r="V241" i="6"/>
  <c r="U241" i="6"/>
  <c r="T241" i="6"/>
  <c r="S241" i="2"/>
  <c r="S241" i="6" s="1"/>
  <c r="V240" i="6"/>
  <c r="U240" i="6"/>
  <c r="T240" i="6"/>
  <c r="S240" i="2"/>
  <c r="S240" i="6" s="1"/>
  <c r="V239" i="6"/>
  <c r="U239" i="6"/>
  <c r="T239" i="6"/>
  <c r="S239" i="2"/>
  <c r="S239" i="6" s="1"/>
  <c r="V238" i="6"/>
  <c r="U238" i="6"/>
  <c r="T238" i="6"/>
  <c r="S238" i="2"/>
  <c r="S238" i="6" s="1"/>
  <c r="V237" i="6"/>
  <c r="U237" i="6"/>
  <c r="T237" i="6"/>
  <c r="S237" i="2"/>
  <c r="S237" i="6" s="1"/>
  <c r="V236" i="6"/>
  <c r="U236" i="6"/>
  <c r="T236" i="6"/>
  <c r="S236" i="2"/>
  <c r="S236" i="6" s="1"/>
  <c r="V235" i="6"/>
  <c r="U235" i="6"/>
  <c r="T235" i="6"/>
  <c r="S235" i="2"/>
  <c r="S235" i="6" s="1"/>
  <c r="V234" i="6"/>
  <c r="U234" i="6"/>
  <c r="T234" i="6"/>
  <c r="S234" i="2"/>
  <c r="S234" i="6" s="1"/>
  <c r="V233" i="2"/>
  <c r="V233" i="6" s="1"/>
  <c r="U233" i="2"/>
  <c r="U233" i="6" s="1"/>
  <c r="T233" i="2"/>
  <c r="T233" i="6" s="1"/>
  <c r="S233" i="2"/>
  <c r="S233" i="6" s="1"/>
  <c r="V232" i="2"/>
  <c r="V232" i="6" s="1"/>
  <c r="U232" i="2"/>
  <c r="U232" i="6" s="1"/>
  <c r="T232" i="2"/>
  <c r="T232" i="6" s="1"/>
  <c r="S232" i="2"/>
  <c r="S232" i="6" s="1"/>
  <c r="V231" i="2"/>
  <c r="V231" i="6" s="1"/>
  <c r="U231" i="2"/>
  <c r="U231" i="6" s="1"/>
  <c r="T231" i="2"/>
  <c r="T231" i="6" s="1"/>
  <c r="S231" i="2"/>
  <c r="S231" i="6" s="1"/>
  <c r="V230" i="2"/>
  <c r="V230" i="6" s="1"/>
  <c r="U230" i="2"/>
  <c r="U230" i="6" s="1"/>
  <c r="T230" i="2"/>
  <c r="T230" i="6" s="1"/>
  <c r="S230" i="2"/>
  <c r="S230" i="6" s="1"/>
  <c r="V229" i="2"/>
  <c r="V229" i="6" s="1"/>
  <c r="U229" i="2"/>
  <c r="U229" i="6" s="1"/>
  <c r="T229" i="2"/>
  <c r="T229" i="6" s="1"/>
  <c r="S229" i="2"/>
  <c r="S229" i="6" s="1"/>
  <c r="V228" i="2"/>
  <c r="V228" i="6" s="1"/>
  <c r="U228" i="2"/>
  <c r="U228" i="6" s="1"/>
  <c r="T228" i="2"/>
  <c r="T228" i="6" s="1"/>
  <c r="S228" i="2"/>
  <c r="S228" i="6" s="1"/>
  <c r="V227" i="2"/>
  <c r="V227" i="6" s="1"/>
  <c r="U227" i="2"/>
  <c r="U227" i="6" s="1"/>
  <c r="T227" i="2"/>
  <c r="T227" i="6" s="1"/>
  <c r="S227" i="2"/>
  <c r="S227" i="6" s="1"/>
  <c r="V226" i="2"/>
  <c r="V226" i="6" s="1"/>
  <c r="U226" i="2"/>
  <c r="U226" i="6" s="1"/>
  <c r="T226" i="2"/>
  <c r="T226" i="6" s="1"/>
  <c r="S226" i="2"/>
  <c r="S226" i="6" s="1"/>
  <c r="V225" i="2"/>
  <c r="V225" i="6" s="1"/>
  <c r="U225" i="2"/>
  <c r="U225" i="6" s="1"/>
  <c r="T225" i="2"/>
  <c r="T225" i="6" s="1"/>
  <c r="S225" i="2"/>
  <c r="S225" i="6" s="1"/>
  <c r="V224" i="2"/>
  <c r="V224" i="6" s="1"/>
  <c r="U224" i="2"/>
  <c r="U224" i="6" s="1"/>
  <c r="T224" i="2"/>
  <c r="T224" i="6" s="1"/>
  <c r="S224" i="2"/>
  <c r="S224" i="6" s="1"/>
  <c r="V223" i="2"/>
  <c r="V223" i="6" s="1"/>
  <c r="U223" i="2"/>
  <c r="U223" i="6" s="1"/>
  <c r="T223" i="2"/>
  <c r="T223" i="6" s="1"/>
  <c r="S223" i="2"/>
  <c r="S223" i="6" s="1"/>
  <c r="V222" i="2"/>
  <c r="V222" i="6" s="1"/>
  <c r="U222" i="2"/>
  <c r="U222" i="6" s="1"/>
  <c r="T222" i="2"/>
  <c r="T222" i="6" s="1"/>
  <c r="S222" i="2"/>
  <c r="S222" i="6" s="1"/>
  <c r="V221" i="2"/>
  <c r="V221" i="6" s="1"/>
  <c r="U221" i="2"/>
  <c r="U221" i="6" s="1"/>
  <c r="T221" i="2"/>
  <c r="T221" i="6" s="1"/>
  <c r="S221" i="2"/>
  <c r="S221" i="6" s="1"/>
  <c r="V220" i="2"/>
  <c r="V220" i="6" s="1"/>
  <c r="U220" i="2"/>
  <c r="U220" i="6" s="1"/>
  <c r="T220" i="2"/>
  <c r="T220" i="6" s="1"/>
  <c r="S220" i="2"/>
  <c r="S220" i="6" s="1"/>
  <c r="V219" i="2"/>
  <c r="V219" i="6" s="1"/>
  <c r="U219" i="2"/>
  <c r="U219" i="6" s="1"/>
  <c r="T219" i="2"/>
  <c r="T219" i="6" s="1"/>
  <c r="S219" i="2"/>
  <c r="S219" i="6" s="1"/>
  <c r="V218" i="2"/>
  <c r="V218" i="6" s="1"/>
  <c r="U218" i="2"/>
  <c r="U218" i="6" s="1"/>
  <c r="T218" i="2"/>
  <c r="T218" i="6" s="1"/>
  <c r="S218" i="2"/>
  <c r="S218" i="6" s="1"/>
  <c r="V217" i="2"/>
  <c r="V217" i="6" s="1"/>
  <c r="U217" i="2"/>
  <c r="U217" i="6" s="1"/>
  <c r="T217" i="2"/>
  <c r="T217" i="6" s="1"/>
  <c r="S217" i="2"/>
  <c r="S217" i="6" s="1"/>
  <c r="V216" i="2"/>
  <c r="V216" i="6" s="1"/>
  <c r="U216" i="2"/>
  <c r="U216" i="6" s="1"/>
  <c r="T216" i="2"/>
  <c r="T216" i="6" s="1"/>
  <c r="S216" i="2"/>
  <c r="S216" i="6" s="1"/>
  <c r="V215" i="2"/>
  <c r="V215" i="6" s="1"/>
  <c r="U215" i="2"/>
  <c r="U215" i="6" s="1"/>
  <c r="T215" i="2"/>
  <c r="T215" i="6" s="1"/>
  <c r="S215" i="2"/>
  <c r="S215" i="6" s="1"/>
  <c r="V214" i="2"/>
  <c r="V214" i="6" s="1"/>
  <c r="U214" i="2"/>
  <c r="U214" i="6" s="1"/>
  <c r="T214" i="2"/>
  <c r="T214" i="6" s="1"/>
  <c r="S214" i="2"/>
  <c r="S214" i="6" s="1"/>
  <c r="V213" i="2"/>
  <c r="V213" i="6" s="1"/>
  <c r="U213" i="2"/>
  <c r="U213" i="6" s="1"/>
  <c r="T213" i="2"/>
  <c r="T213" i="6" s="1"/>
  <c r="S213" i="2"/>
  <c r="S213" i="6" s="1"/>
  <c r="V212" i="2"/>
  <c r="V212" i="6" s="1"/>
  <c r="U212" i="2"/>
  <c r="U212" i="6" s="1"/>
  <c r="T212" i="2"/>
  <c r="T212" i="6" s="1"/>
  <c r="S212" i="2"/>
  <c r="S212" i="6" s="1"/>
  <c r="V211" i="2"/>
  <c r="V211" i="6" s="1"/>
  <c r="U211" i="2"/>
  <c r="U211" i="6" s="1"/>
  <c r="T211" i="2"/>
  <c r="T211" i="6" s="1"/>
  <c r="S211" i="2"/>
  <c r="S211" i="6" s="1"/>
  <c r="V210" i="2"/>
  <c r="V210" i="6" s="1"/>
  <c r="U210" i="2"/>
  <c r="U210" i="6" s="1"/>
  <c r="T210" i="2"/>
  <c r="T210" i="6" s="1"/>
  <c r="S210" i="2"/>
  <c r="S210" i="6" s="1"/>
  <c r="V209" i="2"/>
  <c r="V209" i="6" s="1"/>
  <c r="U209" i="2"/>
  <c r="U209" i="6" s="1"/>
  <c r="T209" i="2"/>
  <c r="T209" i="6" s="1"/>
  <c r="S209" i="2"/>
  <c r="S209" i="6" s="1"/>
  <c r="V208" i="2"/>
  <c r="V208" i="6" s="1"/>
  <c r="U208" i="2"/>
  <c r="U208" i="6" s="1"/>
  <c r="T208" i="2"/>
  <c r="T208" i="6" s="1"/>
  <c r="S208" i="2"/>
  <c r="S208" i="6" s="1"/>
  <c r="V207" i="2"/>
  <c r="V207" i="6" s="1"/>
  <c r="U207" i="2"/>
  <c r="U207" i="6" s="1"/>
  <c r="T207" i="2"/>
  <c r="T207" i="6" s="1"/>
  <c r="S207" i="2"/>
  <c r="S207" i="6" s="1"/>
  <c r="V206" i="2"/>
  <c r="V206" i="6" s="1"/>
  <c r="U206" i="2"/>
  <c r="U206" i="6" s="1"/>
  <c r="T206" i="2"/>
  <c r="T206" i="6" s="1"/>
  <c r="S206" i="2"/>
  <c r="S206" i="6" s="1"/>
  <c r="V205" i="2"/>
  <c r="V205" i="6" s="1"/>
  <c r="U205" i="2"/>
  <c r="U205" i="6" s="1"/>
  <c r="T205" i="2"/>
  <c r="T205" i="6" s="1"/>
  <c r="S205" i="2"/>
  <c r="S205" i="6" s="1"/>
  <c r="V204" i="2"/>
  <c r="V204" i="6" s="1"/>
  <c r="U204" i="2"/>
  <c r="U204" i="6" s="1"/>
  <c r="T204" i="2"/>
  <c r="T204" i="6" s="1"/>
  <c r="S204" i="2"/>
  <c r="S204" i="6" s="1"/>
  <c r="V203" i="2"/>
  <c r="V203" i="6" s="1"/>
  <c r="U203" i="2"/>
  <c r="U203" i="6" s="1"/>
  <c r="T203" i="2"/>
  <c r="T203" i="6" s="1"/>
  <c r="S203" i="2"/>
  <c r="S203" i="6" s="1"/>
  <c r="V202" i="2"/>
  <c r="V202" i="6" s="1"/>
  <c r="U202" i="2"/>
  <c r="U202" i="6" s="1"/>
  <c r="T202" i="2"/>
  <c r="T202" i="6" s="1"/>
  <c r="S202" i="2"/>
  <c r="S202" i="6" s="1"/>
  <c r="V201" i="2"/>
  <c r="V201" i="6" s="1"/>
  <c r="U201" i="2"/>
  <c r="U201" i="6" s="1"/>
  <c r="T201" i="2"/>
  <c r="T201" i="6" s="1"/>
  <c r="S201" i="2"/>
  <c r="S201" i="6" s="1"/>
  <c r="V200" i="2"/>
  <c r="V200" i="6" s="1"/>
  <c r="U200" i="2"/>
  <c r="U200" i="6" s="1"/>
  <c r="T200" i="2"/>
  <c r="T200" i="6" s="1"/>
  <c r="S200" i="2"/>
  <c r="S200" i="6" s="1"/>
  <c r="V199" i="2"/>
  <c r="V199" i="6" s="1"/>
  <c r="U199" i="2"/>
  <c r="U199" i="6" s="1"/>
  <c r="T199" i="2"/>
  <c r="T199" i="6" s="1"/>
  <c r="S199" i="2"/>
  <c r="S199" i="6" s="1"/>
  <c r="V198" i="2"/>
  <c r="V198" i="6" s="1"/>
  <c r="U198" i="2"/>
  <c r="U198" i="6" s="1"/>
  <c r="T198" i="2"/>
  <c r="T198" i="6" s="1"/>
  <c r="S198" i="2"/>
  <c r="S198" i="6" s="1"/>
  <c r="V197" i="2"/>
  <c r="V197" i="6" s="1"/>
  <c r="U197" i="2"/>
  <c r="U197" i="6" s="1"/>
  <c r="T197" i="2"/>
  <c r="T197" i="6" s="1"/>
  <c r="S197" i="2"/>
  <c r="S197" i="6" s="1"/>
  <c r="V196" i="2"/>
  <c r="V196" i="6" s="1"/>
  <c r="U196" i="2"/>
  <c r="U196" i="6" s="1"/>
  <c r="T196" i="2"/>
  <c r="T196" i="6" s="1"/>
  <c r="S196" i="2"/>
  <c r="S196" i="6" s="1"/>
  <c r="V195" i="2"/>
  <c r="V195" i="6" s="1"/>
  <c r="U195" i="2"/>
  <c r="U195" i="6" s="1"/>
  <c r="T195" i="2"/>
  <c r="T195" i="6" s="1"/>
  <c r="S195" i="2"/>
  <c r="S195" i="6" s="1"/>
  <c r="V194" i="2"/>
  <c r="V194" i="6" s="1"/>
  <c r="U194" i="2"/>
  <c r="U194" i="6" s="1"/>
  <c r="T194" i="2"/>
  <c r="T194" i="6" s="1"/>
  <c r="S194" i="2"/>
  <c r="S194" i="6" s="1"/>
  <c r="V193" i="2"/>
  <c r="V193" i="6" s="1"/>
  <c r="U193" i="2"/>
  <c r="U193" i="6" s="1"/>
  <c r="T193" i="2"/>
  <c r="T193" i="6" s="1"/>
  <c r="S193" i="2"/>
  <c r="S193" i="6" s="1"/>
  <c r="V192" i="2"/>
  <c r="V192" i="6" s="1"/>
  <c r="U192" i="2"/>
  <c r="U192" i="6" s="1"/>
  <c r="T192" i="2"/>
  <c r="T192" i="6" s="1"/>
  <c r="S192" i="2"/>
  <c r="S192" i="6" s="1"/>
  <c r="V191" i="2"/>
  <c r="V191" i="6" s="1"/>
  <c r="U191" i="2"/>
  <c r="U191" i="6" s="1"/>
  <c r="T191" i="2"/>
  <c r="T191" i="6" s="1"/>
  <c r="S191" i="2"/>
  <c r="S191" i="6" s="1"/>
  <c r="V190" i="2"/>
  <c r="V190" i="6" s="1"/>
  <c r="U190" i="2"/>
  <c r="U190" i="6" s="1"/>
  <c r="T190" i="2"/>
  <c r="T190" i="6" s="1"/>
  <c r="S190" i="2"/>
  <c r="S190" i="6" s="1"/>
  <c r="V189" i="2"/>
  <c r="V189" i="6" s="1"/>
  <c r="U189" i="2"/>
  <c r="U189" i="6" s="1"/>
  <c r="T189" i="2"/>
  <c r="T189" i="6" s="1"/>
  <c r="S189" i="2"/>
  <c r="S189" i="6" s="1"/>
  <c r="V188" i="2"/>
  <c r="V188" i="6" s="1"/>
  <c r="U188" i="2"/>
  <c r="U188" i="6" s="1"/>
  <c r="T188" i="2"/>
  <c r="T188" i="6" s="1"/>
  <c r="S188" i="2"/>
  <c r="S188" i="6" s="1"/>
  <c r="V187" i="2"/>
  <c r="V187" i="6" s="1"/>
  <c r="U187" i="2"/>
  <c r="U187" i="6" s="1"/>
  <c r="T187" i="2"/>
  <c r="T187" i="6" s="1"/>
  <c r="S187" i="2"/>
  <c r="S187" i="6" s="1"/>
  <c r="V186" i="2"/>
  <c r="V186" i="6" s="1"/>
  <c r="U186" i="2"/>
  <c r="U186" i="6" s="1"/>
  <c r="T186" i="2"/>
  <c r="T186" i="6" s="1"/>
  <c r="S186" i="2"/>
  <c r="S186" i="6" s="1"/>
  <c r="V185" i="2"/>
  <c r="V185" i="6" s="1"/>
  <c r="U185" i="2"/>
  <c r="U185" i="6" s="1"/>
  <c r="T185" i="2"/>
  <c r="T185" i="6" s="1"/>
  <c r="S185" i="2"/>
  <c r="S185" i="6" s="1"/>
  <c r="V184" i="2"/>
  <c r="V184" i="6" s="1"/>
  <c r="U184" i="2"/>
  <c r="U184" i="6" s="1"/>
  <c r="T184" i="2"/>
  <c r="T184" i="6" s="1"/>
  <c r="S184" i="2"/>
  <c r="S184" i="6" s="1"/>
  <c r="V183" i="2"/>
  <c r="V183" i="6" s="1"/>
  <c r="U183" i="2"/>
  <c r="U183" i="6" s="1"/>
  <c r="T183" i="2"/>
  <c r="T183" i="6" s="1"/>
  <c r="S183" i="2"/>
  <c r="S183" i="6" s="1"/>
  <c r="V182" i="2"/>
  <c r="V182" i="6" s="1"/>
  <c r="U182" i="2"/>
  <c r="U182" i="6" s="1"/>
  <c r="T182" i="2"/>
  <c r="T182" i="6" s="1"/>
  <c r="S182" i="2"/>
  <c r="S182" i="6" s="1"/>
  <c r="V181" i="2"/>
  <c r="V181" i="6" s="1"/>
  <c r="U181" i="2"/>
  <c r="U181" i="6" s="1"/>
  <c r="T181" i="2"/>
  <c r="T181" i="6" s="1"/>
  <c r="S181" i="2"/>
  <c r="S181" i="6" s="1"/>
  <c r="V180" i="2"/>
  <c r="V180" i="6" s="1"/>
  <c r="U180" i="2"/>
  <c r="U180" i="6" s="1"/>
  <c r="T180" i="2"/>
  <c r="T180" i="6" s="1"/>
  <c r="S180" i="2"/>
  <c r="S180" i="6" s="1"/>
  <c r="V179" i="2"/>
  <c r="V179" i="6" s="1"/>
  <c r="U179" i="2"/>
  <c r="U179" i="6" s="1"/>
  <c r="T179" i="2"/>
  <c r="T179" i="6" s="1"/>
  <c r="S179" i="2"/>
  <c r="S179" i="6" s="1"/>
  <c r="V178" i="2"/>
  <c r="V178" i="6" s="1"/>
  <c r="U178" i="2"/>
  <c r="U178" i="6" s="1"/>
  <c r="T178" i="2"/>
  <c r="T178" i="6" s="1"/>
  <c r="S178" i="2"/>
  <c r="S178" i="6" s="1"/>
  <c r="V177" i="2"/>
  <c r="V177" i="6" s="1"/>
  <c r="U177" i="2"/>
  <c r="U177" i="6" s="1"/>
  <c r="T177" i="2"/>
  <c r="T177" i="6" s="1"/>
  <c r="S177" i="2"/>
  <c r="S177" i="6" s="1"/>
  <c r="V176" i="2"/>
  <c r="V176" i="6" s="1"/>
  <c r="U176" i="2"/>
  <c r="U176" i="6" s="1"/>
  <c r="T176" i="2"/>
  <c r="T176" i="6" s="1"/>
  <c r="S176" i="2"/>
  <c r="S176" i="6" s="1"/>
  <c r="V175" i="2"/>
  <c r="V175" i="6" s="1"/>
  <c r="U175" i="2"/>
  <c r="U175" i="6" s="1"/>
  <c r="T175" i="2"/>
  <c r="T175" i="6" s="1"/>
  <c r="S175" i="2"/>
  <c r="S175" i="6" s="1"/>
  <c r="V174" i="2"/>
  <c r="V174" i="6" s="1"/>
  <c r="U174" i="2"/>
  <c r="U174" i="6" s="1"/>
  <c r="T174" i="2"/>
  <c r="T174" i="6" s="1"/>
  <c r="S174" i="2"/>
  <c r="S174" i="6" s="1"/>
  <c r="V173" i="2"/>
  <c r="V173" i="6" s="1"/>
  <c r="U173" i="2"/>
  <c r="U173" i="6" s="1"/>
  <c r="T173" i="2"/>
  <c r="T173" i="6" s="1"/>
  <c r="S173" i="2"/>
  <c r="S173" i="6" s="1"/>
  <c r="V172" i="2"/>
  <c r="V172" i="6" s="1"/>
  <c r="U172" i="2"/>
  <c r="U172" i="6" s="1"/>
  <c r="T172" i="2"/>
  <c r="T172" i="6" s="1"/>
  <c r="S172" i="2"/>
  <c r="S172" i="6" s="1"/>
  <c r="V171" i="2"/>
  <c r="V171" i="6" s="1"/>
  <c r="U171" i="2"/>
  <c r="U171" i="6" s="1"/>
  <c r="T171" i="2"/>
  <c r="T171" i="6" s="1"/>
  <c r="S171" i="2"/>
  <c r="S171" i="6" s="1"/>
  <c r="V170" i="2"/>
  <c r="V170" i="6" s="1"/>
  <c r="U170" i="2"/>
  <c r="U170" i="6" s="1"/>
  <c r="T170" i="2"/>
  <c r="T170" i="6" s="1"/>
  <c r="S170" i="2"/>
  <c r="S170" i="6" s="1"/>
  <c r="V169" i="2"/>
  <c r="V169" i="6" s="1"/>
  <c r="U169" i="2"/>
  <c r="U169" i="6" s="1"/>
  <c r="T169" i="2"/>
  <c r="T169" i="6" s="1"/>
  <c r="S169" i="2"/>
  <c r="S169" i="6" s="1"/>
  <c r="V168" i="2"/>
  <c r="V168" i="6" s="1"/>
  <c r="U168" i="2"/>
  <c r="U168" i="6" s="1"/>
  <c r="T168" i="2"/>
  <c r="T168" i="6" s="1"/>
  <c r="S168" i="2"/>
  <c r="S168" i="6" s="1"/>
  <c r="V167" i="2"/>
  <c r="V167" i="6" s="1"/>
  <c r="U167" i="2"/>
  <c r="U167" i="6" s="1"/>
  <c r="T167" i="2"/>
  <c r="T167" i="6" s="1"/>
  <c r="S167" i="2"/>
  <c r="S167" i="6" s="1"/>
  <c r="V166" i="2"/>
  <c r="V166" i="6" s="1"/>
  <c r="U166" i="2"/>
  <c r="U166" i="6" s="1"/>
  <c r="T166" i="2"/>
  <c r="T166" i="6" s="1"/>
  <c r="S166" i="2"/>
  <c r="S166" i="6" s="1"/>
  <c r="V165" i="2"/>
  <c r="V165" i="6" s="1"/>
  <c r="U165" i="2"/>
  <c r="U165" i="6" s="1"/>
  <c r="T165" i="2"/>
  <c r="T165" i="6" s="1"/>
  <c r="S165" i="2"/>
  <c r="S165" i="6" s="1"/>
  <c r="V164" i="2"/>
  <c r="V164" i="6" s="1"/>
  <c r="U164" i="2"/>
  <c r="U164" i="6" s="1"/>
  <c r="T164" i="2"/>
  <c r="T164" i="6" s="1"/>
  <c r="S164" i="2"/>
  <c r="S164" i="6" s="1"/>
  <c r="V163" i="2"/>
  <c r="V163" i="6" s="1"/>
  <c r="U163" i="2"/>
  <c r="U163" i="6" s="1"/>
  <c r="T163" i="2"/>
  <c r="T163" i="6" s="1"/>
  <c r="S163" i="2"/>
  <c r="S163" i="6" s="1"/>
  <c r="V162" i="2"/>
  <c r="V162" i="6" s="1"/>
  <c r="U162" i="2"/>
  <c r="U162" i="6" s="1"/>
  <c r="T162" i="2"/>
  <c r="T162" i="6" s="1"/>
  <c r="S162" i="2"/>
  <c r="S162" i="6" s="1"/>
  <c r="V161" i="2"/>
  <c r="V161" i="6" s="1"/>
  <c r="U161" i="2"/>
  <c r="U161" i="6" s="1"/>
  <c r="T161" i="2"/>
  <c r="T161" i="6" s="1"/>
  <c r="S161" i="2"/>
  <c r="S161" i="6" s="1"/>
  <c r="V160" i="2"/>
  <c r="V160" i="6" s="1"/>
  <c r="U160" i="2"/>
  <c r="U160" i="6" s="1"/>
  <c r="T160" i="2"/>
  <c r="T160" i="6" s="1"/>
  <c r="S160" i="2"/>
  <c r="S160" i="6" s="1"/>
  <c r="V159" i="2"/>
  <c r="V159" i="6" s="1"/>
  <c r="U159" i="2"/>
  <c r="U159" i="6" s="1"/>
  <c r="T159" i="2"/>
  <c r="T159" i="6" s="1"/>
  <c r="S159" i="2"/>
  <c r="S159" i="6" s="1"/>
  <c r="V158" i="2"/>
  <c r="V158" i="6" s="1"/>
  <c r="U158" i="2"/>
  <c r="U158" i="6" s="1"/>
  <c r="T158" i="2"/>
  <c r="T158" i="6" s="1"/>
  <c r="S158" i="2"/>
  <c r="S158" i="6" s="1"/>
  <c r="V157" i="2"/>
  <c r="V157" i="6" s="1"/>
  <c r="U157" i="2"/>
  <c r="U157" i="6" s="1"/>
  <c r="T157" i="2"/>
  <c r="T157" i="6" s="1"/>
  <c r="S157" i="2"/>
  <c r="S157" i="6" s="1"/>
  <c r="V156" i="2"/>
  <c r="V156" i="6" s="1"/>
  <c r="U156" i="2"/>
  <c r="U156" i="6" s="1"/>
  <c r="T156" i="2"/>
  <c r="T156" i="6" s="1"/>
  <c r="S156" i="2"/>
  <c r="S156" i="6" s="1"/>
  <c r="V155" i="2"/>
  <c r="V155" i="6" s="1"/>
  <c r="U155" i="2"/>
  <c r="U155" i="6" s="1"/>
  <c r="T155" i="2"/>
  <c r="T155" i="6" s="1"/>
  <c r="S155" i="2"/>
  <c r="S155" i="6" s="1"/>
  <c r="V154" i="2"/>
  <c r="V154" i="6" s="1"/>
  <c r="U154" i="2"/>
  <c r="U154" i="6" s="1"/>
  <c r="T154" i="2"/>
  <c r="T154" i="6" s="1"/>
  <c r="S154" i="2"/>
  <c r="S154" i="6" s="1"/>
  <c r="V153" i="2"/>
  <c r="V153" i="6" s="1"/>
  <c r="U153" i="2"/>
  <c r="U153" i="6" s="1"/>
  <c r="T153" i="2"/>
  <c r="T153" i="6" s="1"/>
  <c r="S153" i="2"/>
  <c r="S153" i="6" s="1"/>
  <c r="V152" i="2"/>
  <c r="V152" i="6" s="1"/>
  <c r="U152" i="2"/>
  <c r="U152" i="6" s="1"/>
  <c r="T152" i="2"/>
  <c r="T152" i="6" s="1"/>
  <c r="S152" i="2"/>
  <c r="S152" i="6" s="1"/>
  <c r="V151" i="2"/>
  <c r="V151" i="6" s="1"/>
  <c r="U151" i="2"/>
  <c r="U151" i="6" s="1"/>
  <c r="T151" i="2"/>
  <c r="T151" i="6" s="1"/>
  <c r="S151" i="2"/>
  <c r="S151" i="6" s="1"/>
  <c r="V150" i="2"/>
  <c r="V150" i="6" s="1"/>
  <c r="U150" i="2"/>
  <c r="U150" i="6" s="1"/>
  <c r="T150" i="2"/>
  <c r="T150" i="6" s="1"/>
  <c r="S150" i="2"/>
  <c r="S150" i="6" s="1"/>
  <c r="V149" i="2"/>
  <c r="V149" i="6" s="1"/>
  <c r="U149" i="2"/>
  <c r="U149" i="6" s="1"/>
  <c r="T149" i="2"/>
  <c r="T149" i="6" s="1"/>
  <c r="S149" i="2"/>
  <c r="S149" i="6" s="1"/>
  <c r="V148" i="2"/>
  <c r="V148" i="6" s="1"/>
  <c r="U148" i="2"/>
  <c r="U148" i="6" s="1"/>
  <c r="T148" i="2"/>
  <c r="T148" i="6" s="1"/>
  <c r="S148" i="2"/>
  <c r="S148" i="6" s="1"/>
  <c r="V147" i="2"/>
  <c r="V147" i="6" s="1"/>
  <c r="U147" i="2"/>
  <c r="U147" i="6" s="1"/>
  <c r="T147" i="2"/>
  <c r="T147" i="6" s="1"/>
  <c r="S147" i="2"/>
  <c r="S147" i="6" s="1"/>
  <c r="V146" i="2"/>
  <c r="V146" i="6" s="1"/>
  <c r="U146" i="2"/>
  <c r="U146" i="6" s="1"/>
  <c r="T146" i="2"/>
  <c r="T146" i="6" s="1"/>
  <c r="S146" i="2"/>
  <c r="S146" i="6" s="1"/>
  <c r="V145" i="2"/>
  <c r="V145" i="6" s="1"/>
  <c r="U145" i="2"/>
  <c r="U145" i="6" s="1"/>
  <c r="T145" i="2"/>
  <c r="T145" i="6" s="1"/>
  <c r="S145" i="2"/>
  <c r="S145" i="6" s="1"/>
  <c r="V144" i="2"/>
  <c r="V144" i="6" s="1"/>
  <c r="U144" i="2"/>
  <c r="U144" i="6" s="1"/>
  <c r="T144" i="2"/>
  <c r="T144" i="6" s="1"/>
  <c r="S144" i="2"/>
  <c r="S144" i="6" s="1"/>
  <c r="V143" i="2"/>
  <c r="V143" i="6" s="1"/>
  <c r="U143" i="2"/>
  <c r="U143" i="6" s="1"/>
  <c r="T143" i="2"/>
  <c r="T143" i="6" s="1"/>
  <c r="S143" i="2"/>
  <c r="S143" i="6" s="1"/>
  <c r="V142" i="2"/>
  <c r="V142" i="6" s="1"/>
  <c r="U142" i="2"/>
  <c r="U142" i="6" s="1"/>
  <c r="T142" i="2"/>
  <c r="T142" i="6" s="1"/>
  <c r="S142" i="2"/>
  <c r="S142" i="6" s="1"/>
  <c r="V141" i="2"/>
  <c r="V141" i="6" s="1"/>
  <c r="U141" i="2"/>
  <c r="U141" i="6" s="1"/>
  <c r="T141" i="2"/>
  <c r="T141" i="6" s="1"/>
  <c r="S141" i="2"/>
  <c r="S141" i="6" s="1"/>
  <c r="V140" i="2"/>
  <c r="V140" i="6" s="1"/>
  <c r="U140" i="2"/>
  <c r="U140" i="6" s="1"/>
  <c r="T140" i="2"/>
  <c r="T140" i="6" s="1"/>
  <c r="S140" i="2"/>
  <c r="S140" i="6" s="1"/>
  <c r="V139" i="2"/>
  <c r="V139" i="6" s="1"/>
  <c r="U139" i="2"/>
  <c r="U139" i="6" s="1"/>
  <c r="T139" i="2"/>
  <c r="T139" i="6" s="1"/>
  <c r="S139" i="2"/>
  <c r="S139" i="6" s="1"/>
  <c r="V138" i="2"/>
  <c r="V138" i="6" s="1"/>
  <c r="U138" i="2"/>
  <c r="U138" i="6" s="1"/>
  <c r="T138" i="2"/>
  <c r="T138" i="6" s="1"/>
  <c r="S138" i="2"/>
  <c r="S138" i="6" s="1"/>
  <c r="V137" i="2"/>
  <c r="V137" i="6" s="1"/>
  <c r="U137" i="2"/>
  <c r="U137" i="6" s="1"/>
  <c r="T137" i="2"/>
  <c r="T137" i="6" s="1"/>
  <c r="S137" i="2"/>
  <c r="S137" i="6" s="1"/>
  <c r="V136" i="2"/>
  <c r="V136" i="6" s="1"/>
  <c r="U136" i="2"/>
  <c r="U136" i="6" s="1"/>
  <c r="T136" i="2"/>
  <c r="T136" i="6" s="1"/>
  <c r="S136" i="2"/>
  <c r="S136" i="6" s="1"/>
  <c r="V135" i="2"/>
  <c r="V135" i="6" s="1"/>
  <c r="U135" i="2"/>
  <c r="U135" i="6" s="1"/>
  <c r="T135" i="2"/>
  <c r="T135" i="6" s="1"/>
  <c r="S135" i="2"/>
  <c r="S135" i="6" s="1"/>
  <c r="V134" i="2"/>
  <c r="V134" i="6" s="1"/>
  <c r="U134" i="2"/>
  <c r="U134" i="6" s="1"/>
  <c r="T134" i="2"/>
  <c r="T134" i="6" s="1"/>
  <c r="S134" i="2"/>
  <c r="S134" i="6" s="1"/>
  <c r="V133" i="2"/>
  <c r="V133" i="6" s="1"/>
  <c r="U133" i="2"/>
  <c r="U133" i="6" s="1"/>
  <c r="T133" i="2"/>
  <c r="T133" i="6" s="1"/>
  <c r="S133" i="2"/>
  <c r="S133" i="6" s="1"/>
  <c r="V132" i="6"/>
  <c r="U132" i="6"/>
  <c r="T132" i="6"/>
  <c r="S132" i="2"/>
  <c r="S132" i="6" s="1"/>
  <c r="V131" i="6"/>
  <c r="U131" i="6"/>
  <c r="T131" i="6"/>
  <c r="S131" i="2"/>
  <c r="S131" i="6" s="1"/>
  <c r="V130" i="6"/>
  <c r="U130" i="6"/>
  <c r="T130" i="6"/>
  <c r="S130" i="2"/>
  <c r="S130" i="6" s="1"/>
  <c r="V129" i="6"/>
  <c r="U129" i="6"/>
  <c r="T129" i="6"/>
  <c r="S129" i="2"/>
  <c r="S129" i="6" s="1"/>
  <c r="V128" i="6"/>
  <c r="U128" i="6"/>
  <c r="T128" i="6"/>
  <c r="S128" i="2"/>
  <c r="S128" i="6" s="1"/>
  <c r="V127" i="6"/>
  <c r="U127" i="6"/>
  <c r="T127" i="6"/>
  <c r="S127" i="2"/>
  <c r="S127" i="6" s="1"/>
  <c r="V126" i="6"/>
  <c r="U126" i="6"/>
  <c r="T126" i="6"/>
  <c r="S126" i="2"/>
  <c r="S126" i="6" s="1"/>
  <c r="V125" i="6"/>
  <c r="U125" i="6"/>
  <c r="T125" i="6"/>
  <c r="S125" i="2"/>
  <c r="S125" i="6" s="1"/>
  <c r="V124" i="6"/>
  <c r="U124" i="6"/>
  <c r="T124" i="6"/>
  <c r="S124" i="2"/>
  <c r="S124" i="6" s="1"/>
  <c r="V123" i="6"/>
  <c r="U123" i="6"/>
  <c r="T123" i="6"/>
  <c r="S123" i="2"/>
  <c r="S123" i="6" s="1"/>
  <c r="V122" i="6"/>
  <c r="U122" i="6"/>
  <c r="T122" i="6"/>
  <c r="S122" i="2"/>
  <c r="S122" i="6" s="1"/>
  <c r="V121" i="6"/>
  <c r="U121" i="6"/>
  <c r="T121" i="6"/>
  <c r="S121" i="2"/>
  <c r="S121" i="6" s="1"/>
  <c r="V120" i="6"/>
  <c r="U120" i="6"/>
  <c r="T120" i="6"/>
  <c r="S120" i="2"/>
  <c r="S120" i="6" s="1"/>
  <c r="V119" i="6"/>
  <c r="U119" i="6"/>
  <c r="T119" i="6"/>
  <c r="S119" i="2"/>
  <c r="S119" i="6" s="1"/>
  <c r="V118" i="6"/>
  <c r="U118" i="6"/>
  <c r="T118" i="6"/>
  <c r="S118" i="2"/>
  <c r="S118" i="6" s="1"/>
  <c r="V117" i="6"/>
  <c r="U117" i="6"/>
  <c r="T117" i="6"/>
  <c r="S117" i="2"/>
  <c r="S117" i="6" s="1"/>
  <c r="V116" i="6"/>
  <c r="U116" i="6"/>
  <c r="T116" i="6"/>
  <c r="S116" i="2"/>
  <c r="S116" i="6" s="1"/>
  <c r="V115" i="6"/>
  <c r="U115" i="6"/>
  <c r="T115" i="6"/>
  <c r="S115" i="2"/>
  <c r="S115" i="6" s="1"/>
  <c r="V114" i="6"/>
  <c r="U114" i="6"/>
  <c r="T114" i="6"/>
  <c r="S114" i="2"/>
  <c r="S114" i="6" s="1"/>
  <c r="V113" i="6"/>
  <c r="U113" i="6"/>
  <c r="T113" i="6"/>
  <c r="S113" i="2"/>
  <c r="S113" i="6" s="1"/>
  <c r="V112" i="6"/>
  <c r="U112" i="6"/>
  <c r="T112" i="6"/>
  <c r="S112" i="2"/>
  <c r="S112" i="6" s="1"/>
  <c r="V111" i="6"/>
  <c r="U111" i="6"/>
  <c r="T111" i="6"/>
  <c r="S111" i="2"/>
  <c r="S111" i="6" s="1"/>
  <c r="V110" i="2"/>
  <c r="V110" i="6" s="1"/>
  <c r="U110" i="2"/>
  <c r="U110" i="6" s="1"/>
  <c r="T110" i="2"/>
  <c r="T110" i="6" s="1"/>
  <c r="S110" i="2"/>
  <c r="S110" i="6" s="1"/>
  <c r="V109" i="2"/>
  <c r="V109" i="6" s="1"/>
  <c r="U109" i="2"/>
  <c r="U109" i="6" s="1"/>
  <c r="T109" i="2"/>
  <c r="T109" i="6" s="1"/>
  <c r="S109" i="2"/>
  <c r="S109" i="6" s="1"/>
  <c r="V108" i="2"/>
  <c r="V108" i="6" s="1"/>
  <c r="U108" i="2"/>
  <c r="U108" i="6" s="1"/>
  <c r="T108" i="2"/>
  <c r="T108" i="6" s="1"/>
  <c r="S108" i="2"/>
  <c r="S108" i="6" s="1"/>
  <c r="V107" i="2"/>
  <c r="V107" i="6" s="1"/>
  <c r="U107" i="2"/>
  <c r="U107" i="6" s="1"/>
  <c r="T107" i="2"/>
  <c r="T107" i="6" s="1"/>
  <c r="S107" i="2"/>
  <c r="S107" i="6" s="1"/>
  <c r="V106" i="2"/>
  <c r="V106" i="6" s="1"/>
  <c r="U106" i="2"/>
  <c r="U106" i="6" s="1"/>
  <c r="T106" i="2"/>
  <c r="T106" i="6" s="1"/>
  <c r="S106" i="2"/>
  <c r="S106" i="6" s="1"/>
  <c r="V105" i="2"/>
  <c r="V105" i="6" s="1"/>
  <c r="U105" i="2"/>
  <c r="U105" i="6" s="1"/>
  <c r="T105" i="2"/>
  <c r="T105" i="6" s="1"/>
  <c r="S105" i="2"/>
  <c r="S105" i="6" s="1"/>
  <c r="V104" i="2"/>
  <c r="V104" i="6" s="1"/>
  <c r="U104" i="2"/>
  <c r="U104" i="6" s="1"/>
  <c r="T104" i="2"/>
  <c r="T104" i="6" s="1"/>
  <c r="S104" i="2"/>
  <c r="S104" i="6" s="1"/>
  <c r="V103" i="2"/>
  <c r="V103" i="6" s="1"/>
  <c r="U103" i="2"/>
  <c r="U103" i="6" s="1"/>
  <c r="T103" i="2"/>
  <c r="T103" i="6" s="1"/>
  <c r="S103" i="2"/>
  <c r="S103" i="6" s="1"/>
  <c r="V102" i="2"/>
  <c r="V102" i="6" s="1"/>
  <c r="U102" i="2"/>
  <c r="U102" i="6" s="1"/>
  <c r="T102" i="2"/>
  <c r="T102" i="6" s="1"/>
  <c r="S102" i="2"/>
  <c r="S102" i="6" s="1"/>
  <c r="V101" i="2"/>
  <c r="V101" i="6" s="1"/>
  <c r="U101" i="2"/>
  <c r="U101" i="6" s="1"/>
  <c r="T101" i="2"/>
  <c r="T101" i="6" s="1"/>
  <c r="S101" i="2"/>
  <c r="S101" i="6" s="1"/>
  <c r="V100" i="2"/>
  <c r="V100" i="6" s="1"/>
  <c r="U100" i="2"/>
  <c r="U100" i="6" s="1"/>
  <c r="T100" i="2"/>
  <c r="T100" i="6" s="1"/>
  <c r="S100" i="2"/>
  <c r="S100" i="6" s="1"/>
  <c r="V99" i="2"/>
  <c r="V99" i="6" s="1"/>
  <c r="U99" i="2"/>
  <c r="U99" i="6" s="1"/>
  <c r="T99" i="2"/>
  <c r="T99" i="6" s="1"/>
  <c r="S99" i="2"/>
  <c r="S99" i="6" s="1"/>
  <c r="V98" i="2"/>
  <c r="V98" i="6" s="1"/>
  <c r="U98" i="2"/>
  <c r="U98" i="6" s="1"/>
  <c r="T98" i="2"/>
  <c r="T98" i="6" s="1"/>
  <c r="S98" i="2"/>
  <c r="S98" i="6" s="1"/>
  <c r="V97" i="2"/>
  <c r="V97" i="6" s="1"/>
  <c r="U97" i="2"/>
  <c r="U97" i="6" s="1"/>
  <c r="T97" i="2"/>
  <c r="T97" i="6" s="1"/>
  <c r="S97" i="2"/>
  <c r="S97" i="6" s="1"/>
  <c r="V96" i="2"/>
  <c r="V96" i="6" s="1"/>
  <c r="U96" i="2"/>
  <c r="U96" i="6" s="1"/>
  <c r="T96" i="2"/>
  <c r="T96" i="6" s="1"/>
  <c r="S96" i="2"/>
  <c r="S96" i="6" s="1"/>
  <c r="V95" i="2"/>
  <c r="V95" i="6" s="1"/>
  <c r="U95" i="2"/>
  <c r="U95" i="6" s="1"/>
  <c r="T95" i="2"/>
  <c r="T95" i="6" s="1"/>
  <c r="S95" i="2"/>
  <c r="S95" i="6" s="1"/>
  <c r="V94" i="2"/>
  <c r="V94" i="6" s="1"/>
  <c r="U94" i="2"/>
  <c r="U94" i="6" s="1"/>
  <c r="T94" i="2"/>
  <c r="T94" i="6" s="1"/>
  <c r="S94" i="2"/>
  <c r="S94" i="6" s="1"/>
  <c r="V93" i="2"/>
  <c r="V93" i="6" s="1"/>
  <c r="U93" i="2"/>
  <c r="U93" i="6" s="1"/>
  <c r="T93" i="2"/>
  <c r="T93" i="6" s="1"/>
  <c r="S93" i="2"/>
  <c r="S93" i="6" s="1"/>
  <c r="V92" i="2"/>
  <c r="V92" i="6" s="1"/>
  <c r="U92" i="2"/>
  <c r="U92" i="6" s="1"/>
  <c r="T92" i="2"/>
  <c r="T92" i="6" s="1"/>
  <c r="S92" i="2"/>
  <c r="S92" i="6" s="1"/>
  <c r="V91" i="2"/>
  <c r="V91" i="6" s="1"/>
  <c r="U91" i="2"/>
  <c r="U91" i="6" s="1"/>
  <c r="T91" i="2"/>
  <c r="T91" i="6" s="1"/>
  <c r="S91" i="2"/>
  <c r="S91" i="6" s="1"/>
  <c r="V90" i="2"/>
  <c r="V90" i="6" s="1"/>
  <c r="U90" i="2"/>
  <c r="U90" i="6" s="1"/>
  <c r="T90" i="2"/>
  <c r="T90" i="6" s="1"/>
  <c r="S90" i="2"/>
  <c r="S90" i="6" s="1"/>
  <c r="V89" i="2"/>
  <c r="V89" i="6" s="1"/>
  <c r="U89" i="2"/>
  <c r="U89" i="6" s="1"/>
  <c r="T89" i="2"/>
  <c r="T89" i="6" s="1"/>
  <c r="S89" i="2"/>
  <c r="S89" i="6" s="1"/>
  <c r="V88" i="2"/>
  <c r="V88" i="6" s="1"/>
  <c r="U88" i="2"/>
  <c r="U88" i="6" s="1"/>
  <c r="T88" i="2"/>
  <c r="T88" i="6" s="1"/>
  <c r="S88" i="2"/>
  <c r="S88" i="6" s="1"/>
  <c r="V87" i="2"/>
  <c r="V87" i="6" s="1"/>
  <c r="U87" i="2"/>
  <c r="U87" i="6" s="1"/>
  <c r="T87" i="2"/>
  <c r="T87" i="6" s="1"/>
  <c r="S87" i="2"/>
  <c r="S87" i="6" s="1"/>
  <c r="V86" i="2"/>
  <c r="V86" i="6" s="1"/>
  <c r="U86" i="2"/>
  <c r="U86" i="6" s="1"/>
  <c r="T86" i="2"/>
  <c r="T86" i="6" s="1"/>
  <c r="S86" i="2"/>
  <c r="S86" i="6" s="1"/>
  <c r="V85" i="2"/>
  <c r="V85" i="6" s="1"/>
  <c r="U85" i="2"/>
  <c r="U85" i="6" s="1"/>
  <c r="T85" i="2"/>
  <c r="T85" i="6" s="1"/>
  <c r="S85" i="2"/>
  <c r="S85" i="6" s="1"/>
  <c r="V84" i="2"/>
  <c r="V84" i="6" s="1"/>
  <c r="U84" i="2"/>
  <c r="U84" i="6" s="1"/>
  <c r="T84" i="2"/>
  <c r="T84" i="6" s="1"/>
  <c r="S84" i="2"/>
  <c r="S84" i="6" s="1"/>
  <c r="V83" i="2"/>
  <c r="V83" i="6" s="1"/>
  <c r="U83" i="2"/>
  <c r="U83" i="6" s="1"/>
  <c r="T83" i="2"/>
  <c r="T83" i="6" s="1"/>
  <c r="S83" i="2"/>
  <c r="S83" i="6" s="1"/>
  <c r="V82" i="2"/>
  <c r="V82" i="6" s="1"/>
  <c r="U82" i="2"/>
  <c r="U82" i="6" s="1"/>
  <c r="T82" i="2"/>
  <c r="T82" i="6" s="1"/>
  <c r="S82" i="2"/>
  <c r="S82" i="6" s="1"/>
  <c r="V81" i="2"/>
  <c r="V81" i="6" s="1"/>
  <c r="U81" i="2"/>
  <c r="U81" i="6" s="1"/>
  <c r="T81" i="2"/>
  <c r="T81" i="6" s="1"/>
  <c r="S81" i="2"/>
  <c r="S81" i="6" s="1"/>
  <c r="V80" i="2"/>
  <c r="V80" i="6" s="1"/>
  <c r="U80" i="2"/>
  <c r="U80" i="6" s="1"/>
  <c r="T80" i="2"/>
  <c r="T80" i="6" s="1"/>
  <c r="S80" i="2"/>
  <c r="S80" i="6" s="1"/>
  <c r="V79" i="2"/>
  <c r="V79" i="6" s="1"/>
  <c r="U79" i="2"/>
  <c r="U79" i="6" s="1"/>
  <c r="T79" i="2"/>
  <c r="T79" i="6" s="1"/>
  <c r="S79" i="2"/>
  <c r="S79" i="6" s="1"/>
  <c r="V78" i="2"/>
  <c r="V78" i="6" s="1"/>
  <c r="U78" i="2"/>
  <c r="U78" i="6" s="1"/>
  <c r="T78" i="2"/>
  <c r="T78" i="6" s="1"/>
  <c r="S78" i="2"/>
  <c r="S78" i="6" s="1"/>
  <c r="V77" i="2"/>
  <c r="V77" i="6" s="1"/>
  <c r="U77" i="2"/>
  <c r="U77" i="6" s="1"/>
  <c r="T77" i="2"/>
  <c r="T77" i="6" s="1"/>
  <c r="S77" i="2"/>
  <c r="S77" i="6" s="1"/>
  <c r="V76" i="2"/>
  <c r="V76" i="6" s="1"/>
  <c r="U76" i="2"/>
  <c r="U76" i="6" s="1"/>
  <c r="T76" i="2"/>
  <c r="T76" i="6" s="1"/>
  <c r="S76" i="2"/>
  <c r="S76" i="6" s="1"/>
  <c r="V75" i="2"/>
  <c r="V75" i="6" s="1"/>
  <c r="U75" i="2"/>
  <c r="U75" i="6" s="1"/>
  <c r="T75" i="2"/>
  <c r="T75" i="6" s="1"/>
  <c r="S75" i="2"/>
  <c r="S75" i="6" s="1"/>
  <c r="V74" i="2"/>
  <c r="V74" i="6" s="1"/>
  <c r="U74" i="2"/>
  <c r="U74" i="6" s="1"/>
  <c r="T74" i="2"/>
  <c r="T74" i="6" s="1"/>
  <c r="S74" i="2"/>
  <c r="S74" i="6" s="1"/>
  <c r="V73" i="2"/>
  <c r="V73" i="6" s="1"/>
  <c r="U73" i="2"/>
  <c r="U73" i="6" s="1"/>
  <c r="T73" i="2"/>
  <c r="T73" i="6" s="1"/>
  <c r="S73" i="2"/>
  <c r="S73" i="6" s="1"/>
  <c r="V72" i="2"/>
  <c r="V72" i="6" s="1"/>
  <c r="U72" i="2"/>
  <c r="U72" i="6" s="1"/>
  <c r="T72" i="2"/>
  <c r="T72" i="6" s="1"/>
  <c r="S72" i="2"/>
  <c r="S72" i="6" s="1"/>
  <c r="V71" i="2"/>
  <c r="V71" i="6" s="1"/>
  <c r="U71" i="2"/>
  <c r="U71" i="6" s="1"/>
  <c r="T71" i="2"/>
  <c r="T71" i="6" s="1"/>
  <c r="S71" i="2"/>
  <c r="S71" i="6" s="1"/>
  <c r="V70" i="2"/>
  <c r="V70" i="6" s="1"/>
  <c r="U70" i="2"/>
  <c r="U70" i="6" s="1"/>
  <c r="T70" i="2"/>
  <c r="T70" i="6" s="1"/>
  <c r="S70" i="2"/>
  <c r="S70" i="6" s="1"/>
  <c r="V69" i="2"/>
  <c r="V69" i="6" s="1"/>
  <c r="U69" i="2"/>
  <c r="U69" i="6" s="1"/>
  <c r="T69" i="2"/>
  <c r="T69" i="6" s="1"/>
  <c r="S69" i="2"/>
  <c r="S69" i="6" s="1"/>
  <c r="V68" i="2"/>
  <c r="V68" i="6" s="1"/>
  <c r="U68" i="2"/>
  <c r="U68" i="6" s="1"/>
  <c r="T68" i="2"/>
  <c r="T68" i="6" s="1"/>
  <c r="S68" i="2"/>
  <c r="S68" i="6" s="1"/>
  <c r="V67" i="2"/>
  <c r="V67" i="6" s="1"/>
  <c r="U67" i="2"/>
  <c r="U67" i="6" s="1"/>
  <c r="T67" i="2"/>
  <c r="T67" i="6" s="1"/>
  <c r="S67" i="2"/>
  <c r="S67" i="6" s="1"/>
  <c r="V66" i="2"/>
  <c r="V66" i="6" s="1"/>
  <c r="U66" i="2"/>
  <c r="U66" i="6" s="1"/>
  <c r="T66" i="2"/>
  <c r="T66" i="6" s="1"/>
  <c r="S66" i="2"/>
  <c r="S66" i="6" s="1"/>
  <c r="V65" i="2"/>
  <c r="V65" i="6" s="1"/>
  <c r="U65" i="2"/>
  <c r="U65" i="6" s="1"/>
  <c r="T65" i="2"/>
  <c r="T65" i="6" s="1"/>
  <c r="S65" i="2"/>
  <c r="S65" i="6" s="1"/>
  <c r="V64" i="2"/>
  <c r="V64" i="6" s="1"/>
  <c r="U64" i="2"/>
  <c r="U64" i="6" s="1"/>
  <c r="T64" i="2"/>
  <c r="T64" i="6" s="1"/>
  <c r="S64" i="2"/>
  <c r="S64" i="6" s="1"/>
  <c r="V63" i="2"/>
  <c r="V63" i="6" s="1"/>
  <c r="U63" i="2"/>
  <c r="U63" i="6" s="1"/>
  <c r="T63" i="2"/>
  <c r="T63" i="6" s="1"/>
  <c r="S63" i="2"/>
  <c r="S63" i="6" s="1"/>
  <c r="V62" i="2"/>
  <c r="V62" i="6" s="1"/>
  <c r="U62" i="2"/>
  <c r="U62" i="6" s="1"/>
  <c r="T62" i="2"/>
  <c r="T62" i="6" s="1"/>
  <c r="S62" i="2"/>
  <c r="S62" i="6" s="1"/>
  <c r="V61" i="2"/>
  <c r="V61" i="6" s="1"/>
  <c r="U61" i="2"/>
  <c r="U61" i="6" s="1"/>
  <c r="T61" i="2"/>
  <c r="T61" i="6" s="1"/>
  <c r="S61" i="2"/>
  <c r="S61" i="6" s="1"/>
  <c r="V60" i="2"/>
  <c r="V60" i="6" s="1"/>
  <c r="U60" i="2"/>
  <c r="U60" i="6" s="1"/>
  <c r="T60" i="2"/>
  <c r="T60" i="6" s="1"/>
  <c r="S60" i="2"/>
  <c r="S60" i="6" s="1"/>
  <c r="V59" i="2"/>
  <c r="V59" i="6" s="1"/>
  <c r="U59" i="2"/>
  <c r="U59" i="6" s="1"/>
  <c r="T59" i="2"/>
  <c r="T59" i="6" s="1"/>
  <c r="S59" i="2"/>
  <c r="S59" i="6" s="1"/>
  <c r="V58" i="2"/>
  <c r="V58" i="6" s="1"/>
  <c r="U58" i="2"/>
  <c r="U58" i="6" s="1"/>
  <c r="T58" i="2"/>
  <c r="T58" i="6" s="1"/>
  <c r="S58" i="2"/>
  <c r="S58" i="6" s="1"/>
  <c r="V57" i="2"/>
  <c r="V57" i="6" s="1"/>
  <c r="U57" i="2"/>
  <c r="U57" i="6" s="1"/>
  <c r="T57" i="2"/>
  <c r="T57" i="6" s="1"/>
  <c r="S57" i="2"/>
  <c r="S57" i="6" s="1"/>
  <c r="V56" i="2"/>
  <c r="V56" i="6" s="1"/>
  <c r="U56" i="2"/>
  <c r="U56" i="6" s="1"/>
  <c r="T56" i="2"/>
  <c r="T56" i="6" s="1"/>
  <c r="S56" i="2"/>
  <c r="S56" i="6" s="1"/>
  <c r="V55" i="2"/>
  <c r="V55" i="6" s="1"/>
  <c r="U55" i="2"/>
  <c r="U55" i="6" s="1"/>
  <c r="T55" i="2"/>
  <c r="T55" i="6" s="1"/>
  <c r="S55" i="2"/>
  <c r="S55" i="6" s="1"/>
  <c r="V54" i="2"/>
  <c r="V54" i="6" s="1"/>
  <c r="U54" i="2"/>
  <c r="U54" i="6" s="1"/>
  <c r="T54" i="2"/>
  <c r="T54" i="6" s="1"/>
  <c r="S54" i="2"/>
  <c r="S54" i="6" s="1"/>
  <c r="V53" i="2"/>
  <c r="V53" i="6" s="1"/>
  <c r="U53" i="2"/>
  <c r="U53" i="6" s="1"/>
  <c r="T53" i="2"/>
  <c r="T53" i="6" s="1"/>
  <c r="S53" i="2"/>
  <c r="S53" i="6" s="1"/>
  <c r="V52" i="2"/>
  <c r="V52" i="6" s="1"/>
  <c r="U52" i="2"/>
  <c r="U52" i="6" s="1"/>
  <c r="T52" i="2"/>
  <c r="T52" i="6" s="1"/>
  <c r="S52" i="2"/>
  <c r="S52" i="6" s="1"/>
  <c r="V51" i="2"/>
  <c r="V51" i="6" s="1"/>
  <c r="U51" i="2"/>
  <c r="U51" i="6" s="1"/>
  <c r="T51" i="2"/>
  <c r="T51" i="6" s="1"/>
  <c r="S51" i="2"/>
  <c r="S51" i="6" s="1"/>
  <c r="V50" i="2"/>
  <c r="V50" i="6" s="1"/>
  <c r="U50" i="2"/>
  <c r="U50" i="6" s="1"/>
  <c r="T50" i="2"/>
  <c r="T50" i="6" s="1"/>
  <c r="S50" i="2"/>
  <c r="S50" i="6" s="1"/>
  <c r="V49" i="2"/>
  <c r="V49" i="6" s="1"/>
  <c r="U49" i="2"/>
  <c r="U49" i="6" s="1"/>
  <c r="T49" i="2"/>
  <c r="T49" i="6" s="1"/>
  <c r="S49" i="2"/>
  <c r="S49" i="6" s="1"/>
  <c r="V48" i="2"/>
  <c r="V48" i="6" s="1"/>
  <c r="U48" i="2"/>
  <c r="U48" i="6" s="1"/>
  <c r="T48" i="2"/>
  <c r="T48" i="6" s="1"/>
  <c r="S48" i="2"/>
  <c r="S48" i="6" s="1"/>
  <c r="V47" i="2"/>
  <c r="V47" i="6" s="1"/>
  <c r="U47" i="2"/>
  <c r="U47" i="6" s="1"/>
  <c r="T47" i="2"/>
  <c r="T47" i="6" s="1"/>
  <c r="S47" i="2"/>
  <c r="S47" i="6" s="1"/>
  <c r="V46" i="2"/>
  <c r="V46" i="6" s="1"/>
  <c r="U46" i="2"/>
  <c r="U46" i="6" s="1"/>
  <c r="T46" i="2"/>
  <c r="T46" i="6" s="1"/>
  <c r="S46" i="2"/>
  <c r="S46" i="6" s="1"/>
  <c r="V45" i="2"/>
  <c r="V45" i="6" s="1"/>
  <c r="U45" i="2"/>
  <c r="U45" i="6" s="1"/>
  <c r="T45" i="2"/>
  <c r="T45" i="6" s="1"/>
  <c r="S45" i="2"/>
  <c r="S45" i="6" s="1"/>
  <c r="V44" i="2"/>
  <c r="V44" i="6" s="1"/>
  <c r="U44" i="2"/>
  <c r="U44" i="6" s="1"/>
  <c r="T44" i="2"/>
  <c r="T44" i="6" s="1"/>
  <c r="S44" i="2"/>
  <c r="S44" i="6" s="1"/>
  <c r="V43" i="2"/>
  <c r="V43" i="6" s="1"/>
  <c r="U43" i="2"/>
  <c r="U43" i="6" s="1"/>
  <c r="T43" i="2"/>
  <c r="T43" i="6" s="1"/>
  <c r="S43" i="2"/>
  <c r="S43" i="6" s="1"/>
  <c r="V42" i="2"/>
  <c r="V42" i="6" s="1"/>
  <c r="U42" i="2"/>
  <c r="U42" i="6" s="1"/>
  <c r="T42" i="2"/>
  <c r="T42" i="6" s="1"/>
  <c r="S42" i="2"/>
  <c r="S42" i="6" s="1"/>
  <c r="V41" i="2"/>
  <c r="V41" i="6" s="1"/>
  <c r="U41" i="2"/>
  <c r="U41" i="6" s="1"/>
  <c r="T41" i="2"/>
  <c r="T41" i="6" s="1"/>
  <c r="S41" i="2"/>
  <c r="S41" i="6" s="1"/>
  <c r="V40" i="2"/>
  <c r="V40" i="6" s="1"/>
  <c r="U40" i="2"/>
  <c r="U40" i="6" s="1"/>
  <c r="T40" i="2"/>
  <c r="T40" i="6" s="1"/>
  <c r="S40" i="2"/>
  <c r="S40" i="6" s="1"/>
  <c r="V39" i="2"/>
  <c r="V39" i="6" s="1"/>
  <c r="U39" i="2"/>
  <c r="U39" i="6" s="1"/>
  <c r="T39" i="2"/>
  <c r="T39" i="6" s="1"/>
  <c r="S39" i="2"/>
  <c r="S39" i="6" s="1"/>
  <c r="V38" i="2"/>
  <c r="V38" i="6" s="1"/>
  <c r="U38" i="2"/>
  <c r="U38" i="6" s="1"/>
  <c r="T38" i="2"/>
  <c r="T38" i="6" s="1"/>
  <c r="S38" i="2"/>
  <c r="S38" i="6" s="1"/>
  <c r="V37" i="2"/>
  <c r="V37" i="6" s="1"/>
  <c r="U37" i="2"/>
  <c r="U37" i="6" s="1"/>
  <c r="T37" i="2"/>
  <c r="T37" i="6" s="1"/>
  <c r="S37" i="2"/>
  <c r="S37" i="6" s="1"/>
  <c r="V36" i="2"/>
  <c r="V36" i="6" s="1"/>
  <c r="U36" i="2"/>
  <c r="U36" i="6" s="1"/>
  <c r="T36" i="2"/>
  <c r="T36" i="6" s="1"/>
  <c r="S36" i="2"/>
  <c r="S36" i="6" s="1"/>
  <c r="V35" i="2"/>
  <c r="V35" i="6" s="1"/>
  <c r="U35" i="2"/>
  <c r="U35" i="6" s="1"/>
  <c r="T35" i="2"/>
  <c r="T35" i="6" s="1"/>
  <c r="S35" i="2"/>
  <c r="S35" i="6" s="1"/>
  <c r="V34" i="2"/>
  <c r="V34" i="6" s="1"/>
  <c r="U34" i="2"/>
  <c r="U34" i="6" s="1"/>
  <c r="T34" i="2"/>
  <c r="T34" i="6" s="1"/>
  <c r="S34" i="2"/>
  <c r="S34" i="6" s="1"/>
  <c r="V33" i="2"/>
  <c r="V33" i="6" s="1"/>
  <c r="U33" i="2"/>
  <c r="U33" i="6" s="1"/>
  <c r="T33" i="2"/>
  <c r="T33" i="6" s="1"/>
  <c r="S33" i="2"/>
  <c r="S33" i="6" s="1"/>
  <c r="V32" i="2"/>
  <c r="V32" i="6" s="1"/>
  <c r="U32" i="2"/>
  <c r="U32" i="6" s="1"/>
  <c r="T32" i="2"/>
  <c r="T32" i="6" s="1"/>
  <c r="S32" i="2"/>
  <c r="S32" i="6" s="1"/>
  <c r="V31" i="2"/>
  <c r="V31" i="6" s="1"/>
  <c r="U31" i="2"/>
  <c r="U31" i="6" s="1"/>
  <c r="T31" i="2"/>
  <c r="T31" i="6" s="1"/>
  <c r="S31" i="2"/>
  <c r="S31" i="6" s="1"/>
  <c r="V30" i="2"/>
  <c r="V30" i="6" s="1"/>
  <c r="U30" i="2"/>
  <c r="U30" i="6" s="1"/>
  <c r="T30" i="2"/>
  <c r="T30" i="6" s="1"/>
  <c r="S30" i="2"/>
  <c r="S30" i="6" s="1"/>
  <c r="V29" i="2"/>
  <c r="V29" i="6" s="1"/>
  <c r="U29" i="2"/>
  <c r="U29" i="6" s="1"/>
  <c r="T29" i="2"/>
  <c r="T29" i="6" s="1"/>
  <c r="S29" i="2"/>
  <c r="S29" i="6" s="1"/>
  <c r="V28" i="2"/>
  <c r="V28" i="6" s="1"/>
  <c r="U28" i="2"/>
  <c r="U28" i="6" s="1"/>
  <c r="T28" i="2"/>
  <c r="T28" i="6" s="1"/>
  <c r="S28" i="2"/>
  <c r="S28" i="6" s="1"/>
  <c r="V27" i="2"/>
  <c r="V27" i="6" s="1"/>
  <c r="U27" i="2"/>
  <c r="U27" i="6" s="1"/>
  <c r="T27" i="2"/>
  <c r="T27" i="6" s="1"/>
  <c r="S27" i="2"/>
  <c r="S27" i="6" s="1"/>
  <c r="V26" i="2"/>
  <c r="V26" i="6" s="1"/>
  <c r="U26" i="2"/>
  <c r="U26" i="6" s="1"/>
  <c r="T26" i="2"/>
  <c r="T26" i="6" s="1"/>
  <c r="S26" i="2"/>
  <c r="S26" i="6" s="1"/>
  <c r="V25" i="2"/>
  <c r="V25" i="6" s="1"/>
  <c r="U25" i="2"/>
  <c r="U25" i="6" s="1"/>
  <c r="T25" i="2"/>
  <c r="T25" i="6" s="1"/>
  <c r="S25" i="2"/>
  <c r="S25" i="6" s="1"/>
  <c r="V24" i="2"/>
  <c r="V24" i="6" s="1"/>
  <c r="U24" i="2"/>
  <c r="U24" i="6" s="1"/>
  <c r="T24" i="2"/>
  <c r="T24" i="6" s="1"/>
  <c r="S24" i="2"/>
  <c r="S24" i="6" s="1"/>
  <c r="V23" i="2"/>
  <c r="V23" i="6" s="1"/>
  <c r="U23" i="2"/>
  <c r="U23" i="6" s="1"/>
  <c r="T23" i="2"/>
  <c r="T23" i="6" s="1"/>
  <c r="S23" i="2"/>
  <c r="S23" i="6" s="1"/>
  <c r="V22" i="2"/>
  <c r="V22" i="6" s="1"/>
  <c r="U22" i="2"/>
  <c r="U22" i="6" s="1"/>
  <c r="T22" i="2"/>
  <c r="T22" i="6" s="1"/>
  <c r="S22" i="2"/>
  <c r="S22" i="6" s="1"/>
  <c r="V21" i="2"/>
  <c r="V21" i="6" s="1"/>
  <c r="U21" i="2"/>
  <c r="U21" i="6" s="1"/>
  <c r="T21" i="2"/>
  <c r="T21" i="6" s="1"/>
  <c r="S21" i="2"/>
  <c r="S21" i="6" s="1"/>
  <c r="V20" i="2"/>
  <c r="V20" i="6" s="1"/>
  <c r="U20" i="2"/>
  <c r="U20" i="6" s="1"/>
  <c r="T20" i="2"/>
  <c r="T20" i="6" s="1"/>
  <c r="S20" i="2"/>
  <c r="S20" i="6" s="1"/>
  <c r="V19" i="2"/>
  <c r="V19" i="6" s="1"/>
  <c r="U19" i="2"/>
  <c r="U19" i="6" s="1"/>
  <c r="T19" i="2"/>
  <c r="T19" i="6" s="1"/>
  <c r="S19" i="2"/>
  <c r="S19" i="6" s="1"/>
  <c r="V18" i="2"/>
  <c r="V18" i="6" s="1"/>
  <c r="U18" i="2"/>
  <c r="U18" i="6" s="1"/>
  <c r="T18" i="2"/>
  <c r="T18" i="6" s="1"/>
  <c r="S18" i="2"/>
  <c r="S18" i="6" s="1"/>
  <c r="V17" i="2"/>
  <c r="V17" i="6" s="1"/>
  <c r="U17" i="2"/>
  <c r="U17" i="6" s="1"/>
  <c r="T17" i="2"/>
  <c r="T17" i="6" s="1"/>
  <c r="S17" i="2"/>
  <c r="S17" i="6" s="1"/>
  <c r="V16" i="2"/>
  <c r="V16" i="6" s="1"/>
  <c r="U16" i="2"/>
  <c r="U16" i="6" s="1"/>
  <c r="T16" i="2"/>
  <c r="T16" i="6" s="1"/>
  <c r="S16" i="2"/>
  <c r="S16" i="6" s="1"/>
  <c r="V15" i="2"/>
  <c r="V15" i="6" s="1"/>
  <c r="U15" i="2"/>
  <c r="U15" i="6" s="1"/>
  <c r="T15" i="2"/>
  <c r="T15" i="6" s="1"/>
  <c r="S15" i="2"/>
  <c r="S15" i="6" s="1"/>
  <c r="V14" i="2"/>
  <c r="V14" i="6" s="1"/>
  <c r="U14" i="2"/>
  <c r="U14" i="6" s="1"/>
  <c r="T14" i="2"/>
  <c r="T14" i="6" s="1"/>
  <c r="S14" i="2"/>
  <c r="S14" i="6" s="1"/>
  <c r="V13" i="2"/>
  <c r="V13" i="6" s="1"/>
  <c r="U13" i="2"/>
  <c r="U13" i="6" s="1"/>
  <c r="T13" i="2"/>
  <c r="T13" i="6" s="1"/>
  <c r="S13" i="2"/>
  <c r="S13" i="6" s="1"/>
  <c r="V12" i="2"/>
  <c r="V12" i="6" s="1"/>
  <c r="U12" i="2"/>
  <c r="U12" i="6" s="1"/>
  <c r="T12" i="2"/>
  <c r="T12" i="6" s="1"/>
  <c r="S12" i="2"/>
  <c r="S12" i="6" s="1"/>
  <c r="V11" i="2"/>
  <c r="V11" i="6" s="1"/>
  <c r="U11" i="2"/>
  <c r="U11" i="6" s="1"/>
  <c r="T11" i="2"/>
  <c r="T11" i="6" s="1"/>
  <c r="S11" i="2"/>
  <c r="S11" i="6" s="1"/>
  <c r="V10" i="2"/>
  <c r="V10" i="6" s="1"/>
  <c r="U10" i="2"/>
  <c r="U10" i="6" s="1"/>
  <c r="T10" i="2"/>
  <c r="T10" i="6" s="1"/>
  <c r="S10" i="2"/>
  <c r="S10" i="6" s="1"/>
  <c r="V9" i="2"/>
  <c r="V9" i="6" s="1"/>
  <c r="U9" i="2"/>
  <c r="U9" i="6" s="1"/>
  <c r="T9" i="2"/>
  <c r="T9" i="6" s="1"/>
  <c r="S9" i="2"/>
  <c r="S9" i="6" s="1"/>
  <c r="V8" i="2"/>
  <c r="V8" i="6" s="1"/>
  <c r="U8" i="2"/>
  <c r="U8" i="6" s="1"/>
  <c r="T8" i="2"/>
  <c r="T8" i="6" s="1"/>
  <c r="S8" i="2"/>
  <c r="S8" i="6" s="1"/>
  <c r="V7" i="2"/>
  <c r="V7" i="6" s="1"/>
  <c r="U7" i="2"/>
  <c r="U7" i="6" s="1"/>
  <c r="T7" i="2"/>
  <c r="T7" i="6" s="1"/>
  <c r="S7" i="2"/>
  <c r="S7" i="6" s="1"/>
  <c r="V6" i="2"/>
  <c r="V6" i="6" s="1"/>
  <c r="U6" i="2"/>
  <c r="U6" i="6" s="1"/>
  <c r="T6" i="2"/>
  <c r="T6" i="6" s="1"/>
  <c r="S6" i="2"/>
  <c r="S6" i="6" s="1"/>
  <c r="R6" i="2"/>
  <c r="R6" i="6" s="1"/>
  <c r="R498" i="2"/>
  <c r="R498" i="6" s="1"/>
  <c r="Q498" i="2"/>
  <c r="Q498" i="6" s="1"/>
  <c r="P498" i="2"/>
  <c r="P498" i="6" s="1"/>
  <c r="O498" i="2"/>
  <c r="O498" i="6" s="1"/>
  <c r="R497" i="2"/>
  <c r="R497" i="6" s="1"/>
  <c r="Q497" i="2"/>
  <c r="Q497" i="6" s="1"/>
  <c r="P497" i="2"/>
  <c r="P497" i="6" s="1"/>
  <c r="O497" i="2"/>
  <c r="O497" i="6" s="1"/>
  <c r="R496" i="2"/>
  <c r="R496" i="6" s="1"/>
  <c r="Q496" i="2"/>
  <c r="Q496" i="6" s="1"/>
  <c r="P496" i="2"/>
  <c r="P496" i="6" s="1"/>
  <c r="O496" i="2"/>
  <c r="O496" i="6" s="1"/>
  <c r="R495" i="2"/>
  <c r="R495" i="6" s="1"/>
  <c r="Q495" i="2"/>
  <c r="Q495" i="6" s="1"/>
  <c r="P495" i="2"/>
  <c r="P495" i="6" s="1"/>
  <c r="O495" i="2"/>
  <c r="O495" i="6" s="1"/>
  <c r="R494" i="2"/>
  <c r="R494" i="6" s="1"/>
  <c r="Q494" i="2"/>
  <c r="Q494" i="6" s="1"/>
  <c r="P494" i="2"/>
  <c r="P494" i="6" s="1"/>
  <c r="O494" i="2"/>
  <c r="O494" i="6" s="1"/>
  <c r="R493" i="2"/>
  <c r="R493" i="6" s="1"/>
  <c r="Q493" i="2"/>
  <c r="Q493" i="6" s="1"/>
  <c r="P493" i="2"/>
  <c r="P493" i="6" s="1"/>
  <c r="O493" i="2"/>
  <c r="O493" i="6" s="1"/>
  <c r="R492" i="2"/>
  <c r="R492" i="6" s="1"/>
  <c r="Q492" i="2"/>
  <c r="Q492" i="6" s="1"/>
  <c r="P492" i="2"/>
  <c r="P492" i="6" s="1"/>
  <c r="O492" i="2"/>
  <c r="O492" i="6" s="1"/>
  <c r="R491" i="2"/>
  <c r="R491" i="6" s="1"/>
  <c r="Q491" i="2"/>
  <c r="Q491" i="6" s="1"/>
  <c r="P491" i="2"/>
  <c r="P491" i="6" s="1"/>
  <c r="O491" i="2"/>
  <c r="O491" i="6" s="1"/>
  <c r="R490" i="2"/>
  <c r="R490" i="6" s="1"/>
  <c r="Q490" i="2"/>
  <c r="Q490" i="6" s="1"/>
  <c r="P490" i="2"/>
  <c r="P490" i="6" s="1"/>
  <c r="O490" i="2"/>
  <c r="O490" i="6" s="1"/>
  <c r="R489" i="2"/>
  <c r="R489" i="6" s="1"/>
  <c r="Q489" i="2"/>
  <c r="Q489" i="6" s="1"/>
  <c r="P489" i="2"/>
  <c r="P489" i="6" s="1"/>
  <c r="O489" i="2"/>
  <c r="O489" i="6" s="1"/>
  <c r="R488" i="2"/>
  <c r="R488" i="6" s="1"/>
  <c r="Q488" i="2"/>
  <c r="Q488" i="6" s="1"/>
  <c r="P488" i="2"/>
  <c r="P488" i="6" s="1"/>
  <c r="O488" i="2"/>
  <c r="O488" i="6" s="1"/>
  <c r="R487" i="2"/>
  <c r="R487" i="6" s="1"/>
  <c r="Q487" i="2"/>
  <c r="Q487" i="6" s="1"/>
  <c r="P487" i="2"/>
  <c r="P487" i="6" s="1"/>
  <c r="O487" i="2"/>
  <c r="O487" i="6" s="1"/>
  <c r="R486" i="2"/>
  <c r="R486" i="6" s="1"/>
  <c r="Q486" i="2"/>
  <c r="Q486" i="6" s="1"/>
  <c r="P486" i="2"/>
  <c r="P486" i="6" s="1"/>
  <c r="O486" i="2"/>
  <c r="O486" i="6" s="1"/>
  <c r="R485" i="2"/>
  <c r="R485" i="6" s="1"/>
  <c r="Q485" i="2"/>
  <c r="Q485" i="6" s="1"/>
  <c r="P485" i="2"/>
  <c r="P485" i="6" s="1"/>
  <c r="O485" i="2"/>
  <c r="O485" i="6" s="1"/>
  <c r="R484" i="2"/>
  <c r="R484" i="6" s="1"/>
  <c r="Q484" i="2"/>
  <c r="Q484" i="6" s="1"/>
  <c r="P484" i="2"/>
  <c r="P484" i="6" s="1"/>
  <c r="O484" i="2"/>
  <c r="O484" i="6" s="1"/>
  <c r="R483" i="2"/>
  <c r="R483" i="6" s="1"/>
  <c r="Q483" i="2"/>
  <c r="Q483" i="6" s="1"/>
  <c r="P483" i="2"/>
  <c r="P483" i="6" s="1"/>
  <c r="O483" i="2"/>
  <c r="O483" i="6" s="1"/>
  <c r="R482" i="2"/>
  <c r="R482" i="6" s="1"/>
  <c r="Q482" i="2"/>
  <c r="Q482" i="6" s="1"/>
  <c r="P482" i="2"/>
  <c r="P482" i="6" s="1"/>
  <c r="O482" i="2"/>
  <c r="O482" i="6" s="1"/>
  <c r="R481" i="2"/>
  <c r="R481" i="6" s="1"/>
  <c r="Q481" i="2"/>
  <c r="Q481" i="6" s="1"/>
  <c r="P481" i="2"/>
  <c r="P481" i="6" s="1"/>
  <c r="O481" i="2"/>
  <c r="O481" i="6" s="1"/>
  <c r="R480" i="2"/>
  <c r="R480" i="6" s="1"/>
  <c r="Q480" i="2"/>
  <c r="Q480" i="6" s="1"/>
  <c r="P480" i="2"/>
  <c r="P480" i="6" s="1"/>
  <c r="O480" i="2"/>
  <c r="O480" i="6" s="1"/>
  <c r="R479" i="2"/>
  <c r="R479" i="6" s="1"/>
  <c r="Q479" i="6"/>
  <c r="P479" i="6"/>
  <c r="O479" i="6"/>
  <c r="R478" i="2"/>
  <c r="R478" i="6" s="1"/>
  <c r="Q478" i="6"/>
  <c r="P478" i="6"/>
  <c r="O478" i="6"/>
  <c r="R477" i="2"/>
  <c r="R477" i="6" s="1"/>
  <c r="Q477" i="6"/>
  <c r="P477" i="6"/>
  <c r="O477" i="6"/>
  <c r="R476" i="2"/>
  <c r="R476" i="6" s="1"/>
  <c r="Q476" i="6"/>
  <c r="P476" i="6"/>
  <c r="O476" i="6"/>
  <c r="R475" i="2"/>
  <c r="R475" i="6" s="1"/>
  <c r="Q475" i="6"/>
  <c r="P475" i="6"/>
  <c r="O475" i="6"/>
  <c r="R474" i="2"/>
  <c r="R474" i="6" s="1"/>
  <c r="Q474" i="6"/>
  <c r="P474" i="6"/>
  <c r="O474" i="6"/>
  <c r="R473" i="2"/>
  <c r="R473" i="6" s="1"/>
  <c r="Q473" i="6"/>
  <c r="P473" i="6"/>
  <c r="O473" i="6"/>
  <c r="R472" i="2"/>
  <c r="R472" i="6" s="1"/>
  <c r="Q472" i="6"/>
  <c r="P472" i="6"/>
  <c r="O472" i="6"/>
  <c r="R471" i="2"/>
  <c r="R471" i="6" s="1"/>
  <c r="Q471" i="6"/>
  <c r="P471" i="6"/>
  <c r="O471" i="6"/>
  <c r="R470" i="2"/>
  <c r="R470" i="6" s="1"/>
  <c r="Q470" i="6"/>
  <c r="P470" i="6"/>
  <c r="O470" i="6"/>
  <c r="R469" i="2"/>
  <c r="R469" i="6" s="1"/>
  <c r="Q469" i="6"/>
  <c r="P469" i="6"/>
  <c r="O469" i="6"/>
  <c r="R468" i="2"/>
  <c r="R468" i="6" s="1"/>
  <c r="Q468" i="6"/>
  <c r="P468" i="6"/>
  <c r="O468" i="6"/>
  <c r="R467" i="2"/>
  <c r="R467" i="6" s="1"/>
  <c r="Q467" i="6"/>
  <c r="P467" i="6"/>
  <c r="O467" i="6"/>
  <c r="R466" i="2"/>
  <c r="R466" i="6" s="1"/>
  <c r="Q466" i="6"/>
  <c r="P466" i="6"/>
  <c r="O466" i="6"/>
  <c r="R465" i="2"/>
  <c r="R465" i="6" s="1"/>
  <c r="Q465" i="6"/>
  <c r="P465" i="6"/>
  <c r="O465" i="6"/>
  <c r="R464" i="2"/>
  <c r="R464" i="6" s="1"/>
  <c r="Q464" i="6"/>
  <c r="P464" i="6"/>
  <c r="O464" i="6"/>
  <c r="R463" i="2"/>
  <c r="R463" i="6" s="1"/>
  <c r="Q463" i="6"/>
  <c r="P463" i="6"/>
  <c r="O463" i="6"/>
  <c r="R462" i="2"/>
  <c r="R462" i="6" s="1"/>
  <c r="Q462" i="6"/>
  <c r="P462" i="6"/>
  <c r="O462" i="6"/>
  <c r="R461" i="2"/>
  <c r="R461" i="6" s="1"/>
  <c r="Q461" i="6"/>
  <c r="P461" i="6"/>
  <c r="O461" i="6"/>
  <c r="R460" i="2"/>
  <c r="R460" i="6" s="1"/>
  <c r="Q460" i="6"/>
  <c r="P460" i="6"/>
  <c r="O460" i="6"/>
  <c r="R459" i="2"/>
  <c r="R459" i="6" s="1"/>
  <c r="Q459" i="6"/>
  <c r="P459" i="6"/>
  <c r="O459" i="6"/>
  <c r="R458" i="2"/>
  <c r="R458" i="6" s="1"/>
  <c r="Q458" i="6"/>
  <c r="P458" i="6"/>
  <c r="O458" i="6"/>
  <c r="R457" i="2"/>
  <c r="R457" i="6" s="1"/>
  <c r="Q457" i="6"/>
  <c r="P457" i="6"/>
  <c r="O457" i="6"/>
  <c r="R456" i="2"/>
  <c r="R456" i="6" s="1"/>
  <c r="Q456" i="6"/>
  <c r="P456" i="6"/>
  <c r="O456" i="6"/>
  <c r="R455" i="2"/>
  <c r="R455" i="6" s="1"/>
  <c r="Q455" i="6"/>
  <c r="P455" i="6"/>
  <c r="O455" i="6"/>
  <c r="R454" i="2"/>
  <c r="R454" i="6" s="1"/>
  <c r="Q454" i="6"/>
  <c r="P454" i="6"/>
  <c r="O454" i="6"/>
  <c r="R453" i="2"/>
  <c r="R453" i="6" s="1"/>
  <c r="Q453" i="6"/>
  <c r="P453" i="6"/>
  <c r="O453" i="6"/>
  <c r="R452" i="2"/>
  <c r="R452" i="6" s="1"/>
  <c r="Q452" i="6"/>
  <c r="P452" i="6"/>
  <c r="O452" i="6"/>
  <c r="R451" i="2"/>
  <c r="R451" i="6" s="1"/>
  <c r="Q451" i="6"/>
  <c r="P451" i="6"/>
  <c r="O451" i="6"/>
  <c r="R450" i="2"/>
  <c r="R450" i="6" s="1"/>
  <c r="Q450" i="6"/>
  <c r="P450" i="6"/>
  <c r="O450" i="6"/>
  <c r="R449" i="2"/>
  <c r="R449" i="6" s="1"/>
  <c r="Q449" i="2"/>
  <c r="Q449" i="6" s="1"/>
  <c r="P449" i="2"/>
  <c r="P449" i="6" s="1"/>
  <c r="O449" i="2"/>
  <c r="O449" i="6" s="1"/>
  <c r="R448" i="2"/>
  <c r="R448" i="6" s="1"/>
  <c r="Q448" i="2"/>
  <c r="Q448" i="6" s="1"/>
  <c r="P448" i="2"/>
  <c r="P448" i="6" s="1"/>
  <c r="O448" i="2"/>
  <c r="O448" i="6" s="1"/>
  <c r="R447" i="2"/>
  <c r="R447" i="6" s="1"/>
  <c r="Q447" i="2"/>
  <c r="Q447" i="6" s="1"/>
  <c r="P447" i="2"/>
  <c r="P447" i="6" s="1"/>
  <c r="O447" i="2"/>
  <c r="O447" i="6" s="1"/>
  <c r="R446" i="2"/>
  <c r="R446" i="6" s="1"/>
  <c r="Q446" i="2"/>
  <c r="Q446" i="6" s="1"/>
  <c r="P446" i="2"/>
  <c r="P446" i="6" s="1"/>
  <c r="O446" i="2"/>
  <c r="O446" i="6" s="1"/>
  <c r="R445" i="2"/>
  <c r="R445" i="6" s="1"/>
  <c r="Q445" i="2"/>
  <c r="Q445" i="6" s="1"/>
  <c r="P445" i="2"/>
  <c r="P445" i="6" s="1"/>
  <c r="O445" i="2"/>
  <c r="O445" i="6" s="1"/>
  <c r="R444" i="2"/>
  <c r="R444" i="6" s="1"/>
  <c r="Q444" i="2"/>
  <c r="Q444" i="6" s="1"/>
  <c r="P444" i="2"/>
  <c r="P444" i="6" s="1"/>
  <c r="O444" i="2"/>
  <c r="O444" i="6" s="1"/>
  <c r="R443" i="2"/>
  <c r="R443" i="6" s="1"/>
  <c r="Q443" i="2"/>
  <c r="Q443" i="6" s="1"/>
  <c r="P443" i="2"/>
  <c r="P443" i="6" s="1"/>
  <c r="O443" i="2"/>
  <c r="O443" i="6" s="1"/>
  <c r="R442" i="2"/>
  <c r="R442" i="6" s="1"/>
  <c r="Q442" i="2"/>
  <c r="Q442" i="6" s="1"/>
  <c r="P442" i="2"/>
  <c r="P442" i="6" s="1"/>
  <c r="O442" i="2"/>
  <c r="O442" i="6" s="1"/>
  <c r="R441" i="2"/>
  <c r="R441" i="6" s="1"/>
  <c r="Q441" i="2"/>
  <c r="Q441" i="6" s="1"/>
  <c r="P441" i="2"/>
  <c r="P441" i="6" s="1"/>
  <c r="O441" i="2"/>
  <c r="O441" i="6" s="1"/>
  <c r="R440" i="2"/>
  <c r="R440" i="6" s="1"/>
  <c r="Q440" i="2"/>
  <c r="Q440" i="6" s="1"/>
  <c r="P440" i="2"/>
  <c r="P440" i="6" s="1"/>
  <c r="O440" i="2"/>
  <c r="O440" i="6" s="1"/>
  <c r="R439" i="2"/>
  <c r="R439" i="6" s="1"/>
  <c r="Q439" i="2"/>
  <c r="Q439" i="6" s="1"/>
  <c r="P439" i="2"/>
  <c r="P439" i="6" s="1"/>
  <c r="O439" i="2"/>
  <c r="O439" i="6" s="1"/>
  <c r="R438" i="2"/>
  <c r="R438" i="6" s="1"/>
  <c r="Q438" i="2"/>
  <c r="Q438" i="6" s="1"/>
  <c r="P438" i="2"/>
  <c r="P438" i="6" s="1"/>
  <c r="O438" i="2"/>
  <c r="O438" i="6" s="1"/>
  <c r="R437" i="2"/>
  <c r="R437" i="6" s="1"/>
  <c r="Q437" i="2"/>
  <c r="Q437" i="6" s="1"/>
  <c r="P437" i="2"/>
  <c r="P437" i="6" s="1"/>
  <c r="O437" i="2"/>
  <c r="O437" i="6" s="1"/>
  <c r="R436" i="2"/>
  <c r="R436" i="6" s="1"/>
  <c r="Q436" i="2"/>
  <c r="Q436" i="6" s="1"/>
  <c r="P436" i="2"/>
  <c r="P436" i="6" s="1"/>
  <c r="O436" i="2"/>
  <c r="O436" i="6" s="1"/>
  <c r="R435" i="2"/>
  <c r="R435" i="6" s="1"/>
  <c r="Q435" i="2"/>
  <c r="Q435" i="6" s="1"/>
  <c r="P435" i="2"/>
  <c r="P435" i="6" s="1"/>
  <c r="O435" i="2"/>
  <c r="O435" i="6" s="1"/>
  <c r="R434" i="2"/>
  <c r="R434" i="6" s="1"/>
  <c r="Q434" i="2"/>
  <c r="Q434" i="6" s="1"/>
  <c r="P434" i="2"/>
  <c r="P434" i="6" s="1"/>
  <c r="O434" i="2"/>
  <c r="O434" i="6" s="1"/>
  <c r="R433" i="2"/>
  <c r="R433" i="6" s="1"/>
  <c r="Q433" i="2"/>
  <c r="Q433" i="6" s="1"/>
  <c r="P433" i="2"/>
  <c r="P433" i="6" s="1"/>
  <c r="O433" i="2"/>
  <c r="O433" i="6" s="1"/>
  <c r="R432" i="2"/>
  <c r="R432" i="6" s="1"/>
  <c r="Q432" i="2"/>
  <c r="Q432" i="6" s="1"/>
  <c r="P432" i="2"/>
  <c r="P432" i="6" s="1"/>
  <c r="O432" i="2"/>
  <c r="O432" i="6" s="1"/>
  <c r="R431" i="2"/>
  <c r="R431" i="6" s="1"/>
  <c r="Q431" i="2"/>
  <c r="Q431" i="6" s="1"/>
  <c r="P431" i="2"/>
  <c r="P431" i="6" s="1"/>
  <c r="O431" i="2"/>
  <c r="O431" i="6" s="1"/>
  <c r="R430" i="2"/>
  <c r="R430" i="6" s="1"/>
  <c r="Q430" i="2"/>
  <c r="Q430" i="6" s="1"/>
  <c r="P430" i="2"/>
  <c r="P430" i="6" s="1"/>
  <c r="O430" i="2"/>
  <c r="O430" i="6" s="1"/>
  <c r="R429" i="2"/>
  <c r="R429" i="6" s="1"/>
  <c r="Q429" i="2"/>
  <c r="Q429" i="6" s="1"/>
  <c r="P429" i="2"/>
  <c r="P429" i="6" s="1"/>
  <c r="O429" i="2"/>
  <c r="O429" i="6" s="1"/>
  <c r="R428" i="2"/>
  <c r="R428" i="6" s="1"/>
  <c r="Q428" i="2"/>
  <c r="Q428" i="6" s="1"/>
  <c r="P428" i="2"/>
  <c r="P428" i="6" s="1"/>
  <c r="O428" i="2"/>
  <c r="O428" i="6" s="1"/>
  <c r="R427" i="2"/>
  <c r="R427" i="6" s="1"/>
  <c r="Q427" i="2"/>
  <c r="Q427" i="6" s="1"/>
  <c r="P427" i="2"/>
  <c r="P427" i="6" s="1"/>
  <c r="O427" i="2"/>
  <c r="O427" i="6" s="1"/>
  <c r="R426" i="2"/>
  <c r="R426" i="6" s="1"/>
  <c r="Q426" i="2"/>
  <c r="Q426" i="6" s="1"/>
  <c r="P426" i="2"/>
  <c r="P426" i="6" s="1"/>
  <c r="O426" i="2"/>
  <c r="O426" i="6" s="1"/>
  <c r="R425" i="2"/>
  <c r="R425" i="6" s="1"/>
  <c r="Q425" i="2"/>
  <c r="Q425" i="6" s="1"/>
  <c r="P425" i="2"/>
  <c r="P425" i="6" s="1"/>
  <c r="O425" i="2"/>
  <c r="O425" i="6" s="1"/>
  <c r="R424" i="2"/>
  <c r="R424" i="6" s="1"/>
  <c r="Q424" i="2"/>
  <c r="Q424" i="6" s="1"/>
  <c r="P424" i="2"/>
  <c r="P424" i="6" s="1"/>
  <c r="O424" i="2"/>
  <c r="O424" i="6" s="1"/>
  <c r="R423" i="2"/>
  <c r="R423" i="6" s="1"/>
  <c r="Q423" i="2"/>
  <c r="Q423" i="6" s="1"/>
  <c r="P423" i="2"/>
  <c r="P423" i="6" s="1"/>
  <c r="O423" i="2"/>
  <c r="O423" i="6" s="1"/>
  <c r="R422" i="2"/>
  <c r="R422" i="6" s="1"/>
  <c r="Q422" i="2"/>
  <c r="Q422" i="6" s="1"/>
  <c r="P422" i="2"/>
  <c r="P422" i="6" s="1"/>
  <c r="O422" i="2"/>
  <c r="O422" i="6" s="1"/>
  <c r="R421" i="2"/>
  <c r="R421" i="6" s="1"/>
  <c r="Q421" i="2"/>
  <c r="Q421" i="6" s="1"/>
  <c r="P421" i="2"/>
  <c r="P421" i="6" s="1"/>
  <c r="O421" i="2"/>
  <c r="O421" i="6" s="1"/>
  <c r="R420" i="2"/>
  <c r="R420" i="6" s="1"/>
  <c r="Q420" i="2"/>
  <c r="Q420" i="6" s="1"/>
  <c r="P420" i="2"/>
  <c r="P420" i="6" s="1"/>
  <c r="O420" i="2"/>
  <c r="O420" i="6" s="1"/>
  <c r="R419" i="2"/>
  <c r="R419" i="6" s="1"/>
  <c r="Q419" i="2"/>
  <c r="Q419" i="6" s="1"/>
  <c r="P419" i="2"/>
  <c r="P419" i="6" s="1"/>
  <c r="O419" i="2"/>
  <c r="O419" i="6" s="1"/>
  <c r="R418" i="2"/>
  <c r="R418" i="6" s="1"/>
  <c r="Q418" i="2"/>
  <c r="Q418" i="6" s="1"/>
  <c r="P418" i="2"/>
  <c r="P418" i="6" s="1"/>
  <c r="O418" i="2"/>
  <c r="O418" i="6" s="1"/>
  <c r="R417" i="2"/>
  <c r="R417" i="6" s="1"/>
  <c r="Q417" i="2"/>
  <c r="Q417" i="6" s="1"/>
  <c r="P417" i="2"/>
  <c r="P417" i="6" s="1"/>
  <c r="O417" i="2"/>
  <c r="O417" i="6" s="1"/>
  <c r="R416" i="2"/>
  <c r="R416" i="6" s="1"/>
  <c r="Q416" i="2"/>
  <c r="Q416" i="6" s="1"/>
  <c r="P416" i="2"/>
  <c r="P416" i="6" s="1"/>
  <c r="O416" i="2"/>
  <c r="O416" i="6" s="1"/>
  <c r="R415" i="2"/>
  <c r="R415" i="6" s="1"/>
  <c r="Q415" i="2"/>
  <c r="Q415" i="6" s="1"/>
  <c r="P415" i="2"/>
  <c r="P415" i="6" s="1"/>
  <c r="O415" i="2"/>
  <c r="O415" i="6" s="1"/>
  <c r="R414" i="2"/>
  <c r="R414" i="6" s="1"/>
  <c r="Q414" i="2"/>
  <c r="Q414" i="6" s="1"/>
  <c r="P414" i="2"/>
  <c r="P414" i="6" s="1"/>
  <c r="O414" i="2"/>
  <c r="O414" i="6" s="1"/>
  <c r="R413" i="2"/>
  <c r="R413" i="6" s="1"/>
  <c r="Q413" i="2"/>
  <c r="Q413" i="6" s="1"/>
  <c r="P413" i="2"/>
  <c r="P413" i="6" s="1"/>
  <c r="O413" i="2"/>
  <c r="O413" i="6" s="1"/>
  <c r="R412" i="2"/>
  <c r="R412" i="6" s="1"/>
  <c r="Q412" i="2"/>
  <c r="Q412" i="6" s="1"/>
  <c r="P412" i="2"/>
  <c r="P412" i="6" s="1"/>
  <c r="O412" i="2"/>
  <c r="O412" i="6" s="1"/>
  <c r="R411" i="2"/>
  <c r="R411" i="6" s="1"/>
  <c r="Q411" i="2"/>
  <c r="Q411" i="6" s="1"/>
  <c r="P411" i="2"/>
  <c r="P411" i="6" s="1"/>
  <c r="O411" i="2"/>
  <c r="O411" i="6" s="1"/>
  <c r="R410" i="2"/>
  <c r="R410" i="6" s="1"/>
  <c r="Q410" i="2"/>
  <c r="Q410" i="6" s="1"/>
  <c r="P410" i="2"/>
  <c r="P410" i="6" s="1"/>
  <c r="O410" i="2"/>
  <c r="O410" i="6" s="1"/>
  <c r="R409" i="2"/>
  <c r="R409" i="6" s="1"/>
  <c r="Q409" i="2"/>
  <c r="Q409" i="6" s="1"/>
  <c r="P409" i="2"/>
  <c r="P409" i="6" s="1"/>
  <c r="O409" i="2"/>
  <c r="O409" i="6" s="1"/>
  <c r="R408" i="2"/>
  <c r="R408" i="6" s="1"/>
  <c r="Q408" i="2"/>
  <c r="Q408" i="6" s="1"/>
  <c r="P408" i="2"/>
  <c r="P408" i="6" s="1"/>
  <c r="O408" i="2"/>
  <c r="O408" i="6" s="1"/>
  <c r="R407" i="2"/>
  <c r="R407" i="6" s="1"/>
  <c r="Q407" i="2"/>
  <c r="Q407" i="6" s="1"/>
  <c r="P407" i="2"/>
  <c r="P407" i="6" s="1"/>
  <c r="O407" i="2"/>
  <c r="O407" i="6" s="1"/>
  <c r="R406" i="2"/>
  <c r="R406" i="6" s="1"/>
  <c r="Q406" i="2"/>
  <c r="Q406" i="6" s="1"/>
  <c r="P406" i="2"/>
  <c r="P406" i="6" s="1"/>
  <c r="O406" i="2"/>
  <c r="O406" i="6" s="1"/>
  <c r="R405" i="2"/>
  <c r="R405" i="6" s="1"/>
  <c r="Q405" i="2"/>
  <c r="Q405" i="6" s="1"/>
  <c r="P405" i="2"/>
  <c r="P405" i="6" s="1"/>
  <c r="O405" i="2"/>
  <c r="O405" i="6" s="1"/>
  <c r="R404" i="2"/>
  <c r="R404" i="6" s="1"/>
  <c r="Q404" i="2"/>
  <c r="Q404" i="6" s="1"/>
  <c r="P404" i="2"/>
  <c r="P404" i="6" s="1"/>
  <c r="O404" i="2"/>
  <c r="O404" i="6" s="1"/>
  <c r="R403" i="2"/>
  <c r="R403" i="6" s="1"/>
  <c r="Q403" i="2"/>
  <c r="Q403" i="6" s="1"/>
  <c r="P403" i="2"/>
  <c r="P403" i="6" s="1"/>
  <c r="O403" i="2"/>
  <c r="O403" i="6" s="1"/>
  <c r="R402" i="2"/>
  <c r="R402" i="6" s="1"/>
  <c r="Q402" i="2"/>
  <c r="Q402" i="6" s="1"/>
  <c r="P402" i="2"/>
  <c r="P402" i="6" s="1"/>
  <c r="O402" i="2"/>
  <c r="O402" i="6" s="1"/>
  <c r="R401" i="2"/>
  <c r="R401" i="6" s="1"/>
  <c r="Q401" i="2"/>
  <c r="Q401" i="6" s="1"/>
  <c r="P401" i="2"/>
  <c r="P401" i="6" s="1"/>
  <c r="O401" i="2"/>
  <c r="O401" i="6" s="1"/>
  <c r="R400" i="2"/>
  <c r="R400" i="6" s="1"/>
  <c r="Q400" i="2"/>
  <c r="Q400" i="6" s="1"/>
  <c r="P400" i="2"/>
  <c r="P400" i="6" s="1"/>
  <c r="O400" i="2"/>
  <c r="O400" i="6" s="1"/>
  <c r="R399" i="2"/>
  <c r="R399" i="6" s="1"/>
  <c r="Q399" i="2"/>
  <c r="Q399" i="6" s="1"/>
  <c r="P399" i="2"/>
  <c r="P399" i="6" s="1"/>
  <c r="O399" i="2"/>
  <c r="O399" i="6" s="1"/>
  <c r="R398" i="2"/>
  <c r="R398" i="6" s="1"/>
  <c r="Q398" i="2"/>
  <c r="Q398" i="6" s="1"/>
  <c r="P398" i="2"/>
  <c r="P398" i="6" s="1"/>
  <c r="O398" i="2"/>
  <c r="O398" i="6" s="1"/>
  <c r="R397" i="2"/>
  <c r="R397" i="6" s="1"/>
  <c r="Q397" i="2"/>
  <c r="Q397" i="6" s="1"/>
  <c r="P397" i="2"/>
  <c r="P397" i="6" s="1"/>
  <c r="O397" i="2"/>
  <c r="O397" i="6" s="1"/>
  <c r="R396" i="2"/>
  <c r="R396" i="6" s="1"/>
  <c r="Q396" i="2"/>
  <c r="Q396" i="6" s="1"/>
  <c r="P396" i="2"/>
  <c r="P396" i="6" s="1"/>
  <c r="O396" i="2"/>
  <c r="O396" i="6" s="1"/>
  <c r="R395" i="2"/>
  <c r="R395" i="6" s="1"/>
  <c r="Q395" i="2"/>
  <c r="Q395" i="6" s="1"/>
  <c r="P395" i="2"/>
  <c r="P395" i="6" s="1"/>
  <c r="O395" i="2"/>
  <c r="O395" i="6" s="1"/>
  <c r="R394" i="2"/>
  <c r="R394" i="6" s="1"/>
  <c r="Q394" i="2"/>
  <c r="Q394" i="6" s="1"/>
  <c r="P394" i="2"/>
  <c r="P394" i="6" s="1"/>
  <c r="O394" i="2"/>
  <c r="O394" i="6" s="1"/>
  <c r="R393" i="2"/>
  <c r="R393" i="6" s="1"/>
  <c r="Q393" i="2"/>
  <c r="Q393" i="6" s="1"/>
  <c r="P393" i="2"/>
  <c r="P393" i="6" s="1"/>
  <c r="O393" i="2"/>
  <c r="O393" i="6" s="1"/>
  <c r="R392" i="2"/>
  <c r="R392" i="6" s="1"/>
  <c r="Q392" i="2"/>
  <c r="Q392" i="6" s="1"/>
  <c r="P392" i="2"/>
  <c r="P392" i="6" s="1"/>
  <c r="O392" i="2"/>
  <c r="O392" i="6" s="1"/>
  <c r="R391" i="2"/>
  <c r="R391" i="6" s="1"/>
  <c r="Q391" i="2"/>
  <c r="Q391" i="6" s="1"/>
  <c r="P391" i="2"/>
  <c r="P391" i="6" s="1"/>
  <c r="O391" i="2"/>
  <c r="O391" i="6" s="1"/>
  <c r="R390" i="2"/>
  <c r="R390" i="6" s="1"/>
  <c r="Q390" i="2"/>
  <c r="Q390" i="6" s="1"/>
  <c r="P390" i="2"/>
  <c r="P390" i="6" s="1"/>
  <c r="O390" i="2"/>
  <c r="O390" i="6" s="1"/>
  <c r="R389" i="2"/>
  <c r="R389" i="6" s="1"/>
  <c r="Q389" i="2"/>
  <c r="Q389" i="6" s="1"/>
  <c r="P389" i="2"/>
  <c r="P389" i="6" s="1"/>
  <c r="O389" i="2"/>
  <c r="O389" i="6" s="1"/>
  <c r="R388" i="2"/>
  <c r="R388" i="6" s="1"/>
  <c r="Q388" i="2"/>
  <c r="Q388" i="6" s="1"/>
  <c r="P388" i="2"/>
  <c r="P388" i="6" s="1"/>
  <c r="O388" i="2"/>
  <c r="O388" i="6" s="1"/>
  <c r="R387" i="2"/>
  <c r="R387" i="6" s="1"/>
  <c r="Q387" i="2"/>
  <c r="Q387" i="6" s="1"/>
  <c r="P387" i="2"/>
  <c r="P387" i="6" s="1"/>
  <c r="O387" i="2"/>
  <c r="O387" i="6" s="1"/>
  <c r="R386" i="2"/>
  <c r="R386" i="6" s="1"/>
  <c r="Q386" i="2"/>
  <c r="Q386" i="6" s="1"/>
  <c r="P386" i="2"/>
  <c r="P386" i="6" s="1"/>
  <c r="O386" i="2"/>
  <c r="O386" i="6" s="1"/>
  <c r="R385" i="2"/>
  <c r="R385" i="6" s="1"/>
  <c r="Q385" i="2"/>
  <c r="Q385" i="6" s="1"/>
  <c r="P385" i="2"/>
  <c r="P385" i="6" s="1"/>
  <c r="O385" i="2"/>
  <c r="O385" i="6" s="1"/>
  <c r="R384" i="2"/>
  <c r="R384" i="6" s="1"/>
  <c r="Q384" i="2"/>
  <c r="Q384" i="6" s="1"/>
  <c r="P384" i="2"/>
  <c r="P384" i="6" s="1"/>
  <c r="O384" i="2"/>
  <c r="O384" i="6" s="1"/>
  <c r="R383" i="2"/>
  <c r="R383" i="6" s="1"/>
  <c r="Q383" i="2"/>
  <c r="Q383" i="6" s="1"/>
  <c r="P383" i="2"/>
  <c r="P383" i="6" s="1"/>
  <c r="O383" i="2"/>
  <c r="O383" i="6" s="1"/>
  <c r="R382" i="2"/>
  <c r="R382" i="6" s="1"/>
  <c r="Q382" i="2"/>
  <c r="Q382" i="6" s="1"/>
  <c r="P382" i="2"/>
  <c r="P382" i="6" s="1"/>
  <c r="O382" i="2"/>
  <c r="O382" i="6" s="1"/>
  <c r="R381" i="2"/>
  <c r="R381" i="6" s="1"/>
  <c r="Q381" i="2"/>
  <c r="Q381" i="6" s="1"/>
  <c r="P381" i="2"/>
  <c r="P381" i="6" s="1"/>
  <c r="O381" i="2"/>
  <c r="O381" i="6" s="1"/>
  <c r="R380" i="2"/>
  <c r="R380" i="6" s="1"/>
  <c r="Q380" i="2"/>
  <c r="Q380" i="6" s="1"/>
  <c r="P380" i="2"/>
  <c r="P380" i="6" s="1"/>
  <c r="O380" i="2"/>
  <c r="O380" i="6" s="1"/>
  <c r="R379" i="2"/>
  <c r="R379" i="6" s="1"/>
  <c r="Q379" i="2"/>
  <c r="Q379" i="6" s="1"/>
  <c r="P379" i="2"/>
  <c r="P379" i="6" s="1"/>
  <c r="O379" i="2"/>
  <c r="O379" i="6" s="1"/>
  <c r="R378" i="2"/>
  <c r="R378" i="6" s="1"/>
  <c r="Q378" i="2"/>
  <c r="Q378" i="6" s="1"/>
  <c r="P378" i="2"/>
  <c r="P378" i="6" s="1"/>
  <c r="O378" i="2"/>
  <c r="O378" i="6" s="1"/>
  <c r="R377" i="2"/>
  <c r="R377" i="6" s="1"/>
  <c r="Q377" i="2"/>
  <c r="Q377" i="6" s="1"/>
  <c r="P377" i="2"/>
  <c r="P377" i="6" s="1"/>
  <c r="O377" i="2"/>
  <c r="O377" i="6" s="1"/>
  <c r="R376" i="2"/>
  <c r="R376" i="6" s="1"/>
  <c r="Q376" i="2"/>
  <c r="Q376" i="6" s="1"/>
  <c r="P376" i="2"/>
  <c r="P376" i="6" s="1"/>
  <c r="O376" i="2"/>
  <c r="O376" i="6" s="1"/>
  <c r="R375" i="2"/>
  <c r="R375" i="6" s="1"/>
  <c r="Q375" i="2"/>
  <c r="Q375" i="6" s="1"/>
  <c r="P375" i="2"/>
  <c r="P375" i="6" s="1"/>
  <c r="O375" i="2"/>
  <c r="O375" i="6" s="1"/>
  <c r="R374" i="2"/>
  <c r="R374" i="6" s="1"/>
  <c r="Q374" i="2"/>
  <c r="Q374" i="6" s="1"/>
  <c r="P374" i="2"/>
  <c r="P374" i="6" s="1"/>
  <c r="O374" i="2"/>
  <c r="O374" i="6" s="1"/>
  <c r="R373" i="2"/>
  <c r="R373" i="6" s="1"/>
  <c r="Q373" i="2"/>
  <c r="Q373" i="6" s="1"/>
  <c r="P373" i="2"/>
  <c r="P373" i="6" s="1"/>
  <c r="O373" i="2"/>
  <c r="O373" i="6" s="1"/>
  <c r="R372" i="2"/>
  <c r="R372" i="6" s="1"/>
  <c r="Q372" i="2"/>
  <c r="Q372" i="6" s="1"/>
  <c r="P372" i="2"/>
  <c r="P372" i="6" s="1"/>
  <c r="O372" i="2"/>
  <c r="O372" i="6" s="1"/>
  <c r="R371" i="2"/>
  <c r="R371" i="6" s="1"/>
  <c r="Q371" i="2"/>
  <c r="Q371" i="6" s="1"/>
  <c r="P371" i="2"/>
  <c r="P371" i="6" s="1"/>
  <c r="O371" i="2"/>
  <c r="O371" i="6" s="1"/>
  <c r="R370" i="2"/>
  <c r="R370" i="6" s="1"/>
  <c r="Q370" i="2"/>
  <c r="Q370" i="6" s="1"/>
  <c r="P370" i="2"/>
  <c r="P370" i="6" s="1"/>
  <c r="O370" i="2"/>
  <c r="O370" i="6" s="1"/>
  <c r="R369" i="2"/>
  <c r="R369" i="6" s="1"/>
  <c r="Q369" i="2"/>
  <c r="Q369" i="6" s="1"/>
  <c r="P369" i="2"/>
  <c r="P369" i="6" s="1"/>
  <c r="O369" i="2"/>
  <c r="O369" i="6" s="1"/>
  <c r="R368" i="2"/>
  <c r="R368" i="6" s="1"/>
  <c r="Q368" i="2"/>
  <c r="Q368" i="6" s="1"/>
  <c r="P368" i="2"/>
  <c r="P368" i="6" s="1"/>
  <c r="O368" i="2"/>
  <c r="O368" i="6" s="1"/>
  <c r="R367" i="2"/>
  <c r="R367" i="6" s="1"/>
  <c r="Q367" i="2"/>
  <c r="Q367" i="6" s="1"/>
  <c r="P367" i="2"/>
  <c r="P367" i="6" s="1"/>
  <c r="O367" i="2"/>
  <c r="O367" i="6" s="1"/>
  <c r="R366" i="2"/>
  <c r="R366" i="6" s="1"/>
  <c r="Q366" i="2"/>
  <c r="Q366" i="6" s="1"/>
  <c r="P366" i="2"/>
  <c r="P366" i="6" s="1"/>
  <c r="O366" i="2"/>
  <c r="O366" i="6" s="1"/>
  <c r="R365" i="2"/>
  <c r="R365" i="6" s="1"/>
  <c r="Q365" i="2"/>
  <c r="Q365" i="6" s="1"/>
  <c r="P365" i="2"/>
  <c r="P365" i="6" s="1"/>
  <c r="O365" i="2"/>
  <c r="O365" i="6" s="1"/>
  <c r="R364" i="2"/>
  <c r="R364" i="6" s="1"/>
  <c r="Q364" i="2"/>
  <c r="Q364" i="6" s="1"/>
  <c r="P364" i="2"/>
  <c r="P364" i="6" s="1"/>
  <c r="O364" i="2"/>
  <c r="O364" i="6" s="1"/>
  <c r="R363" i="2"/>
  <c r="R363" i="6" s="1"/>
  <c r="Q363" i="2"/>
  <c r="Q363" i="6" s="1"/>
  <c r="P363" i="2"/>
  <c r="P363" i="6" s="1"/>
  <c r="O363" i="2"/>
  <c r="O363" i="6" s="1"/>
  <c r="R362" i="2"/>
  <c r="R362" i="6" s="1"/>
  <c r="Q362" i="2"/>
  <c r="Q362" i="6" s="1"/>
  <c r="P362" i="2"/>
  <c r="P362" i="6" s="1"/>
  <c r="O362" i="2"/>
  <c r="O362" i="6" s="1"/>
  <c r="R361" i="2"/>
  <c r="R361" i="6" s="1"/>
  <c r="Q361" i="2"/>
  <c r="Q361" i="6" s="1"/>
  <c r="P361" i="2"/>
  <c r="P361" i="6" s="1"/>
  <c r="O361" i="2"/>
  <c r="O361" i="6" s="1"/>
  <c r="R360" i="2"/>
  <c r="R360" i="6" s="1"/>
  <c r="Q360" i="6"/>
  <c r="P360" i="6"/>
  <c r="O360" i="6"/>
  <c r="R359" i="2"/>
  <c r="R359" i="6" s="1"/>
  <c r="Q359" i="6"/>
  <c r="P359" i="6"/>
  <c r="O359" i="6"/>
  <c r="R358" i="2"/>
  <c r="R358" i="6" s="1"/>
  <c r="Q358" i="6"/>
  <c r="P358" i="6"/>
  <c r="O358" i="6"/>
  <c r="R357" i="2"/>
  <c r="R357" i="6" s="1"/>
  <c r="Q357" i="6"/>
  <c r="P357" i="6"/>
  <c r="O357" i="6"/>
  <c r="R356" i="2"/>
  <c r="R356" i="6" s="1"/>
  <c r="Q356" i="2"/>
  <c r="Q356" i="6" s="1"/>
  <c r="P356" i="2"/>
  <c r="P356" i="6" s="1"/>
  <c r="O356" i="2"/>
  <c r="O356" i="6" s="1"/>
  <c r="R355" i="2"/>
  <c r="R355" i="6" s="1"/>
  <c r="Q355" i="2"/>
  <c r="Q355" i="6" s="1"/>
  <c r="P355" i="2"/>
  <c r="P355" i="6" s="1"/>
  <c r="O355" i="2"/>
  <c r="O355" i="6" s="1"/>
  <c r="R354" i="2"/>
  <c r="R354" i="6" s="1"/>
  <c r="Q354" i="2"/>
  <c r="Q354" i="6" s="1"/>
  <c r="P354" i="2"/>
  <c r="P354" i="6" s="1"/>
  <c r="O354" i="2"/>
  <c r="O354" i="6" s="1"/>
  <c r="R353" i="2"/>
  <c r="R353" i="6" s="1"/>
  <c r="Q353" i="2"/>
  <c r="Q353" i="6" s="1"/>
  <c r="P353" i="2"/>
  <c r="P353" i="6" s="1"/>
  <c r="O353" i="2"/>
  <c r="O353" i="6" s="1"/>
  <c r="R352" i="2"/>
  <c r="R352" i="6" s="1"/>
  <c r="Q352" i="2"/>
  <c r="Q352" i="6" s="1"/>
  <c r="P352" i="2"/>
  <c r="P352" i="6" s="1"/>
  <c r="O352" i="2"/>
  <c r="O352" i="6" s="1"/>
  <c r="R351" i="2"/>
  <c r="R351" i="6" s="1"/>
  <c r="Q351" i="2"/>
  <c r="Q351" i="6" s="1"/>
  <c r="P351" i="2"/>
  <c r="P351" i="6" s="1"/>
  <c r="O351" i="2"/>
  <c r="O351" i="6" s="1"/>
  <c r="R350" i="2"/>
  <c r="R350" i="6" s="1"/>
  <c r="Q350" i="2"/>
  <c r="Q350" i="6" s="1"/>
  <c r="P350" i="2"/>
  <c r="P350" i="6" s="1"/>
  <c r="O350" i="2"/>
  <c r="O350" i="6" s="1"/>
  <c r="R349" i="2"/>
  <c r="R349" i="6" s="1"/>
  <c r="Q349" i="2"/>
  <c r="Q349" i="6" s="1"/>
  <c r="P349" i="2"/>
  <c r="P349" i="6" s="1"/>
  <c r="O349" i="2"/>
  <c r="O349" i="6" s="1"/>
  <c r="R348" i="2"/>
  <c r="R348" i="6" s="1"/>
  <c r="Q348" i="2"/>
  <c r="Q348" i="6" s="1"/>
  <c r="P348" i="2"/>
  <c r="P348" i="6" s="1"/>
  <c r="O348" i="2"/>
  <c r="O348" i="6" s="1"/>
  <c r="R347" i="2"/>
  <c r="R347" i="6" s="1"/>
  <c r="Q347" i="2"/>
  <c r="Q347" i="6" s="1"/>
  <c r="P347" i="2"/>
  <c r="P347" i="6" s="1"/>
  <c r="O347" i="2"/>
  <c r="O347" i="6" s="1"/>
  <c r="R346" i="2"/>
  <c r="R346" i="6" s="1"/>
  <c r="Q346" i="2"/>
  <c r="Q346" i="6" s="1"/>
  <c r="P346" i="2"/>
  <c r="P346" i="6" s="1"/>
  <c r="O346" i="2"/>
  <c r="O346" i="6" s="1"/>
  <c r="R345" i="2"/>
  <c r="R345" i="6" s="1"/>
  <c r="Q345" i="2"/>
  <c r="Q345" i="6" s="1"/>
  <c r="P345" i="2"/>
  <c r="P345" i="6" s="1"/>
  <c r="O345" i="2"/>
  <c r="O345" i="6" s="1"/>
  <c r="R344" i="2"/>
  <c r="R344" i="6" s="1"/>
  <c r="Q344" i="2"/>
  <c r="Q344" i="6" s="1"/>
  <c r="P344" i="2"/>
  <c r="P344" i="6" s="1"/>
  <c r="O344" i="2"/>
  <c r="O344" i="6" s="1"/>
  <c r="R343" i="2"/>
  <c r="R343" i="6" s="1"/>
  <c r="Q343" i="2"/>
  <c r="Q343" i="6" s="1"/>
  <c r="P343" i="2"/>
  <c r="P343" i="6" s="1"/>
  <c r="O343" i="2"/>
  <c r="O343" i="6" s="1"/>
  <c r="R342" i="2"/>
  <c r="R342" i="6" s="1"/>
  <c r="Q342" i="2"/>
  <c r="Q342" i="6" s="1"/>
  <c r="P342" i="2"/>
  <c r="P342" i="6" s="1"/>
  <c r="O342" i="2"/>
  <c r="O342" i="6" s="1"/>
  <c r="R341" i="2"/>
  <c r="R341" i="6" s="1"/>
  <c r="Q341" i="2"/>
  <c r="Q341" i="6" s="1"/>
  <c r="P341" i="2"/>
  <c r="P341" i="6" s="1"/>
  <c r="O341" i="2"/>
  <c r="O341" i="6" s="1"/>
  <c r="R340" i="2"/>
  <c r="R340" i="6" s="1"/>
  <c r="Q340" i="2"/>
  <c r="Q340" i="6" s="1"/>
  <c r="P340" i="2"/>
  <c r="P340" i="6" s="1"/>
  <c r="O340" i="2"/>
  <c r="O340" i="6" s="1"/>
  <c r="R339" i="2"/>
  <c r="R339" i="6" s="1"/>
  <c r="Q339" i="2"/>
  <c r="Q339" i="6" s="1"/>
  <c r="P339" i="2"/>
  <c r="P339" i="6" s="1"/>
  <c r="O339" i="2"/>
  <c r="O339" i="6" s="1"/>
  <c r="R338" i="2"/>
  <c r="R338" i="6" s="1"/>
  <c r="Q338" i="2"/>
  <c r="Q338" i="6" s="1"/>
  <c r="P338" i="2"/>
  <c r="P338" i="6" s="1"/>
  <c r="O338" i="2"/>
  <c r="O338" i="6" s="1"/>
  <c r="R337" i="2"/>
  <c r="R337" i="6" s="1"/>
  <c r="Q337" i="2"/>
  <c r="Q337" i="6" s="1"/>
  <c r="P337" i="2"/>
  <c r="P337" i="6" s="1"/>
  <c r="O337" i="2"/>
  <c r="O337" i="6" s="1"/>
  <c r="R336" i="2"/>
  <c r="R336" i="6" s="1"/>
  <c r="Q336" i="2"/>
  <c r="Q336" i="6" s="1"/>
  <c r="P336" i="2"/>
  <c r="P336" i="6" s="1"/>
  <c r="O336" i="2"/>
  <c r="O336" i="6" s="1"/>
  <c r="R335" i="2"/>
  <c r="R335" i="6" s="1"/>
  <c r="Q335" i="2"/>
  <c r="Q335" i="6" s="1"/>
  <c r="P335" i="2"/>
  <c r="P335" i="6" s="1"/>
  <c r="O335" i="2"/>
  <c r="O335" i="6" s="1"/>
  <c r="R334" i="2"/>
  <c r="R334" i="6" s="1"/>
  <c r="Q334" i="2"/>
  <c r="Q334" i="6" s="1"/>
  <c r="P334" i="2"/>
  <c r="P334" i="6" s="1"/>
  <c r="O334" i="2"/>
  <c r="O334" i="6" s="1"/>
  <c r="R333" i="2"/>
  <c r="R333" i="6" s="1"/>
  <c r="Q333" i="2"/>
  <c r="Q333" i="6" s="1"/>
  <c r="P333" i="2"/>
  <c r="P333" i="6" s="1"/>
  <c r="O333" i="2"/>
  <c r="O333" i="6" s="1"/>
  <c r="R332" i="2"/>
  <c r="R332" i="6" s="1"/>
  <c r="Q332" i="2"/>
  <c r="Q332" i="6" s="1"/>
  <c r="P332" i="2"/>
  <c r="P332" i="6" s="1"/>
  <c r="O332" i="2"/>
  <c r="O332" i="6" s="1"/>
  <c r="R331" i="2"/>
  <c r="R331" i="6" s="1"/>
  <c r="Q331" i="2"/>
  <c r="Q331" i="6" s="1"/>
  <c r="P331" i="2"/>
  <c r="P331" i="6" s="1"/>
  <c r="O331" i="2"/>
  <c r="O331" i="6" s="1"/>
  <c r="R330" i="2"/>
  <c r="R330" i="6" s="1"/>
  <c r="Q330" i="2"/>
  <c r="Q330" i="6" s="1"/>
  <c r="P330" i="2"/>
  <c r="P330" i="6" s="1"/>
  <c r="O330" i="2"/>
  <c r="O330" i="6" s="1"/>
  <c r="R329" i="2"/>
  <c r="R329" i="6" s="1"/>
  <c r="Q329" i="2"/>
  <c r="Q329" i="6" s="1"/>
  <c r="P329" i="2"/>
  <c r="P329" i="6" s="1"/>
  <c r="O329" i="2"/>
  <c r="O329" i="6" s="1"/>
  <c r="R328" i="2"/>
  <c r="R328" i="6" s="1"/>
  <c r="Q328" i="2"/>
  <c r="Q328" i="6" s="1"/>
  <c r="P328" i="2"/>
  <c r="P328" i="6" s="1"/>
  <c r="O328" i="2"/>
  <c r="O328" i="6" s="1"/>
  <c r="R327" i="2"/>
  <c r="R327" i="6" s="1"/>
  <c r="Q327" i="2"/>
  <c r="Q327" i="6" s="1"/>
  <c r="P327" i="2"/>
  <c r="P327" i="6" s="1"/>
  <c r="O327" i="2"/>
  <c r="O327" i="6" s="1"/>
  <c r="R326" i="2"/>
  <c r="R326" i="6" s="1"/>
  <c r="Q326" i="2"/>
  <c r="Q326" i="6" s="1"/>
  <c r="P326" i="2"/>
  <c r="P326" i="6" s="1"/>
  <c r="O326" i="2"/>
  <c r="O326" i="6" s="1"/>
  <c r="R325" i="2"/>
  <c r="R325" i="6" s="1"/>
  <c r="Q325" i="2"/>
  <c r="Q325" i="6" s="1"/>
  <c r="P325" i="2"/>
  <c r="P325" i="6" s="1"/>
  <c r="O325" i="2"/>
  <c r="O325" i="6" s="1"/>
  <c r="R324" i="2"/>
  <c r="R324" i="6" s="1"/>
  <c r="Q324" i="2"/>
  <c r="Q324" i="6" s="1"/>
  <c r="P324" i="2"/>
  <c r="P324" i="6" s="1"/>
  <c r="O324" i="2"/>
  <c r="O324" i="6" s="1"/>
  <c r="R323" i="2"/>
  <c r="R323" i="6" s="1"/>
  <c r="Q323" i="2"/>
  <c r="Q323" i="6" s="1"/>
  <c r="P323" i="2"/>
  <c r="P323" i="6" s="1"/>
  <c r="O323" i="2"/>
  <c r="O323" i="6" s="1"/>
  <c r="R322" i="2"/>
  <c r="R322" i="6" s="1"/>
  <c r="Q322" i="2"/>
  <c r="Q322" i="6" s="1"/>
  <c r="P322" i="2"/>
  <c r="P322" i="6" s="1"/>
  <c r="O322" i="2"/>
  <c r="O322" i="6" s="1"/>
  <c r="R321" i="2"/>
  <c r="R321" i="6" s="1"/>
  <c r="Q321" i="2"/>
  <c r="Q321" i="6" s="1"/>
  <c r="P321" i="2"/>
  <c r="P321" i="6" s="1"/>
  <c r="O321" i="2"/>
  <c r="O321" i="6" s="1"/>
  <c r="R320" i="2"/>
  <c r="R320" i="6" s="1"/>
  <c r="Q320" i="2"/>
  <c r="Q320" i="6" s="1"/>
  <c r="P320" i="2"/>
  <c r="P320" i="6" s="1"/>
  <c r="O320" i="2"/>
  <c r="O320" i="6" s="1"/>
  <c r="R319" i="2"/>
  <c r="R319" i="6" s="1"/>
  <c r="Q319" i="2"/>
  <c r="Q319" i="6" s="1"/>
  <c r="P319" i="2"/>
  <c r="P319" i="6" s="1"/>
  <c r="O319" i="2"/>
  <c r="O319" i="6" s="1"/>
  <c r="R318" i="2"/>
  <c r="R318" i="6" s="1"/>
  <c r="Q318" i="2"/>
  <c r="Q318" i="6" s="1"/>
  <c r="P318" i="2"/>
  <c r="P318" i="6" s="1"/>
  <c r="O318" i="2"/>
  <c r="O318" i="6" s="1"/>
  <c r="R317" i="2"/>
  <c r="R317" i="6" s="1"/>
  <c r="Q317" i="2"/>
  <c r="Q317" i="6" s="1"/>
  <c r="P317" i="2"/>
  <c r="P317" i="6" s="1"/>
  <c r="O317" i="2"/>
  <c r="O317" i="6" s="1"/>
  <c r="R316" i="2"/>
  <c r="R316" i="6" s="1"/>
  <c r="Q316" i="2"/>
  <c r="Q316" i="6" s="1"/>
  <c r="P316" i="2"/>
  <c r="P316" i="6" s="1"/>
  <c r="O316" i="2"/>
  <c r="O316" i="6" s="1"/>
  <c r="R315" i="2"/>
  <c r="R315" i="6" s="1"/>
  <c r="Q315" i="2"/>
  <c r="Q315" i="6" s="1"/>
  <c r="P315" i="2"/>
  <c r="P315" i="6" s="1"/>
  <c r="O315" i="2"/>
  <c r="O315" i="6" s="1"/>
  <c r="R314" i="2"/>
  <c r="R314" i="6" s="1"/>
  <c r="Q314" i="2"/>
  <c r="Q314" i="6" s="1"/>
  <c r="P314" i="2"/>
  <c r="P314" i="6" s="1"/>
  <c r="O314" i="2"/>
  <c r="O314" i="6" s="1"/>
  <c r="R313" i="2"/>
  <c r="R313" i="6" s="1"/>
  <c r="Q313" i="2"/>
  <c r="Q313" i="6" s="1"/>
  <c r="P313" i="2"/>
  <c r="P313" i="6" s="1"/>
  <c r="O313" i="2"/>
  <c r="O313" i="6" s="1"/>
  <c r="R312" i="2"/>
  <c r="R312" i="6" s="1"/>
  <c r="Q312" i="2"/>
  <c r="Q312" i="6" s="1"/>
  <c r="P312" i="2"/>
  <c r="P312" i="6" s="1"/>
  <c r="O312" i="2"/>
  <c r="O312" i="6" s="1"/>
  <c r="R311" i="2"/>
  <c r="R311" i="6" s="1"/>
  <c r="Q311" i="2"/>
  <c r="Q311" i="6" s="1"/>
  <c r="P311" i="2"/>
  <c r="P311" i="6" s="1"/>
  <c r="O311" i="2"/>
  <c r="O311" i="6" s="1"/>
  <c r="R310" i="2"/>
  <c r="R310" i="6" s="1"/>
  <c r="Q310" i="2"/>
  <c r="Q310" i="6" s="1"/>
  <c r="P310" i="2"/>
  <c r="P310" i="6" s="1"/>
  <c r="O310" i="2"/>
  <c r="O310" i="6" s="1"/>
  <c r="R309" i="2"/>
  <c r="R309" i="6" s="1"/>
  <c r="Q309" i="2"/>
  <c r="Q309" i="6" s="1"/>
  <c r="P309" i="2"/>
  <c r="P309" i="6" s="1"/>
  <c r="O309" i="2"/>
  <c r="O309" i="6" s="1"/>
  <c r="R308" i="2"/>
  <c r="R308" i="6" s="1"/>
  <c r="Q308" i="2"/>
  <c r="Q308" i="6" s="1"/>
  <c r="P308" i="2"/>
  <c r="P308" i="6" s="1"/>
  <c r="O308" i="2"/>
  <c r="O308" i="6" s="1"/>
  <c r="R307" i="2"/>
  <c r="R307" i="6" s="1"/>
  <c r="Q307" i="2"/>
  <c r="Q307" i="6" s="1"/>
  <c r="P307" i="2"/>
  <c r="P307" i="6" s="1"/>
  <c r="O307" i="2"/>
  <c r="O307" i="6" s="1"/>
  <c r="R306" i="2"/>
  <c r="R306" i="6" s="1"/>
  <c r="Q306" i="2"/>
  <c r="Q306" i="6" s="1"/>
  <c r="P306" i="2"/>
  <c r="P306" i="6" s="1"/>
  <c r="O306" i="2"/>
  <c r="O306" i="6" s="1"/>
  <c r="R305" i="2"/>
  <c r="R305" i="6" s="1"/>
  <c r="Q305" i="2"/>
  <c r="Q305" i="6" s="1"/>
  <c r="P305" i="2"/>
  <c r="P305" i="6" s="1"/>
  <c r="O305" i="2"/>
  <c r="O305" i="6" s="1"/>
  <c r="R304" i="2"/>
  <c r="R304" i="6" s="1"/>
  <c r="Q304" i="2"/>
  <c r="Q304" i="6" s="1"/>
  <c r="P304" i="2"/>
  <c r="P304" i="6" s="1"/>
  <c r="O304" i="2"/>
  <c r="O304" i="6" s="1"/>
  <c r="R303" i="2"/>
  <c r="R303" i="6" s="1"/>
  <c r="Q303" i="2"/>
  <c r="Q303" i="6" s="1"/>
  <c r="P303" i="2"/>
  <c r="P303" i="6" s="1"/>
  <c r="O303" i="2"/>
  <c r="O303" i="6" s="1"/>
  <c r="R302" i="2"/>
  <c r="R302" i="6" s="1"/>
  <c r="Q302" i="2"/>
  <c r="Q302" i="6" s="1"/>
  <c r="P302" i="2"/>
  <c r="P302" i="6" s="1"/>
  <c r="O302" i="2"/>
  <c r="O302" i="6" s="1"/>
  <c r="R301" i="2"/>
  <c r="R301" i="6" s="1"/>
  <c r="Q301" i="2"/>
  <c r="Q301" i="6" s="1"/>
  <c r="P301" i="2"/>
  <c r="P301" i="6" s="1"/>
  <c r="O301" i="2"/>
  <c r="O301" i="6" s="1"/>
  <c r="R300" i="2"/>
  <c r="R300" i="6" s="1"/>
  <c r="Q300" i="2"/>
  <c r="Q300" i="6" s="1"/>
  <c r="P300" i="2"/>
  <c r="P300" i="6" s="1"/>
  <c r="O300" i="2"/>
  <c r="O300" i="6" s="1"/>
  <c r="R299" i="2"/>
  <c r="R299" i="6" s="1"/>
  <c r="Q299" i="2"/>
  <c r="Q299" i="6" s="1"/>
  <c r="P299" i="2"/>
  <c r="P299" i="6" s="1"/>
  <c r="O299" i="2"/>
  <c r="O299" i="6" s="1"/>
  <c r="R298" i="2"/>
  <c r="R298" i="6" s="1"/>
  <c r="Q298" i="2"/>
  <c r="Q298" i="6" s="1"/>
  <c r="P298" i="2"/>
  <c r="P298" i="6" s="1"/>
  <c r="O298" i="2"/>
  <c r="O298" i="6" s="1"/>
  <c r="R297" i="2"/>
  <c r="R297" i="6" s="1"/>
  <c r="Q297" i="2"/>
  <c r="Q297" i="6" s="1"/>
  <c r="P297" i="2"/>
  <c r="P297" i="6" s="1"/>
  <c r="O297" i="2"/>
  <c r="O297" i="6" s="1"/>
  <c r="R296" i="2"/>
  <c r="R296" i="6" s="1"/>
  <c r="Q296" i="2"/>
  <c r="Q296" i="6" s="1"/>
  <c r="P296" i="2"/>
  <c r="P296" i="6" s="1"/>
  <c r="O296" i="2"/>
  <c r="O296" i="6" s="1"/>
  <c r="R295" i="2"/>
  <c r="R295" i="6" s="1"/>
  <c r="Q295" i="2"/>
  <c r="Q295" i="6" s="1"/>
  <c r="P295" i="2"/>
  <c r="P295" i="6" s="1"/>
  <c r="O295" i="2"/>
  <c r="O295" i="6" s="1"/>
  <c r="R294" i="2"/>
  <c r="R294" i="6" s="1"/>
  <c r="Q294" i="2"/>
  <c r="Q294" i="6" s="1"/>
  <c r="P294" i="2"/>
  <c r="P294" i="6" s="1"/>
  <c r="O294" i="2"/>
  <c r="O294" i="6" s="1"/>
  <c r="R293" i="2"/>
  <c r="R293" i="6" s="1"/>
  <c r="Q293" i="2"/>
  <c r="Q293" i="6" s="1"/>
  <c r="P293" i="2"/>
  <c r="P293" i="6" s="1"/>
  <c r="O293" i="2"/>
  <c r="O293" i="6" s="1"/>
  <c r="R292" i="2"/>
  <c r="R292" i="6" s="1"/>
  <c r="Q292" i="2"/>
  <c r="Q292" i="6" s="1"/>
  <c r="P292" i="2"/>
  <c r="P292" i="6" s="1"/>
  <c r="O292" i="2"/>
  <c r="O292" i="6" s="1"/>
  <c r="R291" i="2"/>
  <c r="R291" i="6" s="1"/>
  <c r="Q291" i="2"/>
  <c r="Q291" i="6" s="1"/>
  <c r="P291" i="2"/>
  <c r="P291" i="6" s="1"/>
  <c r="O291" i="2"/>
  <c r="O291" i="6" s="1"/>
  <c r="R290" i="2"/>
  <c r="R290" i="6" s="1"/>
  <c r="Q290" i="2"/>
  <c r="Q290" i="6" s="1"/>
  <c r="P290" i="2"/>
  <c r="P290" i="6" s="1"/>
  <c r="O290" i="2"/>
  <c r="O290" i="6" s="1"/>
  <c r="R289" i="2"/>
  <c r="R289" i="6" s="1"/>
  <c r="Q289" i="2"/>
  <c r="Q289" i="6" s="1"/>
  <c r="P289" i="2"/>
  <c r="P289" i="6" s="1"/>
  <c r="O289" i="2"/>
  <c r="O289" i="6" s="1"/>
  <c r="R288" i="2"/>
  <c r="R288" i="6" s="1"/>
  <c r="Q288" i="2"/>
  <c r="Q288" i="6" s="1"/>
  <c r="P288" i="2"/>
  <c r="P288" i="6" s="1"/>
  <c r="O288" i="2"/>
  <c r="O288" i="6" s="1"/>
  <c r="R287" i="2"/>
  <c r="R287" i="6" s="1"/>
  <c r="Q287" i="2"/>
  <c r="Q287" i="6" s="1"/>
  <c r="P287" i="2"/>
  <c r="P287" i="6" s="1"/>
  <c r="O287" i="2"/>
  <c r="O287" i="6" s="1"/>
  <c r="R286" i="2"/>
  <c r="R286" i="6" s="1"/>
  <c r="Q286" i="2"/>
  <c r="Q286" i="6" s="1"/>
  <c r="P286" i="2"/>
  <c r="P286" i="6" s="1"/>
  <c r="O286" i="2"/>
  <c r="O286" i="6" s="1"/>
  <c r="R285" i="2"/>
  <c r="R285" i="6" s="1"/>
  <c r="Q285" i="2"/>
  <c r="Q285" i="6" s="1"/>
  <c r="P285" i="2"/>
  <c r="P285" i="6" s="1"/>
  <c r="O285" i="2"/>
  <c r="O285" i="6" s="1"/>
  <c r="R284" i="2"/>
  <c r="R284" i="6" s="1"/>
  <c r="Q284" i="2"/>
  <c r="Q284" i="6" s="1"/>
  <c r="P284" i="2"/>
  <c r="P284" i="6" s="1"/>
  <c r="O284" i="2"/>
  <c r="O284" i="6" s="1"/>
  <c r="R283" i="2"/>
  <c r="R283" i="6" s="1"/>
  <c r="Q283" i="2"/>
  <c r="Q283" i="6" s="1"/>
  <c r="P283" i="2"/>
  <c r="P283" i="6" s="1"/>
  <c r="O283" i="2"/>
  <c r="O283" i="6" s="1"/>
  <c r="R282" i="2"/>
  <c r="R282" i="6" s="1"/>
  <c r="Q282" i="2"/>
  <c r="Q282" i="6" s="1"/>
  <c r="P282" i="2"/>
  <c r="P282" i="6" s="1"/>
  <c r="O282" i="2"/>
  <c r="O282" i="6" s="1"/>
  <c r="R281" i="2"/>
  <c r="R281" i="6" s="1"/>
  <c r="Q281" i="2"/>
  <c r="Q281" i="6" s="1"/>
  <c r="P281" i="2"/>
  <c r="P281" i="6" s="1"/>
  <c r="O281" i="2"/>
  <c r="O281" i="6" s="1"/>
  <c r="R280" i="2"/>
  <c r="R280" i="6" s="1"/>
  <c r="Q280" i="2"/>
  <c r="Q280" i="6" s="1"/>
  <c r="P280" i="2"/>
  <c r="P280" i="6" s="1"/>
  <c r="O280" i="2"/>
  <c r="O280" i="6" s="1"/>
  <c r="R279" i="2"/>
  <c r="R279" i="6" s="1"/>
  <c r="Q279" i="2"/>
  <c r="Q279" i="6" s="1"/>
  <c r="P279" i="2"/>
  <c r="P279" i="6" s="1"/>
  <c r="O279" i="2"/>
  <c r="O279" i="6" s="1"/>
  <c r="R278" i="2"/>
  <c r="R278" i="6" s="1"/>
  <c r="Q278" i="2"/>
  <c r="Q278" i="6" s="1"/>
  <c r="P278" i="2"/>
  <c r="P278" i="6" s="1"/>
  <c r="O278" i="2"/>
  <c r="O278" i="6" s="1"/>
  <c r="R277" i="2"/>
  <c r="R277" i="6" s="1"/>
  <c r="Q277" i="2"/>
  <c r="Q277" i="6" s="1"/>
  <c r="P277" i="2"/>
  <c r="P277" i="6" s="1"/>
  <c r="O277" i="2"/>
  <c r="O277" i="6" s="1"/>
  <c r="R276" i="2"/>
  <c r="R276" i="6" s="1"/>
  <c r="Q276" i="2"/>
  <c r="Q276" i="6" s="1"/>
  <c r="P276" i="2"/>
  <c r="P276" i="6" s="1"/>
  <c r="O276" i="2"/>
  <c r="O276" i="6" s="1"/>
  <c r="R275" i="2"/>
  <c r="R275" i="6" s="1"/>
  <c r="Q275" i="2"/>
  <c r="Q275" i="6" s="1"/>
  <c r="P275" i="2"/>
  <c r="P275" i="6" s="1"/>
  <c r="O275" i="2"/>
  <c r="O275" i="6" s="1"/>
  <c r="R274" i="2"/>
  <c r="R274" i="6" s="1"/>
  <c r="Q274" i="2"/>
  <c r="Q274" i="6" s="1"/>
  <c r="P274" i="2"/>
  <c r="P274" i="6" s="1"/>
  <c r="O274" i="2"/>
  <c r="O274" i="6" s="1"/>
  <c r="R273" i="2"/>
  <c r="R273" i="6" s="1"/>
  <c r="Q273" i="2"/>
  <c r="Q273" i="6" s="1"/>
  <c r="P273" i="2"/>
  <c r="P273" i="6" s="1"/>
  <c r="O273" i="2"/>
  <c r="O273" i="6" s="1"/>
  <c r="R272" i="2"/>
  <c r="R272" i="6" s="1"/>
  <c r="Q272" i="2"/>
  <c r="Q272" i="6" s="1"/>
  <c r="P272" i="2"/>
  <c r="P272" i="6" s="1"/>
  <c r="O272" i="2"/>
  <c r="O272" i="6" s="1"/>
  <c r="R271" i="2"/>
  <c r="R271" i="6" s="1"/>
  <c r="Q271" i="2"/>
  <c r="Q271" i="6" s="1"/>
  <c r="P271" i="2"/>
  <c r="P271" i="6" s="1"/>
  <c r="O271" i="2"/>
  <c r="O271" i="6" s="1"/>
  <c r="R270" i="2"/>
  <c r="R270" i="6" s="1"/>
  <c r="Q270" i="2"/>
  <c r="Q270" i="6" s="1"/>
  <c r="P270" i="2"/>
  <c r="P270" i="6" s="1"/>
  <c r="O270" i="2"/>
  <c r="O270" i="6" s="1"/>
  <c r="R269" i="2"/>
  <c r="R269" i="6" s="1"/>
  <c r="Q269" i="2"/>
  <c r="Q269" i="6" s="1"/>
  <c r="P269" i="2"/>
  <c r="P269" i="6" s="1"/>
  <c r="O269" i="2"/>
  <c r="O269" i="6" s="1"/>
  <c r="R268" i="2"/>
  <c r="R268" i="6" s="1"/>
  <c r="Q268" i="2"/>
  <c r="Q268" i="6" s="1"/>
  <c r="P268" i="2"/>
  <c r="P268" i="6" s="1"/>
  <c r="O268" i="2"/>
  <c r="O268" i="6" s="1"/>
  <c r="R267" i="2"/>
  <c r="R267" i="6" s="1"/>
  <c r="Q267" i="2"/>
  <c r="Q267" i="6" s="1"/>
  <c r="P267" i="2"/>
  <c r="P267" i="6" s="1"/>
  <c r="O267" i="2"/>
  <c r="O267" i="6" s="1"/>
  <c r="R266" i="2"/>
  <c r="R266" i="6" s="1"/>
  <c r="Q266" i="2"/>
  <c r="Q266" i="6" s="1"/>
  <c r="P266" i="2"/>
  <c r="P266" i="6" s="1"/>
  <c r="O266" i="2"/>
  <c r="O266" i="6" s="1"/>
  <c r="R265" i="2"/>
  <c r="R265" i="6" s="1"/>
  <c r="Q265" i="2"/>
  <c r="Q265" i="6" s="1"/>
  <c r="P265" i="2"/>
  <c r="P265" i="6" s="1"/>
  <c r="O265" i="2"/>
  <c r="O265" i="6" s="1"/>
  <c r="R264" i="2"/>
  <c r="R264" i="6" s="1"/>
  <c r="Q264" i="2"/>
  <c r="Q264" i="6" s="1"/>
  <c r="P264" i="2"/>
  <c r="P264" i="6" s="1"/>
  <c r="O264" i="2"/>
  <c r="O264" i="6" s="1"/>
  <c r="R263" i="2"/>
  <c r="R263" i="6" s="1"/>
  <c r="Q263" i="2"/>
  <c r="Q263" i="6" s="1"/>
  <c r="P263" i="2"/>
  <c r="P263" i="6" s="1"/>
  <c r="O263" i="2"/>
  <c r="O263" i="6" s="1"/>
  <c r="R262" i="2"/>
  <c r="R262" i="6" s="1"/>
  <c r="Q262" i="2"/>
  <c r="Q262" i="6" s="1"/>
  <c r="P262" i="2"/>
  <c r="P262" i="6" s="1"/>
  <c r="O262" i="2"/>
  <c r="O262" i="6" s="1"/>
  <c r="R261" i="2"/>
  <c r="R261" i="6" s="1"/>
  <c r="Q261" i="2"/>
  <c r="Q261" i="6" s="1"/>
  <c r="P261" i="2"/>
  <c r="P261" i="6" s="1"/>
  <c r="O261" i="2"/>
  <c r="O261" i="6" s="1"/>
  <c r="R260" i="2"/>
  <c r="R260" i="6" s="1"/>
  <c r="Q260" i="2"/>
  <c r="Q260" i="6" s="1"/>
  <c r="P260" i="2"/>
  <c r="P260" i="6" s="1"/>
  <c r="O260" i="2"/>
  <c r="O260" i="6" s="1"/>
  <c r="R259" i="2"/>
  <c r="R259" i="6" s="1"/>
  <c r="Q259" i="2"/>
  <c r="Q259" i="6" s="1"/>
  <c r="P259" i="2"/>
  <c r="P259" i="6" s="1"/>
  <c r="O259" i="2"/>
  <c r="O259" i="6" s="1"/>
  <c r="R258" i="2"/>
  <c r="R258" i="6" s="1"/>
  <c r="Q258" i="2"/>
  <c r="Q258" i="6" s="1"/>
  <c r="P258" i="2"/>
  <c r="P258" i="6" s="1"/>
  <c r="O258" i="2"/>
  <c r="O258" i="6" s="1"/>
  <c r="R257" i="2"/>
  <c r="R257" i="6" s="1"/>
  <c r="Q257" i="2"/>
  <c r="Q257" i="6" s="1"/>
  <c r="P257" i="2"/>
  <c r="P257" i="6" s="1"/>
  <c r="O257" i="2"/>
  <c r="O257" i="6" s="1"/>
  <c r="R256" i="2"/>
  <c r="R256" i="6" s="1"/>
  <c r="Q256" i="6"/>
  <c r="P256" i="6"/>
  <c r="O256" i="6"/>
  <c r="R255" i="2"/>
  <c r="R255" i="6" s="1"/>
  <c r="Q255" i="6"/>
  <c r="P255" i="6"/>
  <c r="O255" i="6"/>
  <c r="R254" i="2"/>
  <c r="R254" i="6" s="1"/>
  <c r="Q254" i="6"/>
  <c r="P254" i="6"/>
  <c r="O254" i="6"/>
  <c r="R253" i="2"/>
  <c r="R253" i="6" s="1"/>
  <c r="Q253" i="6"/>
  <c r="P253" i="6"/>
  <c r="O253" i="6"/>
  <c r="R252" i="2"/>
  <c r="R252" i="6" s="1"/>
  <c r="Q252" i="6"/>
  <c r="P252" i="6"/>
  <c r="O252" i="6"/>
  <c r="R251" i="2"/>
  <c r="R251" i="6" s="1"/>
  <c r="Q251" i="6"/>
  <c r="P251" i="6"/>
  <c r="O251" i="6"/>
  <c r="R250" i="2"/>
  <c r="R250" i="6" s="1"/>
  <c r="Q250" i="6"/>
  <c r="P250" i="6"/>
  <c r="O250" i="6"/>
  <c r="R249" i="2"/>
  <c r="R249" i="6" s="1"/>
  <c r="Q249" i="6"/>
  <c r="P249" i="6"/>
  <c r="O249" i="6"/>
  <c r="R248" i="2"/>
  <c r="R248" i="6" s="1"/>
  <c r="Q248" i="6"/>
  <c r="P248" i="6"/>
  <c r="O248" i="6"/>
  <c r="R247" i="2"/>
  <c r="R247" i="6" s="1"/>
  <c r="Q247" i="6"/>
  <c r="P247" i="6"/>
  <c r="O247" i="6"/>
  <c r="R246" i="2"/>
  <c r="R246" i="6" s="1"/>
  <c r="Q246" i="6"/>
  <c r="P246" i="6"/>
  <c r="O246" i="6"/>
  <c r="R245" i="2"/>
  <c r="R245" i="6" s="1"/>
  <c r="Q245" i="6"/>
  <c r="P245" i="6"/>
  <c r="O245" i="6"/>
  <c r="R244" i="2"/>
  <c r="R244" i="6" s="1"/>
  <c r="Q244" i="6"/>
  <c r="P244" i="6"/>
  <c r="O244" i="6"/>
  <c r="R243" i="2"/>
  <c r="R243" i="6" s="1"/>
  <c r="Q243" i="6"/>
  <c r="P243" i="6"/>
  <c r="O243" i="6"/>
  <c r="R242" i="2"/>
  <c r="R242" i="6" s="1"/>
  <c r="Q242" i="6"/>
  <c r="P242" i="6"/>
  <c r="O242" i="6"/>
  <c r="R241" i="2"/>
  <c r="R241" i="6" s="1"/>
  <c r="Q241" i="6"/>
  <c r="P241" i="6"/>
  <c r="O241" i="6"/>
  <c r="R240" i="2"/>
  <c r="R240" i="6" s="1"/>
  <c r="Q240" i="6"/>
  <c r="P240" i="6"/>
  <c r="O240" i="6"/>
  <c r="R239" i="2"/>
  <c r="R239" i="6" s="1"/>
  <c r="Q239" i="6"/>
  <c r="P239" i="6"/>
  <c r="O239" i="6"/>
  <c r="R238" i="2"/>
  <c r="R238" i="6" s="1"/>
  <c r="Q238" i="6"/>
  <c r="P238" i="6"/>
  <c r="O238" i="6"/>
  <c r="R237" i="2"/>
  <c r="R237" i="6" s="1"/>
  <c r="Q237" i="6"/>
  <c r="P237" i="6"/>
  <c r="O237" i="6"/>
  <c r="R236" i="2"/>
  <c r="R236" i="6" s="1"/>
  <c r="Q236" i="6"/>
  <c r="P236" i="6"/>
  <c r="O236" i="6"/>
  <c r="R235" i="2"/>
  <c r="R235" i="6" s="1"/>
  <c r="Q235" i="6"/>
  <c r="P235" i="6"/>
  <c r="O235" i="6"/>
  <c r="R234" i="2"/>
  <c r="R234" i="6" s="1"/>
  <c r="Q234" i="6"/>
  <c r="P234" i="6"/>
  <c r="O234" i="6"/>
  <c r="R233" i="2"/>
  <c r="R233" i="6" s="1"/>
  <c r="Q233" i="2"/>
  <c r="Q233" i="6" s="1"/>
  <c r="P233" i="2"/>
  <c r="P233" i="6" s="1"/>
  <c r="O233" i="2"/>
  <c r="O233" i="6" s="1"/>
  <c r="R232" i="2"/>
  <c r="R232" i="6" s="1"/>
  <c r="Q232" i="2"/>
  <c r="Q232" i="6" s="1"/>
  <c r="P232" i="2"/>
  <c r="P232" i="6" s="1"/>
  <c r="O232" i="2"/>
  <c r="O232" i="6" s="1"/>
  <c r="R231" i="2"/>
  <c r="R231" i="6" s="1"/>
  <c r="Q231" i="2"/>
  <c r="Q231" i="6" s="1"/>
  <c r="P231" i="2"/>
  <c r="P231" i="6" s="1"/>
  <c r="O231" i="2"/>
  <c r="O231" i="6" s="1"/>
  <c r="R230" i="2"/>
  <c r="R230" i="6" s="1"/>
  <c r="Q230" i="2"/>
  <c r="Q230" i="6" s="1"/>
  <c r="P230" i="2"/>
  <c r="P230" i="6" s="1"/>
  <c r="O230" i="2"/>
  <c r="O230" i="6" s="1"/>
  <c r="R229" i="2"/>
  <c r="R229" i="6" s="1"/>
  <c r="Q229" i="2"/>
  <c r="Q229" i="6" s="1"/>
  <c r="P229" i="2"/>
  <c r="P229" i="6" s="1"/>
  <c r="O229" i="2"/>
  <c r="O229" i="6" s="1"/>
  <c r="R228" i="2"/>
  <c r="R228" i="6" s="1"/>
  <c r="Q228" i="2"/>
  <c r="Q228" i="6" s="1"/>
  <c r="P228" i="2"/>
  <c r="P228" i="6" s="1"/>
  <c r="O228" i="2"/>
  <c r="O228" i="6" s="1"/>
  <c r="R227" i="2"/>
  <c r="R227" i="6" s="1"/>
  <c r="Q227" i="2"/>
  <c r="Q227" i="6" s="1"/>
  <c r="P227" i="2"/>
  <c r="P227" i="6" s="1"/>
  <c r="O227" i="2"/>
  <c r="O227" i="6" s="1"/>
  <c r="R226" i="2"/>
  <c r="R226" i="6" s="1"/>
  <c r="Q226" i="2"/>
  <c r="Q226" i="6" s="1"/>
  <c r="P226" i="2"/>
  <c r="P226" i="6" s="1"/>
  <c r="O226" i="2"/>
  <c r="O226" i="6" s="1"/>
  <c r="R225" i="2"/>
  <c r="R225" i="6" s="1"/>
  <c r="Q225" i="2"/>
  <c r="Q225" i="6" s="1"/>
  <c r="P225" i="2"/>
  <c r="P225" i="6" s="1"/>
  <c r="O225" i="2"/>
  <c r="O225" i="6" s="1"/>
  <c r="R224" i="2"/>
  <c r="R224" i="6" s="1"/>
  <c r="Q224" i="2"/>
  <c r="Q224" i="6" s="1"/>
  <c r="P224" i="2"/>
  <c r="P224" i="6" s="1"/>
  <c r="O224" i="2"/>
  <c r="O224" i="6" s="1"/>
  <c r="R223" i="2"/>
  <c r="R223" i="6" s="1"/>
  <c r="Q223" i="2"/>
  <c r="Q223" i="6" s="1"/>
  <c r="P223" i="2"/>
  <c r="P223" i="6" s="1"/>
  <c r="O223" i="2"/>
  <c r="O223" i="6" s="1"/>
  <c r="R222" i="2"/>
  <c r="R222" i="6" s="1"/>
  <c r="Q222" i="2"/>
  <c r="Q222" i="6" s="1"/>
  <c r="P222" i="2"/>
  <c r="P222" i="6" s="1"/>
  <c r="O222" i="2"/>
  <c r="O222" i="6" s="1"/>
  <c r="R221" i="2"/>
  <c r="R221" i="6" s="1"/>
  <c r="Q221" i="2"/>
  <c r="Q221" i="6" s="1"/>
  <c r="P221" i="2"/>
  <c r="P221" i="6" s="1"/>
  <c r="O221" i="2"/>
  <c r="O221" i="6" s="1"/>
  <c r="R220" i="2"/>
  <c r="R220" i="6" s="1"/>
  <c r="Q220" i="2"/>
  <c r="Q220" i="6" s="1"/>
  <c r="P220" i="2"/>
  <c r="P220" i="6" s="1"/>
  <c r="O220" i="2"/>
  <c r="O220" i="6" s="1"/>
  <c r="R219" i="2"/>
  <c r="R219" i="6" s="1"/>
  <c r="Q219" i="2"/>
  <c r="Q219" i="6" s="1"/>
  <c r="P219" i="2"/>
  <c r="P219" i="6" s="1"/>
  <c r="O219" i="2"/>
  <c r="O219" i="6" s="1"/>
  <c r="R218" i="2"/>
  <c r="R218" i="6" s="1"/>
  <c r="Q218" i="2"/>
  <c r="Q218" i="6" s="1"/>
  <c r="P218" i="2"/>
  <c r="P218" i="6" s="1"/>
  <c r="O218" i="2"/>
  <c r="O218" i="6" s="1"/>
  <c r="R217" i="2"/>
  <c r="R217" i="6" s="1"/>
  <c r="Q217" i="2"/>
  <c r="Q217" i="6" s="1"/>
  <c r="P217" i="2"/>
  <c r="P217" i="6" s="1"/>
  <c r="O217" i="2"/>
  <c r="O217" i="6" s="1"/>
  <c r="R216" i="2"/>
  <c r="R216" i="6" s="1"/>
  <c r="Q216" i="2"/>
  <c r="Q216" i="6" s="1"/>
  <c r="P216" i="2"/>
  <c r="P216" i="6" s="1"/>
  <c r="O216" i="2"/>
  <c r="O216" i="6" s="1"/>
  <c r="R215" i="2"/>
  <c r="R215" i="6" s="1"/>
  <c r="Q215" i="2"/>
  <c r="Q215" i="6" s="1"/>
  <c r="P215" i="2"/>
  <c r="P215" i="6" s="1"/>
  <c r="O215" i="2"/>
  <c r="O215" i="6" s="1"/>
  <c r="R214" i="2"/>
  <c r="R214" i="6" s="1"/>
  <c r="Q214" i="2"/>
  <c r="Q214" i="6" s="1"/>
  <c r="P214" i="2"/>
  <c r="P214" i="6" s="1"/>
  <c r="O214" i="2"/>
  <c r="O214" i="6" s="1"/>
  <c r="R213" i="2"/>
  <c r="R213" i="6" s="1"/>
  <c r="Q213" i="2"/>
  <c r="Q213" i="6" s="1"/>
  <c r="P213" i="2"/>
  <c r="P213" i="6" s="1"/>
  <c r="O213" i="2"/>
  <c r="O213" i="6" s="1"/>
  <c r="R212" i="2"/>
  <c r="R212" i="6" s="1"/>
  <c r="Q212" i="2"/>
  <c r="Q212" i="6" s="1"/>
  <c r="P212" i="2"/>
  <c r="P212" i="6" s="1"/>
  <c r="O212" i="2"/>
  <c r="O212" i="6" s="1"/>
  <c r="R211" i="2"/>
  <c r="R211" i="6" s="1"/>
  <c r="Q211" i="2"/>
  <c r="Q211" i="6" s="1"/>
  <c r="P211" i="2"/>
  <c r="P211" i="6" s="1"/>
  <c r="O211" i="2"/>
  <c r="O211" i="6" s="1"/>
  <c r="R210" i="2"/>
  <c r="R210" i="6" s="1"/>
  <c r="Q210" i="2"/>
  <c r="Q210" i="6" s="1"/>
  <c r="P210" i="2"/>
  <c r="P210" i="6" s="1"/>
  <c r="O210" i="2"/>
  <c r="O210" i="6" s="1"/>
  <c r="R209" i="2"/>
  <c r="R209" i="6" s="1"/>
  <c r="Q209" i="2"/>
  <c r="Q209" i="6" s="1"/>
  <c r="P209" i="2"/>
  <c r="P209" i="6" s="1"/>
  <c r="O209" i="2"/>
  <c r="O209" i="6" s="1"/>
  <c r="R208" i="2"/>
  <c r="R208" i="6" s="1"/>
  <c r="Q208" i="2"/>
  <c r="Q208" i="6" s="1"/>
  <c r="P208" i="2"/>
  <c r="P208" i="6" s="1"/>
  <c r="O208" i="2"/>
  <c r="O208" i="6" s="1"/>
  <c r="R207" i="2"/>
  <c r="R207" i="6" s="1"/>
  <c r="Q207" i="2"/>
  <c r="Q207" i="6" s="1"/>
  <c r="P207" i="2"/>
  <c r="P207" i="6" s="1"/>
  <c r="O207" i="2"/>
  <c r="O207" i="6" s="1"/>
  <c r="R206" i="2"/>
  <c r="R206" i="6" s="1"/>
  <c r="Q206" i="2"/>
  <c r="Q206" i="6" s="1"/>
  <c r="P206" i="2"/>
  <c r="P206" i="6" s="1"/>
  <c r="O206" i="2"/>
  <c r="O206" i="6" s="1"/>
  <c r="R205" i="2"/>
  <c r="R205" i="6" s="1"/>
  <c r="Q205" i="2"/>
  <c r="Q205" i="6" s="1"/>
  <c r="P205" i="2"/>
  <c r="P205" i="6" s="1"/>
  <c r="O205" i="2"/>
  <c r="O205" i="6" s="1"/>
  <c r="R204" i="2"/>
  <c r="R204" i="6" s="1"/>
  <c r="Q204" i="2"/>
  <c r="Q204" i="6" s="1"/>
  <c r="P204" i="2"/>
  <c r="P204" i="6" s="1"/>
  <c r="O204" i="2"/>
  <c r="O204" i="6" s="1"/>
  <c r="R203" i="2"/>
  <c r="R203" i="6" s="1"/>
  <c r="Q203" i="2"/>
  <c r="Q203" i="6" s="1"/>
  <c r="P203" i="2"/>
  <c r="P203" i="6" s="1"/>
  <c r="O203" i="2"/>
  <c r="O203" i="6" s="1"/>
  <c r="R202" i="2"/>
  <c r="R202" i="6" s="1"/>
  <c r="Q202" i="2"/>
  <c r="Q202" i="6" s="1"/>
  <c r="P202" i="2"/>
  <c r="P202" i="6" s="1"/>
  <c r="O202" i="2"/>
  <c r="O202" i="6" s="1"/>
  <c r="R201" i="2"/>
  <c r="R201" i="6" s="1"/>
  <c r="Q201" i="2"/>
  <c r="Q201" i="6" s="1"/>
  <c r="P201" i="2"/>
  <c r="P201" i="6" s="1"/>
  <c r="O201" i="2"/>
  <c r="O201" i="6" s="1"/>
  <c r="R200" i="2"/>
  <c r="R200" i="6" s="1"/>
  <c r="Q200" i="2"/>
  <c r="Q200" i="6" s="1"/>
  <c r="P200" i="2"/>
  <c r="P200" i="6" s="1"/>
  <c r="O200" i="2"/>
  <c r="O200" i="6" s="1"/>
  <c r="R199" i="2"/>
  <c r="R199" i="6" s="1"/>
  <c r="Q199" i="2"/>
  <c r="Q199" i="6" s="1"/>
  <c r="P199" i="2"/>
  <c r="P199" i="6" s="1"/>
  <c r="O199" i="2"/>
  <c r="O199" i="6" s="1"/>
  <c r="R198" i="2"/>
  <c r="R198" i="6" s="1"/>
  <c r="Q198" i="2"/>
  <c r="Q198" i="6" s="1"/>
  <c r="P198" i="2"/>
  <c r="P198" i="6" s="1"/>
  <c r="O198" i="2"/>
  <c r="O198" i="6" s="1"/>
  <c r="R197" i="2"/>
  <c r="R197" i="6" s="1"/>
  <c r="Q197" i="2"/>
  <c r="Q197" i="6" s="1"/>
  <c r="P197" i="2"/>
  <c r="P197" i="6" s="1"/>
  <c r="O197" i="2"/>
  <c r="O197" i="6" s="1"/>
  <c r="R196" i="2"/>
  <c r="R196" i="6" s="1"/>
  <c r="Q196" i="2"/>
  <c r="Q196" i="6" s="1"/>
  <c r="P196" i="2"/>
  <c r="P196" i="6" s="1"/>
  <c r="O196" i="2"/>
  <c r="O196" i="6" s="1"/>
  <c r="R195" i="2"/>
  <c r="R195" i="6" s="1"/>
  <c r="Q195" i="2"/>
  <c r="Q195" i="6" s="1"/>
  <c r="P195" i="2"/>
  <c r="P195" i="6" s="1"/>
  <c r="O195" i="2"/>
  <c r="O195" i="6" s="1"/>
  <c r="R194" i="2"/>
  <c r="R194" i="6" s="1"/>
  <c r="Q194" i="2"/>
  <c r="Q194" i="6" s="1"/>
  <c r="P194" i="2"/>
  <c r="P194" i="6" s="1"/>
  <c r="O194" i="2"/>
  <c r="O194" i="6" s="1"/>
  <c r="R193" i="2"/>
  <c r="R193" i="6" s="1"/>
  <c r="Q193" i="2"/>
  <c r="Q193" i="6" s="1"/>
  <c r="P193" i="2"/>
  <c r="P193" i="6" s="1"/>
  <c r="O193" i="2"/>
  <c r="O193" i="6" s="1"/>
  <c r="R192" i="2"/>
  <c r="R192" i="6" s="1"/>
  <c r="Q192" i="2"/>
  <c r="Q192" i="6" s="1"/>
  <c r="P192" i="2"/>
  <c r="P192" i="6" s="1"/>
  <c r="O192" i="2"/>
  <c r="O192" i="6" s="1"/>
  <c r="R191" i="2"/>
  <c r="R191" i="6" s="1"/>
  <c r="Q191" i="2"/>
  <c r="Q191" i="6" s="1"/>
  <c r="P191" i="2"/>
  <c r="P191" i="6" s="1"/>
  <c r="O191" i="2"/>
  <c r="O191" i="6" s="1"/>
  <c r="R190" i="2"/>
  <c r="R190" i="6" s="1"/>
  <c r="Q190" i="2"/>
  <c r="Q190" i="6" s="1"/>
  <c r="P190" i="2"/>
  <c r="P190" i="6" s="1"/>
  <c r="O190" i="2"/>
  <c r="O190" i="6" s="1"/>
  <c r="R189" i="2"/>
  <c r="R189" i="6" s="1"/>
  <c r="Q189" i="2"/>
  <c r="Q189" i="6" s="1"/>
  <c r="P189" i="2"/>
  <c r="P189" i="6" s="1"/>
  <c r="O189" i="2"/>
  <c r="O189" i="6" s="1"/>
  <c r="R188" i="2"/>
  <c r="R188" i="6" s="1"/>
  <c r="Q188" i="2"/>
  <c r="Q188" i="6" s="1"/>
  <c r="P188" i="2"/>
  <c r="P188" i="6" s="1"/>
  <c r="O188" i="2"/>
  <c r="O188" i="6" s="1"/>
  <c r="R187" i="2"/>
  <c r="R187" i="6" s="1"/>
  <c r="Q187" i="2"/>
  <c r="Q187" i="6" s="1"/>
  <c r="P187" i="2"/>
  <c r="P187" i="6" s="1"/>
  <c r="O187" i="2"/>
  <c r="O187" i="6" s="1"/>
  <c r="R186" i="2"/>
  <c r="R186" i="6" s="1"/>
  <c r="Q186" i="2"/>
  <c r="Q186" i="6" s="1"/>
  <c r="P186" i="2"/>
  <c r="P186" i="6" s="1"/>
  <c r="O186" i="2"/>
  <c r="O186" i="6" s="1"/>
  <c r="R185" i="2"/>
  <c r="R185" i="6" s="1"/>
  <c r="Q185" i="2"/>
  <c r="Q185" i="6" s="1"/>
  <c r="P185" i="2"/>
  <c r="P185" i="6" s="1"/>
  <c r="O185" i="2"/>
  <c r="O185" i="6" s="1"/>
  <c r="R184" i="2"/>
  <c r="R184" i="6" s="1"/>
  <c r="Q184" i="2"/>
  <c r="Q184" i="6" s="1"/>
  <c r="P184" i="2"/>
  <c r="P184" i="6" s="1"/>
  <c r="O184" i="2"/>
  <c r="O184" i="6" s="1"/>
  <c r="R183" i="2"/>
  <c r="R183" i="6" s="1"/>
  <c r="Q183" i="2"/>
  <c r="Q183" i="6" s="1"/>
  <c r="P183" i="2"/>
  <c r="P183" i="6" s="1"/>
  <c r="O183" i="2"/>
  <c r="O183" i="6" s="1"/>
  <c r="R182" i="2"/>
  <c r="R182" i="6" s="1"/>
  <c r="Q182" i="2"/>
  <c r="Q182" i="6" s="1"/>
  <c r="P182" i="2"/>
  <c r="P182" i="6" s="1"/>
  <c r="O182" i="2"/>
  <c r="O182" i="6" s="1"/>
  <c r="R181" i="2"/>
  <c r="R181" i="6" s="1"/>
  <c r="Q181" i="2"/>
  <c r="Q181" i="6" s="1"/>
  <c r="P181" i="2"/>
  <c r="P181" i="6" s="1"/>
  <c r="O181" i="2"/>
  <c r="O181" i="6" s="1"/>
  <c r="R180" i="2"/>
  <c r="R180" i="6" s="1"/>
  <c r="Q180" i="2"/>
  <c r="Q180" i="6" s="1"/>
  <c r="P180" i="2"/>
  <c r="P180" i="6" s="1"/>
  <c r="O180" i="2"/>
  <c r="O180" i="6" s="1"/>
  <c r="R179" i="2"/>
  <c r="R179" i="6" s="1"/>
  <c r="Q179" i="2"/>
  <c r="Q179" i="6" s="1"/>
  <c r="P179" i="2"/>
  <c r="P179" i="6" s="1"/>
  <c r="O179" i="2"/>
  <c r="O179" i="6" s="1"/>
  <c r="R178" i="2"/>
  <c r="R178" i="6" s="1"/>
  <c r="Q178" i="2"/>
  <c r="Q178" i="6" s="1"/>
  <c r="P178" i="2"/>
  <c r="P178" i="6" s="1"/>
  <c r="O178" i="2"/>
  <c r="O178" i="6" s="1"/>
  <c r="R177" i="2"/>
  <c r="R177" i="6" s="1"/>
  <c r="Q177" i="2"/>
  <c r="Q177" i="6" s="1"/>
  <c r="P177" i="2"/>
  <c r="P177" i="6" s="1"/>
  <c r="O177" i="2"/>
  <c r="O177" i="6" s="1"/>
  <c r="R176" i="2"/>
  <c r="R176" i="6" s="1"/>
  <c r="Q176" i="2"/>
  <c r="Q176" i="6" s="1"/>
  <c r="P176" i="2"/>
  <c r="P176" i="6" s="1"/>
  <c r="O176" i="2"/>
  <c r="O176" i="6" s="1"/>
  <c r="R175" i="2"/>
  <c r="R175" i="6" s="1"/>
  <c r="Q175" i="2"/>
  <c r="Q175" i="6" s="1"/>
  <c r="P175" i="2"/>
  <c r="P175" i="6" s="1"/>
  <c r="O175" i="2"/>
  <c r="O175" i="6" s="1"/>
  <c r="R174" i="2"/>
  <c r="R174" i="6" s="1"/>
  <c r="Q174" i="2"/>
  <c r="Q174" i="6" s="1"/>
  <c r="P174" i="2"/>
  <c r="P174" i="6" s="1"/>
  <c r="O174" i="2"/>
  <c r="O174" i="6" s="1"/>
  <c r="R173" i="2"/>
  <c r="R173" i="6" s="1"/>
  <c r="Q173" i="2"/>
  <c r="Q173" i="6" s="1"/>
  <c r="P173" i="2"/>
  <c r="P173" i="6" s="1"/>
  <c r="O173" i="2"/>
  <c r="O173" i="6" s="1"/>
  <c r="R172" i="2"/>
  <c r="R172" i="6" s="1"/>
  <c r="Q172" i="2"/>
  <c r="Q172" i="6" s="1"/>
  <c r="P172" i="2"/>
  <c r="P172" i="6" s="1"/>
  <c r="O172" i="2"/>
  <c r="O172" i="6" s="1"/>
  <c r="R171" i="2"/>
  <c r="R171" i="6" s="1"/>
  <c r="Q171" i="2"/>
  <c r="Q171" i="6" s="1"/>
  <c r="P171" i="2"/>
  <c r="P171" i="6" s="1"/>
  <c r="O171" i="2"/>
  <c r="O171" i="6" s="1"/>
  <c r="R170" i="2"/>
  <c r="R170" i="6" s="1"/>
  <c r="Q170" i="2"/>
  <c r="Q170" i="6" s="1"/>
  <c r="P170" i="2"/>
  <c r="P170" i="6" s="1"/>
  <c r="O170" i="2"/>
  <c r="O170" i="6" s="1"/>
  <c r="R169" i="2"/>
  <c r="R169" i="6" s="1"/>
  <c r="Q169" i="2"/>
  <c r="Q169" i="6" s="1"/>
  <c r="P169" i="2"/>
  <c r="P169" i="6" s="1"/>
  <c r="O169" i="2"/>
  <c r="O169" i="6" s="1"/>
  <c r="R168" i="2"/>
  <c r="R168" i="6" s="1"/>
  <c r="Q168" i="2"/>
  <c r="Q168" i="6" s="1"/>
  <c r="P168" i="2"/>
  <c r="P168" i="6" s="1"/>
  <c r="O168" i="2"/>
  <c r="O168" i="6" s="1"/>
  <c r="R167" i="2"/>
  <c r="R167" i="6" s="1"/>
  <c r="Q167" i="2"/>
  <c r="Q167" i="6" s="1"/>
  <c r="P167" i="2"/>
  <c r="P167" i="6" s="1"/>
  <c r="O167" i="2"/>
  <c r="O167" i="6" s="1"/>
  <c r="R166" i="2"/>
  <c r="R166" i="6" s="1"/>
  <c r="Q166" i="2"/>
  <c r="Q166" i="6" s="1"/>
  <c r="P166" i="2"/>
  <c r="P166" i="6" s="1"/>
  <c r="O166" i="2"/>
  <c r="O166" i="6" s="1"/>
  <c r="R165" i="2"/>
  <c r="R165" i="6" s="1"/>
  <c r="Q165" i="2"/>
  <c r="Q165" i="6" s="1"/>
  <c r="P165" i="2"/>
  <c r="P165" i="6" s="1"/>
  <c r="O165" i="2"/>
  <c r="O165" i="6" s="1"/>
  <c r="R164" i="2"/>
  <c r="R164" i="6" s="1"/>
  <c r="Q164" i="2"/>
  <c r="Q164" i="6" s="1"/>
  <c r="P164" i="2"/>
  <c r="P164" i="6" s="1"/>
  <c r="O164" i="2"/>
  <c r="O164" i="6" s="1"/>
  <c r="R163" i="2"/>
  <c r="R163" i="6" s="1"/>
  <c r="Q163" i="2"/>
  <c r="Q163" i="6" s="1"/>
  <c r="P163" i="2"/>
  <c r="P163" i="6" s="1"/>
  <c r="O163" i="2"/>
  <c r="O163" i="6" s="1"/>
  <c r="R162" i="2"/>
  <c r="R162" i="6" s="1"/>
  <c r="Q162" i="2"/>
  <c r="Q162" i="6" s="1"/>
  <c r="P162" i="2"/>
  <c r="P162" i="6" s="1"/>
  <c r="O162" i="2"/>
  <c r="O162" i="6" s="1"/>
  <c r="R161" i="2"/>
  <c r="R161" i="6" s="1"/>
  <c r="Q161" i="2"/>
  <c r="Q161" i="6" s="1"/>
  <c r="P161" i="2"/>
  <c r="P161" i="6" s="1"/>
  <c r="O161" i="2"/>
  <c r="O161" i="6" s="1"/>
  <c r="R160" i="2"/>
  <c r="R160" i="6" s="1"/>
  <c r="Q160" i="2"/>
  <c r="Q160" i="6" s="1"/>
  <c r="P160" i="2"/>
  <c r="P160" i="6" s="1"/>
  <c r="O160" i="2"/>
  <c r="O160" i="6" s="1"/>
  <c r="R159" i="2"/>
  <c r="R159" i="6" s="1"/>
  <c r="Q159" i="2"/>
  <c r="Q159" i="6" s="1"/>
  <c r="P159" i="2"/>
  <c r="P159" i="6" s="1"/>
  <c r="O159" i="2"/>
  <c r="O159" i="6" s="1"/>
  <c r="R158" i="2"/>
  <c r="R158" i="6" s="1"/>
  <c r="Q158" i="2"/>
  <c r="Q158" i="6" s="1"/>
  <c r="P158" i="2"/>
  <c r="P158" i="6" s="1"/>
  <c r="O158" i="2"/>
  <c r="O158" i="6" s="1"/>
  <c r="R157" i="2"/>
  <c r="R157" i="6" s="1"/>
  <c r="Q157" i="2"/>
  <c r="Q157" i="6" s="1"/>
  <c r="P157" i="2"/>
  <c r="P157" i="6" s="1"/>
  <c r="O157" i="2"/>
  <c r="O157" i="6" s="1"/>
  <c r="R156" i="2"/>
  <c r="R156" i="6" s="1"/>
  <c r="Q156" i="2"/>
  <c r="Q156" i="6" s="1"/>
  <c r="P156" i="2"/>
  <c r="P156" i="6" s="1"/>
  <c r="O156" i="2"/>
  <c r="O156" i="6" s="1"/>
  <c r="R155" i="2"/>
  <c r="R155" i="6" s="1"/>
  <c r="Q155" i="2"/>
  <c r="Q155" i="6" s="1"/>
  <c r="P155" i="2"/>
  <c r="P155" i="6" s="1"/>
  <c r="O155" i="2"/>
  <c r="O155" i="6" s="1"/>
  <c r="R154" i="2"/>
  <c r="R154" i="6" s="1"/>
  <c r="Q154" i="2"/>
  <c r="Q154" i="6" s="1"/>
  <c r="P154" i="2"/>
  <c r="P154" i="6" s="1"/>
  <c r="O154" i="2"/>
  <c r="O154" i="6" s="1"/>
  <c r="R153" i="2"/>
  <c r="R153" i="6" s="1"/>
  <c r="Q153" i="2"/>
  <c r="Q153" i="6" s="1"/>
  <c r="P153" i="2"/>
  <c r="P153" i="6" s="1"/>
  <c r="O153" i="2"/>
  <c r="O153" i="6" s="1"/>
  <c r="R152" i="2"/>
  <c r="R152" i="6" s="1"/>
  <c r="Q152" i="2"/>
  <c r="Q152" i="6" s="1"/>
  <c r="P152" i="2"/>
  <c r="P152" i="6" s="1"/>
  <c r="O152" i="2"/>
  <c r="O152" i="6" s="1"/>
  <c r="R151" i="2"/>
  <c r="R151" i="6" s="1"/>
  <c r="Q151" i="2"/>
  <c r="Q151" i="6" s="1"/>
  <c r="P151" i="2"/>
  <c r="P151" i="6" s="1"/>
  <c r="O151" i="2"/>
  <c r="O151" i="6" s="1"/>
  <c r="R150" i="2"/>
  <c r="R150" i="6" s="1"/>
  <c r="Q150" i="2"/>
  <c r="Q150" i="6" s="1"/>
  <c r="P150" i="2"/>
  <c r="P150" i="6" s="1"/>
  <c r="O150" i="2"/>
  <c r="O150" i="6" s="1"/>
  <c r="R149" i="2"/>
  <c r="R149" i="6" s="1"/>
  <c r="Q149" i="2"/>
  <c r="Q149" i="6" s="1"/>
  <c r="P149" i="2"/>
  <c r="P149" i="6" s="1"/>
  <c r="O149" i="2"/>
  <c r="O149" i="6" s="1"/>
  <c r="R148" i="2"/>
  <c r="R148" i="6" s="1"/>
  <c r="Q148" i="2"/>
  <c r="Q148" i="6" s="1"/>
  <c r="P148" i="2"/>
  <c r="P148" i="6" s="1"/>
  <c r="O148" i="2"/>
  <c r="O148" i="6" s="1"/>
  <c r="R147" i="2"/>
  <c r="R147" i="6" s="1"/>
  <c r="Q147" i="2"/>
  <c r="Q147" i="6" s="1"/>
  <c r="P147" i="2"/>
  <c r="P147" i="6" s="1"/>
  <c r="O147" i="2"/>
  <c r="O147" i="6" s="1"/>
  <c r="R146" i="2"/>
  <c r="R146" i="6" s="1"/>
  <c r="Q146" i="2"/>
  <c r="Q146" i="6" s="1"/>
  <c r="P146" i="2"/>
  <c r="P146" i="6" s="1"/>
  <c r="O146" i="2"/>
  <c r="O146" i="6" s="1"/>
  <c r="R145" i="2"/>
  <c r="R145" i="6" s="1"/>
  <c r="Q145" i="2"/>
  <c r="Q145" i="6" s="1"/>
  <c r="P145" i="2"/>
  <c r="P145" i="6" s="1"/>
  <c r="O145" i="2"/>
  <c r="O145" i="6" s="1"/>
  <c r="R144" i="2"/>
  <c r="R144" i="6" s="1"/>
  <c r="Q144" i="2"/>
  <c r="Q144" i="6" s="1"/>
  <c r="P144" i="2"/>
  <c r="P144" i="6" s="1"/>
  <c r="O144" i="2"/>
  <c r="O144" i="6" s="1"/>
  <c r="R143" i="2"/>
  <c r="R143" i="6" s="1"/>
  <c r="Q143" i="2"/>
  <c r="Q143" i="6" s="1"/>
  <c r="P143" i="2"/>
  <c r="P143" i="6" s="1"/>
  <c r="O143" i="2"/>
  <c r="O143" i="6" s="1"/>
  <c r="R142" i="2"/>
  <c r="R142" i="6" s="1"/>
  <c r="Q142" i="2"/>
  <c r="Q142" i="6" s="1"/>
  <c r="P142" i="2"/>
  <c r="P142" i="6" s="1"/>
  <c r="O142" i="2"/>
  <c r="O142" i="6" s="1"/>
  <c r="R141" i="2"/>
  <c r="R141" i="6" s="1"/>
  <c r="Q141" i="2"/>
  <c r="Q141" i="6" s="1"/>
  <c r="P141" i="2"/>
  <c r="P141" i="6" s="1"/>
  <c r="O141" i="2"/>
  <c r="O141" i="6" s="1"/>
  <c r="R140" i="2"/>
  <c r="R140" i="6" s="1"/>
  <c r="Q140" i="2"/>
  <c r="Q140" i="6" s="1"/>
  <c r="P140" i="2"/>
  <c r="P140" i="6" s="1"/>
  <c r="O140" i="2"/>
  <c r="O140" i="6" s="1"/>
  <c r="R139" i="2"/>
  <c r="R139" i="6" s="1"/>
  <c r="Q139" i="2"/>
  <c r="Q139" i="6" s="1"/>
  <c r="P139" i="2"/>
  <c r="P139" i="6" s="1"/>
  <c r="O139" i="2"/>
  <c r="O139" i="6" s="1"/>
  <c r="R138" i="2"/>
  <c r="R138" i="6" s="1"/>
  <c r="Q138" i="2"/>
  <c r="Q138" i="6" s="1"/>
  <c r="P138" i="2"/>
  <c r="P138" i="6" s="1"/>
  <c r="O138" i="2"/>
  <c r="O138" i="6" s="1"/>
  <c r="R137" i="2"/>
  <c r="R137" i="6" s="1"/>
  <c r="Q137" i="2"/>
  <c r="Q137" i="6" s="1"/>
  <c r="P137" i="2"/>
  <c r="P137" i="6" s="1"/>
  <c r="O137" i="2"/>
  <c r="O137" i="6" s="1"/>
  <c r="R136" i="2"/>
  <c r="R136" i="6" s="1"/>
  <c r="Q136" i="2"/>
  <c r="Q136" i="6" s="1"/>
  <c r="P136" i="2"/>
  <c r="P136" i="6" s="1"/>
  <c r="O136" i="2"/>
  <c r="O136" i="6" s="1"/>
  <c r="R135" i="2"/>
  <c r="R135" i="6" s="1"/>
  <c r="Q135" i="2"/>
  <c r="Q135" i="6" s="1"/>
  <c r="P135" i="2"/>
  <c r="P135" i="6" s="1"/>
  <c r="O135" i="2"/>
  <c r="O135" i="6" s="1"/>
  <c r="R134" i="2"/>
  <c r="R134" i="6" s="1"/>
  <c r="Q134" i="2"/>
  <c r="Q134" i="6" s="1"/>
  <c r="P134" i="2"/>
  <c r="P134" i="6" s="1"/>
  <c r="O134" i="2"/>
  <c r="O134" i="6" s="1"/>
  <c r="R133" i="2"/>
  <c r="R133" i="6" s="1"/>
  <c r="Q133" i="2"/>
  <c r="Q133" i="6" s="1"/>
  <c r="P133" i="2"/>
  <c r="P133" i="6" s="1"/>
  <c r="O133" i="2"/>
  <c r="O133" i="6" s="1"/>
  <c r="R132" i="2"/>
  <c r="R132" i="6" s="1"/>
  <c r="Q132" i="6"/>
  <c r="P132" i="6"/>
  <c r="O132" i="6"/>
  <c r="R131" i="2"/>
  <c r="R131" i="6" s="1"/>
  <c r="Q131" i="6"/>
  <c r="P131" i="6"/>
  <c r="O131" i="6"/>
  <c r="R130" i="2"/>
  <c r="R130" i="6" s="1"/>
  <c r="Q130" i="6"/>
  <c r="P130" i="6"/>
  <c r="O130" i="6"/>
  <c r="R129" i="2"/>
  <c r="R129" i="6" s="1"/>
  <c r="Q129" i="6"/>
  <c r="P129" i="6"/>
  <c r="O129" i="6"/>
  <c r="R128" i="2"/>
  <c r="R128" i="6" s="1"/>
  <c r="Q128" i="6"/>
  <c r="P128" i="6"/>
  <c r="O128" i="6"/>
  <c r="R127" i="2"/>
  <c r="R127" i="6" s="1"/>
  <c r="Q127" i="6"/>
  <c r="P127" i="6"/>
  <c r="O127" i="6"/>
  <c r="R126" i="2"/>
  <c r="R126" i="6" s="1"/>
  <c r="Q126" i="6"/>
  <c r="P126" i="6"/>
  <c r="O126" i="6"/>
  <c r="R125" i="2"/>
  <c r="R125" i="6" s="1"/>
  <c r="Q125" i="6"/>
  <c r="P125" i="6"/>
  <c r="O125" i="6"/>
  <c r="R124" i="2"/>
  <c r="R124" i="6" s="1"/>
  <c r="Q124" i="6"/>
  <c r="P124" i="6"/>
  <c r="O124" i="6"/>
  <c r="R123" i="2"/>
  <c r="R123" i="6" s="1"/>
  <c r="Q123" i="6"/>
  <c r="P123" i="6"/>
  <c r="O123" i="6"/>
  <c r="R122" i="2"/>
  <c r="R122" i="6" s="1"/>
  <c r="Q122" i="6"/>
  <c r="P122" i="6"/>
  <c r="O122" i="6"/>
  <c r="R121" i="2"/>
  <c r="R121" i="6" s="1"/>
  <c r="Q121" i="6"/>
  <c r="P121" i="6"/>
  <c r="O121" i="6"/>
  <c r="R120" i="2"/>
  <c r="R120" i="6" s="1"/>
  <c r="Q120" i="6"/>
  <c r="P120" i="6"/>
  <c r="O120" i="6"/>
  <c r="R119" i="2"/>
  <c r="R119" i="6" s="1"/>
  <c r="Q119" i="6"/>
  <c r="P119" i="6"/>
  <c r="O119" i="6"/>
  <c r="R118" i="2"/>
  <c r="R118" i="6" s="1"/>
  <c r="Q118" i="6"/>
  <c r="P118" i="6"/>
  <c r="O118" i="6"/>
  <c r="R117" i="2"/>
  <c r="R117" i="6" s="1"/>
  <c r="Q117" i="6"/>
  <c r="P117" i="6"/>
  <c r="O117" i="6"/>
  <c r="R116" i="2"/>
  <c r="R116" i="6" s="1"/>
  <c r="Q116" i="6"/>
  <c r="P116" i="6"/>
  <c r="O116" i="6"/>
  <c r="R115" i="2"/>
  <c r="R115" i="6" s="1"/>
  <c r="Q115" i="6"/>
  <c r="P115" i="6"/>
  <c r="O115" i="6"/>
  <c r="R114" i="2"/>
  <c r="R114" i="6" s="1"/>
  <c r="Q114" i="6"/>
  <c r="P114" i="6"/>
  <c r="O114" i="6"/>
  <c r="R113" i="2"/>
  <c r="R113" i="6" s="1"/>
  <c r="Q113" i="6"/>
  <c r="P113" i="6"/>
  <c r="O113" i="6"/>
  <c r="R112" i="2"/>
  <c r="R112" i="6" s="1"/>
  <c r="Q112" i="6"/>
  <c r="P112" i="6"/>
  <c r="O112" i="6"/>
  <c r="R111" i="2"/>
  <c r="R111" i="6" s="1"/>
  <c r="Q111" i="6"/>
  <c r="P111" i="6"/>
  <c r="O111" i="6"/>
  <c r="R110" i="2"/>
  <c r="R110" i="6" s="1"/>
  <c r="Q110" i="2"/>
  <c r="Q110" i="6" s="1"/>
  <c r="P110" i="2"/>
  <c r="P110" i="6" s="1"/>
  <c r="O110" i="2"/>
  <c r="O110" i="6" s="1"/>
  <c r="R109" i="2"/>
  <c r="R109" i="6" s="1"/>
  <c r="Q109" i="2"/>
  <c r="Q109" i="6" s="1"/>
  <c r="P109" i="2"/>
  <c r="P109" i="6" s="1"/>
  <c r="O109" i="2"/>
  <c r="O109" i="6" s="1"/>
  <c r="R108" i="2"/>
  <c r="R108" i="6" s="1"/>
  <c r="Q108" i="2"/>
  <c r="Q108" i="6" s="1"/>
  <c r="P108" i="2"/>
  <c r="P108" i="6" s="1"/>
  <c r="O108" i="2"/>
  <c r="O108" i="6" s="1"/>
  <c r="R107" i="2"/>
  <c r="R107" i="6" s="1"/>
  <c r="Q107" i="2"/>
  <c r="Q107" i="6" s="1"/>
  <c r="P107" i="2"/>
  <c r="P107" i="6" s="1"/>
  <c r="O107" i="2"/>
  <c r="O107" i="6" s="1"/>
  <c r="R106" i="2"/>
  <c r="R106" i="6" s="1"/>
  <c r="Q106" i="2"/>
  <c r="Q106" i="6" s="1"/>
  <c r="P106" i="2"/>
  <c r="P106" i="6" s="1"/>
  <c r="O106" i="2"/>
  <c r="O106" i="6" s="1"/>
  <c r="R105" i="2"/>
  <c r="R105" i="6" s="1"/>
  <c r="Q105" i="2"/>
  <c r="Q105" i="6" s="1"/>
  <c r="P105" i="2"/>
  <c r="P105" i="6" s="1"/>
  <c r="O105" i="2"/>
  <c r="O105" i="6" s="1"/>
  <c r="R104" i="2"/>
  <c r="R104" i="6" s="1"/>
  <c r="Q104" i="2"/>
  <c r="Q104" i="6" s="1"/>
  <c r="P104" i="2"/>
  <c r="P104" i="6" s="1"/>
  <c r="O104" i="2"/>
  <c r="O104" i="6" s="1"/>
  <c r="R103" i="2"/>
  <c r="R103" i="6" s="1"/>
  <c r="Q103" i="2"/>
  <c r="Q103" i="6" s="1"/>
  <c r="P103" i="2"/>
  <c r="P103" i="6" s="1"/>
  <c r="O103" i="2"/>
  <c r="O103" i="6" s="1"/>
  <c r="R102" i="2"/>
  <c r="R102" i="6" s="1"/>
  <c r="Q102" i="2"/>
  <c r="Q102" i="6" s="1"/>
  <c r="P102" i="2"/>
  <c r="P102" i="6" s="1"/>
  <c r="O102" i="2"/>
  <c r="O102" i="6" s="1"/>
  <c r="R101" i="2"/>
  <c r="R101" i="6" s="1"/>
  <c r="Q101" i="2"/>
  <c r="Q101" i="6" s="1"/>
  <c r="P101" i="2"/>
  <c r="P101" i="6" s="1"/>
  <c r="O101" i="2"/>
  <c r="O101" i="6" s="1"/>
  <c r="R100" i="2"/>
  <c r="R100" i="6" s="1"/>
  <c r="Q100" i="2"/>
  <c r="Q100" i="6" s="1"/>
  <c r="P100" i="2"/>
  <c r="P100" i="6" s="1"/>
  <c r="O100" i="2"/>
  <c r="O100" i="6" s="1"/>
  <c r="R99" i="2"/>
  <c r="R99" i="6" s="1"/>
  <c r="Q99" i="2"/>
  <c r="Q99" i="6" s="1"/>
  <c r="P99" i="2"/>
  <c r="P99" i="6" s="1"/>
  <c r="O99" i="2"/>
  <c r="O99" i="6" s="1"/>
  <c r="R98" i="2"/>
  <c r="R98" i="6" s="1"/>
  <c r="Q98" i="2"/>
  <c r="Q98" i="6" s="1"/>
  <c r="P98" i="2"/>
  <c r="P98" i="6" s="1"/>
  <c r="O98" i="2"/>
  <c r="O98" i="6" s="1"/>
  <c r="R97" i="2"/>
  <c r="R97" i="6" s="1"/>
  <c r="Q97" i="2"/>
  <c r="Q97" i="6" s="1"/>
  <c r="P97" i="2"/>
  <c r="P97" i="6" s="1"/>
  <c r="O97" i="2"/>
  <c r="O97" i="6" s="1"/>
  <c r="R96" i="2"/>
  <c r="R96" i="6" s="1"/>
  <c r="Q96" i="2"/>
  <c r="Q96" i="6" s="1"/>
  <c r="P96" i="2"/>
  <c r="P96" i="6" s="1"/>
  <c r="O96" i="2"/>
  <c r="O96" i="6" s="1"/>
  <c r="R95" i="2"/>
  <c r="R95" i="6" s="1"/>
  <c r="Q95" i="2"/>
  <c r="Q95" i="6" s="1"/>
  <c r="P95" i="2"/>
  <c r="P95" i="6" s="1"/>
  <c r="O95" i="2"/>
  <c r="O95" i="6" s="1"/>
  <c r="R94" i="2"/>
  <c r="R94" i="6" s="1"/>
  <c r="Q94" i="2"/>
  <c r="Q94" i="6" s="1"/>
  <c r="P94" i="2"/>
  <c r="P94" i="6" s="1"/>
  <c r="O94" i="2"/>
  <c r="O94" i="6" s="1"/>
  <c r="R93" i="2"/>
  <c r="R93" i="6" s="1"/>
  <c r="Q93" i="2"/>
  <c r="Q93" i="6" s="1"/>
  <c r="P93" i="2"/>
  <c r="P93" i="6" s="1"/>
  <c r="O93" i="2"/>
  <c r="O93" i="6" s="1"/>
  <c r="R92" i="2"/>
  <c r="R92" i="6" s="1"/>
  <c r="Q92" i="2"/>
  <c r="Q92" i="6" s="1"/>
  <c r="P92" i="2"/>
  <c r="P92" i="6" s="1"/>
  <c r="O92" i="2"/>
  <c r="O92" i="6" s="1"/>
  <c r="R91" i="2"/>
  <c r="R91" i="6" s="1"/>
  <c r="Q91" i="2"/>
  <c r="Q91" i="6" s="1"/>
  <c r="P91" i="2"/>
  <c r="P91" i="6" s="1"/>
  <c r="O91" i="2"/>
  <c r="O91" i="6" s="1"/>
  <c r="R90" i="2"/>
  <c r="R90" i="6" s="1"/>
  <c r="Q90" i="2"/>
  <c r="Q90" i="6" s="1"/>
  <c r="P90" i="2"/>
  <c r="P90" i="6" s="1"/>
  <c r="O90" i="2"/>
  <c r="O90" i="6" s="1"/>
  <c r="R89" i="2"/>
  <c r="R89" i="6" s="1"/>
  <c r="Q89" i="2"/>
  <c r="Q89" i="6" s="1"/>
  <c r="P89" i="2"/>
  <c r="P89" i="6" s="1"/>
  <c r="O89" i="2"/>
  <c r="O89" i="6" s="1"/>
  <c r="R88" i="2"/>
  <c r="R88" i="6" s="1"/>
  <c r="Q88" i="2"/>
  <c r="Q88" i="6" s="1"/>
  <c r="P88" i="2"/>
  <c r="P88" i="6" s="1"/>
  <c r="O88" i="2"/>
  <c r="O88" i="6" s="1"/>
  <c r="R87" i="2"/>
  <c r="R87" i="6" s="1"/>
  <c r="Q87" i="2"/>
  <c r="Q87" i="6" s="1"/>
  <c r="P87" i="2"/>
  <c r="P87" i="6" s="1"/>
  <c r="O87" i="2"/>
  <c r="O87" i="6" s="1"/>
  <c r="R86" i="2"/>
  <c r="R86" i="6" s="1"/>
  <c r="Q86" i="2"/>
  <c r="Q86" i="6" s="1"/>
  <c r="P86" i="2"/>
  <c r="P86" i="6" s="1"/>
  <c r="O86" i="2"/>
  <c r="O86" i="6" s="1"/>
  <c r="R85" i="2"/>
  <c r="R85" i="6" s="1"/>
  <c r="Q85" i="2"/>
  <c r="Q85" i="6" s="1"/>
  <c r="P85" i="2"/>
  <c r="P85" i="6" s="1"/>
  <c r="O85" i="2"/>
  <c r="O85" i="6" s="1"/>
  <c r="R84" i="2"/>
  <c r="R84" i="6" s="1"/>
  <c r="Q84" i="2"/>
  <c r="Q84" i="6" s="1"/>
  <c r="P84" i="2"/>
  <c r="P84" i="6" s="1"/>
  <c r="O84" i="2"/>
  <c r="O84" i="6" s="1"/>
  <c r="R83" i="2"/>
  <c r="R83" i="6" s="1"/>
  <c r="Q83" i="2"/>
  <c r="Q83" i="6" s="1"/>
  <c r="P83" i="2"/>
  <c r="P83" i="6" s="1"/>
  <c r="O83" i="2"/>
  <c r="O83" i="6" s="1"/>
  <c r="R82" i="2"/>
  <c r="R82" i="6" s="1"/>
  <c r="Q82" i="2"/>
  <c r="Q82" i="6" s="1"/>
  <c r="P82" i="2"/>
  <c r="P82" i="6" s="1"/>
  <c r="O82" i="2"/>
  <c r="O82" i="6" s="1"/>
  <c r="R81" i="2"/>
  <c r="R81" i="6" s="1"/>
  <c r="Q81" i="2"/>
  <c r="Q81" i="6" s="1"/>
  <c r="P81" i="2"/>
  <c r="P81" i="6" s="1"/>
  <c r="O81" i="2"/>
  <c r="O81" i="6" s="1"/>
  <c r="R80" i="2"/>
  <c r="R80" i="6" s="1"/>
  <c r="Q80" i="2"/>
  <c r="Q80" i="6" s="1"/>
  <c r="P80" i="2"/>
  <c r="P80" i="6" s="1"/>
  <c r="O80" i="2"/>
  <c r="O80" i="6" s="1"/>
  <c r="R79" i="2"/>
  <c r="R79" i="6" s="1"/>
  <c r="Q79" i="2"/>
  <c r="Q79" i="6" s="1"/>
  <c r="P79" i="2"/>
  <c r="P79" i="6" s="1"/>
  <c r="O79" i="2"/>
  <c r="O79" i="6" s="1"/>
  <c r="R78" i="2"/>
  <c r="R78" i="6" s="1"/>
  <c r="Q78" i="2"/>
  <c r="Q78" i="6" s="1"/>
  <c r="P78" i="2"/>
  <c r="P78" i="6" s="1"/>
  <c r="O78" i="2"/>
  <c r="O78" i="6" s="1"/>
  <c r="R77" i="2"/>
  <c r="R77" i="6" s="1"/>
  <c r="Q77" i="2"/>
  <c r="Q77" i="6" s="1"/>
  <c r="P77" i="2"/>
  <c r="P77" i="6" s="1"/>
  <c r="O77" i="2"/>
  <c r="O77" i="6" s="1"/>
  <c r="R76" i="2"/>
  <c r="R76" i="6" s="1"/>
  <c r="Q76" i="2"/>
  <c r="Q76" i="6" s="1"/>
  <c r="P76" i="2"/>
  <c r="P76" i="6" s="1"/>
  <c r="O76" i="2"/>
  <c r="O76" i="6" s="1"/>
  <c r="R75" i="2"/>
  <c r="R75" i="6" s="1"/>
  <c r="Q75" i="2"/>
  <c r="Q75" i="6" s="1"/>
  <c r="P75" i="2"/>
  <c r="P75" i="6" s="1"/>
  <c r="O75" i="2"/>
  <c r="O75" i="6" s="1"/>
  <c r="R74" i="2"/>
  <c r="R74" i="6" s="1"/>
  <c r="Q74" i="2"/>
  <c r="Q74" i="6" s="1"/>
  <c r="P74" i="2"/>
  <c r="P74" i="6" s="1"/>
  <c r="O74" i="2"/>
  <c r="O74" i="6" s="1"/>
  <c r="R73" i="2"/>
  <c r="R73" i="6" s="1"/>
  <c r="Q73" i="2"/>
  <c r="Q73" i="6" s="1"/>
  <c r="P73" i="2"/>
  <c r="P73" i="6" s="1"/>
  <c r="O73" i="2"/>
  <c r="O73" i="6" s="1"/>
  <c r="R72" i="2"/>
  <c r="R72" i="6" s="1"/>
  <c r="Q72" i="2"/>
  <c r="Q72" i="6" s="1"/>
  <c r="P72" i="2"/>
  <c r="P72" i="6" s="1"/>
  <c r="O72" i="2"/>
  <c r="O72" i="6" s="1"/>
  <c r="R71" i="2"/>
  <c r="R71" i="6" s="1"/>
  <c r="Q71" i="2"/>
  <c r="Q71" i="6" s="1"/>
  <c r="P71" i="2"/>
  <c r="P71" i="6" s="1"/>
  <c r="O71" i="2"/>
  <c r="O71" i="6" s="1"/>
  <c r="R70" i="2"/>
  <c r="R70" i="6" s="1"/>
  <c r="Q70" i="2"/>
  <c r="Q70" i="6" s="1"/>
  <c r="P70" i="2"/>
  <c r="P70" i="6" s="1"/>
  <c r="O70" i="2"/>
  <c r="O70" i="6" s="1"/>
  <c r="R69" i="2"/>
  <c r="R69" i="6" s="1"/>
  <c r="Q69" i="2"/>
  <c r="Q69" i="6" s="1"/>
  <c r="P69" i="2"/>
  <c r="P69" i="6" s="1"/>
  <c r="O69" i="2"/>
  <c r="O69" i="6" s="1"/>
  <c r="R68" i="2"/>
  <c r="R68" i="6" s="1"/>
  <c r="Q68" i="2"/>
  <c r="Q68" i="6" s="1"/>
  <c r="P68" i="2"/>
  <c r="P68" i="6" s="1"/>
  <c r="O68" i="2"/>
  <c r="O68" i="6" s="1"/>
  <c r="R67" i="2"/>
  <c r="R67" i="6" s="1"/>
  <c r="Q67" i="2"/>
  <c r="Q67" i="6" s="1"/>
  <c r="P67" i="2"/>
  <c r="P67" i="6" s="1"/>
  <c r="O67" i="2"/>
  <c r="O67" i="6" s="1"/>
  <c r="R66" i="2"/>
  <c r="R66" i="6" s="1"/>
  <c r="Q66" i="2"/>
  <c r="Q66" i="6" s="1"/>
  <c r="P66" i="2"/>
  <c r="P66" i="6" s="1"/>
  <c r="O66" i="2"/>
  <c r="O66" i="6" s="1"/>
  <c r="R65" i="2"/>
  <c r="R65" i="6" s="1"/>
  <c r="Q65" i="2"/>
  <c r="Q65" i="6" s="1"/>
  <c r="P65" i="2"/>
  <c r="P65" i="6" s="1"/>
  <c r="O65" i="2"/>
  <c r="O65" i="6" s="1"/>
  <c r="R64" i="2"/>
  <c r="R64" i="6" s="1"/>
  <c r="Q64" i="2"/>
  <c r="Q64" i="6" s="1"/>
  <c r="P64" i="2"/>
  <c r="P64" i="6" s="1"/>
  <c r="O64" i="2"/>
  <c r="O64" i="6" s="1"/>
  <c r="R63" i="2"/>
  <c r="R63" i="6" s="1"/>
  <c r="Q63" i="2"/>
  <c r="Q63" i="6" s="1"/>
  <c r="P63" i="2"/>
  <c r="P63" i="6" s="1"/>
  <c r="O63" i="2"/>
  <c r="O63" i="6" s="1"/>
  <c r="R62" i="2"/>
  <c r="R62" i="6" s="1"/>
  <c r="Q62" i="2"/>
  <c r="Q62" i="6" s="1"/>
  <c r="P62" i="2"/>
  <c r="P62" i="6" s="1"/>
  <c r="O62" i="2"/>
  <c r="O62" i="6" s="1"/>
  <c r="R61" i="2"/>
  <c r="R61" i="6" s="1"/>
  <c r="Q61" i="2"/>
  <c r="Q61" i="6" s="1"/>
  <c r="P61" i="2"/>
  <c r="P61" i="6" s="1"/>
  <c r="O61" i="2"/>
  <c r="O61" i="6" s="1"/>
  <c r="R60" i="2"/>
  <c r="R60" i="6" s="1"/>
  <c r="Q60" i="2"/>
  <c r="Q60" i="6" s="1"/>
  <c r="P60" i="2"/>
  <c r="P60" i="6" s="1"/>
  <c r="O60" i="2"/>
  <c r="O60" i="6" s="1"/>
  <c r="R59" i="2"/>
  <c r="R59" i="6" s="1"/>
  <c r="Q59" i="2"/>
  <c r="Q59" i="6" s="1"/>
  <c r="P59" i="2"/>
  <c r="P59" i="6" s="1"/>
  <c r="O59" i="2"/>
  <c r="O59" i="6" s="1"/>
  <c r="R58" i="2"/>
  <c r="R58" i="6" s="1"/>
  <c r="Q58" i="2"/>
  <c r="Q58" i="6" s="1"/>
  <c r="P58" i="2"/>
  <c r="P58" i="6" s="1"/>
  <c r="O58" i="2"/>
  <c r="O58" i="6" s="1"/>
  <c r="R57" i="2"/>
  <c r="R57" i="6" s="1"/>
  <c r="Q57" i="2"/>
  <c r="Q57" i="6" s="1"/>
  <c r="P57" i="2"/>
  <c r="P57" i="6" s="1"/>
  <c r="O57" i="2"/>
  <c r="O57" i="6" s="1"/>
  <c r="R56" i="2"/>
  <c r="R56" i="6" s="1"/>
  <c r="Q56" i="2"/>
  <c r="Q56" i="6" s="1"/>
  <c r="P56" i="2"/>
  <c r="P56" i="6" s="1"/>
  <c r="O56" i="2"/>
  <c r="O56" i="6" s="1"/>
  <c r="R55" i="2"/>
  <c r="R55" i="6" s="1"/>
  <c r="Q55" i="2"/>
  <c r="Q55" i="6" s="1"/>
  <c r="P55" i="2"/>
  <c r="P55" i="6" s="1"/>
  <c r="O55" i="2"/>
  <c r="O55" i="6" s="1"/>
  <c r="R54" i="2"/>
  <c r="R54" i="6" s="1"/>
  <c r="Q54" i="2"/>
  <c r="Q54" i="6" s="1"/>
  <c r="P54" i="2"/>
  <c r="P54" i="6" s="1"/>
  <c r="O54" i="2"/>
  <c r="O54" i="6" s="1"/>
  <c r="R53" i="2"/>
  <c r="R53" i="6" s="1"/>
  <c r="Q53" i="2"/>
  <c r="Q53" i="6" s="1"/>
  <c r="P53" i="2"/>
  <c r="P53" i="6" s="1"/>
  <c r="O53" i="2"/>
  <c r="O53" i="6" s="1"/>
  <c r="R52" i="2"/>
  <c r="R52" i="6" s="1"/>
  <c r="Q52" i="2"/>
  <c r="Q52" i="6" s="1"/>
  <c r="P52" i="2"/>
  <c r="P52" i="6" s="1"/>
  <c r="O52" i="2"/>
  <c r="O52" i="6" s="1"/>
  <c r="R51" i="2"/>
  <c r="R51" i="6" s="1"/>
  <c r="Q51" i="2"/>
  <c r="Q51" i="6" s="1"/>
  <c r="P51" i="2"/>
  <c r="P51" i="6" s="1"/>
  <c r="O51" i="2"/>
  <c r="O51" i="6" s="1"/>
  <c r="R50" i="2"/>
  <c r="R50" i="6" s="1"/>
  <c r="Q50" i="2"/>
  <c r="Q50" i="6" s="1"/>
  <c r="P50" i="2"/>
  <c r="P50" i="6" s="1"/>
  <c r="O50" i="2"/>
  <c r="O50" i="6" s="1"/>
  <c r="R49" i="2"/>
  <c r="R49" i="6" s="1"/>
  <c r="Q49" i="2"/>
  <c r="Q49" i="6" s="1"/>
  <c r="P49" i="2"/>
  <c r="P49" i="6" s="1"/>
  <c r="O49" i="2"/>
  <c r="O49" i="6" s="1"/>
  <c r="R48" i="2"/>
  <c r="R48" i="6" s="1"/>
  <c r="Q48" i="2"/>
  <c r="Q48" i="6" s="1"/>
  <c r="P48" i="2"/>
  <c r="P48" i="6" s="1"/>
  <c r="O48" i="2"/>
  <c r="O48" i="6" s="1"/>
  <c r="R47" i="2"/>
  <c r="R47" i="6" s="1"/>
  <c r="Q47" i="2"/>
  <c r="Q47" i="6" s="1"/>
  <c r="P47" i="2"/>
  <c r="P47" i="6" s="1"/>
  <c r="O47" i="2"/>
  <c r="O47" i="6" s="1"/>
  <c r="R46" i="2"/>
  <c r="R46" i="6" s="1"/>
  <c r="Q46" i="2"/>
  <c r="Q46" i="6" s="1"/>
  <c r="P46" i="2"/>
  <c r="P46" i="6" s="1"/>
  <c r="O46" i="2"/>
  <c r="O46" i="6" s="1"/>
  <c r="R45" i="2"/>
  <c r="R45" i="6" s="1"/>
  <c r="Q45" i="2"/>
  <c r="Q45" i="6" s="1"/>
  <c r="P45" i="2"/>
  <c r="P45" i="6" s="1"/>
  <c r="O45" i="2"/>
  <c r="O45" i="6" s="1"/>
  <c r="R44" i="2"/>
  <c r="R44" i="6" s="1"/>
  <c r="Q44" i="2"/>
  <c r="Q44" i="6" s="1"/>
  <c r="P44" i="2"/>
  <c r="P44" i="6" s="1"/>
  <c r="O44" i="2"/>
  <c r="O44" i="6" s="1"/>
  <c r="R43" i="2"/>
  <c r="R43" i="6" s="1"/>
  <c r="Q43" i="2"/>
  <c r="Q43" i="6" s="1"/>
  <c r="P43" i="2"/>
  <c r="P43" i="6" s="1"/>
  <c r="O43" i="2"/>
  <c r="O43" i="6" s="1"/>
  <c r="R42" i="2"/>
  <c r="R42" i="6" s="1"/>
  <c r="Q42" i="2"/>
  <c r="Q42" i="6" s="1"/>
  <c r="P42" i="2"/>
  <c r="P42" i="6" s="1"/>
  <c r="O42" i="2"/>
  <c r="O42" i="6" s="1"/>
  <c r="R41" i="2"/>
  <c r="R41" i="6" s="1"/>
  <c r="Q41" i="2"/>
  <c r="Q41" i="6" s="1"/>
  <c r="P41" i="2"/>
  <c r="P41" i="6" s="1"/>
  <c r="O41" i="2"/>
  <c r="O41" i="6" s="1"/>
  <c r="R40" i="2"/>
  <c r="R40" i="6" s="1"/>
  <c r="Q40" i="2"/>
  <c r="Q40" i="6" s="1"/>
  <c r="P40" i="2"/>
  <c r="P40" i="6" s="1"/>
  <c r="O40" i="2"/>
  <c r="O40" i="6" s="1"/>
  <c r="R39" i="2"/>
  <c r="R39" i="6" s="1"/>
  <c r="Q39" i="2"/>
  <c r="Q39" i="6" s="1"/>
  <c r="P39" i="2"/>
  <c r="P39" i="6" s="1"/>
  <c r="O39" i="2"/>
  <c r="O39" i="6" s="1"/>
  <c r="R38" i="2"/>
  <c r="R38" i="6" s="1"/>
  <c r="Q38" i="2"/>
  <c r="Q38" i="6" s="1"/>
  <c r="P38" i="2"/>
  <c r="P38" i="6" s="1"/>
  <c r="O38" i="2"/>
  <c r="O38" i="6" s="1"/>
  <c r="R37" i="2"/>
  <c r="R37" i="6" s="1"/>
  <c r="Q37" i="2"/>
  <c r="Q37" i="6" s="1"/>
  <c r="P37" i="2"/>
  <c r="P37" i="6" s="1"/>
  <c r="O37" i="2"/>
  <c r="O37" i="6" s="1"/>
  <c r="R36" i="2"/>
  <c r="R36" i="6" s="1"/>
  <c r="Q36" i="2"/>
  <c r="Q36" i="6" s="1"/>
  <c r="P36" i="2"/>
  <c r="P36" i="6" s="1"/>
  <c r="O36" i="2"/>
  <c r="O36" i="6" s="1"/>
  <c r="R35" i="2"/>
  <c r="R35" i="6" s="1"/>
  <c r="Q35" i="2"/>
  <c r="Q35" i="6" s="1"/>
  <c r="P35" i="2"/>
  <c r="P35" i="6" s="1"/>
  <c r="O35" i="2"/>
  <c r="O35" i="6" s="1"/>
  <c r="R34" i="2"/>
  <c r="R34" i="6" s="1"/>
  <c r="Q34" i="2"/>
  <c r="Q34" i="6" s="1"/>
  <c r="P34" i="2"/>
  <c r="P34" i="6" s="1"/>
  <c r="O34" i="2"/>
  <c r="O34" i="6" s="1"/>
  <c r="R33" i="2"/>
  <c r="R33" i="6" s="1"/>
  <c r="Q33" i="2"/>
  <c r="Q33" i="6" s="1"/>
  <c r="P33" i="2"/>
  <c r="P33" i="6" s="1"/>
  <c r="O33" i="2"/>
  <c r="O33" i="6" s="1"/>
  <c r="R32" i="2"/>
  <c r="R32" i="6" s="1"/>
  <c r="Q32" i="2"/>
  <c r="Q32" i="6" s="1"/>
  <c r="P32" i="2"/>
  <c r="P32" i="6" s="1"/>
  <c r="O32" i="2"/>
  <c r="O32" i="6" s="1"/>
  <c r="R31" i="2"/>
  <c r="R31" i="6" s="1"/>
  <c r="Q31" i="2"/>
  <c r="Q31" i="6" s="1"/>
  <c r="P31" i="2"/>
  <c r="P31" i="6" s="1"/>
  <c r="O31" i="2"/>
  <c r="O31" i="6" s="1"/>
  <c r="R30" i="2"/>
  <c r="R30" i="6" s="1"/>
  <c r="Q30" i="2"/>
  <c r="Q30" i="6" s="1"/>
  <c r="P30" i="2"/>
  <c r="P30" i="6" s="1"/>
  <c r="O30" i="2"/>
  <c r="O30" i="6" s="1"/>
  <c r="R29" i="2"/>
  <c r="R29" i="6" s="1"/>
  <c r="Q29" i="2"/>
  <c r="Q29" i="6" s="1"/>
  <c r="P29" i="2"/>
  <c r="P29" i="6" s="1"/>
  <c r="O29" i="2"/>
  <c r="O29" i="6" s="1"/>
  <c r="R28" i="2"/>
  <c r="R28" i="6" s="1"/>
  <c r="Q28" i="2"/>
  <c r="Q28" i="6" s="1"/>
  <c r="P28" i="2"/>
  <c r="P28" i="6" s="1"/>
  <c r="O28" i="2"/>
  <c r="O28" i="6" s="1"/>
  <c r="R27" i="2"/>
  <c r="R27" i="6" s="1"/>
  <c r="Q27" i="2"/>
  <c r="Q27" i="6" s="1"/>
  <c r="P27" i="2"/>
  <c r="P27" i="6" s="1"/>
  <c r="O27" i="2"/>
  <c r="O27" i="6" s="1"/>
  <c r="R26" i="2"/>
  <c r="R26" i="6" s="1"/>
  <c r="Q26" i="2"/>
  <c r="Q26" i="6" s="1"/>
  <c r="P26" i="2"/>
  <c r="P26" i="6" s="1"/>
  <c r="O26" i="2"/>
  <c r="O26" i="6" s="1"/>
  <c r="R25" i="2"/>
  <c r="R25" i="6" s="1"/>
  <c r="Q25" i="2"/>
  <c r="Q25" i="6" s="1"/>
  <c r="P25" i="2"/>
  <c r="P25" i="6" s="1"/>
  <c r="O25" i="2"/>
  <c r="O25" i="6" s="1"/>
  <c r="R24" i="2"/>
  <c r="R24" i="6" s="1"/>
  <c r="Q24" i="2"/>
  <c r="Q24" i="6" s="1"/>
  <c r="P24" i="2"/>
  <c r="P24" i="6" s="1"/>
  <c r="O24" i="2"/>
  <c r="O24" i="6" s="1"/>
  <c r="R23" i="2"/>
  <c r="R23" i="6" s="1"/>
  <c r="Q23" i="2"/>
  <c r="Q23" i="6" s="1"/>
  <c r="P23" i="2"/>
  <c r="P23" i="6" s="1"/>
  <c r="O23" i="2"/>
  <c r="O23" i="6" s="1"/>
  <c r="R22" i="2"/>
  <c r="R22" i="6" s="1"/>
  <c r="Q22" i="2"/>
  <c r="Q22" i="6" s="1"/>
  <c r="P22" i="2"/>
  <c r="P22" i="6" s="1"/>
  <c r="O22" i="2"/>
  <c r="O22" i="6" s="1"/>
  <c r="R21" i="2"/>
  <c r="R21" i="6" s="1"/>
  <c r="Q21" i="2"/>
  <c r="Q21" i="6" s="1"/>
  <c r="P21" i="2"/>
  <c r="P21" i="6" s="1"/>
  <c r="O21" i="2"/>
  <c r="O21" i="6" s="1"/>
  <c r="R20" i="2"/>
  <c r="R20" i="6" s="1"/>
  <c r="Q20" i="2"/>
  <c r="Q20" i="6" s="1"/>
  <c r="P20" i="2"/>
  <c r="P20" i="6" s="1"/>
  <c r="O20" i="2"/>
  <c r="O20" i="6" s="1"/>
  <c r="R19" i="2"/>
  <c r="R19" i="6" s="1"/>
  <c r="Q19" i="2"/>
  <c r="Q19" i="6" s="1"/>
  <c r="P19" i="2"/>
  <c r="P19" i="6" s="1"/>
  <c r="O19" i="2"/>
  <c r="O19" i="6" s="1"/>
  <c r="R18" i="2"/>
  <c r="R18" i="6" s="1"/>
  <c r="Q18" i="2"/>
  <c r="Q18" i="6" s="1"/>
  <c r="P18" i="2"/>
  <c r="P18" i="6" s="1"/>
  <c r="O18" i="2"/>
  <c r="O18" i="6" s="1"/>
  <c r="R17" i="2"/>
  <c r="R17" i="6" s="1"/>
  <c r="Q17" i="2"/>
  <c r="Q17" i="6" s="1"/>
  <c r="P17" i="2"/>
  <c r="P17" i="6" s="1"/>
  <c r="O17" i="2"/>
  <c r="O17" i="6" s="1"/>
  <c r="R16" i="2"/>
  <c r="R16" i="6" s="1"/>
  <c r="Q16" i="2"/>
  <c r="Q16" i="6" s="1"/>
  <c r="P16" i="2"/>
  <c r="P16" i="6" s="1"/>
  <c r="O16" i="2"/>
  <c r="O16" i="6" s="1"/>
  <c r="R15" i="2"/>
  <c r="R15" i="6" s="1"/>
  <c r="Q15" i="2"/>
  <c r="Q15" i="6" s="1"/>
  <c r="P15" i="2"/>
  <c r="P15" i="6" s="1"/>
  <c r="O15" i="2"/>
  <c r="O15" i="6" s="1"/>
  <c r="R14" i="2"/>
  <c r="R14" i="6" s="1"/>
  <c r="Q14" i="2"/>
  <c r="Q14" i="6" s="1"/>
  <c r="P14" i="2"/>
  <c r="P14" i="6" s="1"/>
  <c r="O14" i="2"/>
  <c r="O14" i="6" s="1"/>
  <c r="R13" i="2"/>
  <c r="R13" i="6" s="1"/>
  <c r="Q13" i="2"/>
  <c r="Q13" i="6" s="1"/>
  <c r="P13" i="2"/>
  <c r="P13" i="6" s="1"/>
  <c r="O13" i="2"/>
  <c r="O13" i="6" s="1"/>
  <c r="R12" i="2"/>
  <c r="R12" i="6" s="1"/>
  <c r="Q12" i="2"/>
  <c r="Q12" i="6" s="1"/>
  <c r="P12" i="2"/>
  <c r="P12" i="6" s="1"/>
  <c r="O12" i="2"/>
  <c r="O12" i="6" s="1"/>
  <c r="R11" i="2"/>
  <c r="R11" i="6" s="1"/>
  <c r="Q11" i="2"/>
  <c r="Q11" i="6" s="1"/>
  <c r="P11" i="2"/>
  <c r="P11" i="6" s="1"/>
  <c r="O11" i="2"/>
  <c r="O11" i="6" s="1"/>
  <c r="R10" i="2"/>
  <c r="R10" i="6" s="1"/>
  <c r="Q10" i="2"/>
  <c r="Q10" i="6" s="1"/>
  <c r="P10" i="2"/>
  <c r="P10" i="6" s="1"/>
  <c r="O10" i="2"/>
  <c r="O10" i="6" s="1"/>
  <c r="R9" i="2"/>
  <c r="R9" i="6" s="1"/>
  <c r="Q9" i="2"/>
  <c r="Q9" i="6" s="1"/>
  <c r="P9" i="2"/>
  <c r="P9" i="6" s="1"/>
  <c r="O9" i="2"/>
  <c r="O9" i="6" s="1"/>
  <c r="R8" i="2"/>
  <c r="R8" i="6" s="1"/>
  <c r="Q8" i="2"/>
  <c r="Q8" i="6" s="1"/>
  <c r="P8" i="2"/>
  <c r="P8" i="6" s="1"/>
  <c r="O8" i="2"/>
  <c r="O8" i="6" s="1"/>
  <c r="R7" i="2"/>
  <c r="R7" i="6" s="1"/>
  <c r="Q7" i="2"/>
  <c r="Q7" i="6" s="1"/>
  <c r="P7" i="2"/>
  <c r="P7" i="6" s="1"/>
  <c r="O7" i="2"/>
  <c r="O7" i="6" s="1"/>
  <c r="Q6" i="2"/>
  <c r="Q6" i="6" s="1"/>
  <c r="P6" i="2"/>
  <c r="P6" i="6" s="1"/>
  <c r="O6" i="2"/>
  <c r="O6" i="6" s="1"/>
  <c r="L498" i="2"/>
  <c r="L498" i="6" s="1"/>
  <c r="L497" i="2"/>
  <c r="L497" i="6" s="1"/>
  <c r="L496" i="2"/>
  <c r="L496" i="6" s="1"/>
  <c r="L495" i="2"/>
  <c r="L495" i="6" s="1"/>
  <c r="L494" i="2"/>
  <c r="L494" i="6" s="1"/>
  <c r="L493" i="2"/>
  <c r="L493" i="6" s="1"/>
  <c r="L492" i="2"/>
  <c r="L492" i="6" s="1"/>
  <c r="L491" i="2"/>
  <c r="L491" i="6" s="1"/>
  <c r="L490" i="2"/>
  <c r="L490" i="6" s="1"/>
  <c r="L489" i="2"/>
  <c r="L489" i="6" s="1"/>
  <c r="L488" i="2"/>
  <c r="L488" i="6" s="1"/>
  <c r="L487" i="2"/>
  <c r="L487" i="6" s="1"/>
  <c r="L486" i="2"/>
  <c r="L486" i="6" s="1"/>
  <c r="L485" i="2"/>
  <c r="L485" i="6" s="1"/>
  <c r="L484" i="2"/>
  <c r="L484" i="6" s="1"/>
  <c r="L483" i="2"/>
  <c r="L483" i="6" s="1"/>
  <c r="L482" i="2"/>
  <c r="L482" i="6" s="1"/>
  <c r="L481" i="2"/>
  <c r="L481" i="6" s="1"/>
  <c r="L480" i="2"/>
  <c r="L480" i="6" s="1"/>
  <c r="L479" i="2"/>
  <c r="L479" i="6" s="1"/>
  <c r="L478" i="2"/>
  <c r="L478" i="6" s="1"/>
  <c r="L477" i="2"/>
  <c r="L477" i="6" s="1"/>
  <c r="L476" i="2"/>
  <c r="L476" i="6" s="1"/>
  <c r="L475" i="2"/>
  <c r="L475" i="6" s="1"/>
  <c r="L474" i="2"/>
  <c r="L474" i="6" s="1"/>
  <c r="L473" i="2"/>
  <c r="L473" i="6" s="1"/>
  <c r="L472" i="2"/>
  <c r="L472" i="6" s="1"/>
  <c r="L471" i="2"/>
  <c r="L471" i="6" s="1"/>
  <c r="L470" i="2"/>
  <c r="L470" i="6" s="1"/>
  <c r="L469" i="2"/>
  <c r="L469" i="6" s="1"/>
  <c r="L468" i="2"/>
  <c r="L468" i="6" s="1"/>
  <c r="L467" i="2"/>
  <c r="L467" i="6" s="1"/>
  <c r="L466" i="2"/>
  <c r="L466" i="6" s="1"/>
  <c r="L465" i="2"/>
  <c r="L465" i="6" s="1"/>
  <c r="L464" i="2"/>
  <c r="L464" i="6" s="1"/>
  <c r="L463" i="2"/>
  <c r="L463" i="6" s="1"/>
  <c r="L462" i="2"/>
  <c r="L462" i="6" s="1"/>
  <c r="L461" i="2"/>
  <c r="L461" i="6" s="1"/>
  <c r="L460" i="2"/>
  <c r="L460" i="6" s="1"/>
  <c r="L459" i="2"/>
  <c r="L459" i="6" s="1"/>
  <c r="L458" i="2"/>
  <c r="L458" i="6" s="1"/>
  <c r="L457" i="2"/>
  <c r="L457" i="6" s="1"/>
  <c r="L456" i="2"/>
  <c r="L456" i="6" s="1"/>
  <c r="L455" i="2"/>
  <c r="L455" i="6" s="1"/>
  <c r="L454" i="2"/>
  <c r="L454" i="6" s="1"/>
  <c r="L453" i="2"/>
  <c r="L453" i="6" s="1"/>
  <c r="L452" i="2"/>
  <c r="L452" i="6" s="1"/>
  <c r="L451" i="2"/>
  <c r="L451" i="6" s="1"/>
  <c r="L450" i="2"/>
  <c r="L450" i="6" s="1"/>
  <c r="L449" i="2"/>
  <c r="L449" i="6" s="1"/>
  <c r="L448" i="2"/>
  <c r="L448" i="6" s="1"/>
  <c r="L447" i="2"/>
  <c r="L447" i="6" s="1"/>
  <c r="L446" i="2"/>
  <c r="L446" i="6" s="1"/>
  <c r="L445" i="2"/>
  <c r="L445" i="6" s="1"/>
  <c r="L444" i="2"/>
  <c r="L444" i="6" s="1"/>
  <c r="L443" i="2"/>
  <c r="L443" i="6" s="1"/>
  <c r="L442" i="2"/>
  <c r="L442" i="6" s="1"/>
  <c r="L441" i="2"/>
  <c r="L441" i="6" s="1"/>
  <c r="L440" i="2"/>
  <c r="L440" i="6" s="1"/>
  <c r="L439" i="2"/>
  <c r="L439" i="6" s="1"/>
  <c r="L438" i="2"/>
  <c r="L438" i="6" s="1"/>
  <c r="L437" i="2"/>
  <c r="L437" i="6" s="1"/>
  <c r="L436" i="2"/>
  <c r="L436" i="6" s="1"/>
  <c r="L435" i="2"/>
  <c r="L435" i="6" s="1"/>
  <c r="L434" i="2"/>
  <c r="L434" i="6" s="1"/>
  <c r="L433" i="2"/>
  <c r="L433" i="6" s="1"/>
  <c r="L432" i="2"/>
  <c r="L432" i="6" s="1"/>
  <c r="L431" i="2"/>
  <c r="L431" i="6" s="1"/>
  <c r="L430" i="2"/>
  <c r="L430" i="6" s="1"/>
  <c r="L429" i="2"/>
  <c r="L429" i="6" s="1"/>
  <c r="L428" i="2"/>
  <c r="L428" i="6" s="1"/>
  <c r="L427" i="2"/>
  <c r="L427" i="6" s="1"/>
  <c r="L426" i="2"/>
  <c r="L426" i="6" s="1"/>
  <c r="L425" i="2"/>
  <c r="L425" i="6" s="1"/>
  <c r="L424" i="2"/>
  <c r="L424" i="6" s="1"/>
  <c r="L423" i="2"/>
  <c r="L423" i="6" s="1"/>
  <c r="L422" i="2"/>
  <c r="L422" i="6" s="1"/>
  <c r="L421" i="2"/>
  <c r="L421" i="6" s="1"/>
  <c r="L420" i="2"/>
  <c r="L420" i="6" s="1"/>
  <c r="L419" i="2"/>
  <c r="L419" i="6" s="1"/>
  <c r="L418" i="2"/>
  <c r="L418" i="6" s="1"/>
  <c r="L417" i="2"/>
  <c r="L417" i="6" s="1"/>
  <c r="L416" i="2"/>
  <c r="L416" i="6" s="1"/>
  <c r="L415" i="2"/>
  <c r="L415" i="6" s="1"/>
  <c r="L414" i="2"/>
  <c r="L414" i="6" s="1"/>
  <c r="L413" i="2"/>
  <c r="L413" i="6" s="1"/>
  <c r="L412" i="2"/>
  <c r="L412" i="6" s="1"/>
  <c r="L411" i="2"/>
  <c r="L411" i="6" s="1"/>
  <c r="L410" i="2"/>
  <c r="L410" i="6" s="1"/>
  <c r="L409" i="2"/>
  <c r="L409" i="6" s="1"/>
  <c r="L408" i="2"/>
  <c r="L408" i="6" s="1"/>
  <c r="L407" i="2"/>
  <c r="L407" i="6" s="1"/>
  <c r="L406" i="2"/>
  <c r="L406" i="6" s="1"/>
  <c r="L405" i="2"/>
  <c r="L405" i="6" s="1"/>
  <c r="L404" i="2"/>
  <c r="L404" i="6" s="1"/>
  <c r="L403" i="2"/>
  <c r="L403" i="6" s="1"/>
  <c r="L402" i="2"/>
  <c r="L402" i="6" s="1"/>
  <c r="L401" i="2"/>
  <c r="L401" i="6" s="1"/>
  <c r="L400" i="2"/>
  <c r="L400" i="6" s="1"/>
  <c r="L399" i="2"/>
  <c r="L399" i="6" s="1"/>
  <c r="L398" i="2"/>
  <c r="L398" i="6" s="1"/>
  <c r="L397" i="2"/>
  <c r="L397" i="6" s="1"/>
  <c r="L396" i="2"/>
  <c r="L396" i="6" s="1"/>
  <c r="L395" i="2"/>
  <c r="L395" i="6" s="1"/>
  <c r="L394" i="2"/>
  <c r="L394" i="6" s="1"/>
  <c r="L393" i="2"/>
  <c r="L393" i="6" s="1"/>
  <c r="L392" i="2"/>
  <c r="L392" i="6" s="1"/>
  <c r="L391" i="2"/>
  <c r="L391" i="6" s="1"/>
  <c r="L390" i="2"/>
  <c r="L390" i="6" s="1"/>
  <c r="L389" i="2"/>
  <c r="L389" i="6" s="1"/>
  <c r="L388" i="2"/>
  <c r="L388" i="6" s="1"/>
  <c r="L387" i="2"/>
  <c r="L387" i="6" s="1"/>
  <c r="L386" i="2"/>
  <c r="L386" i="6" s="1"/>
  <c r="L385" i="2"/>
  <c r="L385" i="6" s="1"/>
  <c r="L384" i="2"/>
  <c r="L384" i="6" s="1"/>
  <c r="L383" i="2"/>
  <c r="L383" i="6" s="1"/>
  <c r="L382" i="2"/>
  <c r="L382" i="6" s="1"/>
  <c r="L381" i="2"/>
  <c r="L381" i="6" s="1"/>
  <c r="L380" i="2"/>
  <c r="L380" i="6" s="1"/>
  <c r="L379" i="2"/>
  <c r="L379" i="6" s="1"/>
  <c r="L378" i="2"/>
  <c r="L378" i="6" s="1"/>
  <c r="L377" i="2"/>
  <c r="L377" i="6" s="1"/>
  <c r="L376" i="2"/>
  <c r="L376" i="6" s="1"/>
  <c r="L375" i="2"/>
  <c r="L375" i="6" s="1"/>
  <c r="L374" i="2"/>
  <c r="L374" i="6" s="1"/>
  <c r="L373" i="2"/>
  <c r="L373" i="6" s="1"/>
  <c r="L372" i="2"/>
  <c r="L372" i="6" s="1"/>
  <c r="L371" i="2"/>
  <c r="L371" i="6" s="1"/>
  <c r="L370" i="2"/>
  <c r="L370" i="6" s="1"/>
  <c r="L369" i="2"/>
  <c r="L369" i="6" s="1"/>
  <c r="L368" i="2"/>
  <c r="L368" i="6" s="1"/>
  <c r="L367" i="2"/>
  <c r="L367" i="6" s="1"/>
  <c r="L366" i="2"/>
  <c r="L366" i="6" s="1"/>
  <c r="L365" i="2"/>
  <c r="L365" i="6" s="1"/>
  <c r="L364" i="2"/>
  <c r="L364" i="6" s="1"/>
  <c r="L363" i="2"/>
  <c r="L363" i="6" s="1"/>
  <c r="L362" i="2"/>
  <c r="L362" i="6" s="1"/>
  <c r="L361" i="2"/>
  <c r="L361" i="6" s="1"/>
  <c r="L360" i="2"/>
  <c r="L360" i="6" s="1"/>
  <c r="L359" i="2"/>
  <c r="L359" i="6" s="1"/>
  <c r="L358" i="2"/>
  <c r="L358" i="6" s="1"/>
  <c r="L357" i="2"/>
  <c r="L357" i="6" s="1"/>
  <c r="L356" i="2"/>
  <c r="L356" i="6" s="1"/>
  <c r="L355" i="2"/>
  <c r="L355" i="6" s="1"/>
  <c r="L354" i="2"/>
  <c r="L354" i="6" s="1"/>
  <c r="L353" i="2"/>
  <c r="L353" i="6" s="1"/>
  <c r="L352" i="2"/>
  <c r="L352" i="6" s="1"/>
  <c r="L351" i="2"/>
  <c r="L351" i="6" s="1"/>
  <c r="L350" i="2"/>
  <c r="L350" i="6" s="1"/>
  <c r="L349" i="2"/>
  <c r="L349" i="6" s="1"/>
  <c r="L348" i="2"/>
  <c r="L348" i="6" s="1"/>
  <c r="L347" i="2"/>
  <c r="L347" i="6" s="1"/>
  <c r="L346" i="2"/>
  <c r="L346" i="6" s="1"/>
  <c r="L345" i="2"/>
  <c r="L345" i="6" s="1"/>
  <c r="L344" i="2"/>
  <c r="L344" i="6" s="1"/>
  <c r="L343" i="2"/>
  <c r="L343" i="6" s="1"/>
  <c r="L342" i="2"/>
  <c r="L342" i="6" s="1"/>
  <c r="L341" i="2"/>
  <c r="L341" i="6" s="1"/>
  <c r="L340" i="2"/>
  <c r="L340" i="6" s="1"/>
  <c r="L339" i="2"/>
  <c r="L339" i="6" s="1"/>
  <c r="L338" i="2"/>
  <c r="L338" i="6" s="1"/>
  <c r="L337" i="2"/>
  <c r="L337" i="6" s="1"/>
  <c r="L336" i="2"/>
  <c r="L336" i="6" s="1"/>
  <c r="L335" i="2"/>
  <c r="L335" i="6" s="1"/>
  <c r="L334" i="2"/>
  <c r="L334" i="6" s="1"/>
  <c r="L333" i="2"/>
  <c r="L333" i="6" s="1"/>
  <c r="L332" i="2"/>
  <c r="L332" i="6" s="1"/>
  <c r="L331" i="2"/>
  <c r="L331" i="6" s="1"/>
  <c r="L330" i="2"/>
  <c r="L330" i="6" s="1"/>
  <c r="L329" i="2"/>
  <c r="L329" i="6" s="1"/>
  <c r="L328" i="2"/>
  <c r="L328" i="6" s="1"/>
  <c r="L327" i="2"/>
  <c r="L327" i="6" s="1"/>
  <c r="L326" i="2"/>
  <c r="L326" i="6" s="1"/>
  <c r="L325" i="2"/>
  <c r="L325" i="6" s="1"/>
  <c r="L324" i="2"/>
  <c r="L324" i="6" s="1"/>
  <c r="L323" i="2"/>
  <c r="L323" i="6" s="1"/>
  <c r="L322" i="2"/>
  <c r="L322" i="6" s="1"/>
  <c r="L321" i="2"/>
  <c r="L321" i="6" s="1"/>
  <c r="L320" i="2"/>
  <c r="L320" i="6" s="1"/>
  <c r="L319" i="2"/>
  <c r="L319" i="6" s="1"/>
  <c r="L318" i="2"/>
  <c r="L318" i="6" s="1"/>
  <c r="L317" i="2"/>
  <c r="L317" i="6" s="1"/>
  <c r="L316" i="2"/>
  <c r="L316" i="6" s="1"/>
  <c r="L315" i="2"/>
  <c r="L315" i="6" s="1"/>
  <c r="L314" i="2"/>
  <c r="L314" i="6" s="1"/>
  <c r="L313" i="2"/>
  <c r="L313" i="6" s="1"/>
  <c r="L312" i="2"/>
  <c r="L312" i="6" s="1"/>
  <c r="L311" i="2"/>
  <c r="L311" i="6" s="1"/>
  <c r="L310" i="2"/>
  <c r="L310" i="6" s="1"/>
  <c r="L309" i="2"/>
  <c r="L309" i="6" s="1"/>
  <c r="L308" i="2"/>
  <c r="L308" i="6" s="1"/>
  <c r="L307" i="2"/>
  <c r="L307" i="6" s="1"/>
  <c r="L306" i="2"/>
  <c r="L306" i="6" s="1"/>
  <c r="L305" i="2"/>
  <c r="L305" i="6" s="1"/>
  <c r="L304" i="2"/>
  <c r="L304" i="6" s="1"/>
  <c r="L303" i="2"/>
  <c r="L303" i="6" s="1"/>
  <c r="L302" i="2"/>
  <c r="L302" i="6" s="1"/>
  <c r="L301" i="2"/>
  <c r="L301" i="6" s="1"/>
  <c r="L300" i="2"/>
  <c r="L300" i="6" s="1"/>
  <c r="L299" i="2"/>
  <c r="L299" i="6" s="1"/>
  <c r="L298" i="2"/>
  <c r="L298" i="6" s="1"/>
  <c r="L297" i="2"/>
  <c r="L297" i="6" s="1"/>
  <c r="L296" i="2"/>
  <c r="L296" i="6" s="1"/>
  <c r="L295" i="2"/>
  <c r="L295" i="6" s="1"/>
  <c r="L294" i="2"/>
  <c r="L294" i="6" s="1"/>
  <c r="L293" i="2"/>
  <c r="L293" i="6" s="1"/>
  <c r="L292" i="2"/>
  <c r="L292" i="6" s="1"/>
  <c r="L291" i="2"/>
  <c r="L291" i="6" s="1"/>
  <c r="L290" i="2"/>
  <c r="L290" i="6" s="1"/>
  <c r="L289" i="2"/>
  <c r="L289" i="6" s="1"/>
  <c r="L288" i="2"/>
  <c r="L288" i="6" s="1"/>
  <c r="L287" i="2"/>
  <c r="L287" i="6" s="1"/>
  <c r="L286" i="2"/>
  <c r="L286" i="6" s="1"/>
  <c r="L285" i="2"/>
  <c r="L285" i="6" s="1"/>
  <c r="L284" i="2"/>
  <c r="L284" i="6" s="1"/>
  <c r="L283" i="2"/>
  <c r="L283" i="6" s="1"/>
  <c r="L282" i="2"/>
  <c r="L282" i="6" s="1"/>
  <c r="L281" i="2"/>
  <c r="L281" i="6" s="1"/>
  <c r="L280" i="2"/>
  <c r="L280" i="6" s="1"/>
  <c r="L279" i="2"/>
  <c r="L279" i="6" s="1"/>
  <c r="L278" i="2"/>
  <c r="L278" i="6" s="1"/>
  <c r="L277" i="2"/>
  <c r="L277" i="6" s="1"/>
  <c r="L276" i="2"/>
  <c r="L276" i="6" s="1"/>
  <c r="L275" i="2"/>
  <c r="L275" i="6" s="1"/>
  <c r="L274" i="2"/>
  <c r="L274" i="6" s="1"/>
  <c r="L273" i="2"/>
  <c r="L273" i="6" s="1"/>
  <c r="L272" i="2"/>
  <c r="L272" i="6" s="1"/>
  <c r="L271" i="2"/>
  <c r="L271" i="6" s="1"/>
  <c r="L270" i="2"/>
  <c r="L270" i="6" s="1"/>
  <c r="L269" i="2"/>
  <c r="L269" i="6" s="1"/>
  <c r="L268" i="2"/>
  <c r="L268" i="6" s="1"/>
  <c r="L267" i="2"/>
  <c r="L267" i="6" s="1"/>
  <c r="L266" i="2"/>
  <c r="L266" i="6" s="1"/>
  <c r="L265" i="2"/>
  <c r="L265" i="6" s="1"/>
  <c r="L264" i="2"/>
  <c r="L264" i="6" s="1"/>
  <c r="L263" i="2"/>
  <c r="L263" i="6" s="1"/>
  <c r="L262" i="2"/>
  <c r="L262" i="6" s="1"/>
  <c r="L261" i="2"/>
  <c r="L261" i="6" s="1"/>
  <c r="L260" i="2"/>
  <c r="L260" i="6" s="1"/>
  <c r="L259" i="2"/>
  <c r="L259" i="6" s="1"/>
  <c r="L258" i="2"/>
  <c r="L258" i="6" s="1"/>
  <c r="L257" i="2"/>
  <c r="L257" i="6" s="1"/>
  <c r="L256" i="2"/>
  <c r="L256" i="6" s="1"/>
  <c r="L255" i="2"/>
  <c r="L255" i="6" s="1"/>
  <c r="L254" i="2"/>
  <c r="L254" i="6" s="1"/>
  <c r="L253" i="2"/>
  <c r="L253" i="6" s="1"/>
  <c r="L252" i="2"/>
  <c r="L252" i="6" s="1"/>
  <c r="L251" i="2"/>
  <c r="L251" i="6" s="1"/>
  <c r="L250" i="2"/>
  <c r="L250" i="6" s="1"/>
  <c r="L249" i="2"/>
  <c r="L249" i="6" s="1"/>
  <c r="L248" i="2"/>
  <c r="L248" i="6" s="1"/>
  <c r="L247" i="2"/>
  <c r="L247" i="6" s="1"/>
  <c r="L246" i="2"/>
  <c r="L246" i="6" s="1"/>
  <c r="L245" i="2"/>
  <c r="L245" i="6" s="1"/>
  <c r="L244" i="2"/>
  <c r="L244" i="6" s="1"/>
  <c r="L243" i="2"/>
  <c r="L243" i="6" s="1"/>
  <c r="L242" i="2"/>
  <c r="L242" i="6" s="1"/>
  <c r="L241" i="2"/>
  <c r="L241" i="6" s="1"/>
  <c r="L240" i="2"/>
  <c r="L240" i="6" s="1"/>
  <c r="L239" i="2"/>
  <c r="L239" i="6" s="1"/>
  <c r="L238" i="2"/>
  <c r="L238" i="6" s="1"/>
  <c r="L237" i="2"/>
  <c r="L237" i="6" s="1"/>
  <c r="L236" i="2"/>
  <c r="L236" i="6" s="1"/>
  <c r="L235" i="2"/>
  <c r="L235" i="6" s="1"/>
  <c r="L234" i="2"/>
  <c r="L234" i="6" s="1"/>
  <c r="L233" i="2"/>
  <c r="L233" i="6" s="1"/>
  <c r="L232" i="2"/>
  <c r="L232" i="6" s="1"/>
  <c r="L231" i="2"/>
  <c r="L231" i="6" s="1"/>
  <c r="L230" i="2"/>
  <c r="L230" i="6" s="1"/>
  <c r="L229" i="2"/>
  <c r="L229" i="6" s="1"/>
  <c r="L228" i="2"/>
  <c r="L228" i="6" s="1"/>
  <c r="L227" i="2"/>
  <c r="L227" i="6" s="1"/>
  <c r="L226" i="2"/>
  <c r="L226" i="6" s="1"/>
  <c r="L225" i="2"/>
  <c r="L225" i="6" s="1"/>
  <c r="L224" i="2"/>
  <c r="L224" i="6" s="1"/>
  <c r="L223" i="2"/>
  <c r="L223" i="6" s="1"/>
  <c r="L222" i="2"/>
  <c r="L222" i="6" s="1"/>
  <c r="L221" i="2"/>
  <c r="L221" i="6" s="1"/>
  <c r="L220" i="2"/>
  <c r="L220" i="6" s="1"/>
  <c r="L219" i="2"/>
  <c r="L219" i="6" s="1"/>
  <c r="L218" i="2"/>
  <c r="L218" i="6" s="1"/>
  <c r="L217" i="2"/>
  <c r="L217" i="6" s="1"/>
  <c r="L216" i="2"/>
  <c r="L216" i="6" s="1"/>
  <c r="L215" i="2"/>
  <c r="L215" i="6" s="1"/>
  <c r="L214" i="2"/>
  <c r="L214" i="6" s="1"/>
  <c r="L213" i="2"/>
  <c r="L213" i="6" s="1"/>
  <c r="L212" i="2"/>
  <c r="L212" i="6" s="1"/>
  <c r="L211" i="2"/>
  <c r="L211" i="6" s="1"/>
  <c r="L210" i="2"/>
  <c r="L210" i="6" s="1"/>
  <c r="L209" i="2"/>
  <c r="L209" i="6" s="1"/>
  <c r="L208" i="2"/>
  <c r="L208" i="6" s="1"/>
  <c r="L207" i="2"/>
  <c r="L207" i="6" s="1"/>
  <c r="L206" i="2"/>
  <c r="L206" i="6" s="1"/>
  <c r="L205" i="2"/>
  <c r="L205" i="6" s="1"/>
  <c r="L204" i="2"/>
  <c r="L204" i="6" s="1"/>
  <c r="L203" i="2"/>
  <c r="L203" i="6" s="1"/>
  <c r="L202" i="2"/>
  <c r="L202" i="6" s="1"/>
  <c r="L201" i="2"/>
  <c r="L201" i="6" s="1"/>
  <c r="L200" i="2"/>
  <c r="L200" i="6" s="1"/>
  <c r="L199" i="2"/>
  <c r="L199" i="6" s="1"/>
  <c r="L198" i="2"/>
  <c r="L198" i="6" s="1"/>
  <c r="L197" i="2"/>
  <c r="L197" i="6" s="1"/>
  <c r="L196" i="2"/>
  <c r="L196" i="6" s="1"/>
  <c r="L195" i="2"/>
  <c r="L195" i="6" s="1"/>
  <c r="L194" i="2"/>
  <c r="L194" i="6" s="1"/>
  <c r="L193" i="2"/>
  <c r="L193" i="6" s="1"/>
  <c r="L192" i="2"/>
  <c r="L192" i="6" s="1"/>
  <c r="L191" i="2"/>
  <c r="L191" i="6" s="1"/>
  <c r="L190" i="2"/>
  <c r="L190" i="6" s="1"/>
  <c r="L189" i="2"/>
  <c r="L189" i="6" s="1"/>
  <c r="L188" i="2"/>
  <c r="L188" i="6" s="1"/>
  <c r="L187" i="2"/>
  <c r="L187" i="6" s="1"/>
  <c r="L186" i="2"/>
  <c r="L186" i="6" s="1"/>
  <c r="L185" i="2"/>
  <c r="L185" i="6" s="1"/>
  <c r="L184" i="2"/>
  <c r="L184" i="6" s="1"/>
  <c r="L183" i="2"/>
  <c r="L183" i="6" s="1"/>
  <c r="L182" i="2"/>
  <c r="L182" i="6" s="1"/>
  <c r="L181" i="2"/>
  <c r="L181" i="6" s="1"/>
  <c r="L180" i="2"/>
  <c r="L180" i="6" s="1"/>
  <c r="L179" i="2"/>
  <c r="L179" i="6" s="1"/>
  <c r="L178" i="2"/>
  <c r="L178" i="6" s="1"/>
  <c r="L177" i="2"/>
  <c r="L177" i="6" s="1"/>
  <c r="L176" i="2"/>
  <c r="L176" i="6" s="1"/>
  <c r="L175" i="2"/>
  <c r="L175" i="6" s="1"/>
  <c r="L174" i="2"/>
  <c r="L174" i="6" s="1"/>
  <c r="L173" i="2"/>
  <c r="L173" i="6" s="1"/>
  <c r="L172" i="2"/>
  <c r="L172" i="6" s="1"/>
  <c r="L171" i="2"/>
  <c r="L171" i="6" s="1"/>
  <c r="L170" i="2"/>
  <c r="L170" i="6" s="1"/>
  <c r="L169" i="2"/>
  <c r="L169" i="6" s="1"/>
  <c r="L168" i="2"/>
  <c r="L168" i="6" s="1"/>
  <c r="L167" i="2"/>
  <c r="L167" i="6" s="1"/>
  <c r="L166" i="2"/>
  <c r="L166" i="6" s="1"/>
  <c r="L165" i="2"/>
  <c r="L165" i="6" s="1"/>
  <c r="L164" i="2"/>
  <c r="L164" i="6" s="1"/>
  <c r="L163" i="2"/>
  <c r="L163" i="6" s="1"/>
  <c r="L162" i="2"/>
  <c r="L162" i="6" s="1"/>
  <c r="L161" i="2"/>
  <c r="L161" i="6" s="1"/>
  <c r="L160" i="2"/>
  <c r="L160" i="6" s="1"/>
  <c r="L159" i="2"/>
  <c r="L159" i="6" s="1"/>
  <c r="L158" i="2"/>
  <c r="L158" i="6" s="1"/>
  <c r="L157" i="2"/>
  <c r="L157" i="6" s="1"/>
  <c r="L156" i="2"/>
  <c r="L156" i="6" s="1"/>
  <c r="L155" i="2"/>
  <c r="L155" i="6" s="1"/>
  <c r="L154" i="2"/>
  <c r="L154" i="6" s="1"/>
  <c r="L153" i="2"/>
  <c r="L153" i="6" s="1"/>
  <c r="L152" i="2"/>
  <c r="L152" i="6" s="1"/>
  <c r="L151" i="2"/>
  <c r="L151" i="6" s="1"/>
  <c r="L150" i="2"/>
  <c r="L150" i="6" s="1"/>
  <c r="L149" i="2"/>
  <c r="L149" i="6" s="1"/>
  <c r="L148" i="2"/>
  <c r="L148" i="6" s="1"/>
  <c r="L147" i="2"/>
  <c r="L147" i="6" s="1"/>
  <c r="L146" i="2"/>
  <c r="L146" i="6" s="1"/>
  <c r="L145" i="2"/>
  <c r="L145" i="6" s="1"/>
  <c r="L144" i="2"/>
  <c r="L144" i="6" s="1"/>
  <c r="L143" i="2"/>
  <c r="L143" i="6" s="1"/>
  <c r="L142" i="2"/>
  <c r="L142" i="6" s="1"/>
  <c r="L141" i="2"/>
  <c r="L141" i="6" s="1"/>
  <c r="L140" i="2"/>
  <c r="L140" i="6" s="1"/>
  <c r="L139" i="2"/>
  <c r="L139" i="6" s="1"/>
  <c r="L138" i="2"/>
  <c r="L138" i="6" s="1"/>
  <c r="L137" i="2"/>
  <c r="L137" i="6" s="1"/>
  <c r="L136" i="2"/>
  <c r="L136" i="6" s="1"/>
  <c r="L135" i="2"/>
  <c r="L135" i="6" s="1"/>
  <c r="L134" i="2"/>
  <c r="L134" i="6" s="1"/>
  <c r="L133" i="2"/>
  <c r="L133" i="6" s="1"/>
  <c r="L132" i="2"/>
  <c r="L132" i="6" s="1"/>
  <c r="L131" i="2"/>
  <c r="L131" i="6" s="1"/>
  <c r="L130" i="2"/>
  <c r="L130" i="6" s="1"/>
  <c r="L129" i="2"/>
  <c r="L129" i="6" s="1"/>
  <c r="L128" i="2"/>
  <c r="L128" i="6" s="1"/>
  <c r="L127" i="2"/>
  <c r="L127" i="6" s="1"/>
  <c r="L126" i="2"/>
  <c r="L126" i="6" s="1"/>
  <c r="L125" i="2"/>
  <c r="L125" i="6" s="1"/>
  <c r="L124" i="2"/>
  <c r="L124" i="6" s="1"/>
  <c r="L123" i="2"/>
  <c r="L123" i="6" s="1"/>
  <c r="L122" i="2"/>
  <c r="L122" i="6" s="1"/>
  <c r="L121" i="2"/>
  <c r="L121" i="6" s="1"/>
  <c r="L120" i="2"/>
  <c r="L120" i="6" s="1"/>
  <c r="L119" i="2"/>
  <c r="L119" i="6" s="1"/>
  <c r="L118" i="2"/>
  <c r="L118" i="6" s="1"/>
  <c r="L117" i="2"/>
  <c r="L117" i="6" s="1"/>
  <c r="L116" i="2"/>
  <c r="L116" i="6" s="1"/>
  <c r="L115" i="2"/>
  <c r="L115" i="6" s="1"/>
  <c r="L114" i="2"/>
  <c r="L114" i="6" s="1"/>
  <c r="L113" i="2"/>
  <c r="L113" i="6" s="1"/>
  <c r="L112" i="2"/>
  <c r="L112" i="6" s="1"/>
  <c r="L111" i="2"/>
  <c r="L111" i="6" s="1"/>
  <c r="L110" i="2"/>
  <c r="L110" i="6" s="1"/>
  <c r="L109" i="2"/>
  <c r="L109" i="6" s="1"/>
  <c r="L108" i="2"/>
  <c r="L108" i="6" s="1"/>
  <c r="L107" i="2"/>
  <c r="L107" i="6" s="1"/>
  <c r="L106" i="2"/>
  <c r="L106" i="6" s="1"/>
  <c r="L105" i="2"/>
  <c r="L105" i="6" s="1"/>
  <c r="L104" i="2"/>
  <c r="L104" i="6" s="1"/>
  <c r="L103" i="2"/>
  <c r="L103" i="6" s="1"/>
  <c r="L102" i="2"/>
  <c r="L102" i="6" s="1"/>
  <c r="L101" i="2"/>
  <c r="L101" i="6" s="1"/>
  <c r="L100" i="2"/>
  <c r="L100" i="6" s="1"/>
  <c r="L99" i="2"/>
  <c r="L99" i="6" s="1"/>
  <c r="L98" i="2"/>
  <c r="L98" i="6" s="1"/>
  <c r="L97" i="2"/>
  <c r="L97" i="6" s="1"/>
  <c r="L96" i="2"/>
  <c r="L96" i="6" s="1"/>
  <c r="L95" i="2"/>
  <c r="L95" i="6" s="1"/>
  <c r="L94" i="2"/>
  <c r="L94" i="6" s="1"/>
  <c r="L93" i="2"/>
  <c r="L93" i="6" s="1"/>
  <c r="L92" i="2"/>
  <c r="L92" i="6" s="1"/>
  <c r="L91" i="2"/>
  <c r="L91" i="6" s="1"/>
  <c r="L90" i="2"/>
  <c r="L90" i="6" s="1"/>
  <c r="L89" i="2"/>
  <c r="L89" i="6" s="1"/>
  <c r="L88" i="2"/>
  <c r="L88" i="6" s="1"/>
  <c r="L87" i="2"/>
  <c r="L87" i="6" s="1"/>
  <c r="L86" i="2"/>
  <c r="L86" i="6" s="1"/>
  <c r="L85" i="2"/>
  <c r="L85" i="6" s="1"/>
  <c r="L84" i="2"/>
  <c r="L84" i="6" s="1"/>
  <c r="L83" i="2"/>
  <c r="L83" i="6" s="1"/>
  <c r="L82" i="2"/>
  <c r="L82" i="6" s="1"/>
  <c r="L81" i="2"/>
  <c r="L81" i="6" s="1"/>
  <c r="L80" i="2"/>
  <c r="L80" i="6" s="1"/>
  <c r="L79" i="2"/>
  <c r="L79" i="6" s="1"/>
  <c r="L78" i="2"/>
  <c r="L78" i="6" s="1"/>
  <c r="L77" i="2"/>
  <c r="L77" i="6" s="1"/>
  <c r="L76" i="2"/>
  <c r="L76" i="6" s="1"/>
  <c r="L75" i="2"/>
  <c r="L75" i="6" s="1"/>
  <c r="L74" i="2"/>
  <c r="L74" i="6" s="1"/>
  <c r="L73" i="2"/>
  <c r="L73" i="6" s="1"/>
  <c r="L72" i="2"/>
  <c r="L72" i="6" s="1"/>
  <c r="L71" i="2"/>
  <c r="L71" i="6" s="1"/>
  <c r="L70" i="2"/>
  <c r="L70" i="6" s="1"/>
  <c r="L69" i="2"/>
  <c r="L69" i="6" s="1"/>
  <c r="L68" i="2"/>
  <c r="L68" i="6" s="1"/>
  <c r="L67" i="2"/>
  <c r="L67" i="6" s="1"/>
  <c r="L66" i="2"/>
  <c r="L66" i="6" s="1"/>
  <c r="L65" i="2"/>
  <c r="L65" i="6" s="1"/>
  <c r="L64" i="2"/>
  <c r="L64" i="6" s="1"/>
  <c r="L63" i="2"/>
  <c r="L63" i="6" s="1"/>
  <c r="L62" i="2"/>
  <c r="L62" i="6" s="1"/>
  <c r="L61" i="2"/>
  <c r="L61" i="6" s="1"/>
  <c r="L60" i="2"/>
  <c r="L60" i="6" s="1"/>
  <c r="L59" i="2"/>
  <c r="L59" i="6" s="1"/>
  <c r="L58" i="2"/>
  <c r="L58" i="6" s="1"/>
  <c r="L57" i="2"/>
  <c r="L57" i="6" s="1"/>
  <c r="L56" i="2"/>
  <c r="L56" i="6" s="1"/>
  <c r="L55" i="2"/>
  <c r="L55" i="6" s="1"/>
  <c r="L54" i="2"/>
  <c r="L54" i="6" s="1"/>
  <c r="L53" i="2"/>
  <c r="L53" i="6" s="1"/>
  <c r="L52" i="2"/>
  <c r="L52" i="6" s="1"/>
  <c r="L51" i="2"/>
  <c r="L51" i="6" s="1"/>
  <c r="L50" i="2"/>
  <c r="L50" i="6" s="1"/>
  <c r="L49" i="2"/>
  <c r="L49" i="6" s="1"/>
  <c r="L48" i="2"/>
  <c r="L48" i="6" s="1"/>
  <c r="L47" i="2"/>
  <c r="L47" i="6" s="1"/>
  <c r="L46" i="2"/>
  <c r="L46" i="6" s="1"/>
  <c r="L45" i="2"/>
  <c r="L45" i="6" s="1"/>
  <c r="L44" i="2"/>
  <c r="L44" i="6" s="1"/>
  <c r="L43" i="2"/>
  <c r="L43" i="6" s="1"/>
  <c r="L42" i="2"/>
  <c r="L42" i="6" s="1"/>
  <c r="L41" i="2"/>
  <c r="L41" i="6" s="1"/>
  <c r="L40" i="2"/>
  <c r="L40" i="6" s="1"/>
  <c r="L39" i="2"/>
  <c r="L39" i="6" s="1"/>
  <c r="L38" i="2"/>
  <c r="L38" i="6" s="1"/>
  <c r="L37" i="2"/>
  <c r="L37" i="6" s="1"/>
  <c r="L36" i="2"/>
  <c r="L36" i="6" s="1"/>
  <c r="L35" i="2"/>
  <c r="L35" i="6" s="1"/>
  <c r="L34" i="2"/>
  <c r="L34" i="6" s="1"/>
  <c r="L33" i="2"/>
  <c r="L33" i="6" s="1"/>
  <c r="L32" i="2"/>
  <c r="L32" i="6" s="1"/>
  <c r="L31" i="2"/>
  <c r="L31" i="6" s="1"/>
  <c r="L30" i="2"/>
  <c r="L30" i="6" s="1"/>
  <c r="L29" i="2"/>
  <c r="L29" i="6" s="1"/>
  <c r="L28" i="2"/>
  <c r="L28" i="6" s="1"/>
  <c r="L27" i="2"/>
  <c r="L27" i="6" s="1"/>
  <c r="L26" i="2"/>
  <c r="L26" i="6" s="1"/>
  <c r="L25" i="2"/>
  <c r="L25" i="6" s="1"/>
  <c r="L24" i="2"/>
  <c r="L24" i="6" s="1"/>
  <c r="L23" i="2"/>
  <c r="L23" i="6" s="1"/>
  <c r="L22" i="2"/>
  <c r="L22" i="6" s="1"/>
  <c r="L21" i="2"/>
  <c r="L21" i="6" s="1"/>
  <c r="L20" i="2"/>
  <c r="L20" i="6" s="1"/>
  <c r="L19" i="2"/>
  <c r="L19" i="6" s="1"/>
  <c r="L18" i="2"/>
  <c r="L18" i="6" s="1"/>
  <c r="L17" i="2"/>
  <c r="L17" i="6" s="1"/>
  <c r="L16" i="2"/>
  <c r="L16" i="6" s="1"/>
  <c r="L15" i="2"/>
  <c r="L15" i="6" s="1"/>
  <c r="L14" i="2"/>
  <c r="L14" i="6" s="1"/>
  <c r="L13" i="2"/>
  <c r="L13" i="6" s="1"/>
  <c r="L12" i="2"/>
  <c r="L12" i="6" s="1"/>
  <c r="L11" i="2"/>
  <c r="L11" i="6" s="1"/>
  <c r="L10" i="2"/>
  <c r="L10" i="6" s="1"/>
  <c r="L9" i="2"/>
  <c r="L9" i="6" s="1"/>
  <c r="L8" i="2"/>
  <c r="L8" i="6" s="1"/>
  <c r="L7" i="2"/>
  <c r="L7" i="6" s="1"/>
  <c r="L6" i="2"/>
  <c r="L6" i="6" s="1"/>
  <c r="K498" i="2"/>
  <c r="K498" i="6" s="1"/>
  <c r="K497" i="2"/>
  <c r="K497" i="6" s="1"/>
  <c r="K496" i="2"/>
  <c r="K496" i="6" s="1"/>
  <c r="K495" i="2"/>
  <c r="K495" i="6" s="1"/>
  <c r="K494" i="2"/>
  <c r="K494" i="6" s="1"/>
  <c r="K493" i="2"/>
  <c r="K493" i="6" s="1"/>
  <c r="K492" i="2"/>
  <c r="K492" i="6" s="1"/>
  <c r="K491" i="2"/>
  <c r="K491" i="6" s="1"/>
  <c r="K490" i="2"/>
  <c r="K490" i="6" s="1"/>
  <c r="K489" i="2"/>
  <c r="K489" i="6" s="1"/>
  <c r="K488" i="2"/>
  <c r="K488" i="6" s="1"/>
  <c r="K487" i="2"/>
  <c r="K487" i="6" s="1"/>
  <c r="K486" i="2"/>
  <c r="K486" i="6" s="1"/>
  <c r="K485" i="2"/>
  <c r="K485" i="6" s="1"/>
  <c r="K484" i="2"/>
  <c r="K484" i="6" s="1"/>
  <c r="K483" i="2"/>
  <c r="K483" i="6" s="1"/>
  <c r="K482" i="2"/>
  <c r="K482" i="6" s="1"/>
  <c r="K481" i="2"/>
  <c r="K481" i="6" s="1"/>
  <c r="K480" i="2"/>
  <c r="K480" i="6" s="1"/>
  <c r="K479" i="2"/>
  <c r="K479" i="6" s="1"/>
  <c r="K478" i="2"/>
  <c r="K478" i="6" s="1"/>
  <c r="K477" i="2"/>
  <c r="K477" i="6" s="1"/>
  <c r="K476" i="2"/>
  <c r="K476" i="6" s="1"/>
  <c r="K475" i="2"/>
  <c r="K475" i="6" s="1"/>
  <c r="K474" i="2"/>
  <c r="K474" i="6" s="1"/>
  <c r="K473" i="2"/>
  <c r="K473" i="6" s="1"/>
  <c r="K472" i="2"/>
  <c r="K472" i="6" s="1"/>
  <c r="K471" i="2"/>
  <c r="K471" i="6" s="1"/>
  <c r="K470" i="2"/>
  <c r="K470" i="6" s="1"/>
  <c r="K469" i="2"/>
  <c r="K469" i="6" s="1"/>
  <c r="K468" i="2"/>
  <c r="K468" i="6" s="1"/>
  <c r="K467" i="2"/>
  <c r="K467" i="6" s="1"/>
  <c r="K466" i="2"/>
  <c r="K466" i="6" s="1"/>
  <c r="K465" i="2"/>
  <c r="K465" i="6" s="1"/>
  <c r="K464" i="2"/>
  <c r="K464" i="6" s="1"/>
  <c r="K463" i="2"/>
  <c r="K463" i="6" s="1"/>
  <c r="K462" i="2"/>
  <c r="K462" i="6" s="1"/>
  <c r="K461" i="2"/>
  <c r="K461" i="6" s="1"/>
  <c r="K460" i="2"/>
  <c r="K460" i="6" s="1"/>
  <c r="K459" i="2"/>
  <c r="K459" i="6" s="1"/>
  <c r="K458" i="2"/>
  <c r="K458" i="6" s="1"/>
  <c r="K457" i="2"/>
  <c r="K457" i="6" s="1"/>
  <c r="K456" i="2"/>
  <c r="K456" i="6" s="1"/>
  <c r="K455" i="2"/>
  <c r="K455" i="6" s="1"/>
  <c r="K454" i="2"/>
  <c r="K454" i="6" s="1"/>
  <c r="K453" i="2"/>
  <c r="K453" i="6" s="1"/>
  <c r="K452" i="2"/>
  <c r="K452" i="6" s="1"/>
  <c r="K451" i="2"/>
  <c r="K451" i="6" s="1"/>
  <c r="K450" i="2"/>
  <c r="K450" i="6" s="1"/>
  <c r="K449" i="2"/>
  <c r="K449" i="6" s="1"/>
  <c r="K448" i="2"/>
  <c r="K448" i="6" s="1"/>
  <c r="K447" i="2"/>
  <c r="K447" i="6" s="1"/>
  <c r="K446" i="2"/>
  <c r="K446" i="6" s="1"/>
  <c r="K445" i="2"/>
  <c r="K445" i="6" s="1"/>
  <c r="K444" i="2"/>
  <c r="K444" i="6" s="1"/>
  <c r="K443" i="2"/>
  <c r="K443" i="6" s="1"/>
  <c r="K442" i="2"/>
  <c r="K442" i="6" s="1"/>
  <c r="K441" i="2"/>
  <c r="K441" i="6" s="1"/>
  <c r="K440" i="2"/>
  <c r="K440" i="6" s="1"/>
  <c r="K439" i="2"/>
  <c r="K439" i="6" s="1"/>
  <c r="K438" i="2"/>
  <c r="K438" i="6" s="1"/>
  <c r="K437" i="2"/>
  <c r="K437" i="6" s="1"/>
  <c r="K436" i="2"/>
  <c r="K436" i="6" s="1"/>
  <c r="K435" i="2"/>
  <c r="K435" i="6" s="1"/>
  <c r="K434" i="2"/>
  <c r="K434" i="6" s="1"/>
  <c r="K433" i="2"/>
  <c r="K433" i="6" s="1"/>
  <c r="K432" i="2"/>
  <c r="K432" i="6" s="1"/>
  <c r="K431" i="2"/>
  <c r="K431" i="6" s="1"/>
  <c r="K430" i="2"/>
  <c r="K430" i="6" s="1"/>
  <c r="K429" i="2"/>
  <c r="K429" i="6" s="1"/>
  <c r="K428" i="2"/>
  <c r="K428" i="6" s="1"/>
  <c r="K427" i="2"/>
  <c r="K427" i="6" s="1"/>
  <c r="K426" i="2"/>
  <c r="K426" i="6" s="1"/>
  <c r="K425" i="2"/>
  <c r="K425" i="6" s="1"/>
  <c r="K424" i="2"/>
  <c r="K424" i="6" s="1"/>
  <c r="K423" i="2"/>
  <c r="K423" i="6" s="1"/>
  <c r="K422" i="2"/>
  <c r="K422" i="6" s="1"/>
  <c r="K421" i="2"/>
  <c r="K421" i="6" s="1"/>
  <c r="K420" i="2"/>
  <c r="K420" i="6" s="1"/>
  <c r="K419" i="2"/>
  <c r="K419" i="6" s="1"/>
  <c r="K418" i="2"/>
  <c r="K418" i="6" s="1"/>
  <c r="K417" i="2"/>
  <c r="K417" i="6" s="1"/>
  <c r="K416" i="2"/>
  <c r="K416" i="6" s="1"/>
  <c r="K415" i="2"/>
  <c r="K415" i="6" s="1"/>
  <c r="K414" i="2"/>
  <c r="K414" i="6" s="1"/>
  <c r="K413" i="2"/>
  <c r="K413" i="6" s="1"/>
  <c r="K412" i="2"/>
  <c r="K412" i="6" s="1"/>
  <c r="K411" i="2"/>
  <c r="K411" i="6" s="1"/>
  <c r="K410" i="2"/>
  <c r="K410" i="6" s="1"/>
  <c r="K409" i="2"/>
  <c r="K409" i="6" s="1"/>
  <c r="K408" i="2"/>
  <c r="K408" i="6" s="1"/>
  <c r="K407" i="2"/>
  <c r="K407" i="6" s="1"/>
  <c r="K406" i="2"/>
  <c r="K406" i="6" s="1"/>
  <c r="K405" i="2"/>
  <c r="K405" i="6" s="1"/>
  <c r="K404" i="2"/>
  <c r="K404" i="6" s="1"/>
  <c r="K403" i="2"/>
  <c r="K403" i="6" s="1"/>
  <c r="K402" i="2"/>
  <c r="K402" i="6" s="1"/>
  <c r="K401" i="2"/>
  <c r="K401" i="6" s="1"/>
  <c r="K400" i="2"/>
  <c r="K400" i="6" s="1"/>
  <c r="K399" i="2"/>
  <c r="K399" i="6" s="1"/>
  <c r="K398" i="2"/>
  <c r="K398" i="6" s="1"/>
  <c r="K397" i="2"/>
  <c r="K397" i="6" s="1"/>
  <c r="K396" i="2"/>
  <c r="K396" i="6" s="1"/>
  <c r="K395" i="2"/>
  <c r="K395" i="6" s="1"/>
  <c r="K394" i="2"/>
  <c r="K394" i="6" s="1"/>
  <c r="K393" i="2"/>
  <c r="K393" i="6" s="1"/>
  <c r="K392" i="2"/>
  <c r="K392" i="6" s="1"/>
  <c r="K391" i="2"/>
  <c r="K391" i="6" s="1"/>
  <c r="K390" i="2"/>
  <c r="K390" i="6" s="1"/>
  <c r="K389" i="2"/>
  <c r="K389" i="6" s="1"/>
  <c r="K388" i="2"/>
  <c r="K388" i="6" s="1"/>
  <c r="K387" i="2"/>
  <c r="K387" i="6" s="1"/>
  <c r="K386" i="2"/>
  <c r="K386" i="6" s="1"/>
  <c r="K385" i="2"/>
  <c r="K385" i="6" s="1"/>
  <c r="K384" i="2"/>
  <c r="K384" i="6" s="1"/>
  <c r="K383" i="2"/>
  <c r="K383" i="6" s="1"/>
  <c r="K382" i="2"/>
  <c r="K382" i="6" s="1"/>
  <c r="K381" i="2"/>
  <c r="K381" i="6" s="1"/>
  <c r="K380" i="2"/>
  <c r="K380" i="6" s="1"/>
  <c r="K379" i="2"/>
  <c r="K379" i="6" s="1"/>
  <c r="K378" i="2"/>
  <c r="K378" i="6" s="1"/>
  <c r="K377" i="2"/>
  <c r="K377" i="6" s="1"/>
  <c r="K376" i="2"/>
  <c r="K376" i="6" s="1"/>
  <c r="K375" i="2"/>
  <c r="K375" i="6" s="1"/>
  <c r="K374" i="2"/>
  <c r="K374" i="6" s="1"/>
  <c r="K373" i="2"/>
  <c r="K373" i="6" s="1"/>
  <c r="K372" i="2"/>
  <c r="K372" i="6" s="1"/>
  <c r="K371" i="2"/>
  <c r="K371" i="6" s="1"/>
  <c r="K370" i="2"/>
  <c r="K370" i="6" s="1"/>
  <c r="K369" i="2"/>
  <c r="K369" i="6" s="1"/>
  <c r="K368" i="2"/>
  <c r="K368" i="6" s="1"/>
  <c r="K367" i="2"/>
  <c r="K367" i="6" s="1"/>
  <c r="K366" i="2"/>
  <c r="K366" i="6" s="1"/>
  <c r="K365" i="2"/>
  <c r="K365" i="6" s="1"/>
  <c r="K364" i="2"/>
  <c r="K364" i="6" s="1"/>
  <c r="K363" i="2"/>
  <c r="K363" i="6" s="1"/>
  <c r="K362" i="2"/>
  <c r="K362" i="6" s="1"/>
  <c r="K361" i="2"/>
  <c r="K361" i="6" s="1"/>
  <c r="K360" i="2"/>
  <c r="K360" i="6" s="1"/>
  <c r="K359" i="2"/>
  <c r="K359" i="6" s="1"/>
  <c r="K358" i="2"/>
  <c r="K358" i="6" s="1"/>
  <c r="K357" i="2"/>
  <c r="K357" i="6" s="1"/>
  <c r="K356" i="2"/>
  <c r="K356" i="6" s="1"/>
  <c r="K355" i="2"/>
  <c r="K355" i="6" s="1"/>
  <c r="K354" i="2"/>
  <c r="K354" i="6" s="1"/>
  <c r="K353" i="2"/>
  <c r="K353" i="6" s="1"/>
  <c r="K352" i="2"/>
  <c r="K352" i="6" s="1"/>
  <c r="K351" i="2"/>
  <c r="K351" i="6" s="1"/>
  <c r="K350" i="2"/>
  <c r="K350" i="6" s="1"/>
  <c r="K349" i="2"/>
  <c r="K349" i="6" s="1"/>
  <c r="K348" i="2"/>
  <c r="K348" i="6" s="1"/>
  <c r="K347" i="2"/>
  <c r="K347" i="6" s="1"/>
  <c r="K346" i="2"/>
  <c r="K346" i="6" s="1"/>
  <c r="K345" i="2"/>
  <c r="K345" i="6" s="1"/>
  <c r="K344" i="2"/>
  <c r="K344" i="6" s="1"/>
  <c r="K343" i="2"/>
  <c r="K343" i="6" s="1"/>
  <c r="K342" i="2"/>
  <c r="K342" i="6" s="1"/>
  <c r="K341" i="2"/>
  <c r="K341" i="6" s="1"/>
  <c r="K340" i="2"/>
  <c r="K340" i="6" s="1"/>
  <c r="K339" i="2"/>
  <c r="K339" i="6" s="1"/>
  <c r="K338" i="2"/>
  <c r="K338" i="6" s="1"/>
  <c r="K337" i="2"/>
  <c r="K337" i="6" s="1"/>
  <c r="K336" i="2"/>
  <c r="K336" i="6" s="1"/>
  <c r="K335" i="2"/>
  <c r="K335" i="6" s="1"/>
  <c r="K334" i="2"/>
  <c r="K334" i="6" s="1"/>
  <c r="K333" i="2"/>
  <c r="K333" i="6" s="1"/>
  <c r="K332" i="2"/>
  <c r="K332" i="6" s="1"/>
  <c r="K331" i="2"/>
  <c r="K331" i="6" s="1"/>
  <c r="K330" i="2"/>
  <c r="K330" i="6" s="1"/>
  <c r="K329" i="2"/>
  <c r="K329" i="6" s="1"/>
  <c r="K328" i="2"/>
  <c r="K328" i="6" s="1"/>
  <c r="K327" i="2"/>
  <c r="K327" i="6" s="1"/>
  <c r="K326" i="2"/>
  <c r="K326" i="6" s="1"/>
  <c r="K325" i="2"/>
  <c r="K325" i="6" s="1"/>
  <c r="K324" i="2"/>
  <c r="K324" i="6" s="1"/>
  <c r="K323" i="2"/>
  <c r="K323" i="6" s="1"/>
  <c r="K322" i="2"/>
  <c r="K322" i="6" s="1"/>
  <c r="K321" i="2"/>
  <c r="K321" i="6" s="1"/>
  <c r="K320" i="2"/>
  <c r="K320" i="6" s="1"/>
  <c r="K319" i="2"/>
  <c r="K319" i="6" s="1"/>
  <c r="K318" i="2"/>
  <c r="K318" i="6" s="1"/>
  <c r="K317" i="2"/>
  <c r="K317" i="6" s="1"/>
  <c r="K316" i="2"/>
  <c r="K316" i="6" s="1"/>
  <c r="K315" i="2"/>
  <c r="K315" i="6" s="1"/>
  <c r="K314" i="2"/>
  <c r="K314" i="6" s="1"/>
  <c r="K313" i="2"/>
  <c r="K313" i="6" s="1"/>
  <c r="K312" i="2"/>
  <c r="K312" i="6" s="1"/>
  <c r="K311" i="2"/>
  <c r="K311" i="6" s="1"/>
  <c r="K310" i="2"/>
  <c r="K310" i="6" s="1"/>
  <c r="K309" i="2"/>
  <c r="K309" i="6" s="1"/>
  <c r="K308" i="2"/>
  <c r="K308" i="6" s="1"/>
  <c r="K307" i="2"/>
  <c r="K307" i="6" s="1"/>
  <c r="K306" i="2"/>
  <c r="K306" i="6" s="1"/>
  <c r="K305" i="2"/>
  <c r="K305" i="6" s="1"/>
  <c r="K304" i="2"/>
  <c r="K304" i="6" s="1"/>
  <c r="K303" i="2"/>
  <c r="K303" i="6" s="1"/>
  <c r="K302" i="2"/>
  <c r="K302" i="6" s="1"/>
  <c r="K301" i="2"/>
  <c r="K301" i="6" s="1"/>
  <c r="K300" i="2"/>
  <c r="K300" i="6" s="1"/>
  <c r="K299" i="2"/>
  <c r="K299" i="6" s="1"/>
  <c r="K298" i="2"/>
  <c r="K298" i="6" s="1"/>
  <c r="K297" i="2"/>
  <c r="K297" i="6" s="1"/>
  <c r="K296" i="2"/>
  <c r="K296" i="6" s="1"/>
  <c r="K295" i="2"/>
  <c r="K295" i="6" s="1"/>
  <c r="K294" i="2"/>
  <c r="K294" i="6" s="1"/>
  <c r="K293" i="2"/>
  <c r="K293" i="6" s="1"/>
  <c r="K292" i="2"/>
  <c r="K292" i="6" s="1"/>
  <c r="K291" i="2"/>
  <c r="K291" i="6" s="1"/>
  <c r="K290" i="2"/>
  <c r="K290" i="6" s="1"/>
  <c r="K289" i="2"/>
  <c r="K289" i="6" s="1"/>
  <c r="K288" i="2"/>
  <c r="K288" i="6" s="1"/>
  <c r="K287" i="2"/>
  <c r="K287" i="6" s="1"/>
  <c r="K286" i="2"/>
  <c r="K286" i="6" s="1"/>
  <c r="K285" i="2"/>
  <c r="K285" i="6" s="1"/>
  <c r="K284" i="2"/>
  <c r="K284" i="6" s="1"/>
  <c r="K283" i="2"/>
  <c r="K283" i="6" s="1"/>
  <c r="K282" i="2"/>
  <c r="K282" i="6" s="1"/>
  <c r="K281" i="2"/>
  <c r="K281" i="6" s="1"/>
  <c r="K280" i="2"/>
  <c r="K280" i="6" s="1"/>
  <c r="K279" i="2"/>
  <c r="K279" i="6" s="1"/>
  <c r="K278" i="2"/>
  <c r="K278" i="6" s="1"/>
  <c r="K277" i="2"/>
  <c r="K277" i="6" s="1"/>
  <c r="K276" i="2"/>
  <c r="K276" i="6" s="1"/>
  <c r="K275" i="2"/>
  <c r="K275" i="6" s="1"/>
  <c r="K274" i="2"/>
  <c r="K274" i="6" s="1"/>
  <c r="K273" i="2"/>
  <c r="K273" i="6" s="1"/>
  <c r="K272" i="2"/>
  <c r="K272" i="6" s="1"/>
  <c r="K271" i="2"/>
  <c r="K271" i="6" s="1"/>
  <c r="K270" i="2"/>
  <c r="K270" i="6" s="1"/>
  <c r="K269" i="2"/>
  <c r="K269" i="6" s="1"/>
  <c r="K268" i="2"/>
  <c r="K268" i="6" s="1"/>
  <c r="K267" i="2"/>
  <c r="K267" i="6" s="1"/>
  <c r="K266" i="2"/>
  <c r="K266" i="6" s="1"/>
  <c r="K265" i="2"/>
  <c r="K265" i="6" s="1"/>
  <c r="K264" i="2"/>
  <c r="K264" i="6" s="1"/>
  <c r="K263" i="2"/>
  <c r="K263" i="6" s="1"/>
  <c r="K262" i="2"/>
  <c r="K262" i="6" s="1"/>
  <c r="K261" i="2"/>
  <c r="K261" i="6" s="1"/>
  <c r="K260" i="2"/>
  <c r="K260" i="6" s="1"/>
  <c r="K259" i="2"/>
  <c r="K259" i="6" s="1"/>
  <c r="K258" i="2"/>
  <c r="K258" i="6" s="1"/>
  <c r="K257" i="2"/>
  <c r="K257" i="6" s="1"/>
  <c r="K256" i="2"/>
  <c r="K256" i="6" s="1"/>
  <c r="K255" i="2"/>
  <c r="K255" i="6" s="1"/>
  <c r="K254" i="2"/>
  <c r="K254" i="6" s="1"/>
  <c r="K253" i="2"/>
  <c r="K253" i="6" s="1"/>
  <c r="K252" i="2"/>
  <c r="K252" i="6" s="1"/>
  <c r="K251" i="2"/>
  <c r="K251" i="6" s="1"/>
  <c r="K250" i="2"/>
  <c r="K250" i="6" s="1"/>
  <c r="K249" i="2"/>
  <c r="K249" i="6" s="1"/>
  <c r="K248" i="2"/>
  <c r="K248" i="6" s="1"/>
  <c r="K247" i="2"/>
  <c r="K247" i="6" s="1"/>
  <c r="K246" i="2"/>
  <c r="K246" i="6" s="1"/>
  <c r="K245" i="2"/>
  <c r="K245" i="6" s="1"/>
  <c r="K244" i="2"/>
  <c r="K244" i="6" s="1"/>
  <c r="K243" i="2"/>
  <c r="K243" i="6" s="1"/>
  <c r="K242" i="2"/>
  <c r="K242" i="6" s="1"/>
  <c r="K241" i="2"/>
  <c r="K241" i="6" s="1"/>
  <c r="K240" i="2"/>
  <c r="K240" i="6" s="1"/>
  <c r="K239" i="2"/>
  <c r="K239" i="6" s="1"/>
  <c r="K238" i="2"/>
  <c r="K238" i="6" s="1"/>
  <c r="K237" i="2"/>
  <c r="K237" i="6" s="1"/>
  <c r="K236" i="2"/>
  <c r="K236" i="6" s="1"/>
  <c r="K235" i="2"/>
  <c r="K235" i="6" s="1"/>
  <c r="K234" i="2"/>
  <c r="K234" i="6" s="1"/>
  <c r="K233" i="2"/>
  <c r="K233" i="6" s="1"/>
  <c r="K232" i="2"/>
  <c r="K232" i="6" s="1"/>
  <c r="K231" i="2"/>
  <c r="K231" i="6" s="1"/>
  <c r="K230" i="2"/>
  <c r="K230" i="6" s="1"/>
  <c r="K229" i="2"/>
  <c r="K229" i="6" s="1"/>
  <c r="K228" i="2"/>
  <c r="K228" i="6" s="1"/>
  <c r="K227" i="2"/>
  <c r="K227" i="6" s="1"/>
  <c r="K226" i="2"/>
  <c r="K226" i="6" s="1"/>
  <c r="K225" i="2"/>
  <c r="K225" i="6" s="1"/>
  <c r="K224" i="2"/>
  <c r="K224" i="6" s="1"/>
  <c r="K223" i="2"/>
  <c r="K223" i="6" s="1"/>
  <c r="K222" i="2"/>
  <c r="K222" i="6" s="1"/>
  <c r="K221" i="2"/>
  <c r="K221" i="6" s="1"/>
  <c r="K220" i="2"/>
  <c r="K220" i="6" s="1"/>
  <c r="K219" i="2"/>
  <c r="K219" i="6" s="1"/>
  <c r="K218" i="2"/>
  <c r="K218" i="6" s="1"/>
  <c r="K217" i="2"/>
  <c r="K217" i="6" s="1"/>
  <c r="K216" i="2"/>
  <c r="K216" i="6" s="1"/>
  <c r="K215" i="2"/>
  <c r="K215" i="6" s="1"/>
  <c r="K214" i="2"/>
  <c r="K214" i="6" s="1"/>
  <c r="K213" i="2"/>
  <c r="K213" i="6" s="1"/>
  <c r="K212" i="2"/>
  <c r="K212" i="6" s="1"/>
  <c r="K211" i="2"/>
  <c r="K211" i="6" s="1"/>
  <c r="K210" i="2"/>
  <c r="K210" i="6" s="1"/>
  <c r="K209" i="2"/>
  <c r="K209" i="6" s="1"/>
  <c r="K208" i="2"/>
  <c r="K208" i="6" s="1"/>
  <c r="K207" i="2"/>
  <c r="K207" i="6" s="1"/>
  <c r="K206" i="2"/>
  <c r="K206" i="6" s="1"/>
  <c r="K205" i="2"/>
  <c r="K205" i="6" s="1"/>
  <c r="K204" i="2"/>
  <c r="K204" i="6" s="1"/>
  <c r="K203" i="2"/>
  <c r="K203" i="6" s="1"/>
  <c r="K202" i="2"/>
  <c r="K202" i="6" s="1"/>
  <c r="K201" i="2"/>
  <c r="K201" i="6" s="1"/>
  <c r="K200" i="2"/>
  <c r="K200" i="6" s="1"/>
  <c r="K199" i="2"/>
  <c r="K199" i="6" s="1"/>
  <c r="K198" i="2"/>
  <c r="K198" i="6" s="1"/>
  <c r="K197" i="2"/>
  <c r="K197" i="6" s="1"/>
  <c r="K196" i="2"/>
  <c r="K196" i="6" s="1"/>
  <c r="K195" i="2"/>
  <c r="K195" i="6" s="1"/>
  <c r="K194" i="2"/>
  <c r="K194" i="6" s="1"/>
  <c r="K193" i="2"/>
  <c r="K193" i="6" s="1"/>
  <c r="K192" i="2"/>
  <c r="K192" i="6" s="1"/>
  <c r="K191" i="2"/>
  <c r="K191" i="6" s="1"/>
  <c r="K190" i="2"/>
  <c r="K190" i="6" s="1"/>
  <c r="K189" i="2"/>
  <c r="K189" i="6" s="1"/>
  <c r="K188" i="2"/>
  <c r="K188" i="6" s="1"/>
  <c r="K187" i="2"/>
  <c r="K187" i="6" s="1"/>
  <c r="K186" i="2"/>
  <c r="K186" i="6" s="1"/>
  <c r="K185" i="2"/>
  <c r="K185" i="6" s="1"/>
  <c r="K184" i="2"/>
  <c r="K184" i="6" s="1"/>
  <c r="K183" i="2"/>
  <c r="K183" i="6" s="1"/>
  <c r="K182" i="2"/>
  <c r="K182" i="6" s="1"/>
  <c r="K181" i="2"/>
  <c r="K181" i="6" s="1"/>
  <c r="K180" i="2"/>
  <c r="K180" i="6" s="1"/>
  <c r="K179" i="2"/>
  <c r="K179" i="6" s="1"/>
  <c r="K178" i="2"/>
  <c r="K178" i="6" s="1"/>
  <c r="K177" i="2"/>
  <c r="K177" i="6" s="1"/>
  <c r="K176" i="2"/>
  <c r="K176" i="6" s="1"/>
  <c r="K175" i="2"/>
  <c r="K175" i="6" s="1"/>
  <c r="K174" i="2"/>
  <c r="K174" i="6" s="1"/>
  <c r="K173" i="2"/>
  <c r="K173" i="6" s="1"/>
  <c r="K172" i="2"/>
  <c r="K172" i="6" s="1"/>
  <c r="K171" i="2"/>
  <c r="K171" i="6" s="1"/>
  <c r="K170" i="2"/>
  <c r="K170" i="6" s="1"/>
  <c r="K169" i="2"/>
  <c r="K169" i="6" s="1"/>
  <c r="K168" i="2"/>
  <c r="K168" i="6" s="1"/>
  <c r="K167" i="2"/>
  <c r="K167" i="6" s="1"/>
  <c r="K166" i="2"/>
  <c r="K166" i="6" s="1"/>
  <c r="K165" i="2"/>
  <c r="K165" i="6" s="1"/>
  <c r="K164" i="2"/>
  <c r="K164" i="6" s="1"/>
  <c r="K163" i="2"/>
  <c r="K163" i="6" s="1"/>
  <c r="K162" i="2"/>
  <c r="K162" i="6" s="1"/>
  <c r="K161" i="2"/>
  <c r="K161" i="6" s="1"/>
  <c r="K160" i="2"/>
  <c r="K160" i="6" s="1"/>
  <c r="K159" i="2"/>
  <c r="K159" i="6" s="1"/>
  <c r="K158" i="2"/>
  <c r="K158" i="6" s="1"/>
  <c r="K157" i="2"/>
  <c r="K157" i="6" s="1"/>
  <c r="K156" i="2"/>
  <c r="K156" i="6" s="1"/>
  <c r="K155" i="2"/>
  <c r="K155" i="6" s="1"/>
  <c r="K154" i="2"/>
  <c r="K154" i="6" s="1"/>
  <c r="K153" i="2"/>
  <c r="K153" i="6" s="1"/>
  <c r="K152" i="2"/>
  <c r="K152" i="6" s="1"/>
  <c r="K151" i="2"/>
  <c r="K151" i="6" s="1"/>
  <c r="K150" i="2"/>
  <c r="K150" i="6" s="1"/>
  <c r="K149" i="2"/>
  <c r="K149" i="6" s="1"/>
  <c r="K148" i="2"/>
  <c r="K148" i="6" s="1"/>
  <c r="K147" i="2"/>
  <c r="K147" i="6" s="1"/>
  <c r="K146" i="2"/>
  <c r="K146" i="6" s="1"/>
  <c r="K145" i="2"/>
  <c r="K145" i="6" s="1"/>
  <c r="K144" i="2"/>
  <c r="K144" i="6" s="1"/>
  <c r="K143" i="2"/>
  <c r="K143" i="6" s="1"/>
  <c r="K142" i="2"/>
  <c r="K142" i="6" s="1"/>
  <c r="K141" i="2"/>
  <c r="K141" i="6" s="1"/>
  <c r="K140" i="2"/>
  <c r="K140" i="6" s="1"/>
  <c r="K139" i="2"/>
  <c r="K139" i="6" s="1"/>
  <c r="K138" i="2"/>
  <c r="K138" i="6" s="1"/>
  <c r="K137" i="2"/>
  <c r="K137" i="6" s="1"/>
  <c r="K136" i="2"/>
  <c r="K136" i="6" s="1"/>
  <c r="K135" i="2"/>
  <c r="K135" i="6" s="1"/>
  <c r="K134" i="2"/>
  <c r="K134" i="6" s="1"/>
  <c r="K133" i="2"/>
  <c r="K133" i="6" s="1"/>
  <c r="K132" i="2"/>
  <c r="K132" i="6" s="1"/>
  <c r="K131" i="2"/>
  <c r="K131" i="6" s="1"/>
  <c r="K130" i="2"/>
  <c r="K130" i="6" s="1"/>
  <c r="K129" i="2"/>
  <c r="K129" i="6" s="1"/>
  <c r="K128" i="2"/>
  <c r="K128" i="6" s="1"/>
  <c r="K127" i="2"/>
  <c r="K127" i="6" s="1"/>
  <c r="K126" i="2"/>
  <c r="K126" i="6" s="1"/>
  <c r="K125" i="2"/>
  <c r="K125" i="6" s="1"/>
  <c r="K124" i="2"/>
  <c r="K124" i="6" s="1"/>
  <c r="K123" i="2"/>
  <c r="K123" i="6" s="1"/>
  <c r="K122" i="2"/>
  <c r="K122" i="6" s="1"/>
  <c r="K121" i="2"/>
  <c r="K121" i="6" s="1"/>
  <c r="K120" i="2"/>
  <c r="K120" i="6" s="1"/>
  <c r="K119" i="2"/>
  <c r="K119" i="6" s="1"/>
  <c r="K118" i="2"/>
  <c r="K118" i="6" s="1"/>
  <c r="K117" i="2"/>
  <c r="K117" i="6" s="1"/>
  <c r="K116" i="2"/>
  <c r="K116" i="6" s="1"/>
  <c r="K115" i="2"/>
  <c r="K115" i="6" s="1"/>
  <c r="K114" i="2"/>
  <c r="K114" i="6" s="1"/>
  <c r="K113" i="2"/>
  <c r="K113" i="6" s="1"/>
  <c r="K112" i="2"/>
  <c r="K112" i="6" s="1"/>
  <c r="K111" i="2"/>
  <c r="K111" i="6" s="1"/>
  <c r="K110" i="2"/>
  <c r="K110" i="6" s="1"/>
  <c r="K109" i="2"/>
  <c r="K109" i="6" s="1"/>
  <c r="K108" i="2"/>
  <c r="K108" i="6" s="1"/>
  <c r="K107" i="2"/>
  <c r="K107" i="6" s="1"/>
  <c r="K106" i="2"/>
  <c r="K106" i="6" s="1"/>
  <c r="K105" i="2"/>
  <c r="K105" i="6" s="1"/>
  <c r="K104" i="2"/>
  <c r="K104" i="6" s="1"/>
  <c r="K103" i="2"/>
  <c r="K103" i="6" s="1"/>
  <c r="K102" i="2"/>
  <c r="K102" i="6" s="1"/>
  <c r="K101" i="2"/>
  <c r="K101" i="6" s="1"/>
  <c r="K100" i="2"/>
  <c r="K100" i="6" s="1"/>
  <c r="K99" i="2"/>
  <c r="K99" i="6" s="1"/>
  <c r="K98" i="2"/>
  <c r="K98" i="6" s="1"/>
  <c r="K97" i="2"/>
  <c r="K97" i="6" s="1"/>
  <c r="K96" i="2"/>
  <c r="K96" i="6" s="1"/>
  <c r="K95" i="2"/>
  <c r="K95" i="6" s="1"/>
  <c r="K94" i="2"/>
  <c r="K94" i="6" s="1"/>
  <c r="K93" i="2"/>
  <c r="K93" i="6" s="1"/>
  <c r="K92" i="2"/>
  <c r="K92" i="6" s="1"/>
  <c r="K91" i="2"/>
  <c r="K91" i="6" s="1"/>
  <c r="K90" i="2"/>
  <c r="K90" i="6" s="1"/>
  <c r="K89" i="2"/>
  <c r="K89" i="6" s="1"/>
  <c r="K88" i="2"/>
  <c r="K88" i="6" s="1"/>
  <c r="K87" i="2"/>
  <c r="K87" i="6" s="1"/>
  <c r="K86" i="2"/>
  <c r="K86" i="6" s="1"/>
  <c r="K85" i="2"/>
  <c r="K85" i="6" s="1"/>
  <c r="K84" i="2"/>
  <c r="K84" i="6" s="1"/>
  <c r="K83" i="2"/>
  <c r="K83" i="6" s="1"/>
  <c r="K82" i="2"/>
  <c r="K82" i="6" s="1"/>
  <c r="K81" i="2"/>
  <c r="K81" i="6" s="1"/>
  <c r="K80" i="2"/>
  <c r="K80" i="6" s="1"/>
  <c r="K79" i="2"/>
  <c r="K79" i="6" s="1"/>
  <c r="K78" i="2"/>
  <c r="K78" i="6" s="1"/>
  <c r="K77" i="2"/>
  <c r="K77" i="6" s="1"/>
  <c r="K76" i="2"/>
  <c r="K76" i="6" s="1"/>
  <c r="K75" i="2"/>
  <c r="K75" i="6" s="1"/>
  <c r="K74" i="2"/>
  <c r="K74" i="6" s="1"/>
  <c r="K73" i="2"/>
  <c r="K73" i="6" s="1"/>
  <c r="K72" i="2"/>
  <c r="K72" i="6" s="1"/>
  <c r="K71" i="2"/>
  <c r="K71" i="6" s="1"/>
  <c r="K70" i="2"/>
  <c r="K70" i="6" s="1"/>
  <c r="K69" i="2"/>
  <c r="K69" i="6" s="1"/>
  <c r="K68" i="2"/>
  <c r="K68" i="6" s="1"/>
  <c r="K67" i="2"/>
  <c r="K67" i="6" s="1"/>
  <c r="K66" i="2"/>
  <c r="K66" i="6" s="1"/>
  <c r="K65" i="2"/>
  <c r="K65" i="6" s="1"/>
  <c r="K64" i="2"/>
  <c r="K64" i="6" s="1"/>
  <c r="K63" i="2"/>
  <c r="K63" i="6" s="1"/>
  <c r="K62" i="2"/>
  <c r="K62" i="6" s="1"/>
  <c r="K61" i="2"/>
  <c r="K61" i="6" s="1"/>
  <c r="K60" i="2"/>
  <c r="K60" i="6" s="1"/>
  <c r="K59" i="2"/>
  <c r="K59" i="6" s="1"/>
  <c r="K58" i="2"/>
  <c r="K58" i="6" s="1"/>
  <c r="K57" i="2"/>
  <c r="K57" i="6" s="1"/>
  <c r="K56" i="2"/>
  <c r="K56" i="6" s="1"/>
  <c r="K55" i="2"/>
  <c r="K55" i="6" s="1"/>
  <c r="K54" i="2"/>
  <c r="K54" i="6" s="1"/>
  <c r="K53" i="2"/>
  <c r="K53" i="6" s="1"/>
  <c r="K52" i="2"/>
  <c r="K52" i="6" s="1"/>
  <c r="K51" i="2"/>
  <c r="K51" i="6" s="1"/>
  <c r="K50" i="2"/>
  <c r="K50" i="6" s="1"/>
  <c r="K49" i="2"/>
  <c r="K49" i="6" s="1"/>
  <c r="K48" i="2"/>
  <c r="K48" i="6" s="1"/>
  <c r="K47" i="2"/>
  <c r="K47" i="6" s="1"/>
  <c r="K46" i="2"/>
  <c r="K46" i="6" s="1"/>
  <c r="K45" i="2"/>
  <c r="K45" i="6" s="1"/>
  <c r="K44" i="2"/>
  <c r="K44" i="6" s="1"/>
  <c r="K43" i="2"/>
  <c r="K43" i="6" s="1"/>
  <c r="K42" i="2"/>
  <c r="K42" i="6" s="1"/>
  <c r="K41" i="2"/>
  <c r="K41" i="6" s="1"/>
  <c r="K40" i="2"/>
  <c r="K40" i="6" s="1"/>
  <c r="K39" i="2"/>
  <c r="K39" i="6" s="1"/>
  <c r="K38" i="2"/>
  <c r="K38" i="6" s="1"/>
  <c r="K37" i="2"/>
  <c r="K37" i="6" s="1"/>
  <c r="K36" i="2"/>
  <c r="K36" i="6" s="1"/>
  <c r="K35" i="2"/>
  <c r="K35" i="6" s="1"/>
  <c r="K34" i="2"/>
  <c r="K34" i="6" s="1"/>
  <c r="K33" i="2"/>
  <c r="K33" i="6" s="1"/>
  <c r="K32" i="2"/>
  <c r="K32" i="6" s="1"/>
  <c r="K31" i="2"/>
  <c r="K31" i="6" s="1"/>
  <c r="K30" i="2"/>
  <c r="K30" i="6" s="1"/>
  <c r="K29" i="2"/>
  <c r="K29" i="6" s="1"/>
  <c r="K28" i="2"/>
  <c r="K28" i="6" s="1"/>
  <c r="K27" i="2"/>
  <c r="K27" i="6" s="1"/>
  <c r="K26" i="2"/>
  <c r="K26" i="6" s="1"/>
  <c r="K25" i="2"/>
  <c r="K25" i="6" s="1"/>
  <c r="K24" i="2"/>
  <c r="K24" i="6" s="1"/>
  <c r="K23" i="2"/>
  <c r="K23" i="6" s="1"/>
  <c r="K22" i="2"/>
  <c r="K22" i="6" s="1"/>
  <c r="K21" i="2"/>
  <c r="K21" i="6" s="1"/>
  <c r="K20" i="2"/>
  <c r="K20" i="6" s="1"/>
  <c r="K19" i="2"/>
  <c r="K19" i="6" s="1"/>
  <c r="K18" i="2"/>
  <c r="K18" i="6" s="1"/>
  <c r="K17" i="2"/>
  <c r="K17" i="6" s="1"/>
  <c r="K16" i="2"/>
  <c r="K16" i="6" s="1"/>
  <c r="K15" i="2"/>
  <c r="K15" i="6" s="1"/>
  <c r="K14" i="2"/>
  <c r="K14" i="6" s="1"/>
  <c r="K13" i="2"/>
  <c r="K13" i="6" s="1"/>
  <c r="K12" i="2"/>
  <c r="K12" i="6" s="1"/>
  <c r="K11" i="2"/>
  <c r="K11" i="6" s="1"/>
  <c r="K10" i="2"/>
  <c r="K10" i="6" s="1"/>
  <c r="K9" i="2"/>
  <c r="K9" i="6" s="1"/>
  <c r="K8" i="2"/>
  <c r="K8" i="6" s="1"/>
  <c r="K7" i="2"/>
  <c r="K7" i="6" s="1"/>
  <c r="K6" i="2"/>
  <c r="K6" i="6" s="1"/>
  <c r="H498" i="2"/>
  <c r="H498" i="6" s="1"/>
  <c r="H497" i="2"/>
  <c r="H497" i="6" s="1"/>
  <c r="H496" i="2"/>
  <c r="H496" i="6" s="1"/>
  <c r="H495" i="2"/>
  <c r="H495" i="6" s="1"/>
  <c r="H494" i="2"/>
  <c r="H494" i="6" s="1"/>
  <c r="H493" i="2"/>
  <c r="H493" i="6" s="1"/>
  <c r="H492" i="2"/>
  <c r="H492" i="6" s="1"/>
  <c r="H491" i="2"/>
  <c r="H491" i="6" s="1"/>
  <c r="H490" i="2"/>
  <c r="H490" i="6" s="1"/>
  <c r="H489" i="2"/>
  <c r="H489" i="6" s="1"/>
  <c r="H488" i="2"/>
  <c r="H488" i="6" s="1"/>
  <c r="H487" i="2"/>
  <c r="H487" i="6" s="1"/>
  <c r="H486" i="2"/>
  <c r="H486" i="6" s="1"/>
  <c r="H485" i="2"/>
  <c r="H485" i="6" s="1"/>
  <c r="H484" i="2"/>
  <c r="H484" i="6" s="1"/>
  <c r="H483" i="2"/>
  <c r="H483" i="6" s="1"/>
  <c r="H482" i="2"/>
  <c r="H482" i="6" s="1"/>
  <c r="H481" i="2"/>
  <c r="H481" i="6" s="1"/>
  <c r="H480" i="2"/>
  <c r="H480" i="6" s="1"/>
  <c r="H479" i="2"/>
  <c r="H479" i="6" s="1"/>
  <c r="H478" i="2"/>
  <c r="H478" i="6" s="1"/>
  <c r="H477" i="2"/>
  <c r="H477" i="6" s="1"/>
  <c r="H476" i="2"/>
  <c r="H476" i="6" s="1"/>
  <c r="H475" i="2"/>
  <c r="H475" i="6" s="1"/>
  <c r="H474" i="2"/>
  <c r="H474" i="6" s="1"/>
  <c r="H473" i="2"/>
  <c r="H473" i="6" s="1"/>
  <c r="H472" i="2"/>
  <c r="H472" i="6" s="1"/>
  <c r="H471" i="2"/>
  <c r="H471" i="6" s="1"/>
  <c r="H470" i="2"/>
  <c r="H470" i="6" s="1"/>
  <c r="H469" i="2"/>
  <c r="H469" i="6" s="1"/>
  <c r="H468" i="2"/>
  <c r="H468" i="6" s="1"/>
  <c r="H467" i="2"/>
  <c r="H467" i="6" s="1"/>
  <c r="H466" i="2"/>
  <c r="H466" i="6" s="1"/>
  <c r="H465" i="2"/>
  <c r="H465" i="6" s="1"/>
  <c r="H464" i="2"/>
  <c r="H464" i="6" s="1"/>
  <c r="H463" i="2"/>
  <c r="H463" i="6" s="1"/>
  <c r="H462" i="2"/>
  <c r="H462" i="6" s="1"/>
  <c r="H461" i="2"/>
  <c r="H461" i="6" s="1"/>
  <c r="H460" i="2"/>
  <c r="H460" i="6" s="1"/>
  <c r="H459" i="2"/>
  <c r="H459" i="6" s="1"/>
  <c r="H458" i="2"/>
  <c r="H458" i="6" s="1"/>
  <c r="H457" i="2"/>
  <c r="H457" i="6" s="1"/>
  <c r="H456" i="2"/>
  <c r="H456" i="6" s="1"/>
  <c r="H455" i="2"/>
  <c r="H455" i="6" s="1"/>
  <c r="H454" i="2"/>
  <c r="H454" i="6" s="1"/>
  <c r="H453" i="2"/>
  <c r="H453" i="6" s="1"/>
  <c r="H452" i="2"/>
  <c r="H452" i="6" s="1"/>
  <c r="H451" i="2"/>
  <c r="H451" i="6" s="1"/>
  <c r="H450" i="2"/>
  <c r="H450" i="6" s="1"/>
  <c r="H449" i="2"/>
  <c r="H449" i="6" s="1"/>
  <c r="H448" i="2"/>
  <c r="H448" i="6" s="1"/>
  <c r="H447" i="2"/>
  <c r="H447" i="6" s="1"/>
  <c r="H446" i="2"/>
  <c r="H446" i="6" s="1"/>
  <c r="H445" i="2"/>
  <c r="H445" i="6" s="1"/>
  <c r="H444" i="2"/>
  <c r="H444" i="6" s="1"/>
  <c r="H443" i="2"/>
  <c r="H443" i="6" s="1"/>
  <c r="H442" i="2"/>
  <c r="H442" i="6" s="1"/>
  <c r="H441" i="2"/>
  <c r="H441" i="6" s="1"/>
  <c r="H440" i="2"/>
  <c r="H440" i="6" s="1"/>
  <c r="H439" i="2"/>
  <c r="H439" i="6" s="1"/>
  <c r="H438" i="2"/>
  <c r="H438" i="6" s="1"/>
  <c r="H437" i="2"/>
  <c r="H437" i="6" s="1"/>
  <c r="H436" i="2"/>
  <c r="H436" i="6" s="1"/>
  <c r="H435" i="2"/>
  <c r="H435" i="6" s="1"/>
  <c r="H434" i="2"/>
  <c r="H434" i="6" s="1"/>
  <c r="H433" i="2"/>
  <c r="H433" i="6" s="1"/>
  <c r="H432" i="2"/>
  <c r="H432" i="6" s="1"/>
  <c r="H431" i="2"/>
  <c r="H431" i="6" s="1"/>
  <c r="H430" i="2"/>
  <c r="H430" i="6" s="1"/>
  <c r="H429" i="2"/>
  <c r="H429" i="6" s="1"/>
  <c r="H428" i="2"/>
  <c r="H428" i="6" s="1"/>
  <c r="H427" i="2"/>
  <c r="H427" i="6" s="1"/>
  <c r="H426" i="2"/>
  <c r="H426" i="6" s="1"/>
  <c r="H425" i="2"/>
  <c r="H425" i="6" s="1"/>
  <c r="H424" i="2"/>
  <c r="H424" i="6" s="1"/>
  <c r="H423" i="2"/>
  <c r="H423" i="6" s="1"/>
  <c r="H422" i="2"/>
  <c r="H422" i="6" s="1"/>
  <c r="H421" i="2"/>
  <c r="H421" i="6" s="1"/>
  <c r="H420" i="2"/>
  <c r="H420" i="6" s="1"/>
  <c r="H419" i="2"/>
  <c r="H419" i="6" s="1"/>
  <c r="H418" i="2"/>
  <c r="H418" i="6" s="1"/>
  <c r="H417" i="2"/>
  <c r="H417" i="6" s="1"/>
  <c r="H416" i="2"/>
  <c r="H416" i="6" s="1"/>
  <c r="H415" i="2"/>
  <c r="H415" i="6" s="1"/>
  <c r="H414" i="2"/>
  <c r="H414" i="6" s="1"/>
  <c r="H413" i="6"/>
  <c r="H412" i="6"/>
  <c r="H411" i="6"/>
  <c r="H410" i="6"/>
  <c r="H409" i="6"/>
  <c r="H408" i="6"/>
  <c r="H407" i="6"/>
  <c r="H406" i="6"/>
  <c r="H405" i="6"/>
  <c r="H404" i="6"/>
  <c r="H403" i="6"/>
  <c r="H402" i="2"/>
  <c r="H402" i="6" s="1"/>
  <c r="H401" i="2"/>
  <c r="H401" i="6" s="1"/>
  <c r="H400" i="2"/>
  <c r="H400" i="6" s="1"/>
  <c r="H399" i="2"/>
  <c r="H399" i="6" s="1"/>
  <c r="H398" i="6"/>
  <c r="H397" i="6"/>
  <c r="H396" i="6"/>
  <c r="H395" i="6"/>
  <c r="H394" i="6"/>
  <c r="H393" i="6"/>
  <c r="H392" i="6"/>
  <c r="H391" i="6"/>
  <c r="H390" i="6"/>
  <c r="H389" i="2"/>
  <c r="H389" i="6" s="1"/>
  <c r="H388" i="2"/>
  <c r="H388" i="6" s="1"/>
  <c r="H387" i="2"/>
  <c r="H387" i="6" s="1"/>
  <c r="H386" i="2"/>
  <c r="H386" i="6" s="1"/>
  <c r="H385" i="2"/>
  <c r="H385" i="6" s="1"/>
  <c r="H384" i="2"/>
  <c r="H384" i="6" s="1"/>
  <c r="H383" i="2"/>
  <c r="H383" i="6" s="1"/>
  <c r="H382" i="2"/>
  <c r="H382" i="6" s="1"/>
  <c r="H381" i="2"/>
  <c r="H381" i="6" s="1"/>
  <c r="H380" i="2"/>
  <c r="H380" i="6" s="1"/>
  <c r="H379" i="2"/>
  <c r="H379" i="6" s="1"/>
  <c r="H378" i="2"/>
  <c r="H378" i="6" s="1"/>
  <c r="H377" i="2"/>
  <c r="H377" i="6" s="1"/>
  <c r="H376" i="6"/>
  <c r="H375" i="6"/>
  <c r="H374" i="6"/>
  <c r="H373" i="6"/>
  <c r="H372" i="6"/>
  <c r="H371" i="6"/>
  <c r="H370" i="6"/>
  <c r="H369" i="6"/>
  <c r="H368" i="6"/>
  <c r="H367" i="6"/>
  <c r="H366" i="6"/>
  <c r="H365" i="6"/>
  <c r="H364" i="6"/>
  <c r="H363" i="6"/>
  <c r="H362" i="6"/>
  <c r="H361" i="6"/>
  <c r="H360" i="2"/>
  <c r="H360" i="6" s="1"/>
  <c r="H359" i="2"/>
  <c r="H359" i="6" s="1"/>
  <c r="H358" i="2"/>
  <c r="H358" i="6" s="1"/>
  <c r="H357" i="2"/>
  <c r="H357" i="6" s="1"/>
  <c r="H356" i="2"/>
  <c r="H356" i="6" s="1"/>
  <c r="H355" i="2"/>
  <c r="H355" i="6" s="1"/>
  <c r="H354" i="2"/>
  <c r="H354" i="6" s="1"/>
  <c r="H353" i="2"/>
  <c r="H353" i="6" s="1"/>
  <c r="H352" i="2"/>
  <c r="H352" i="6" s="1"/>
  <c r="H351" i="2"/>
  <c r="H351" i="6" s="1"/>
  <c r="H350" i="2"/>
  <c r="H350" i="6" s="1"/>
  <c r="H349" i="2"/>
  <c r="H349" i="6" s="1"/>
  <c r="H348" i="2"/>
  <c r="H348" i="6" s="1"/>
  <c r="H347" i="2"/>
  <c r="H347" i="6" s="1"/>
  <c r="H346" i="2"/>
  <c r="H346" i="6" s="1"/>
  <c r="H345" i="2"/>
  <c r="H345" i="6" s="1"/>
  <c r="H344" i="2"/>
  <c r="H344" i="6" s="1"/>
  <c r="H343" i="2"/>
  <c r="H343" i="6" s="1"/>
  <c r="H342" i="2"/>
  <c r="H342" i="6" s="1"/>
  <c r="H341" i="2"/>
  <c r="H341" i="6" s="1"/>
  <c r="H340" i="2"/>
  <c r="H340" i="6" s="1"/>
  <c r="H339" i="2"/>
  <c r="H339" i="6" s="1"/>
  <c r="H338" i="2"/>
  <c r="H338" i="6" s="1"/>
  <c r="H337" i="2"/>
  <c r="H337" i="6" s="1"/>
  <c r="H336" i="2"/>
  <c r="H336" i="6" s="1"/>
  <c r="H335" i="2"/>
  <c r="H335" i="6" s="1"/>
  <c r="H334" i="2"/>
  <c r="H334" i="6" s="1"/>
  <c r="H333" i="2"/>
  <c r="H333" i="6" s="1"/>
  <c r="H332" i="2"/>
  <c r="H332" i="6" s="1"/>
  <c r="H331" i="2"/>
  <c r="H331" i="6" s="1"/>
  <c r="H330" i="2"/>
  <c r="H330" i="6" s="1"/>
  <c r="H329" i="2"/>
  <c r="H329" i="6" s="1"/>
  <c r="H328" i="2"/>
  <c r="H328" i="6" s="1"/>
  <c r="H327" i="2"/>
  <c r="H327" i="6" s="1"/>
  <c r="H326" i="2"/>
  <c r="H326" i="6" s="1"/>
  <c r="H325" i="2"/>
  <c r="H325" i="6" s="1"/>
  <c r="H324" i="2"/>
  <c r="H324" i="6" s="1"/>
  <c r="H323" i="2"/>
  <c r="H323" i="6" s="1"/>
  <c r="H322" i="2"/>
  <c r="H322" i="6" s="1"/>
  <c r="H321" i="2"/>
  <c r="H321" i="6" s="1"/>
  <c r="H320" i="2"/>
  <c r="H320" i="6" s="1"/>
  <c r="H319" i="2"/>
  <c r="H319" i="6" s="1"/>
  <c r="H318" i="2"/>
  <c r="H318" i="6" s="1"/>
  <c r="H317" i="2"/>
  <c r="H317" i="6" s="1"/>
  <c r="H316" i="2"/>
  <c r="H316" i="6" s="1"/>
  <c r="H315" i="2"/>
  <c r="H315" i="6" s="1"/>
  <c r="H314" i="2"/>
  <c r="H314" i="6" s="1"/>
  <c r="H313" i="2"/>
  <c r="H313" i="6" s="1"/>
  <c r="H312" i="2"/>
  <c r="H312" i="6" s="1"/>
  <c r="H311" i="2"/>
  <c r="H311" i="6" s="1"/>
  <c r="H310" i="2"/>
  <c r="H310" i="6" s="1"/>
  <c r="H309" i="2"/>
  <c r="H309" i="6" s="1"/>
  <c r="H308" i="2"/>
  <c r="H308" i="6" s="1"/>
  <c r="H307" i="2"/>
  <c r="H307" i="6" s="1"/>
  <c r="H306" i="2"/>
  <c r="H306" i="6" s="1"/>
  <c r="H305" i="2"/>
  <c r="H305" i="6" s="1"/>
  <c r="H304" i="2"/>
  <c r="H304" i="6" s="1"/>
  <c r="H303" i="2"/>
  <c r="H303" i="6" s="1"/>
  <c r="H302" i="2"/>
  <c r="H302" i="6" s="1"/>
  <c r="H301" i="2"/>
  <c r="H301" i="6" s="1"/>
  <c r="H300" i="6"/>
  <c r="H299" i="6"/>
  <c r="H298" i="6"/>
  <c r="H297" i="6"/>
  <c r="H296" i="6"/>
  <c r="H295" i="6"/>
  <c r="H294" i="6"/>
  <c r="H293" i="6"/>
  <c r="H292" i="2"/>
  <c r="H292" i="6" s="1"/>
  <c r="H291" i="2"/>
  <c r="H291" i="6" s="1"/>
  <c r="H290" i="2"/>
  <c r="H290" i="6" s="1"/>
  <c r="H289" i="2"/>
  <c r="H289" i="6" s="1"/>
  <c r="H288" i="2"/>
  <c r="H288" i="6" s="1"/>
  <c r="H287" i="2"/>
  <c r="H287" i="6" s="1"/>
  <c r="H286" i="6"/>
  <c r="H285" i="6"/>
  <c r="H284" i="6"/>
  <c r="H283" i="6"/>
  <c r="H282" i="6"/>
  <c r="H281" i="6"/>
  <c r="H280" i="6"/>
  <c r="H279" i="6"/>
  <c r="H278" i="2"/>
  <c r="H278" i="6" s="1"/>
  <c r="H277" i="2"/>
  <c r="H277" i="6" s="1"/>
  <c r="H276" i="2"/>
  <c r="H276" i="6" s="1"/>
  <c r="H275" i="2"/>
  <c r="H275" i="6" s="1"/>
  <c r="H274" i="2"/>
  <c r="H274" i="6" s="1"/>
  <c r="H273" i="2"/>
  <c r="H273" i="6" s="1"/>
  <c r="H272" i="2"/>
  <c r="H272" i="6" s="1"/>
  <c r="H271" i="2"/>
  <c r="H271" i="6" s="1"/>
  <c r="H270" i="2"/>
  <c r="H270" i="6" s="1"/>
  <c r="H269" i="2"/>
  <c r="H269" i="6" s="1"/>
  <c r="H268" i="2"/>
  <c r="H268" i="6" s="1"/>
  <c r="H267" i="6"/>
  <c r="H266" i="6"/>
  <c r="H265" i="6"/>
  <c r="H264" i="6"/>
  <c r="H263" i="6"/>
  <c r="H262" i="6"/>
  <c r="H261" i="6"/>
  <c r="H260" i="6"/>
  <c r="H259" i="6"/>
  <c r="H258" i="6"/>
  <c r="H257" i="6"/>
  <c r="H256" i="2"/>
  <c r="H256" i="6" s="1"/>
  <c r="H255" i="2"/>
  <c r="H255" i="6" s="1"/>
  <c r="H254" i="2"/>
  <c r="H254" i="6" s="1"/>
  <c r="H253" i="2"/>
  <c r="H253" i="6" s="1"/>
  <c r="H252" i="2"/>
  <c r="H252" i="6" s="1"/>
  <c r="H251" i="2"/>
  <c r="H251" i="6" s="1"/>
  <c r="H250" i="2"/>
  <c r="H250" i="6" s="1"/>
  <c r="H249" i="2"/>
  <c r="H249" i="6" s="1"/>
  <c r="H248" i="2"/>
  <c r="H248" i="6" s="1"/>
  <c r="H247" i="2"/>
  <c r="H247" i="6" s="1"/>
  <c r="H246" i="2"/>
  <c r="H246" i="6" s="1"/>
  <c r="H245" i="2"/>
  <c r="H245" i="6" s="1"/>
  <c r="H244" i="2"/>
  <c r="H244" i="6" s="1"/>
  <c r="H243" i="2"/>
  <c r="H243" i="6" s="1"/>
  <c r="H242" i="2"/>
  <c r="H242" i="6" s="1"/>
  <c r="H241" i="2"/>
  <c r="H241" i="6" s="1"/>
  <c r="H240" i="2"/>
  <c r="H240" i="6" s="1"/>
  <c r="H239" i="2"/>
  <c r="H239" i="6" s="1"/>
  <c r="H238" i="2"/>
  <c r="H238" i="6" s="1"/>
  <c r="H237" i="2"/>
  <c r="H237" i="6" s="1"/>
  <c r="H236" i="2"/>
  <c r="H236" i="6" s="1"/>
  <c r="H235" i="2"/>
  <c r="H235" i="6" s="1"/>
  <c r="H234" i="2"/>
  <c r="H234" i="6" s="1"/>
  <c r="H233" i="6"/>
  <c r="H232" i="6"/>
  <c r="H231" i="6"/>
  <c r="H230" i="6"/>
  <c r="H229" i="2"/>
  <c r="H229" i="6" s="1"/>
  <c r="H228" i="6"/>
  <c r="H227" i="2"/>
  <c r="H227" i="6" s="1"/>
  <c r="H226" i="2"/>
  <c r="H226" i="6" s="1"/>
  <c r="H225" i="2"/>
  <c r="H225" i="6" s="1"/>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2"/>
  <c r="H187" i="6" s="1"/>
  <c r="H186" i="6"/>
  <c r="H185" i="6"/>
  <c r="H184" i="6"/>
  <c r="H183" i="6"/>
  <c r="H182" i="6"/>
  <c r="H181" i="6"/>
  <c r="H180" i="6"/>
  <c r="H179" i="6"/>
  <c r="H178" i="6"/>
  <c r="H177" i="6"/>
  <c r="H176" i="6"/>
  <c r="H175" i="6"/>
  <c r="H174" i="6"/>
  <c r="H173" i="6"/>
  <c r="H172" i="6"/>
  <c r="H171" i="6"/>
  <c r="H170" i="6"/>
  <c r="H169" i="6"/>
  <c r="H168" i="6"/>
  <c r="H167" i="6"/>
  <c r="H166" i="2"/>
  <c r="H166" i="6" s="1"/>
  <c r="H165" i="2"/>
  <c r="H165" i="6" s="1"/>
  <c r="H164" i="2"/>
  <c r="H164" i="6" s="1"/>
  <c r="H163" i="2"/>
  <c r="H163" i="6" s="1"/>
  <c r="H162" i="2"/>
  <c r="H162" i="6" s="1"/>
  <c r="H161" i="2"/>
  <c r="H161" i="6" s="1"/>
  <c r="H160" i="2"/>
  <c r="H160" i="6" s="1"/>
  <c r="H159" i="2"/>
  <c r="H159" i="6" s="1"/>
  <c r="H158" i="2"/>
  <c r="H158" i="6" s="1"/>
  <c r="H157" i="2"/>
  <c r="H157" i="6" s="1"/>
  <c r="H156" i="2"/>
  <c r="H156" i="6" s="1"/>
  <c r="H155" i="2"/>
  <c r="H155" i="6" s="1"/>
  <c r="H154" i="2"/>
  <c r="H154" i="6" s="1"/>
  <c r="H153" i="6"/>
  <c r="H152" i="6"/>
  <c r="H151" i="6"/>
  <c r="H150" i="6"/>
  <c r="H149" i="6"/>
  <c r="H148" i="6"/>
  <c r="H147" i="2"/>
  <c r="H147" i="6" s="1"/>
  <c r="H146" i="2"/>
  <c r="H146" i="6" s="1"/>
  <c r="H145" i="2"/>
  <c r="H145" i="6" s="1"/>
  <c r="H144" i="2"/>
  <c r="H144" i="6" s="1"/>
  <c r="H143" i="2"/>
  <c r="H143" i="6" s="1"/>
  <c r="H142" i="2"/>
  <c r="H142" i="6" s="1"/>
  <c r="H141" i="2"/>
  <c r="H141" i="6" s="1"/>
  <c r="H140" i="2"/>
  <c r="H140" i="6" s="1"/>
  <c r="H139" i="2"/>
  <c r="H139" i="6" s="1"/>
  <c r="H138" i="2"/>
  <c r="H138" i="6" s="1"/>
  <c r="H137" i="2"/>
  <c r="H137" i="6" s="1"/>
  <c r="H136" i="2"/>
  <c r="H136" i="6" s="1"/>
  <c r="H135" i="2"/>
  <c r="H135" i="6" s="1"/>
  <c r="H134" i="2"/>
  <c r="H134" i="6" s="1"/>
  <c r="H133" i="2"/>
  <c r="H133" i="6" s="1"/>
  <c r="H132" i="2"/>
  <c r="H132" i="6" s="1"/>
  <c r="H131" i="2"/>
  <c r="H131" i="6" s="1"/>
  <c r="H130" i="2"/>
  <c r="H130" i="6" s="1"/>
  <c r="H129" i="2"/>
  <c r="H129" i="6" s="1"/>
  <c r="H128" i="2"/>
  <c r="H128" i="6" s="1"/>
  <c r="H127" i="2"/>
  <c r="H127" i="6" s="1"/>
  <c r="H126" i="2"/>
  <c r="H126" i="6" s="1"/>
  <c r="H125" i="2"/>
  <c r="H125" i="6" s="1"/>
  <c r="H124" i="2"/>
  <c r="H124" i="6" s="1"/>
  <c r="H123" i="2"/>
  <c r="H123" i="6" s="1"/>
  <c r="H122" i="2"/>
  <c r="H122" i="6" s="1"/>
  <c r="H121" i="2"/>
  <c r="H121" i="6" s="1"/>
  <c r="H120" i="2"/>
  <c r="H120" i="6" s="1"/>
  <c r="H119" i="2"/>
  <c r="H119" i="6" s="1"/>
  <c r="H118" i="2"/>
  <c r="H118" i="6" s="1"/>
  <c r="H117" i="2"/>
  <c r="H117" i="6" s="1"/>
  <c r="H116" i="2"/>
  <c r="H116" i="6" s="1"/>
  <c r="H115" i="2"/>
  <c r="H115" i="6" s="1"/>
  <c r="H114" i="2"/>
  <c r="H114" i="6" s="1"/>
  <c r="H113" i="2"/>
  <c r="H113" i="6" s="1"/>
  <c r="H112" i="2"/>
  <c r="H112" i="6" s="1"/>
  <c r="H111" i="2"/>
  <c r="H111" i="6" s="1"/>
  <c r="H110" i="2"/>
  <c r="H110" i="6" s="1"/>
  <c r="H109" i="2"/>
  <c r="H109" i="6" s="1"/>
  <c r="H108" i="2"/>
  <c r="H108" i="6" s="1"/>
  <c r="H107" i="2"/>
  <c r="H107" i="6" s="1"/>
  <c r="H106" i="2"/>
  <c r="H106" i="6" s="1"/>
  <c r="H105" i="2"/>
  <c r="H105" i="6" s="1"/>
  <c r="H104" i="2"/>
  <c r="H104" i="6" s="1"/>
  <c r="H103" i="2"/>
  <c r="H103" i="6" s="1"/>
  <c r="H102" i="2"/>
  <c r="H102" i="6" s="1"/>
  <c r="H101" i="2"/>
  <c r="H101" i="6" s="1"/>
  <c r="H100" i="2"/>
  <c r="H100" i="6" s="1"/>
  <c r="H99" i="2"/>
  <c r="H99" i="6" s="1"/>
  <c r="H98" i="2"/>
  <c r="H98" i="6" s="1"/>
  <c r="H97" i="2"/>
  <c r="H97" i="6" s="1"/>
  <c r="H96" i="2"/>
  <c r="H96" i="6" s="1"/>
  <c r="H95" i="2"/>
  <c r="H95" i="6" s="1"/>
  <c r="H94" i="2"/>
  <c r="H94" i="6" s="1"/>
  <c r="H93" i="2"/>
  <c r="H93" i="6" s="1"/>
  <c r="H92" i="2"/>
  <c r="H92" i="6" s="1"/>
  <c r="H91" i="2"/>
  <c r="H91" i="6" s="1"/>
  <c r="H90" i="6"/>
  <c r="H89" i="6"/>
  <c r="H88" i="6"/>
  <c r="H87" i="6"/>
  <c r="H86" i="2"/>
  <c r="H86" i="6" s="1"/>
  <c r="H85" i="2"/>
  <c r="H85" i="6" s="1"/>
  <c r="H84" i="2"/>
  <c r="H84" i="6" s="1"/>
  <c r="H83" i="2"/>
  <c r="H83" i="6" s="1"/>
  <c r="H82" i="2"/>
  <c r="H82" i="6" s="1"/>
  <c r="H81" i="2"/>
  <c r="H81" i="6" s="1"/>
  <c r="H80" i="2"/>
  <c r="H80" i="6" s="1"/>
  <c r="H79" i="2"/>
  <c r="H79" i="6" s="1"/>
  <c r="H78" i="2"/>
  <c r="H78" i="6" s="1"/>
  <c r="H77" i="6"/>
  <c r="H76" i="6"/>
  <c r="H75" i="6"/>
  <c r="H74" i="6"/>
  <c r="H73" i="6"/>
  <c r="H72" i="6"/>
  <c r="H71" i="6"/>
  <c r="H70" i="2"/>
  <c r="H70" i="6" s="1"/>
  <c r="H69" i="2"/>
  <c r="H69" i="6" s="1"/>
  <c r="H68" i="2"/>
  <c r="H68" i="6" s="1"/>
  <c r="H67" i="2"/>
  <c r="H67" i="6" s="1"/>
  <c r="H66" i="2"/>
  <c r="H66" i="6" s="1"/>
  <c r="H65" i="2"/>
  <c r="H65" i="6" s="1"/>
  <c r="H64" i="6"/>
  <c r="H63" i="2"/>
  <c r="H63" i="6" s="1"/>
  <c r="H62" i="6"/>
  <c r="H61" i="6"/>
  <c r="H60" i="6"/>
  <c r="H59" i="2"/>
  <c r="H59" i="6" s="1"/>
  <c r="H58" i="2"/>
  <c r="H58" i="6" s="1"/>
  <c r="H57" i="2"/>
  <c r="H57" i="6" s="1"/>
  <c r="H56" i="2"/>
  <c r="H56" i="6" s="1"/>
  <c r="H55" i="2"/>
  <c r="H55" i="6" s="1"/>
  <c r="H54" i="2"/>
  <c r="H54" i="6" s="1"/>
  <c r="H53" i="2"/>
  <c r="H53" i="6" s="1"/>
  <c r="H52" i="2"/>
  <c r="H52" i="6" s="1"/>
  <c r="H51" i="2"/>
  <c r="H51" i="6" s="1"/>
  <c r="H50" i="2"/>
  <c r="H50" i="6" s="1"/>
  <c r="H49" i="2"/>
  <c r="H49" i="6" s="1"/>
  <c r="H48" i="2"/>
  <c r="H48" i="6" s="1"/>
  <c r="H47" i="2"/>
  <c r="H47" i="6" s="1"/>
  <c r="H46" i="2"/>
  <c r="H46" i="6" s="1"/>
  <c r="H45" i="2"/>
  <c r="H45" i="6" s="1"/>
  <c r="H44" i="2"/>
  <c r="H44" i="6" s="1"/>
  <c r="H43" i="2"/>
  <c r="H43" i="6" s="1"/>
  <c r="H42" i="2"/>
  <c r="H42" i="6" s="1"/>
  <c r="H41" i="2"/>
  <c r="H41" i="6" s="1"/>
  <c r="H40" i="2"/>
  <c r="H40" i="6" s="1"/>
  <c r="H39" i="2"/>
  <c r="H39" i="6" s="1"/>
  <c r="H38" i="2"/>
  <c r="H38" i="6" s="1"/>
  <c r="H37" i="2"/>
  <c r="H37" i="6" s="1"/>
  <c r="H36" i="2"/>
  <c r="H36" i="6" s="1"/>
  <c r="H35" i="6"/>
  <c r="H34" i="6"/>
  <c r="H33" i="6"/>
  <c r="H32" i="6"/>
  <c r="H31" i="6"/>
  <c r="H30" i="6"/>
  <c r="H29" i="6"/>
  <c r="H28" i="6"/>
  <c r="H27" i="6"/>
  <c r="H26" i="6"/>
  <c r="H25" i="6"/>
  <c r="H24" i="6"/>
  <c r="H23" i="6"/>
  <c r="H22" i="6"/>
  <c r="H21" i="6"/>
  <c r="H20" i="6"/>
  <c r="H19" i="6"/>
  <c r="H18" i="6"/>
  <c r="H17" i="6"/>
  <c r="H16" i="6"/>
  <c r="H15" i="2"/>
  <c r="H15" i="6" s="1"/>
  <c r="H14" i="6"/>
  <c r="H13" i="2"/>
  <c r="H13" i="6" s="1"/>
  <c r="H12" i="6"/>
  <c r="H11" i="2"/>
  <c r="H11" i="6" s="1"/>
  <c r="H10" i="6"/>
  <c r="H9" i="2"/>
  <c r="H9" i="6" s="1"/>
  <c r="H8" i="2"/>
  <c r="H8" i="6" s="1"/>
  <c r="H7" i="2"/>
  <c r="H7" i="6" s="1"/>
  <c r="H6" i="2"/>
  <c r="H6" i="6" s="1"/>
  <c r="G498" i="2"/>
  <c r="G498" i="6" s="1"/>
  <c r="G497" i="2"/>
  <c r="G497" i="6" s="1"/>
  <c r="G496" i="2"/>
  <c r="G496" i="6" s="1"/>
  <c r="G495" i="2"/>
  <c r="G495" i="6" s="1"/>
  <c r="G494" i="2"/>
  <c r="G494" i="6" s="1"/>
  <c r="G493" i="2"/>
  <c r="G493" i="6" s="1"/>
  <c r="G492" i="2"/>
  <c r="G492" i="6" s="1"/>
  <c r="G491" i="2"/>
  <c r="G491" i="6" s="1"/>
  <c r="G490" i="2"/>
  <c r="G490" i="6" s="1"/>
  <c r="G489" i="2"/>
  <c r="G489" i="6" s="1"/>
  <c r="G488" i="2"/>
  <c r="G488" i="6" s="1"/>
  <c r="G487" i="2"/>
  <c r="G487" i="6" s="1"/>
  <c r="G486" i="2"/>
  <c r="G486" i="6" s="1"/>
  <c r="G485" i="2"/>
  <c r="G485" i="6" s="1"/>
  <c r="G484" i="2"/>
  <c r="G484" i="6" s="1"/>
  <c r="G483" i="2"/>
  <c r="G483" i="6" s="1"/>
  <c r="G482" i="2"/>
  <c r="G482" i="6" s="1"/>
  <c r="G481" i="2"/>
  <c r="G481" i="6" s="1"/>
  <c r="G480" i="2"/>
  <c r="G480" i="6" s="1"/>
  <c r="G479" i="2"/>
  <c r="G479" i="6" s="1"/>
  <c r="G478" i="2"/>
  <c r="G478" i="6" s="1"/>
  <c r="G477" i="2"/>
  <c r="G477" i="6" s="1"/>
  <c r="G476" i="2"/>
  <c r="G476" i="6" s="1"/>
  <c r="G475" i="2"/>
  <c r="G475" i="6" s="1"/>
  <c r="G474" i="2"/>
  <c r="G474" i="6" s="1"/>
  <c r="G473" i="2"/>
  <c r="G473" i="6" s="1"/>
  <c r="G472" i="2"/>
  <c r="G472" i="6" s="1"/>
  <c r="G471" i="2"/>
  <c r="G471" i="6" s="1"/>
  <c r="G470" i="2"/>
  <c r="G470" i="6" s="1"/>
  <c r="G469" i="2"/>
  <c r="G469" i="6" s="1"/>
  <c r="G468" i="2"/>
  <c r="G468" i="6" s="1"/>
  <c r="G467" i="2"/>
  <c r="G467" i="6" s="1"/>
  <c r="G466" i="2"/>
  <c r="G466" i="6" s="1"/>
  <c r="G465" i="2"/>
  <c r="G465" i="6" s="1"/>
  <c r="G464" i="2"/>
  <c r="G464" i="6" s="1"/>
  <c r="G463" i="2"/>
  <c r="G463" i="6" s="1"/>
  <c r="G462" i="2"/>
  <c r="G462" i="6" s="1"/>
  <c r="G461" i="2"/>
  <c r="G461" i="6" s="1"/>
  <c r="G460" i="2"/>
  <c r="G460" i="6" s="1"/>
  <c r="G459" i="2"/>
  <c r="G459" i="6" s="1"/>
  <c r="G458" i="2"/>
  <c r="G458" i="6" s="1"/>
  <c r="G457" i="2"/>
  <c r="G457" i="6" s="1"/>
  <c r="G456" i="2"/>
  <c r="G456" i="6" s="1"/>
  <c r="G455" i="2"/>
  <c r="G455" i="6" s="1"/>
  <c r="G454" i="2"/>
  <c r="G454" i="6" s="1"/>
  <c r="G453" i="2"/>
  <c r="G453" i="6" s="1"/>
  <c r="G452" i="2"/>
  <c r="G452" i="6" s="1"/>
  <c r="G451" i="2"/>
  <c r="G451" i="6" s="1"/>
  <c r="G450" i="2"/>
  <c r="G450" i="6" s="1"/>
  <c r="G449" i="2"/>
  <c r="G449" i="6" s="1"/>
  <c r="G448" i="2"/>
  <c r="G448" i="6" s="1"/>
  <c r="G447" i="2"/>
  <c r="G447" i="6" s="1"/>
  <c r="G446" i="2"/>
  <c r="G446" i="6" s="1"/>
  <c r="G445" i="2"/>
  <c r="G445" i="6" s="1"/>
  <c r="G444" i="2"/>
  <c r="G444" i="6" s="1"/>
  <c r="G443" i="2"/>
  <c r="G443" i="6" s="1"/>
  <c r="G442" i="2"/>
  <c r="G442" i="6" s="1"/>
  <c r="G441" i="2"/>
  <c r="G441" i="6" s="1"/>
  <c r="G440" i="2"/>
  <c r="G440" i="6" s="1"/>
  <c r="G439" i="2"/>
  <c r="G439" i="6" s="1"/>
  <c r="G438" i="2"/>
  <c r="G438" i="6" s="1"/>
  <c r="G437" i="2"/>
  <c r="G437" i="6" s="1"/>
  <c r="G436" i="2"/>
  <c r="G436" i="6" s="1"/>
  <c r="G435" i="2"/>
  <c r="G435" i="6" s="1"/>
  <c r="G434" i="2"/>
  <c r="G434" i="6" s="1"/>
  <c r="G433" i="2"/>
  <c r="G433" i="6" s="1"/>
  <c r="G432" i="2"/>
  <c r="G432" i="6" s="1"/>
  <c r="G431" i="2"/>
  <c r="G431" i="6" s="1"/>
  <c r="G430" i="2"/>
  <c r="G430" i="6" s="1"/>
  <c r="G429" i="2"/>
  <c r="G429" i="6" s="1"/>
  <c r="G428" i="2"/>
  <c r="G428" i="6" s="1"/>
  <c r="G427" i="2"/>
  <c r="G427" i="6" s="1"/>
  <c r="G426" i="2"/>
  <c r="G426" i="6" s="1"/>
  <c r="G425" i="2"/>
  <c r="G425" i="6" s="1"/>
  <c r="G424" i="2"/>
  <c r="G424" i="6" s="1"/>
  <c r="G423" i="2"/>
  <c r="G423" i="6" s="1"/>
  <c r="G422" i="2"/>
  <c r="G422" i="6" s="1"/>
  <c r="G421" i="2"/>
  <c r="G421" i="6" s="1"/>
  <c r="G420" i="2"/>
  <c r="G420" i="6" s="1"/>
  <c r="G419" i="2"/>
  <c r="G419" i="6" s="1"/>
  <c r="G418" i="2"/>
  <c r="G418" i="6" s="1"/>
  <c r="G417" i="2"/>
  <c r="G417" i="6" s="1"/>
  <c r="G416" i="2"/>
  <c r="G416" i="6" s="1"/>
  <c r="G415" i="2"/>
  <c r="G415" i="6" s="1"/>
  <c r="G414" i="2"/>
  <c r="G414" i="6" s="1"/>
  <c r="G413" i="6"/>
  <c r="G412" i="6"/>
  <c r="G411" i="6"/>
  <c r="G410" i="6"/>
  <c r="G409" i="6"/>
  <c r="G408" i="6"/>
  <c r="G407" i="6"/>
  <c r="G406" i="6"/>
  <c r="G405" i="6"/>
  <c r="G404" i="6"/>
  <c r="G403" i="6"/>
  <c r="G402" i="2"/>
  <c r="G402" i="6" s="1"/>
  <c r="G401" i="2"/>
  <c r="G401" i="6" s="1"/>
  <c r="G400" i="2"/>
  <c r="G400" i="6" s="1"/>
  <c r="G399" i="2"/>
  <c r="G399" i="6" s="1"/>
  <c r="G398" i="6"/>
  <c r="G397" i="6"/>
  <c r="G396" i="6"/>
  <c r="G395" i="6"/>
  <c r="G394" i="6"/>
  <c r="G393" i="6"/>
  <c r="G392" i="6"/>
  <c r="G391" i="6"/>
  <c r="G390" i="6"/>
  <c r="G389" i="2"/>
  <c r="G389" i="6" s="1"/>
  <c r="G388" i="2"/>
  <c r="G388" i="6" s="1"/>
  <c r="G387" i="2"/>
  <c r="G387" i="6" s="1"/>
  <c r="G386" i="2"/>
  <c r="G386" i="6" s="1"/>
  <c r="G385" i="2"/>
  <c r="G385" i="6" s="1"/>
  <c r="G384" i="2"/>
  <c r="G384" i="6" s="1"/>
  <c r="G383" i="2"/>
  <c r="G383" i="6" s="1"/>
  <c r="G382" i="2"/>
  <c r="G382" i="6" s="1"/>
  <c r="G381" i="2"/>
  <c r="G381" i="6" s="1"/>
  <c r="G380" i="2"/>
  <c r="G380" i="6" s="1"/>
  <c r="G379" i="2"/>
  <c r="G379" i="6" s="1"/>
  <c r="G378" i="2"/>
  <c r="G378" i="6" s="1"/>
  <c r="G377" i="2"/>
  <c r="G377" i="6" s="1"/>
  <c r="G376" i="6"/>
  <c r="G375" i="6"/>
  <c r="G374" i="6"/>
  <c r="G373" i="6"/>
  <c r="G372" i="6"/>
  <c r="G371" i="6"/>
  <c r="G370" i="6"/>
  <c r="G369" i="6"/>
  <c r="G368" i="6"/>
  <c r="G367" i="6"/>
  <c r="G366" i="6"/>
  <c r="G365" i="6"/>
  <c r="G364" i="6"/>
  <c r="G363" i="6"/>
  <c r="G362" i="6"/>
  <c r="G361" i="6"/>
  <c r="G360" i="2"/>
  <c r="G360" i="6" s="1"/>
  <c r="G359" i="2"/>
  <c r="G359" i="6" s="1"/>
  <c r="G358" i="2"/>
  <c r="G358" i="6" s="1"/>
  <c r="G357" i="2"/>
  <c r="G357" i="6" s="1"/>
  <c r="G356" i="2"/>
  <c r="G356" i="6" s="1"/>
  <c r="G355" i="2"/>
  <c r="G355" i="6" s="1"/>
  <c r="G354" i="2"/>
  <c r="G354" i="6" s="1"/>
  <c r="G353" i="2"/>
  <c r="G353" i="6" s="1"/>
  <c r="G352" i="2"/>
  <c r="G352" i="6" s="1"/>
  <c r="G351" i="2"/>
  <c r="G351" i="6" s="1"/>
  <c r="G350" i="2"/>
  <c r="G350" i="6" s="1"/>
  <c r="G349" i="2"/>
  <c r="G349" i="6" s="1"/>
  <c r="G348" i="2"/>
  <c r="G348" i="6" s="1"/>
  <c r="G347" i="2"/>
  <c r="G347" i="6" s="1"/>
  <c r="G346" i="2"/>
  <c r="G346" i="6" s="1"/>
  <c r="G345" i="2"/>
  <c r="G345" i="6" s="1"/>
  <c r="G344" i="2"/>
  <c r="G344" i="6" s="1"/>
  <c r="G343" i="2"/>
  <c r="G343" i="6" s="1"/>
  <c r="G342" i="2"/>
  <c r="G342" i="6" s="1"/>
  <c r="G341" i="2"/>
  <c r="G341" i="6" s="1"/>
  <c r="G340" i="2"/>
  <c r="G340" i="6" s="1"/>
  <c r="G339" i="2"/>
  <c r="G339" i="6" s="1"/>
  <c r="G338" i="2"/>
  <c r="G338" i="6" s="1"/>
  <c r="G337" i="2"/>
  <c r="G337" i="6" s="1"/>
  <c r="G336" i="2"/>
  <c r="G336" i="6" s="1"/>
  <c r="G335" i="2"/>
  <c r="G335" i="6" s="1"/>
  <c r="G334" i="2"/>
  <c r="G334" i="6" s="1"/>
  <c r="G333" i="2"/>
  <c r="G333" i="6" s="1"/>
  <c r="G332" i="2"/>
  <c r="G332" i="6" s="1"/>
  <c r="G331" i="2"/>
  <c r="G331" i="6" s="1"/>
  <c r="G330" i="2"/>
  <c r="G330" i="6" s="1"/>
  <c r="G329" i="2"/>
  <c r="G329" i="6" s="1"/>
  <c r="G328" i="2"/>
  <c r="G328" i="6" s="1"/>
  <c r="G327" i="2"/>
  <c r="G327" i="6" s="1"/>
  <c r="G326" i="2"/>
  <c r="G326" i="6" s="1"/>
  <c r="G325" i="2"/>
  <c r="G325" i="6" s="1"/>
  <c r="G324" i="2"/>
  <c r="G324" i="6" s="1"/>
  <c r="G323" i="2"/>
  <c r="G323" i="6" s="1"/>
  <c r="G322" i="2"/>
  <c r="G322" i="6" s="1"/>
  <c r="G321" i="2"/>
  <c r="G321" i="6" s="1"/>
  <c r="G320" i="2"/>
  <c r="G320" i="6" s="1"/>
  <c r="G319" i="2"/>
  <c r="G319" i="6" s="1"/>
  <c r="G318" i="2"/>
  <c r="G318" i="6" s="1"/>
  <c r="G317" i="2"/>
  <c r="G317" i="6" s="1"/>
  <c r="G316" i="2"/>
  <c r="G316" i="6" s="1"/>
  <c r="G315" i="2"/>
  <c r="G315" i="6" s="1"/>
  <c r="G314" i="2"/>
  <c r="G314" i="6" s="1"/>
  <c r="G313" i="2"/>
  <c r="G313" i="6" s="1"/>
  <c r="G312" i="2"/>
  <c r="G312" i="6" s="1"/>
  <c r="G311" i="2"/>
  <c r="G311" i="6" s="1"/>
  <c r="G310" i="2"/>
  <c r="G310" i="6" s="1"/>
  <c r="G309" i="2"/>
  <c r="G309" i="6" s="1"/>
  <c r="G308" i="2"/>
  <c r="G308" i="6" s="1"/>
  <c r="G307" i="2"/>
  <c r="G307" i="6" s="1"/>
  <c r="G306" i="2"/>
  <c r="G306" i="6" s="1"/>
  <c r="G305" i="2"/>
  <c r="G305" i="6" s="1"/>
  <c r="G304" i="2"/>
  <c r="G304" i="6" s="1"/>
  <c r="G303" i="2"/>
  <c r="G303" i="6" s="1"/>
  <c r="G302" i="2"/>
  <c r="G302" i="6" s="1"/>
  <c r="G301" i="2"/>
  <c r="G301" i="6" s="1"/>
  <c r="G300" i="6"/>
  <c r="G299" i="6"/>
  <c r="G298" i="6"/>
  <c r="G297" i="6"/>
  <c r="G296" i="6"/>
  <c r="G295" i="6"/>
  <c r="G294" i="6"/>
  <c r="G293" i="6"/>
  <c r="G292" i="2"/>
  <c r="G292" i="6" s="1"/>
  <c r="G291" i="2"/>
  <c r="G291" i="6" s="1"/>
  <c r="G290" i="2"/>
  <c r="G290" i="6" s="1"/>
  <c r="G289" i="2"/>
  <c r="G289" i="6" s="1"/>
  <c r="G288" i="2"/>
  <c r="G288" i="6" s="1"/>
  <c r="G287" i="2"/>
  <c r="G287" i="6" s="1"/>
  <c r="G286" i="6"/>
  <c r="G285" i="6"/>
  <c r="G284" i="6"/>
  <c r="G283" i="6"/>
  <c r="G282" i="6"/>
  <c r="G281" i="6"/>
  <c r="G280" i="6"/>
  <c r="G279" i="6"/>
  <c r="G278" i="2"/>
  <c r="G278" i="6" s="1"/>
  <c r="G277" i="2"/>
  <c r="G277" i="6" s="1"/>
  <c r="G276" i="2"/>
  <c r="G276" i="6" s="1"/>
  <c r="G275" i="2"/>
  <c r="G275" i="6" s="1"/>
  <c r="G274" i="2"/>
  <c r="G274" i="6" s="1"/>
  <c r="G273" i="2"/>
  <c r="G273" i="6" s="1"/>
  <c r="G272" i="2"/>
  <c r="G272" i="6" s="1"/>
  <c r="G271" i="2"/>
  <c r="G271" i="6" s="1"/>
  <c r="G270" i="2"/>
  <c r="G270" i="6" s="1"/>
  <c r="G269" i="2"/>
  <c r="G269" i="6" s="1"/>
  <c r="G268" i="2"/>
  <c r="G268" i="6" s="1"/>
  <c r="G267" i="6"/>
  <c r="G266" i="6"/>
  <c r="G265" i="6"/>
  <c r="G264" i="6"/>
  <c r="G263" i="6"/>
  <c r="G262" i="6"/>
  <c r="G261" i="6"/>
  <c r="G260" i="6"/>
  <c r="G259" i="6"/>
  <c r="G258" i="6"/>
  <c r="G257" i="6"/>
  <c r="G256" i="2"/>
  <c r="G256" i="6" s="1"/>
  <c r="G255" i="2"/>
  <c r="G255" i="6" s="1"/>
  <c r="G254" i="2"/>
  <c r="G254" i="6" s="1"/>
  <c r="G253" i="2"/>
  <c r="G253" i="6" s="1"/>
  <c r="G252" i="2"/>
  <c r="G252" i="6" s="1"/>
  <c r="G251" i="2"/>
  <c r="G251" i="6" s="1"/>
  <c r="G250" i="2"/>
  <c r="G250" i="6" s="1"/>
  <c r="G249" i="2"/>
  <c r="G249" i="6" s="1"/>
  <c r="G248" i="2"/>
  <c r="G248" i="6" s="1"/>
  <c r="G247" i="2"/>
  <c r="G247" i="6" s="1"/>
  <c r="G246" i="2"/>
  <c r="G246" i="6" s="1"/>
  <c r="G245" i="2"/>
  <c r="G245" i="6" s="1"/>
  <c r="G244" i="2"/>
  <c r="G244" i="6" s="1"/>
  <c r="G243" i="2"/>
  <c r="G243" i="6" s="1"/>
  <c r="G242" i="2"/>
  <c r="G242" i="6" s="1"/>
  <c r="G241" i="2"/>
  <c r="G241" i="6" s="1"/>
  <c r="G240" i="2"/>
  <c r="G240" i="6" s="1"/>
  <c r="G239" i="2"/>
  <c r="G239" i="6" s="1"/>
  <c r="G238" i="2"/>
  <c r="G238" i="6" s="1"/>
  <c r="G237" i="2"/>
  <c r="G237" i="6" s="1"/>
  <c r="G236" i="2"/>
  <c r="G236" i="6" s="1"/>
  <c r="G235" i="2"/>
  <c r="G235" i="6" s="1"/>
  <c r="G234" i="2"/>
  <c r="G234" i="6" s="1"/>
  <c r="G233" i="2"/>
  <c r="G233" i="6" s="1"/>
  <c r="G232" i="2"/>
  <c r="G232" i="6" s="1"/>
  <c r="G231" i="2"/>
  <c r="G231" i="6" s="1"/>
  <c r="G230" i="2"/>
  <c r="G230" i="6" s="1"/>
  <c r="G229" i="2"/>
  <c r="G229" i="6" s="1"/>
  <c r="G228" i="2"/>
  <c r="G228" i="6" s="1"/>
  <c r="G227" i="2"/>
  <c r="G227" i="6" s="1"/>
  <c r="G226" i="2"/>
  <c r="G226" i="6" s="1"/>
  <c r="G225" i="2"/>
  <c r="G225" i="6" s="1"/>
  <c r="G224" i="6"/>
  <c r="G223" i="6"/>
  <c r="G222" i="6"/>
  <c r="G221" i="6"/>
  <c r="G220" i="6"/>
  <c r="G219" i="6"/>
  <c r="G218" i="6"/>
  <c r="G217" i="6"/>
  <c r="G216" i="6"/>
  <c r="G215" i="6"/>
  <c r="G214" i="6"/>
  <c r="G213" i="6"/>
  <c r="G212" i="6"/>
  <c r="G211" i="6"/>
  <c r="G210" i="6"/>
  <c r="G209" i="6"/>
  <c r="G208" i="6"/>
  <c r="G207" i="6"/>
  <c r="G206" i="6"/>
  <c r="G205" i="6"/>
  <c r="G204" i="6"/>
  <c r="G203" i="6"/>
  <c r="G202" i="6"/>
  <c r="G201" i="6"/>
  <c r="G200" i="6"/>
  <c r="G199" i="6"/>
  <c r="G198" i="6"/>
  <c r="G197" i="6"/>
  <c r="G196" i="6"/>
  <c r="G195" i="6"/>
  <c r="G194" i="6"/>
  <c r="G193" i="6"/>
  <c r="G192" i="6"/>
  <c r="G191" i="6"/>
  <c r="G190" i="6"/>
  <c r="G189" i="6"/>
  <c r="G188" i="6"/>
  <c r="G187" i="2"/>
  <c r="G187" i="6" s="1"/>
  <c r="G186" i="6"/>
  <c r="G185" i="6"/>
  <c r="G184" i="6"/>
  <c r="G183" i="6"/>
  <c r="G182" i="6"/>
  <c r="G181" i="6"/>
  <c r="G180" i="6"/>
  <c r="G179" i="6"/>
  <c r="G178" i="6"/>
  <c r="G177" i="6"/>
  <c r="G176" i="6"/>
  <c r="G175" i="6"/>
  <c r="G174" i="6"/>
  <c r="G173" i="6"/>
  <c r="G172" i="6"/>
  <c r="G171" i="6"/>
  <c r="G170" i="6"/>
  <c r="G169" i="6"/>
  <c r="G168" i="6"/>
  <c r="G167" i="6"/>
  <c r="G166" i="2"/>
  <c r="G166" i="6" s="1"/>
  <c r="G165" i="2"/>
  <c r="G165" i="6" s="1"/>
  <c r="G164" i="2"/>
  <c r="G164" i="6" s="1"/>
  <c r="G163" i="2"/>
  <c r="G163" i="6" s="1"/>
  <c r="G162" i="2"/>
  <c r="G162" i="6" s="1"/>
  <c r="G161" i="2"/>
  <c r="G161" i="6" s="1"/>
  <c r="G160" i="2"/>
  <c r="G160" i="6" s="1"/>
  <c r="G159" i="2"/>
  <c r="G159" i="6" s="1"/>
  <c r="G158" i="2"/>
  <c r="G158" i="6" s="1"/>
  <c r="G157" i="2"/>
  <c r="G157" i="6" s="1"/>
  <c r="G156" i="2"/>
  <c r="G156" i="6" s="1"/>
  <c r="G155" i="2"/>
  <c r="G155" i="6" s="1"/>
  <c r="G154" i="2"/>
  <c r="G154" i="6" s="1"/>
  <c r="G153" i="6"/>
  <c r="G152" i="6"/>
  <c r="G151" i="6"/>
  <c r="G150" i="6"/>
  <c r="G149" i="6"/>
  <c r="G148" i="6"/>
  <c r="G147" i="2"/>
  <c r="G147" i="6" s="1"/>
  <c r="G146" i="2"/>
  <c r="G146" i="6" s="1"/>
  <c r="G145" i="2"/>
  <c r="G145" i="6" s="1"/>
  <c r="G144" i="2"/>
  <c r="G144" i="6" s="1"/>
  <c r="G143" i="2"/>
  <c r="G143" i="6" s="1"/>
  <c r="G142" i="2"/>
  <c r="G142" i="6" s="1"/>
  <c r="G141" i="2"/>
  <c r="G141" i="6" s="1"/>
  <c r="G140" i="2"/>
  <c r="G140" i="6" s="1"/>
  <c r="G139" i="2"/>
  <c r="G139" i="6" s="1"/>
  <c r="G138" i="2"/>
  <c r="G138" i="6" s="1"/>
  <c r="G137" i="2"/>
  <c r="G137" i="6" s="1"/>
  <c r="G136" i="2"/>
  <c r="G136" i="6" s="1"/>
  <c r="G135" i="2"/>
  <c r="G135" i="6" s="1"/>
  <c r="G134" i="2"/>
  <c r="G134" i="6" s="1"/>
  <c r="G133" i="2"/>
  <c r="G133" i="6" s="1"/>
  <c r="G132" i="2"/>
  <c r="G132" i="6" s="1"/>
  <c r="G131" i="2"/>
  <c r="G131" i="6" s="1"/>
  <c r="G130" i="2"/>
  <c r="G130" i="6" s="1"/>
  <c r="G129" i="2"/>
  <c r="G129" i="6" s="1"/>
  <c r="G128" i="2"/>
  <c r="G128" i="6" s="1"/>
  <c r="G127" i="2"/>
  <c r="G127" i="6" s="1"/>
  <c r="G126" i="2"/>
  <c r="G126" i="6" s="1"/>
  <c r="G125" i="2"/>
  <c r="G125" i="6" s="1"/>
  <c r="G124" i="2"/>
  <c r="G124" i="6" s="1"/>
  <c r="G123" i="2"/>
  <c r="G123" i="6" s="1"/>
  <c r="G122" i="2"/>
  <c r="G122" i="6" s="1"/>
  <c r="G121" i="2"/>
  <c r="G121" i="6" s="1"/>
  <c r="G120" i="2"/>
  <c r="G120" i="6" s="1"/>
  <c r="G119" i="2"/>
  <c r="G119" i="6" s="1"/>
  <c r="G118" i="2"/>
  <c r="G118" i="6" s="1"/>
  <c r="G117" i="2"/>
  <c r="G117" i="6" s="1"/>
  <c r="G116" i="2"/>
  <c r="G116" i="6" s="1"/>
  <c r="G115" i="2"/>
  <c r="G115" i="6" s="1"/>
  <c r="G114" i="2"/>
  <c r="G114" i="6" s="1"/>
  <c r="G113" i="2"/>
  <c r="G113" i="6" s="1"/>
  <c r="G112" i="2"/>
  <c r="G112" i="6" s="1"/>
  <c r="G111" i="2"/>
  <c r="G111" i="6" s="1"/>
  <c r="G110" i="2"/>
  <c r="G110" i="6" s="1"/>
  <c r="G109" i="2"/>
  <c r="G109" i="6" s="1"/>
  <c r="G108" i="2"/>
  <c r="G108" i="6" s="1"/>
  <c r="G107" i="2"/>
  <c r="G107" i="6" s="1"/>
  <c r="G106" i="2"/>
  <c r="G106" i="6" s="1"/>
  <c r="G105" i="2"/>
  <c r="G105" i="6" s="1"/>
  <c r="G104" i="2"/>
  <c r="G104" i="6" s="1"/>
  <c r="G103" i="2"/>
  <c r="G103" i="6" s="1"/>
  <c r="G102" i="2"/>
  <c r="G102" i="6" s="1"/>
  <c r="G101" i="2"/>
  <c r="G101" i="6" s="1"/>
  <c r="G100" i="2"/>
  <c r="G100" i="6" s="1"/>
  <c r="G99" i="2"/>
  <c r="G99" i="6" s="1"/>
  <c r="G98" i="2"/>
  <c r="G98" i="6" s="1"/>
  <c r="G97" i="2"/>
  <c r="G97" i="6" s="1"/>
  <c r="G96" i="2"/>
  <c r="G96" i="6" s="1"/>
  <c r="G95" i="2"/>
  <c r="G95" i="6" s="1"/>
  <c r="G94" i="2"/>
  <c r="G94" i="6" s="1"/>
  <c r="G93" i="2"/>
  <c r="G93" i="6" s="1"/>
  <c r="G92" i="2"/>
  <c r="G92" i="6" s="1"/>
  <c r="G91" i="2"/>
  <c r="G91" i="6" s="1"/>
  <c r="G90" i="6"/>
  <c r="G89" i="6"/>
  <c r="G88" i="6"/>
  <c r="G87" i="6"/>
  <c r="G86" i="2"/>
  <c r="G86" i="6" s="1"/>
  <c r="G85" i="2"/>
  <c r="G85" i="6" s="1"/>
  <c r="G84" i="2"/>
  <c r="G84" i="6" s="1"/>
  <c r="G83" i="2"/>
  <c r="G83" i="6" s="1"/>
  <c r="G82" i="2"/>
  <c r="G82" i="6" s="1"/>
  <c r="G81" i="2"/>
  <c r="G81" i="6" s="1"/>
  <c r="G80" i="2"/>
  <c r="G80" i="6" s="1"/>
  <c r="G79" i="2"/>
  <c r="G79" i="6" s="1"/>
  <c r="G78" i="2"/>
  <c r="G78" i="6" s="1"/>
  <c r="G77" i="6"/>
  <c r="G76" i="6"/>
  <c r="G75" i="6"/>
  <c r="G74" i="6"/>
  <c r="G73" i="6"/>
  <c r="G72" i="6"/>
  <c r="G71" i="6"/>
  <c r="G70" i="2"/>
  <c r="G70" i="6" s="1"/>
  <c r="G69" i="2"/>
  <c r="G69" i="6" s="1"/>
  <c r="G68" i="2"/>
  <c r="G68" i="6" s="1"/>
  <c r="G67" i="2"/>
  <c r="G67" i="6" s="1"/>
  <c r="G66" i="2"/>
  <c r="G66" i="6" s="1"/>
  <c r="G65" i="2"/>
  <c r="G65" i="6" s="1"/>
  <c r="G64" i="6"/>
  <c r="G63" i="2"/>
  <c r="G63" i="6" s="1"/>
  <c r="G62" i="6"/>
  <c r="G61" i="6"/>
  <c r="G60" i="6"/>
  <c r="G59" i="2"/>
  <c r="G59" i="6" s="1"/>
  <c r="G58" i="2"/>
  <c r="G58" i="6" s="1"/>
  <c r="G57" i="2"/>
  <c r="G57" i="6" s="1"/>
  <c r="G56" i="2"/>
  <c r="G56" i="6" s="1"/>
  <c r="G55" i="2"/>
  <c r="G55" i="6" s="1"/>
  <c r="G54" i="2"/>
  <c r="G54" i="6" s="1"/>
  <c r="G53" i="2"/>
  <c r="G53" i="6" s="1"/>
  <c r="G52" i="2"/>
  <c r="G52" i="6" s="1"/>
  <c r="G51" i="2"/>
  <c r="G51" i="6" s="1"/>
  <c r="G50" i="2"/>
  <c r="G50" i="6" s="1"/>
  <c r="G49" i="2"/>
  <c r="G49" i="6" s="1"/>
  <c r="G48" i="2"/>
  <c r="G48" i="6" s="1"/>
  <c r="G47" i="2"/>
  <c r="G47" i="6" s="1"/>
  <c r="G46" i="2"/>
  <c r="G46" i="6" s="1"/>
  <c r="G45" i="2"/>
  <c r="G45" i="6" s="1"/>
  <c r="G44" i="2"/>
  <c r="G44" i="6" s="1"/>
  <c r="G43" i="2"/>
  <c r="G43" i="6" s="1"/>
  <c r="G42" i="2"/>
  <c r="G42" i="6" s="1"/>
  <c r="G41" i="2"/>
  <c r="G41" i="6" s="1"/>
  <c r="G40" i="2"/>
  <c r="G40" i="6" s="1"/>
  <c r="G39" i="2"/>
  <c r="G39" i="6" s="1"/>
  <c r="G38" i="2"/>
  <c r="G38" i="6" s="1"/>
  <c r="G37" i="2"/>
  <c r="G37" i="6" s="1"/>
  <c r="G36" i="2"/>
  <c r="G36" i="6" s="1"/>
  <c r="G35" i="6"/>
  <c r="G34" i="6"/>
  <c r="G33" i="6"/>
  <c r="G32" i="6"/>
  <c r="G31" i="6"/>
  <c r="G30" i="6"/>
  <c r="G29" i="6"/>
  <c r="G28" i="6"/>
  <c r="G27" i="6"/>
  <c r="G26" i="6"/>
  <c r="G25" i="6"/>
  <c r="G24" i="6"/>
  <c r="G23" i="6"/>
  <c r="G22" i="6"/>
  <c r="G21" i="6"/>
  <c r="G20" i="6"/>
  <c r="G19" i="6"/>
  <c r="G18" i="6"/>
  <c r="G17" i="6"/>
  <c r="G16" i="6"/>
  <c r="G15" i="2"/>
  <c r="G15" i="6" s="1"/>
  <c r="G14" i="6"/>
  <c r="G13" i="2"/>
  <c r="G13" i="6" s="1"/>
  <c r="G12" i="6"/>
  <c r="G11" i="2"/>
  <c r="G11" i="6" s="1"/>
  <c r="G10" i="6"/>
  <c r="G9" i="2"/>
  <c r="G9" i="6" s="1"/>
  <c r="G8" i="2"/>
  <c r="G8" i="6" s="1"/>
  <c r="G7" i="2"/>
  <c r="G7" i="6" s="1"/>
  <c r="G6" i="2"/>
  <c r="G6" i="6" s="1"/>
  <c r="F498" i="6"/>
  <c r="F497" i="6"/>
  <c r="F496" i="6"/>
  <c r="F495" i="6"/>
  <c r="F494" i="6"/>
  <c r="F493" i="6"/>
  <c r="F492" i="6"/>
  <c r="F491" i="6"/>
  <c r="F490" i="6"/>
  <c r="F489" i="6"/>
  <c r="F488" i="6"/>
  <c r="F487" i="6"/>
  <c r="F486" i="6"/>
  <c r="F485" i="6"/>
  <c r="F484" i="6"/>
  <c r="F483" i="6"/>
  <c r="F482" i="6"/>
  <c r="F481" i="6"/>
  <c r="F480" i="6"/>
  <c r="F479" i="2"/>
  <c r="F479" i="6" s="1"/>
  <c r="F478" i="2"/>
  <c r="F478" i="6" s="1"/>
  <c r="F477" i="2"/>
  <c r="F477" i="6" s="1"/>
  <c r="F476" i="2"/>
  <c r="F476" i="6" s="1"/>
  <c r="F475" i="2"/>
  <c r="F475" i="6" s="1"/>
  <c r="F474" i="2"/>
  <c r="F474" i="6" s="1"/>
  <c r="F473" i="2"/>
  <c r="F473" i="6" s="1"/>
  <c r="F472" i="2"/>
  <c r="F472" i="6" s="1"/>
  <c r="F471" i="2"/>
  <c r="F471" i="6" s="1"/>
  <c r="F470" i="2"/>
  <c r="F470" i="6" s="1"/>
  <c r="F469" i="2"/>
  <c r="F469" i="6" s="1"/>
  <c r="F468" i="2"/>
  <c r="F468" i="6" s="1"/>
  <c r="F467" i="2"/>
  <c r="F467" i="6" s="1"/>
  <c r="F466" i="2"/>
  <c r="F466" i="6" s="1"/>
  <c r="F465" i="2"/>
  <c r="F465" i="6" s="1"/>
  <c r="F464" i="2"/>
  <c r="F464" i="6" s="1"/>
  <c r="F463" i="2"/>
  <c r="F463" i="6" s="1"/>
  <c r="F462" i="2"/>
  <c r="F462" i="6" s="1"/>
  <c r="F461" i="2"/>
  <c r="F461" i="6" s="1"/>
  <c r="F460" i="2"/>
  <c r="F460" i="6" s="1"/>
  <c r="F459" i="2"/>
  <c r="F459" i="6" s="1"/>
  <c r="F458" i="2"/>
  <c r="F458" i="6" s="1"/>
  <c r="F457" i="2"/>
  <c r="F457" i="6" s="1"/>
  <c r="F456" i="2"/>
  <c r="F456" i="6" s="1"/>
  <c r="F455" i="2"/>
  <c r="F455" i="6" s="1"/>
  <c r="F454" i="2"/>
  <c r="F454" i="6" s="1"/>
  <c r="F453" i="2"/>
  <c r="F453" i="6" s="1"/>
  <c r="F452" i="2"/>
  <c r="F452" i="6" s="1"/>
  <c r="F451" i="2"/>
  <c r="F451" i="6" s="1"/>
  <c r="F450" i="2"/>
  <c r="F450" i="6" s="1"/>
  <c r="F449" i="2"/>
  <c r="F449" i="6" s="1"/>
  <c r="F448" i="2"/>
  <c r="F448" i="6" s="1"/>
  <c r="F447" i="2"/>
  <c r="F447" i="6" s="1"/>
  <c r="F446" i="2"/>
  <c r="F446" i="6" s="1"/>
  <c r="F445" i="2"/>
  <c r="F445" i="6" s="1"/>
  <c r="F444" i="2"/>
  <c r="F444" i="6" s="1"/>
  <c r="F443" i="2"/>
  <c r="F443" i="6" s="1"/>
  <c r="F442" i="2"/>
  <c r="F442" i="6" s="1"/>
  <c r="F441" i="2"/>
  <c r="F441" i="6" s="1"/>
  <c r="F440" i="2"/>
  <c r="F440" i="6" s="1"/>
  <c r="F439" i="2"/>
  <c r="F439" i="6" s="1"/>
  <c r="F438" i="2"/>
  <c r="F438" i="6" s="1"/>
  <c r="F437" i="2"/>
  <c r="F437" i="6" s="1"/>
  <c r="F436" i="2"/>
  <c r="F436" i="6" s="1"/>
  <c r="F435" i="2"/>
  <c r="F435" i="6" s="1"/>
  <c r="F434" i="2"/>
  <c r="F434" i="6" s="1"/>
  <c r="F433" i="2"/>
  <c r="F433" i="6" s="1"/>
  <c r="F432" i="2"/>
  <c r="F432" i="6" s="1"/>
  <c r="F431" i="2"/>
  <c r="F431" i="6" s="1"/>
  <c r="F430" i="2"/>
  <c r="F430" i="6" s="1"/>
  <c r="F429" i="2"/>
  <c r="F429" i="6" s="1"/>
  <c r="F428" i="2"/>
  <c r="F428" i="6" s="1"/>
  <c r="F427" i="2"/>
  <c r="F427" i="6" s="1"/>
  <c r="F426" i="2"/>
  <c r="F426" i="6" s="1"/>
  <c r="F425" i="2"/>
  <c r="F425" i="6" s="1"/>
  <c r="F424" i="2"/>
  <c r="F424" i="6" s="1"/>
  <c r="F423" i="2"/>
  <c r="F423" i="6" s="1"/>
  <c r="F422" i="2"/>
  <c r="F422" i="6" s="1"/>
  <c r="F421" i="2"/>
  <c r="F421" i="6" s="1"/>
  <c r="F420" i="2"/>
  <c r="F420" i="6" s="1"/>
  <c r="F419" i="2"/>
  <c r="F419" i="6" s="1"/>
  <c r="F418" i="2"/>
  <c r="F418" i="6" s="1"/>
  <c r="F417" i="2"/>
  <c r="F417" i="6" s="1"/>
  <c r="F416" i="2"/>
  <c r="F416" i="6" s="1"/>
  <c r="F415" i="2"/>
  <c r="F415" i="6" s="1"/>
  <c r="F414" i="2"/>
  <c r="F414" i="6" s="1"/>
  <c r="F413" i="6"/>
  <c r="F412" i="6"/>
  <c r="F411" i="6"/>
  <c r="F410" i="6"/>
  <c r="F409" i="6"/>
  <c r="F408" i="6"/>
  <c r="F407" i="6"/>
  <c r="F406" i="6"/>
  <c r="F405" i="6"/>
  <c r="F404" i="6"/>
  <c r="F403" i="6"/>
  <c r="F402" i="2"/>
  <c r="F402" i="6" s="1"/>
  <c r="F401" i="2"/>
  <c r="F401" i="6" s="1"/>
  <c r="F400" i="2"/>
  <c r="F400" i="6" s="1"/>
  <c r="F399" i="2"/>
  <c r="F399" i="6" s="1"/>
  <c r="F398" i="6"/>
  <c r="F397" i="6"/>
  <c r="F396" i="6"/>
  <c r="F395" i="6"/>
  <c r="F394" i="6"/>
  <c r="F393" i="6"/>
  <c r="F392" i="6"/>
  <c r="F391" i="6"/>
  <c r="F390" i="6"/>
  <c r="F389" i="2"/>
  <c r="F389" i="6" s="1"/>
  <c r="F388" i="2"/>
  <c r="F388" i="6" s="1"/>
  <c r="F387" i="2"/>
  <c r="F387" i="6" s="1"/>
  <c r="F386" i="2"/>
  <c r="F386" i="6" s="1"/>
  <c r="F385" i="2"/>
  <c r="F385" i="6" s="1"/>
  <c r="F384" i="2"/>
  <c r="F384" i="6" s="1"/>
  <c r="F383" i="2"/>
  <c r="F383" i="6" s="1"/>
  <c r="F382" i="2"/>
  <c r="F382" i="6" s="1"/>
  <c r="F381" i="2"/>
  <c r="F381" i="6" s="1"/>
  <c r="F380" i="2"/>
  <c r="F380" i="6" s="1"/>
  <c r="F379" i="2"/>
  <c r="F379" i="6" s="1"/>
  <c r="F378" i="2"/>
  <c r="F378" i="6" s="1"/>
  <c r="F377" i="2"/>
  <c r="F377" i="6" s="1"/>
  <c r="F376" i="6"/>
  <c r="F375" i="6"/>
  <c r="F374" i="6"/>
  <c r="F373" i="6"/>
  <c r="F372" i="6"/>
  <c r="F371" i="6"/>
  <c r="F370" i="6"/>
  <c r="F369" i="6"/>
  <c r="F368" i="6"/>
  <c r="F367" i="6"/>
  <c r="F366" i="6"/>
  <c r="F365" i="6"/>
  <c r="F364" i="6"/>
  <c r="F363" i="6"/>
  <c r="F362" i="6"/>
  <c r="F361" i="6"/>
  <c r="F360" i="2"/>
  <c r="F360" i="6" s="1"/>
  <c r="F359" i="2"/>
  <c r="F359" i="6" s="1"/>
  <c r="F358" i="2"/>
  <c r="F358" i="6" s="1"/>
  <c r="F357" i="2"/>
  <c r="F357" i="6" s="1"/>
  <c r="F356" i="2"/>
  <c r="F356" i="6" s="1"/>
  <c r="F355" i="2"/>
  <c r="F355" i="6" s="1"/>
  <c r="F354" i="2"/>
  <c r="F354" i="6" s="1"/>
  <c r="F353" i="2"/>
  <c r="F353" i="6" s="1"/>
  <c r="F352" i="2"/>
  <c r="F352" i="6" s="1"/>
  <c r="F351" i="2"/>
  <c r="F351" i="6" s="1"/>
  <c r="F350" i="2"/>
  <c r="F350" i="6" s="1"/>
  <c r="F349" i="2"/>
  <c r="F349" i="6" s="1"/>
  <c r="F348" i="2"/>
  <c r="F348" i="6" s="1"/>
  <c r="F347" i="2"/>
  <c r="F347" i="6" s="1"/>
  <c r="F346" i="2"/>
  <c r="F346" i="6" s="1"/>
  <c r="F345" i="2"/>
  <c r="F345" i="6" s="1"/>
  <c r="F344" i="2"/>
  <c r="F344" i="6" s="1"/>
  <c r="F343" i="2"/>
  <c r="F343" i="6" s="1"/>
  <c r="F342" i="2"/>
  <c r="F342" i="6" s="1"/>
  <c r="F341" i="2"/>
  <c r="F341" i="6" s="1"/>
  <c r="F340" i="2"/>
  <c r="F340" i="6" s="1"/>
  <c r="F339" i="2"/>
  <c r="F339" i="6" s="1"/>
  <c r="F338" i="2"/>
  <c r="F338" i="6" s="1"/>
  <c r="F337" i="2"/>
  <c r="F337" i="6" s="1"/>
  <c r="F336" i="2"/>
  <c r="F336" i="6" s="1"/>
  <c r="F335" i="2"/>
  <c r="F335" i="6" s="1"/>
  <c r="F334" i="2"/>
  <c r="F334" i="6" s="1"/>
  <c r="F333" i="2"/>
  <c r="F333" i="6" s="1"/>
  <c r="F332" i="2"/>
  <c r="F332" i="6" s="1"/>
  <c r="F331" i="2"/>
  <c r="F331" i="6" s="1"/>
  <c r="F330" i="2"/>
  <c r="F330" i="6" s="1"/>
  <c r="F329" i="2"/>
  <c r="F329" i="6" s="1"/>
  <c r="F328" i="2"/>
  <c r="F328" i="6" s="1"/>
  <c r="F327" i="2"/>
  <c r="F327" i="6" s="1"/>
  <c r="F326" i="2"/>
  <c r="F326" i="6" s="1"/>
  <c r="F325" i="2"/>
  <c r="F325" i="6" s="1"/>
  <c r="F324" i="2"/>
  <c r="F324" i="6" s="1"/>
  <c r="F323" i="2"/>
  <c r="F323" i="6" s="1"/>
  <c r="F322" i="2"/>
  <c r="F322" i="6" s="1"/>
  <c r="F321" i="2"/>
  <c r="F321" i="6" s="1"/>
  <c r="F320" i="2"/>
  <c r="F320" i="6" s="1"/>
  <c r="F319" i="2"/>
  <c r="F319" i="6" s="1"/>
  <c r="F318" i="2"/>
  <c r="F318" i="6" s="1"/>
  <c r="F317" i="2"/>
  <c r="F317" i="6" s="1"/>
  <c r="F316" i="2"/>
  <c r="F316" i="6" s="1"/>
  <c r="F315" i="2"/>
  <c r="F315" i="6" s="1"/>
  <c r="F314" i="2"/>
  <c r="F314" i="6" s="1"/>
  <c r="F313" i="2"/>
  <c r="F313" i="6" s="1"/>
  <c r="F312" i="2"/>
  <c r="F312" i="6" s="1"/>
  <c r="F311" i="2"/>
  <c r="F311" i="6" s="1"/>
  <c r="F310" i="2"/>
  <c r="F310" i="6" s="1"/>
  <c r="F309" i="2"/>
  <c r="F309" i="6" s="1"/>
  <c r="F308" i="2"/>
  <c r="F308" i="6" s="1"/>
  <c r="F307" i="2"/>
  <c r="F307" i="6" s="1"/>
  <c r="F306" i="2"/>
  <c r="F306" i="6" s="1"/>
  <c r="F305" i="2"/>
  <c r="F305" i="6" s="1"/>
  <c r="F304" i="2"/>
  <c r="F304" i="6" s="1"/>
  <c r="F303" i="2"/>
  <c r="F303" i="6" s="1"/>
  <c r="F302" i="2"/>
  <c r="F302" i="6" s="1"/>
  <c r="F301" i="2"/>
  <c r="F301" i="6" s="1"/>
  <c r="F300" i="6"/>
  <c r="F299" i="6"/>
  <c r="F298" i="6"/>
  <c r="F297" i="6"/>
  <c r="F296" i="6"/>
  <c r="F295" i="6"/>
  <c r="F294" i="6"/>
  <c r="F293" i="6"/>
  <c r="F292" i="2"/>
  <c r="F292" i="6" s="1"/>
  <c r="F291" i="2"/>
  <c r="F291" i="6" s="1"/>
  <c r="F290" i="2"/>
  <c r="F290" i="6" s="1"/>
  <c r="F289" i="2"/>
  <c r="F289" i="6" s="1"/>
  <c r="F288" i="2"/>
  <c r="F288" i="6" s="1"/>
  <c r="F287" i="2"/>
  <c r="F287" i="6" s="1"/>
  <c r="F286" i="6"/>
  <c r="F285" i="6"/>
  <c r="F284" i="6"/>
  <c r="F283" i="6"/>
  <c r="F282" i="6"/>
  <c r="F281" i="6"/>
  <c r="F280" i="6"/>
  <c r="F279" i="6"/>
  <c r="F278" i="2"/>
  <c r="F278" i="6" s="1"/>
  <c r="F277" i="2"/>
  <c r="F277" i="6" s="1"/>
  <c r="F276" i="2"/>
  <c r="F276" i="6" s="1"/>
  <c r="F275" i="2"/>
  <c r="F275" i="6" s="1"/>
  <c r="F274" i="2"/>
  <c r="F274" i="6" s="1"/>
  <c r="F273" i="2"/>
  <c r="F273" i="6" s="1"/>
  <c r="F272" i="2"/>
  <c r="F272" i="6" s="1"/>
  <c r="F271" i="2"/>
  <c r="F271" i="6" s="1"/>
  <c r="F270" i="2"/>
  <c r="F270" i="6" s="1"/>
  <c r="F269" i="2"/>
  <c r="F269" i="6" s="1"/>
  <c r="F268" i="2"/>
  <c r="F268" i="6" s="1"/>
  <c r="F267" i="6"/>
  <c r="F266" i="6"/>
  <c r="F265" i="6"/>
  <c r="F264" i="6"/>
  <c r="F263" i="6"/>
  <c r="F262" i="6"/>
  <c r="F261" i="6"/>
  <c r="F260" i="6"/>
  <c r="F259" i="6"/>
  <c r="F258" i="6"/>
  <c r="F257" i="6"/>
  <c r="F256" i="2"/>
  <c r="F256" i="6" s="1"/>
  <c r="F255" i="2"/>
  <c r="F255" i="6" s="1"/>
  <c r="F254" i="2"/>
  <c r="F254" i="6" s="1"/>
  <c r="F253" i="2"/>
  <c r="F253" i="6" s="1"/>
  <c r="F252" i="2"/>
  <c r="F252" i="6" s="1"/>
  <c r="F251" i="2"/>
  <c r="F251" i="6" s="1"/>
  <c r="F250" i="2"/>
  <c r="F250" i="6" s="1"/>
  <c r="F249" i="2"/>
  <c r="F249" i="6" s="1"/>
  <c r="F248" i="2"/>
  <c r="F248" i="6" s="1"/>
  <c r="F247" i="2"/>
  <c r="F247" i="6" s="1"/>
  <c r="F246" i="2"/>
  <c r="F246" i="6" s="1"/>
  <c r="F245" i="2"/>
  <c r="F245" i="6" s="1"/>
  <c r="F244" i="2"/>
  <c r="F244" i="6" s="1"/>
  <c r="F243" i="2"/>
  <c r="F243" i="6" s="1"/>
  <c r="F242" i="2"/>
  <c r="F242" i="6" s="1"/>
  <c r="F241" i="2"/>
  <c r="F241" i="6" s="1"/>
  <c r="F240" i="2"/>
  <c r="F240" i="6" s="1"/>
  <c r="F239" i="2"/>
  <c r="F239" i="6" s="1"/>
  <c r="F238" i="2"/>
  <c r="F238" i="6" s="1"/>
  <c r="F237" i="2"/>
  <c r="F237" i="6" s="1"/>
  <c r="F236" i="2"/>
  <c r="F236" i="6" s="1"/>
  <c r="F235" i="2"/>
  <c r="F235" i="6" s="1"/>
  <c r="F234" i="2"/>
  <c r="F234" i="6" s="1"/>
  <c r="F233" i="6"/>
  <c r="F232" i="6"/>
  <c r="F231" i="6"/>
  <c r="F230" i="6"/>
  <c r="F229" i="2"/>
  <c r="F229" i="6" s="1"/>
  <c r="F228" i="6"/>
  <c r="F227" i="2"/>
  <c r="F227" i="6" s="1"/>
  <c r="F226" i="2"/>
  <c r="F226" i="6" s="1"/>
  <c r="F225" i="2"/>
  <c r="F225" i="6" s="1"/>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2"/>
  <c r="F187" i="6" s="1"/>
  <c r="F186" i="6"/>
  <c r="F185" i="6"/>
  <c r="F184" i="6"/>
  <c r="F183" i="6"/>
  <c r="F182" i="6"/>
  <c r="F181" i="6"/>
  <c r="F180" i="6"/>
  <c r="F179" i="6"/>
  <c r="F178" i="6"/>
  <c r="F177" i="6"/>
  <c r="F176" i="6"/>
  <c r="F175" i="6"/>
  <c r="F174" i="6"/>
  <c r="F173" i="6"/>
  <c r="F172" i="6"/>
  <c r="F171" i="6"/>
  <c r="F170" i="6"/>
  <c r="F169" i="6"/>
  <c r="F168" i="6"/>
  <c r="F167" i="6"/>
  <c r="F166" i="2"/>
  <c r="F166" i="6" s="1"/>
  <c r="F165" i="2"/>
  <c r="F165" i="6" s="1"/>
  <c r="F164" i="2"/>
  <c r="F164" i="6" s="1"/>
  <c r="F163" i="2"/>
  <c r="F163" i="6" s="1"/>
  <c r="F162" i="2"/>
  <c r="F162" i="6" s="1"/>
  <c r="F161" i="2"/>
  <c r="F161" i="6" s="1"/>
  <c r="F160" i="2"/>
  <c r="F160" i="6" s="1"/>
  <c r="F159" i="2"/>
  <c r="F159" i="6" s="1"/>
  <c r="F158" i="2"/>
  <c r="F158" i="6" s="1"/>
  <c r="F157" i="2"/>
  <c r="F157" i="6" s="1"/>
  <c r="F156" i="2"/>
  <c r="F156" i="6" s="1"/>
  <c r="F155" i="2"/>
  <c r="F155" i="6" s="1"/>
  <c r="F154" i="2"/>
  <c r="F154" i="6" s="1"/>
  <c r="F153" i="6"/>
  <c r="F152" i="6"/>
  <c r="F151" i="6"/>
  <c r="F150" i="6"/>
  <c r="F149" i="6"/>
  <c r="F148" i="6"/>
  <c r="F147" i="2"/>
  <c r="F147" i="6" s="1"/>
  <c r="F146" i="6"/>
  <c r="F145" i="6"/>
  <c r="F144" i="6"/>
  <c r="F143" i="6"/>
  <c r="F142" i="6"/>
  <c r="F141" i="6"/>
  <c r="F140" i="6"/>
  <c r="F139" i="6"/>
  <c r="F138" i="6"/>
  <c r="F137" i="6"/>
  <c r="F136" i="6"/>
  <c r="F135" i="6"/>
  <c r="F134" i="6"/>
  <c r="F133" i="2"/>
  <c r="F133" i="6" s="1"/>
  <c r="F132" i="2"/>
  <c r="F132" i="6" s="1"/>
  <c r="F131" i="2"/>
  <c r="F131" i="6" s="1"/>
  <c r="F130" i="2"/>
  <c r="F130" i="6" s="1"/>
  <c r="F129" i="2"/>
  <c r="F129" i="6" s="1"/>
  <c r="F128" i="2"/>
  <c r="F128" i="6" s="1"/>
  <c r="F127" i="2"/>
  <c r="F127" i="6" s="1"/>
  <c r="F126" i="2"/>
  <c r="F126" i="6" s="1"/>
  <c r="F125" i="2"/>
  <c r="F125" i="6" s="1"/>
  <c r="F124" i="2"/>
  <c r="F124" i="6" s="1"/>
  <c r="F123" i="2"/>
  <c r="F123" i="6" s="1"/>
  <c r="F122" i="2"/>
  <c r="F122" i="6" s="1"/>
  <c r="F121" i="2"/>
  <c r="F121" i="6" s="1"/>
  <c r="F120" i="2"/>
  <c r="F120" i="6" s="1"/>
  <c r="F119" i="2"/>
  <c r="F119" i="6" s="1"/>
  <c r="F118" i="2"/>
  <c r="F118" i="6" s="1"/>
  <c r="F117" i="2"/>
  <c r="F117" i="6" s="1"/>
  <c r="F116" i="2"/>
  <c r="F116" i="6" s="1"/>
  <c r="F115" i="2"/>
  <c r="F115" i="6" s="1"/>
  <c r="F114" i="2"/>
  <c r="F114" i="6" s="1"/>
  <c r="F113" i="2"/>
  <c r="F113" i="6" s="1"/>
  <c r="F112" i="2"/>
  <c r="F112" i="6" s="1"/>
  <c r="F111" i="2"/>
  <c r="F111" i="6" s="1"/>
  <c r="F110" i="2"/>
  <c r="F110" i="6" s="1"/>
  <c r="F109" i="2"/>
  <c r="F109" i="6" s="1"/>
  <c r="F108" i="2"/>
  <c r="F108" i="6" s="1"/>
  <c r="F107" i="2"/>
  <c r="F107" i="6" s="1"/>
  <c r="F106" i="2"/>
  <c r="F106" i="6" s="1"/>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2"/>
  <c r="F63" i="6" s="1"/>
  <c r="F62" i="6"/>
  <c r="F61" i="6"/>
  <c r="F60" i="6"/>
  <c r="F59" i="6"/>
  <c r="F58" i="6"/>
  <c r="F57" i="6"/>
  <c r="F56" i="6"/>
  <c r="F55" i="6"/>
  <c r="F54" i="6"/>
  <c r="F53" i="6"/>
  <c r="F52" i="6"/>
  <c r="F51" i="6"/>
  <c r="F50" i="6"/>
  <c r="F49" i="6"/>
  <c r="F48" i="6"/>
  <c r="F47" i="6"/>
  <c r="F46" i="6"/>
  <c r="F45" i="6"/>
  <c r="F44" i="6"/>
  <c r="F43" i="6"/>
  <c r="F42" i="6"/>
  <c r="F41" i="6"/>
  <c r="F40" i="6"/>
  <c r="F39" i="6"/>
  <c r="F38" i="6"/>
  <c r="F37" i="6"/>
  <c r="F36" i="6"/>
  <c r="F35" i="2"/>
  <c r="F35" i="6" s="1"/>
  <c r="F34" i="2"/>
  <c r="F34" i="6" s="1"/>
  <c r="F33" i="2"/>
  <c r="F33" i="6" s="1"/>
  <c r="F32" i="2"/>
  <c r="F32" i="6" s="1"/>
  <c r="F31" i="2"/>
  <c r="F31" i="6" s="1"/>
  <c r="F30" i="2"/>
  <c r="F30" i="6" s="1"/>
  <c r="F29" i="2"/>
  <c r="F29" i="6" s="1"/>
  <c r="F28" i="2"/>
  <c r="F28" i="6" s="1"/>
  <c r="F27" i="2"/>
  <c r="F27" i="6" s="1"/>
  <c r="F26" i="6"/>
  <c r="F25" i="2"/>
  <c r="F25" i="6" s="1"/>
  <c r="F24" i="6"/>
  <c r="F23" i="2"/>
  <c r="F23" i="6" s="1"/>
  <c r="F22" i="2"/>
  <c r="F22" i="6" s="1"/>
  <c r="F21" i="2"/>
  <c r="F21" i="6" s="1"/>
  <c r="F20" i="2"/>
  <c r="F20" i="6" s="1"/>
  <c r="F19" i="6"/>
  <c r="F18" i="6"/>
  <c r="F17" i="6"/>
  <c r="F16" i="6"/>
  <c r="F15" i="6"/>
  <c r="F14" i="6"/>
  <c r="F13" i="6"/>
  <c r="F12" i="6"/>
  <c r="F11" i="6"/>
  <c r="F10" i="6"/>
  <c r="F9" i="2"/>
  <c r="F9" i="6" s="1"/>
  <c r="F8" i="2"/>
  <c r="F8" i="6" s="1"/>
  <c r="F7" i="2"/>
  <c r="F7" i="6" s="1"/>
  <c r="F6" i="2"/>
  <c r="F6" i="6" s="1"/>
  <c r="C496" i="6"/>
  <c r="C492" i="6"/>
  <c r="C488" i="6"/>
  <c r="C484" i="6"/>
  <c r="C480" i="6"/>
  <c r="C479" i="2"/>
  <c r="C479" i="6" s="1"/>
  <c r="C478" i="2"/>
  <c r="C478" i="6" s="1"/>
  <c r="C477" i="2"/>
  <c r="C477" i="6" s="1"/>
  <c r="C476" i="2"/>
  <c r="C476" i="6" s="1"/>
  <c r="C475" i="2"/>
  <c r="C475" i="6" s="1"/>
  <c r="C474" i="2"/>
  <c r="C474" i="6" s="1"/>
  <c r="C473" i="2"/>
  <c r="C473" i="6" s="1"/>
  <c r="C472" i="2"/>
  <c r="C472" i="6" s="1"/>
  <c r="C471" i="2"/>
  <c r="C471" i="6" s="1"/>
  <c r="C470" i="2"/>
  <c r="C470" i="6" s="1"/>
  <c r="C469" i="2"/>
  <c r="C469" i="6" s="1"/>
  <c r="C468" i="2"/>
  <c r="C468" i="6" s="1"/>
  <c r="C467" i="2"/>
  <c r="C467" i="6" s="1"/>
  <c r="C466" i="2"/>
  <c r="C466" i="6" s="1"/>
  <c r="C465" i="2"/>
  <c r="C465" i="6" s="1"/>
  <c r="C464" i="2"/>
  <c r="C464" i="6" s="1"/>
  <c r="C463" i="2"/>
  <c r="C463" i="6" s="1"/>
  <c r="C462" i="2"/>
  <c r="C462" i="6" s="1"/>
  <c r="C461" i="2"/>
  <c r="C461" i="6" s="1"/>
  <c r="C460" i="2"/>
  <c r="C460" i="6" s="1"/>
  <c r="C459" i="2"/>
  <c r="C459" i="6" s="1"/>
  <c r="C458" i="2"/>
  <c r="C458" i="6" s="1"/>
  <c r="C457" i="2"/>
  <c r="C457" i="6" s="1"/>
  <c r="C456" i="2"/>
  <c r="C456" i="6" s="1"/>
  <c r="C455" i="2"/>
  <c r="C455" i="6" s="1"/>
  <c r="C454" i="2"/>
  <c r="C454" i="6" s="1"/>
  <c r="C453" i="2"/>
  <c r="C453" i="6" s="1"/>
  <c r="C452" i="2"/>
  <c r="C452" i="6" s="1"/>
  <c r="C451" i="2"/>
  <c r="C451" i="6" s="1"/>
  <c r="C450" i="2"/>
  <c r="C450" i="6" s="1"/>
  <c r="C449" i="2"/>
  <c r="C449" i="6" s="1"/>
  <c r="C448" i="2"/>
  <c r="C448" i="6" s="1"/>
  <c r="C447" i="2"/>
  <c r="C447" i="6" s="1"/>
  <c r="C446" i="2"/>
  <c r="C446" i="6" s="1"/>
  <c r="C445" i="2"/>
  <c r="C445" i="6" s="1"/>
  <c r="C444" i="2"/>
  <c r="C444" i="6" s="1"/>
  <c r="C443" i="2"/>
  <c r="C443" i="6" s="1"/>
  <c r="C442" i="2"/>
  <c r="C442" i="6" s="1"/>
  <c r="C441" i="2"/>
  <c r="C441" i="6" s="1"/>
  <c r="C440" i="2"/>
  <c r="C440" i="6" s="1"/>
  <c r="C439" i="2"/>
  <c r="C439" i="6" s="1"/>
  <c r="C438" i="2"/>
  <c r="C438" i="6" s="1"/>
  <c r="C437" i="2"/>
  <c r="C437" i="6" s="1"/>
  <c r="C436" i="2"/>
  <c r="C436" i="6" s="1"/>
  <c r="C435" i="2"/>
  <c r="C435" i="6" s="1"/>
  <c r="C434" i="2"/>
  <c r="C434" i="6" s="1"/>
  <c r="C433" i="2"/>
  <c r="C433" i="6" s="1"/>
  <c r="C432" i="2"/>
  <c r="C432" i="6" s="1"/>
  <c r="C431" i="2"/>
  <c r="C431" i="6" s="1"/>
  <c r="C430" i="2"/>
  <c r="C430" i="6" s="1"/>
  <c r="C429" i="2"/>
  <c r="C429" i="6" s="1"/>
  <c r="C428" i="2"/>
  <c r="C428" i="6" s="1"/>
  <c r="C427" i="2"/>
  <c r="C427" i="6" s="1"/>
  <c r="C426" i="2"/>
  <c r="C426" i="6" s="1"/>
  <c r="C425" i="2"/>
  <c r="C425" i="6" s="1"/>
  <c r="C424" i="2"/>
  <c r="C424" i="6" s="1"/>
  <c r="C423" i="2"/>
  <c r="C423" i="6" s="1"/>
  <c r="C422" i="2"/>
  <c r="C422" i="6" s="1"/>
  <c r="C421" i="2"/>
  <c r="C421" i="6" s="1"/>
  <c r="C420" i="2"/>
  <c r="C420" i="6" s="1"/>
  <c r="C419" i="2"/>
  <c r="C419" i="6" s="1"/>
  <c r="C418" i="2"/>
  <c r="C418" i="6" s="1"/>
  <c r="C417" i="2"/>
  <c r="C417" i="6" s="1"/>
  <c r="C416" i="2"/>
  <c r="C416" i="6" s="1"/>
  <c r="C415" i="2"/>
  <c r="C415" i="6" s="1"/>
  <c r="C414" i="2"/>
  <c r="C414" i="6" s="1"/>
  <c r="C410" i="6"/>
  <c r="C406" i="6"/>
  <c r="C402" i="2"/>
  <c r="C402" i="6" s="1"/>
  <c r="C401" i="2"/>
  <c r="C401" i="6" s="1"/>
  <c r="C400" i="2"/>
  <c r="C400" i="6" s="1"/>
  <c r="C399" i="2"/>
  <c r="C399" i="6" s="1"/>
  <c r="C398" i="6"/>
  <c r="C394" i="6"/>
  <c r="C390" i="6"/>
  <c r="C389" i="2"/>
  <c r="C389" i="6" s="1"/>
  <c r="C388" i="2"/>
  <c r="C388" i="6" s="1"/>
  <c r="C387" i="2"/>
  <c r="C387" i="6" s="1"/>
  <c r="C386" i="2"/>
  <c r="C386" i="6" s="1"/>
  <c r="C385" i="2"/>
  <c r="C385" i="6" s="1"/>
  <c r="C384" i="2"/>
  <c r="C384" i="6" s="1"/>
  <c r="C383" i="2"/>
  <c r="C383" i="6" s="1"/>
  <c r="C382" i="2"/>
  <c r="C382" i="6" s="1"/>
  <c r="C381" i="2"/>
  <c r="C381" i="6" s="1"/>
  <c r="C380" i="2"/>
  <c r="C380" i="6" s="1"/>
  <c r="C379" i="2"/>
  <c r="C379" i="6" s="1"/>
  <c r="C378" i="2"/>
  <c r="C378" i="6" s="1"/>
  <c r="C377" i="2"/>
  <c r="C377" i="6" s="1"/>
  <c r="C375" i="6"/>
  <c r="C373" i="6"/>
  <c r="C371" i="6"/>
  <c r="C369" i="6"/>
  <c r="C367" i="6"/>
  <c r="C365" i="6"/>
  <c r="C363" i="6"/>
  <c r="C361" i="6"/>
  <c r="C360" i="2"/>
  <c r="C360" i="6" s="1"/>
  <c r="C359" i="2"/>
  <c r="C359" i="6" s="1"/>
  <c r="C358" i="2"/>
  <c r="C358" i="6" s="1"/>
  <c r="C357" i="2"/>
  <c r="C357" i="6" s="1"/>
  <c r="C356" i="2"/>
  <c r="C356" i="6" s="1"/>
  <c r="C355" i="2"/>
  <c r="C355" i="6" s="1"/>
  <c r="C354" i="2"/>
  <c r="C354" i="6" s="1"/>
  <c r="C353" i="2"/>
  <c r="C353" i="6" s="1"/>
  <c r="C352" i="2"/>
  <c r="C352" i="6" s="1"/>
  <c r="C351" i="2"/>
  <c r="C351" i="6" s="1"/>
  <c r="C350" i="2"/>
  <c r="C350" i="6" s="1"/>
  <c r="C349" i="2"/>
  <c r="C349" i="6" s="1"/>
  <c r="C348" i="2"/>
  <c r="C348" i="6" s="1"/>
  <c r="C347" i="2"/>
  <c r="C347" i="6" s="1"/>
  <c r="C346" i="2"/>
  <c r="C346" i="6" s="1"/>
  <c r="C345" i="2"/>
  <c r="C345" i="6" s="1"/>
  <c r="C344" i="2"/>
  <c r="C344" i="6" s="1"/>
  <c r="C343" i="2"/>
  <c r="C343" i="6" s="1"/>
  <c r="C342" i="2"/>
  <c r="C342" i="6" s="1"/>
  <c r="C341" i="2"/>
  <c r="C341" i="6" s="1"/>
  <c r="C340" i="2"/>
  <c r="C340" i="6" s="1"/>
  <c r="C339" i="2"/>
  <c r="C339" i="6" s="1"/>
  <c r="C338" i="2"/>
  <c r="C338" i="6" s="1"/>
  <c r="C337" i="2"/>
  <c r="C337" i="6" s="1"/>
  <c r="C336" i="2"/>
  <c r="C336" i="6" s="1"/>
  <c r="C335" i="2"/>
  <c r="C335" i="6" s="1"/>
  <c r="C334" i="2"/>
  <c r="C334" i="6" s="1"/>
  <c r="C333" i="2"/>
  <c r="C333" i="6" s="1"/>
  <c r="C332" i="2"/>
  <c r="C332" i="6" s="1"/>
  <c r="C331" i="2"/>
  <c r="C331" i="6" s="1"/>
  <c r="C330" i="2"/>
  <c r="C330" i="6" s="1"/>
  <c r="C329" i="2"/>
  <c r="C329" i="6" s="1"/>
  <c r="C328" i="2"/>
  <c r="C328" i="6" s="1"/>
  <c r="C327" i="2"/>
  <c r="C327" i="6" s="1"/>
  <c r="C326" i="2"/>
  <c r="C326" i="6" s="1"/>
  <c r="C325" i="2"/>
  <c r="C325" i="6" s="1"/>
  <c r="C324" i="2"/>
  <c r="C324" i="6" s="1"/>
  <c r="C323" i="2"/>
  <c r="C323" i="6" s="1"/>
  <c r="C322" i="2"/>
  <c r="C322" i="6" s="1"/>
  <c r="C321" i="2"/>
  <c r="C321" i="6" s="1"/>
  <c r="C320" i="2"/>
  <c r="C320" i="6" s="1"/>
  <c r="C319" i="2"/>
  <c r="C319" i="6" s="1"/>
  <c r="C318" i="2"/>
  <c r="C318" i="6" s="1"/>
  <c r="C317" i="2"/>
  <c r="C317" i="6" s="1"/>
  <c r="C316" i="2"/>
  <c r="C316" i="6" s="1"/>
  <c r="C315" i="2"/>
  <c r="C315" i="6" s="1"/>
  <c r="C314" i="2"/>
  <c r="C314" i="6" s="1"/>
  <c r="C313" i="2"/>
  <c r="C313" i="6" s="1"/>
  <c r="C312" i="2"/>
  <c r="C312" i="6" s="1"/>
  <c r="C311" i="2"/>
  <c r="C311" i="6" s="1"/>
  <c r="C310" i="2"/>
  <c r="C310" i="6" s="1"/>
  <c r="C309" i="2"/>
  <c r="C309" i="6" s="1"/>
  <c r="C308" i="2"/>
  <c r="C308" i="6" s="1"/>
  <c r="C307" i="2"/>
  <c r="C307" i="6" s="1"/>
  <c r="C306" i="2"/>
  <c r="C306" i="6" s="1"/>
  <c r="C305" i="2"/>
  <c r="C305" i="6" s="1"/>
  <c r="C304" i="2"/>
  <c r="C304" i="6" s="1"/>
  <c r="C303" i="2"/>
  <c r="C303" i="6" s="1"/>
  <c r="C302" i="2"/>
  <c r="C302" i="6" s="1"/>
  <c r="C301" i="2"/>
  <c r="C301" i="6" s="1"/>
  <c r="C299" i="6"/>
  <c r="C297" i="6"/>
  <c r="C295" i="6"/>
  <c r="C293" i="6"/>
  <c r="C292" i="2"/>
  <c r="C292" i="6" s="1"/>
  <c r="C291" i="2"/>
  <c r="C291" i="6" s="1"/>
  <c r="C290" i="2"/>
  <c r="C290" i="6" s="1"/>
  <c r="C289" i="2"/>
  <c r="C289" i="6" s="1"/>
  <c r="C288" i="2"/>
  <c r="C288" i="6" s="1"/>
  <c r="C287" i="2"/>
  <c r="C287" i="6" s="1"/>
  <c r="C285" i="6"/>
  <c r="C283" i="6"/>
  <c r="C281" i="6"/>
  <c r="C279" i="6"/>
  <c r="C278" i="2"/>
  <c r="C278" i="6" s="1"/>
  <c r="C277" i="2"/>
  <c r="C277" i="6" s="1"/>
  <c r="C276" i="2"/>
  <c r="C276" i="6" s="1"/>
  <c r="C275" i="2"/>
  <c r="C275" i="6" s="1"/>
  <c r="C274" i="2"/>
  <c r="C274" i="6" s="1"/>
  <c r="C273" i="2"/>
  <c r="C273" i="6" s="1"/>
  <c r="C272" i="2"/>
  <c r="C272" i="6" s="1"/>
  <c r="C271" i="2"/>
  <c r="C271" i="6" s="1"/>
  <c r="C270" i="2"/>
  <c r="C270" i="6" s="1"/>
  <c r="C269" i="2"/>
  <c r="C269" i="6" s="1"/>
  <c r="C268" i="2"/>
  <c r="C268" i="6" s="1"/>
  <c r="C264" i="6"/>
  <c r="C260" i="6"/>
  <c r="C256" i="2"/>
  <c r="C256" i="6" s="1"/>
  <c r="C255" i="2"/>
  <c r="C255" i="6" s="1"/>
  <c r="C254" i="2"/>
  <c r="C254" i="6" s="1"/>
  <c r="C253" i="2"/>
  <c r="C253" i="6" s="1"/>
  <c r="C252" i="2"/>
  <c r="C252" i="6" s="1"/>
  <c r="C251" i="2"/>
  <c r="C251" i="6" s="1"/>
  <c r="C250" i="2"/>
  <c r="C250" i="6" s="1"/>
  <c r="C249" i="2"/>
  <c r="C249" i="6" s="1"/>
  <c r="C248" i="2"/>
  <c r="C248" i="6" s="1"/>
  <c r="C247" i="2"/>
  <c r="C247" i="6" s="1"/>
  <c r="C246" i="2"/>
  <c r="C246" i="6" s="1"/>
  <c r="C245" i="2"/>
  <c r="C245" i="6" s="1"/>
  <c r="C244" i="2"/>
  <c r="C244" i="6" s="1"/>
  <c r="C243" i="2"/>
  <c r="C243" i="6" s="1"/>
  <c r="C242" i="2"/>
  <c r="C242" i="6" s="1"/>
  <c r="C241" i="2"/>
  <c r="C241" i="6" s="1"/>
  <c r="C240" i="2"/>
  <c r="C240" i="6" s="1"/>
  <c r="C239" i="2"/>
  <c r="C239" i="6" s="1"/>
  <c r="C238" i="2"/>
  <c r="C238" i="6" s="1"/>
  <c r="C237" i="2"/>
  <c r="C237" i="6" s="1"/>
  <c r="C236" i="2"/>
  <c r="C236" i="6" s="1"/>
  <c r="C235" i="2"/>
  <c r="C235" i="6" s="1"/>
  <c r="C234" i="2"/>
  <c r="C234" i="6" s="1"/>
  <c r="C233" i="2"/>
  <c r="C233" i="6" s="1"/>
  <c r="C232" i="2"/>
  <c r="C232" i="6" s="1"/>
  <c r="C231" i="2"/>
  <c r="C231" i="6" s="1"/>
  <c r="C230" i="2"/>
  <c r="C230" i="6" s="1"/>
  <c r="C229" i="2"/>
  <c r="C229" i="6" s="1"/>
  <c r="C228" i="2"/>
  <c r="C228" i="6" s="1"/>
  <c r="C227" i="2"/>
  <c r="C227" i="6" s="1"/>
  <c r="C226" i="2"/>
  <c r="C226" i="6" s="1"/>
  <c r="C225" i="2"/>
  <c r="C225" i="6" s="1"/>
  <c r="C224" i="6"/>
  <c r="C220" i="6"/>
  <c r="C216" i="6"/>
  <c r="C212" i="6"/>
  <c r="C208" i="6"/>
  <c r="C204" i="6"/>
  <c r="C200" i="6"/>
  <c r="C196" i="6"/>
  <c r="C192" i="6"/>
  <c r="C188" i="6"/>
  <c r="C187" i="2"/>
  <c r="C187" i="6" s="1"/>
  <c r="C185" i="6"/>
  <c r="C183" i="6"/>
  <c r="C181" i="6"/>
  <c r="C179" i="6"/>
  <c r="C177" i="6"/>
  <c r="C175" i="6"/>
  <c r="C173" i="6"/>
  <c r="C171" i="6"/>
  <c r="C169" i="6"/>
  <c r="C167" i="6"/>
  <c r="C166" i="2"/>
  <c r="C166" i="6" s="1"/>
  <c r="C165" i="2"/>
  <c r="C165" i="6" s="1"/>
  <c r="C164" i="2"/>
  <c r="C164" i="6" s="1"/>
  <c r="C163" i="2"/>
  <c r="C163" i="6" s="1"/>
  <c r="C162" i="2"/>
  <c r="C162" i="6" s="1"/>
  <c r="C161" i="2"/>
  <c r="C161" i="6" s="1"/>
  <c r="C160" i="2"/>
  <c r="C160" i="6" s="1"/>
  <c r="C159" i="2"/>
  <c r="C159" i="6" s="1"/>
  <c r="C158" i="2"/>
  <c r="C158" i="6" s="1"/>
  <c r="C157" i="2"/>
  <c r="C157" i="6" s="1"/>
  <c r="C156" i="2"/>
  <c r="C156" i="6" s="1"/>
  <c r="C155" i="2"/>
  <c r="C155" i="6" s="1"/>
  <c r="C154" i="2"/>
  <c r="C154" i="6" s="1"/>
  <c r="C150" i="6"/>
  <c r="C147" i="2"/>
  <c r="C147" i="6" s="1"/>
  <c r="C146" i="6"/>
  <c r="C143" i="6"/>
  <c r="C142" i="6"/>
  <c r="C139" i="6"/>
  <c r="C137" i="6"/>
  <c r="C136" i="6"/>
  <c r="C133" i="2"/>
  <c r="C133" i="6" s="1"/>
  <c r="C132" i="2"/>
  <c r="C132" i="6" s="1"/>
  <c r="C131" i="2"/>
  <c r="C131" i="6" s="1"/>
  <c r="C130" i="2"/>
  <c r="C130" i="6" s="1"/>
  <c r="C129" i="2"/>
  <c r="C129" i="6" s="1"/>
  <c r="C128" i="2"/>
  <c r="C128" i="6" s="1"/>
  <c r="C127" i="2"/>
  <c r="C127" i="6" s="1"/>
  <c r="C126" i="2"/>
  <c r="C126" i="6" s="1"/>
  <c r="C125" i="2"/>
  <c r="C125" i="6" s="1"/>
  <c r="C124" i="2"/>
  <c r="C124" i="6" s="1"/>
  <c r="C123" i="2"/>
  <c r="C123" i="6" s="1"/>
  <c r="C122" i="2"/>
  <c r="C122" i="6" s="1"/>
  <c r="C121" i="2"/>
  <c r="C121" i="6" s="1"/>
  <c r="C120" i="2"/>
  <c r="C120" i="6" s="1"/>
  <c r="C119" i="2"/>
  <c r="C119" i="6" s="1"/>
  <c r="C118" i="2"/>
  <c r="C118" i="6" s="1"/>
  <c r="C117" i="2"/>
  <c r="C117" i="6" s="1"/>
  <c r="C116" i="2"/>
  <c r="C116" i="6" s="1"/>
  <c r="C115" i="2"/>
  <c r="C115" i="6" s="1"/>
  <c r="C114" i="2"/>
  <c r="C114" i="6" s="1"/>
  <c r="C113" i="2"/>
  <c r="C113" i="6" s="1"/>
  <c r="C112" i="2"/>
  <c r="C112" i="6" s="1"/>
  <c r="C111" i="2"/>
  <c r="C111" i="6" s="1"/>
  <c r="C110" i="2"/>
  <c r="C110" i="6" s="1"/>
  <c r="C109" i="2"/>
  <c r="C109" i="6" s="1"/>
  <c r="C108" i="2"/>
  <c r="C108" i="6" s="1"/>
  <c r="C107" i="2"/>
  <c r="C107" i="6" s="1"/>
  <c r="C106" i="2"/>
  <c r="C106" i="6" s="1"/>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2"/>
  <c r="C63" i="6" s="1"/>
  <c r="C60" i="6"/>
  <c r="C56" i="6"/>
  <c r="C52" i="6"/>
  <c r="C48" i="6"/>
  <c r="C44" i="6"/>
  <c r="C40" i="6"/>
  <c r="C36" i="6"/>
  <c r="C35" i="2"/>
  <c r="C35" i="6" s="1"/>
  <c r="C34" i="2"/>
  <c r="C34" i="6" s="1"/>
  <c r="C33" i="2"/>
  <c r="C33" i="6" s="1"/>
  <c r="C32" i="2"/>
  <c r="C32" i="6" s="1"/>
  <c r="C31" i="2"/>
  <c r="C31" i="6" s="1"/>
  <c r="C30" i="2"/>
  <c r="C30" i="6" s="1"/>
  <c r="C29" i="2"/>
  <c r="C29" i="6" s="1"/>
  <c r="C28" i="2"/>
  <c r="C28" i="6" s="1"/>
  <c r="C27" i="2"/>
  <c r="C27" i="6" s="1"/>
  <c r="C25" i="2"/>
  <c r="C25" i="6" s="1"/>
  <c r="C24" i="6"/>
  <c r="C23" i="2"/>
  <c r="C23" i="6" s="1"/>
  <c r="C22" i="2"/>
  <c r="C22" i="6" s="1"/>
  <c r="C21" i="2"/>
  <c r="C21" i="6" s="1"/>
  <c r="C20" i="2"/>
  <c r="C20" i="6" s="1"/>
  <c r="C16" i="6"/>
  <c r="C12" i="6"/>
  <c r="C9" i="6"/>
  <c r="C8" i="6"/>
  <c r="C7" i="6"/>
  <c r="C6" i="6"/>
  <c r="D492" i="2"/>
  <c r="D492" i="6" s="1"/>
  <c r="D484" i="2"/>
  <c r="D484" i="6" s="1"/>
  <c r="D410" i="2"/>
  <c r="D410" i="6" s="1"/>
  <c r="D398" i="2"/>
  <c r="D398" i="6" s="1"/>
  <c r="D390" i="2"/>
  <c r="D390" i="6" s="1"/>
  <c r="D369" i="2"/>
  <c r="D369" i="6" s="1"/>
  <c r="D361" i="2"/>
  <c r="D361" i="6" s="1"/>
  <c r="D293" i="2"/>
  <c r="D293" i="6" s="1"/>
  <c r="D279" i="2"/>
  <c r="D279" i="6" s="1"/>
  <c r="D260" i="2"/>
  <c r="D260" i="6" s="1"/>
  <c r="D220" i="2"/>
  <c r="D220" i="6" s="1"/>
  <c r="D212" i="2"/>
  <c r="D212" i="6" s="1"/>
  <c r="D204" i="2"/>
  <c r="D204" i="6" s="1"/>
  <c r="D196" i="2"/>
  <c r="D196" i="6" s="1"/>
  <c r="D188" i="2"/>
  <c r="D188" i="6" s="1"/>
  <c r="D179" i="2"/>
  <c r="D179" i="6" s="1"/>
  <c r="D171" i="2"/>
  <c r="D171" i="6" s="1"/>
  <c r="D146" i="2"/>
  <c r="D146" i="6" s="1"/>
  <c r="D142" i="2"/>
  <c r="D142" i="6" s="1"/>
  <c r="D105" i="2"/>
  <c r="D105" i="6" s="1"/>
  <c r="D97" i="2"/>
  <c r="D97" i="6" s="1"/>
  <c r="D89" i="2"/>
  <c r="D89" i="6" s="1"/>
  <c r="D81" i="2"/>
  <c r="D81" i="6" s="1"/>
  <c r="D65" i="2"/>
  <c r="D65" i="6" s="1"/>
  <c r="D60" i="2"/>
  <c r="D60" i="6" s="1"/>
  <c r="D52" i="2"/>
  <c r="D52" i="6" s="1"/>
  <c r="D44" i="2"/>
  <c r="D44" i="6" s="1"/>
  <c r="D36" i="2"/>
  <c r="D36" i="6" s="1"/>
  <c r="D16" i="2"/>
  <c r="D16" i="6" s="1"/>
  <c r="D73" i="2" l="1"/>
  <c r="D73" i="6" s="1"/>
  <c r="D69" i="2"/>
  <c r="D69" i="6" s="1"/>
  <c r="D77" i="2"/>
  <c r="D77" i="6" s="1"/>
  <c r="D85" i="2"/>
  <c r="D85" i="6" s="1"/>
  <c r="D93" i="2"/>
  <c r="D93" i="6" s="1"/>
  <c r="D101" i="2"/>
  <c r="D101" i="6" s="1"/>
  <c r="D139" i="2"/>
  <c r="D139" i="6" s="1"/>
  <c r="D143" i="2"/>
  <c r="D143" i="6" s="1"/>
  <c r="D167" i="2"/>
  <c r="D167" i="6" s="1"/>
  <c r="D175" i="2"/>
  <c r="D175" i="6" s="1"/>
  <c r="D183" i="2"/>
  <c r="D183" i="6" s="1"/>
  <c r="D283" i="2"/>
  <c r="D283" i="6" s="1"/>
  <c r="D297" i="2"/>
  <c r="D297" i="6" s="1"/>
  <c r="D365" i="2"/>
  <c r="D365" i="6" s="1"/>
  <c r="D373" i="2"/>
  <c r="D373" i="6" s="1"/>
  <c r="D67" i="2"/>
  <c r="D67" i="6" s="1"/>
  <c r="D71" i="2"/>
  <c r="D71" i="6" s="1"/>
  <c r="D75" i="2"/>
  <c r="D75" i="6" s="1"/>
  <c r="D79" i="2"/>
  <c r="D79" i="6" s="1"/>
  <c r="D83" i="2"/>
  <c r="D83" i="6" s="1"/>
  <c r="D87" i="2"/>
  <c r="D87" i="6" s="1"/>
  <c r="D91" i="2"/>
  <c r="D91" i="6" s="1"/>
  <c r="D95" i="2"/>
  <c r="D95" i="6" s="1"/>
  <c r="D99" i="2"/>
  <c r="D99" i="6" s="1"/>
  <c r="D103" i="2"/>
  <c r="D103" i="6" s="1"/>
  <c r="D137" i="2"/>
  <c r="D137" i="6" s="1"/>
  <c r="D169" i="2"/>
  <c r="D169" i="6" s="1"/>
  <c r="D173" i="2"/>
  <c r="D173" i="6" s="1"/>
  <c r="D177" i="2"/>
  <c r="D177" i="6" s="1"/>
  <c r="D181" i="2"/>
  <c r="D181" i="6" s="1"/>
  <c r="D185" i="2"/>
  <c r="D185" i="6" s="1"/>
  <c r="D281" i="2"/>
  <c r="D281" i="6" s="1"/>
  <c r="D285" i="2"/>
  <c r="D285" i="6" s="1"/>
  <c r="D295" i="2"/>
  <c r="D295" i="6" s="1"/>
  <c r="D299" i="2"/>
  <c r="D299" i="6" s="1"/>
  <c r="D363" i="2"/>
  <c r="D363" i="6" s="1"/>
  <c r="D367" i="2"/>
  <c r="D367" i="6" s="1"/>
  <c r="D371" i="2"/>
  <c r="D371" i="6" s="1"/>
  <c r="D375" i="2"/>
  <c r="D375" i="6" s="1"/>
  <c r="D14" i="2"/>
  <c r="D14" i="6" s="1"/>
  <c r="C14" i="6"/>
  <c r="D26" i="2"/>
  <c r="D26" i="6" s="1"/>
  <c r="C26" i="6"/>
  <c r="D42" i="2"/>
  <c r="D42" i="6" s="1"/>
  <c r="C42" i="6"/>
  <c r="D50" i="2"/>
  <c r="D50" i="6" s="1"/>
  <c r="C50" i="6"/>
  <c r="D58" i="2"/>
  <c r="D58" i="6" s="1"/>
  <c r="C58" i="6"/>
  <c r="D62" i="2"/>
  <c r="D62" i="6" s="1"/>
  <c r="C62" i="6"/>
  <c r="D134" i="2"/>
  <c r="D134" i="6" s="1"/>
  <c r="C134" i="6"/>
  <c r="D138" i="2"/>
  <c r="D138" i="6" s="1"/>
  <c r="C138" i="6"/>
  <c r="D140" i="2"/>
  <c r="D140" i="6" s="1"/>
  <c r="C140" i="6"/>
  <c r="D144" i="2"/>
  <c r="D144" i="6" s="1"/>
  <c r="C144" i="6"/>
  <c r="D152" i="2"/>
  <c r="D152" i="6" s="1"/>
  <c r="C152" i="6"/>
  <c r="D170" i="2"/>
  <c r="D170" i="6" s="1"/>
  <c r="C170" i="6"/>
  <c r="D174" i="2"/>
  <c r="D174" i="6" s="1"/>
  <c r="C174" i="6"/>
  <c r="D178" i="2"/>
  <c r="D178" i="6" s="1"/>
  <c r="C178" i="6"/>
  <c r="D182" i="2"/>
  <c r="D182" i="6" s="1"/>
  <c r="C182" i="6"/>
  <c r="D186" i="2"/>
  <c r="D186" i="6" s="1"/>
  <c r="C186" i="6"/>
  <c r="D194" i="2"/>
  <c r="D194" i="6" s="1"/>
  <c r="C194" i="6"/>
  <c r="D198" i="2"/>
  <c r="D198" i="6" s="1"/>
  <c r="C198" i="6"/>
  <c r="D206" i="2"/>
  <c r="D206" i="6" s="1"/>
  <c r="C206" i="6"/>
  <c r="D210" i="2"/>
  <c r="D210" i="6" s="1"/>
  <c r="C210" i="6"/>
  <c r="D218" i="2"/>
  <c r="D218" i="6" s="1"/>
  <c r="C218" i="6"/>
  <c r="D222" i="2"/>
  <c r="D222" i="6" s="1"/>
  <c r="C222" i="6"/>
  <c r="D262" i="2"/>
  <c r="D262" i="6" s="1"/>
  <c r="C262" i="6"/>
  <c r="D266" i="2"/>
  <c r="D266" i="6" s="1"/>
  <c r="C266" i="6"/>
  <c r="D282" i="2"/>
  <c r="D282" i="6" s="1"/>
  <c r="C282" i="6"/>
  <c r="D286" i="2"/>
  <c r="D286" i="6" s="1"/>
  <c r="C286" i="6"/>
  <c r="D294" i="2"/>
  <c r="D294" i="6" s="1"/>
  <c r="C294" i="6"/>
  <c r="D300" i="2"/>
  <c r="D300" i="6" s="1"/>
  <c r="C300" i="6"/>
  <c r="D364" i="2"/>
  <c r="D364" i="6" s="1"/>
  <c r="C364" i="6"/>
  <c r="D368" i="2"/>
  <c r="D368" i="6" s="1"/>
  <c r="C368" i="6"/>
  <c r="D372" i="2"/>
  <c r="D372" i="6" s="1"/>
  <c r="C372" i="6"/>
  <c r="D392" i="2"/>
  <c r="D392" i="6" s="1"/>
  <c r="C392" i="6"/>
  <c r="D404" i="2"/>
  <c r="D404" i="6" s="1"/>
  <c r="C404" i="6"/>
  <c r="D412" i="2"/>
  <c r="D412" i="6" s="1"/>
  <c r="C412" i="6"/>
  <c r="D482" i="2"/>
  <c r="D482" i="6" s="1"/>
  <c r="C482" i="6"/>
  <c r="D486" i="2"/>
  <c r="D486" i="6" s="1"/>
  <c r="C486" i="6"/>
  <c r="D494" i="2"/>
  <c r="D494" i="6" s="1"/>
  <c r="C494" i="6"/>
  <c r="D498" i="2"/>
  <c r="D498" i="6" s="1"/>
  <c r="C498" i="6"/>
  <c r="D10" i="2"/>
  <c r="D10" i="6" s="1"/>
  <c r="C10" i="6"/>
  <c r="D18" i="2"/>
  <c r="D18" i="6" s="1"/>
  <c r="C18" i="6"/>
  <c r="D38" i="2"/>
  <c r="D38" i="6" s="1"/>
  <c r="C38" i="6"/>
  <c r="D46" i="2"/>
  <c r="D46" i="6" s="1"/>
  <c r="C46" i="6"/>
  <c r="D54" i="2"/>
  <c r="D54" i="6" s="1"/>
  <c r="C54" i="6"/>
  <c r="D148" i="2"/>
  <c r="D148" i="6" s="1"/>
  <c r="C148" i="6"/>
  <c r="D168" i="2"/>
  <c r="D168" i="6" s="1"/>
  <c r="C168" i="6"/>
  <c r="D172" i="2"/>
  <c r="D172" i="6" s="1"/>
  <c r="C172" i="6"/>
  <c r="D176" i="2"/>
  <c r="D176" i="6" s="1"/>
  <c r="C176" i="6"/>
  <c r="D180" i="2"/>
  <c r="D180" i="6" s="1"/>
  <c r="C180" i="6"/>
  <c r="D184" i="2"/>
  <c r="D184" i="6" s="1"/>
  <c r="C184" i="6"/>
  <c r="D190" i="2"/>
  <c r="D190" i="6" s="1"/>
  <c r="C190" i="6"/>
  <c r="D202" i="2"/>
  <c r="D202" i="6" s="1"/>
  <c r="C202" i="6"/>
  <c r="D214" i="2"/>
  <c r="D214" i="6" s="1"/>
  <c r="C214" i="6"/>
  <c r="D258" i="2"/>
  <c r="D258" i="6" s="1"/>
  <c r="C258" i="6"/>
  <c r="D280" i="2"/>
  <c r="D280" i="6" s="1"/>
  <c r="C280" i="6"/>
  <c r="D284" i="2"/>
  <c r="D284" i="6" s="1"/>
  <c r="C284" i="6"/>
  <c r="D296" i="2"/>
  <c r="D296" i="6" s="1"/>
  <c r="C296" i="6"/>
  <c r="D298" i="2"/>
  <c r="D298" i="6" s="1"/>
  <c r="C298" i="6"/>
  <c r="D362" i="2"/>
  <c r="D362" i="6" s="1"/>
  <c r="C362" i="6"/>
  <c r="D366" i="2"/>
  <c r="D366" i="6" s="1"/>
  <c r="C366" i="6"/>
  <c r="D370" i="2"/>
  <c r="D370" i="6" s="1"/>
  <c r="C370" i="6"/>
  <c r="D374" i="2"/>
  <c r="D374" i="6" s="1"/>
  <c r="C374" i="6"/>
  <c r="D376" i="2"/>
  <c r="D376" i="6" s="1"/>
  <c r="C376" i="6"/>
  <c r="D396" i="2"/>
  <c r="D396" i="6" s="1"/>
  <c r="C396" i="6"/>
  <c r="D408" i="2"/>
  <c r="D408" i="6" s="1"/>
  <c r="C408" i="6"/>
  <c r="D490" i="2"/>
  <c r="D490" i="6" s="1"/>
  <c r="C490" i="6"/>
  <c r="D12" i="2"/>
  <c r="D12" i="6" s="1"/>
  <c r="D24" i="2"/>
  <c r="D24" i="6" s="1"/>
  <c r="D40" i="2"/>
  <c r="D40" i="6" s="1"/>
  <c r="D48" i="2"/>
  <c r="D48" i="6" s="1"/>
  <c r="D56" i="2"/>
  <c r="D56" i="6" s="1"/>
  <c r="D64" i="2"/>
  <c r="D64" i="6" s="1"/>
  <c r="D66" i="2"/>
  <c r="D66" i="6" s="1"/>
  <c r="D68" i="2"/>
  <c r="D68" i="6" s="1"/>
  <c r="D70" i="2"/>
  <c r="D70" i="6" s="1"/>
  <c r="D72" i="2"/>
  <c r="D72" i="6" s="1"/>
  <c r="D74" i="2"/>
  <c r="D74" i="6" s="1"/>
  <c r="D76" i="2"/>
  <c r="D76" i="6" s="1"/>
  <c r="D78" i="2"/>
  <c r="D78" i="6" s="1"/>
  <c r="D80" i="2"/>
  <c r="D80" i="6" s="1"/>
  <c r="D82" i="2"/>
  <c r="D82" i="6" s="1"/>
  <c r="D84" i="2"/>
  <c r="D84" i="6" s="1"/>
  <c r="D86" i="2"/>
  <c r="D86" i="6" s="1"/>
  <c r="D88" i="2"/>
  <c r="D88" i="6" s="1"/>
  <c r="D90" i="2"/>
  <c r="D90" i="6" s="1"/>
  <c r="D92" i="2"/>
  <c r="D92" i="6" s="1"/>
  <c r="D94" i="2"/>
  <c r="D94" i="6" s="1"/>
  <c r="D96" i="2"/>
  <c r="D96" i="6" s="1"/>
  <c r="D98" i="2"/>
  <c r="D98" i="6" s="1"/>
  <c r="D100" i="2"/>
  <c r="D100" i="6" s="1"/>
  <c r="D102" i="2"/>
  <c r="D102" i="6" s="1"/>
  <c r="D104" i="2"/>
  <c r="D104" i="6" s="1"/>
  <c r="D136" i="2"/>
  <c r="D136" i="6" s="1"/>
  <c r="D150" i="2"/>
  <c r="D150" i="6" s="1"/>
  <c r="D192" i="2"/>
  <c r="D192" i="6" s="1"/>
  <c r="D200" i="2"/>
  <c r="D200" i="6" s="1"/>
  <c r="D208" i="2"/>
  <c r="D208" i="6" s="1"/>
  <c r="D216" i="2"/>
  <c r="D216" i="6" s="1"/>
  <c r="D224" i="2"/>
  <c r="D224" i="6" s="1"/>
  <c r="D264" i="2"/>
  <c r="D264" i="6" s="1"/>
  <c r="D394" i="2"/>
  <c r="D394" i="6" s="1"/>
  <c r="D406" i="2"/>
  <c r="D406" i="6" s="1"/>
  <c r="D480" i="2"/>
  <c r="D480" i="6" s="1"/>
  <c r="D488" i="2"/>
  <c r="D488" i="6" s="1"/>
  <c r="D496" i="2"/>
  <c r="D496" i="6" s="1"/>
  <c r="D11" i="2"/>
  <c r="D11" i="6" s="1"/>
  <c r="C11" i="6"/>
  <c r="D13" i="2"/>
  <c r="D13" i="6" s="1"/>
  <c r="C13" i="6"/>
  <c r="D15" i="2"/>
  <c r="D15" i="6" s="1"/>
  <c r="C15" i="6"/>
  <c r="D17" i="2"/>
  <c r="D17" i="6" s="1"/>
  <c r="C17" i="6"/>
  <c r="D19" i="2"/>
  <c r="D19" i="6" s="1"/>
  <c r="C19" i="6"/>
  <c r="D37" i="2"/>
  <c r="D37" i="6" s="1"/>
  <c r="C37" i="6"/>
  <c r="D39" i="2"/>
  <c r="D39" i="6" s="1"/>
  <c r="C39" i="6"/>
  <c r="D41" i="2"/>
  <c r="D41" i="6" s="1"/>
  <c r="C41" i="6"/>
  <c r="D43" i="2"/>
  <c r="D43" i="6" s="1"/>
  <c r="C43" i="6"/>
  <c r="D45" i="2"/>
  <c r="D45" i="6" s="1"/>
  <c r="C45" i="6"/>
  <c r="D47" i="2"/>
  <c r="D47" i="6" s="1"/>
  <c r="C47" i="6"/>
  <c r="D49" i="2"/>
  <c r="D49" i="6" s="1"/>
  <c r="C49" i="6"/>
  <c r="D51" i="2"/>
  <c r="D51" i="6" s="1"/>
  <c r="C51" i="6"/>
  <c r="D53" i="2"/>
  <c r="D53" i="6" s="1"/>
  <c r="C53" i="6"/>
  <c r="D55" i="2"/>
  <c r="D55" i="6" s="1"/>
  <c r="C55" i="6"/>
  <c r="D57" i="2"/>
  <c r="D57" i="6" s="1"/>
  <c r="C57" i="6"/>
  <c r="D59" i="2"/>
  <c r="D59" i="6" s="1"/>
  <c r="C59" i="6"/>
  <c r="D61" i="2"/>
  <c r="D61" i="6" s="1"/>
  <c r="C61" i="6"/>
  <c r="D135" i="2"/>
  <c r="D135" i="6" s="1"/>
  <c r="C135" i="6"/>
  <c r="D141" i="2"/>
  <c r="D141" i="6" s="1"/>
  <c r="C141" i="6"/>
  <c r="D145" i="2"/>
  <c r="D145" i="6" s="1"/>
  <c r="C145" i="6"/>
  <c r="D149" i="2"/>
  <c r="D149" i="6" s="1"/>
  <c r="C149" i="6"/>
  <c r="D151" i="2"/>
  <c r="D151" i="6" s="1"/>
  <c r="C151" i="6"/>
  <c r="D153" i="2"/>
  <c r="D153" i="6" s="1"/>
  <c r="C153" i="6"/>
  <c r="D189" i="2"/>
  <c r="D189" i="6" s="1"/>
  <c r="C189" i="6"/>
  <c r="D191" i="2"/>
  <c r="D191" i="6" s="1"/>
  <c r="C191" i="6"/>
  <c r="D193" i="2"/>
  <c r="D193" i="6" s="1"/>
  <c r="C193" i="6"/>
  <c r="D195" i="2"/>
  <c r="D195" i="6" s="1"/>
  <c r="C195" i="6"/>
  <c r="D197" i="2"/>
  <c r="D197" i="6" s="1"/>
  <c r="C197" i="6"/>
  <c r="D199" i="2"/>
  <c r="D199" i="6" s="1"/>
  <c r="C199" i="6"/>
  <c r="D201" i="2"/>
  <c r="D201" i="6" s="1"/>
  <c r="C201" i="6"/>
  <c r="D203" i="2"/>
  <c r="D203" i="6" s="1"/>
  <c r="C203" i="6"/>
  <c r="D205" i="2"/>
  <c r="D205" i="6" s="1"/>
  <c r="C205" i="6"/>
  <c r="D207" i="2"/>
  <c r="D207" i="6" s="1"/>
  <c r="C207" i="6"/>
  <c r="D209" i="2"/>
  <c r="D209" i="6" s="1"/>
  <c r="C209" i="6"/>
  <c r="D211" i="2"/>
  <c r="D211" i="6" s="1"/>
  <c r="C211" i="6"/>
  <c r="D213" i="2"/>
  <c r="D213" i="6" s="1"/>
  <c r="C213" i="6"/>
  <c r="D215" i="2"/>
  <c r="D215" i="6" s="1"/>
  <c r="C215" i="6"/>
  <c r="D217" i="2"/>
  <c r="D217" i="6" s="1"/>
  <c r="C217" i="6"/>
  <c r="D219" i="2"/>
  <c r="D219" i="6" s="1"/>
  <c r="C219" i="6"/>
  <c r="D221" i="2"/>
  <c r="D221" i="6" s="1"/>
  <c r="C221" i="6"/>
  <c r="D223" i="2"/>
  <c r="D223" i="6" s="1"/>
  <c r="C223" i="6"/>
  <c r="D257" i="2"/>
  <c r="D257" i="6" s="1"/>
  <c r="C257" i="6"/>
  <c r="D259" i="2"/>
  <c r="D259" i="6" s="1"/>
  <c r="C259" i="6"/>
  <c r="D261" i="2"/>
  <c r="D261" i="6" s="1"/>
  <c r="C261" i="6"/>
  <c r="D263" i="2"/>
  <c r="D263" i="6" s="1"/>
  <c r="C263" i="6"/>
  <c r="D265" i="2"/>
  <c r="D265" i="6" s="1"/>
  <c r="C265" i="6"/>
  <c r="D267" i="2"/>
  <c r="D267" i="6" s="1"/>
  <c r="C267" i="6"/>
  <c r="D391" i="2"/>
  <c r="D391" i="6" s="1"/>
  <c r="C391" i="6"/>
  <c r="D393" i="2"/>
  <c r="D393" i="6" s="1"/>
  <c r="C393" i="6"/>
  <c r="D395" i="2"/>
  <c r="D395" i="6" s="1"/>
  <c r="C395" i="6"/>
  <c r="D397" i="2"/>
  <c r="D397" i="6" s="1"/>
  <c r="C397" i="6"/>
  <c r="D403" i="2"/>
  <c r="D403" i="6" s="1"/>
  <c r="C403" i="6"/>
  <c r="D405" i="2"/>
  <c r="D405" i="6" s="1"/>
  <c r="C405" i="6"/>
  <c r="D407" i="2"/>
  <c r="D407" i="6" s="1"/>
  <c r="C407" i="6"/>
  <c r="D409" i="2"/>
  <c r="D409" i="6" s="1"/>
  <c r="C409" i="6"/>
  <c r="D411" i="2"/>
  <c r="D411" i="6" s="1"/>
  <c r="C411" i="6"/>
  <c r="D413" i="2"/>
  <c r="D413" i="6" s="1"/>
  <c r="C413" i="6"/>
  <c r="D481" i="2"/>
  <c r="D481" i="6" s="1"/>
  <c r="C481" i="6"/>
  <c r="D483" i="2"/>
  <c r="D483" i="6" s="1"/>
  <c r="C483" i="6"/>
  <c r="D485" i="2"/>
  <c r="D485" i="6" s="1"/>
  <c r="C485" i="6"/>
  <c r="D487" i="2"/>
  <c r="D487" i="6" s="1"/>
  <c r="C487" i="6"/>
  <c r="D489" i="2"/>
  <c r="D489" i="6" s="1"/>
  <c r="C489" i="6"/>
  <c r="D491" i="2"/>
  <c r="D491" i="6" s="1"/>
  <c r="C491" i="6"/>
  <c r="D493" i="2"/>
  <c r="D493" i="6" s="1"/>
  <c r="C493" i="6"/>
  <c r="D495" i="2"/>
  <c r="D495" i="6" s="1"/>
  <c r="C495" i="6"/>
  <c r="D497" i="2"/>
  <c r="D497" i="6" s="1"/>
  <c r="C497" i="6"/>
  <c r="B498" i="2"/>
  <c r="B498" i="6" s="1"/>
  <c r="B497" i="2"/>
  <c r="B497" i="6" s="1"/>
  <c r="B496" i="2"/>
  <c r="B496" i="6" s="1"/>
  <c r="B495" i="2"/>
  <c r="B495" i="6" s="1"/>
  <c r="B494" i="2"/>
  <c r="B494" i="6" s="1"/>
  <c r="B493" i="2"/>
  <c r="B493" i="6" s="1"/>
  <c r="B492" i="2"/>
  <c r="B492" i="6" s="1"/>
  <c r="B491" i="2"/>
  <c r="B491" i="6" s="1"/>
  <c r="B490" i="2"/>
  <c r="B490" i="6" s="1"/>
  <c r="B489" i="2"/>
  <c r="B489" i="6" s="1"/>
  <c r="B488" i="2"/>
  <c r="B488" i="6" s="1"/>
  <c r="B487" i="2"/>
  <c r="B487" i="6" s="1"/>
  <c r="B486" i="2"/>
  <c r="B486" i="6" s="1"/>
  <c r="B485" i="2"/>
  <c r="B485" i="6" s="1"/>
  <c r="B484" i="2"/>
  <c r="B484" i="6" s="1"/>
  <c r="B483" i="2"/>
  <c r="B483" i="6" s="1"/>
  <c r="B482" i="2"/>
  <c r="B482" i="6" s="1"/>
  <c r="B481" i="2"/>
  <c r="B481" i="6" s="1"/>
  <c r="B480" i="2"/>
  <c r="B480" i="6" s="1"/>
  <c r="D479" i="2"/>
  <c r="D479" i="6" s="1"/>
  <c r="B479" i="2"/>
  <c r="B479" i="6" s="1"/>
  <c r="D478" i="2"/>
  <c r="D478" i="6" s="1"/>
  <c r="B478" i="2"/>
  <c r="B478" i="6" s="1"/>
  <c r="D477" i="2"/>
  <c r="D477" i="6" s="1"/>
  <c r="B477" i="2"/>
  <c r="B477" i="6" s="1"/>
  <c r="D476" i="2"/>
  <c r="D476" i="6" s="1"/>
  <c r="B476" i="2"/>
  <c r="B476" i="6" s="1"/>
  <c r="D475" i="2"/>
  <c r="D475" i="6" s="1"/>
  <c r="B475" i="2"/>
  <c r="B475" i="6" s="1"/>
  <c r="D474" i="2"/>
  <c r="D474" i="6" s="1"/>
  <c r="B474" i="2"/>
  <c r="B474" i="6" s="1"/>
  <c r="D473" i="2"/>
  <c r="D473" i="6" s="1"/>
  <c r="B473" i="2"/>
  <c r="B473" i="6" s="1"/>
  <c r="D472" i="2"/>
  <c r="D472" i="6" s="1"/>
  <c r="B472" i="2"/>
  <c r="B472" i="6" s="1"/>
  <c r="D471" i="2"/>
  <c r="D471" i="6" s="1"/>
  <c r="B471" i="2"/>
  <c r="B471" i="6" s="1"/>
  <c r="D470" i="2"/>
  <c r="D470" i="6" s="1"/>
  <c r="B470" i="2"/>
  <c r="B470" i="6" s="1"/>
  <c r="D469" i="2"/>
  <c r="D469" i="6" s="1"/>
  <c r="B469" i="2"/>
  <c r="B469" i="6" s="1"/>
  <c r="D468" i="2"/>
  <c r="D468" i="6" s="1"/>
  <c r="B468" i="2"/>
  <c r="B468" i="6" s="1"/>
  <c r="D467" i="2"/>
  <c r="D467" i="6" s="1"/>
  <c r="B467" i="2"/>
  <c r="B467" i="6" s="1"/>
  <c r="D466" i="2"/>
  <c r="D466" i="6" s="1"/>
  <c r="B466" i="2"/>
  <c r="B466" i="6" s="1"/>
  <c r="D465" i="2"/>
  <c r="D465" i="6" s="1"/>
  <c r="B465" i="2"/>
  <c r="B465" i="6" s="1"/>
  <c r="B464" i="2"/>
  <c r="B464" i="6" s="1"/>
  <c r="B463" i="2"/>
  <c r="B463" i="6" s="1"/>
  <c r="D462" i="2"/>
  <c r="D462" i="6" s="1"/>
  <c r="B462" i="2"/>
  <c r="B462" i="6" s="1"/>
  <c r="B461" i="2"/>
  <c r="B461" i="6" s="1"/>
  <c r="D460" i="2"/>
  <c r="D460" i="6" s="1"/>
  <c r="B460" i="2"/>
  <c r="B460" i="6" s="1"/>
  <c r="D459" i="2"/>
  <c r="D459" i="6" s="1"/>
  <c r="B459" i="2"/>
  <c r="B459" i="6" s="1"/>
  <c r="D458" i="2"/>
  <c r="D458" i="6" s="1"/>
  <c r="B458" i="2"/>
  <c r="B458" i="6" s="1"/>
  <c r="D457" i="2"/>
  <c r="D457" i="6" s="1"/>
  <c r="B457" i="2"/>
  <c r="B457" i="6" s="1"/>
  <c r="D456" i="2"/>
  <c r="D456" i="6" s="1"/>
  <c r="B456" i="2"/>
  <c r="B456" i="6" s="1"/>
  <c r="D455" i="2"/>
  <c r="D455" i="6" s="1"/>
  <c r="B455" i="2"/>
  <c r="B455" i="6" s="1"/>
  <c r="D454" i="2"/>
  <c r="D454" i="6" s="1"/>
  <c r="B454" i="2"/>
  <c r="B454" i="6" s="1"/>
  <c r="D453" i="2"/>
  <c r="D453" i="6" s="1"/>
  <c r="B453" i="2"/>
  <c r="B453" i="6" s="1"/>
  <c r="D452" i="2"/>
  <c r="D452" i="6" s="1"/>
  <c r="B452" i="2"/>
  <c r="B452" i="6" s="1"/>
  <c r="D451" i="2"/>
  <c r="D451" i="6" s="1"/>
  <c r="B451" i="2"/>
  <c r="B451" i="6" s="1"/>
  <c r="D450" i="2"/>
  <c r="D450" i="6" s="1"/>
  <c r="B450" i="2"/>
  <c r="B450" i="6" s="1"/>
  <c r="D449" i="2"/>
  <c r="D449" i="6" s="1"/>
  <c r="B449" i="2"/>
  <c r="B449" i="6" s="1"/>
  <c r="D448" i="2"/>
  <c r="D448" i="6" s="1"/>
  <c r="B448" i="2"/>
  <c r="B448" i="6" s="1"/>
  <c r="D447" i="2"/>
  <c r="D447" i="6" s="1"/>
  <c r="B447" i="2"/>
  <c r="B447" i="6" s="1"/>
  <c r="D446" i="2"/>
  <c r="D446" i="6" s="1"/>
  <c r="B446" i="2"/>
  <c r="B446" i="6" s="1"/>
  <c r="D445" i="2"/>
  <c r="D445" i="6" s="1"/>
  <c r="B445" i="2"/>
  <c r="B445" i="6" s="1"/>
  <c r="D444" i="2"/>
  <c r="D444" i="6" s="1"/>
  <c r="B444" i="2"/>
  <c r="B444" i="6" s="1"/>
  <c r="D443" i="2"/>
  <c r="D443" i="6" s="1"/>
  <c r="B443" i="2"/>
  <c r="B443" i="6" s="1"/>
  <c r="D442" i="2"/>
  <c r="D442" i="6" s="1"/>
  <c r="B442" i="2"/>
  <c r="B442" i="6" s="1"/>
  <c r="D441" i="2"/>
  <c r="D441" i="6" s="1"/>
  <c r="B441" i="2"/>
  <c r="B441" i="6" s="1"/>
  <c r="D440" i="2"/>
  <c r="D440" i="6" s="1"/>
  <c r="B440" i="2"/>
  <c r="B440" i="6" s="1"/>
  <c r="D439" i="2"/>
  <c r="D439" i="6" s="1"/>
  <c r="B439" i="2"/>
  <c r="B439" i="6" s="1"/>
  <c r="D438" i="2"/>
  <c r="D438" i="6" s="1"/>
  <c r="B438" i="2"/>
  <c r="B438" i="6" s="1"/>
  <c r="D437" i="2"/>
  <c r="D437" i="6" s="1"/>
  <c r="B437" i="2"/>
  <c r="B437" i="6" s="1"/>
  <c r="D436" i="2"/>
  <c r="D436" i="6" s="1"/>
  <c r="B436" i="2"/>
  <c r="B436" i="6" s="1"/>
  <c r="D435" i="2"/>
  <c r="D435" i="6" s="1"/>
  <c r="B435" i="2"/>
  <c r="B435" i="6" s="1"/>
  <c r="D434" i="2"/>
  <c r="D434" i="6" s="1"/>
  <c r="B434" i="2"/>
  <c r="B434" i="6" s="1"/>
  <c r="D433" i="2"/>
  <c r="D433" i="6" s="1"/>
  <c r="B433" i="2"/>
  <c r="B433" i="6" s="1"/>
  <c r="D432" i="2"/>
  <c r="D432" i="6" s="1"/>
  <c r="B432" i="2"/>
  <c r="B432" i="6" s="1"/>
  <c r="D431" i="2"/>
  <c r="D431" i="6" s="1"/>
  <c r="B431" i="2"/>
  <c r="B431" i="6" s="1"/>
  <c r="D430" i="2"/>
  <c r="D430" i="6" s="1"/>
  <c r="B430" i="2"/>
  <c r="B430" i="6" s="1"/>
  <c r="D429" i="2"/>
  <c r="D429" i="6" s="1"/>
  <c r="B429" i="2"/>
  <c r="B429" i="6" s="1"/>
  <c r="D428" i="2"/>
  <c r="D428" i="6" s="1"/>
  <c r="B428" i="2"/>
  <c r="B428" i="6" s="1"/>
  <c r="D427" i="2"/>
  <c r="D427" i="6" s="1"/>
  <c r="B427" i="2"/>
  <c r="B427" i="6" s="1"/>
  <c r="D426" i="2"/>
  <c r="D426" i="6" s="1"/>
  <c r="B426" i="2"/>
  <c r="B426" i="6" s="1"/>
  <c r="D425" i="2"/>
  <c r="D425" i="6" s="1"/>
  <c r="B425" i="2"/>
  <c r="B425" i="6" s="1"/>
  <c r="D424" i="2"/>
  <c r="D424" i="6" s="1"/>
  <c r="B424" i="2"/>
  <c r="B424" i="6" s="1"/>
  <c r="D423" i="2"/>
  <c r="D423" i="6" s="1"/>
  <c r="B423" i="2"/>
  <c r="B423" i="6" s="1"/>
  <c r="D422" i="2"/>
  <c r="D422" i="6" s="1"/>
  <c r="B422" i="2"/>
  <c r="B422" i="6" s="1"/>
  <c r="D421" i="2"/>
  <c r="D421" i="6" s="1"/>
  <c r="B421" i="2"/>
  <c r="B421" i="6" s="1"/>
  <c r="D420" i="2"/>
  <c r="D420" i="6" s="1"/>
  <c r="B420" i="2"/>
  <c r="B420" i="6" s="1"/>
  <c r="D419" i="2"/>
  <c r="D419" i="6" s="1"/>
  <c r="B419" i="2"/>
  <c r="B419" i="6" s="1"/>
  <c r="D418" i="2"/>
  <c r="D418" i="6" s="1"/>
  <c r="B418" i="2"/>
  <c r="B418" i="6" s="1"/>
  <c r="D417" i="2"/>
  <c r="D417" i="6" s="1"/>
  <c r="B417" i="2"/>
  <c r="B417" i="6" s="1"/>
  <c r="D416" i="2"/>
  <c r="D416" i="6" s="1"/>
  <c r="B416" i="2"/>
  <c r="B416" i="6" s="1"/>
  <c r="D415" i="2"/>
  <c r="D415" i="6" s="1"/>
  <c r="B415" i="2"/>
  <c r="B415" i="6" s="1"/>
  <c r="D414" i="2"/>
  <c r="D414" i="6" s="1"/>
  <c r="B414" i="2"/>
  <c r="B414" i="6" s="1"/>
  <c r="B413" i="2"/>
  <c r="B413" i="6" s="1"/>
  <c r="B412" i="2"/>
  <c r="B412" i="6" s="1"/>
  <c r="B411" i="2"/>
  <c r="B411" i="6" s="1"/>
  <c r="B410" i="2"/>
  <c r="B410" i="6" s="1"/>
  <c r="B409" i="2"/>
  <c r="B409" i="6" s="1"/>
  <c r="B408" i="2"/>
  <c r="B408" i="6" s="1"/>
  <c r="B407" i="2"/>
  <c r="B407" i="6" s="1"/>
  <c r="B406" i="2"/>
  <c r="B406" i="6" s="1"/>
  <c r="B405" i="2"/>
  <c r="B405" i="6" s="1"/>
  <c r="B404" i="2"/>
  <c r="B404" i="6" s="1"/>
  <c r="B403" i="2"/>
  <c r="B403" i="6" s="1"/>
  <c r="D402" i="2"/>
  <c r="D402" i="6" s="1"/>
  <c r="B402" i="2"/>
  <c r="B402" i="6" s="1"/>
  <c r="D401" i="2"/>
  <c r="D401" i="6" s="1"/>
  <c r="B401" i="2"/>
  <c r="B401" i="6" s="1"/>
  <c r="D400" i="2"/>
  <c r="D400" i="6" s="1"/>
  <c r="B400" i="2"/>
  <c r="B400" i="6" s="1"/>
  <c r="D399" i="2"/>
  <c r="D399" i="6" s="1"/>
  <c r="B399" i="2"/>
  <c r="B399" i="6" s="1"/>
  <c r="B398" i="2"/>
  <c r="B398" i="6" s="1"/>
  <c r="B397" i="2"/>
  <c r="B397" i="6" s="1"/>
  <c r="B396" i="2"/>
  <c r="B396" i="6" s="1"/>
  <c r="B395" i="2"/>
  <c r="B395" i="6" s="1"/>
  <c r="B394" i="2"/>
  <c r="B394" i="6" s="1"/>
  <c r="B393" i="2"/>
  <c r="B393" i="6" s="1"/>
  <c r="B392" i="2"/>
  <c r="B392" i="6" s="1"/>
  <c r="B391" i="2"/>
  <c r="B391" i="6" s="1"/>
  <c r="B390" i="2"/>
  <c r="B390" i="6" s="1"/>
  <c r="D389" i="2"/>
  <c r="D389" i="6" s="1"/>
  <c r="B389" i="2"/>
  <c r="B389" i="6" s="1"/>
  <c r="D388" i="2"/>
  <c r="D388" i="6" s="1"/>
  <c r="B388" i="2"/>
  <c r="B388" i="6" s="1"/>
  <c r="D387" i="2"/>
  <c r="D387" i="6" s="1"/>
  <c r="B387" i="2"/>
  <c r="B387" i="6" s="1"/>
  <c r="D386" i="2"/>
  <c r="D386" i="6" s="1"/>
  <c r="B386" i="2"/>
  <c r="B386" i="6" s="1"/>
  <c r="D385" i="2"/>
  <c r="D385" i="6" s="1"/>
  <c r="B385" i="2"/>
  <c r="B385" i="6" s="1"/>
  <c r="D384" i="2"/>
  <c r="D384" i="6" s="1"/>
  <c r="B384" i="2"/>
  <c r="B384" i="6" s="1"/>
  <c r="D383" i="2"/>
  <c r="D383" i="6" s="1"/>
  <c r="B383" i="2"/>
  <c r="B383" i="6" s="1"/>
  <c r="D382" i="2"/>
  <c r="D382" i="6" s="1"/>
  <c r="B382" i="2"/>
  <c r="B382" i="6" s="1"/>
  <c r="D381" i="2"/>
  <c r="D381" i="6" s="1"/>
  <c r="B381" i="2"/>
  <c r="B381" i="6" s="1"/>
  <c r="D380" i="2"/>
  <c r="D380" i="6" s="1"/>
  <c r="B380" i="2"/>
  <c r="B380" i="6" s="1"/>
  <c r="D379" i="2"/>
  <c r="D379" i="6" s="1"/>
  <c r="B379" i="2"/>
  <c r="B379" i="6" s="1"/>
  <c r="D378" i="2"/>
  <c r="D378" i="6" s="1"/>
  <c r="B378" i="2"/>
  <c r="B378" i="6" s="1"/>
  <c r="D377" i="2"/>
  <c r="D377" i="6" s="1"/>
  <c r="B377" i="2"/>
  <c r="B377" i="6" s="1"/>
  <c r="B376" i="2"/>
  <c r="B376" i="6" s="1"/>
  <c r="B375" i="2"/>
  <c r="B375" i="6" s="1"/>
  <c r="B374" i="2"/>
  <c r="B374" i="6" s="1"/>
  <c r="B373" i="2"/>
  <c r="B373" i="6" s="1"/>
  <c r="B372" i="2"/>
  <c r="B372" i="6" s="1"/>
  <c r="B371" i="2"/>
  <c r="B371" i="6" s="1"/>
  <c r="B370" i="2"/>
  <c r="B370" i="6" s="1"/>
  <c r="B369" i="2"/>
  <c r="B369" i="6" s="1"/>
  <c r="B368" i="2"/>
  <c r="B368" i="6" s="1"/>
  <c r="B367" i="2"/>
  <c r="B367" i="6" s="1"/>
  <c r="B366" i="2"/>
  <c r="B366" i="6" s="1"/>
  <c r="B365" i="2"/>
  <c r="B365" i="6" s="1"/>
  <c r="B364" i="2"/>
  <c r="B364" i="6" s="1"/>
  <c r="B363" i="2"/>
  <c r="B363" i="6" s="1"/>
  <c r="B362" i="2"/>
  <c r="B362" i="6" s="1"/>
  <c r="B361" i="2"/>
  <c r="B361" i="6" s="1"/>
  <c r="D360" i="2"/>
  <c r="D360" i="6" s="1"/>
  <c r="B360" i="2"/>
  <c r="B360" i="6" s="1"/>
  <c r="D359" i="2"/>
  <c r="D359" i="6" s="1"/>
  <c r="B359" i="2"/>
  <c r="B359" i="6" s="1"/>
  <c r="D358" i="2"/>
  <c r="D358" i="6" s="1"/>
  <c r="B358" i="2"/>
  <c r="B358" i="6" s="1"/>
  <c r="D357" i="2"/>
  <c r="D357" i="6" s="1"/>
  <c r="B357" i="2"/>
  <c r="B357" i="6" s="1"/>
  <c r="D356" i="2"/>
  <c r="D356" i="6" s="1"/>
  <c r="B356" i="2"/>
  <c r="B356" i="6" s="1"/>
  <c r="D355" i="2"/>
  <c r="D355" i="6" s="1"/>
  <c r="B355" i="2"/>
  <c r="B355" i="6" s="1"/>
  <c r="D354" i="2"/>
  <c r="D354" i="6" s="1"/>
  <c r="B354" i="2"/>
  <c r="B354" i="6" s="1"/>
  <c r="D353" i="2"/>
  <c r="D353" i="6" s="1"/>
  <c r="B353" i="2"/>
  <c r="B353" i="6" s="1"/>
  <c r="D352" i="2"/>
  <c r="D352" i="6" s="1"/>
  <c r="B352" i="2"/>
  <c r="B352" i="6" s="1"/>
  <c r="D351" i="2"/>
  <c r="D351" i="6" s="1"/>
  <c r="B351" i="2"/>
  <c r="B351" i="6" s="1"/>
  <c r="D350" i="2"/>
  <c r="D350" i="6" s="1"/>
  <c r="B350" i="2"/>
  <c r="B350" i="6" s="1"/>
  <c r="D349" i="2"/>
  <c r="D349" i="6" s="1"/>
  <c r="B349" i="2"/>
  <c r="B349" i="6" s="1"/>
  <c r="D348" i="2"/>
  <c r="D348" i="6" s="1"/>
  <c r="B348" i="2"/>
  <c r="B348" i="6" s="1"/>
  <c r="D347" i="2"/>
  <c r="D347" i="6" s="1"/>
  <c r="B347" i="2"/>
  <c r="B347" i="6" s="1"/>
  <c r="D346" i="2"/>
  <c r="D346" i="6" s="1"/>
  <c r="B346" i="2"/>
  <c r="B346" i="6" s="1"/>
  <c r="D345" i="2"/>
  <c r="D345" i="6" s="1"/>
  <c r="B345" i="2"/>
  <c r="B345" i="6" s="1"/>
  <c r="D344" i="2"/>
  <c r="D344" i="6" s="1"/>
  <c r="B344" i="2"/>
  <c r="B344" i="6" s="1"/>
  <c r="D343" i="2"/>
  <c r="D343" i="6" s="1"/>
  <c r="B343" i="2"/>
  <c r="B343" i="6" s="1"/>
  <c r="D342" i="2"/>
  <c r="D342" i="6" s="1"/>
  <c r="B342" i="2"/>
  <c r="B342" i="6" s="1"/>
  <c r="D341" i="2"/>
  <c r="D341" i="6" s="1"/>
  <c r="B341" i="2"/>
  <c r="B341" i="6" s="1"/>
  <c r="D340" i="2"/>
  <c r="D340" i="6" s="1"/>
  <c r="B340" i="2"/>
  <c r="B340" i="6" s="1"/>
  <c r="D339" i="2"/>
  <c r="D339" i="6" s="1"/>
  <c r="B339" i="2"/>
  <c r="B339" i="6" s="1"/>
  <c r="D338" i="2"/>
  <c r="D338" i="6" s="1"/>
  <c r="B338" i="2"/>
  <c r="B338" i="6" s="1"/>
  <c r="D337" i="2"/>
  <c r="D337" i="6" s="1"/>
  <c r="B337" i="2"/>
  <c r="B337" i="6" s="1"/>
  <c r="D336" i="2"/>
  <c r="D336" i="6" s="1"/>
  <c r="B336" i="2"/>
  <c r="B336" i="6" s="1"/>
  <c r="D335" i="2"/>
  <c r="D335" i="6" s="1"/>
  <c r="B335" i="2"/>
  <c r="B335" i="6" s="1"/>
  <c r="D334" i="2"/>
  <c r="D334" i="6" s="1"/>
  <c r="B334" i="2"/>
  <c r="B334" i="6" s="1"/>
  <c r="D333" i="2"/>
  <c r="D333" i="6" s="1"/>
  <c r="B333" i="2"/>
  <c r="B333" i="6" s="1"/>
  <c r="D332" i="2"/>
  <c r="D332" i="6" s="1"/>
  <c r="B332" i="2"/>
  <c r="B332" i="6" s="1"/>
  <c r="D331" i="2"/>
  <c r="D331" i="6" s="1"/>
  <c r="B331" i="2"/>
  <c r="B331" i="6" s="1"/>
  <c r="D330" i="2"/>
  <c r="D330" i="6" s="1"/>
  <c r="B330" i="2"/>
  <c r="B330" i="6" s="1"/>
  <c r="D329" i="2"/>
  <c r="D329" i="6" s="1"/>
  <c r="B329" i="2"/>
  <c r="B329" i="6" s="1"/>
  <c r="D328" i="2"/>
  <c r="D328" i="6" s="1"/>
  <c r="B328" i="2"/>
  <c r="B328" i="6" s="1"/>
  <c r="D327" i="2"/>
  <c r="D327" i="6" s="1"/>
  <c r="B327" i="2"/>
  <c r="B327" i="6" s="1"/>
  <c r="D326" i="2"/>
  <c r="D326" i="6" s="1"/>
  <c r="B326" i="2"/>
  <c r="B326" i="6" s="1"/>
  <c r="D325" i="2"/>
  <c r="D325" i="6" s="1"/>
  <c r="B325" i="2"/>
  <c r="B325" i="6" s="1"/>
  <c r="D324" i="2"/>
  <c r="D324" i="6" s="1"/>
  <c r="B324" i="2"/>
  <c r="B324" i="6" s="1"/>
  <c r="D323" i="2"/>
  <c r="D323" i="6" s="1"/>
  <c r="B323" i="2"/>
  <c r="B323" i="6" s="1"/>
  <c r="D322" i="2"/>
  <c r="D322" i="6" s="1"/>
  <c r="B322" i="2"/>
  <c r="B322" i="6" s="1"/>
  <c r="D321" i="2"/>
  <c r="D321" i="6" s="1"/>
  <c r="B321" i="2"/>
  <c r="B321" i="6" s="1"/>
  <c r="D320" i="2"/>
  <c r="D320" i="6" s="1"/>
  <c r="B320" i="2"/>
  <c r="B320" i="6" s="1"/>
  <c r="D319" i="2"/>
  <c r="D319" i="6" s="1"/>
  <c r="B319" i="2"/>
  <c r="B319" i="6" s="1"/>
  <c r="D318" i="2"/>
  <c r="D318" i="6" s="1"/>
  <c r="B318" i="2"/>
  <c r="B318" i="6" s="1"/>
  <c r="D317" i="2"/>
  <c r="D317" i="6" s="1"/>
  <c r="B317" i="2"/>
  <c r="B317" i="6" s="1"/>
  <c r="D316" i="2"/>
  <c r="D316" i="6" s="1"/>
  <c r="B316" i="2"/>
  <c r="B316" i="6" s="1"/>
  <c r="D315" i="2"/>
  <c r="D315" i="6" s="1"/>
  <c r="B315" i="2"/>
  <c r="B315" i="6" s="1"/>
  <c r="D314" i="2"/>
  <c r="D314" i="6" s="1"/>
  <c r="B314" i="2"/>
  <c r="B314" i="6" s="1"/>
  <c r="D313" i="2"/>
  <c r="D313" i="6" s="1"/>
  <c r="B313" i="2"/>
  <c r="B313" i="6" s="1"/>
  <c r="D312" i="2"/>
  <c r="D312" i="6" s="1"/>
  <c r="B312" i="2"/>
  <c r="B312" i="6" s="1"/>
  <c r="D311" i="2"/>
  <c r="D311" i="6" s="1"/>
  <c r="B311" i="2"/>
  <c r="B311" i="6" s="1"/>
  <c r="D310" i="2"/>
  <c r="D310" i="6" s="1"/>
  <c r="B310" i="2"/>
  <c r="B310" i="6" s="1"/>
  <c r="D309" i="2"/>
  <c r="D309" i="6" s="1"/>
  <c r="B309" i="2"/>
  <c r="B309" i="6" s="1"/>
  <c r="D308" i="2"/>
  <c r="D308" i="6" s="1"/>
  <c r="B308" i="2"/>
  <c r="B308" i="6" s="1"/>
  <c r="D307" i="2"/>
  <c r="D307" i="6" s="1"/>
  <c r="B307" i="2"/>
  <c r="B307" i="6" s="1"/>
  <c r="D306" i="2"/>
  <c r="D306" i="6" s="1"/>
  <c r="B306" i="2"/>
  <c r="B306" i="6" s="1"/>
  <c r="D305" i="2"/>
  <c r="D305" i="6" s="1"/>
  <c r="B305" i="2"/>
  <c r="B305" i="6" s="1"/>
  <c r="D304" i="2"/>
  <c r="D304" i="6" s="1"/>
  <c r="B304" i="2"/>
  <c r="B304" i="6" s="1"/>
  <c r="D303" i="2"/>
  <c r="D303" i="6" s="1"/>
  <c r="B303" i="2"/>
  <c r="B303" i="6" s="1"/>
  <c r="D302" i="2"/>
  <c r="D302" i="6" s="1"/>
  <c r="B302" i="2"/>
  <c r="B302" i="6" s="1"/>
  <c r="D301" i="2"/>
  <c r="D301" i="6" s="1"/>
  <c r="B301" i="2"/>
  <c r="B301" i="6" s="1"/>
  <c r="B300" i="2"/>
  <c r="B300" i="6" s="1"/>
  <c r="B299" i="2"/>
  <c r="B299" i="6" s="1"/>
  <c r="B298" i="2"/>
  <c r="B298" i="6" s="1"/>
  <c r="B297" i="2"/>
  <c r="B297" i="6" s="1"/>
  <c r="B296" i="2"/>
  <c r="B296" i="6" s="1"/>
  <c r="B295" i="2"/>
  <c r="B295" i="6" s="1"/>
  <c r="B294" i="2"/>
  <c r="B294" i="6" s="1"/>
  <c r="B293" i="2"/>
  <c r="B293" i="6" s="1"/>
  <c r="D292" i="2"/>
  <c r="D292" i="6" s="1"/>
  <c r="B292" i="2"/>
  <c r="B292" i="6" s="1"/>
  <c r="D291" i="2"/>
  <c r="D291" i="6" s="1"/>
  <c r="B291" i="2"/>
  <c r="B291" i="6" s="1"/>
  <c r="D290" i="2"/>
  <c r="D290" i="6" s="1"/>
  <c r="B290" i="2"/>
  <c r="B290" i="6" s="1"/>
  <c r="D289" i="2"/>
  <c r="D289" i="6" s="1"/>
  <c r="B289" i="2"/>
  <c r="B289" i="6" s="1"/>
  <c r="D288" i="2"/>
  <c r="D288" i="6" s="1"/>
  <c r="B288" i="2"/>
  <c r="B288" i="6" s="1"/>
  <c r="D287" i="2"/>
  <c r="D287" i="6" s="1"/>
  <c r="B287" i="2"/>
  <c r="B287" i="6" s="1"/>
  <c r="B286" i="2"/>
  <c r="B286" i="6" s="1"/>
  <c r="B285" i="2"/>
  <c r="B285" i="6" s="1"/>
  <c r="B284" i="2"/>
  <c r="B284" i="6" s="1"/>
  <c r="B283" i="2"/>
  <c r="B283" i="6" s="1"/>
  <c r="B282" i="2"/>
  <c r="B282" i="6" s="1"/>
  <c r="B281" i="2"/>
  <c r="B281" i="6" s="1"/>
  <c r="B280" i="2"/>
  <c r="B280" i="6" s="1"/>
  <c r="B279" i="2"/>
  <c r="B279" i="6" s="1"/>
  <c r="D278" i="2"/>
  <c r="D278" i="6" s="1"/>
  <c r="B278" i="2"/>
  <c r="B278" i="6" s="1"/>
  <c r="D277" i="2"/>
  <c r="D277" i="6" s="1"/>
  <c r="B277" i="2"/>
  <c r="B277" i="6" s="1"/>
  <c r="D276" i="2"/>
  <c r="D276" i="6" s="1"/>
  <c r="B276" i="2"/>
  <c r="B276" i="6" s="1"/>
  <c r="D275" i="2"/>
  <c r="D275" i="6" s="1"/>
  <c r="B275" i="2"/>
  <c r="B275" i="6" s="1"/>
  <c r="D274" i="2"/>
  <c r="D274" i="6" s="1"/>
  <c r="B274" i="2"/>
  <c r="B274" i="6" s="1"/>
  <c r="D273" i="2"/>
  <c r="D273" i="6" s="1"/>
  <c r="B273" i="2"/>
  <c r="B273" i="6" s="1"/>
  <c r="D272" i="2"/>
  <c r="D272" i="6" s="1"/>
  <c r="B272" i="2"/>
  <c r="B272" i="6" s="1"/>
  <c r="D271" i="2"/>
  <c r="D271" i="6" s="1"/>
  <c r="B271" i="2"/>
  <c r="B271" i="6" s="1"/>
  <c r="D270" i="2"/>
  <c r="D270" i="6" s="1"/>
  <c r="B270" i="2"/>
  <c r="B270" i="6" s="1"/>
  <c r="D269" i="2"/>
  <c r="D269" i="6" s="1"/>
  <c r="B269" i="2"/>
  <c r="B269" i="6" s="1"/>
  <c r="D268" i="2"/>
  <c r="D268" i="6" s="1"/>
  <c r="B268" i="2"/>
  <c r="B268" i="6" s="1"/>
  <c r="B267" i="2"/>
  <c r="B267" i="6" s="1"/>
  <c r="B266" i="2"/>
  <c r="B266" i="6" s="1"/>
  <c r="B265" i="2"/>
  <c r="B265" i="6" s="1"/>
  <c r="B264" i="2"/>
  <c r="B264" i="6" s="1"/>
  <c r="B263" i="2"/>
  <c r="B263" i="6" s="1"/>
  <c r="B262" i="2"/>
  <c r="B262" i="6" s="1"/>
  <c r="B261" i="2"/>
  <c r="B261" i="6" s="1"/>
  <c r="B260" i="2"/>
  <c r="B260" i="6" s="1"/>
  <c r="B259" i="2"/>
  <c r="B259" i="6" s="1"/>
  <c r="B258" i="2"/>
  <c r="B258" i="6" s="1"/>
  <c r="B257" i="2"/>
  <c r="B257" i="6" s="1"/>
  <c r="D256" i="2"/>
  <c r="D256" i="6" s="1"/>
  <c r="B256" i="2"/>
  <c r="B256" i="6" s="1"/>
  <c r="D255" i="2"/>
  <c r="D255" i="6" s="1"/>
  <c r="B255" i="2"/>
  <c r="B255" i="6" s="1"/>
  <c r="D254" i="2"/>
  <c r="D254" i="6" s="1"/>
  <c r="B254" i="2"/>
  <c r="B254" i="6" s="1"/>
  <c r="D253" i="2"/>
  <c r="D253" i="6" s="1"/>
  <c r="B253" i="2"/>
  <c r="B253" i="6" s="1"/>
  <c r="D252" i="2"/>
  <c r="D252" i="6" s="1"/>
  <c r="B252" i="2"/>
  <c r="B252" i="6" s="1"/>
  <c r="D251" i="2"/>
  <c r="D251" i="6" s="1"/>
  <c r="B251" i="2"/>
  <c r="B251" i="6" s="1"/>
  <c r="D250" i="2"/>
  <c r="D250" i="6" s="1"/>
  <c r="B250" i="2"/>
  <c r="B250" i="6" s="1"/>
  <c r="D249" i="2"/>
  <c r="D249" i="6" s="1"/>
  <c r="B249" i="2"/>
  <c r="B249" i="6" s="1"/>
  <c r="D248" i="2"/>
  <c r="D248" i="6" s="1"/>
  <c r="B248" i="2"/>
  <c r="B248" i="6" s="1"/>
  <c r="D247" i="2"/>
  <c r="D247" i="6" s="1"/>
  <c r="B247" i="2"/>
  <c r="B247" i="6" s="1"/>
  <c r="D246" i="2"/>
  <c r="D246" i="6" s="1"/>
  <c r="B246" i="2"/>
  <c r="B246" i="6" s="1"/>
  <c r="D245" i="2"/>
  <c r="D245" i="6" s="1"/>
  <c r="B245" i="2"/>
  <c r="B245" i="6" s="1"/>
  <c r="B244" i="2"/>
  <c r="B244" i="6" s="1"/>
  <c r="D243" i="2"/>
  <c r="D243" i="6" s="1"/>
  <c r="B243" i="2"/>
  <c r="B243" i="6" s="1"/>
  <c r="B242" i="2"/>
  <c r="B242" i="6" s="1"/>
  <c r="D241" i="2"/>
  <c r="D241" i="6" s="1"/>
  <c r="B241" i="2"/>
  <c r="B241" i="6" s="1"/>
  <c r="D240" i="2"/>
  <c r="D240" i="6" s="1"/>
  <c r="B240" i="2"/>
  <c r="B240" i="6" s="1"/>
  <c r="D239" i="2"/>
  <c r="D239" i="6" s="1"/>
  <c r="B239" i="2"/>
  <c r="B239" i="6" s="1"/>
  <c r="D238" i="2"/>
  <c r="D238" i="6" s="1"/>
  <c r="B238" i="2"/>
  <c r="B238" i="6" s="1"/>
  <c r="D237" i="2"/>
  <c r="D237" i="6" s="1"/>
  <c r="B237" i="2"/>
  <c r="B237" i="6" s="1"/>
  <c r="D236" i="2"/>
  <c r="D236" i="6" s="1"/>
  <c r="B236" i="2"/>
  <c r="B236" i="6" s="1"/>
  <c r="D235" i="2"/>
  <c r="D235" i="6" s="1"/>
  <c r="B235" i="2"/>
  <c r="B235" i="6" s="1"/>
  <c r="D234" i="2"/>
  <c r="D234" i="6" s="1"/>
  <c r="B234" i="2"/>
  <c r="B234" i="6" s="1"/>
  <c r="D233" i="2"/>
  <c r="D233" i="6" s="1"/>
  <c r="B233" i="2"/>
  <c r="B233" i="6" s="1"/>
  <c r="D232" i="2"/>
  <c r="D232" i="6" s="1"/>
  <c r="B232" i="2"/>
  <c r="B232" i="6" s="1"/>
  <c r="D231" i="2"/>
  <c r="D231" i="6" s="1"/>
  <c r="B231" i="2"/>
  <c r="B231" i="6" s="1"/>
  <c r="D230" i="2"/>
  <c r="D230" i="6" s="1"/>
  <c r="B230" i="2"/>
  <c r="B230" i="6" s="1"/>
  <c r="D229" i="2"/>
  <c r="D229" i="6" s="1"/>
  <c r="B229" i="2"/>
  <c r="B229" i="6" s="1"/>
  <c r="D228" i="2"/>
  <c r="D228" i="6" s="1"/>
  <c r="B228" i="2"/>
  <c r="B228" i="6" s="1"/>
  <c r="D227" i="2"/>
  <c r="D227" i="6" s="1"/>
  <c r="B227" i="2"/>
  <c r="B227" i="6" s="1"/>
  <c r="D226" i="2"/>
  <c r="D226" i="6" s="1"/>
  <c r="B226" i="2"/>
  <c r="B226" i="6" s="1"/>
  <c r="D225" i="2"/>
  <c r="D225" i="6" s="1"/>
  <c r="B225" i="2"/>
  <c r="B225" i="6" s="1"/>
  <c r="B224" i="2"/>
  <c r="B224" i="6" s="1"/>
  <c r="B223" i="2"/>
  <c r="B223" i="6" s="1"/>
  <c r="B222" i="2"/>
  <c r="B222" i="6" s="1"/>
  <c r="B221" i="2"/>
  <c r="B221" i="6" s="1"/>
  <c r="B220" i="2"/>
  <c r="B220" i="6" s="1"/>
  <c r="B219" i="2"/>
  <c r="B219" i="6" s="1"/>
  <c r="B218" i="2"/>
  <c r="B218" i="6" s="1"/>
  <c r="B217" i="2"/>
  <c r="B217" i="6" s="1"/>
  <c r="B216" i="2"/>
  <c r="B216" i="6" s="1"/>
  <c r="B215" i="2"/>
  <c r="B215" i="6" s="1"/>
  <c r="B214" i="2"/>
  <c r="B214" i="6" s="1"/>
  <c r="B213" i="2"/>
  <c r="B213" i="6" s="1"/>
  <c r="B212" i="2"/>
  <c r="B212" i="6" s="1"/>
  <c r="B211" i="2"/>
  <c r="B211" i="6" s="1"/>
  <c r="B210" i="2"/>
  <c r="B210" i="6" s="1"/>
  <c r="B209" i="2"/>
  <c r="B209" i="6" s="1"/>
  <c r="B208" i="2"/>
  <c r="B208" i="6" s="1"/>
  <c r="B207" i="2"/>
  <c r="B207" i="6" s="1"/>
  <c r="B206" i="2"/>
  <c r="B206" i="6" s="1"/>
  <c r="B205" i="2"/>
  <c r="B205" i="6" s="1"/>
  <c r="B204" i="2"/>
  <c r="B204" i="6" s="1"/>
  <c r="B203" i="2"/>
  <c r="B203" i="6" s="1"/>
  <c r="B202" i="2"/>
  <c r="B202" i="6" s="1"/>
  <c r="B201" i="2"/>
  <c r="B201" i="6" s="1"/>
  <c r="B200" i="2"/>
  <c r="B200" i="6" s="1"/>
  <c r="B199" i="2"/>
  <c r="B199" i="6" s="1"/>
  <c r="B198" i="2"/>
  <c r="B198" i="6" s="1"/>
  <c r="B197" i="2"/>
  <c r="B197" i="6" s="1"/>
  <c r="B196" i="2"/>
  <c r="B196" i="6" s="1"/>
  <c r="B195" i="2"/>
  <c r="B195" i="6" s="1"/>
  <c r="B194" i="2"/>
  <c r="B194" i="6" s="1"/>
  <c r="B193" i="2"/>
  <c r="B193" i="6" s="1"/>
  <c r="B192" i="2"/>
  <c r="B192" i="6" s="1"/>
  <c r="B191" i="2"/>
  <c r="B191" i="6" s="1"/>
  <c r="B190" i="2"/>
  <c r="B190" i="6" s="1"/>
  <c r="B189" i="2"/>
  <c r="B189" i="6" s="1"/>
  <c r="B188" i="2"/>
  <c r="B188" i="6" s="1"/>
  <c r="D187" i="2"/>
  <c r="D187" i="6" s="1"/>
  <c r="B187" i="2"/>
  <c r="B187" i="6" s="1"/>
  <c r="B186" i="2"/>
  <c r="B186" i="6" s="1"/>
  <c r="B185" i="2"/>
  <c r="B185" i="6" s="1"/>
  <c r="B184" i="2"/>
  <c r="B184" i="6" s="1"/>
  <c r="B183" i="2"/>
  <c r="B183" i="6" s="1"/>
  <c r="B182" i="2"/>
  <c r="B182" i="6" s="1"/>
  <c r="B181" i="2"/>
  <c r="B181" i="6" s="1"/>
  <c r="B180" i="2"/>
  <c r="B180" i="6" s="1"/>
  <c r="B179" i="2"/>
  <c r="B179" i="6" s="1"/>
  <c r="B178" i="2"/>
  <c r="B178" i="6" s="1"/>
  <c r="B177" i="2"/>
  <c r="B177" i="6" s="1"/>
  <c r="B176" i="2"/>
  <c r="B176" i="6" s="1"/>
  <c r="B175" i="2"/>
  <c r="B175" i="6" s="1"/>
  <c r="B174" i="2"/>
  <c r="B174" i="6" s="1"/>
  <c r="B173" i="2"/>
  <c r="B173" i="6" s="1"/>
  <c r="B172" i="2"/>
  <c r="B172" i="6" s="1"/>
  <c r="B171" i="2"/>
  <c r="B171" i="6" s="1"/>
  <c r="B170" i="2"/>
  <c r="B170" i="6" s="1"/>
  <c r="B169" i="2"/>
  <c r="B169" i="6" s="1"/>
  <c r="B168" i="2"/>
  <c r="B168" i="6" s="1"/>
  <c r="B167" i="2"/>
  <c r="B167" i="6" s="1"/>
  <c r="D166" i="2"/>
  <c r="D166" i="6" s="1"/>
  <c r="B166" i="2"/>
  <c r="B166" i="6" s="1"/>
  <c r="D165" i="2"/>
  <c r="D165" i="6" s="1"/>
  <c r="B165" i="2"/>
  <c r="B165" i="6" s="1"/>
  <c r="D164" i="2"/>
  <c r="D164" i="6" s="1"/>
  <c r="B164" i="2"/>
  <c r="B164" i="6" s="1"/>
  <c r="D163" i="2"/>
  <c r="D163" i="6" s="1"/>
  <c r="B163" i="2"/>
  <c r="B163" i="6" s="1"/>
  <c r="D162" i="2"/>
  <c r="D162" i="6" s="1"/>
  <c r="B162" i="2"/>
  <c r="B162" i="6" s="1"/>
  <c r="D161" i="2"/>
  <c r="D161" i="6" s="1"/>
  <c r="B161" i="2"/>
  <c r="B161" i="6" s="1"/>
  <c r="D160" i="2"/>
  <c r="D160" i="6" s="1"/>
  <c r="B160" i="2"/>
  <c r="B160" i="6" s="1"/>
  <c r="D159" i="2"/>
  <c r="D159" i="6" s="1"/>
  <c r="B159" i="2"/>
  <c r="B159" i="6" s="1"/>
  <c r="D158" i="2"/>
  <c r="D158" i="6" s="1"/>
  <c r="B158" i="2"/>
  <c r="B158" i="6" s="1"/>
  <c r="D157" i="2"/>
  <c r="D157" i="6" s="1"/>
  <c r="B157" i="2"/>
  <c r="B157" i="6" s="1"/>
  <c r="D156" i="2"/>
  <c r="D156" i="6" s="1"/>
  <c r="B156" i="2"/>
  <c r="B156" i="6" s="1"/>
  <c r="D155" i="2"/>
  <c r="D155" i="6" s="1"/>
  <c r="B155" i="2"/>
  <c r="B155" i="6" s="1"/>
  <c r="D154" i="2"/>
  <c r="D154" i="6" s="1"/>
  <c r="B154" i="2"/>
  <c r="B154" i="6" s="1"/>
  <c r="B153" i="2"/>
  <c r="B153" i="6" s="1"/>
  <c r="B152" i="2"/>
  <c r="B152" i="6" s="1"/>
  <c r="B151" i="2"/>
  <c r="B151" i="6" s="1"/>
  <c r="B150" i="2"/>
  <c r="B150" i="6" s="1"/>
  <c r="B149" i="2"/>
  <c r="B149" i="6" s="1"/>
  <c r="B148" i="2"/>
  <c r="B148" i="6" s="1"/>
  <c r="D147" i="2"/>
  <c r="D147" i="6" s="1"/>
  <c r="B147" i="2"/>
  <c r="B147" i="6" s="1"/>
  <c r="B146" i="2"/>
  <c r="B146" i="6" s="1"/>
  <c r="B145" i="2"/>
  <c r="B145" i="6" s="1"/>
  <c r="B144" i="2"/>
  <c r="B144" i="6" s="1"/>
  <c r="B143" i="2"/>
  <c r="B143" i="6" s="1"/>
  <c r="B142" i="2"/>
  <c r="B142" i="6" s="1"/>
  <c r="B141" i="2"/>
  <c r="B141" i="6" s="1"/>
  <c r="B140" i="2"/>
  <c r="B140" i="6" s="1"/>
  <c r="B139" i="2"/>
  <c r="B139" i="6" s="1"/>
  <c r="B138" i="2"/>
  <c r="B138" i="6" s="1"/>
  <c r="B137" i="2"/>
  <c r="B137" i="6" s="1"/>
  <c r="B136" i="2"/>
  <c r="B136" i="6" s="1"/>
  <c r="B135" i="2"/>
  <c r="B135" i="6" s="1"/>
  <c r="B134" i="2"/>
  <c r="B134" i="6" s="1"/>
  <c r="D133" i="2"/>
  <c r="D133" i="6" s="1"/>
  <c r="B133" i="2"/>
  <c r="B133" i="6" s="1"/>
  <c r="D132" i="2"/>
  <c r="D132" i="6" s="1"/>
  <c r="B132" i="2"/>
  <c r="B132" i="6" s="1"/>
  <c r="D131" i="2"/>
  <c r="D131" i="6" s="1"/>
  <c r="B131" i="2"/>
  <c r="B131" i="6" s="1"/>
  <c r="D130" i="2"/>
  <c r="D130" i="6" s="1"/>
  <c r="B130" i="2"/>
  <c r="B130" i="6" s="1"/>
  <c r="D129" i="2"/>
  <c r="D129" i="6" s="1"/>
  <c r="B129" i="2"/>
  <c r="B129" i="6" s="1"/>
  <c r="D128" i="2"/>
  <c r="D128" i="6" s="1"/>
  <c r="B128" i="2"/>
  <c r="B128" i="6" s="1"/>
  <c r="D127" i="2"/>
  <c r="D127" i="6" s="1"/>
  <c r="B127" i="2"/>
  <c r="B127" i="6" s="1"/>
  <c r="D126" i="2"/>
  <c r="D126" i="6" s="1"/>
  <c r="B126" i="2"/>
  <c r="B126" i="6" s="1"/>
  <c r="D125" i="2"/>
  <c r="D125" i="6" s="1"/>
  <c r="B125" i="2"/>
  <c r="B125" i="6" s="1"/>
  <c r="D124" i="2"/>
  <c r="D124" i="6" s="1"/>
  <c r="B124" i="2"/>
  <c r="B124" i="6" s="1"/>
  <c r="D123" i="2"/>
  <c r="D123" i="6" s="1"/>
  <c r="B123" i="2"/>
  <c r="B123" i="6" s="1"/>
  <c r="D122" i="2"/>
  <c r="D122" i="6" s="1"/>
  <c r="B122" i="2"/>
  <c r="B122" i="6" s="1"/>
  <c r="D121" i="2"/>
  <c r="D121" i="6" s="1"/>
  <c r="B121" i="2"/>
  <c r="B121" i="6" s="1"/>
  <c r="D120" i="2"/>
  <c r="D120" i="6" s="1"/>
  <c r="B120" i="2"/>
  <c r="B120" i="6" s="1"/>
  <c r="D119" i="2"/>
  <c r="D119" i="6" s="1"/>
  <c r="B119" i="2"/>
  <c r="B119" i="6" s="1"/>
  <c r="D118" i="2"/>
  <c r="D118" i="6" s="1"/>
  <c r="B118" i="2"/>
  <c r="B118" i="6" s="1"/>
  <c r="D117" i="2"/>
  <c r="D117" i="6" s="1"/>
  <c r="B117" i="2"/>
  <c r="B117" i="6" s="1"/>
  <c r="D116" i="2"/>
  <c r="D116" i="6" s="1"/>
  <c r="B116" i="2"/>
  <c r="B116" i="6" s="1"/>
  <c r="D115" i="2"/>
  <c r="D115" i="6" s="1"/>
  <c r="B115" i="2"/>
  <c r="B115" i="6" s="1"/>
  <c r="D114" i="2"/>
  <c r="D114" i="6" s="1"/>
  <c r="B114" i="2"/>
  <c r="B114" i="6" s="1"/>
  <c r="D113" i="2"/>
  <c r="D113" i="6" s="1"/>
  <c r="B113" i="2"/>
  <c r="B113" i="6" s="1"/>
  <c r="D112" i="2"/>
  <c r="D112" i="6" s="1"/>
  <c r="B112" i="2"/>
  <c r="B112" i="6" s="1"/>
  <c r="D111" i="2"/>
  <c r="D111" i="6" s="1"/>
  <c r="B111" i="2"/>
  <c r="B111" i="6" s="1"/>
  <c r="D110" i="2"/>
  <c r="D110" i="6" s="1"/>
  <c r="B110" i="2"/>
  <c r="B110" i="6" s="1"/>
  <c r="D109" i="2"/>
  <c r="D109" i="6" s="1"/>
  <c r="B109" i="2"/>
  <c r="B109" i="6" s="1"/>
  <c r="D108" i="2"/>
  <c r="D108" i="6" s="1"/>
  <c r="B108" i="2"/>
  <c r="B108" i="6" s="1"/>
  <c r="D107" i="2"/>
  <c r="D107" i="6" s="1"/>
  <c r="B107" i="2"/>
  <c r="B107" i="6" s="1"/>
  <c r="B106" i="2"/>
  <c r="B106" i="6" s="1"/>
  <c r="B105" i="2"/>
  <c r="B105" i="6" s="1"/>
  <c r="B104" i="2"/>
  <c r="B104" i="6" s="1"/>
  <c r="B103" i="2"/>
  <c r="B103" i="6" s="1"/>
  <c r="B102" i="2"/>
  <c r="B102" i="6" s="1"/>
  <c r="B101" i="2"/>
  <c r="B101" i="6" s="1"/>
  <c r="B100" i="2"/>
  <c r="B100" i="6" s="1"/>
  <c r="B99" i="2"/>
  <c r="B99" i="6" s="1"/>
  <c r="B98" i="2"/>
  <c r="B98" i="6" s="1"/>
  <c r="B97" i="2"/>
  <c r="B97" i="6" s="1"/>
  <c r="B96" i="2"/>
  <c r="B96" i="6" s="1"/>
  <c r="B95" i="2"/>
  <c r="B95" i="6" s="1"/>
  <c r="B94" i="2"/>
  <c r="B94" i="6" s="1"/>
  <c r="B93" i="2"/>
  <c r="B93" i="6" s="1"/>
  <c r="B92" i="2"/>
  <c r="B92" i="6" s="1"/>
  <c r="B91" i="2"/>
  <c r="B91" i="6" s="1"/>
  <c r="B90" i="2"/>
  <c r="B90" i="6" s="1"/>
  <c r="B89" i="2"/>
  <c r="B89" i="6" s="1"/>
  <c r="B88" i="2"/>
  <c r="B88" i="6" s="1"/>
  <c r="B87" i="2"/>
  <c r="B87" i="6" s="1"/>
  <c r="B86" i="2"/>
  <c r="B86" i="6" s="1"/>
  <c r="B85" i="2"/>
  <c r="B85" i="6" s="1"/>
  <c r="B84" i="2"/>
  <c r="B84" i="6" s="1"/>
  <c r="B83" i="2"/>
  <c r="B83" i="6" s="1"/>
  <c r="B82" i="2"/>
  <c r="B82" i="6" s="1"/>
  <c r="B81" i="2"/>
  <c r="B81" i="6" s="1"/>
  <c r="B80" i="2"/>
  <c r="B80" i="6" s="1"/>
  <c r="B79" i="2"/>
  <c r="B79" i="6" s="1"/>
  <c r="B78" i="2"/>
  <c r="B78" i="6" s="1"/>
  <c r="B77" i="2"/>
  <c r="B77" i="6" s="1"/>
  <c r="B76" i="2"/>
  <c r="B76" i="6" s="1"/>
  <c r="B75" i="2"/>
  <c r="B75" i="6" s="1"/>
  <c r="B74" i="2"/>
  <c r="B74" i="6" s="1"/>
  <c r="B73" i="2"/>
  <c r="B73" i="6" s="1"/>
  <c r="B72" i="2"/>
  <c r="B72" i="6" s="1"/>
  <c r="B71" i="2"/>
  <c r="B71" i="6" s="1"/>
  <c r="B70" i="2"/>
  <c r="B70" i="6" s="1"/>
  <c r="B69" i="2"/>
  <c r="B69" i="6" s="1"/>
  <c r="B68" i="2"/>
  <c r="B68" i="6" s="1"/>
  <c r="B67" i="2"/>
  <c r="B67" i="6" s="1"/>
  <c r="B66" i="2"/>
  <c r="B66" i="6" s="1"/>
  <c r="B65" i="2"/>
  <c r="B65" i="6" s="1"/>
  <c r="B64" i="2"/>
  <c r="B64" i="6" s="1"/>
  <c r="B63" i="2"/>
  <c r="B63" i="6" s="1"/>
  <c r="B62" i="2"/>
  <c r="B62" i="6" s="1"/>
  <c r="B61" i="2"/>
  <c r="B61" i="6" s="1"/>
  <c r="B60" i="2"/>
  <c r="B60" i="6" s="1"/>
  <c r="B59" i="2"/>
  <c r="B59" i="6" s="1"/>
  <c r="B58" i="2"/>
  <c r="B58" i="6" s="1"/>
  <c r="B57" i="2"/>
  <c r="B57" i="6" s="1"/>
  <c r="B56" i="2"/>
  <c r="B56" i="6" s="1"/>
  <c r="B55" i="2"/>
  <c r="B55" i="6" s="1"/>
  <c r="B54" i="2"/>
  <c r="B54" i="6" s="1"/>
  <c r="B53" i="2"/>
  <c r="B53" i="6" s="1"/>
  <c r="B52" i="2"/>
  <c r="B52" i="6" s="1"/>
  <c r="B51" i="2"/>
  <c r="B51" i="6" s="1"/>
  <c r="B50" i="2"/>
  <c r="B50" i="6" s="1"/>
  <c r="B49" i="2"/>
  <c r="B49" i="6" s="1"/>
  <c r="B48" i="2"/>
  <c r="B48" i="6" s="1"/>
  <c r="B47" i="2"/>
  <c r="B47" i="6" s="1"/>
  <c r="B46" i="2"/>
  <c r="B46" i="6" s="1"/>
  <c r="B45" i="2"/>
  <c r="B45" i="6" s="1"/>
  <c r="B44" i="2"/>
  <c r="B44" i="6" s="1"/>
  <c r="B43" i="2"/>
  <c r="B43" i="6" s="1"/>
  <c r="B42" i="2"/>
  <c r="B42" i="6" s="1"/>
  <c r="B41" i="2"/>
  <c r="B41" i="6" s="1"/>
  <c r="B40" i="2"/>
  <c r="B40" i="6" s="1"/>
  <c r="B39" i="2"/>
  <c r="B39" i="6" s="1"/>
  <c r="B38" i="2"/>
  <c r="B38" i="6" s="1"/>
  <c r="B37" i="2"/>
  <c r="B37" i="6" s="1"/>
  <c r="B36" i="2"/>
  <c r="B36" i="6" s="1"/>
  <c r="D35" i="2"/>
  <c r="D35" i="6" s="1"/>
  <c r="B35" i="2"/>
  <c r="B35" i="6" s="1"/>
  <c r="D34" i="2"/>
  <c r="D34" i="6" s="1"/>
  <c r="B34" i="2"/>
  <c r="B34" i="6" s="1"/>
  <c r="D33" i="2"/>
  <c r="D33" i="6" s="1"/>
  <c r="B33" i="2"/>
  <c r="B33" i="6" s="1"/>
  <c r="D32" i="2"/>
  <c r="D32" i="6" s="1"/>
  <c r="B32" i="2"/>
  <c r="B32" i="6" s="1"/>
  <c r="D31" i="2"/>
  <c r="D31" i="6" s="1"/>
  <c r="B31" i="2"/>
  <c r="B31" i="6" s="1"/>
  <c r="D30" i="2"/>
  <c r="D30" i="6" s="1"/>
  <c r="B30" i="2"/>
  <c r="B30" i="6" s="1"/>
  <c r="D29" i="2"/>
  <c r="D29" i="6" s="1"/>
  <c r="B29" i="2"/>
  <c r="B29" i="6" s="1"/>
  <c r="D28" i="2"/>
  <c r="D28" i="6" s="1"/>
  <c r="B28" i="2"/>
  <c r="B28" i="6" s="1"/>
  <c r="D27" i="2"/>
  <c r="D27" i="6" s="1"/>
  <c r="B27" i="2"/>
  <c r="B27" i="6" s="1"/>
  <c r="B26" i="2"/>
  <c r="B26" i="6" s="1"/>
  <c r="D25" i="2"/>
  <c r="D25" i="6" s="1"/>
  <c r="B25" i="2"/>
  <c r="B25" i="6" s="1"/>
  <c r="B24" i="2"/>
  <c r="B24" i="6" s="1"/>
  <c r="D23" i="2"/>
  <c r="D23" i="6" s="1"/>
  <c r="B23" i="2"/>
  <c r="B23" i="6" s="1"/>
  <c r="D22" i="2"/>
  <c r="D22" i="6" s="1"/>
  <c r="B22" i="2"/>
  <c r="B22" i="6" s="1"/>
  <c r="D21" i="2"/>
  <c r="D21" i="6" s="1"/>
  <c r="B21" i="2"/>
  <c r="B21" i="6" s="1"/>
  <c r="D20" i="2"/>
  <c r="D20" i="6" s="1"/>
  <c r="B20" i="2"/>
  <c r="B20" i="6" s="1"/>
  <c r="B19" i="2"/>
  <c r="B19" i="6" s="1"/>
  <c r="B18" i="2"/>
  <c r="B18" i="6" s="1"/>
  <c r="B17" i="2"/>
  <c r="B17" i="6" s="1"/>
  <c r="B16" i="2"/>
  <c r="B16" i="6" s="1"/>
  <c r="B15" i="2"/>
  <c r="B15" i="6" s="1"/>
  <c r="B14" i="2"/>
  <c r="B14" i="6" s="1"/>
  <c r="B13" i="2"/>
  <c r="B13" i="6" s="1"/>
  <c r="B12" i="2"/>
  <c r="B12" i="6" s="1"/>
  <c r="B11" i="2"/>
  <c r="B11" i="6" s="1"/>
  <c r="B10" i="2"/>
  <c r="B10" i="6" s="1"/>
  <c r="D9" i="2"/>
  <c r="D9" i="6" s="1"/>
  <c r="B9" i="2"/>
  <c r="B9" i="6" s="1"/>
  <c r="D8" i="2"/>
  <c r="D8" i="6" s="1"/>
  <c r="B8" i="2"/>
  <c r="B8" i="6" s="1"/>
  <c r="D7" i="2"/>
  <c r="D7" i="6" s="1"/>
  <c r="B7" i="2"/>
  <c r="B7" i="6" s="1"/>
  <c r="D6" i="2" l="1"/>
  <c r="D6" i="6" s="1"/>
  <c r="B6" i="2"/>
  <c r="B6" i="6" s="1"/>
</calcChain>
</file>

<file path=xl/sharedStrings.xml><?xml version="1.0" encoding="utf-8"?>
<sst xmlns="http://schemas.openxmlformats.org/spreadsheetml/2006/main" count="29887" uniqueCount="7036">
  <si>
    <t>Артикул</t>
  </si>
  <si>
    <t>Бренд</t>
  </si>
  <si>
    <t>Тип товара</t>
  </si>
  <si>
    <t>Наименование</t>
  </si>
  <si>
    <t>Торговая группа</t>
  </si>
  <si>
    <t>Нет поставки</t>
  </si>
  <si>
    <t>РЦ</t>
  </si>
  <si>
    <t>Описание</t>
  </si>
  <si>
    <t>Изображение анонса</t>
  </si>
  <si>
    <t>Изображения</t>
  </si>
  <si>
    <t>Инвертор</t>
  </si>
  <si>
    <t>Мин. допустимая температура наружного воздуха в режиме обогрева °С</t>
  </si>
  <si>
    <t>Макс. допустимая температура наружного воздуха в режиме обогрева °С</t>
  </si>
  <si>
    <t>Сплит-система</t>
  </si>
  <si>
    <t>EER (класс)</t>
  </si>
  <si>
    <t>COP (класс)</t>
  </si>
  <si>
    <t>SEER</t>
  </si>
  <si>
    <t>SCOP</t>
  </si>
  <si>
    <t>Напряжение питания внутреннего блока</t>
  </si>
  <si>
    <t>Наружный блок</t>
  </si>
  <si>
    <t>Марка компрессора</t>
  </si>
  <si>
    <t>Напряжение питания наружного блока</t>
  </si>
  <si>
    <t>Возможность низкотемпературного исполнения Winter Master</t>
  </si>
  <si>
    <t>Возможность низкотемпературного исполнения Nord Polo</t>
  </si>
  <si>
    <t>Возможность низкотемпературного исполнения White Frost</t>
  </si>
  <si>
    <t>Возможность низкотемпературного исполнения Black Frost</t>
  </si>
  <si>
    <t>Тип хладагента</t>
  </si>
  <si>
    <t>Панель</t>
  </si>
  <si>
    <t>Расчетное статическое давление</t>
  </si>
  <si>
    <t>DC-инверторный компрессор</t>
  </si>
  <si>
    <t>Класс энергоэффективности</t>
  </si>
  <si>
    <t>Фильтр</t>
  </si>
  <si>
    <t>Монтаж</t>
  </si>
  <si>
    <t>Тип двигателя</t>
  </si>
  <si>
    <t>Материал корпуса</t>
  </si>
  <si>
    <t>Автоматическое управление</t>
  </si>
  <si>
    <t>b00380396</t>
  </si>
  <si>
    <t>FUJITSU</t>
  </si>
  <si>
    <t>RAC</t>
  </si>
  <si>
    <t>Сплит-система ASYG07LMCE-R/AOYG07LMCE-R</t>
  </si>
  <si>
    <t>Airflow</t>
  </si>
  <si>
    <t>Нет</t>
  </si>
  <si>
    <t>https://klimatprof.online/upload/iblock/c0b/airflow.png</t>
  </si>
  <si>
    <t>https://klimatprof.online/upload/iblock/f14/Внутр-блок-ASYG07_14LMCE.png | https://klimatprof.online/upload/iblock/4cf/7fbd34fe037dd50095685efb30cb14df.png | https://klimatprof.online/upload/iblock/1e4/5f2e2b45ab9a423c42dc934cc605a878.png</t>
  </si>
  <si>
    <t>Y</t>
  </si>
  <si>
    <t>ASYG07LMCE-R/AOYG07LMCE-R</t>
  </si>
  <si>
    <t>ASYG07LMCE-R</t>
  </si>
  <si>
    <t>AOYG07LMCE-R</t>
  </si>
  <si>
    <t>PANASONIC</t>
  </si>
  <si>
    <t>N</t>
  </si>
  <si>
    <t>R410A</t>
  </si>
  <si>
    <t>A++</t>
  </si>
  <si>
    <t>1 / 230 / 50</t>
  </si>
  <si>
    <t>21/32/40/43</t>
  </si>
  <si>
    <t>b00380399</t>
  </si>
  <si>
    <t>Сплит-система ASYG09LMCE-R/AOYG09LMCE-R</t>
  </si>
  <si>
    <t>ASYG09LMCE-R/AOYG09LMCE-R</t>
  </si>
  <si>
    <t>7 (A++)</t>
  </si>
  <si>
    <t>ASYG09LMCE-R</t>
  </si>
  <si>
    <t>AOYG09LMCE-R</t>
  </si>
  <si>
    <t>b00380402</t>
  </si>
  <si>
    <t>Сплит-система ASYG12LMCE-R/AOYG12LMCE-R</t>
  </si>
  <si>
    <t>ASYG12LMCE-R/AOYG12LMCE-R</t>
  </si>
  <si>
    <t>4 (A+)</t>
  </si>
  <si>
    <t>ASYG12LMCE-R</t>
  </si>
  <si>
    <t>AOYG12LMCE-R</t>
  </si>
  <si>
    <t>b00380405</t>
  </si>
  <si>
    <t>Сплит-система ASYG14LMCE-R/AOYG14LMCE-R</t>
  </si>
  <si>
    <t>ASYG14LMCE-R/AOYG14LMCE-R</t>
  </si>
  <si>
    <t>ASYG14LMCE-R</t>
  </si>
  <si>
    <t>AOYG14LMCE-R</t>
  </si>
  <si>
    <t>25/33/40/44</t>
  </si>
  <si>
    <t>e00423627</t>
  </si>
  <si>
    <t>Сплит-система ASYG07KPCA-R/AOYG07KPCA-R</t>
  </si>
  <si>
    <t>Clarios</t>
  </si>
  <si>
    <t>Да</t>
  </si>
  <si>
    <t>https://klimatprof.online/upload/iblock/dbf/PHD_ASY057_01_01.png</t>
  </si>
  <si>
    <t>https://klimatprof.online/upload/iblock/fc1/PHD_AOY077_01H_01.png | https://klimatprof.online/upload/iblock/4e2/Новый рисунок (43).bmp</t>
  </si>
  <si>
    <t>R32</t>
  </si>
  <si>
    <t>22/31/38/45</t>
  </si>
  <si>
    <t>c00409223</t>
  </si>
  <si>
    <t>Сплит-система ASYG07KPCA/AOYG07KPCA</t>
  </si>
  <si>
    <t>https://klimatprof.online/upload/iblock/209/ASYG07-12KPCA.png</t>
  </si>
  <si>
    <t>https://klimatprof.online/upload/iblock/1b5/PHD_AOY077_01H_01.png | https://klimatprof.online/upload/iblock/e45/Новый рисунок (43).bmp</t>
  </si>
  <si>
    <t>e00423628</t>
  </si>
  <si>
    <t>Сплит-система ASYG09KPCA-R/AOYG09KPCA-R</t>
  </si>
  <si>
    <t>c00409226</t>
  </si>
  <si>
    <t>Сплит-система ASYG09KPCA/AOYG09KPCA</t>
  </si>
  <si>
    <t>https://klimatprof.online/upload/iblock/3a2/ASYG07-12KPCA.png</t>
  </si>
  <si>
    <t>https://klimatprof.online/upload/iblock/1ee/PHD_AOY077_01H_01.png | https://klimatprof.online/upload/iblock/38b/Новый рисунок (43).bmp</t>
  </si>
  <si>
    <t>e00423629</t>
  </si>
  <si>
    <t>Сплит-система ASYG12KPCA-R/AOYG12KPCA-R</t>
  </si>
  <si>
    <t>22/33/40/46</t>
  </si>
  <si>
    <t>c00409229</t>
  </si>
  <si>
    <t>Сплит-система ASYG12KPCA/AOYG12KPCA</t>
  </si>
  <si>
    <t>https://klimatprof.online/upload/iblock/c59/ASYG07-12KPCA.png</t>
  </si>
  <si>
    <t>https://klimatprof.online/upload/iblock/ba9/PHD_AOY077_01H_01.png | https://klimatprof.online/upload/iblock/b0b/Новый рисунок (43).bmp</t>
  </si>
  <si>
    <t>e00420932</t>
  </si>
  <si>
    <t>Сплит-система ASYG18KLCA/AOYG18KLCA</t>
  </si>
  <si>
    <t>https://klimatprof.online/upload/iblock/62c/ASYG18-24KLCA.png</t>
  </si>
  <si>
    <t>https://klimatprof.online/upload/iblock/b7f/AOYG18-24KLTA.png | https://klimatprof.online/upload/iblock/926/Новый рисунок (43).bmp</t>
  </si>
  <si>
    <t>35/40/44/47</t>
  </si>
  <si>
    <t>c00409232</t>
  </si>
  <si>
    <t>Сплит-система ASYG18KLCA/AOYG18KLTA</t>
  </si>
  <si>
    <t>https://klimatprof.online/upload/iblock/f3a/ASYG18-24KLCA.png</t>
  </si>
  <si>
    <t>https://klimatprof.online/upload/iblock/784/AOYG18-24KLTA.png | https://klimatprof.online/upload/iblock/b3c/Новый рисунок (43).bmp</t>
  </si>
  <si>
    <t>e00420933</t>
  </si>
  <si>
    <t>Сплит-система ASYG24KLCA/AOYG24KLCA</t>
  </si>
  <si>
    <t>https://klimatprof.online/upload/iblock/535/ASYG18-24KLCA.png</t>
  </si>
  <si>
    <t>https://klimatprof.online/upload/iblock/061/AOYG18-24KLTA.png | https://klimatprof.online/upload/iblock/d63/Новый рисунок (43).bmp</t>
  </si>
  <si>
    <t>33/38/45/51</t>
  </si>
  <si>
    <t>c00409235</t>
  </si>
  <si>
    <t>Сплит-система ASYG24KLCA/AOYG24KLTA</t>
  </si>
  <si>
    <t>https://klimatprof.online/upload/iblock/d34/ASYG18-24KLCA.png</t>
  </si>
  <si>
    <t>https://klimatprof.online/upload/iblock/acd/AOYG18-24KLTA.png | https://klimatprof.online/upload/iblock/bee/Новый рисунок (43).bmp</t>
  </si>
  <si>
    <t>e00423621</t>
  </si>
  <si>
    <t>Сплит-система ASYG07KMCC/AOYG07KMCC</t>
  </si>
  <si>
    <t>Genios</t>
  </si>
  <si>
    <t>https://klimatprof.online/upload/iblock/643/PHD_ASY052_01_01.png</t>
  </si>
  <si>
    <t>https://klimatprof.online/upload/iblock/269/PHD_AOY077_01H_01.png | https://klimatprof.online/upload/iblock/fce/Новый рисунок (42).bmp</t>
  </si>
  <si>
    <t>1 / 220 / 50</t>
  </si>
  <si>
    <t>20/29/33/38</t>
  </si>
  <si>
    <t>e00423622</t>
  </si>
  <si>
    <t>Сплит-система ASYG09KMCC/AOYG09KMCC</t>
  </si>
  <si>
    <t>20/29/34/40</t>
  </si>
  <si>
    <t>e00423623</t>
  </si>
  <si>
    <t>Сплит-система ASYG12KMCC/AOYG12KMCC</t>
  </si>
  <si>
    <t>20/30/35/40</t>
  </si>
  <si>
    <t>e00423624</t>
  </si>
  <si>
    <t>Сплит-система ASYG14KMCC/AOYG14KMCC</t>
  </si>
  <si>
    <t>20/30/36/43</t>
  </si>
  <si>
    <t>c00409217</t>
  </si>
  <si>
    <t>Сплит-система ASYG18KMTA/AOYG18KMTA</t>
  </si>
  <si>
    <t>29/35/40/45</t>
  </si>
  <si>
    <t>e00423625</t>
  </si>
  <si>
    <t>Сплит-система ASYG18KMTB/AOYG18KMTA</t>
  </si>
  <si>
    <t>c00409220</t>
  </si>
  <si>
    <t>Сплит-система ASYG24KMTA/AOYG24KMTA</t>
  </si>
  <si>
    <t>29/35/40/49</t>
  </si>
  <si>
    <t>e00423626</t>
  </si>
  <si>
    <t>Сплит-система ASYG24KMTB/AOYG24KMTA</t>
  </si>
  <si>
    <t>c00411428</t>
  </si>
  <si>
    <t>Сплит-система ASYG07KETA-B/AOYG07KETA</t>
  </si>
  <si>
    <t>Interios</t>
  </si>
  <si>
    <t>https://klimatprof.online/upload/iblock/f12/q5g316rnwuu1doi66v5k2ij7ms8g99wf/silverB-R.png</t>
  </si>
  <si>
    <t>https://klimatprof.online/upload/iblock/720/608zv222036zdlnd48la4n7y00jmdm8d/PHD_AOY077_01H_01.png | https://klimatprof.online/upload/iblock/746/13jzuh7zmj5zfmv21zpoq30gpfpquwka/Новый рисунок (42).bmp</t>
  </si>
  <si>
    <t>c00411427</t>
  </si>
  <si>
    <t>Сплит-система ASYG07KETA/AOYG07KETA</t>
  </si>
  <si>
    <t>https://klimatprof.online/upload/iblock/c7e/08sendwmww04h5go327kmlzm8d8yhplh/whiteB-R.png</t>
  </si>
  <si>
    <t>https://klimatprof.online/upload/iblock/41e/yd8tgnw871wpu4sb85ktylyni67ajeyw/PHD_AOY077_01H_01.png | https://klimatprof.online/upload/iblock/e85/63pnrq84fx26202qlex8tx0z2qcz3adm/Новый рисунок (42).bmp</t>
  </si>
  <si>
    <t>c00411433</t>
  </si>
  <si>
    <t>Сплит-система ASYG09KETA-B/AOYG09KETA</t>
  </si>
  <si>
    <t>https://klimatprof.online/upload/iblock/2ac/se9p78b5ezsx9p9rtdieqn0kdncpomc2/silverB-R.png</t>
  </si>
  <si>
    <t>https://klimatprof.online/upload/iblock/54e/9jljev4lwnjp20fmg3x9kgex92ofhosn/PHD_AOY077_01H_01.png | https://klimatprof.online/upload/iblock/168/iyt4cybwk1bkyxk7mdbfpkw3t97zpxc3/Новый рисунок (42).bmp</t>
  </si>
  <si>
    <t>c00411432</t>
  </si>
  <si>
    <t>Сплит-система ASYG09KETA/AOYG09KETA</t>
  </si>
  <si>
    <t>https://klimatprof.online/upload/iblock/de0/33fqqq7bua1nw2ei5x9c83w5dbw5q2oc/whiteB-R.png</t>
  </si>
  <si>
    <t>https://klimatprof.online/upload/iblock/887/f89isia4p6soj1x7inmuy6k2lodh1ihw/PHD_AOY077_01H_01.png | https://klimatprof.online/upload/iblock/38c/k89h166xrvtlivm5yegyd053nn2w3r6b/Новый рисунок (42).bmp</t>
  </si>
  <si>
    <t>c00411438</t>
  </si>
  <si>
    <t>Сплит-система ASYG12KETA-B/AOYG12KETA</t>
  </si>
  <si>
    <t>https://klimatprof.online/upload/iblock/131/ng6fuhr57rjmq15u8e20zfdpo4k2i84d/silverB-R.png</t>
  </si>
  <si>
    <t>https://klimatprof.online/upload/iblock/4c2/8nph0r6vkk1m12zttrceiyce8alnboh5/PHD_AOY077_01H_01.png | https://klimatprof.online/upload/iblock/f61/s1xkl8ke86t1xqxcod8d7fcw3h078nfn/Новый рисунок (42).bmp</t>
  </si>
  <si>
    <t>c00411437</t>
  </si>
  <si>
    <t>Сплит-система ASYG12KETA/AOYG12KETA</t>
  </si>
  <si>
    <t>https://klimatprof.online/upload/iblock/a5c/bwut2ex69je29x4aomv3c3c3tfbo02nb/whiteB-R.png</t>
  </si>
  <si>
    <t>https://klimatprof.online/upload/iblock/f72/o51vbowh2bmi4daa66taln1vji7ozo1y/PHD_AOY077_01H_01.png | https://klimatprof.online/upload/iblock/bfc/ookzyk3m619r9adkw7730lvwi9em5wm2/Новый рисунок (42).bmp</t>
  </si>
  <si>
    <t>c00411443</t>
  </si>
  <si>
    <t>Сплит-система ASYG14KETA-B/AOYG14KETA</t>
  </si>
  <si>
    <t>https://klimatprof.online/upload/iblock/89e/2fg5nb08au4ccloxq9x7nuunw57ejrmw/silverB-R.png</t>
  </si>
  <si>
    <t>https://klimatprof.online/upload/iblock/2ee/9ci055d8a129v0gx12ehaixk3agevfiq/PHD_AOY077_01H_01.png | https://klimatprof.online/upload/iblock/fad/w3lh2wksgpyjcnlk30xau0rxf70uk147/Новый рисунок (42).bmp</t>
  </si>
  <si>
    <t>c00411442</t>
  </si>
  <si>
    <t>Сплит-система ASYG14KETA/AOYG14KETA</t>
  </si>
  <si>
    <t>https://klimatprof.online/upload/iblock/03c/0qcvyi9jyf8v32egfobu2avy1nqr5qon/whiteB-R.png</t>
  </si>
  <si>
    <t>https://klimatprof.online/upload/iblock/0e5/40tppo5gnusvyd6ce5xad3mh4sn8116p/PHD_AOY077_01H_01.png | https://klimatprof.online/upload/iblock/612/bvht0harut87ofn0w9mwtducan7hodd9/Новый рисунок (42).bmp</t>
  </si>
  <si>
    <t>b00373180</t>
  </si>
  <si>
    <t>Сплит-система ASYG09KXCA/AOYG09KXCA</t>
  </si>
  <si>
    <t>Nocria X</t>
  </si>
  <si>
    <t>https://klimatprof.online/upload/iblock/480/2343223523.jpg</t>
  </si>
  <si>
    <t>https://klimatprof.online/upload/iblock/6fe/nocriaX.jpg | https://klimatprof.online/upload/iblock/21e/5f2e2b45ab9a423c42dc934cc605a878.png | https://klimatprof.online/upload/iblock/8f8/3542523.png</t>
  </si>
  <si>
    <t>ASYG09KXCA/AOYG09KXCA</t>
  </si>
  <si>
    <t>ASYG09KXCA</t>
  </si>
  <si>
    <t>AOYG09KXCA</t>
  </si>
  <si>
    <t>A+++</t>
  </si>
  <si>
    <t>28/38/42/46</t>
  </si>
  <si>
    <t>b00375844</t>
  </si>
  <si>
    <t>Сплит-система ASYG12KXCA/AOYG12KXCA</t>
  </si>
  <si>
    <t>https://klimatprof.online/upload/iblock/82a/2343223523.jpg</t>
  </si>
  <si>
    <t>https://klimatprof.online/upload/iblock/195/nocriaX.jpg | https://klimatprof.online/upload/iblock/b3d/5f2e2b45ab9a423c42dc934cc605a878.png | https://klimatprof.online/upload/iblock/87c/3542523.png</t>
  </si>
  <si>
    <t>ASYG12KXCA/AOYG12KXCA</t>
  </si>
  <si>
    <t>ASYG12KXCA</t>
  </si>
  <si>
    <t>AOYG12KXCA</t>
  </si>
  <si>
    <t>3 х 4</t>
  </si>
  <si>
    <t>000331502</t>
  </si>
  <si>
    <t>Сплит-система ASYG18LFCA/AOYG18LFC</t>
  </si>
  <si>
    <t xml:space="preserve">Standard Inverter </t>
  </si>
  <si>
    <t>https://klimatprof.online/upload/iblock/12f/standard_inverter_indoor.png</t>
  </si>
  <si>
    <t>https://klimatprof.online/upload/iblock/44b/39498dab3355a11f3e1d866e7aa0374c.png | https://klimatprof.online/upload/iblock/364/8e865530ae4f056c651ec71b10db7199.png</t>
  </si>
  <si>
    <t>ASYG18LFCA/AOYG18LFC</t>
  </si>
  <si>
    <t>ASYG18LFCA</t>
  </si>
  <si>
    <t>AOYG18LFC</t>
  </si>
  <si>
    <t>GENERAL</t>
  </si>
  <si>
    <t>26/33/37/43</t>
  </si>
  <si>
    <t>000332212</t>
  </si>
  <si>
    <t>Сплит-система ASYG30LFCA/AOYG30LFT</t>
  </si>
  <si>
    <t>https://klimatprof.online/upload/iblock/cd8/standard_inverter_indoor.png</t>
  </si>
  <si>
    <t>https://klimatprof.online/upload/iblock/0fa/e745d569f9f9f56dd7fce4499436f707.png | https://klimatprof.online/upload/iblock/21b/a09703d6636592e52c51f6d5b9e7dacb.png</t>
  </si>
  <si>
    <t>ASYG30LFCA/AOYG30LFT</t>
  </si>
  <si>
    <t>ASYG30LFCA</t>
  </si>
  <si>
    <t>AOYG30LFT</t>
  </si>
  <si>
    <t>A+</t>
  </si>
  <si>
    <t>33/37/42/48</t>
  </si>
  <si>
    <t>Внутренние блоки настенного типа</t>
  </si>
  <si>
    <t>A</t>
  </si>
  <si>
    <t>e00424191</t>
  </si>
  <si>
    <t>PAC</t>
  </si>
  <si>
    <t>Сплит-система ASYG30KMTA/AOYG30KMTA</t>
  </si>
  <si>
    <t>Smart Design R32</t>
  </si>
  <si>
    <t>https://klimatprof.online/upload/iblock/60b/oba2r9is6sx3wt2xp9envk2u0yh6jsfv/fujitsu smart design.png</t>
  </si>
  <si>
    <t>https://klimatprof.online/upload/iblock/cde/c1iam2anng55hekybmuxd556styu3mu1/AOYZ14LBC.png | https://klimatprof.online/upload/iblock/13d/pfbnnpcss1tu1pz11u7kb21kbsf9yw1g/5f2e2b45ab9a423c42dc934cc605a878.png</t>
  </si>
  <si>
    <t>ASYG30KMTA/AOYG30KMTA</t>
  </si>
  <si>
    <t>ASYG30KMTA</t>
  </si>
  <si>
    <t>AOYG30KMTA</t>
  </si>
  <si>
    <t>33/40/44/50</t>
  </si>
  <si>
    <t>e00424192</t>
  </si>
  <si>
    <t>Сплит-система ASYG36KMTA/AOYG36KMTA</t>
  </si>
  <si>
    <t>ASYG36KMTA/AOYG36KMTA</t>
  </si>
  <si>
    <t>ASYG36KMTA</t>
  </si>
  <si>
    <t>AOYG36KMTA</t>
  </si>
  <si>
    <t>Внутренние блоки канального типа R32</t>
  </si>
  <si>
    <t>https://klimatprof.online/upload/iblock/391/Внутренний блок канальный узкопрофильный.png</t>
  </si>
  <si>
    <t>-</t>
  </si>
  <si>
    <t>25 / 32</t>
  </si>
  <si>
    <t>e00424223</t>
  </si>
  <si>
    <t>Сплит-система ARXG45KHTA/AOYG45KBTB</t>
  </si>
  <si>
    <t>Инверторные канальные высоконапорные сплит-системы R32</t>
  </si>
  <si>
    <t>https://klimatprof.online/upload/iblock/691/Канальные высоконапорные внутренний блок.png</t>
  </si>
  <si>
    <t>https://klimatprof.online/upload/iblock/159/Канальные высоконапорные наружный блок.png</t>
  </si>
  <si>
    <t>100–250</t>
  </si>
  <si>
    <t>40/43/47</t>
  </si>
  <si>
    <t>e00424225</t>
  </si>
  <si>
    <t>Сплит-система ARXG45KHTA/AOYG45KRTA</t>
  </si>
  <si>
    <t>3 / 380 / 50</t>
  </si>
  <si>
    <t>e00424224</t>
  </si>
  <si>
    <t>Сплит-система ARXG54KHTA/AOYG54KBTB</t>
  </si>
  <si>
    <t>e00424226</t>
  </si>
  <si>
    <t>Сплит-система ARXG54KHTA/AOYG54KRTA</t>
  </si>
  <si>
    <t>e00424177</t>
  </si>
  <si>
    <t>Сплит-система ARXG24KMLA/AOYG24KATA</t>
  </si>
  <si>
    <t>Инверторные канальные сплит-системы R32</t>
  </si>
  <si>
    <t>https://klimatprof.online/upload/iblock/169/Внутренний блок канальный средненапорный.png</t>
  </si>
  <si>
    <t>https://klimatprof.online/upload/iblock/a5b/Наружный блок канальный средненапорный.jpg</t>
  </si>
  <si>
    <t>30-150</t>
  </si>
  <si>
    <t>25/27/29/31</t>
  </si>
  <si>
    <t>e00424178</t>
  </si>
  <si>
    <t>Сплит-система ARXG30KMLA/AOYG30KATA</t>
  </si>
  <si>
    <t>26/30/35/39</t>
  </si>
  <si>
    <t>e00424179</t>
  </si>
  <si>
    <t>Сплит-система ARXG36KMLA/AOYG36KATA</t>
  </si>
  <si>
    <t>e00424181</t>
  </si>
  <si>
    <t>Сплит-система ARXG36KMLA/AOYG36KQTA</t>
  </si>
  <si>
    <t>3 / 400 / 50</t>
  </si>
  <si>
    <t>e00424180</t>
  </si>
  <si>
    <t>Сплит-система ARXG45KMLA/AOYG45KATA</t>
  </si>
  <si>
    <t>28/32/38/42</t>
  </si>
  <si>
    <t>e00424182</t>
  </si>
  <si>
    <t>Сплит-система ARXG45KMLA/AOYG45KQTA</t>
  </si>
  <si>
    <t>e00424227</t>
  </si>
  <si>
    <t>Сплит-система ARXG12KHTAP/AOYG12KBTB</t>
  </si>
  <si>
    <t>Инверторные канальные сплит-системы Smart Design R32</t>
  </si>
  <si>
    <t>https://klimatprof.online/upload/iblock/b33/SMARTdesign.png</t>
  </si>
  <si>
    <t>https://klimatprof.online/upload/iblock/35c/Наружный блок канальный средненапорный.jpg</t>
  </si>
  <si>
    <t>30–200</t>
  </si>
  <si>
    <t>24/26/27/32</t>
  </si>
  <si>
    <t>e00424228</t>
  </si>
  <si>
    <t>Сплит-система ARXG14KHTAP/AOYG14KBTB</t>
  </si>
  <si>
    <t>25/27/28/33</t>
  </si>
  <si>
    <t>e00424229</t>
  </si>
  <si>
    <t>Сплит-система ARXG18KHTAP/AOYG18KBTB</t>
  </si>
  <si>
    <t>20/22/25/28</t>
  </si>
  <si>
    <t>e00424230</t>
  </si>
  <si>
    <t>Сплит-система ARXG24KHTAP/AOYG24KBTB</t>
  </si>
  <si>
    <t>21/24/28/32</t>
  </si>
  <si>
    <t>e00424231</t>
  </si>
  <si>
    <t>Сплит-система ARXG30KHTAP/AOYG30KBTB</t>
  </si>
  <si>
    <t>29/30/33/36</t>
  </si>
  <si>
    <t>e00424232</t>
  </si>
  <si>
    <t>Сплит-система ARXG36KHTAP/AOYG36KBTB</t>
  </si>
  <si>
    <t>26/28/31/36</t>
  </si>
  <si>
    <t>e00424233</t>
  </si>
  <si>
    <t>Сплит-система ARXG45KHTAP/AOYG45KBTB</t>
  </si>
  <si>
    <t>29/31/35/39</t>
  </si>
  <si>
    <t>e00424234</t>
  </si>
  <si>
    <t>Сплит-система ARXG54KHTAP/AOYG54KBTB</t>
  </si>
  <si>
    <t>c00406124</t>
  </si>
  <si>
    <t>Сплит-система ARYG45LHTA/AOYG45LATT</t>
  </si>
  <si>
    <t>Инверторные канальные сплит-системы высоконапорные</t>
  </si>
  <si>
    <t>https://klimatprof.online/upload/iblock/cef/f9e598558a48de0b4e9887228f6d1276.png</t>
  </si>
  <si>
    <t>https://klimatprof.online/upload/iblock/dc7/671e054d5b901c413b9742d046f36f6b.png | https://klimatprof.online/upload/iblock/722/FJ_pult.png</t>
  </si>
  <si>
    <t>ARYG45LHTA/AOYG45LATT</t>
  </si>
  <si>
    <t>ARYG45LHTA</t>
  </si>
  <si>
    <t>AOYG45LATT</t>
  </si>
  <si>
    <t>TOSHIBA</t>
  </si>
  <si>
    <t>c00406115</t>
  </si>
  <si>
    <t>Сплит-система ARYG45LHTA/AOYG45LETL</t>
  </si>
  <si>
    <t>https://klimatprof.online/upload/iblock/5b7/d38a9a2fe879bc4fbb7983189c08612e.png</t>
  </si>
  <si>
    <t>https://klimatprof.online/upload/iblock/112/96e2025671c5979a37e1e53a1e464348.png | https://klimatprof.online/upload/iblock/62f/FJ_pult.png</t>
  </si>
  <si>
    <t>ARYG45LHTA/AOYG45LETL</t>
  </si>
  <si>
    <t>AOYG45LETL</t>
  </si>
  <si>
    <t>3 х 6</t>
  </si>
  <si>
    <t>c00406127</t>
  </si>
  <si>
    <t>Сплит-система ARYG54LHTA/AOYG54LATT</t>
  </si>
  <si>
    <t>https://klimatprof.online/upload/iblock/13a/1d8bd2fd37e32769a82ba8a8f238ac9f.png</t>
  </si>
  <si>
    <t>https://klimatprof.online/upload/iblock/445/0273f3b177d0fa61f3ef76a5cffa3124.png | https://klimatprof.online/upload/iblock/7b3/FJ_pult.png</t>
  </si>
  <si>
    <t>ARYG54LHTA/AOYG54LATT</t>
  </si>
  <si>
    <t>ARYG54LHTA</t>
  </si>
  <si>
    <t>AOYG54LATT</t>
  </si>
  <si>
    <t>k00231992</t>
  </si>
  <si>
    <t>Сплит-система ARYG54LHTA/AOYG54LETL</t>
  </si>
  <si>
    <t>https://klimatprof.online/upload/iblock/d04/74f442ae2b86956dffacd6c1c55e179a.png</t>
  </si>
  <si>
    <t>https://klimatprof.online/upload/iblock/6af/Fujitsu_outdoor_DCinvertor.png | https://klimatprof.online/upload/iblock/c94/FJ_pult.png</t>
  </si>
  <si>
    <t>c00406128</t>
  </si>
  <si>
    <t>Сплит-система ARYG60LHTA/AOYG60LATT</t>
  </si>
  <si>
    <t>https://klimatprof.online/upload/iblock/38b/ARYG60.jpg</t>
  </si>
  <si>
    <t>https://klimatprof.online/upload/iblock/8e6/Fujitsu_outdoor_DCinvertor.png | https://klimatprof.online/upload/iblock/3ce/FJ_pult.png</t>
  </si>
  <si>
    <t>ARYG60LHTA/AOYG60LATT</t>
  </si>
  <si>
    <t>ARYG60LHTA</t>
  </si>
  <si>
    <t>AOYG60LATT</t>
  </si>
  <si>
    <t>36/40/45</t>
  </si>
  <si>
    <t>c00406129</t>
  </si>
  <si>
    <t>Сплит-система ARYG72LHTA/AOYG72LRLA</t>
  </si>
  <si>
    <t>5 х 4</t>
  </si>
  <si>
    <t>39/41/43/46</t>
  </si>
  <si>
    <t>c00406130</t>
  </si>
  <si>
    <t>Сплит-система ARYG90LHTA/AOYG90LRLA</t>
  </si>
  <si>
    <t>40/42/44/47</t>
  </si>
  <si>
    <t>e00426032</t>
  </si>
  <si>
    <t>Сплит-система ARXG09KLLAP/AOYG09KATA</t>
  </si>
  <si>
    <t>Инверторные канальные узкопрофильные сплит-системы R32</t>
  </si>
  <si>
    <t>https://klimatprof.online/upload/iblock/b5c/Внутренний блок канальный узкопрофильный.png</t>
  </si>
  <si>
    <t>https://klimatprof.online/upload/iblock/d8a/Наружный блок канальный узкопрофильный.jpg</t>
  </si>
  <si>
    <t>0–90</t>
  </si>
  <si>
    <t>25/26/27/28</t>
  </si>
  <si>
    <t>e00424174</t>
  </si>
  <si>
    <t>Сплит-система ARXG12KLLAP/AOYG12KATA</t>
  </si>
  <si>
    <t>25/26/28/29</t>
  </si>
  <si>
    <t>e00424175</t>
  </si>
  <si>
    <t>Сплит-система ARXG14KLLAP/AOYG14KATA</t>
  </si>
  <si>
    <t>26/28/30/32</t>
  </si>
  <si>
    <t>e00424176</t>
  </si>
  <si>
    <t>Сплит-система ARXG18KLLAP/AOYG18KATA</t>
  </si>
  <si>
    <t>27/29/30/32</t>
  </si>
  <si>
    <t>c00406107</t>
  </si>
  <si>
    <t>Сплит-система AUYG30LRLE/UTGUGYAW/AOYG30LETL</t>
  </si>
  <si>
    <t>Инверторные кассетные сплит-системы</t>
  </si>
  <si>
    <t>https://klimatprof.online/upload/iblock/6fe/1ed7b53409b76d89f3c208f09179539f.png</t>
  </si>
  <si>
    <t>https://klimatprof.online/upload/iblock/f22/5c8053b5f74c11e0fc46c67553a04e8b.png | https://klimatprof.online/upload/iblock/b9d/FJ_pult.png</t>
  </si>
  <si>
    <t>AUYG30LRLE/UTGUGYAW/AOYG30LETL</t>
  </si>
  <si>
    <t>AUYG30LRLE</t>
  </si>
  <si>
    <t>AOYG30LETL</t>
  </si>
  <si>
    <t>UTGUGYAW</t>
  </si>
  <si>
    <t>32/36/38/40</t>
  </si>
  <si>
    <t>c00406119</t>
  </si>
  <si>
    <t>Сплит-система AUYG36LRLA/UTGUGYAW/AOYG36LATT</t>
  </si>
  <si>
    <t>https://klimatprof.online/upload/iblock/2a5/795265663c062e90b96d2f9f1ec2f15b.png</t>
  </si>
  <si>
    <t>https://klimatprof.online/upload/iblock/550/71c47827060b8b1917ed6e677386d029.png | https://klimatprof.online/upload/iblock/ba1/FJ_pult.png</t>
  </si>
  <si>
    <t>AUYG36LRLA/UTGUGYAW/AOYG36LATT</t>
  </si>
  <si>
    <t>AUYG36LRLA</t>
  </si>
  <si>
    <t>AOYG36LATT</t>
  </si>
  <si>
    <t>33/36/39/44</t>
  </si>
  <si>
    <t>c00406110</t>
  </si>
  <si>
    <t>Сплит-система AUYG36LRLE/UTGUGYAW/AOYG36LETL</t>
  </si>
  <si>
    <t>https://klimatprof.online/upload/iblock/7a0/1feed7f3ed974fc42f47dcb731e584b3.png</t>
  </si>
  <si>
    <t>https://klimatprof.online/upload/iblock/1d1/cf89bd93e87192dc4e1dc1e810fe4c34.png | https://klimatprof.online/upload/iblock/c75/FJ_pult.png</t>
  </si>
  <si>
    <t>AUYG36LRLE/UTGUGYAW/AOYG36LETL</t>
  </si>
  <si>
    <t>AUYG36LRLE</t>
  </si>
  <si>
    <t>AOYG36LETL</t>
  </si>
  <si>
    <t>32/36/38/43</t>
  </si>
  <si>
    <t>c00406122</t>
  </si>
  <si>
    <t>Сплит-система AUYG45LRLA/UTGUGYAW/AOYG45LATT</t>
  </si>
  <si>
    <t>https://klimatprof.online/upload/iblock/f76/23141f18c957da00293429fc605afbd2.png</t>
  </si>
  <si>
    <t>https://klimatprof.online/upload/iblock/c99/bbc77bcf2fe6f50c77358e064cfe3cc0.png | https://klimatprof.online/upload/iblock/501/FJ_pult.png</t>
  </si>
  <si>
    <t>AUYG45LRLA/UTGUGYAW/AOYG45LATT</t>
  </si>
  <si>
    <t>AUYG45LRLA</t>
  </si>
  <si>
    <t>36/40/42/46</t>
  </si>
  <si>
    <t>c00406113</t>
  </si>
  <si>
    <t>Сплит-система AUYG45LRLA/UTGUGYAW/AOYG45LETL</t>
  </si>
  <si>
    <t>https://klimatprof.online/upload/iblock/d5e/830db049fc5860e1e604783ee635bde0.png</t>
  </si>
  <si>
    <t>https://klimatprof.online/upload/iblock/61d/8c8472ac16bc5fcf14267599a3932a3a.png | https://klimatprof.online/upload/iblock/c86/FJ_pult.png</t>
  </si>
  <si>
    <t>AUYG45LRLA/UTGUGYAW/AOYG45LETL</t>
  </si>
  <si>
    <t>c00406126</t>
  </si>
  <si>
    <t>Сплит-система AUYG54LRLA/UTGUGYAW/AOYG54LATT</t>
  </si>
  <si>
    <t>https://klimatprof.online/upload/iblock/de1/675ff433d6c974b1bc7685e464b04351.png</t>
  </si>
  <si>
    <t>https://klimatprof.online/upload/iblock/94b/1445ae01d5bf3c0f9f7a90f993ee8038.png | https://klimatprof.online/upload/iblock/97a/FJ_pult.png</t>
  </si>
  <si>
    <t>AUYG54LRLA/UTGUGYAW/AOYG54LATT</t>
  </si>
  <si>
    <t>AUYG54LRLA</t>
  </si>
  <si>
    <t>37/41/43/47</t>
  </si>
  <si>
    <t>c00406117</t>
  </si>
  <si>
    <t>Сплит-система AUYG54LRLA/UTGUGYAW/AOYG54LETL</t>
  </si>
  <si>
    <t>https://klimatprof.online/upload/iblock/46b/2479d7f49b4f7737cf169ae6385a8b5d.png</t>
  </si>
  <si>
    <t>https://klimatprof.online/upload/iblock/fac/a58d1148522ffbb91eb5c99d7d79d922.png | https://klimatprof.online/upload/iblock/e19/FJ_pult.png</t>
  </si>
  <si>
    <t>AUYG54LRLA/UTGUGYAW/AOYG54LETL</t>
  </si>
  <si>
    <t>AOYG54LETL</t>
  </si>
  <si>
    <t>e00424157</t>
  </si>
  <si>
    <t>Сплит-система AUXG18KRLB/UTGUKYAW/AOYG18KATA</t>
  </si>
  <si>
    <t>Инверторные кассетные сплит-системы R32</t>
  </si>
  <si>
    <t>https://klimatprof.online/upload/iblock/fe1/Внутренний блок кассетный полноразмерный.png</t>
  </si>
  <si>
    <t>https://klimatprof.online/upload/iblock/71a/Наружный блок кассетный полноразмерный.jpg</t>
  </si>
  <si>
    <t>28/31/32/33</t>
  </si>
  <si>
    <t>e00424158</t>
  </si>
  <si>
    <t>Сплит-система AUXG24KRLB/UTGUKYAW/AOYG24KATA</t>
  </si>
  <si>
    <t>29/32/33/35</t>
  </si>
  <si>
    <t>e00424159</t>
  </si>
  <si>
    <t>Сплит-система AUXG30KRLB/UTGUKYAW/AOYG30KATA</t>
  </si>
  <si>
    <t>33/36/38/40</t>
  </si>
  <si>
    <t>e00424160</t>
  </si>
  <si>
    <t>Сплит-система AUXG36KRLB/UTGUKYAW/AOYG36KATA</t>
  </si>
  <si>
    <t>34/38/41/44</t>
  </si>
  <si>
    <t>e00424163</t>
  </si>
  <si>
    <t>Сплит-система AUXG36KRLB/UTGUKYAW/AOYG36KQTA</t>
  </si>
  <si>
    <t>e00424161</t>
  </si>
  <si>
    <t>Сплит-система AUXG45KRLB/UTGUKYAW/AOYG45KATA</t>
  </si>
  <si>
    <t>35/39/42/46</t>
  </si>
  <si>
    <t>e00424164</t>
  </si>
  <si>
    <t>Сплит-система AUXG45KRLB/UTGUKYAW/AOYG45KQTA</t>
  </si>
  <si>
    <t>e00424162</t>
  </si>
  <si>
    <t>Сплит-система AUXG54KRLB/UTGUKYAW/AOYG54KATA</t>
  </si>
  <si>
    <t>36/40/43/47</t>
  </si>
  <si>
    <t>e00424165</t>
  </si>
  <si>
    <t>Сплит-система AUXG54KRLB/UTGUKYAW/AOYG54KQTA</t>
  </si>
  <si>
    <t>c00406097</t>
  </si>
  <si>
    <t>Сплит-система AUYG12LVLB/UTGUFYDW/AOYG12LALL</t>
  </si>
  <si>
    <t>Инверторные компактные кассетные сплит-системы</t>
  </si>
  <si>
    <t>https://klimatprof.online/upload/iblock/e91/304fb707a859ebed59d3884c997e12ca (1).png</t>
  </si>
  <si>
    <t>https://klimatprof.online/upload/iblock/bf5/bc32fd8612dffc0a83cfde16d9d7f614.png | https://klimatprof.online/upload/iblock/2ed/59ad0831c9f1dcb5243a295db0736fab.png</t>
  </si>
  <si>
    <t>AUYG12LVLB/UTGUFYDW/AOYG12LALL</t>
  </si>
  <si>
    <t>AUYG12LVLB</t>
  </si>
  <si>
    <t>AOYG12LALL</t>
  </si>
  <si>
    <t>UTGUFYDW</t>
  </si>
  <si>
    <t>27/30/34/37</t>
  </si>
  <si>
    <t>c00406099</t>
  </si>
  <si>
    <t>Сплит-система AUYG14LVLB/UTGUFYDW/AOYG14LALL</t>
  </si>
  <si>
    <t>https://klimatprof.online/upload/iblock/c20/95b9a42c5e0a723480e463ceb57f4cd6.png</t>
  </si>
  <si>
    <t>https://klimatprof.online/upload/iblock/c57/0d421c3adff31298e29160dbd7283b9d.png | https://klimatprof.online/upload/iblock/f9e/b32bca7ed19d3e9d01470dc43c288aae.png</t>
  </si>
  <si>
    <t>AUYG14LVLB/UTGUFYDW/AOYG14LALL</t>
  </si>
  <si>
    <t>AUYG14LVLB</t>
  </si>
  <si>
    <t>AOYG14LALL</t>
  </si>
  <si>
    <t>c00406669</t>
  </si>
  <si>
    <t>Сплит-система AUYG18LVLB/UTGUFYDW/AOYG18LBCB</t>
  </si>
  <si>
    <t>https://klimatprof.online/upload/iblock/5d8/e1fddd1e7f5e7f55979f55cb74acf061.png</t>
  </si>
  <si>
    <t>https://klimatprof.online/upload/iblock/e16/b46fe45a78637468f3a81edefc7ed072.png | https://klimatprof.online/upload/iblock/b51/cbb3f61ead3c8d068a517385963949e4.png</t>
  </si>
  <si>
    <t>26/30/34/38</t>
  </si>
  <si>
    <t>c00406671</t>
  </si>
  <si>
    <t>Сплит-система AUYG24LVLA/UTGUFYDW/AOYG24LBCB</t>
  </si>
  <si>
    <t>https://klimatprof.online/upload/iblock/cdc/e1fddd1e7f5e7f55979f55cb74acf061.png</t>
  </si>
  <si>
    <t>https://klimatprof.online/upload/iblock/09a/cbb3f61ead3c8d068a517385963949e4.png | https://klimatprof.online/upload/iblock/5cb/b46fe45a78637468f3a81edefc7ed072.png</t>
  </si>
  <si>
    <t>30/36/44/49</t>
  </si>
  <si>
    <t>e00424153</t>
  </si>
  <si>
    <t>Сплит-система AUXG12KVLA/UTGUFYFW/AOYG12KATA</t>
  </si>
  <si>
    <t>Инверторные компактные кассетные сплит-системы R32</t>
  </si>
  <si>
    <t xml:space="preserve">	 Компактные кассетные кондиционеры Fujitsu подойдут для помещений с подвесными потолками с малой высотой запотолочного пространства. Малые габариты внутреннего блока и уменьшенные размеры новой декоративной панели позволяют идеально вписать такие блоки в одну ячейку потолка евростандарта.	 Оригинальная разработка Fujitsu – двухкаскадный турбовентилятор – увеличивает эффективность теплообмена за счет более равномерного воздушного потока вокруг теплообменника внутреннего блока и обеспечивает более равномерное распределение воздуха.	 Опционально доступна возможность подключения системы подмеса свежего воздуха.	 Компактные кассетные кондиционеры работают на экологически безопасном хладагенте R32	 В стандартную комплектацию входит дренажная помпа (высота подъема конденсата 700 мм)	 Пульт управления в комплект поставки не входит</t>
  </si>
  <si>
    <t>https://klimatprof.online/upload/iblock/593/Внутренний блок кассетный компактный.png</t>
  </si>
  <si>
    <t>https://klimatprof.online/upload/iblock/13f/Наружный блок кассетный компактный.jpg</t>
  </si>
  <si>
    <t>e00424154</t>
  </si>
  <si>
    <t>Сплит-система AUXG14KVLA/UTGUFYFW/AOYG14KATA</t>
  </si>
  <si>
    <t>27/30/34/38</t>
  </si>
  <si>
    <t>e00424155</t>
  </si>
  <si>
    <t>Сплит-система AUXG18KVLA/UTGUFYFW/AOYG18KATA</t>
  </si>
  <si>
    <t>e00424156</t>
  </si>
  <si>
    <t>Сплит-система AUXG24KVLA/UTGUFYFW/AOYG24KATA</t>
  </si>
  <si>
    <t>e00424150</t>
  </si>
  <si>
    <t>Сплит-система AGYG09KVCA/AOYG09KVCA</t>
  </si>
  <si>
    <t>Инверторные напольные сплит-системы R32</t>
  </si>
  <si>
    <t>https://klimatprof.online/upload/iblock/d8e/внутренний блок напольный.png</t>
  </si>
  <si>
    <t>https://klimatprof.online/upload/iblock/29e/наружный блок напольный.jpg</t>
  </si>
  <si>
    <t>22/29/35/40</t>
  </si>
  <si>
    <t>e00424151</t>
  </si>
  <si>
    <t>Сплит-система AGYG12KVCA/AOYG12KVCA</t>
  </si>
  <si>
    <t>e00424152</t>
  </si>
  <si>
    <t>Сплит-система AGYG14KVCA/AOYG14KVCA</t>
  </si>
  <si>
    <t>22/31/38/44</t>
  </si>
  <si>
    <t>e00424166</t>
  </si>
  <si>
    <t>Сплит-система ABYG18KRTA/AOYG18KATA</t>
  </si>
  <si>
    <t>Инверторные потолочные сплит-системы R32</t>
  </si>
  <si>
    <t>https://klimatprof.online/upload/iblock/ba1/Подпотолочный внутренний блок.png</t>
  </si>
  <si>
    <t>https://klimatprof.online/upload/iblock/9f8/Подпотолочный наружный блок.jpg</t>
  </si>
  <si>
    <t>31/33/36/38</t>
  </si>
  <si>
    <t>e00424167</t>
  </si>
  <si>
    <t>Сплит-система ABYG24KRTA/AOYG24KATA</t>
  </si>
  <si>
    <t>6 (A+)</t>
  </si>
  <si>
    <t>29/32/36/41</t>
  </si>
  <si>
    <t>e00424168</t>
  </si>
  <si>
    <t>Сплит-система ABYG30KRTA/AOYG30KATA</t>
  </si>
  <si>
    <t>32/35/40/45</t>
  </si>
  <si>
    <t>e00424169</t>
  </si>
  <si>
    <t>Сплит-система ABYG36KRTA/AOYG36KATA</t>
  </si>
  <si>
    <t>32/37/40/44</t>
  </si>
  <si>
    <t>e00424171</t>
  </si>
  <si>
    <t>Сплит-система ABYG36KRTA/AOYG36KQTA</t>
  </si>
  <si>
    <t>e00424170</t>
  </si>
  <si>
    <t>Сплит-система ABYG45KRTA/AOYG45KATA</t>
  </si>
  <si>
    <t>34/39/41/45</t>
  </si>
  <si>
    <t>e00424172</t>
  </si>
  <si>
    <t>Сплит-система ABYG45KRTA/AOYG45KQTA</t>
  </si>
  <si>
    <t>Сплит-система ABYG54KRTA/AOYG54KATA</t>
  </si>
  <si>
    <t>31/39/41/45</t>
  </si>
  <si>
    <t>e00424173</t>
  </si>
  <si>
    <t>Сплит-система ABYG54KRTA/AOYG54KQTA</t>
  </si>
  <si>
    <t>000192078</t>
  </si>
  <si>
    <t>Блок наружный AOYG36LATT</t>
  </si>
  <si>
    <t>Наружные блоки мультисплит-систем Inverter</t>
  </si>
  <si>
    <t xml:space="preserve">	 Использование полупромышленных мультисплит-систем является наиболее оптимальным для кондиционирования больших монообъемных помещений. Гибкость размещения внутренних блоков позволяет использовать синхронные мультисплит-системы для кондиционирования помещений с нестандартной планировкой.</t>
  </si>
  <si>
    <t>https://klimatprof.online/upload/iblock/e9a/d7413a381d86209cf41fb7acbf1425cb.png</t>
  </si>
  <si>
    <t>от1 до 2</t>
  </si>
  <si>
    <t>000186028</t>
  </si>
  <si>
    <t>Блок наружный AOYG54LATT</t>
  </si>
  <si>
    <t>https://klimatprof.online/upload/iblock/1b6/Fujitsu_outdoor_DCinvertor.png</t>
  </si>
  <si>
    <t>от 1 до 3</t>
  </si>
  <si>
    <t>b00376936</t>
  </si>
  <si>
    <t>Блок наружный AOYG72LRLA</t>
  </si>
  <si>
    <t>Наружные блоки синхронных мультисплит-систем</t>
  </si>
  <si>
    <t>https://klimatprof.online/upload/iblock/4b6/Fujitsu_outdoor_DCinvertor.png</t>
  </si>
  <si>
    <t>5 х 6</t>
  </si>
  <si>
    <t>b00376937</t>
  </si>
  <si>
    <t>Блок наружный AOYG90LRLA</t>
  </si>
  <si>
    <t>https://klimatprof.online/upload/iblock/efa/Fujitsu_outdoor_DCinvertor.png</t>
  </si>
  <si>
    <t>000207656</t>
  </si>
  <si>
    <t>MULTY</t>
  </si>
  <si>
    <t>Блок внутренний ARYG24LMLA</t>
  </si>
  <si>
    <t>Внутренние блоки канального типа</t>
  </si>
  <si>
    <t>https://klimatprof.online/upload/iblock/4cf/21835991a9a5093358e518599c261a7c.png</t>
  </si>
  <si>
    <t>https://klimatprof.online/upload/iblock/614/3fbee1dcfbdb1d04d62c61006b5bdb54.png</t>
  </si>
  <si>
    <t>ARYG24LMLA</t>
  </si>
  <si>
    <t>000231798</t>
  </si>
  <si>
    <t>Блок внутренний кондиционера канального ARYG22LMLA</t>
  </si>
  <si>
    <t>https://klimatprof.online/upload/iblock/5d5/fc9ebe63a2767fc64595cc3bf3a8d43c.png</t>
  </si>
  <si>
    <t>https://klimatprof.online/upload/iblock/9df/5dc64f96bd9f81f9e1873a70312e3a10.png</t>
  </si>
  <si>
    <t>ARYG22LMLA</t>
  </si>
  <si>
    <t>e00423055</t>
  </si>
  <si>
    <t>Блок внутренний ARXG07KLLAP</t>
  </si>
  <si>
    <t>0-90</t>
  </si>
  <si>
    <t>28/26/25/24</t>
  </si>
  <si>
    <t>000191925</t>
  </si>
  <si>
    <t>Блок внутренний ARYG07LLTA</t>
  </si>
  <si>
    <t>Внутренние блоки канального типа узкопрофильные</t>
  </si>
  <si>
    <t>https://klimatprof.online/upload/iblock/f82/ARYG12LLTB.png</t>
  </si>
  <si>
    <t>https://klimatprof.online/upload/iblock/5b4/548eafe826775dd55428d822b2cf5a4b.png</t>
  </si>
  <si>
    <t>000185843</t>
  </si>
  <si>
    <t>Блок внутренний ARYG09LLTA</t>
  </si>
  <si>
    <t>https://klimatprof.online/upload/iblock/6f2/ARYG12LLTB.png</t>
  </si>
  <si>
    <t>https://klimatprof.online/upload/iblock/e7d/asgzvflk6645fpn1mq7om8rd3l3a8og4/uty-rnnym.png</t>
  </si>
  <si>
    <t>28/27/26/25</t>
  </si>
  <si>
    <t>000192080</t>
  </si>
  <si>
    <t>Блок внутренний ARYG12LLTB</t>
  </si>
  <si>
    <t>https://klimatprof.online/upload/iblock/795/ARYG12LLTB.png</t>
  </si>
  <si>
    <t>https://klimatprof.online/upload/iblock/3ba/130d1d4a6a880aaee5580ff4b375ee6f.png</t>
  </si>
  <si>
    <t>ARYG12LLTB</t>
  </si>
  <si>
    <t>000185985</t>
  </si>
  <si>
    <t>Блок внутренний ARYG14LLTB</t>
  </si>
  <si>
    <t>https://klimatprof.online/upload/iblock/587/ARYG12LLTB.png</t>
  </si>
  <si>
    <t>https://klimatprof.online/upload/iblock/76b/11a0be710e560b7eb8c0d1b2d2da8a06.png</t>
  </si>
  <si>
    <t>000192111</t>
  </si>
  <si>
    <t>Блок внутренний ARYG18LLTB</t>
  </si>
  <si>
    <t>https://klimatprof.online/upload/iblock/ce6/ARYG12LLTB.png</t>
  </si>
  <si>
    <t>https://klimatprof.online/upload/iblock/e55/39be8d094aceb12a85df824025718dc2.png</t>
  </si>
  <si>
    <t>e00423050</t>
  </si>
  <si>
    <t>Блок внутренний AUXG07KVLA</t>
  </si>
  <si>
    <t>Внутренние блоки кассетного типа R32</t>
  </si>
  <si>
    <t xml:space="preserve">	 Компактные кассетные кондиционеры Fujitsu подойдут для помещений с подвесными потолками с малой высотой запотолочного пространства. Малые габариты внутреннего блока и уменьшенные размеры новой декоративной панели позволяют идеально вписать такие блоки в одну ячейку потолка евростандарта.	 Оригинальная разработка Fujitsu – двухкаскадный турбовентилятор – увеличивает эффективность теплообмена за счет более равномерного воздушного потока вокруг теплообменника внутреннего блока и обеспечивает более равномерное распределение воздуха.	 Опционально доступна возможность подключения системы подмеса свежего воздуха.	 Компактные кассетные кондиционеры работают на экологически безопасном хладагенте R32	 В стандартную комплектацию входит дренажная помпа (высота подъема конденсата 700 мм)	 Пульт управления в комплект поставки не входит	Опциональные системы управления:	Пульт управления проводной UTYRNRYZ3	Пульт управления проводной UTYRNRYZ5	Пульт управления проводной UTYRCRYZ1	Пульт управления беспроводной UTYLNTY	Пульт управления проводной упрощенный UTYRSRY	Контроллер Wi-Fi UTYTFSXZ1</t>
  </si>
  <si>
    <t>https://klimatprof.online/upload/iblock/6ba/Внутренний блок кассетный компактный.png</t>
  </si>
  <si>
    <t>27/29/31/33</t>
  </si>
  <si>
    <t>e00423051</t>
  </si>
  <si>
    <t>Блок внутренний AUXG09KVLA</t>
  </si>
  <si>
    <t>e00423052</t>
  </si>
  <si>
    <t>Блок внутренний AUXG12KVLA</t>
  </si>
  <si>
    <t>e00423053</t>
  </si>
  <si>
    <t>Блок внутренний AUXG14KVLA</t>
  </si>
  <si>
    <t>e00422916</t>
  </si>
  <si>
    <t>Блок внутренний AUXG18KVLA</t>
  </si>
  <si>
    <t>000185839</t>
  </si>
  <si>
    <t>Блок внутренний AUYG07LVLA</t>
  </si>
  <si>
    <t>Внутренние блоки кассетного типа компактные</t>
  </si>
  <si>
    <t>https://klimatprof.online/upload/iblock/243/024c275d0a5fcf95176c5077a6dd171d.png</t>
  </si>
  <si>
    <t>https://klimatprof.online/upload/iblock/27e/9dbf5e1f6a32b295ae595e0e9060da4c.png</t>
  </si>
  <si>
    <t>33/31/29/27</t>
  </si>
  <si>
    <t>000231799</t>
  </si>
  <si>
    <t>Блок внутренний AUYG22LVLA</t>
  </si>
  <si>
    <t>https://klimatprof.online/upload/iblock/52b/e6553904a5bf2bf809d7628399265d3d.png</t>
  </si>
  <si>
    <t>https://klimatprof.online/upload/iblock/a81/9dbf5e1f6a32b295ae595e0e9060da4c.png</t>
  </si>
  <si>
    <t>000191928</t>
  </si>
  <si>
    <t>Блок внутренний ABYG14LVTA</t>
  </si>
  <si>
    <t>Внутренние блоки напольно-потолочного типа</t>
  </si>
  <si>
    <t>https://klimatprof.online/upload/iblock/e58/e15c831730884325785a3b0f727a351f.png</t>
  </si>
  <si>
    <t>https://klimatprof.online/upload/iblock/0bb/fa09de408690ea2749dcf3c6e1c01fe1.png</t>
  </si>
  <si>
    <t>000192118</t>
  </si>
  <si>
    <t>Блок внутренний ABYG18LVTB</t>
  </si>
  <si>
    <t>https://klimatprof.online/upload/iblock/49a/universal_indoor_block.jpg</t>
  </si>
  <si>
    <t>https://klimatprof.online/upload/iblock/e70/adbe234014df801142e09b745988c693.png</t>
  </si>
  <si>
    <t>000224175</t>
  </si>
  <si>
    <t>Блок внутренний ABYG22LVTA</t>
  </si>
  <si>
    <t>https://klimatprof.online/upload/iblock/c0f/universal_indoor_block.jpg</t>
  </si>
  <si>
    <t>https://klimatprof.online/upload/iblock/efc/f9c189c8ddc2bdf060b66d27dd1fb278.png</t>
  </si>
  <si>
    <t>000224176</t>
  </si>
  <si>
    <t>Блок внутренний ABYG24LVTA</t>
  </si>
  <si>
    <t>https://klimatprof.online/upload/iblock/9d4/universal_indoor_block.jpg</t>
  </si>
  <si>
    <t>https://klimatprof.online/upload/iblock/234/60ae03e0ceabf081e64996a2613bb59b.png</t>
  </si>
  <si>
    <t>000185963</t>
  </si>
  <si>
    <t>Блок внутренний AGYG09LVCA</t>
  </si>
  <si>
    <t>Внутренние блоки напольного типа</t>
  </si>
  <si>
    <t>https://klimatprof.online/upload/iblock/93b/a3a522b665d8034cd0f466a5b4768f0a.png</t>
  </si>
  <si>
    <t>https://klimatprof.online/upload/iblock/9d2/49deef9593c65c686f7b6889f84e5e80.png</t>
  </si>
  <si>
    <t>AGYG09LVCA</t>
  </si>
  <si>
    <t>000185969</t>
  </si>
  <si>
    <t>Блок внутренний AGYG12LVCA</t>
  </si>
  <si>
    <t>https://klimatprof.online/upload/iblock/8bd/5fc173d5c717d1140c1c8ccf8ba8fe9d.png</t>
  </si>
  <si>
    <t>https://klimatprof.online/upload/iblock/2b7/b4f96e27d98efe510cd8bf5522bef8e8.png</t>
  </si>
  <si>
    <t>AGYG12LVCA</t>
  </si>
  <si>
    <t>000185975</t>
  </si>
  <si>
    <t>Блок внутренний AGYG14LVCA</t>
  </si>
  <si>
    <t>https://klimatprof.online/upload/iblock/2e6/f23e3599c1c0d7dcefd59b11502b5646.png</t>
  </si>
  <si>
    <t>https://klimatprof.online/upload/iblock/ae5/f1304467e2a15256061f13acffe30638.png</t>
  </si>
  <si>
    <t>AGYG14LVCA</t>
  </si>
  <si>
    <t>000192074</t>
  </si>
  <si>
    <t>Блок наружный AOYG45LATT</t>
  </si>
  <si>
    <t>https://klimatprof.online/upload/iblock/1c9/AOYG45LATT.png</t>
  </si>
  <si>
    <t>3.53 (A)</t>
  </si>
  <si>
    <t>3.91 (A)</t>
  </si>
  <si>
    <t>c00411923</t>
  </si>
  <si>
    <t>Блок наружный AOYG14KBTA2</t>
  </si>
  <si>
    <t>https://klimatprof.online/upload/iblock/bdf/18-2.png</t>
  </si>
  <si>
    <t>c00411924</t>
  </si>
  <si>
    <t>Блок наружный AOYG18KBTA2</t>
  </si>
  <si>
    <t>e00423007</t>
  </si>
  <si>
    <t>Блок наружный AOYG18KBTA3</t>
  </si>
  <si>
    <t>e00423008</t>
  </si>
  <si>
    <t>Блок наружный AOYG24KBTA3</t>
  </si>
  <si>
    <t>e00423009</t>
  </si>
  <si>
    <t>Блок наружный AOYG30KBTA4</t>
  </si>
  <si>
    <t>e00423010</t>
  </si>
  <si>
    <t>Блок наружный AOYG36KBTA5</t>
  </si>
  <si>
    <t>000186037</t>
  </si>
  <si>
    <t>Блок наружный AOYG14LAC2</t>
  </si>
  <si>
    <t>https://klimatprof.online/upload/iblock/54b/FJ_outdoor_multisplit_2-3-4.png</t>
  </si>
  <si>
    <t>AOYG14LAC2</t>
  </si>
  <si>
    <t>R410</t>
  </si>
  <si>
    <t>000186038</t>
  </si>
  <si>
    <t>Блок наружный AOYG18LAC2</t>
  </si>
  <si>
    <t>https://klimatprof.online/upload/iblock/857/87829cfd0f457580cb50d8ced72daa77.png</t>
  </si>
  <si>
    <t>AOYG18LAC2</t>
  </si>
  <si>
    <t>000186039</t>
  </si>
  <si>
    <t>Блок наружный AOYG18LAT3</t>
  </si>
  <si>
    <t>https://klimatprof.online/upload/iblock/38a/bb9e6037123480b4c0654ac013d936dd.png</t>
  </si>
  <si>
    <t>AOYG18LAT3</t>
  </si>
  <si>
    <t>000186040</t>
  </si>
  <si>
    <t>Блок наружный AOYG24LAT3</t>
  </si>
  <si>
    <t>https://klimatprof.online/upload/iblock/b05/498a546c3d7dc2260848dfe2d818c3db.png</t>
  </si>
  <si>
    <t>AOYG24LAT3</t>
  </si>
  <si>
    <t>000186041</t>
  </si>
  <si>
    <t>Блок наружный AOYG30LAT4</t>
  </si>
  <si>
    <t>https://klimatprof.online/upload/iblock/7ae/ffb4c91e6f79400def0f34ccc669efea.png</t>
  </si>
  <si>
    <t>4 (А+)</t>
  </si>
  <si>
    <t>AOYG30LAT4</t>
  </si>
  <si>
    <t>SCI</t>
  </si>
  <si>
    <t>b00376341</t>
  </si>
  <si>
    <t>Блок наружный AOYG36LBLA5</t>
  </si>
  <si>
    <t>https://klimatprof.online/upload/iblock/4e9/6546546.png</t>
  </si>
  <si>
    <t>7 (А++)</t>
  </si>
  <si>
    <t>AOYG36LBLA5</t>
  </si>
  <si>
    <t>b00376342</t>
  </si>
  <si>
    <t>Блок наружный AOYG45LBLA6</t>
  </si>
  <si>
    <t>https://klimatprof.online/upload/iblock/0e6/6546546.png</t>
  </si>
  <si>
    <t>4 (А)</t>
  </si>
  <si>
    <t>AOYG45LBLA6</t>
  </si>
  <si>
    <t>000198419</t>
  </si>
  <si>
    <t>Блок наружный AOYG45LBT8</t>
  </si>
  <si>
    <t>Наружные блоки мультисплит-систем Inverter для 8 помещений</t>
  </si>
  <si>
    <t>https://klimatprof.online/upload/iblock/3a9/6565609134415266f1ce655806e21d0c.png</t>
  </si>
  <si>
    <t>AOYG45LBT8</t>
  </si>
  <si>
    <t>SANYO</t>
  </si>
  <si>
    <t>LESSAR</t>
  </si>
  <si>
    <t>c00406641</t>
  </si>
  <si>
    <t>Сплит-система LS-HE07KRA2/LU-HE07KRA2</t>
  </si>
  <si>
    <t>Amigo</t>
  </si>
  <si>
    <t>https://klimatprof.online/upload/iblock/098/Amigo-1.png</t>
  </si>
  <si>
    <t>https://klimatprof.online/upload/iblock/2a2/Amigo-2.png | https://klimatprof.online/upload/iblock/c54/Amigo-3.png</t>
  </si>
  <si>
    <t>GMCC</t>
  </si>
  <si>
    <t>e00423135</t>
  </si>
  <si>
    <t>Сплит-система LS-HE07KRA2A/LU-HE07KRA2A</t>
  </si>
  <si>
    <t>https://klimatprof.online/upload/iblock/2fc/Amigo-1.png</t>
  </si>
  <si>
    <t>https://klimatprof.online/upload/iblock/05f/amigo-out.jpg | https://klimatprof.online/upload/iblock/768/Amigo-3.png</t>
  </si>
  <si>
    <t>c00406642</t>
  </si>
  <si>
    <t>Сплит-система LS-HE09KRA2/LU-HE09KRA2</t>
  </si>
  <si>
    <t>e00423138</t>
  </si>
  <si>
    <t>Сплит-система LS-HE09KRA2A/LU-HE09KRA2A</t>
  </si>
  <si>
    <t>https://klimatprof.online/upload/iblock/105/Amigo-1.png</t>
  </si>
  <si>
    <t>https://klimatprof.online/upload/iblock/3b8/amigo-out.jpg | https://klimatprof.online/upload/iblock/b8f/Amigo-3.png</t>
  </si>
  <si>
    <t>c00406643</t>
  </si>
  <si>
    <t>Сплит-система LS-HE12KRA2/LU-HE12KRA2</t>
  </si>
  <si>
    <t>e00420555</t>
  </si>
  <si>
    <t>Сплит-система LS-HE12KRA2A/LU-HE12KRA2A</t>
  </si>
  <si>
    <t>e00420558</t>
  </si>
  <si>
    <t>Сплит-система LS-H07KPA2B/LU-H07KPA2B</t>
  </si>
  <si>
    <t>Cool+</t>
  </si>
  <si>
    <t>https://klimatprof.online/upload/iblock/e77/Cools_Plus_big.png</t>
  </si>
  <si>
    <t>https://klimatprof.online/upload/iblock/5ee/Cools_Plus_big.png | https://klimatprof.online/upload/iblock/447/outdoor1fan3_2018_big.png | https://klimatprof.online/upload/iblock/1cc/LZ-KDP-15.jpg</t>
  </si>
  <si>
    <t>e00423710</t>
  </si>
  <si>
    <t>Сплит-система LS-H07KPA2C/LU-H07KPA2C</t>
  </si>
  <si>
    <t>https://klimatprof.online/upload/iblock/5e2/Cools_Plus_big.png</t>
  </si>
  <si>
    <t>https://klimatprof.online/upload/iblock/183/amigo-out.jpg | https://klimatprof.online/upload/iblock/3a2/LZ-KDP-15.jpg</t>
  </si>
  <si>
    <t>e00423713</t>
  </si>
  <si>
    <t>Сплит-система LS-H09KPA2C/LU-H09KPA2C</t>
  </si>
  <si>
    <t>https://klimatprof.online/upload/iblock/c6f/Cools_Plus_big.png</t>
  </si>
  <si>
    <t>https://klimatprof.online/upload/iblock/566/amigo-out.jpg | https://klimatprof.online/upload/iblock/d7b/LZ-KDP-15.jpg</t>
  </si>
  <si>
    <t>b00380244</t>
  </si>
  <si>
    <t>Сплит-система LS-H12KPA2/LU-H12KPA2</t>
  </si>
  <si>
    <t>https://klimatprof.online/upload/iblock/2aa/Cools_Plus_big.png | https://klimatprof.online/upload/iblock/4ec/outdoor1fan3_2018_big.png | https://klimatprof.online/upload/iblock/8c3/LZ-KDP-15.jpg</t>
  </si>
  <si>
    <t>LS-H12KPA2/LU-H12KPA2</t>
  </si>
  <si>
    <t>LS-H12KPA2</t>
  </si>
  <si>
    <t>LU-H12KPA2</t>
  </si>
  <si>
    <t>b00380247</t>
  </si>
  <si>
    <t>Сплит-система LS-H18KPA2/LU-H18KPA2</t>
  </si>
  <si>
    <t>https://klimatprof.online/upload/iblock/1e5/Cools_Plus_big.png | https://klimatprof.online/upload/iblock/ce4/outdoor1fan3_2018_big.png | https://klimatprof.online/upload/iblock/bd3/LZ-KDP-15.jpg</t>
  </si>
  <si>
    <t>LS-H18KPA2/LU-H18KPA2</t>
  </si>
  <si>
    <t>LS-H18KPA2</t>
  </si>
  <si>
    <t>LU-H18KPA2</t>
  </si>
  <si>
    <t>b00380250</t>
  </si>
  <si>
    <t>Сплит-система LS-H24KPA2/LU-H24KPA2</t>
  </si>
  <si>
    <t>https://klimatprof.online/upload/iblock/c42/Cools_Plus_big.png | https://klimatprof.online/upload/iblock/e5f/outdoor1fan3_2018_big.png | https://klimatprof.online/upload/iblock/dc0/LZ-KDP-15.jpg</t>
  </si>
  <si>
    <t>LS-H24KPA2/LU-H24KPA2</t>
  </si>
  <si>
    <t>LS-H24KPA2</t>
  </si>
  <si>
    <t>LU-H24KPA2</t>
  </si>
  <si>
    <t>40/44/47</t>
  </si>
  <si>
    <t>b00380253</t>
  </si>
  <si>
    <t>Сплит-система LS-H28KPA2/LU-H28KPA2</t>
  </si>
  <si>
    <t>https://klimatprof.online/upload/iblock/2a6/Cools_Plus_big.png | https://klimatprof.online/upload/iblock/b8d/outdoor1fan3_2018_big.png | https://klimatprof.online/upload/iblock/596/LZ-KDP-15.jpg</t>
  </si>
  <si>
    <t>LS-H28KPA2/LU-H28KPA2</t>
  </si>
  <si>
    <t>LS-H28KPA2</t>
  </si>
  <si>
    <t>LU-H28KPA2</t>
  </si>
  <si>
    <t>40/47/50</t>
  </si>
  <si>
    <t>b00380256</t>
  </si>
  <si>
    <t>Сплит-система LS-H36KPA2/LU-H36KPA2</t>
  </si>
  <si>
    <t>https://klimatprof.online/upload/iblock/53e/Cools_Plus_big.png | https://klimatprof.online/upload/iblock/c6d/outdoor1fan3_2018_big.png | https://klimatprof.online/upload/iblock/d68/LZ-KDP-15.jpg</t>
  </si>
  <si>
    <t>LS-H36KPA2/LU-H36KPA2</t>
  </si>
  <si>
    <t>LS-H36KPA2</t>
  </si>
  <si>
    <t>LU-H36KPA2</t>
  </si>
  <si>
    <t>220В</t>
  </si>
  <si>
    <t>42/47/51</t>
  </si>
  <si>
    <t>e00431787</t>
  </si>
  <si>
    <t>Сплит-система LS-H07KFE2/LU-H07KFE2</t>
  </si>
  <si>
    <t>Cool+ R32</t>
  </si>
  <si>
    <t>https://klimatprof.online/upload/iblock/3ef/u9pnwc57xoxiw3hyiyfe2wogti2ztqma/Cools_Plus_big.png</t>
  </si>
  <si>
    <t>https://klimatprof.online/upload/iblock/91d/jyt5ab5xndfwp0284j46pilgcpsta5cn/amigo-out.jpg | https://klimatprof.online/upload/iblock/8f9/sohm87heaq1bji84rgyp70lzv0ogvtor/LZ-KDP-15.jpg</t>
  </si>
  <si>
    <t>e00431790</t>
  </si>
  <si>
    <t>Сплит-система LS-H09KFE2/LU-H09KFE2</t>
  </si>
  <si>
    <t>https://klimatprof.online/upload/iblock/f98/j92z369dgzzvj9xqz4etuzu40xi6ocap/Cools_Plus_big.png</t>
  </si>
  <si>
    <t>https://klimatprof.online/upload/iblock/079/cphl9oi17che4e93pyc4bc3qfx3l2nh1/amigo-out.jpg | https://klimatprof.online/upload/iblock/c0f/698d1is6swp60nzzye8y4lrfxl19s49j/LZ-KDP-15.jpg</t>
  </si>
  <si>
    <t>e00431793</t>
  </si>
  <si>
    <t>Сплит-система LS-H12KFE2/LU-H12KFE2</t>
  </si>
  <si>
    <t>https://klimatprof.online/upload/iblock/dba/ovv5je1bnrn47r6zsourhwa25p0ivcde/Cools_Plus_big.png</t>
  </si>
  <si>
    <t>https://klimatprof.online/upload/iblock/60e/1vgp86ockcx4i2lkxtekkmjb0m87hz3e/amigo-out.jpg | https://klimatprof.online/upload/iblock/df3/mmzcm94unt2kantocpo6o83wdg7ps5ao/LZ-KDP-15.jpg</t>
  </si>
  <si>
    <t>e00431796</t>
  </si>
  <si>
    <t>Сплит-система LS-H18KFE2/LU-H18KFE2</t>
  </si>
  <si>
    <t>https://klimatprof.online/upload/iblock/dc5/l5cx339ucljwn5euk72dbv44mx3qwr50/Cools_Plus_big.png</t>
  </si>
  <si>
    <t>https://klimatprof.online/upload/iblock/3a0/n3ds7r9n8co08ni3vjx4e5jjxie39j5g/amigo-out.jpg | https://klimatprof.online/upload/iblock/b1c/019b7zcshiuoed3nx4qcto60yf3h9jd5/LZ-KDP-15.jpg</t>
  </si>
  <si>
    <t>e00431799</t>
  </si>
  <si>
    <t>Сплит-система LS-H24KFE2/LU-H24KFE2</t>
  </si>
  <si>
    <t>https://klimatprof.online/upload/iblock/ab7/wlanv9dz7xamayef3qe4frgyisgrzi9m/Cools_Plus_big.png</t>
  </si>
  <si>
    <t>https://klimatprof.online/upload/iblock/f95/qxn4zcw2sw6hiwj4fnf3dxr48mu9sqpa/amigo-out.jpg | https://klimatprof.online/upload/iblock/8ff/jw76le15y9fzqrp03noc66tfb9mjci2l/LZ-KDP-15.jpg</t>
  </si>
  <si>
    <t>e00431586</t>
  </si>
  <si>
    <t>Сплит-система LS-HE09KNA2AD/LU-HE09KNA2AD</t>
  </si>
  <si>
    <t>Ego</t>
  </si>
  <si>
    <t>https://klimatprof.online/upload/iblock/a55/EGO.png</t>
  </si>
  <si>
    <t>https://klimatprof.online/upload/iblock/8d2/RAC_naruzhka.jpg | https://klimatprof.online/upload/iblock/9e7/pult_lessar.jpg</t>
  </si>
  <si>
    <t>21/22/32/38</t>
  </si>
  <si>
    <t>c00404209</t>
  </si>
  <si>
    <t>Сплит-система LS-HE12KNA2AB/LU-HE12KNA2AB</t>
  </si>
  <si>
    <t>https://klimatprof.online/upload/iblock/61e/EGO IDU 2019.jpg</t>
  </si>
  <si>
    <t>https://klimatprof.online/upload/iblock/24e/RAC_naruzhka.jpg | https://klimatprof.online/upload/iblock/94b/pult_lessar.jpg</t>
  </si>
  <si>
    <t>LS-HE12KNA2AB/LU-HE12KNA2AB</t>
  </si>
  <si>
    <t>LS-HE12KNA2AB</t>
  </si>
  <si>
    <t>LU-HE12KNA2AB</t>
  </si>
  <si>
    <t>e00430962</t>
  </si>
  <si>
    <t>Сплит-система LS-HE09KDE2/LU-HE09KDE2</t>
  </si>
  <si>
    <t>Enigma</t>
  </si>
  <si>
    <t>https://klimatprof.online/upload/iblock/a79/ussko71zozjcegdad1usa341b1c9sl1h/enigma.png</t>
  </si>
  <si>
    <t>https://klimatprof.online/upload/iblock/0dd/mfe83m7o44ke7w7557f3z31z7kjh88n8/Наруж_блок.jpg | https://klimatprof.online/upload/iblock/d4a/86oqre64bth85dc6r65ah0t1uizqh09l/пульт.jpg</t>
  </si>
  <si>
    <t>Gree</t>
  </si>
  <si>
    <t>27/33/38/40</t>
  </si>
  <si>
    <t>e00430963</t>
  </si>
  <si>
    <t>Сплит-система LS-HE12KDE2/LU-HE12KDE2</t>
  </si>
  <si>
    <t>26/33/37/41</t>
  </si>
  <si>
    <t>e00430964</t>
  </si>
  <si>
    <t>Сплит-система LS-HE18KDE2/LU-HE18KDE2</t>
  </si>
  <si>
    <t>34/38/42/44</t>
  </si>
  <si>
    <t>e00430965</t>
  </si>
  <si>
    <t>Сплит-система LS-HE24KDE2/LU-HE24KDE2</t>
  </si>
  <si>
    <t>34/38/43/48</t>
  </si>
  <si>
    <t>e00431515</t>
  </si>
  <si>
    <t>Сплит-система LS-HE09KCE2/LU-HE09KCE2</t>
  </si>
  <si>
    <t>FlexCool 2022</t>
  </si>
  <si>
    <t>https://klimatprof.online/upload/iblock/4d2/c5yurp5yzma3qjtdd0hgc8a2t08xhd8l/Flexcool-2022-1-web.png</t>
  </si>
  <si>
    <t>https://klimatprof.online/upload/iblock/932/87zbdc1y1oo7cu9c13qdhoxt8vj332hf/LU-HE09KBE2.jpg | https://klimatprof.online/upload/iblock/49c/adeduil67ijeb69bdihqs3m67o48dr7n/pult-2022.jpg</t>
  </si>
  <si>
    <t>e00431518</t>
  </si>
  <si>
    <t>Сплит-система LS-HE12KCE2/LU-HE12KCE2</t>
  </si>
  <si>
    <t>e00431521</t>
  </si>
  <si>
    <t>Сплит-система LS-HE18KCE2/LU-HE18KCE2</t>
  </si>
  <si>
    <t>41/37/31</t>
  </si>
  <si>
    <t>e00431524</t>
  </si>
  <si>
    <t>Сплит-система LS-HE24KCE2/LU-HE24KCE2</t>
  </si>
  <si>
    <t>e00423698</t>
  </si>
  <si>
    <t>Сплит-система LS-HE09KSE2/LU-HE09KSE2</t>
  </si>
  <si>
    <t>FlexCool R32</t>
  </si>
  <si>
    <t>https://klimatprof.online/upload/iblock/772/FlexCool_2.png</t>
  </si>
  <si>
    <t>https://klimatprof.online/upload/iblock/45e/345345.bmp | https://klimatprof.online/upload/iblock/5d1/34534534.bmp</t>
  </si>
  <si>
    <t>29/35/41</t>
  </si>
  <si>
    <t>e00423701</t>
  </si>
  <si>
    <t>Сплит-система LS-HE12KSE2/LU-HE12KSE2</t>
  </si>
  <si>
    <t>28/36/42</t>
  </si>
  <si>
    <t>e00423704</t>
  </si>
  <si>
    <t>Сплит-система LS-HE18KSE2/LU-HE18KSE2</t>
  </si>
  <si>
    <t>29/37/45</t>
  </si>
  <si>
    <t>e00422706</t>
  </si>
  <si>
    <t>Сплит-система LS-HE24KSE2/LU-HE24KSE2</t>
  </si>
  <si>
    <t>36/41/46</t>
  </si>
  <si>
    <t>e00420088</t>
  </si>
  <si>
    <t>Сплит-система LS-HE09KAE2/LU-HE09KAE2</t>
  </si>
  <si>
    <t>Tiger</t>
  </si>
  <si>
    <t>https://klimatprof.online/upload/iblock/1c8/2b824b22d9468b5f32eb33172c27e8cc.png</t>
  </si>
  <si>
    <t>https://klimatprof.online/upload/iblock/e0d/0de0bc9620d3008090bf169d9238d696.jpg | https://klimatprof.online/upload/iblock/afc/daf6652c9a29b8ff4caec49dd7ceb85f.jpg</t>
  </si>
  <si>
    <t>e00423933</t>
  </si>
  <si>
    <t>Сплит-система LS-HE09KAE2A/LU-HE09KAE2A</t>
  </si>
  <si>
    <t>e00420091</t>
  </si>
  <si>
    <t>Сплит-система LS-HE12KAE2/LU-HE12KAE2</t>
  </si>
  <si>
    <t>e00423707</t>
  </si>
  <si>
    <t>Сплит-система LS-HE12KAE2A/LU-HE12KAE2A</t>
  </si>
  <si>
    <t>e00432055</t>
  </si>
  <si>
    <t>Сплит-система LS-HE09KBE2/LU-HE09KBE2</t>
  </si>
  <si>
    <t>Tiger 2022</t>
  </si>
  <si>
    <t>https://klimatprof.online/upload/iblock/80e/pvie3d1rm59rj5ewwewtyad6f6kiukl9/Tiger_2022_1-Lit.jpg</t>
  </si>
  <si>
    <t>https://klimatprof.online/upload/iblock/48f/qx86c0ryu2dx0yvvnvdldg9dj01qc1b8/LU-HE09KBE2.jpg | https://klimatprof.online/upload/iblock/ad3/v6a9zjhxkjuliu8hq31044z641wumxrx/RG10(G).jpg</t>
  </si>
  <si>
    <t>e00432056</t>
  </si>
  <si>
    <t>Сплит-система LS-HE12KBE2/LU-HE12KBE2</t>
  </si>
  <si>
    <t>e00423739</t>
  </si>
  <si>
    <t>Сплит-система LS-HE96DTA4/LU-HE96DTA4</t>
  </si>
  <si>
    <t>https://klimatprof.online/upload/iblock/3eb/xqlvjqqssrco2icgpg7qnln1bkvoehwh/LS-H192DIA4.png</t>
  </si>
  <si>
    <t>https://klimatprof.online/upload/iblock/6f1/ryso9ylhhyay7yy91lrthak6auqzjuaf/Наружка 2 вентилятора.png</t>
  </si>
  <si>
    <t>50–200</t>
  </si>
  <si>
    <t>51/53/55</t>
  </si>
  <si>
    <t>c00408921</t>
  </si>
  <si>
    <t>Сплит-система LS-HE24BMA2/LU-HE24UMA2/LZ-B4KBA</t>
  </si>
  <si>
    <t>https://klimatprof.online/upload/iblock/e7c/2321321.png</t>
  </si>
  <si>
    <t>https://klimatprof.online/upload/iblock/3be/naruzh_EcoEnergy.jpg | https://klimatprof.online/upload/iblock/8e9/LZ-UPW_NEW.jpg</t>
  </si>
  <si>
    <t>38/45/51</t>
  </si>
  <si>
    <t>e00431548</t>
  </si>
  <si>
    <t>Сплит-система LS-HE24BVA2/LU-HE24UVA2/LZ-B4UB</t>
  </si>
  <si>
    <t>https://klimatprof.online/upload/iblock/33f/hxvi52flbz0pvbrsi004dhm2rju5a5so/lessar-kass.jpg</t>
  </si>
  <si>
    <t>https://klimatprof.online/upload/iblock/30a/snb38nz631msnw9w665til7tdyjzf9ln/Внешний блок.jpg | https://klimatprof.online/upload/iblock/a56/s8zuo4xu8jwalvmqljksifi41gycany0/LZ-UPW_NEW.jpg</t>
  </si>
  <si>
    <t>3 (B)</t>
  </si>
  <si>
    <t>4 (A)</t>
  </si>
  <si>
    <t>40/43/45</t>
  </si>
  <si>
    <t>c00408922</t>
  </si>
  <si>
    <t>Сплит-система LS-HE36BMA4/LU-HE36UMA4/LZ-B4KBA</t>
  </si>
  <si>
    <t>45/48/52</t>
  </si>
  <si>
    <t>e00429897</t>
  </si>
  <si>
    <t>Сплит-система LS-HE36BMA4A/LU-HE36UMA4A/LZ-B4UB</t>
  </si>
  <si>
    <t>https://klimatprof.online/upload/iblock/86b/2msbv3sk48zsjjrpyn0ej8d4oash71gj/1.jpg</t>
  </si>
  <si>
    <t>https://klimatprof.online/upload/iblock/106/df94mszxioqqt69z15yul6v17xz9zc47/Наружный блок.jpg | https://klimatprof.online/upload/iblock/03f/8eqvnrvri8p7lokoqk2ane9kgrv4b7yh/Пульт.jpg</t>
  </si>
  <si>
    <t>e00431549</t>
  </si>
  <si>
    <t>Сплит-система LS-HE36BVA4/LU-HE36UVA4/LZ-B4UB</t>
  </si>
  <si>
    <t>https://klimatprof.online/upload/iblock/451/f88sy91fjzdnid71pcbe0vqruujevsf1/lessar-kass.jpg</t>
  </si>
  <si>
    <t>https://klimatprof.online/upload/iblock/9d5/0jma4e8d9d8ibih0hu2401x3zi4jbnsr/Внешний блок.jpg | https://klimatprof.online/upload/iblock/e33/p43v0t5zbo261b1w4gn89r6oj1xaf711/LZ-UPW_NEW.jpg</t>
  </si>
  <si>
    <t>c00408923</t>
  </si>
  <si>
    <t>Сплит-система LS-HE48BMA4/LU-HE48UMA4/LZ-B4KBA</t>
  </si>
  <si>
    <t>46/49/52</t>
  </si>
  <si>
    <t>e00431550</t>
  </si>
  <si>
    <t>Сплит-система LS-HE48BVA4/LU-HE48UVA4/LZ-B4UB</t>
  </si>
  <si>
    <t>https://klimatprof.online/upload/iblock/5f9/idd7mtlh1gajoo65f706iyoxgne5hemi/lessar-kass.jpg</t>
  </si>
  <si>
    <t>https://klimatprof.online/upload/iblock/c40/hsmmh8gg7ibxd3atmsm86wp4hfc1v2s0/Внешний блок.jpg | https://klimatprof.online/upload/iblock/e4e/67imakagvttb4s8zlrwrm0qetuqzo3m1/LZ-UPW_NEW.jpg</t>
  </si>
  <si>
    <t>c00408924</t>
  </si>
  <si>
    <t>Сплит-система LS-HE55BMA4/LU-HE55UMA4/LZ-B4KBA</t>
  </si>
  <si>
    <t>44/48/53</t>
  </si>
  <si>
    <t>e00431551</t>
  </si>
  <si>
    <t>Сплит-система LS-HE55BVA4/LU-HE55UVA4/LZ-B4UB</t>
  </si>
  <si>
    <t>https://klimatprof.online/upload/iblock/8cf/2j8obxnpldtonryu5gajkucfr5n0fsni/lessar-kass.jpg</t>
  </si>
  <si>
    <t>https://klimatprof.online/upload/iblock/25e/ckuyvmu33iiucxcoug6b8hekpetqczed/Outer_block_EcoEnergy.jpg | https://klimatprof.online/upload/iblock/8ce/ytwipmzbq1g1xathf6qz9jk640txghfu/LZ-UPW_NEW.jpg</t>
  </si>
  <si>
    <t>c00408919</t>
  </si>
  <si>
    <t>Сплит-система LS-HE12BCOA2/LU-HE12UOA2/LZ-B4COBA</t>
  </si>
  <si>
    <t>https://klimatprof.online/upload/iblock/a30/inverternye-kompaktnye-kassetnye-split-sistemy-2018 (1).png</t>
  </si>
  <si>
    <t>https://klimatprof.online/upload/iblock/27a/wt6rwkff234p2i04ia3bwbgrygx532av/naruzh_EcoEnergy.jpg | https://klimatprof.online/upload/iblock/69f/uo1lh5i2vf5o6pn6csuildf3vdc13clt/Внешний блок.jpg | https://klimatprof.online/upload/iblock/677/5bm3ijk7jcbw7cdz6v885jqb86x9ymgd/LZ-UPW4_1_NEW.jpg</t>
  </si>
  <si>
    <t>34/38/42</t>
  </si>
  <si>
    <t>e00431546</t>
  </si>
  <si>
    <t>Сплит-система LS-HE12BCWA2/LU-HE12UWA2/LZ-B4COBA</t>
  </si>
  <si>
    <t>https://klimatprof.online/upload/iblock/195/78prrs0145vzip0uvnh9mweez6h34bw7/ls-he-bga2.jpg</t>
  </si>
  <si>
    <t>https://klimatprof.online/upload/iblock/f9d/be1r2o2mwt0cv28lydwtkv741z4jyrzd/Внешний блок.jpg | https://klimatprof.online/upload/iblock/b68/utfp1n5dndiiwt5txjm1kpw5ak3qsujw/LZ-UPW4_1_NEW.jpg</t>
  </si>
  <si>
    <t>35?/?38?/?42</t>
  </si>
  <si>
    <t>e00420208</t>
  </si>
  <si>
    <t>Сплит-система LS-HE18BCTA2/LU-HE18UTA2/LZ-B4COBA</t>
  </si>
  <si>
    <t>36/39/43</t>
  </si>
  <si>
    <t>e00431547</t>
  </si>
  <si>
    <t>Сплит-система LS-HE18BCWA2/LU-HE18UWA2/LZ-B4COBA</t>
  </si>
  <si>
    <t>https://klimatprof.online/upload/iblock/20a/8jxs0v1qjpn50tc4hp8mppmtd17jokrk/ls-he-bga2.jpg</t>
  </si>
  <si>
    <t>https://klimatprof.online/upload/iblock/038/wagiach9akpby7ql93gpc6dfa6oonp6e/Внешний блок.jpg | https://klimatprof.online/upload/iblock/651/5rn3bbzlvizvta5006b0a95ntkkh1fki/LZ-UPW4_1_NEW.jpg</t>
  </si>
  <si>
    <t>b00380278</t>
  </si>
  <si>
    <t>Сплит-система LS-HE18TOA2/LU-HE18UOA2</t>
  </si>
  <si>
    <t>Инверторные напольно-потолочные сплит-системы</t>
  </si>
  <si>
    <t>https://klimatprof.online/upload/iblock/35b/ls-he-tia2.jpg</t>
  </si>
  <si>
    <t>https://klimatprof.online/upload/iblock/b96/4534534.png | https://klimatprof.online/upload/iblock/974/LZ_UPW4.png</t>
  </si>
  <si>
    <t>LS-HE18TOA2/LU-HE18UOA2</t>
  </si>
  <si>
    <t>LS-HE18TOA2</t>
  </si>
  <si>
    <t>LU-HE18UOA2</t>
  </si>
  <si>
    <t>25/нет</t>
  </si>
  <si>
    <t>37/40/45</t>
  </si>
  <si>
    <t>e00420211</t>
  </si>
  <si>
    <t>Сплит-система LS-HE18TTA2/LU-HE18UTA2</t>
  </si>
  <si>
    <t>https://klimatprof.online/upload/iblock/324/invertornye-napolno-potolochnye-split-sistemy-lessar.png</t>
  </si>
  <si>
    <t>https://klimatprof.online/upload/iblock/65f/jl8g6iin3ta1jgfl67kczuqtks4l78pe/4534534.png | https://klimatprof.online/upload/iblock/687/1liqgn9cd7fdsrg2m2xha9bf4hndrepz/LZ-UPW4_1_NEW.jpg</t>
  </si>
  <si>
    <t>e00431552</t>
  </si>
  <si>
    <t>Сплит-система LS-HE18TWA2/LU-HE18UWA2</t>
  </si>
  <si>
    <t>https://klimatprof.online/upload/iblock/538/0ltoivykkstblfwi3125b9cid78xnb75/ls-he-tia2.jpg</t>
  </si>
  <si>
    <t>https://klimatprof.online/upload/iblock/1a8/21t0lfjizrjws0sv8vc2ppxhahc6by4k/Внешний блок.jpg | https://klimatprof.online/upload/iblock/30d/l2w6t94t01s80t22zwg11c3r49lfwd8q/LZ-UPW4_1_NEW.jpg</t>
  </si>
  <si>
    <t>b00380280</t>
  </si>
  <si>
    <t>Сплит-система LS-HE24TOA2/LU-HE24UOA2</t>
  </si>
  <si>
    <t>https://klimatprof.online/upload/iblock/0f2/ls-he-tia2.jpg</t>
  </si>
  <si>
    <t>https://klimatprof.online/upload/iblock/762/4534534.png | https://klimatprof.online/upload/iblock/578/LZ_UPW4.png</t>
  </si>
  <si>
    <t>LS-HE24TOA2/LU-HE24UOA2</t>
  </si>
  <si>
    <t>LS-HE24TOA2</t>
  </si>
  <si>
    <t>LU-HE24UOA2</t>
  </si>
  <si>
    <t>B</t>
  </si>
  <si>
    <t>41/46/50</t>
  </si>
  <si>
    <t>e00431553</t>
  </si>
  <si>
    <t>Сплит-система LS-HE24TWA2/LU-HE24UWA2</t>
  </si>
  <si>
    <t>https://klimatprof.online/upload/iblock/ae6/7n7tmtxwyt2r3pcsssc0gatvzg61xkfc/ls-he-tia2.jpg</t>
  </si>
  <si>
    <t>https://klimatprof.online/upload/iblock/576/edvxweklow06na10m2atfxllqv7z4mpy/Внешний блок.jpg | https://klimatprof.online/upload/iblock/02d/f8el0488obgjuqg8bhgo2ifqmno0cdrz/LZ-UPW4_1_NEW.jpg</t>
  </si>
  <si>
    <t>b00359727</t>
  </si>
  <si>
    <t>Сплит-система LS-HE36TMA4/LU-HE36UMA4</t>
  </si>
  <si>
    <t>https://klimatprof.online/upload/iblock/5cb/ls-he-tia2.jpg</t>
  </si>
  <si>
    <t>https://klimatprof.online/upload/iblock/f9c/Outer_block_EcoEnergy.jpg | https://klimatprof.online/upload/iblock/d95/LZ-UPW_NEW.jpg</t>
  </si>
  <si>
    <t>LS-HE36TMA4/LU-HE36UMA4</t>
  </si>
  <si>
    <t>LS-HE36TMA4</t>
  </si>
  <si>
    <t>LU-HE36UMA4</t>
  </si>
  <si>
    <t>45/49/54</t>
  </si>
  <si>
    <t>e00424389</t>
  </si>
  <si>
    <t>Сплит-система LS-HE36TMA4A/LU-HE36UMA4A</t>
  </si>
  <si>
    <t>LS-HE36TMA4A/LU-HE36UMA4A</t>
  </si>
  <si>
    <t>LS-HE36TMA4A</t>
  </si>
  <si>
    <t>LU-HE36UMA4A</t>
  </si>
  <si>
    <t>44/48/51</t>
  </si>
  <si>
    <t>e00431554</t>
  </si>
  <si>
    <t>Сплит-система LS-HE36TVA4/LU-HE36UVA4</t>
  </si>
  <si>
    <t>b00359730</t>
  </si>
  <si>
    <t>Сплит-система LS-HE48TMA4/LU-HE48UMA4</t>
  </si>
  <si>
    <t>https://klimatprof.online/upload/iblock/192/ls-he-tia2.jpg</t>
  </si>
  <si>
    <t>https://klimatprof.online/upload/iblock/1ae/Outer_block_EcoEnergy.png | https://klimatprof.online/upload/iblock/6a3/LZ_UPW4.png</t>
  </si>
  <si>
    <t>LS-HE48TMA4/LU-HE48UMA4</t>
  </si>
  <si>
    <t>LS-HE48TMA4</t>
  </si>
  <si>
    <t>LU-HE48UMA4</t>
  </si>
  <si>
    <t>49/52/56</t>
  </si>
  <si>
    <t>e00431555</t>
  </si>
  <si>
    <t>Сплит-система LS-HE48TVA4/LU-HE48UVA4</t>
  </si>
  <si>
    <t>50/52/54</t>
  </si>
  <si>
    <t>b00359733</t>
  </si>
  <si>
    <t>Сплит-система LS-HE55TMA4/LU-HE55UMA4</t>
  </si>
  <si>
    <t>https://klimatprof.online/upload/iblock/287/ls-he-tia2.jpg</t>
  </si>
  <si>
    <t>https://klimatprof.online/upload/iblock/f6f/Outer_block_EcoEnergy.jpg | https://klimatprof.online/upload/iblock/41e/LZ-UPW_NEW.jpg</t>
  </si>
  <si>
    <t>LS-HE55TMA4/LU-HE55UMA4</t>
  </si>
  <si>
    <t>LS-HE55TMA4</t>
  </si>
  <si>
    <t>LU-HE55UMA4</t>
  </si>
  <si>
    <t>46/49/55</t>
  </si>
  <si>
    <t>e00431556</t>
  </si>
  <si>
    <t>Сплит-система LS-HE55TVA4/LU-HE55UVA4</t>
  </si>
  <si>
    <t>https://klimatprof.online/upload/iblock/be7/cjl0ou8yuqpmstuko2vav2dtfjksez1e/ls-he-tia2.jpg</t>
  </si>
  <si>
    <t>https://klimatprof.online/upload/iblock/73a/avluqatobk5qytebvbdlb1gvwtjm62zh/Outer_block_EcoEnergy.jpg | https://klimatprof.online/upload/iblock/500/e1tc26es37qm0qrlqk1huskhw9k0rhfa/LZ-UPW4_1_NEW.jpg</t>
  </si>
  <si>
    <t>b00379945</t>
  </si>
  <si>
    <t>Сплит-система LS-HE12DOA2/LU-HE12UOA2</t>
  </si>
  <si>
    <t>Канальные инверторные кондиционеры</t>
  </si>
  <si>
    <t>https://klimatprof.online/upload/iblock/1aa/434234.JPG</t>
  </si>
  <si>
    <t>https://klimatprof.online/upload/iblock/a9a/naruzh_EcoEnergy.jpg | https://klimatprof.online/upload/iblock/65b/LZ-KNP.JPG | https://klimatprof.online/upload/iblock/bab/LZ-UPW4F.JPG | https://klimatprof.online/upload/iblock/888/LZ-UPW7.JPG | https://klimatprof.online/upload/iblock/a01/LZ-DOF.JPG</t>
  </si>
  <si>
    <t>LS-HE12DOA2/LU-HE12UOA2</t>
  </si>
  <si>
    <t>LS-HE12DOA2</t>
  </si>
  <si>
    <t>LU-HE12UOA2</t>
  </si>
  <si>
    <t>0–60</t>
  </si>
  <si>
    <t>e00431557</t>
  </si>
  <si>
    <t>Сплит-система LS-HE12DWA2/LU-HE12UWA2</t>
  </si>
  <si>
    <t>https://klimatprof.online/upload/iblock/6e4/px8k19v6x8fbaxntb5v9x1fmlpidflcm/434234.jpg</t>
  </si>
  <si>
    <t>https://klimatprof.online/upload/iblock/c1d/jcwwkhst2mjoajx9cq126zg8303sz4tb/Внешний блок.jpg</t>
  </si>
  <si>
    <t>25/34/38</t>
  </si>
  <si>
    <t>e00420213</t>
  </si>
  <si>
    <t>Сплит-система LS-HE18DTA2/LU-HE18UTA2</t>
  </si>
  <si>
    <t>https://klimatprof.online/upload/iblock/854/kanalnye-invertornye-konditsionery-lessar.png</t>
  </si>
  <si>
    <t>https://klimatprof.online/upload/iblock/783/234234234.jpg | https://klimatprof.online/upload/iblock/4cc/LZ-KNP.JPG | https://klimatprof.online/upload/iblock/12f/LZ-UPW4F.JPG | https://klimatprof.online/upload/iblock/a41/LZ-UPW7.JPG | https://klimatprof.online/upload/iblock/09a/LZ-DOF.JPG</t>
  </si>
  <si>
    <t>0–100</t>
  </si>
  <si>
    <t>33/38/42</t>
  </si>
  <si>
    <t>e00431558</t>
  </si>
  <si>
    <t>Сплит-система LS-HE18DWA2/LU-HE18UWA2</t>
  </si>
  <si>
    <t>https://klimatprof.online/upload/iblock/1b2/s9r7t5lp4tpw54kroc632kwpumkaf7o9/434234.jpg</t>
  </si>
  <si>
    <t>https://klimatprof.online/upload/iblock/a93/umhtzpmh7n2fjys0aq06d5q3889upmhl/Внешний блок.jpg</t>
  </si>
  <si>
    <t>34/38/41</t>
  </si>
  <si>
    <t>b00380033</t>
  </si>
  <si>
    <t>Сплит-система LS-HE24DOA2/LU-HE24UOA2</t>
  </si>
  <si>
    <t>https://klimatprof.online/upload/iblock/b82/434234.JPG</t>
  </si>
  <si>
    <t>https://klimatprof.online/upload/iblock/1d7/naruzh_EcoEnergy.jpg | https://klimatprof.online/upload/iblock/095/LZ-KNP.JPG | https://klimatprof.online/upload/iblock/81d/LZ-UPW4F.JPG | https://klimatprof.online/upload/iblock/2f7/LZ-UPW7.JPG | https://klimatprof.online/upload/iblock/b55/LZ-DOF.JPG</t>
  </si>
  <si>
    <t>LS-HE24DOA2/LU-HE24UOA2</t>
  </si>
  <si>
    <t>LS-HE24DOA21</t>
  </si>
  <si>
    <t>0–160</t>
  </si>
  <si>
    <t>40/42/44</t>
  </si>
  <si>
    <t>e00431559</t>
  </si>
  <si>
    <t>Сплит-система LS-HE24DWA2/LU-HE24UWA2</t>
  </si>
  <si>
    <t>https://klimatprof.online/upload/iblock/d9e/4x3wtqt6enlzs6zluq31gurwt19zw0q4/434234.jpg</t>
  </si>
  <si>
    <t>https://klimatprof.online/upload/iblock/0ef/yfsjlf2pj2zri310be7j9gvofl4fz1yo/Внешний блок.jpg</t>
  </si>
  <si>
    <t>37/39/41</t>
  </si>
  <si>
    <t>b00380036</t>
  </si>
  <si>
    <t>Сплит-система LS-HE36DOA4/LU-HE36UMA4</t>
  </si>
  <si>
    <t>https://klimatprof.online/upload/iblock/04a/434234.JPG</t>
  </si>
  <si>
    <t>https://klimatprof.online/upload/iblock/c0d/Outer_block_EcoEnergy.jpg | https://klimatprof.online/upload/iblock/5db/LZ-KNP.JPG | https://klimatprof.online/upload/iblock/920/LZ-UPW4F.JPG | https://klimatprof.online/upload/iblock/f44/LZ-UPW7.JPG | https://klimatprof.online/upload/iblock/b0e/LZ-DOF.JPG</t>
  </si>
  <si>
    <t>LS-HE36DOA4/LU-HE36UMA4</t>
  </si>
  <si>
    <t>LS-HE36DOA4</t>
  </si>
  <si>
    <t>e00431560</t>
  </si>
  <si>
    <t>Сплит-система LS-HE36DVA4/LU-HE36UVA4</t>
  </si>
  <si>
    <t>b00380039</t>
  </si>
  <si>
    <t>Сплит-система LS-HE48DOA4/LU-HE48UMA4</t>
  </si>
  <si>
    <t>https://klimatprof.online/upload/iblock/793/434234.JPG</t>
  </si>
  <si>
    <t>https://klimatprof.online/upload/iblock/ebc/Outer_block_EcoEnergy.jpg | https://klimatprof.online/upload/iblock/912/LZ-KNP.JPG | https://klimatprof.online/upload/iblock/8c8/LZ-UPW4F.JPG | https://klimatprof.online/upload/iblock/de1/LZ-UPW7.JPG | https://klimatprof.online/upload/iblock/2c1/LZ-DOF.JPG</t>
  </si>
  <si>
    <t>LS-HE48DOA4/LU-HE48UMA4</t>
  </si>
  <si>
    <t>LS-HE48DOA4</t>
  </si>
  <si>
    <t>39/43/47</t>
  </si>
  <si>
    <t>e00431561</t>
  </si>
  <si>
    <t>Сплит-система LS-HE48DVA4/LU-HE48UVA4</t>
  </si>
  <si>
    <t>b00380042</t>
  </si>
  <si>
    <t>Сплит-система LS-HE55DOA4/LU-HE55UMA4</t>
  </si>
  <si>
    <t>https://klimatprof.online/upload/iblock/023/434234.JPG</t>
  </si>
  <si>
    <t>https://klimatprof.online/upload/iblock/898/Outer_block_EcoEnergy.jpg | https://klimatprof.online/upload/iblock/aea/LZ-KNP.JPG | https://klimatprof.online/upload/iblock/809/LZ-UPW4F.JPG | https://klimatprof.online/upload/iblock/19d/LZ-UPW7.JPG | https://klimatprof.online/upload/iblock/36b/LZ-DOF.JPG</t>
  </si>
  <si>
    <t>LS-HE55DOA4/LU-HE55UMA4</t>
  </si>
  <si>
    <t>LS-HE55DOA4</t>
  </si>
  <si>
    <t>41/44/48</t>
  </si>
  <si>
    <t>e00431562</t>
  </si>
  <si>
    <t>Сплит-система LS-HE55DVA4/LU-HE55UVA4</t>
  </si>
  <si>
    <t>https://klimatprof.online/upload/iblock/4d7/h9i1mlwo7dvi2b4wqfnvwlu1phqw11r2/434234.jpg</t>
  </si>
  <si>
    <t>https://klimatprof.online/upload/iblock/97c/jpml84xl0b8ja8gkojq1080qzkf542pi/Outer_block_EcoEnergy.jpg</t>
  </si>
  <si>
    <t>b00371988</t>
  </si>
  <si>
    <t>Сплит-система LS-H150DIA4/LU-H150DIA4</t>
  </si>
  <si>
    <t>Канальные кондиционеры большой мощности</t>
  </si>
  <si>
    <t>https://klimatprof.online/upload/iblock/01f/kanalnye_moshnye.png</t>
  </si>
  <si>
    <t>https://klimatprof.online/upload/iblock/105/structure_sm.jpg | https://klimatprof.online/upload/iblock/8a8/LZ-UPW4.jpg</t>
  </si>
  <si>
    <t>LS-H150DIA4/LU-H150DIA4</t>
  </si>
  <si>
    <t>LS-H150DIA4</t>
  </si>
  <si>
    <t>LU-H150DIA4</t>
  </si>
  <si>
    <t>Hitachi x 3</t>
  </si>
  <si>
    <t>5 х 15</t>
  </si>
  <si>
    <t>b00363870</t>
  </si>
  <si>
    <t>Сплит-система LS-H192DIA4/LU-H192DIA4</t>
  </si>
  <si>
    <t>https://klimatprof.online/upload/iblock/f12/ls-h-dha.jpg</t>
  </si>
  <si>
    <t>LS-H192DIA4/LU-H192DIA4</t>
  </si>
  <si>
    <t>LS-H192DIA4</t>
  </si>
  <si>
    <t>b00364990</t>
  </si>
  <si>
    <t>Сплит-система LS-H96DMA4/LU-H96DMA4</t>
  </si>
  <si>
    <t>LS-H96DMA4/LU-H96DMA4</t>
  </si>
  <si>
    <t>LS-H96DMA4</t>
  </si>
  <si>
    <t>LU-H96DMA4</t>
  </si>
  <si>
    <t>Danfoss</t>
  </si>
  <si>
    <t>5 х 10</t>
  </si>
  <si>
    <t>c00406647</t>
  </si>
  <si>
    <t>Сплит-система LS-H24SKA2/LU-H24SKA2</t>
  </si>
  <si>
    <t>Колонные сплит-системы постоянной производительности</t>
  </si>
  <si>
    <t>https://klimatprof.online/upload/iblock/506/24k.JPG</t>
  </si>
  <si>
    <t>https://klimatprof.online/upload/iblock/bc5/45453453.bmp.jpg | https://klimatprof.online/upload/iblock/78f/LZ-KDP-15.jpg</t>
  </si>
  <si>
    <t>e00431585</t>
  </si>
  <si>
    <t>Сплит-система LS-H24SKA2A/LU-H24SKA2A</t>
  </si>
  <si>
    <t>https://klimatprof.online/upload/iblock/635/qmac671ib5wvg08v06hb0wh10s9l5xmf/234234.png</t>
  </si>
  <si>
    <t>https://klimatprof.online/upload/iblock/2b6/lp46f8acbi3sc2emu96t6zsri0omzuhb/Внешний блок.jpg | https://klimatprof.online/upload/iblock/e29/kwvockfbshjps3qehgys8xh7km2tifq7/LZ-KDP-15.jpg</t>
  </si>
  <si>
    <t>40/47</t>
  </si>
  <si>
    <t>c00406648</t>
  </si>
  <si>
    <t>Сплит-система LS-H48SKA4/LU-H48SKA4</t>
  </si>
  <si>
    <t>https://klimatprof.online/upload/iblock/a0d/48k.JPG</t>
  </si>
  <si>
    <t>https://klimatprof.online/upload/iblock/257/45453453.bmp.jpg | https://klimatprof.online/upload/iblock/161/LZ-KDP-15.jpg</t>
  </si>
  <si>
    <t>50/53</t>
  </si>
  <si>
    <t>e00423716</t>
  </si>
  <si>
    <t>Сплит-система LS-H48SKA4A/LU-H48SKA4A</t>
  </si>
  <si>
    <t>https://klimatprof.online/upload/iblock/2ee/kolonnye-split-sistemy-lessar.png</t>
  </si>
  <si>
    <t>https://klimatprof.online/upload/iblock/6c7/45453453.bmp | https://klimatprof.online/upload/iblock/d00/LZ-KDP-15.jpg</t>
  </si>
  <si>
    <t>46/54</t>
  </si>
  <si>
    <t>c00406649</t>
  </si>
  <si>
    <t>Сплит-система LS-H55SKA4/LU-H55SKA4</t>
  </si>
  <si>
    <t>https://klimatprof.online/upload/iblock/1fa/55k.JPG</t>
  </si>
  <si>
    <t>https://klimatprof.online/upload/iblock/3d9/45453453.bmp.jpg | https://klimatprof.online/upload/iblock/473/LZ-KDP-15.jpg</t>
  </si>
  <si>
    <t>e00423719</t>
  </si>
  <si>
    <t>Сплит-система LS-H55SKA4A/LU-H55SKA4A</t>
  </si>
  <si>
    <t>50/54</t>
  </si>
  <si>
    <t>e00420215</t>
  </si>
  <si>
    <t>Блок внутренний LS-MHE07DOA2</t>
  </si>
  <si>
    <t>Внутренние блоки канального типа eMagic Inverter</t>
  </si>
  <si>
    <t>https://klimatprof.online/upload/iblock/5a8/kanal.png</t>
  </si>
  <si>
    <t>https://klimatprof.online/upload/iblock/2f6/LZ-UPW4.jpg</t>
  </si>
  <si>
    <t>0-40</t>
  </si>
  <si>
    <t>27/34/40</t>
  </si>
  <si>
    <t>e00420216</t>
  </si>
  <si>
    <t>Блок внутренний LS-MHE09DOA2</t>
  </si>
  <si>
    <t>b00380287</t>
  </si>
  <si>
    <t>Блок внутренний LS-MHE12DOA2</t>
  </si>
  <si>
    <t>LS-MHE12DOA2</t>
  </si>
  <si>
    <t>0-60</t>
  </si>
  <si>
    <t>e00430770</t>
  </si>
  <si>
    <t>Блок внутренний LS-MHE12DVE2</t>
  </si>
  <si>
    <t>e00420217</t>
  </si>
  <si>
    <t>Блок внутренний LS-MHE18DOA2</t>
  </si>
  <si>
    <t>0-100</t>
  </si>
  <si>
    <t>e00430771</t>
  </si>
  <si>
    <t>Блок внутренний LS-MHE18DVE2</t>
  </si>
  <si>
    <t>35/39/42</t>
  </si>
  <si>
    <t>e00421367</t>
  </si>
  <si>
    <t>Блок внутренний LS-MHE09BOA2/LZ-B4COBA</t>
  </si>
  <si>
    <t>Внутренние блоки кассетного типа eMagic Inverter</t>
  </si>
  <si>
    <t>https://klimatprof.online/upload/iblock/b1d/213213213.png</t>
  </si>
  <si>
    <t>https://klimatprof.online/upload/iblock/d4f/LZ-UPW4.jpg</t>
  </si>
  <si>
    <t>4 х 1</t>
  </si>
  <si>
    <t>0.18/0.18</t>
  </si>
  <si>
    <t>e00421368</t>
  </si>
  <si>
    <t>Блок внутренний LS-MHE12BOA2/LZ-B4COBA</t>
  </si>
  <si>
    <t>e00431948</t>
  </si>
  <si>
    <t>Блок внутренний LS-MHE12BVE2/LZ-B4COBA</t>
  </si>
  <si>
    <t>e00421369</t>
  </si>
  <si>
    <t>Блок внутренний LS-MHE18BOA2/LZ-B4COBA</t>
  </si>
  <si>
    <t>0.44/0.44</t>
  </si>
  <si>
    <t>e00431949</t>
  </si>
  <si>
    <t>Блок внутренний LS-MHE18BVE2/LZ-B4COBA</t>
  </si>
  <si>
    <t>c00406739</t>
  </si>
  <si>
    <t>Блок внутренний LS-MHE09KOA2A</t>
  </si>
  <si>
    <t>Внутренние блоки настенного типа eMagic Inverter</t>
  </si>
  <si>
    <t>https://klimatprof.online/upload/iblock/4cb/Rational_Inverto_eMagicInverto_2015.png</t>
  </si>
  <si>
    <t>https://klimatprof.online/upload/iblock/75f/LZ-KDP-15.jpg</t>
  </si>
  <si>
    <t>22/33/37</t>
  </si>
  <si>
    <t>c00406740</t>
  </si>
  <si>
    <t>Блок внутренний LS-MHE12KOA2A</t>
  </si>
  <si>
    <t>22/32/38</t>
  </si>
  <si>
    <t>e00430765</t>
  </si>
  <si>
    <t>Блок внутренний LS-MHE12KVE2</t>
  </si>
  <si>
    <t>25/35/42</t>
  </si>
  <si>
    <t>c00406741</t>
  </si>
  <si>
    <t>Блок внутренний LS-MHE18KOA2A</t>
  </si>
  <si>
    <t>27/33/42</t>
  </si>
  <si>
    <t>e00430766</t>
  </si>
  <si>
    <t>Блок внутренний LS-MHE18KVE2</t>
  </si>
  <si>
    <t>c00406742</t>
  </si>
  <si>
    <t>Блок внутренний LS-MHE24KOA2A</t>
  </si>
  <si>
    <t>30/40/46</t>
  </si>
  <si>
    <t>e00430767</t>
  </si>
  <si>
    <t>Блок внутренний LS-MHE24KVE2</t>
  </si>
  <si>
    <t>b00357480</t>
  </si>
  <si>
    <t>Блок внутренний LS-MHE07KMA2</t>
  </si>
  <si>
    <t>Внутренние блоки настенного типа eMagic Inverter 2018</t>
  </si>
  <si>
    <t>https://klimatprof.online/upload/iblock/181/Rational_Inverto_eMagicInverto_2015.jpg</t>
  </si>
  <si>
    <t>https://klimatprof.online/upload/iblock/0a0/LZ-KDP-15.jpg</t>
  </si>
  <si>
    <t>LS-MHE07KMA2</t>
  </si>
  <si>
    <t>b00357481</t>
  </si>
  <si>
    <t>Блок внутренний LS-MHE09KMA2</t>
  </si>
  <si>
    <t>LS-MHE09KMA2</t>
  </si>
  <si>
    <t>4x1</t>
  </si>
  <si>
    <t>32/33/37</t>
  </si>
  <si>
    <t>b00357482</t>
  </si>
  <si>
    <t>Блок внутренний LS-MHE12KMA2</t>
  </si>
  <si>
    <t>LS-MHE12KMA2</t>
  </si>
  <si>
    <t>24/35/39</t>
  </si>
  <si>
    <t>b00380283</t>
  </si>
  <si>
    <t>Блок внутренний LS-MHE18KOA2</t>
  </si>
  <si>
    <t>LS-MHE18KOA2</t>
  </si>
  <si>
    <t>b00357484</t>
  </si>
  <si>
    <t>Блок внутренний LS-MHE24KMA2</t>
  </si>
  <si>
    <t xml:space="preserve"> LS-MHE24KMA2</t>
  </si>
  <si>
    <t>32/43/48</t>
  </si>
  <si>
    <t>e00422533</t>
  </si>
  <si>
    <t>Блок наружный LU-2HE14FOE2</t>
  </si>
  <si>
    <t>Инверторные наружные блоки eMagic Inverter</t>
  </si>
  <si>
    <t>https://klimatprof.online/upload/iblock/42a/4534534.png</t>
  </si>
  <si>
    <t>e00430761</t>
  </si>
  <si>
    <t>Блок наружный LU-2HE14FVE2</t>
  </si>
  <si>
    <t>https://klimatprof.online/upload/iblock/460/2arnq5m8qb0yld9g0aq2n0r92ozgbe6i/Внешний блок.jpg</t>
  </si>
  <si>
    <t>e00423722</t>
  </si>
  <si>
    <t>Блок наружный LU-2HE18FME2</t>
  </si>
  <si>
    <t>e00430762</t>
  </si>
  <si>
    <t>Блок наружный LU-2HE18FVE2</t>
  </si>
  <si>
    <t>https://klimatprof.online/upload/iblock/05c/p6dfdsn582qkg04j3umk82uxa3hbsley/Внешний блок.jpg</t>
  </si>
  <si>
    <t>e00423723</t>
  </si>
  <si>
    <t>Блок наружный LU-3HE21FME2</t>
  </si>
  <si>
    <t>e00430763</t>
  </si>
  <si>
    <t>Блок наружный LU-3HE21FVE2</t>
  </si>
  <si>
    <t>https://klimatprof.online/upload/iblock/101/0qzla6n08huxnymdhsdn773c1b2cm39k/Внешний блок.jpg</t>
  </si>
  <si>
    <t>e00423724</t>
  </si>
  <si>
    <t>Блок наружный LU-3HE27FME2</t>
  </si>
  <si>
    <t>e00430764</t>
  </si>
  <si>
    <t>Блок наружный LU-3HE27FVE2</t>
  </si>
  <si>
    <t>https://klimatprof.online/upload/iblock/952/lzdscz44bjfluj3xz9tp4bkyla0lqtib/Внешний блок.jpg</t>
  </si>
  <si>
    <t>e00423725</t>
  </si>
  <si>
    <t>Блок наружный LU-4HE28FME2</t>
  </si>
  <si>
    <t>e00423726</t>
  </si>
  <si>
    <t>Блок наружный LU-4HE36FME2</t>
  </si>
  <si>
    <t>e00423727</t>
  </si>
  <si>
    <t>Блок наружный LU-5HE42FME2</t>
  </si>
  <si>
    <t>e00420155</t>
  </si>
  <si>
    <t>QUATTROCLIMA</t>
  </si>
  <si>
    <t>Сплит-система QV-BE07WA/QN-BE07WA</t>
  </si>
  <si>
    <t>Bergamo</t>
  </si>
  <si>
    <t>https://klimatprof.online/upload/iblock/03e/XA71 2.png</t>
  </si>
  <si>
    <t>https://klimatprof.online/upload/iblock/67d/qc.png | https://klimatprof.online/upload/iblock/eb2/QC-remote.png</t>
  </si>
  <si>
    <t>24/26/28/31/34</t>
  </si>
  <si>
    <t>e00430501</t>
  </si>
  <si>
    <t>Сплит-система QV-BE07WB/QN-BE07WB</t>
  </si>
  <si>
    <t>28/31/34/37/40</t>
  </si>
  <si>
    <t>e00420158</t>
  </si>
  <si>
    <t>Сплит-система QV-BE09WA/QN-BE09WA</t>
  </si>
  <si>
    <t>RECHI</t>
  </si>
  <si>
    <t>25/26/28/32/35</t>
  </si>
  <si>
    <t>e00430504</t>
  </si>
  <si>
    <t>Сплит-система QV-BE09WB/QN-BE09WB</t>
  </si>
  <si>
    <t>e00420161</t>
  </si>
  <si>
    <t>Сплит-система QV-BE12WA/QN-BE12WA</t>
  </si>
  <si>
    <t>29/33/35/38/38</t>
  </si>
  <si>
    <t>e00430507</t>
  </si>
  <si>
    <t>Сплит-система QV-BE12WB/QN-BE12WB</t>
  </si>
  <si>
    <t>e00420164</t>
  </si>
  <si>
    <t>Сплит-система QV-BE18WA/QN-BE18WA</t>
  </si>
  <si>
    <t>HIGHLY</t>
  </si>
  <si>
    <t>32/34/36/38/40</t>
  </si>
  <si>
    <t>e00430510</t>
  </si>
  <si>
    <t>Сплит-система QV-BE18WB/QN-BE18WB</t>
  </si>
  <si>
    <t>34/36/40/43/44</t>
  </si>
  <si>
    <t>e00420167</t>
  </si>
  <si>
    <t>Сплит-система QV-BE24WA/QN-BE24WA</t>
  </si>
  <si>
    <t>35/39/43/47/49</t>
  </si>
  <si>
    <t>e00430513</t>
  </si>
  <si>
    <t>Сплит-система QV-BE24WB/QN-BE24WB</t>
  </si>
  <si>
    <t>35/38/42/45/49</t>
  </si>
  <si>
    <t>e00420170</t>
  </si>
  <si>
    <t>Сплит-система QV-BE28WA/QN-BE28WA</t>
  </si>
  <si>
    <t>/41/45/49/51</t>
  </si>
  <si>
    <t>e00420137</t>
  </si>
  <si>
    <t>Сплит-система QV-FE09WA/QN-FE09WA</t>
  </si>
  <si>
    <t>Ferrara</t>
  </si>
  <si>
    <t>https://klimatprof.online/upload/iblock/ee3/XA82 1.png</t>
  </si>
  <si>
    <t>https://klimatprof.online/upload/iblock/2c8/qc.png | https://klimatprof.online/upload/iblock/fe4/QC-remote.png</t>
  </si>
  <si>
    <t>22/25/33/40</t>
  </si>
  <si>
    <t>e00430546</t>
  </si>
  <si>
    <t>22/25/33/37/40</t>
  </si>
  <si>
    <t>e00420140</t>
  </si>
  <si>
    <t>Сплит-система QV-FE12WA/QN-FE12WA</t>
  </si>
  <si>
    <t>e00430549</t>
  </si>
  <si>
    <t>e00430489</t>
  </si>
  <si>
    <t>Сплит-система QV-M09WAE/QN-M09WAE</t>
  </si>
  <si>
    <t>Monsone</t>
  </si>
  <si>
    <t>https://klimatprof.online/upload/iblock/20b/5tnhyod3vicwzgpl9dx2eurjagp6v6re/Vento-и-Monsone-внутрняка-1.png</t>
  </si>
  <si>
    <t>https://klimatprof.online/upload/iblock/857/b6jxtah1arm0lypgr8fc4q599fnbmei7/18 24 Наружка Vento и Monsone__.png | https://klimatprof.online/upload/iblock/49c/ek7sde5x9arbj6g5v134567u3xxyl98d/Vento-и-Monsone-пульт.png</t>
  </si>
  <si>
    <t>25/27/32/35/38</t>
  </si>
  <si>
    <t>e00430492</t>
  </si>
  <si>
    <t>Сплит-система QV-M12WAE/QN-M12WAE</t>
  </si>
  <si>
    <t>26/30/34/37/39</t>
  </si>
  <si>
    <t>e00430495</t>
  </si>
  <si>
    <t>Сплит-система QV-M18WAE/QN-M18WAE</t>
  </si>
  <si>
    <t>30/33/36/43/44</t>
  </si>
  <si>
    <t>e00430498</t>
  </si>
  <si>
    <t>Сплит-система QV-M24WAE/QN-M24WAE</t>
  </si>
  <si>
    <t>32/37/42/46/48</t>
  </si>
  <si>
    <t>e00430471</t>
  </si>
  <si>
    <t>Сплит-система QV-VN07WA/QN-VN07WA</t>
  </si>
  <si>
    <t>Vento</t>
  </si>
  <si>
    <t>https://klimatprof.online/upload/iblock/733/qr7a8f59oms7aorev828jv09gmwd71oc/Vento внутрняка-1-0.png</t>
  </si>
  <si>
    <t>https://klimatprof.online/upload/iblock/f91/nmobf5xqqwrnsa0ec69wtcc3c0svw1uz/18 24 Наружка Vento и Monsone__.png | https://klimatprof.online/upload/iblock/57f/vh6eyjlrnbyt48cr0zojgwcrj311un39/Vento-и-Monsone-пульт.png</t>
  </si>
  <si>
    <t>25/27/29/32/34</t>
  </si>
  <si>
    <t>e00430474</t>
  </si>
  <si>
    <t>Сплит-система QV-VN09WA/QN-VN09WA</t>
  </si>
  <si>
    <t>25/27/29/33/35</t>
  </si>
  <si>
    <t>e00430477</t>
  </si>
  <si>
    <t>Сплит-система QV-VN12WA/QN-VN12WA</t>
  </si>
  <si>
    <t>31/34/37/40/42</t>
  </si>
  <si>
    <t>e00430480</t>
  </si>
  <si>
    <t>Сплит-система QV-VN18WA/QN-VN18WA</t>
  </si>
  <si>
    <t>34/35/38/40/43</t>
  </si>
  <si>
    <t>e00430483</t>
  </si>
  <si>
    <t>Сплит-система QV-VN24WA/QN-VN24WA</t>
  </si>
  <si>
    <t>35/37/38/41/43</t>
  </si>
  <si>
    <t>e00430486</t>
  </si>
  <si>
    <t>Сплит-система QV-VN28WA/QN-VN28WA</t>
  </si>
  <si>
    <t>37/41/45/49/51</t>
  </si>
  <si>
    <t>e00420143</t>
  </si>
  <si>
    <t>Сплит-система QV-VE09WAE/QN-VE09WAE</t>
  </si>
  <si>
    <t>Verona</t>
  </si>
  <si>
    <t>https://klimatprof.online/upload/iblock/ca4/XA71 2.png</t>
  </si>
  <si>
    <t>https://klimatprof.online/upload/iblock/18c/qc.png | https://klimatprof.online/upload/iblock/c7d/QC-remote.png</t>
  </si>
  <si>
    <t>e00430529</t>
  </si>
  <si>
    <t>e00420146</t>
  </si>
  <si>
    <t>Сплит-система QV-VE12WAE/QN-VE12WAE</t>
  </si>
  <si>
    <t>e00430532</t>
  </si>
  <si>
    <t>e00420149</t>
  </si>
  <si>
    <t>Сплит-система QV-VE18WAE/QN-VE18WAE</t>
  </si>
  <si>
    <t>27/35/40/43</t>
  </si>
  <si>
    <t>e00430535</t>
  </si>
  <si>
    <t>27/35/38/41/43</t>
  </si>
  <si>
    <t>e00420152</t>
  </si>
  <si>
    <t>Сплит-система QV-VE24WAE/QN-VE24WAE</t>
  </si>
  <si>
    <t>30/38/41/44</t>
  </si>
  <si>
    <t>e00430538</t>
  </si>
  <si>
    <t>30/34/38/41/44</t>
  </si>
  <si>
    <t>e00423693</t>
  </si>
  <si>
    <t>Сплит-система QV-I18DG/QN-I18UG</t>
  </si>
  <si>
    <t>Канальные сплит-системы постоянной производительности</t>
  </si>
  <si>
    <t>https://klimatprof.online/upload/iblock/494/kanalnye-split-sistemy-quattroclima.png</t>
  </si>
  <si>
    <t>https://klimatprof.online/upload/iblock/679/all.jpg | https://klimatprof.online/upload/iblock/9ef/remote.png</t>
  </si>
  <si>
    <t>32/35/38</t>
  </si>
  <si>
    <t>e00423694</t>
  </si>
  <si>
    <t>Сплит-система QV-I24DG/QN-I24UG</t>
  </si>
  <si>
    <t>42/44/46</t>
  </si>
  <si>
    <t>e00423695</t>
  </si>
  <si>
    <t>Сплит-система QV-I36DG/QN-I36UG</t>
  </si>
  <si>
    <t>41/47/50</t>
  </si>
  <si>
    <t>e00423696</t>
  </si>
  <si>
    <t>Сплит-система QV-I48DG/QN-I48UG</t>
  </si>
  <si>
    <t>44/46/50</t>
  </si>
  <si>
    <t>e00423697</t>
  </si>
  <si>
    <t>Сплит-система QV-I60DG/QN-I60UG</t>
  </si>
  <si>
    <t>45/47/50</t>
  </si>
  <si>
    <t>c00407562</t>
  </si>
  <si>
    <t>Сплит-система QV-I18DF/QN-I18UF</t>
  </si>
  <si>
    <t>Канальные сплит-системы постоянной производительности 2019</t>
  </si>
  <si>
    <t>https://klimatprof.online/upload/iblock/3fb/3432423.JPG</t>
  </si>
  <si>
    <t>https://klimatprof.online/upload/iblock/f6e/2323542.JPG | https://klimatprof.online/upload/iblock/c21/234234.png</t>
  </si>
  <si>
    <t>32/35/43</t>
  </si>
  <si>
    <t>c00407563</t>
  </si>
  <si>
    <t>Сплит-система QV-I24DF/QN-I24UF</t>
  </si>
  <si>
    <t>https://klimatprof.online/upload/iblock/9c3/3432423.JPG</t>
  </si>
  <si>
    <t>https://klimatprof.online/upload/iblock/56c/2323542.JPG | https://klimatprof.online/upload/iblock/0a7/234234.png</t>
  </si>
  <si>
    <t>41/43/46</t>
  </si>
  <si>
    <t>c00407564</t>
  </si>
  <si>
    <t>Сплит-система QV-I36DF/QN-I36UF</t>
  </si>
  <si>
    <t>https://klimatprof.online/upload/iblock/da8/kanalnye-split-sistemy-quattroclima.png</t>
  </si>
  <si>
    <t>https://klimatprof.online/upload/iblock/5b3/234234334.jpg | https://klimatprof.online/upload/iblock/dc6/234234.png</t>
  </si>
  <si>
    <t>c00407565</t>
  </si>
  <si>
    <t>Сплит-система QV-I48DF/QN-I48UF</t>
  </si>
  <si>
    <t>https://klimatprof.online/upload/iblock/3e2/kanalnye-split-sistemy-quattroclima.png</t>
  </si>
  <si>
    <t>https://klimatprof.online/upload/iblock/0d4/234234334.jpg | https://klimatprof.online/upload/iblock/881/234234.png</t>
  </si>
  <si>
    <t>42/44/47</t>
  </si>
  <si>
    <t>c00407566</t>
  </si>
  <si>
    <t>Сплит-система QV-I60DF/QN-I60UF</t>
  </si>
  <si>
    <t>https://klimatprof.online/upload/iblock/411/kanalnye-split-sistemy-quattroclima.png</t>
  </si>
  <si>
    <t>https://klimatprof.online/upload/iblock/b6f/234234334.jpg | https://klimatprof.online/upload/iblock/cb9/234234.png</t>
  </si>
  <si>
    <t>43/45/47</t>
  </si>
  <si>
    <t>e00433807</t>
  </si>
  <si>
    <t>Сплит-система QV-I18DG1/QN-I18UG1</t>
  </si>
  <si>
    <t>Канальные сплит-системы постоянной производительности 2022</t>
  </si>
  <si>
    <t>https://klimatprof.online/upload/iblock/cf2/0ndty0vs9z5z1k8d82ddblbh6xdelwva/kanalnye-split-sistemy-quattroclima.png</t>
  </si>
  <si>
    <t>https://klimatprof.online/upload/iblock/30a/ne3vpij1l0jg3zye8dxg767et72xqbol/all.jpg | https://klimatprof.online/upload/iblock/5c2/ypvthl0a69vwb2xw5th0nv5iilat4ho0/remote.png</t>
  </si>
  <si>
    <t>28/31/35/39</t>
  </si>
  <si>
    <t>e00433808</t>
  </si>
  <si>
    <t>Сплит-система QV-I24DG1/QN-I24UG1</t>
  </si>
  <si>
    <t>0-120</t>
  </si>
  <si>
    <t>38/40/43/46</t>
  </si>
  <si>
    <t>e00433809</t>
  </si>
  <si>
    <t>Сплит-система QV-I36DG1/QN-I36UG1</t>
  </si>
  <si>
    <t>0-160</t>
  </si>
  <si>
    <t>37/40/45/48</t>
  </si>
  <si>
    <t>e00433810</t>
  </si>
  <si>
    <t>Сплит-система QV-I48DG1/QN-I48UG1</t>
  </si>
  <si>
    <t>41/44/47/50</t>
  </si>
  <si>
    <t>e00433811</t>
  </si>
  <si>
    <t>Сплит-система QV-I60DG1/QN-I60UG1</t>
  </si>
  <si>
    <t>e00423682</t>
  </si>
  <si>
    <t>Сплит-система QV-I12CG/QN-I12UG/QA-ICP9</t>
  </si>
  <si>
    <t>Кассетные сплит-системы постоянной производительности</t>
  </si>
  <si>
    <t>https://klimatprof.online/upload/iblock/6db/kassetnye-split-sistemy-quattroclima-compact.png</t>
  </si>
  <si>
    <t>https://klimatprof.online/upload/iblock/ec8/all.jpg | https://klimatprof.online/upload/iblock/dd7/epc1ithjm7u9ogfhtcudmhzrmxdqqwao/QA-RG.png</t>
  </si>
  <si>
    <t>39/41/46</t>
  </si>
  <si>
    <t>e00423683</t>
  </si>
  <si>
    <t>Сплит-система QV-I18CG/QN-I18UG/QA-ICP9</t>
  </si>
  <si>
    <t>https://klimatprof.online/upload/iblock/2a4/kassetnye-split-sistemy-quattroclima-compact.png</t>
  </si>
  <si>
    <t>https://klimatprof.online/upload/iblock/571/all.jpg | https://klimatprof.online/upload/iblock/e17/13zg61bc1fwfkuz9np3okt5riiwqy9z3/QA-RG.png</t>
  </si>
  <si>
    <t>32/40/45</t>
  </si>
  <si>
    <t>e00423684</t>
  </si>
  <si>
    <t>Сплит-система QV-I24CG/QN-I24UG/QA-ICP10</t>
  </si>
  <si>
    <t>https://klimatprof.online/upload/iblock/ebf/kassetnye-split-sistemy-quattroclima.png</t>
  </si>
  <si>
    <t>https://klimatprof.online/upload/iblock/ba8/all.jpg | https://klimatprof.online/upload/iblock/122/QA-RG.png | https://klimatprof.online/upload/iblock/34b/remote.png</t>
  </si>
  <si>
    <t>36/42/45</t>
  </si>
  <si>
    <t>e00423685</t>
  </si>
  <si>
    <t>Сплит-система QV-I36CG/QN-I36UG/QA-ICP10</t>
  </si>
  <si>
    <t>39/45/48</t>
  </si>
  <si>
    <t>e00423686</t>
  </si>
  <si>
    <t>Сплит-система QV-I48CG/QN-I48UG/QA-ICP10</t>
  </si>
  <si>
    <t>47/51/53</t>
  </si>
  <si>
    <t>e00423687</t>
  </si>
  <si>
    <t>Сплит-система QV-I60CG/QN-I60UG/QA-ICP10</t>
  </si>
  <si>
    <t>Кассетные сплит-системы постоянной производительности 2019</t>
  </si>
  <si>
    <t>C</t>
  </si>
  <si>
    <t>c00407551</t>
  </si>
  <si>
    <t>Сплит-система QV-I12CF/QN-I12UF/QA-ICP7</t>
  </si>
  <si>
    <t>https://klimatprof.online/upload/iblock/a4e/435345435.JPG</t>
  </si>
  <si>
    <t>https://klimatprof.online/upload/iblock/c78/234234.png | https://klimatprof.online/upload/iblock/ffb/23212321.JPG</t>
  </si>
  <si>
    <t>3 (D)</t>
  </si>
  <si>
    <t>c00407552</t>
  </si>
  <si>
    <t>Сплит-система QV-I18CF/QN-I18UF/QA-ICP7</t>
  </si>
  <si>
    <t>https://klimatprof.online/upload/iblock/7a3/435345435.JPG</t>
  </si>
  <si>
    <t>https://klimatprof.online/upload/iblock/311/234234.png | https://klimatprof.online/upload/iblock/57a/23212321.JPG</t>
  </si>
  <si>
    <t>c00407553</t>
  </si>
  <si>
    <t>Сплит-система QV-I24CF/QN-I24UF/QA-ICP8</t>
  </si>
  <si>
    <t>https://klimatprof.online/upload/iblock/2c4/423423.JPG</t>
  </si>
  <si>
    <t>https://klimatprof.online/upload/iblock/cc6/234234.png | https://klimatprof.online/upload/iblock/8d1/23212321.JPG</t>
  </si>
  <si>
    <t>37/41/43</t>
  </si>
  <si>
    <t>e00420540</t>
  </si>
  <si>
    <t>Сплит-система QV-I24CF/QN-I24UF/QA-ICP8B</t>
  </si>
  <si>
    <t>https://klimatprof.online/upload/iblock/a94/kassetnye-split-sistemy-quattroclima.png</t>
  </si>
  <si>
    <t>https://klimatprof.online/upload/iblock/5a1/23212321.jpg | https://klimatprof.online/upload/iblock/7b3/234234.png</t>
  </si>
  <si>
    <t>c00407554</t>
  </si>
  <si>
    <t>Сплит-система QV-I36CF/QN-I36UF/QA-ICP8</t>
  </si>
  <si>
    <t>https://klimatprof.online/upload/iblock/a6b/423423.JPG</t>
  </si>
  <si>
    <t>https://klimatprof.online/upload/iblock/709/234234.png | https://klimatprof.online/upload/iblock/140/23212321.JPG</t>
  </si>
  <si>
    <t>41/43/45</t>
  </si>
  <si>
    <t>e00420541</t>
  </si>
  <si>
    <t>Сплит-система QV-I36CF/QN-I36UF/QA-ICP8B</t>
  </si>
  <si>
    <t>https://klimatprof.online/upload/iblock/809/kassetnye-split-sistemy-quattroclima.png</t>
  </si>
  <si>
    <t>https://klimatprof.online/upload/iblock/acd/23212321.jpg | https://klimatprof.online/upload/iblock/165/234234.png</t>
  </si>
  <si>
    <t>c00407555</t>
  </si>
  <si>
    <t>Сплит-система QV-I48CF/QN-I48UF/QA-ICP8</t>
  </si>
  <si>
    <t>https://klimatprof.online/upload/iblock/77b/423423.JPG</t>
  </si>
  <si>
    <t>https://klimatprof.online/upload/iblock/7d7/234234.png | https://klimatprof.online/upload/iblock/50b/23213213.png</t>
  </si>
  <si>
    <t>e00420542</t>
  </si>
  <si>
    <t>Сплит-система QV-I48CF/QN-I48UF/QA-ICP8B</t>
  </si>
  <si>
    <t>https://klimatprof.online/upload/iblock/0bd/kassetnye-split-sistemy-quattroclima.png</t>
  </si>
  <si>
    <t>https://klimatprof.online/upload/iblock/d5d/23212321.jpg | https://klimatprof.online/upload/iblock/1fe/234234.png</t>
  </si>
  <si>
    <t>c00407556</t>
  </si>
  <si>
    <t>Сплит-система QV-I60CF/QN-I60UF/QA-ICP8</t>
  </si>
  <si>
    <t>https://klimatprof.online/upload/iblock/380/423423.JPG</t>
  </si>
  <si>
    <t>https://klimatprof.online/upload/iblock/aca/234234.png | https://klimatprof.online/upload/iblock/2ed/434233423.png</t>
  </si>
  <si>
    <t>43/44/47</t>
  </si>
  <si>
    <t>e00420543</t>
  </si>
  <si>
    <t>Сплит-система QV-I60CF/QN-I60UF/QA-ICP8B</t>
  </si>
  <si>
    <t>https://klimatprof.online/upload/iblock/017/kassetnye-split-sistemy-quattroclima.png</t>
  </si>
  <si>
    <t>https://klimatprof.online/upload/iblock/42b/23212321.jpg | https://klimatprof.online/upload/iblock/7ac/234234.png</t>
  </si>
  <si>
    <t>e00433796</t>
  </si>
  <si>
    <t>Сплит-система QV-I12CG1/QN-I12UG1/QA-ICP11</t>
  </si>
  <si>
    <t>Кассетные сплит-системы постоянной производительности 2022</t>
  </si>
  <si>
    <t>https://klimatprof.online/upload/iblock/759/msksttlehnrim4cmakqvo1v2uyh12pny/kassetnye-split-sistemy-quattroclima.png</t>
  </si>
  <si>
    <t>https://klimatprof.online/upload/iblock/726/g130kgjr2ex1d2e7lpc0iel73dsjykrj/all.jpg | https://klimatprof.online/upload/iblock/d18/du1k61znnwa178d5yfc5d9x3t1kxmtwh/QA-RG.png | https://klimatprof.online/upload/iblock/324/umle4yc5s80dn3abd6k8ajti0uawa7t7/remote.png</t>
  </si>
  <si>
    <t>39/42/45</t>
  </si>
  <si>
    <t>e00433797</t>
  </si>
  <si>
    <t>Сплит-система QV-I18CG1/QN-I18UG1/QA-ICP11</t>
  </si>
  <si>
    <t>e00433798</t>
  </si>
  <si>
    <t>Сплит-система QV-I24CG1/QN-I24UG1/QA-ICP12</t>
  </si>
  <si>
    <t>39/42/46</t>
  </si>
  <si>
    <t>e00433799</t>
  </si>
  <si>
    <t>Сплит-система QV-I36CG1/QN-I36UG1/QA-ICP12</t>
  </si>
  <si>
    <t>43/47/52</t>
  </si>
  <si>
    <t>e00433800</t>
  </si>
  <si>
    <t>Сплит-система QV-I48CG1/QN-I48UG1/QA-ICP12</t>
  </si>
  <si>
    <t>e00433801</t>
  </si>
  <si>
    <t>Сплит-система QV-I60CG1/QN-I60UG1/QA-ICP12</t>
  </si>
  <si>
    <t>e00423688</t>
  </si>
  <si>
    <t>Сплит-система QV-I18FG/QN-I18UG</t>
  </si>
  <si>
    <t>Напольно-потолочные сплит-системы постоянной производительности</t>
  </si>
  <si>
    <t>https://klimatprof.online/upload/iblock/66a/napolno-potolochnye-split-sistemy-quattroclima.png</t>
  </si>
  <si>
    <t>https://klimatprof.online/upload/iblock/4e1/all.jpg | https://klimatprof.online/upload/iblock/48b/QA-RG.png | https://klimatprof.online/upload/iblock/ab7/remote.png</t>
  </si>
  <si>
    <t>e00423689</t>
  </si>
  <si>
    <t>Сплит-система QV-I24FG/QN-I24UG</t>
  </si>
  <si>
    <t>42/46/50</t>
  </si>
  <si>
    <t>e00423690</t>
  </si>
  <si>
    <t>Сплит-система QV-I36FG/QN-I36UG</t>
  </si>
  <si>
    <t>e00423691</t>
  </si>
  <si>
    <t>Сплит-система QV-I48FG/QN-I48UG</t>
  </si>
  <si>
    <t>43/47/51</t>
  </si>
  <si>
    <t>e00423692</t>
  </si>
  <si>
    <t>Сплит-система QV-I60FG/QN-I60UG</t>
  </si>
  <si>
    <t>Напольно-потолочные сплит-системы постоянной производительности 2019</t>
  </si>
  <si>
    <t>c00407557</t>
  </si>
  <si>
    <t>Сплит-система QV-I18FF/QN-I18UF</t>
  </si>
  <si>
    <t>https://klimatprof.online/upload/iblock/2a7/napolno-potolochnye-split-sistemy-quattroclima.png</t>
  </si>
  <si>
    <t>https://klimatprof.online/upload/iblock/68b/234234334.jpg | https://klimatprof.online/upload/iblock/b82/234234.png</t>
  </si>
  <si>
    <t>25 / нет</t>
  </si>
  <si>
    <t>38/41/43</t>
  </si>
  <si>
    <t>e00420544</t>
  </si>
  <si>
    <t>Сплит-система QV-I18FF1/QN-I18UF</t>
  </si>
  <si>
    <t>https://klimatprof.online/upload/iblock/aa5/napolno-potolochnye-split-sistemy-quattroclima.png</t>
  </si>
  <si>
    <t>https://klimatprof.online/upload/iblock/09d/234234334.jpg | https://klimatprof.online/upload/iblock/bad/234234.png</t>
  </si>
  <si>
    <t>c00407558</t>
  </si>
  <si>
    <t>Сплит-система QV-I24FF/QN-I24UF</t>
  </si>
  <si>
    <t>https://klimatprof.online/upload/iblock/50f/napolno-potolochnye-split-sistemy-quattroclima.png</t>
  </si>
  <si>
    <t>https://klimatprof.online/upload/iblock/be2/234234334.jpg | https://klimatprof.online/upload/iblock/f47/234234.png</t>
  </si>
  <si>
    <t>e00420545</t>
  </si>
  <si>
    <t>Сплит-система QV-I24FF1/QN-I24UF</t>
  </si>
  <si>
    <t>https://klimatprof.online/upload/iblock/e1c/napolno-potolochnye-split-sistemy-quattroclima.png</t>
  </si>
  <si>
    <t>https://klimatprof.online/upload/iblock/63e/234234334.jpg | https://klimatprof.online/upload/iblock/b01/234234.png</t>
  </si>
  <si>
    <t>e00420546</t>
  </si>
  <si>
    <t>Сплит-система QV-I36FF1/QN-I36UF</t>
  </si>
  <si>
    <t>https://klimatprof.online/upload/iblock/811/napolno-potolochnye-split-sistemy-quattroclima.png</t>
  </si>
  <si>
    <t>https://klimatprof.online/upload/iblock/a96/234234334.jpg | https://klimatprof.online/upload/iblock/949/234234.png</t>
  </si>
  <si>
    <t>c00407560</t>
  </si>
  <si>
    <t>Сплит-система QV-I48FF/QN-I48UF</t>
  </si>
  <si>
    <t>https://klimatprof.online/upload/iblock/8a9/napolno-potolochnye-split-sistemy-quattroclima.png</t>
  </si>
  <si>
    <t>https://klimatprof.online/upload/iblock/cc1/234234334.jpg | https://klimatprof.online/upload/iblock/408/234234.png</t>
  </si>
  <si>
    <t>e00420547</t>
  </si>
  <si>
    <t>Сплит-система QV-I48FF1/QN-I48UF</t>
  </si>
  <si>
    <t>https://klimatprof.online/upload/iblock/27d/napolno-potolochnye-split-sistemy-quattroclima.png</t>
  </si>
  <si>
    <t>https://klimatprof.online/upload/iblock/f3d/234234334.jpg | https://klimatprof.online/upload/iblock/32c/234234.png</t>
  </si>
  <si>
    <t>c00407561</t>
  </si>
  <si>
    <t>Сплит-система QV-I60FF/QN-I60UF</t>
  </si>
  <si>
    <t>https://klimatprof.online/upload/iblock/366/napolno-potolochnye-split-sistemy-quattroclima.png</t>
  </si>
  <si>
    <t>https://klimatprof.online/upload/iblock/2a5/234234334.jpg | https://klimatprof.online/upload/iblock/e53/234234.png</t>
  </si>
  <si>
    <t>e00420548</t>
  </si>
  <si>
    <t>Сплит-система QV-I60FF1/QN-I60UF</t>
  </si>
  <si>
    <t>https://klimatprof.online/upload/iblock/60e/napolno-potolochnye-split-sistemy-quattroclima.png</t>
  </si>
  <si>
    <t>https://klimatprof.online/upload/iblock/24f/234234334.jpg | https://klimatprof.online/upload/iblock/006/234234.png</t>
  </si>
  <si>
    <t>e00433802</t>
  </si>
  <si>
    <t>Сплит-система QV-I18FG1/QN-I18UG1</t>
  </si>
  <si>
    <t>Напольно-потолочные сплит-системы постоянной производительности 2022</t>
  </si>
  <si>
    <t>https://klimatprof.online/upload/iblock/8a4/ig4bb432ik7t2dvdibd0rkz9nht8t7me/napolno-potolochnye-split-sistemy-quattroclima.png</t>
  </si>
  <si>
    <t>https://klimatprof.online/upload/iblock/86b/8fclj0892dkiacimn8s5j0mb4zqyqy5s/all.jpg | https://klimatprof.online/upload/iblock/9d0/w5h2g70jl0223bjb9c4fl078qlnu6il1/QA-RG.png | https://klimatprof.online/upload/iblock/2dc/j5tp3bkt2epc1w0a9fzqkosmh3pus2js/remote.png</t>
  </si>
  <si>
    <t>e00433803</t>
  </si>
  <si>
    <t>Сплит-система QV-I24FG1/QN-I24UG1</t>
  </si>
  <si>
    <t>35/39/46</t>
  </si>
  <si>
    <t>e00433804</t>
  </si>
  <si>
    <t>Сплит-система QV-I36FG1/QN-I36UG1</t>
  </si>
  <si>
    <t>40/45/49</t>
  </si>
  <si>
    <t>e00433805</t>
  </si>
  <si>
    <t>Сплит-система QV-I48FG1/QN-I48UG1</t>
  </si>
  <si>
    <t>42/46/51</t>
  </si>
  <si>
    <t>e00433806</t>
  </si>
  <si>
    <t>Сплит-система QV-I60FG1/QN-I60UG1</t>
  </si>
  <si>
    <t>e00432786</t>
  </si>
  <si>
    <t>Блок внутренний QV-FM07WA</t>
  </si>
  <si>
    <t>https://klimatprof.online/upload/iblock/761/mghtxdorjcq3e8heuq94gt4asb136ll3/внутр_мултисплит-01.jpg</t>
  </si>
  <si>
    <t>https://klimatprof.online/upload/iblock/9d6/740l423nh9x1g373w2n4uq933yqndqkj/QC-remote.png</t>
  </si>
  <si>
    <t>40/37/33/25/22</t>
  </si>
  <si>
    <t>e00432787</t>
  </si>
  <si>
    <t>Блок внутренний QV-FM09WA</t>
  </si>
  <si>
    <t>e00432788</t>
  </si>
  <si>
    <t>Блок внутренний QV-FM12WA</t>
  </si>
  <si>
    <t>e00432789</t>
  </si>
  <si>
    <t>Блок внутренний QV-FM18WA</t>
  </si>
  <si>
    <t>43/41/38//35/27</t>
  </si>
  <si>
    <t>e00432782</t>
  </si>
  <si>
    <t>Блок наружный QN-FM14UA</t>
  </si>
  <si>
    <t>Наружные блоки</t>
  </si>
  <si>
    <t>https://klimatprof.online/upload/iblock/ca2/jdupjqcco3mj2ks9xa05cr18tmlw3ujr/наружка_мультисплит-01.jpg</t>
  </si>
  <si>
    <t>https://klimatprof.online/upload/iblock/2af/oiber5adeeqqoqfgid1r0lde785m0j3m/QC-remote.png</t>
  </si>
  <si>
    <t>e00432783</t>
  </si>
  <si>
    <t>Блок наружный QN-FM18UA</t>
  </si>
  <si>
    <t>e00432784</t>
  </si>
  <si>
    <t>Блок наружный QN-FM21UA</t>
  </si>
  <si>
    <t>e00432785</t>
  </si>
  <si>
    <t>Блок наружный QN-FM27UA</t>
  </si>
  <si>
    <t>e00420116</t>
  </si>
  <si>
    <t>TOSOT</t>
  </si>
  <si>
    <t>Сплит-система T09H-SGT/I/T09H-SGT/O</t>
  </si>
  <si>
    <t>G-Tech</t>
  </si>
  <si>
    <t>https://klimatprof.online/upload/iblock/ac8/gtech.png</t>
  </si>
  <si>
    <t>https://klimatprof.online/upload/iblock/892/T09-12-18-24H-SLEu_O_1.jpg | https://klimatprof.online/upload/iblock/e53/YAU1FB  G-Tech.png</t>
  </si>
  <si>
    <t>21/22/28/33/36/39/43</t>
  </si>
  <si>
    <t>e00420119</t>
  </si>
  <si>
    <t>Сплит-система T12H-SGT/I/T12H-SGT/O</t>
  </si>
  <si>
    <t>e00423728</t>
  </si>
  <si>
    <t>Сплит-система T07H-SLyR/I/T07H-SLyR/O</t>
  </si>
  <si>
    <t>Lyra Inverter R32</t>
  </si>
  <si>
    <t>https://klimatprof.online/upload/iblock/a5c/Lyra F.png</t>
  </si>
  <si>
    <t>https://klimatprof.online/upload/iblock/c68/T09-12-18-24H-SLEu_O_1.jpg | https://klimatprof.online/upload/iblock/8e0/Lyra __YAA1FB.jpg</t>
  </si>
  <si>
    <t>24/25/29/33/35/38/40</t>
  </si>
  <si>
    <t>e00431722</t>
  </si>
  <si>
    <t>Сплит-система T07H-SLyR2/I/T07H-SLyR2/O</t>
  </si>
  <si>
    <t>https://klimatprof.online/upload/iblock/0f0/v7tc06428yt25iz3shx6epxt0u08iipb/Lyra F.png</t>
  </si>
  <si>
    <t>https://klimatprof.online/upload/iblock/ee3/p432secilqj9pg8fu3i6fp1d2brd126v/TOSOT_НБ_3P XLH3P(OUT)_ для Лира2.jpg | https://klimatprof.online/upload/iblock/e01/k1smj3nvq4cfvvp2v5a7enngv9tz8lqm/Lyra __YAA1FB.jpg</t>
  </si>
  <si>
    <t>5 (B)</t>
  </si>
  <si>
    <t>25/33/38/40</t>
  </si>
  <si>
    <t>e00423729</t>
  </si>
  <si>
    <t>Сплит-система T09H-SLyR/I/T09H-SLyR/O</t>
  </si>
  <si>
    <t>25/32/36/38</t>
  </si>
  <si>
    <t>e00431723</t>
  </si>
  <si>
    <t>Сплит-система T09H-SLyR2/I/T09H-SLyR2/O</t>
  </si>
  <si>
    <t>https://klimatprof.online/upload/iblock/830/ciqz0y431y0uomgszvp4jo1xhizef2xn/Lyra F.png</t>
  </si>
  <si>
    <t>https://klimatprof.online/upload/iblock/d2c/pmtgnr8w2cnaasa8p55wlqdnxuoteirx/TOSOT_НБ_3P XLH3P(OUT)_ для Лира2.jpg | https://klimatprof.online/upload/iblock/74b/ospbktz31i4uyhuu4e0cu0k129byg04f/Lyra __YAA1FB.jpg</t>
  </si>
  <si>
    <t>e00423730</t>
  </si>
  <si>
    <t>Сплит-система T12H-SLyR/I/T12H-SLyR/O</t>
  </si>
  <si>
    <t>e00431724</t>
  </si>
  <si>
    <t>Сплит-система T12H-SLyR2/I/T12H-SLyR2/O</t>
  </si>
  <si>
    <t>https://klimatprof.online/upload/iblock/2a6/9sorjv6zz0asudxat7chnb9wzv911g30/Lyra F.png</t>
  </si>
  <si>
    <t>https://klimatprof.online/upload/iblock/e70/c7i3ved10cw2b31uy1d1fceoxi7mnw5t/TOSOT_НБ_3P XLH3P(OUT)_ для Лира2.jpg | https://klimatprof.online/upload/iblock/884/3s0c6q61dmdl2ow079s7xy7j5xyr8uua/Lyra __YAA1FB.jpg</t>
  </si>
  <si>
    <t>24/26/30/33/35/37/41</t>
  </si>
  <si>
    <t>e00423731</t>
  </si>
  <si>
    <t>Сплит-система T18H-SLyR/I/T18H-SLyR/O</t>
  </si>
  <si>
    <t>34/39/45/48</t>
  </si>
  <si>
    <t>e00431725</t>
  </si>
  <si>
    <t>Сплит-система T18H-SLyR2/I/T18H-SLyR2/O</t>
  </si>
  <si>
    <t>https://klimatprof.online/upload/iblock/cca/4s81zzt1wior54jfqeg9mgf5f3iu5kbl/Lyra F.png</t>
  </si>
  <si>
    <t>https://klimatprof.online/upload/iblock/b7e/gff8h77mfg1c333yzt9juxrpufcoakir/TOSOT_НБ_3P XLH3P(OUT)_ для Лира2.jpg | https://klimatprof.online/upload/iblock/b1d/er0kq18dkpataaz0y7jisbfuo4zfbjm1/Lyra __YAA1FB.jpg</t>
  </si>
  <si>
    <t>e00423732</t>
  </si>
  <si>
    <t>Сплит-система T24H-SLyR/I/T24H-SLyR/O</t>
  </si>
  <si>
    <t>34/40/44/48</t>
  </si>
  <si>
    <t>e00431726</t>
  </si>
  <si>
    <t>Сплит-система T24H-SLyR2/I/T24H-SLyR2/O</t>
  </si>
  <si>
    <t>https://klimatprof.online/upload/iblock/639/os977j98gkc8j8zre8ds3xlnjstllf72/Lyra F.png</t>
  </si>
  <si>
    <t>https://klimatprof.online/upload/iblock/016/sjsdopx21gje3n93bum3ppph485you2e/TOSOT_НБ_3P XLH3P(OUT)_ для Лира2.jpg | https://klimatprof.online/upload/iblock/a92/mkl4mx23j8i9wzdl4mu0gyehk2ttdxu3/Lyra __YAA1FB.jpg</t>
  </si>
  <si>
    <t>26/30/32/37/42/45/48</t>
  </si>
  <si>
    <t>e00423733</t>
  </si>
  <si>
    <t>Сплит-система T07H-SnN/I/T07H-SnN/O</t>
  </si>
  <si>
    <t>Natal 2021</t>
  </si>
  <si>
    <t>https://klimatprof.online/upload/iblock/9d3/Natal-2021.png</t>
  </si>
  <si>
    <t>https://klimatprof.online/upload/iblock/a23/ODU-Tosot-RAC.jpg | https://klimatprof.online/upload/iblock/972/TOSOT REMOTE CONTROLLER.jpg</t>
  </si>
  <si>
    <t>24/27/28/34/35/37/39</t>
  </si>
  <si>
    <t>e00430936</t>
  </si>
  <si>
    <t>Сплит-система T07H-SnN2/I/T07H-SnN2/O</t>
  </si>
  <si>
    <t>25/31/37/40</t>
  </si>
  <si>
    <t>e00423734</t>
  </si>
  <si>
    <t>Сплит-система T09H-SnN/I/T09H-SnN/O</t>
  </si>
  <si>
    <t>24/27/29/34/36/37/40</t>
  </si>
  <si>
    <t>e00430937</t>
  </si>
  <si>
    <t>Сплит-система T09H-SnN2/I/T09H-SnN2/O</t>
  </si>
  <si>
    <t>e00423735</t>
  </si>
  <si>
    <t>Сплит-система T12H-SnN/I/T12H-SnN/O</t>
  </si>
  <si>
    <t>28/30/33/34/36/37/41</t>
  </si>
  <si>
    <t>e00430938</t>
  </si>
  <si>
    <t>Сплит-система T12H-SnN2/I/T12H-SnN2/O</t>
  </si>
  <si>
    <t>30/34/37/40</t>
  </si>
  <si>
    <t>e00423736</t>
  </si>
  <si>
    <t>Сплит-система T18H-SnN/I/T18H-SnN/O</t>
  </si>
  <si>
    <t>32/34/35/36/38/39/40</t>
  </si>
  <si>
    <t>e00430939</t>
  </si>
  <si>
    <t>Сплит-система T18H-SnN2/I/T18H-SnN2/O</t>
  </si>
  <si>
    <t>34/36/40/41</t>
  </si>
  <si>
    <t>e00423737</t>
  </si>
  <si>
    <t>Сплит-система T24H-SnN/I/T24H-SnN/O</t>
  </si>
  <si>
    <t>32/33/35/37/40/42/44</t>
  </si>
  <si>
    <t>e00430940</t>
  </si>
  <si>
    <t>Сплит-система T24H-SnN2/I/T24H-SnN2/O</t>
  </si>
  <si>
    <t>35/38/42/44</t>
  </si>
  <si>
    <t>e00423738</t>
  </si>
  <si>
    <t>Сплит-система T28H-SnN/I/T28H-SnN/O</t>
  </si>
  <si>
    <t>39/40/41/42/46/47/49</t>
  </si>
  <si>
    <t>e00430941</t>
  </si>
  <si>
    <t>Сплит-система T28H-SnN2/I/T28H-SnN2/O</t>
  </si>
  <si>
    <t>e00420226</t>
  </si>
  <si>
    <t>Сплит-система T36H-SNa/I/T36H-SNa/O</t>
  </si>
  <si>
    <t>https://klimatprof.online/upload/iblock/e55/split.jpg</t>
  </si>
  <si>
    <t>https://klimatprof.online/upload/iblock/efa/ODU-Tosot-RAC.jpg | https://klimatprof.online/upload/iblock/fe9/TOSOT REMOTE CONTROLLER.JPG</t>
  </si>
  <si>
    <t>41/42/47/48</t>
  </si>
  <si>
    <t>e00420106</t>
  </si>
  <si>
    <t>Сплит-система T09H-STR/I-G/T09H-STR/O</t>
  </si>
  <si>
    <t>Triangle</t>
  </si>
  <si>
    <t>https://klimatprof.online/upload/iblock/68c/g7vmes78dz54hgrrq7wph5qk9r8zibos/Soyal-g.png</t>
  </si>
  <si>
    <t>https://klimatprof.online/upload/iblock/13e/6qeog4na8lai3ru7kbnkwi8tphwpsi9c/T09-12-18-24H-SLEu_O_1.jpg | https://klimatprof.online/upload/iblock/b40/ehsknewr1g48ynivxij5gomopdv7n7x4/ppp.bmp</t>
  </si>
  <si>
    <t>19/22/29/33/35/38/42</t>
  </si>
  <si>
    <t>e00420112</t>
  </si>
  <si>
    <t>Сплит-система T09H-STR/I-S/T09H-STR/O</t>
  </si>
  <si>
    <t>https://klimatprof.online/upload/iblock/128/etcy0f9uzsc3133kkwamb2b81y0b5ps0/Soyal-1.png</t>
  </si>
  <si>
    <t>https://klimatprof.online/upload/iblock/9bc/iohn31y6mkys4gkt1rcuku13h5cessj2/T09-12-18-24H-SLEu_O_1.jpg | https://klimatprof.online/upload/iblock/f08/4os66nn8t0cj8xjj1mzjz6qub9zdjrbz/ppp.bmp</t>
  </si>
  <si>
    <t>e00420109</t>
  </si>
  <si>
    <t>Сплит-система T12H-STR/I-G/T12H-STR/O</t>
  </si>
  <si>
    <t>https://klimatprof.online/upload/iblock/93e/9ot7goaffk31iopst4m8kgtrc8zpjyxd/Soyal-g.png</t>
  </si>
  <si>
    <t>https://klimatprof.online/upload/iblock/56b/jf4661kv96nhgb72mxzq3yyssnkg7lq7/T09-12-18-24H-SLEu_O_1.jpg | https://klimatprof.online/upload/iblock/64a/cvdopcnaje1eelwozxecyz7ctuwvelvn/ppp.bmp</t>
  </si>
  <si>
    <t>9 (A+++)</t>
  </si>
  <si>
    <t>22/23/29/34/37/39/44</t>
  </si>
  <si>
    <t>e00420114</t>
  </si>
  <si>
    <t>Сплит-система T12H-STR/I-S/T12H-STR/O</t>
  </si>
  <si>
    <t>https://klimatprof.online/upload/iblock/322/w93xiobkqdfdstkunr6gbj9bgco2m77j/Soyal-1.png</t>
  </si>
  <si>
    <t>https://klimatprof.online/upload/iblock/0c3/gff4rylu10xo0rtyjbyeeyztlvhpihc6/T09-12-18-24H-SLEu_O_1.jpg | https://klimatprof.online/upload/iblock/0ee/nuzq7dzwk88sk7f8e6v3aiamx5qkwfpu/ppp.bmp</t>
  </si>
  <si>
    <t>e00420198</t>
  </si>
  <si>
    <t>Сплит-система T18H-ILD/I/T18H-ILU/O</t>
  </si>
  <si>
    <t>Инверторные канальные сплит-системы</t>
  </si>
  <si>
    <t>https://klimatprof.online/upload/iblock/ae9/LCAC-3-Duct-small.png</t>
  </si>
  <si>
    <t>https://klimatprof.online/upload/iblock/cc6/LCAC-3-Outdoor-LU3.png | https://klimatprof.online/upload/iblock/3f2/XK117.png</t>
  </si>
  <si>
    <t>0–50</t>
  </si>
  <si>
    <t>35/37/39/40</t>
  </si>
  <si>
    <t>e00420200</t>
  </si>
  <si>
    <t>Сплит-система T24H-ILD/I/T24H-ILU/O</t>
  </si>
  <si>
    <t>38/40/42/43</t>
  </si>
  <si>
    <t>e00420202</t>
  </si>
  <si>
    <t>Сплит-система T36H-ILD/I/T36H-ILU/O</t>
  </si>
  <si>
    <t>0–150</t>
  </si>
  <si>
    <t>37/39/41/43</t>
  </si>
  <si>
    <t>e00420204</t>
  </si>
  <si>
    <t>Сплит-система T48H-ILD/I/T48H-ILU/O</t>
  </si>
  <si>
    <t>37/39/40/42</t>
  </si>
  <si>
    <t>e00420206</t>
  </si>
  <si>
    <t>Сплит-система T60H-ILD/I/T60H-ILU/O</t>
  </si>
  <si>
    <t>0–200</t>
  </si>
  <si>
    <t>42/44/45/50</t>
  </si>
  <si>
    <t>b00380288</t>
  </si>
  <si>
    <t>Сплит-система TFRI20B/I_TFRI20B/O</t>
  </si>
  <si>
    <t>Инверторные канальные сплит-системы высокой производительности</t>
  </si>
  <si>
    <t>https://klimatprof.online/upload/iblock/869/345345.png</t>
  </si>
  <si>
    <t>Mitsubishi</t>
  </si>
  <si>
    <t>0–250</t>
  </si>
  <si>
    <t>50/51/52</t>
  </si>
  <si>
    <t>b00380291</t>
  </si>
  <si>
    <t>Сплит-система TFRI25C/I_TFRI25C/O</t>
  </si>
  <si>
    <t>51/52/53</t>
  </si>
  <si>
    <t>b00380294</t>
  </si>
  <si>
    <t>Сплит-система TFRI30B/I_TFRI30B/O</t>
  </si>
  <si>
    <t>HITACHI</t>
  </si>
  <si>
    <t>53/54/55</t>
  </si>
  <si>
    <t>b00380297</t>
  </si>
  <si>
    <t>Сплит-система TFRI40B/I_TFRI20B/O*2</t>
  </si>
  <si>
    <t>54/55/56</t>
  </si>
  <si>
    <t>e00420458</t>
  </si>
  <si>
    <t>Сплит-система T12H-ILC/I/TF05P-LC/T12H-ILU/O</t>
  </si>
  <si>
    <t>https://klimatprof.online/upload/iblock/9de/LCAC_3_Cassette_T48_T60_I_3.png</t>
  </si>
  <si>
    <t>https://klimatprof.online/upload/iblock/4f7/LCAC_3_Outdoor_LU3.png | https://klimatprof.online/upload/iblock/71e/YAA1FB6_LCAC_inv.png</t>
  </si>
  <si>
    <t>31/35/37/41</t>
  </si>
  <si>
    <t>e00420173</t>
  </si>
  <si>
    <t>Сплит-система T18H-ILC/I/TF05P-LC/T18H-ILU/O</t>
  </si>
  <si>
    <t>31/35/39/44</t>
  </si>
  <si>
    <t>e00420176</t>
  </si>
  <si>
    <t>Сплит-система T24H-ILC/I/TF06P-LC/T24H-ILU/O</t>
  </si>
  <si>
    <t>39/41/45/47</t>
  </si>
  <si>
    <t>e00420179</t>
  </si>
  <si>
    <t>Сплит-система T36H-ILC/I/TF06P-LC/T36H-ILU/O</t>
  </si>
  <si>
    <t>42/46/48/50</t>
  </si>
  <si>
    <t>e00420182</t>
  </si>
  <si>
    <t>Сплит-система T48H-ILC/I/TF06P-LC/T48H-ILU/O</t>
  </si>
  <si>
    <t>1 / 380 / 50</t>
  </si>
  <si>
    <t>42/46/49/51</t>
  </si>
  <si>
    <t>e00420185</t>
  </si>
  <si>
    <t>Сплит-система T60H-ILC/I/TF06P-LC/T60H-ILU/O</t>
  </si>
  <si>
    <t>48/50/52/54</t>
  </si>
  <si>
    <t>e00420188</t>
  </si>
  <si>
    <t>Сплит-система T18H-ILF/I/T18H-ILU/O</t>
  </si>
  <si>
    <t>https://klimatprof.online/upload/iblock/d08/LCAC_3_Floor_Ceiling_IDUs_I3.png</t>
  </si>
  <si>
    <t>https://klimatprof.online/upload/iblock/413/LCAC_3_Outdoor_LU3.png | https://klimatprof.online/upload/iblock/ee4/YAA1FB6_LCAC_inv.png</t>
  </si>
  <si>
    <t>36/39/42/44</t>
  </si>
  <si>
    <t>e00420190</t>
  </si>
  <si>
    <t>Сплит-система T24H-ILF/I/T24H-ILU/O</t>
  </si>
  <si>
    <t>43/45/48/49</t>
  </si>
  <si>
    <t>e00420192</t>
  </si>
  <si>
    <t>Сплит-система T36H-ILF/I/T36H-ILU/O</t>
  </si>
  <si>
    <t>43/45/47/49</t>
  </si>
  <si>
    <t>e00420194</t>
  </si>
  <si>
    <t>Сплит-система T48H-ILF/I/T48H-ILU/O</t>
  </si>
  <si>
    <t>44/48/50/52</t>
  </si>
  <si>
    <t>e00420196</t>
  </si>
  <si>
    <t>Сплит-система T60H-ILF/I/T60H-ILU/O</t>
  </si>
  <si>
    <t>45/49/53/54</t>
  </si>
  <si>
    <t>Канальные сплит-системы</t>
  </si>
  <si>
    <t>https://klimatprof.online/upload/iblock/e21/kanalnye-split-sistemy-tosot-2-pokoleniya.png</t>
  </si>
  <si>
    <t>https://klimatprof.online/upload/iblock/88f/42_48.jpg | https://klimatprof.online/upload/iblock/fe7/Nasos_otvoda_kondensata.jpg | https://klimatprof.online/upload/iblock/f5b/23254.jpg</t>
  </si>
  <si>
    <t>26/</t>
  </si>
  <si>
    <t>D</t>
  </si>
  <si>
    <t>c00409623</t>
  </si>
  <si>
    <t>Блок наружный T42H-LU3/O</t>
  </si>
  <si>
    <t>b00359901</t>
  </si>
  <si>
    <t>Сплит-система T24H-LD2/I2_T24H-LU2/O</t>
  </si>
  <si>
    <t>https://klimatprof.online/upload/iblock/e08/T24-30H-LD2_I2.jpg</t>
  </si>
  <si>
    <t>https://klimatprof.online/upload/iblock/e14/42_48.jpg | https://klimatprof.online/upload/iblock/961/Nasos_otvoda_kondensata.jpg | https://klimatprof.online/upload/iblock/a3f/23254.jpg</t>
  </si>
  <si>
    <t>T24H-LD2/I2/T24H-LU2/O</t>
  </si>
  <si>
    <t>T24H-LD2/I2</t>
  </si>
  <si>
    <t>T24H-LU2/O</t>
  </si>
  <si>
    <t>0-30</t>
  </si>
  <si>
    <t>43/38/34/32</t>
  </si>
  <si>
    <t>c00407752</t>
  </si>
  <si>
    <t>Сплит-система T36H-LD3/I/T36H-LU3/O</t>
  </si>
  <si>
    <t>https://klimatprof.online/upload/iblock/468/LCAC 3 Duct IDU.png</t>
  </si>
  <si>
    <t>https://klimatprof.online/upload/iblock/bc2/LCAC 3 ODU.png | https://klimatprof.online/upload/iblock/dd4/XK117 прозрачный PNG.png | https://klimatprof.online/upload/iblock/6eb/YB1FA прозрачный PNG.png</t>
  </si>
  <si>
    <t>b00359904</t>
  </si>
  <si>
    <t>Сплит-система T42H-LD2/I2_T42H-LU2/O</t>
  </si>
  <si>
    <t>https://klimatprof.online/upload/iblock/d48/T36-42-48H-LD2_I2.jpg</t>
  </si>
  <si>
    <t>https://klimatprof.online/upload/iblock/188/42_48.jpg | https://klimatprof.online/upload/iblock/804/Nasos_otvoda_kondensata.jpg | https://klimatprof.online/upload/iblock/408/23254.jpg</t>
  </si>
  <si>
    <t>T42H-LD2/I2/T42H-LU2/O</t>
  </si>
  <si>
    <t>T42H-LD2/I2</t>
  </si>
  <si>
    <t>T42H-LU2/O</t>
  </si>
  <si>
    <t>0-75</t>
  </si>
  <si>
    <t>51/48/46/44</t>
  </si>
  <si>
    <t>b00359905</t>
  </si>
  <si>
    <t>Сплит-система T48H-LD2/I2_T48H-LU2/O</t>
  </si>
  <si>
    <t>https://klimatprof.online/upload/iblock/855/60K.jpg</t>
  </si>
  <si>
    <t>https://klimatprof.online/upload/iblock/76f/42_48.jpg | https://klimatprof.online/upload/iblock/d35/Nasos_otvoda_kondensata.jpg | https://klimatprof.online/upload/iblock/eb9/YB1FA .jpg</t>
  </si>
  <si>
    <t>T48H-LD2/I2/T48H-LU2/O</t>
  </si>
  <si>
    <t>T48H-LD2/I2</t>
  </si>
  <si>
    <t>T48H-LU2/O</t>
  </si>
  <si>
    <t>c00406747</t>
  </si>
  <si>
    <t>Сплит-система T60H-LD3/I/T60H-LU3/O</t>
  </si>
  <si>
    <t>https://klimatprof.online/upload/iblock/0a5/T60H-LD2_I2.jpg</t>
  </si>
  <si>
    <t>https://klimatprof.online/upload/iblock/4d6/42_48.jpg | https://klimatprof.online/upload/iblock/8ae/23254.jpg | https://klimatprof.online/upload/iblock/32e/Nasos_otvoda_kondensata.jpg</t>
  </si>
  <si>
    <t>0-150</t>
  </si>
  <si>
    <t>37/40/45/47</t>
  </si>
  <si>
    <t>b00359902</t>
  </si>
  <si>
    <t>Сплит-система T30H-LD2/I2_T30H-LU2/O</t>
  </si>
  <si>
    <t>https://klimatprof.online/upload/iblock/212/T24-30H-LD2_I2.jpg</t>
  </si>
  <si>
    <t>https://klimatprof.online/upload/iblock/83e/42_48.jpg | https://klimatprof.online/upload/iblock/36c/Nasos_otvoda_kondensata.jpg | https://klimatprof.online/upload/iblock/0ac/23254.jpg</t>
  </si>
  <si>
    <t>T30H-LD2/I2/T30H-LU2/O</t>
  </si>
  <si>
    <t>T30H-LD2/I2</t>
  </si>
  <si>
    <t>T30H-LU2/O</t>
  </si>
  <si>
    <t>0-50</t>
  </si>
  <si>
    <t>48/46/45/44</t>
  </si>
  <si>
    <t>c00409619</t>
  </si>
  <si>
    <t>Сплит-система T42H-LD3/I / T42H-LU3/O</t>
  </si>
  <si>
    <t>Внутренние блоки кассетных полупромышленных сплит-систем представлены в&amp;nbsp;компактном(650х650 мм) и&amp;nbsp;стандартном&amp;nbsp;(950х950 мм)&amp;nbsp;исполнениях.&amp;nbsp;Блоки устанавливаются в подвесной потолок и обеспечивают равномерное охлаждение/обогрев помещения за счет подачи воздуха в четырех направлениях. Небольшая высота (от 230 мм) и встроенный насос отвода конденсата облегчают монтаж кассетных сплит-систем. Предусмотрена возможность подсоединения воздуховода для подмеса свежего воздуха в количестве 10% от общего объема рециркулируемого воздуха.</t>
  </si>
  <si>
    <t>https://klimatprof.online/upload/iblock/6ba/345345.png</t>
  </si>
  <si>
    <t>https://klimatprof.online/upload/iblock/068/42_48.jpg | https://klimatprof.online/upload/iblock/c3b/23423432.png | https://klimatprof.online/upload/iblock/2cc/YB1FA.jpg</t>
  </si>
  <si>
    <t>33/</t>
  </si>
  <si>
    <t>11/10</t>
  </si>
  <si>
    <t>b00359893</t>
  </si>
  <si>
    <t>Сплит-система T18H-LC2/I_TC03P-LC_T18H-LU2/O</t>
  </si>
  <si>
    <t>https://klimatprof.online/upload/iblock/ef1/Cassettee_indoor.jpg</t>
  </si>
  <si>
    <t>https://klimatprof.online/upload/iblock/325/42_48.jpg | https://klimatprof.online/upload/iblock/dfd/YBFA.jpg | https://klimatprof.online/upload/iblock/eda/XK60.png</t>
  </si>
  <si>
    <t>T18H-LC2/I_TС03P-LC_T18H-LU2/O</t>
  </si>
  <si>
    <t>T18H-LC2/I</t>
  </si>
  <si>
    <t>T18H-LU2/O</t>
  </si>
  <si>
    <t>TС03P-LC</t>
  </si>
  <si>
    <t>50/49/47/46</t>
  </si>
  <si>
    <t>c00407886</t>
  </si>
  <si>
    <t>Сплит-система T18H-LC3/I / TF05P-LC / T18H-LU3/O</t>
  </si>
  <si>
    <t>https://klimatprof.online/upload/iblock/a27/LCAC 3 Cassette IDU прозрачный PNG.png</t>
  </si>
  <si>
    <t>https://klimatprof.online/upload/iblock/a8f/LCAC 3 ODU.png | https://klimatprof.online/upload/iblock/1e5/XK117 прозрачный PNG.png | https://klimatprof.online/upload/iblock/503/YB1FA прозрачный PNG.png</t>
  </si>
  <si>
    <t>25/</t>
  </si>
  <si>
    <t>35/38/43/44</t>
  </si>
  <si>
    <t>b00359894</t>
  </si>
  <si>
    <t>Сплит-система T24H-LC2/I_TC04P-LC_T24H-LU2/O</t>
  </si>
  <si>
    <t>https://klimatprof.online/upload/iblock/a9a/Cassettee_indoor.jpg</t>
  </si>
  <si>
    <t>https://klimatprof.online/upload/iblock/8c1/42_48.jpg | https://klimatprof.online/upload/iblock/b1d/YBFA.jpg | https://klimatprof.online/upload/iblock/6af/XK60.png</t>
  </si>
  <si>
    <t>T24H-LC2/I_TС04P-LC_T24H-LU2/O</t>
  </si>
  <si>
    <t>T24H-LC2/I</t>
  </si>
  <si>
    <t>TС04P-LC</t>
  </si>
  <si>
    <t>49/48/47/46</t>
  </si>
  <si>
    <t>c00407887</t>
  </si>
  <si>
    <t>Сплит-система T24H-LC3/I / TF06P-LC / T24H-LU3/O</t>
  </si>
  <si>
    <t>https://klimatprof.online/upload/iblock/f84/LCAC 3 Cassette IDU прозрачный PNG.png</t>
  </si>
  <si>
    <t>https://klimatprof.online/upload/iblock/04b/LCAC 3 ODU.png | https://klimatprof.online/upload/iblock/b16/XK117 прозрачный PNG.png | https://klimatprof.online/upload/iblock/a11/YB1FA прозрачный PNG.png</t>
  </si>
  <si>
    <t>39/42/45/46</t>
  </si>
  <si>
    <t>b00359895</t>
  </si>
  <si>
    <t>Сплит-система T30H-LC2/I_TC04P-LC_T30H-LU2/O</t>
  </si>
  <si>
    <t>https://klimatprof.online/upload/iblock/461/Cassettee_indoor.jpg</t>
  </si>
  <si>
    <t>https://klimatprof.online/upload/iblock/c34/42_48.jpg | https://klimatprof.online/upload/iblock/06e/YBFA.jpg</t>
  </si>
  <si>
    <t>T30H-LC2/I_TС04P-LC_T30H-LU2/O</t>
  </si>
  <si>
    <t>T30H-LC2/I</t>
  </si>
  <si>
    <t>51/50/49/48</t>
  </si>
  <si>
    <t>c00409614</t>
  </si>
  <si>
    <t>Сплит-система T30H-LC3/I / TF06P-LC / T30H-LU3/O</t>
  </si>
  <si>
    <t>45/48/50/52</t>
  </si>
  <si>
    <t>b00359896</t>
  </si>
  <si>
    <t>Сплит-система T36H-LC2/I_TC04P-LC_T36H-LU2/O</t>
  </si>
  <si>
    <t>https://klimatprof.online/upload/iblock/e17/Cassettee_indoor.jpg</t>
  </si>
  <si>
    <t>https://klimatprof.online/upload/iblock/2ee/42_48.jpg | https://klimatprof.online/upload/iblock/e03/YBFA.jpg | https://klimatprof.online/upload/iblock/0e3/XK60.png</t>
  </si>
  <si>
    <t>T36H-LC2/I_TС04P-LC_T36H-LU2/O</t>
  </si>
  <si>
    <t>T36H-LC2/I</t>
  </si>
  <si>
    <t>T36H-LU2/O</t>
  </si>
  <si>
    <t>52/47/46/43</t>
  </si>
  <si>
    <t>c00407751</t>
  </si>
  <si>
    <t>Сплит-система T36H-LC3/I / TF06P-LC / T36H-LU3/O</t>
  </si>
  <si>
    <t>https://klimatprof.online/upload/iblock/7e2/LCAC 3 Cassette IDU прозрачный PNG.png</t>
  </si>
  <si>
    <t>https://klimatprof.online/upload/iblock/83a/LCAC 3 ODU.png | https://klimatprof.online/upload/iblock/23b/XK117 прозрачный PNG.png | https://klimatprof.online/upload/iblock/b0f/YB1FA прозрачный PNG.png</t>
  </si>
  <si>
    <t>b00359897</t>
  </si>
  <si>
    <t>Сплит-система T42H-LC2/I_TC04P-LC_T42H-LU2/O</t>
  </si>
  <si>
    <t>https://klimatprof.online/upload/iblock/1bf/Cassettee_indoor.jpg</t>
  </si>
  <si>
    <t>https://klimatprof.online/upload/iblock/426/42_48.jpg | https://klimatprof.online/upload/iblock/85e/YBFA.jpg | https://klimatprof.online/upload/iblock/db4/XK60.png</t>
  </si>
  <si>
    <t>T42H-LC2/I_TС04P-LC_T42H-LU2/O</t>
  </si>
  <si>
    <t>T42H-LC2/I</t>
  </si>
  <si>
    <t>b00359898</t>
  </si>
  <si>
    <t>Сплит-система T48H-LC2/I_TC04P-LC_T48H-LU2/O</t>
  </si>
  <si>
    <t>https://klimatprof.online/upload/iblock/9da/Cassettee_indoor.jpg</t>
  </si>
  <si>
    <t>https://klimatprof.online/upload/iblock/40c/42_48.jpg | https://klimatprof.online/upload/iblock/23f/YBFA.jpg</t>
  </si>
  <si>
    <t>T48H-LC2/I_TС04P-LC_T48H-LU2/O</t>
  </si>
  <si>
    <t>T48H-LC2/I</t>
  </si>
  <si>
    <t>c00406014</t>
  </si>
  <si>
    <t>Сплит-система T48H-LC3/I_TF06P-LC_T48H-LU3/O</t>
  </si>
  <si>
    <t>https://klimatprof.online/upload/iblock/7f8/345345.png</t>
  </si>
  <si>
    <t>https://klimatprof.online/upload/iblock/aa1/23423432.png | https://klimatprof.online/upload/iblock/d2c/XK117.jpg | https://klimatprof.online/upload/iblock/9c5/YB1FA.bmp</t>
  </si>
  <si>
    <t>45/47/51/54</t>
  </si>
  <si>
    <t>b00359899</t>
  </si>
  <si>
    <t>Сплит-система T60H-LC2/I_TC04P-LC_T60H-LU2/O</t>
  </si>
  <si>
    <t>https://klimatprof.online/upload/iblock/f02/Cassettee_indoor.jpg</t>
  </si>
  <si>
    <t>https://klimatprof.online/upload/iblock/d15/42_48.jpg</t>
  </si>
  <si>
    <t>T60H-LC2/I_TС04P-LC_T60H-LU2/O</t>
  </si>
  <si>
    <t>T60H-LC2/I</t>
  </si>
  <si>
    <t>T60H-LU2/O</t>
  </si>
  <si>
    <t>c00406018</t>
  </si>
  <si>
    <t>Сплит-система T60H-LC3/I_TF06P-LC_T60H-LU3/O</t>
  </si>
  <si>
    <t>https://klimatprof.online/upload/iblock/43c/345345.png</t>
  </si>
  <si>
    <t>https://klimatprof.online/upload/iblock/eca/23423432.png | https://klimatprof.online/upload/iblock/c59/XK117.jpg | https://klimatprof.online/upload/iblock/61d/YB1FA.bmp</t>
  </si>
  <si>
    <t>45/47/51/55</t>
  </si>
  <si>
    <t>c00410706</t>
  </si>
  <si>
    <t>Сплит-система Т24H-FT/I / Т24H-FT/O</t>
  </si>
  <si>
    <t>Колонные сплит-системы</t>
  </si>
  <si>
    <t xml:space="preserve">	 Колонные блоки оснащены надежным компрессором постоянной производительности GREE и представляют собой высокомощное оборудование для кондиционирования больших помещений.</t>
  </si>
  <si>
    <t>https://klimatprof.online/upload/iblock/f1a/48_55_FT.png</t>
  </si>
  <si>
    <t>https://klimatprof.online/upload/iblock/584/ODU.png | https://klimatprof.online/upload/iblock/bc4/YAP1F.png</t>
  </si>
  <si>
    <t>38/41/44/46</t>
  </si>
  <si>
    <t>c00410709</t>
  </si>
  <si>
    <t>Сплит-система Т48H-FT/I / Т48H-FT/O</t>
  </si>
  <si>
    <t>c00410712</t>
  </si>
  <si>
    <t>Сплит-система Т55H-FT/I / Т55H-FT/O</t>
  </si>
  <si>
    <t>44/47/50/52</t>
  </si>
  <si>
    <t>https://klimatprof.online/upload/iblock/8d6/Napolno_potolochnyi_blok_.png</t>
  </si>
  <si>
    <t>https://klimatprof.online/upload/iblock/786/T18-24H-LU2_O_.png | https://klimatprof.online/upload/iblock/0a8/YB1FA_.png | https://klimatprof.online/upload/iblock/58e/XK60.png</t>
  </si>
  <si>
    <t>17/</t>
  </si>
  <si>
    <t>10/10</t>
  </si>
  <si>
    <t>b00367529</t>
  </si>
  <si>
    <t>Сплит-система T18H-LF2/I_T18H-LU2/O</t>
  </si>
  <si>
    <t>https://klimatprof.online/upload/iblock/f1d/Napolno_potolochnyi_blok_.png</t>
  </si>
  <si>
    <t>https://klimatprof.online/upload/iblock/4da/T18-24H-LU2_O_.png | https://klimatprof.online/upload/iblock/cff/YB1FA_.png</t>
  </si>
  <si>
    <t>T18H-LF2/I/T18H-LU2/O</t>
  </si>
  <si>
    <t>T18H-LF2/I</t>
  </si>
  <si>
    <t>33-37</t>
  </si>
  <si>
    <t>c00407888</t>
  </si>
  <si>
    <t>Сплит-система T18H-LF3/I / T18H-LU3/O</t>
  </si>
  <si>
    <t>https://klimatprof.online/upload/iblock/e68/LCAC 3 Floor Ceiling IDU.png</t>
  </si>
  <si>
    <t>https://klimatprof.online/upload/iblock/f2f/LCAC 3 ODU.png | https://klimatprof.online/upload/iblock/219/XK117 прозрачный PNG.png | https://klimatprof.online/upload/iblock/c79/YB1FA прозрачный PNG.png</t>
  </si>
  <si>
    <t>33/37/40/41</t>
  </si>
  <si>
    <t>b00367530</t>
  </si>
  <si>
    <t>Сплит-система T24H-LF2/I_T24H-LU2/O</t>
  </si>
  <si>
    <t>https://klimatprof.online/upload/iblock/cb1/Napolno_potolochnyi_blok_.png</t>
  </si>
  <si>
    <t>https://klimatprof.online/upload/iblock/2de/T18-24H-LU2_O_.png | https://klimatprof.online/upload/iblock/123/YB1FA_.png</t>
  </si>
  <si>
    <t>T24H-LF2/I/T24H-LU2/O</t>
  </si>
  <si>
    <t>T24H-LF2/I</t>
  </si>
  <si>
    <t>40-46</t>
  </si>
  <si>
    <t>c00407889</t>
  </si>
  <si>
    <t>Сплит-система T24H-LF3/I / T24H-LU3/O</t>
  </si>
  <si>
    <t>https://klimatprof.online/upload/iblock/6c1/LCAC 3 Floor Ceiling IDU.png</t>
  </si>
  <si>
    <t>https://klimatprof.online/upload/iblock/9a1/LCAC 3 ODU.png | https://klimatprof.online/upload/iblock/390/XK117 прозрачный PNG.png | https://klimatprof.online/upload/iblock/ef5/YB1FA прозрачный PNG.png</t>
  </si>
  <si>
    <t>41/44/46/47</t>
  </si>
  <si>
    <t>b00367532</t>
  </si>
  <si>
    <t>Сплит-система T36H-LF2/I_T36H-LU2/O</t>
  </si>
  <si>
    <t>https://klimatprof.online/upload/iblock/013/Napolno_potolochnyi_blok_.png</t>
  </si>
  <si>
    <t>https://klimatprof.online/upload/iblock/4b9/T30-36H-LU2_O_.jpg | https://klimatprof.online/upload/iblock/e8d/YB1FA_.png</t>
  </si>
  <si>
    <t>T36H-LF2/I/T36H-LU2/O</t>
  </si>
  <si>
    <t>T36H-LF2/I</t>
  </si>
  <si>
    <t>49-51</t>
  </si>
  <si>
    <t>c00410427</t>
  </si>
  <si>
    <t>Сплит-система T36H-LF3/I / T36H-LU3/O</t>
  </si>
  <si>
    <t>https://klimatprof.online/upload/iblock/ea9/LCAC 3 Floor Ceiling IDU.png</t>
  </si>
  <si>
    <t>https://klimatprof.online/upload/iblock/3c7/LCAC 3 ODU.png | https://klimatprof.online/upload/iblock/3bd/XK117 прозрачный PNG.png | https://klimatprof.online/upload/iblock/b9a/YB1FA прозрачный PNG.png</t>
  </si>
  <si>
    <t>48/49/50/51</t>
  </si>
  <si>
    <t>b00367533</t>
  </si>
  <si>
    <t>Сплит-система T42H-LF2/I_T42H-LU2/O</t>
  </si>
  <si>
    <t>https://klimatprof.online/upload/iblock/e03/Napolno_potolochnyi_blok_.png</t>
  </si>
  <si>
    <t>https://klimatprof.online/upload/iblock/193/T42-48H-LU2_O_.png | https://klimatprof.online/upload/iblock/146/YB1FA_.png</t>
  </si>
  <si>
    <t>T42H-LF2/I/T42H-LU2/O</t>
  </si>
  <si>
    <t>T42H-LF2/I</t>
  </si>
  <si>
    <t>b00367534</t>
  </si>
  <si>
    <t>Сплит-система T48H-LF2/I_T48H-LU2/O</t>
  </si>
  <si>
    <t>https://klimatprof.online/upload/iblock/cd4/Napolno_potolochnyi_blok_.png</t>
  </si>
  <si>
    <t>https://klimatprof.online/upload/iblock/d4a/T42-48H-LU2_O_.png | https://klimatprof.online/upload/iblock/56f/YB1FA_.png</t>
  </si>
  <si>
    <t>T48H-LF2/I/T48H-LU2/O</t>
  </si>
  <si>
    <t>T48H-LF2/I</t>
  </si>
  <si>
    <t>c00406748</t>
  </si>
  <si>
    <t>Сплит-система T48H-LF3/I/T48H-LU3/O</t>
  </si>
  <si>
    <t>51/52/53/54</t>
  </si>
  <si>
    <t>b00367535</t>
  </si>
  <si>
    <t>Сплит-система T60H-LF2/I_T60H-LU2/O</t>
  </si>
  <si>
    <t>https://klimatprof.online/upload/iblock/041/Napolno_potolochnyi_blok_.png</t>
  </si>
  <si>
    <t>https://klimatprof.online/upload/iblock/a51/T60H-LU2_O_.png | https://klimatprof.online/upload/iblock/e61/YB1FA_.png</t>
  </si>
  <si>
    <t>T60H-LF2/I/T60H-LU2/O</t>
  </si>
  <si>
    <t>T60H-LF2/I</t>
  </si>
  <si>
    <t>c00406749</t>
  </si>
  <si>
    <t>Сплит-система T60H-LF3/I/T60H-LU3/O</t>
  </si>
  <si>
    <t>https://klimatprof.online/upload/iblock/c3c/54253425.png</t>
  </si>
  <si>
    <t>https://klimatprof.online/upload/iblock/dd1/T60H-LU2_O.png | https://klimatprof.online/upload/iblock/b67/3453453425.png | https://klimatprof.online/upload/iblock/793/XK60.png</t>
  </si>
  <si>
    <t>b00367531</t>
  </si>
  <si>
    <t>Сплит-система T30H-LF2/I_T30H-LU2/O</t>
  </si>
  <si>
    <t>https://klimatprof.online/upload/iblock/a22/Napolno_potolochnyi_blok_.png</t>
  </si>
  <si>
    <t>https://klimatprof.online/upload/iblock/6fc/T30-36H-LU2_O_.jpg | https://klimatprof.online/upload/iblock/4d5/YB1FA_.png</t>
  </si>
  <si>
    <t>T30H-LF2/I/T30H-LU2/O</t>
  </si>
  <si>
    <t>T30H-LF2/I</t>
  </si>
  <si>
    <t>43-48</t>
  </si>
  <si>
    <t>000163893</t>
  </si>
  <si>
    <t>Блок внутренний T09H-FD/I</t>
  </si>
  <si>
    <t>https://klimatprof.online/upload/iblock/d57/Vnutrennij_kanalnyj.png</t>
  </si>
  <si>
    <t>https://klimatprof.online/upload/iblock/2ec/Provodnoj_pult_upravleniya_XK19.jpg | https://klimatprof.online/upload/iblock/4af/Besprovodnoj_pult_upravleniya_YT1F.png | https://klimatprof.online/upload/iblock/64b/Derzhatel_dlja_pulta_upravlenija.png</t>
  </si>
  <si>
    <t>T09H-FD/I</t>
  </si>
  <si>
    <t>31/37</t>
  </si>
  <si>
    <t>e00430957</t>
  </si>
  <si>
    <t>Блок внутренний T09H-FDA/I</t>
  </si>
  <si>
    <t>https://klimatprof.online/upload/iblock/a9d/Vnutrennij_kanalnyj.png</t>
  </si>
  <si>
    <t>https://klimatprof.online/upload/iblock/511/359zgbeoo94gpgwlrfz8kpsaomdms6bb/пульт 2.jpg | https://klimatprof.online/upload/iblock/401/v5hu5g3lhwi2wr5d76jjbhymp3eeibt3/пульт 3.jpg</t>
  </si>
  <si>
    <t>31/34/37/41</t>
  </si>
  <si>
    <t>000163894</t>
  </si>
  <si>
    <t>Блок внутренний T12H-FD/I</t>
  </si>
  <si>
    <t>https://klimatprof.online/upload/iblock/965/Vnutrennij_kanalnyj.png</t>
  </si>
  <si>
    <t>https://klimatprof.online/upload/iblock/dfd/Provodnoj_pult_upravleniya_XK19.jpg | https://klimatprof.online/upload/iblock/521/Besprovodnoj_pult_upravleniya_YT1F.png | https://klimatprof.online/upload/iblock/31c/Derzhatel_dlya_pulta_upravlenia.png</t>
  </si>
  <si>
    <t>T12H-FD/I</t>
  </si>
  <si>
    <t>32/39</t>
  </si>
  <si>
    <t>e00430958</t>
  </si>
  <si>
    <t>Блок внутренний T12H-FDA/I</t>
  </si>
  <si>
    <t>32/35/39/42</t>
  </si>
  <si>
    <t>000163895</t>
  </si>
  <si>
    <t>Блок внутренний T18H-FD/I</t>
  </si>
  <si>
    <t>https://klimatprof.online/upload/iblock/306/Vnutrennij_kanalnyj.png</t>
  </si>
  <si>
    <t>https://klimatprof.online/upload/iblock/9b4/Provodnoj_pult_upravleniya_XK19.jpg | https://klimatprof.online/upload/iblock/dde/Besprovodnoj_pult_upravleniya_YT1F.png | https://klimatprof.online/upload/iblock/4c4/Derzhatel_dlja_pulta_upravlenija.png</t>
  </si>
  <si>
    <t>T18H-FD/I</t>
  </si>
  <si>
    <t>33/40</t>
  </si>
  <si>
    <t>e00430959</t>
  </si>
  <si>
    <t>Блок внутренний T18H-FDA/I</t>
  </si>
  <si>
    <t>33/36/41/45</t>
  </si>
  <si>
    <t>000163896</t>
  </si>
  <si>
    <t>Блок внутренний T21H-FD/I</t>
  </si>
  <si>
    <t>https://klimatprof.online/upload/iblock/a55/Vnutrennij_kanalnyj.png</t>
  </si>
  <si>
    <t>https://klimatprof.online/upload/iblock/a07/Provodnoj_pult_upravleniya_XK19.jpg | https://klimatprof.online/upload/iblock/8f0/Besprovodnoj_pult_upravleniya_YT1F.png | https://klimatprof.online/upload/iblock/e65/Derzhatel_dlya_pulta_upravlenia.png</t>
  </si>
  <si>
    <t>T21H-FD/I</t>
  </si>
  <si>
    <t>34/42</t>
  </si>
  <si>
    <t>e00430960</t>
  </si>
  <si>
    <t>Блок внутренний T21H-FDA/I</t>
  </si>
  <si>
    <t>34/37/42/48</t>
  </si>
  <si>
    <t>000163897</t>
  </si>
  <si>
    <t>Блок внутренний T24H-FD/I</t>
  </si>
  <si>
    <t>https://klimatprof.online/upload/iblock/cb1/Vnutrennij_kanalnyj.png</t>
  </si>
  <si>
    <t>https://klimatprof.online/upload/iblock/896/Provodnoj_pult_upravleniya_XK19.jpg | https://klimatprof.online/upload/iblock/8ad/Besprovodnoj_pult_upravleniya_YT1F.png | https://klimatprof.online/upload/iblock/8d0/Derzhatel_dlja_pulta_upravlenija.png</t>
  </si>
  <si>
    <t>T24H-FD/I</t>
  </si>
  <si>
    <t>e00430961</t>
  </si>
  <si>
    <t>Блок внутренний T24H-FDA/I</t>
  </si>
  <si>
    <t>k00332607</t>
  </si>
  <si>
    <t>Блок внутренний T12H-FC/I4 / TA03</t>
  </si>
  <si>
    <t>Внутренние блоки кассетного типа</t>
  </si>
  <si>
    <t>https://klimatprof.online/upload/iblock/213/245534543543.png</t>
  </si>
  <si>
    <t>https://klimatprof.online/upload/iblock/037/Provodnoj_pult_upravleniya_XK19.jpg | https://klimatprof.online/upload/iblock/d9d/Besprovodnoj_pult_upravleniya_YT1F.png | https://klimatprof.online/upload/iblock/2e5/Derzhatel_dlja_pulta_upravlenija.png</t>
  </si>
  <si>
    <t>T12H-FC/I4</t>
  </si>
  <si>
    <t>ТA03</t>
  </si>
  <si>
    <t>e00431950</t>
  </si>
  <si>
    <t>Блок внутренний T12H-FCA/I4/TC03P-LC</t>
  </si>
  <si>
    <t xml:space="preserve">	 Наиболее эффективным решением для создания комфортного микроклимата в помещениях большой площади являются кассетные кондиционеры. Блоки устанавливаются в подвесной потолок и обеспечивают равномерное охлаждение или обогрев за счет подачи воздуха в четырех направлениях. Внутренние блоки кассетного типа универсальны для серий наружных блоков Free Match и Free Match Super.</t>
  </si>
  <si>
    <t>https://klimatprof.online/upload/iblock/740/245534543543.png</t>
  </si>
  <si>
    <t>https://klimatprof.online/upload/iblock/bf7/usqzvtc7iqkgbwjprq43jwn3mn6d100a/пульт 3.jpg</t>
  </si>
  <si>
    <t>k00332608</t>
  </si>
  <si>
    <t>Блок внутренний T18H-FC/I4 / TA03</t>
  </si>
  <si>
    <t>https://klimatprof.online/upload/iblock/1ef/245534543543.png</t>
  </si>
  <si>
    <t>https://klimatprof.online/upload/iblock/bc6/Provodnoj_pult_upravleniya_XK19.jpg | https://klimatprof.online/upload/iblock/781/Besprovodnoj_pult_upravleniya_YT1F.png | https://klimatprof.online/upload/iblock/0d3/Derzhatel_dlja_pulta_upravlenija.png</t>
  </si>
  <si>
    <t>T18H-FC/I4</t>
  </si>
  <si>
    <t>e00431951</t>
  </si>
  <si>
    <t>Блок внутренний T18H-FCA/I4/TC03P-LC</t>
  </si>
  <si>
    <t>e00431952</t>
  </si>
  <si>
    <t>Блок внутренний T24H-FCA/I/TC04P-LC</t>
  </si>
  <si>
    <t>k00159821</t>
  </si>
  <si>
    <t>Блок внутренний кассетный T24H-FC/I_TB04</t>
  </si>
  <si>
    <t>https://klimatprof.online/upload/iblock/3c5/245534543543.png</t>
  </si>
  <si>
    <t>https://klimatprof.online/upload/iblock/8c9/Provodnoj_pult_upravleniya_XK19.jpg | https://klimatprof.online/upload/iblock/d12/Besprovodnoj_pult_upravleniya_YT1F.png | https://klimatprof.online/upload/iblock/9c6/Derzhatel_dlya_pulta_upravlenia.png</t>
  </si>
  <si>
    <t>T24H-FC/I</t>
  </si>
  <si>
    <t>ТВ04</t>
  </si>
  <si>
    <t>000163889</t>
  </si>
  <si>
    <t>Блок внутренний T09H-FF/I</t>
  </si>
  <si>
    <t xml:space="preserve">Преимущества серии:					Универсальность в размещении		Широкий угол подачи воздуха		Информативный LED-дисплей		Функция подготовки воздуха для предотвращения поступления холодного воздуха в помещение при запуске кондиционера в режиме обогрева		Комплектация проводным и беспроводным пультами управления		Гарантия 4 года			</t>
  </si>
  <si>
    <t>https://klimatprof.online/upload/iblock/c8b/Vnutrennij_napolno_potolochnyj.jpg</t>
  </si>
  <si>
    <t>https://klimatprof.online/upload/iblock/9fe/Provodnoj_pult_upravleniya_XK19.jpg | https://klimatprof.online/upload/iblock/26f/Besprovodnoj_pult_upravleniya_YT1F.png | https://klimatprof.online/upload/iblock/f70/Derzhatel_dlja_pulta_upravlenija.png</t>
  </si>
  <si>
    <t>T09H-FF/I</t>
  </si>
  <si>
    <t>36/40</t>
  </si>
  <si>
    <t>000163890</t>
  </si>
  <si>
    <t>Блок внутренний T12H-FF/I</t>
  </si>
  <si>
    <t xml:space="preserve">Преимущества серии:					Универсальность в размещении		Широкий угол подачи воздуха		Информативный LED-дисплей		Функция подготовки воздуха для предотвращения поступления холодного воздуха в помещение при запуске кондиционера в режиме обогрева		Комплектация проводным и беспроводным пультами управления		Гарантия 4 года			 </t>
  </si>
  <si>
    <t>https://klimatprof.online/upload/iblock/795/Vnutrennij_napolno_potolochnyj.jpg</t>
  </si>
  <si>
    <t>https://klimatprof.online/upload/iblock/f89/Provodnoj_pult_upravleniya_XK19.jpg | https://klimatprof.online/upload/iblock/b1b/Besprovodnoj_pult_upravleniya_YT1F.png | https://klimatprof.online/upload/iblock/358/Derzhatel_dlya_pulta_upravlenia.png</t>
  </si>
  <si>
    <t>T12H-FF/I</t>
  </si>
  <si>
    <t>000163891</t>
  </si>
  <si>
    <t>Блок внутренний T18H-FF/I</t>
  </si>
  <si>
    <t>https://klimatprof.online/upload/iblock/3a7/Vnutrennij_napolno_potolochnyj.jpg</t>
  </si>
  <si>
    <t>https://klimatprof.online/upload/iblock/d53/Provodnoj_pult_upravleniya_XK19.jpg | https://klimatprof.online/upload/iblock/dd8/Besprovodnoj_pult_upravleniya_YT1F.png | https://klimatprof.online/upload/iblock/3bf/Derzhatel_dlya_pulta_upravlenia.png</t>
  </si>
  <si>
    <t>T18H-FF/I</t>
  </si>
  <si>
    <t>40/45</t>
  </si>
  <si>
    <t>000163892</t>
  </si>
  <si>
    <t>Блок внутренний T24H-FF/I</t>
  </si>
  <si>
    <t>https://klimatprof.online/upload/iblock/88f/Vnutrennij_napolno_potolochnyj.jpg</t>
  </si>
  <si>
    <t>https://klimatprof.online/upload/iblock/e60/Provodnoj_pult_upravleniya_XK19.jpg | https://klimatprof.online/upload/iblock/9b2/Besprovodnoj_pult_upravleniya_YT1F.png | https://klimatprof.online/upload/iblock/722/Derzhatel_dlja_pulta_upravlenija.png</t>
  </si>
  <si>
    <t>T24H-FF/I</t>
  </si>
  <si>
    <t>40/48</t>
  </si>
  <si>
    <t>e00420218</t>
  </si>
  <si>
    <t>Блок внутренний T07H-SLyIM/I</t>
  </si>
  <si>
    <t>Внутренние блоки настенного типа серии Lyra Inverter</t>
  </si>
  <si>
    <t>https://klimatprof.online/upload/iblock/43c/Lyra_F.png</t>
  </si>
  <si>
    <t>https://klimatprof.online/upload/iblock/de1/Lyra __YAA1FB.png</t>
  </si>
  <si>
    <t>24/31/37/40</t>
  </si>
  <si>
    <t>e00420219</t>
  </si>
  <si>
    <t>Блок внутренний T09H-SLyIM/I</t>
  </si>
  <si>
    <t>27/35/37/40</t>
  </si>
  <si>
    <t>e00420220</t>
  </si>
  <si>
    <t>Блок внутренний T12H-SLyIM/I</t>
  </si>
  <si>
    <t>29/33/36/40</t>
  </si>
  <si>
    <t>e00420221</t>
  </si>
  <si>
    <t>Блок внутренний T18H-SLyIM/I</t>
  </si>
  <si>
    <t>33/37/43/45</t>
  </si>
  <si>
    <t>e00420222</t>
  </si>
  <si>
    <t>Блок внутренний T24H-SLyIM/I</t>
  </si>
  <si>
    <t>34/39/43/47</t>
  </si>
  <si>
    <t>e00430949</t>
  </si>
  <si>
    <t>Блок внутренний T07H-SLyRA/I</t>
  </si>
  <si>
    <t>Внутренние блоки настенного типа серии Lyra Inverter R32</t>
  </si>
  <si>
    <t>https://klimatprof.online/upload/iblock/694/gtzdw4xxcytoi4oh1sghyuja1t9g30y3/Lyra.JPG</t>
  </si>
  <si>
    <t>https://klimatprof.online/upload/iblock/0ae/ykulgip4v7lu9ims6xy2c1iujcpkifqu/Пульт_1.jpg</t>
  </si>
  <si>
    <t>e00430950</t>
  </si>
  <si>
    <t>Блок внутренний T09H-SLyRA/I</t>
  </si>
  <si>
    <t>e00430951</t>
  </si>
  <si>
    <t>Блок внутренний T12H-SLyRA/I</t>
  </si>
  <si>
    <t>e00430952</t>
  </si>
  <si>
    <t>Блок внутренний T18H-SLyRA/I</t>
  </si>
  <si>
    <t>e00430953</t>
  </si>
  <si>
    <t>Блок внутренний T24H-SLyRA/I</t>
  </si>
  <si>
    <t>000337561</t>
  </si>
  <si>
    <t>Блок наружный T14H-FM4/O</t>
  </si>
  <si>
    <t>Наружные блоки Free Match Euro</t>
  </si>
  <si>
    <t>https://klimatprof.online/upload/iblock/42c/outdoor_tosot.jpg</t>
  </si>
  <si>
    <t>https://klimatprof.online/upload/iblock/bad/2134213.jpg | https://klimatprof.online/upload/iblock/e03/21321321.png</t>
  </si>
  <si>
    <t>T14H-FM4/O</t>
  </si>
  <si>
    <t>000337562</t>
  </si>
  <si>
    <t>Блок наружный T18H-FM4/O</t>
  </si>
  <si>
    <t>https://klimatprof.online/upload/iblock/c32/outdoor_tosot.jpg</t>
  </si>
  <si>
    <t>T18H-FM4/O</t>
  </si>
  <si>
    <t>000337563</t>
  </si>
  <si>
    <t>Блок наружный T21H-FM4/O</t>
  </si>
  <si>
    <t>https://klimatprof.online/upload/iblock/94b/outdoor_tosot.jpg</t>
  </si>
  <si>
    <t>T21H-FM4/O</t>
  </si>
  <si>
    <t>000337564</t>
  </si>
  <si>
    <t>Блок наружный T24H-FM4/O</t>
  </si>
  <si>
    <t>https://klimatprof.online/upload/iblock/2a8/outdoor_tosot.jpg</t>
  </si>
  <si>
    <t>T24H-FM4/O</t>
  </si>
  <si>
    <t>000337565</t>
  </si>
  <si>
    <t>Блок наружный T28H-FM4/O</t>
  </si>
  <si>
    <t>https://klimatprof.online/upload/iblock/e50/outdoor_tosot.jpg</t>
  </si>
  <si>
    <t>T28H-FM4/O</t>
  </si>
  <si>
    <t>000337566</t>
  </si>
  <si>
    <t>Блок наружный T36H-FM4/O</t>
  </si>
  <si>
    <t>https://klimatprof.online/upload/iblock/155/TH-FM_O.JPG</t>
  </si>
  <si>
    <t>T36H-FM4/O</t>
  </si>
  <si>
    <t>b00369188</t>
  </si>
  <si>
    <t>Блок наружный T42H-FM4/O2</t>
  </si>
  <si>
    <t>https://klimatprof.online/upload/iblock/d1f/213213.jpg</t>
  </si>
  <si>
    <t>T42H-FM4/O2</t>
  </si>
  <si>
    <t>e00430942</t>
  </si>
  <si>
    <t>Блок наружный T14H-FMA/O</t>
  </si>
  <si>
    <t>Наружные блоки Free Match Euro R32</t>
  </si>
  <si>
    <t>https://klimatprof.online/upload/iblock/163/756b9pucq09n7cu0hncvorhh1rrb6sra/out.jpg</t>
  </si>
  <si>
    <t>e00430943</t>
  </si>
  <si>
    <t>Блок наружный T18H-FMA/O</t>
  </si>
  <si>
    <t>e00430944</t>
  </si>
  <si>
    <t>Блок наружный T21H-FMA/O</t>
  </si>
  <si>
    <t>e00430945</t>
  </si>
  <si>
    <t>Блок наружный T24H-FMA/O</t>
  </si>
  <si>
    <t>e00430946</t>
  </si>
  <si>
    <t>Блок наружный T28H-FMA/O</t>
  </si>
  <si>
    <t>e00430947</t>
  </si>
  <si>
    <t>Блок наружный T36H-FMA/O</t>
  </si>
  <si>
    <t>14 / 13</t>
  </si>
  <si>
    <t>e00430948</t>
  </si>
  <si>
    <t>Блок наружный T42H-FMA/O2</t>
  </si>
  <si>
    <t>16 / 15</t>
  </si>
  <si>
    <t>000260455</t>
  </si>
  <si>
    <t>Блок наружный T42H-FMS/O</t>
  </si>
  <si>
    <t>Наружные блоки Free Match Super</t>
  </si>
  <si>
    <t>https://klimatprof.online/upload/iblock/549/Naruzhnyj_T42H-T56HFMS_O.png</t>
  </si>
  <si>
    <t>T42H-FMS/O</t>
  </si>
  <si>
    <t>000260456</t>
  </si>
  <si>
    <t>Блок наружный T48H-FMS/O</t>
  </si>
  <si>
    <t>https://klimatprof.online/upload/iblock/c1d/Naruzhnyj_T42H-T56HFMS_O.png</t>
  </si>
  <si>
    <t>T48H-FMS/O</t>
  </si>
  <si>
    <t>000260457</t>
  </si>
  <si>
    <t>Блок наружный T48H-FMS/O2</t>
  </si>
  <si>
    <t>https://klimatprof.online/upload/iblock/24e/Naruzhnyj_T42H-T56HFMS_O.png</t>
  </si>
  <si>
    <t>T48H-FMS/O2</t>
  </si>
  <si>
    <t>000260458</t>
  </si>
  <si>
    <t>Блок наружный T56H-FMS/O</t>
  </si>
  <si>
    <t>https://klimatprof.online/upload/iblock/ae3/Naruzhnyj_T42H-T56HFMS_O.png</t>
  </si>
  <si>
    <t>T56H-FMS/O</t>
  </si>
  <si>
    <t>000260459</t>
  </si>
  <si>
    <t>Блок наружный T56H-FMS/O2</t>
  </si>
  <si>
    <t>https://klimatprof.online/upload/iblock/7fb/Naruzhnyj_T42H-T56HFMS_O.png</t>
  </si>
  <si>
    <t>T56H-FMS/O2</t>
  </si>
  <si>
    <t>Сплит система</t>
  </si>
  <si>
    <t>Канальные</t>
  </si>
  <si>
    <t>Кассетные</t>
  </si>
  <si>
    <t>Напольно-потолочные</t>
  </si>
  <si>
    <t>Мульти сплит система</t>
  </si>
  <si>
    <t>Колонные</t>
  </si>
  <si>
    <t>Тут надо по названию блока смотреть НАРУЖНЫЙ или ВНУТРЕНИИЙ</t>
  </si>
  <si>
    <t xml:space="preserve"> Тип</t>
  </si>
  <si>
    <t xml:space="preserve"> (Сплит система) Холодопроизводительность</t>
  </si>
  <si>
    <t xml:space="preserve"> (Сплит система) Площадь помещения</t>
  </si>
  <si>
    <t xml:space="preserve"> (Сплит система) Инвентор</t>
  </si>
  <si>
    <t xml:space="preserve"> (Сплит система) Теплопроизводительность</t>
  </si>
  <si>
    <t xml:space="preserve"> (Потребляемая мощность) Охлаждение</t>
  </si>
  <si>
    <t xml:space="preserve"> (Потребляемая мощность) Обогрев</t>
  </si>
  <si>
    <t xml:space="preserve"> (Рабочий ток) Охлаждение</t>
  </si>
  <si>
    <t xml:space="preserve"> (Рабочий ток) Обогрев</t>
  </si>
  <si>
    <t xml:space="preserve"> (Рабочий ток) Напряжение / Частота источника питания</t>
  </si>
  <si>
    <t xml:space="preserve"> (Рабочий ток) Хладагент</t>
  </si>
  <si>
    <t xml:space="preserve"> (Рабочий ток) Количество хладагента</t>
  </si>
  <si>
    <t xml:space="preserve"> (Рабочий ток) Объем рециркулируемого воздуха внутреннего блока</t>
  </si>
  <si>
    <t xml:space="preserve"> (Внутренний блок) Размеры (Ш × Г × В)</t>
  </si>
  <si>
    <t xml:space="preserve"> (Внутренний блок) Упаковка (Ш × Г × В)</t>
  </si>
  <si>
    <t xml:space="preserve"> (Внутренний блок) Масса (нетто / брутто)</t>
  </si>
  <si>
    <t xml:space="preserve"> (Внутренний блок) Уровень шума мин. / макс.</t>
  </si>
  <si>
    <t xml:space="preserve"> (Наружный блок) Марка компрессора</t>
  </si>
  <si>
    <t xml:space="preserve"> (Наружный блок) Размеры (Ш × Г × В)</t>
  </si>
  <si>
    <t xml:space="preserve"> (Наружный блок) Упаковка (Ш × Г × В)</t>
  </si>
  <si>
    <t xml:space="preserve"> (Наружный блок) Масса (нетто / брутто)</t>
  </si>
  <si>
    <t xml:space="preserve"> (Наружный блок) Максимальный уровень шума</t>
  </si>
  <si>
    <t xml:space="preserve"> (Соединительные трубы) Жидкостная линия </t>
  </si>
  <si>
    <t xml:space="preserve"> (Соединительные трубы) Газовая линия </t>
  </si>
  <si>
    <t xml:space="preserve"> (Соединительные трубы) Максимальная длина трубопровода</t>
  </si>
  <si>
    <t xml:space="preserve"> (Соединительные трубы) Максимальный перепад высот</t>
  </si>
  <si>
    <t xml:space="preserve"> (Допустимая темп. наружного воздуха) Охлаждение</t>
  </si>
  <si>
    <t xml:space="preserve"> (Допустимая темп. наружного воздуха) Обогрев</t>
  </si>
  <si>
    <t xml:space="preserve"> S[Сплит система колонка Е]</t>
  </si>
  <si>
    <t xml:space="preserve"> N[2.63 колонка М]</t>
  </si>
  <si>
    <t xml:space="preserve"> N[26тут нужно  колонку M жит на 10 и округлить до целого значения, пример 2,45 = 25 ]</t>
  </si>
  <si>
    <t xml:space="preserve"> S[нет колонка L]</t>
  </si>
  <si>
    <t xml:space="preserve"> N[2.78 колонка N]</t>
  </si>
  <si>
    <t xml:space="preserve"> N[0.822 колонка O]</t>
  </si>
  <si>
    <t xml:space="preserve"> S[0.771 колонка P]</t>
  </si>
  <si>
    <t xml:space="preserve"> S[3.6]</t>
  </si>
  <si>
    <t xml:space="preserve"> S[3.4]</t>
  </si>
  <si>
    <t xml:space="preserve"> S[1 / 220 / 50 колонка BI]</t>
  </si>
  <si>
    <t xml:space="preserve"> S[R410A колонка AU ]</t>
  </si>
  <si>
    <t xml:space="preserve"> N[730]</t>
  </si>
  <si>
    <t xml:space="preserve"> S[390 / 519 / 585]</t>
  </si>
  <si>
    <t xml:space="preserve"> S[717 колонка CR x 193 колонка CT x 302 колонка CP ]</t>
  </si>
  <si>
    <t xml:space="preserve"> S[785 колонка CS x 375 колонка CU x 285 колонка CQ]</t>
  </si>
  <si>
    <t xml:space="preserve"> S[7,8 колонка CV / 10 колонка CW]</t>
  </si>
  <si>
    <t xml:space="preserve"> S[28,5 / 34 / 38  колонка BS]</t>
  </si>
  <si>
    <t xml:space="preserve"> S[GMCC колонка AL ]</t>
  </si>
  <si>
    <t xml:space="preserve"> S[700 колонка CJ x 270 колонка CL x 550  колонка CH]</t>
  </si>
  <si>
    <t xml:space="preserve"> S[815 колонка CK x 325 колонка CM x 615  колонка CI]</t>
  </si>
  <si>
    <t xml:space="preserve"> S[26,4 колонка CN / 28,6 колонка CO ]</t>
  </si>
  <si>
    <t xml:space="preserve"> N[53]</t>
  </si>
  <si>
    <t xml:space="preserve"> N[6.35 колонка AN]</t>
  </si>
  <si>
    <t xml:space="preserve"> N[9.53 колонка AO]</t>
  </si>
  <si>
    <t xml:space="preserve"> N[20 колонка Q]</t>
  </si>
  <si>
    <t xml:space="preserve"> S[8 колонка R]</t>
  </si>
  <si>
    <t xml:space="preserve"> S[от –43 колонка X до +43 колонка Y  ]</t>
  </si>
  <si>
    <t xml:space="preserve"> S[от –7 колонка Z до +24 колонка AA  ]</t>
  </si>
  <si>
    <t>E</t>
  </si>
  <si>
    <t>M</t>
  </si>
  <si>
    <t>L</t>
  </si>
  <si>
    <t>M*10 ROUND</t>
  </si>
  <si>
    <t>O</t>
  </si>
  <si>
    <t>P</t>
  </si>
  <si>
    <t>BI</t>
  </si>
  <si>
    <t>AU</t>
  </si>
  <si>
    <t>CR*CT*CP</t>
  </si>
  <si>
    <t>CS*CU*CQ</t>
  </si>
  <si>
    <t>CV/CW</t>
  </si>
  <si>
    <t>BS</t>
  </si>
  <si>
    <t>AL</t>
  </si>
  <si>
    <t>CJ*CL*CH</t>
  </si>
  <si>
    <t>CK*CM*CI</t>
  </si>
  <si>
    <t>CN/CO</t>
  </si>
  <si>
    <t>AN</t>
  </si>
  <si>
    <t>AO</t>
  </si>
  <si>
    <t>Q</t>
  </si>
  <si>
    <t>R</t>
  </si>
  <si>
    <t>X-Y</t>
  </si>
  <si>
    <t>Z-AA</t>
  </si>
  <si>
    <t>Вес нетто внутреннего блока. кг</t>
  </si>
  <si>
    <t>Вес брутто внутреннего блока. кг</t>
  </si>
  <si>
    <t>Производительность. охлаждение. кВт</t>
  </si>
  <si>
    <t>2.00 (0.90–2.8)</t>
  </si>
  <si>
    <t>2.0 (0.9-2.8)</t>
  </si>
  <si>
    <t>2.50 (0.90–3.00)</t>
  </si>
  <si>
    <t>2.5 (0.9-3.0)</t>
  </si>
  <si>
    <t>3.40 (0.90–4.80)</t>
  </si>
  <si>
    <t>3.4 (0.9-3.7)</t>
  </si>
  <si>
    <t>5.2 (0.90–5.50)</t>
  </si>
  <si>
    <t>5.20 (0.90–5.50)</t>
  </si>
  <si>
    <t>7.10 (0.90–7.70)</t>
  </si>
  <si>
    <t>5.20 (0.90–6.00)</t>
  </si>
  <si>
    <t>7.10 (0.90–8.30)</t>
  </si>
  <si>
    <t>2.50 (0.60–3.50)</t>
  </si>
  <si>
    <t>3.40 (0.60–5.30)</t>
  </si>
  <si>
    <t>5.2 (0.9-6.0)</t>
  </si>
  <si>
    <t>8.0 (2.9-9.0)</t>
  </si>
  <si>
    <t>8.00 (2.90–9.00)</t>
  </si>
  <si>
    <t>9.40 (2.90–10.00)</t>
  </si>
  <si>
    <t>12.10 (4.00–14.00)</t>
  </si>
  <si>
    <t>13.40 (5.00–14.50)</t>
  </si>
  <si>
    <t>6.80 (0.90–7.40)</t>
  </si>
  <si>
    <t>8.50 (2.80–9.60)</t>
  </si>
  <si>
    <t>9.50 (2.80–10.60)</t>
  </si>
  <si>
    <t>12.10 (4.00–12.60)</t>
  </si>
  <si>
    <t>3.50 (0.90–4.40)</t>
  </si>
  <si>
    <t>4.30 (0.90–5.40)</t>
  </si>
  <si>
    <t>5.20 (0.90–5.90)</t>
  </si>
  <si>
    <t>6.80 (0.90–8.00)</t>
  </si>
  <si>
    <t>8.50 (2.80–10.00)</t>
  </si>
  <si>
    <t>9.50 (2.80–11.20)</t>
  </si>
  <si>
    <t>13.40 (4.50–14.50)</t>
  </si>
  <si>
    <t>12.50 (5.00~14.00)</t>
  </si>
  <si>
    <t>12.50 (4.50~14.00)</t>
  </si>
  <si>
    <t>14.00 (5.40~16.00)</t>
  </si>
  <si>
    <t>15.00 (6.20~17.50)</t>
  </si>
  <si>
    <t>19.00 (8.40~20.90)</t>
  </si>
  <si>
    <t>22.00 (10.30~24.20)</t>
  </si>
  <si>
    <t>2.50 (0.90–2.70)</t>
  </si>
  <si>
    <t>3.50 (0.90–3.70)</t>
  </si>
  <si>
    <t>4.30 (0.90–4.50)</t>
  </si>
  <si>
    <t>5.20 (0.90–5.40)</t>
  </si>
  <si>
    <t>8.50 (2.80~10.00)</t>
  </si>
  <si>
    <t>10.00 (4.70~11.40)</t>
  </si>
  <si>
    <t>10.00 (2.80~11.20)</t>
  </si>
  <si>
    <t>12.50 (4.00~14.00)</t>
  </si>
  <si>
    <t>13.30 (4.50~14.50)</t>
  </si>
  <si>
    <t>13.40 (4.50–13.80)</t>
  </si>
  <si>
    <t>3.50 (0.90~4.40)</t>
  </si>
  <si>
    <t>4.30 (0.90~5.40)</t>
  </si>
  <si>
    <t>5.2 (0.90 - 5.90)</t>
  </si>
  <si>
    <t>6.8 (0.90~8.00)</t>
  </si>
  <si>
    <t>2.50 (0.90–3.50)</t>
  </si>
  <si>
    <t>3.50 (0.90–4.00)</t>
  </si>
  <si>
    <t>4.20 (0.90–5.20)</t>
  </si>
  <si>
    <t>4(1.4-4.4)</t>
  </si>
  <si>
    <t>5(1.7-5.6)</t>
  </si>
  <si>
    <t>5.4(1.8—6.8)</t>
  </si>
  <si>
    <t>6.8(1.8—8.5)</t>
  </si>
  <si>
    <t>8(3.5 - 10.1)</t>
  </si>
  <si>
    <t>10(3.5—12.5)</t>
  </si>
  <si>
    <t>2.05 (1.17–3.22)</t>
  </si>
  <si>
    <t>2.05 (0.91–2.51)</t>
  </si>
  <si>
    <t>2.64 (1.17–3.22)</t>
  </si>
  <si>
    <t>3.22 (1.29–3.84)</t>
  </si>
  <si>
    <t>3.36 (1.29–3.84)</t>
  </si>
  <si>
    <t>2.64 (1.23–3.30)</t>
  </si>
  <si>
    <t>3.52 (1.38–4.51)</t>
  </si>
  <si>
    <t>2.65 (0.40–3.37)</t>
  </si>
  <si>
    <t>4.60 (1.00–5.30)</t>
  </si>
  <si>
    <t>6.16 (1.78–6.50)</t>
  </si>
  <si>
    <t>2.64 (0.91 - 3.40)</t>
  </si>
  <si>
    <t>3.52 (1.11-4.16)</t>
  </si>
  <si>
    <t>5.28 (1.93-6.27)</t>
  </si>
  <si>
    <t>7.03 (3.02-8.79)</t>
  </si>
  <si>
    <t>2.64 (1.20–3.43)</t>
  </si>
  <si>
    <t>3.52 (1.03–4.16)</t>
  </si>
  <si>
    <t>5.28 (1.96–6.21)</t>
  </si>
  <si>
    <t>7.33 (3.05–8.44)</t>
  </si>
  <si>
    <t>2.64 (0.35–3.30)</t>
  </si>
  <si>
    <t>2.64 (1.03–3.30)</t>
  </si>
  <si>
    <t>3.52 (0.41–4.44)</t>
  </si>
  <si>
    <t>3.52 (1.38–4.31)</t>
  </si>
  <si>
    <t>3.52 (1.32–4.31)</t>
  </si>
  <si>
    <t>7.03 (2.11–8.44)</t>
  </si>
  <si>
    <t xml:space="preserve">7.47 (2.81–7.68) </t>
  </si>
  <si>
    <t>10.55 (3.17–12.66)</t>
  </si>
  <si>
    <t>10.55 (2.70–10.84)</t>
  </si>
  <si>
    <t>11.14 (4.25–11.58)</t>
  </si>
  <si>
    <t>13.39 (4.02–16.07)</t>
  </si>
  <si>
    <t xml:space="preserve">13.92 (5.42–14.65) </t>
  </si>
  <si>
    <t>16.12 (4.84–19.34)</t>
  </si>
  <si>
    <t>16.12 (7.33–17.58)</t>
  </si>
  <si>
    <t>3.52 (0.62–4.40)</t>
  </si>
  <si>
    <t>3.66 (1.54–4.03)</t>
  </si>
  <si>
    <t>5.28 (0.79–6.15)</t>
  </si>
  <si>
    <t>5.28 (2.20–5.71)</t>
  </si>
  <si>
    <t>5.28(0.79-6.15)</t>
  </si>
  <si>
    <t>5.28 (2.86–5.61)</t>
  </si>
  <si>
    <t>7.03 (1.20–8.20)</t>
  </si>
  <si>
    <t>7.33 (3.22–7.97)</t>
  </si>
  <si>
    <t>10.55 (2.73–10.84)</t>
  </si>
  <si>
    <t>14.07 (4.22–16.88)</t>
  </si>
  <si>
    <t>14.07 (3.52–14.24 )</t>
  </si>
  <si>
    <t>3.52 (0.53–3.75)</t>
  </si>
  <si>
    <t>5.28 (1.23–6.15)</t>
  </si>
  <si>
    <t>5.28 (2.2–5.71)</t>
  </si>
  <si>
    <t>7.03 (1.99–8.21)</t>
  </si>
  <si>
    <t>14.07 (3.52–14.30)</t>
  </si>
  <si>
    <t>4.10 (1.44–4.79)</t>
  </si>
  <si>
    <t>4.10 (1.47–4.69)</t>
  </si>
  <si>
    <t>5.28 (2.05–6.86)</t>
  </si>
  <si>
    <t>5.28 (2.23–5.57)</t>
  </si>
  <si>
    <t>6.15 (1.95–6.83)</t>
  </si>
  <si>
    <t>6.15 (1.99–6.59)</t>
  </si>
  <si>
    <t>7.91 (2.89–8.49)</t>
  </si>
  <si>
    <t>7.91 (1.90–8.50)</t>
  </si>
  <si>
    <t>8.21 (2.05–9.85)</t>
  </si>
  <si>
    <t>10.55 (2.05–10.55)</t>
  </si>
  <si>
    <t>12.31 (2.05–14.07)</t>
  </si>
  <si>
    <t>2.60 (0.94–3.32)</t>
  </si>
  <si>
    <t>2.60(0.94~3.30)</t>
  </si>
  <si>
    <t>3.40 (1.00–3.77)</t>
  </si>
  <si>
    <t>3.40(1.00~3.77)</t>
  </si>
  <si>
    <t>2.64 (0.82–3.37)</t>
  </si>
  <si>
    <t>3.52 (1.00–3.81)</t>
  </si>
  <si>
    <t>5.28 (1.30–5.86)</t>
  </si>
  <si>
    <t>7.03 (1.50–7.50)</t>
  </si>
  <si>
    <t>2.60 (0.94–3.33)</t>
  </si>
  <si>
    <t>5.13 (1.25–5.92)</t>
  </si>
  <si>
    <t>5.10 (1.25–5.91)</t>
  </si>
  <si>
    <t>6.81 (1.83–7.81)</t>
  </si>
  <si>
    <t>6.81 (1.83–7.80)</t>
  </si>
  <si>
    <t>4.10 (1.20-4.85)</t>
  </si>
  <si>
    <t>5.20 (1.23-5.60)</t>
  </si>
  <si>
    <t>6.20 (2.80-6.60)</t>
  </si>
  <si>
    <t>7.90 (2.80-8.80)</t>
  </si>
  <si>
    <t>2.70 (0.20–4.10)</t>
  </si>
  <si>
    <t>3.50 (0.20–4.50)</t>
  </si>
  <si>
    <t>2.35 (0.40–2.96)</t>
  </si>
  <si>
    <t>2.50 (0.50–3.25)</t>
  </si>
  <si>
    <t>3.20 (0.90–3.60)</t>
  </si>
  <si>
    <t>3.5 (0.9–3.7)</t>
  </si>
  <si>
    <t>4.60 (0.65–5.20)</t>
  </si>
  <si>
    <t>4.6 (1.00–5.3)</t>
  </si>
  <si>
    <t>6.16 (1.80–6.40)</t>
  </si>
  <si>
    <t>6.2 (1.8–6.9)</t>
  </si>
  <si>
    <t>2.70 (0.22–4.40)</t>
  </si>
  <si>
    <t>3.53 (0.22–4.60)</t>
  </si>
  <si>
    <t>5.30 (1.60–5.50)</t>
  </si>
  <si>
    <t>7.15 (2.40–7.50)</t>
  </si>
  <si>
    <t>10.10 (2.40–10.50)</t>
  </si>
  <si>
    <t>14.00 (4.20–14.60)</t>
  </si>
  <si>
    <t>15.60 (5.40–16.00)</t>
  </si>
  <si>
    <t>5.00 (1.60–5.50)</t>
  </si>
  <si>
    <t>7.00 (2.40–8.00)</t>
  </si>
  <si>
    <t>15.00 (5.40–15.60)</t>
  </si>
  <si>
    <t>5.20 (1.60–5.50)</t>
  </si>
  <si>
    <t>7.15 (2.40–7.80)</t>
  </si>
  <si>
    <t>10.00 (2.40–10.50)</t>
  </si>
  <si>
    <t>15.40 (5.40–16.00)</t>
  </si>
  <si>
    <t>4.10 (2.05–4.40)</t>
  </si>
  <si>
    <t>5.20 (2.14–5.80)</t>
  </si>
  <si>
    <t>6.10 (2.20–7.33)</t>
  </si>
  <si>
    <t>7.10 (2.29–8.50)</t>
  </si>
  <si>
    <t>8.00 (2.29–10.26)</t>
  </si>
  <si>
    <t>10.50 (2.10–11.00)</t>
  </si>
  <si>
    <t>12.10 (2.10–13.60)</t>
  </si>
  <si>
    <t>4.10 (2.05–5.00)</t>
  </si>
  <si>
    <t>5.30 (2.14–5.80)</t>
  </si>
  <si>
    <t>6.10 (2.20–8.30)</t>
  </si>
  <si>
    <t>7.10 (2.30–9.20)</t>
  </si>
  <si>
    <t>8.00 (2.30–11.00)</t>
  </si>
  <si>
    <t>10.50 (2.60–12.00)</t>
  </si>
  <si>
    <t>12.00 (2.60–13.00)</t>
  </si>
  <si>
    <t>12.10 (1.00–14.00)</t>
  </si>
  <si>
    <t>14.00 (1.00–16.00)</t>
  </si>
  <si>
    <t>15.50 (1.00–18.00)</t>
  </si>
  <si>
    <t>16.00 (1.00–18.00)</t>
  </si>
  <si>
    <t>2.50 (0.90–3.40)</t>
  </si>
  <si>
    <t>0.480 (0.250–1.030)</t>
  </si>
  <si>
    <t>0.630 (0.250–1.390)</t>
  </si>
  <si>
    <t>2.5 (0.9-3.4)</t>
  </si>
  <si>
    <t>2.80 (0.90–3.80)</t>
  </si>
  <si>
    <t>0.710 (0.250–1.050)</t>
  </si>
  <si>
    <t>0.790 (0.250–1.390)</t>
  </si>
  <si>
    <t>2.8 (0.9-3.8)</t>
  </si>
  <si>
    <t>3.80 (0.90–4.80)</t>
  </si>
  <si>
    <t>1.000 (0.250–1.140)</t>
  </si>
  <si>
    <t>1.140 (0.250–1.600)</t>
  </si>
  <si>
    <t>3.8 (0.9-4.8)</t>
  </si>
  <si>
    <t>6.30 (0.60–7.60)</t>
  </si>
  <si>
    <t>1.685 (0.140–2.090)</t>
  </si>
  <si>
    <t>1.800 (0.100–1.930)</t>
  </si>
  <si>
    <t>8.00 (0.90–9.00)</t>
  </si>
  <si>
    <t>2.420 (0.180–2.740)</t>
  </si>
  <si>
    <t>2.225 (0.150–2.660)</t>
  </si>
  <si>
    <t>0.450 (0.250–1.170)</t>
  </si>
  <si>
    <t>0.555 (0.250–1.210)</t>
  </si>
  <si>
    <t>0.630 (0.250–1.210)</t>
  </si>
  <si>
    <t>0.620 (0.250–1.260)</t>
  </si>
  <si>
    <t>0.935 (0.250–1.270)</t>
  </si>
  <si>
    <t>0.960 (0.250–1.520)</t>
  </si>
  <si>
    <t>1.220 (0.250–1.400)</t>
  </si>
  <si>
    <t>1.410 (0.250–1.730)</t>
  </si>
  <si>
    <t>6.30  (0.90–8.70)</t>
  </si>
  <si>
    <t>1.390 (0.090–1.660)</t>
  </si>
  <si>
    <t>1.560 (0.090–2.860)</t>
  </si>
  <si>
    <t>8.00 (0.90–10.10)</t>
  </si>
  <si>
    <t>2.080 (0.240–3.150)</t>
  </si>
  <si>
    <t>1.910 (0.140–3.000)</t>
  </si>
  <si>
    <t>3.60 (0.60–7.1)</t>
  </si>
  <si>
    <t>5.00 (0.60–9.00)</t>
  </si>
  <si>
    <t>6.3 (0.9-9.1)</t>
  </si>
  <si>
    <t>8.8 (2.2-11.0)</t>
  </si>
  <si>
    <t>8.80 (2.20–11.00)</t>
  </si>
  <si>
    <t>10.10 (2.70–11.20)</t>
  </si>
  <si>
    <t>13.50 (5.00–16.20)</t>
  </si>
  <si>
    <t>15.50 (5.50–18.00)</t>
  </si>
  <si>
    <t>7.50 (0.90–8.60)</t>
  </si>
  <si>
    <t>10.00 (2.70–10.80)</t>
  </si>
  <si>
    <t>10.80 (2.70–12.50)</t>
  </si>
  <si>
    <t>13.50 (4.20–15.00)</t>
  </si>
  <si>
    <t>4.10 (0.90–5.70)</t>
  </si>
  <si>
    <t>5.00 (0.90–6.50)</t>
  </si>
  <si>
    <t>6.00 (0.90–7.50)</t>
  </si>
  <si>
    <t>7.50 (0.90–9.10)</t>
  </si>
  <si>
    <t>10.00 (2.70–11.20)</t>
  </si>
  <si>
    <t>10.80 (2.70–12.70)</t>
  </si>
  <si>
    <t>13.50 (4.20–16.20)</t>
  </si>
  <si>
    <t>15.50 (4.70–16.50)</t>
  </si>
  <si>
    <t>14.00 (5.40~16.20)</t>
  </si>
  <si>
    <t>4.06 (6.14)</t>
  </si>
  <si>
    <t>3.67 (6.14)</t>
  </si>
  <si>
    <t>14.00 (5.00~16.20)</t>
  </si>
  <si>
    <t>4.30 (5.15)</t>
  </si>
  <si>
    <t>3.80 (5.15)</t>
  </si>
  <si>
    <t>16.00 (5.80~18.00)</t>
  </si>
  <si>
    <t>4.65 (6.83)</t>
  </si>
  <si>
    <t>4.37 (6.83)</t>
  </si>
  <si>
    <t>18.00 (6.20~20.00)</t>
  </si>
  <si>
    <t>4.70 (7.15)</t>
  </si>
  <si>
    <t>5.15 (7.15)</t>
  </si>
  <si>
    <t>22.40 (7.20~24.60)</t>
  </si>
  <si>
    <t>27.00 (8.50~29.70)</t>
  </si>
  <si>
    <t>3.20 (0.90–3.90)</t>
  </si>
  <si>
    <t>4.10 (0.90–4.40)</t>
  </si>
  <si>
    <t>5.00 (0.90–5.30)</t>
  </si>
  <si>
    <t>6.00 (0.90–6.30)</t>
  </si>
  <si>
    <t>10.00 (2.70~11.20)</t>
  </si>
  <si>
    <t>2.65 (3.88)</t>
  </si>
  <si>
    <t>2.77 (3.88)</t>
  </si>
  <si>
    <t>11.20 (5.00~14.00)</t>
  </si>
  <si>
    <t>2.44 (5.12)</t>
  </si>
  <si>
    <t>2.56 (5.12)</t>
  </si>
  <si>
    <t>11.20 (2.70~12.70)</t>
  </si>
  <si>
    <t>3.12 (4.22)</t>
  </si>
  <si>
    <t>3.02 (4.56)</t>
  </si>
  <si>
    <t>3.54 (5.80)</t>
  </si>
  <si>
    <t>3.58 (5.80)</t>
  </si>
  <si>
    <t>14.00 (4.20~16.20)</t>
  </si>
  <si>
    <t>3.88 (4.70)</t>
  </si>
  <si>
    <t>3.77 (4.70)</t>
  </si>
  <si>
    <t>4.36 (6.48)</t>
  </si>
  <si>
    <t>4.43 (6.48)</t>
  </si>
  <si>
    <t>16.00 (4.70~16.50)</t>
  </si>
  <si>
    <t>4.42 (4.94)</t>
  </si>
  <si>
    <t>4.69 (4.94)</t>
  </si>
  <si>
    <t>15.50 (4.70–16.00)</t>
  </si>
  <si>
    <t>4.10 (0.90~5.70)</t>
  </si>
  <si>
    <t>1.05 (1.70)</t>
  </si>
  <si>
    <t>1.11 (2.26)</t>
  </si>
  <si>
    <t>5.00 (0.90~6.50)</t>
  </si>
  <si>
    <t>1.33 (2.04)</t>
  </si>
  <si>
    <t>1.34 (2.83)</t>
  </si>
  <si>
    <t>6.00 (0.90~7.50)</t>
  </si>
  <si>
    <t>1.62 (2.04)</t>
  </si>
  <si>
    <t>1.66 (2.83)</t>
  </si>
  <si>
    <t>8  (0.90~9.10)</t>
  </si>
  <si>
    <t>2.21(2.85)</t>
  </si>
  <si>
    <t>2.26 (3.19)</t>
  </si>
  <si>
    <t>3.50 (0.90–5.10)</t>
  </si>
  <si>
    <t>4.50 (0.90–5.30)</t>
  </si>
  <si>
    <t>5.20 (0.90–6.30)</t>
  </si>
  <si>
    <t>4.4 (1.1-5.5)</t>
  </si>
  <si>
    <t>5.6 (1.8-6.6)</t>
  </si>
  <si>
    <t>6.8 (2.0-8.0)</t>
  </si>
  <si>
    <t>8.0 (2.0-9.2)</t>
  </si>
  <si>
    <t>9.6 (3.0-11.2)</t>
  </si>
  <si>
    <t>10.6 (3.5-12.0)</t>
  </si>
  <si>
    <t>4.4(1.1-5.4)</t>
  </si>
  <si>
    <t>5.6(1.8-6.1)</t>
  </si>
  <si>
    <t>6.8(2.0—8.0)</t>
  </si>
  <si>
    <t>8(2.0—9.2)</t>
  </si>
  <si>
    <t>9.6(3.7 - 12.0)</t>
  </si>
  <si>
    <t>12(3.5—14.0)</t>
  </si>
  <si>
    <t>13.5(3.5—16.0)</t>
  </si>
  <si>
    <t>2.05 (0.91–3.75)</t>
  </si>
  <si>
    <t>0.822 (0.100–1.250)</t>
  </si>
  <si>
    <t>0.731 (0.140–1.340)</t>
  </si>
  <si>
    <t>2.34 (0.70–2.93)</t>
  </si>
  <si>
    <t>0.639 (0.080–1.000)</t>
  </si>
  <si>
    <t>0.650 (0.110–1.240)</t>
  </si>
  <si>
    <t>2.64 (0.91–3.75)</t>
  </si>
  <si>
    <t>2.93 (0.91–3.75)</t>
  </si>
  <si>
    <t>0.812 (0.140–1.340)</t>
  </si>
  <si>
    <t>3.52 (1.06–4.04)</t>
  </si>
  <si>
    <t>1.004 (0.130–1.280)</t>
  </si>
  <si>
    <t>0.974 (0.180–1.220)</t>
  </si>
  <si>
    <t>3.69 (1.06–4.04)</t>
  </si>
  <si>
    <t>1.045 (0.280–1.393)</t>
  </si>
  <si>
    <t>1.023 (0.300–1.442)</t>
  </si>
  <si>
    <t>2.93 (0.84–3.52)</t>
  </si>
  <si>
    <t>0.613 (0.100–1.250)</t>
  </si>
  <si>
    <t>0.637 (0.110–1.330)</t>
  </si>
  <si>
    <t>3.81 (1.08–4.92)</t>
  </si>
  <si>
    <t>1.088 (0.100–1.740)</t>
  </si>
  <si>
    <t>1.025 (0.170–1.760)</t>
  </si>
  <si>
    <t>2.85 (0.53–3.79)</t>
  </si>
  <si>
    <t>0.780 (0.200–1.150)</t>
  </si>
  <si>
    <t>0.781 (0.200–1.320)</t>
  </si>
  <si>
    <t>1.083 (0.220–1.400)</t>
  </si>
  <si>
    <t>0.918 (0.220–1.550)</t>
  </si>
  <si>
    <t>5.20 (1.00–5.65)</t>
  </si>
  <si>
    <t>1.355 (0.420–1.800)</t>
  </si>
  <si>
    <t>1.340 (0.420–1.900)</t>
  </si>
  <si>
    <t>6.20 (1.30–7.00)</t>
  </si>
  <si>
    <t>1.917 (0.600–2.300)</t>
  </si>
  <si>
    <t>1.698 (0.600–2.200)</t>
  </si>
  <si>
    <t>2.93 (0.82-3.37)</t>
  </si>
  <si>
    <t>0.799 (100-1.240)</t>
  </si>
  <si>
    <t>0.812 (0.120-1.200)</t>
  </si>
  <si>
    <t>3.80 (1.08-4.22)</t>
  </si>
  <si>
    <t>1.165 (0.130-1.580)</t>
  </si>
  <si>
    <t>1.018 (0.100-1.680)</t>
  </si>
  <si>
    <t>5.57 (1.29-7.00)</t>
  </si>
  <si>
    <t>1.550 (0.150-2.250)</t>
  </si>
  <si>
    <t>1.543 (0.220-2.350)</t>
  </si>
  <si>
    <t>7.33 (1.52-9.46)</t>
  </si>
  <si>
    <t>2.191 (0.340-3.450)</t>
  </si>
  <si>
    <t>2.030(0.300-3.150)</t>
  </si>
  <si>
    <t>2.93 (0.82–3.87)</t>
  </si>
  <si>
    <t>0.737 (0.100–1.312)</t>
  </si>
  <si>
    <t>0.811 (0.140–1.380)</t>
  </si>
  <si>
    <t>4.10 (0.88–4.78)</t>
  </si>
  <si>
    <t>1.252 (0.150–2.220)</t>
  </si>
  <si>
    <t>1.169 (0.220–2.330)</t>
  </si>
  <si>
    <t>5.57 (1.29–6.98)</t>
  </si>
  <si>
    <t>1.503 (0.150–2.220)</t>
  </si>
  <si>
    <t>1.392 (0.220–2.330)</t>
  </si>
  <si>
    <t>7.62 (2.08–9.44)</t>
  </si>
  <si>
    <t>2.283 ?0.230–3.010)</t>
  </si>
  <si>
    <t>2.110 (0.330–3.010)</t>
  </si>
  <si>
    <t>2.93 (0.32–3.72)</t>
  </si>
  <si>
    <t>0.712 (0.100–1.260)</t>
  </si>
  <si>
    <t>0.771 (0.103–1.320)</t>
  </si>
  <si>
    <t>2.93 (0.82–3.72)</t>
  </si>
  <si>
    <t>0.628 (0.090–1.140)</t>
  </si>
  <si>
    <t>0.666 (0.110–1.080)</t>
  </si>
  <si>
    <t>3.81 (0.36–4.36)</t>
  </si>
  <si>
    <t>1.208 (0.131–1.426)</t>
  </si>
  <si>
    <t>1.340 (0.113–1.340)</t>
  </si>
  <si>
    <t>3.81 (1.07–4.38)</t>
  </si>
  <si>
    <t>1.034 (0.130–1.650)</t>
  </si>
  <si>
    <t>1.030 (0.160–1.560)</t>
  </si>
  <si>
    <t>2.93 (0.85-3.7)</t>
  </si>
  <si>
    <t>0.600 (0.100–1.260)</t>
  </si>
  <si>
    <t>0.623 (0.110–1.320)</t>
  </si>
  <si>
    <t>3.81 (0.88–4.40)</t>
  </si>
  <si>
    <t>0.900 (0.130–1.650)</t>
  </si>
  <si>
    <t>0.95 (0.120–1.500)</t>
  </si>
  <si>
    <t>7.62 (2.29–9.14)</t>
  </si>
  <si>
    <t>2.417 (0.691–3.185)</t>
  </si>
  <si>
    <t>2.234 (0.559–2.971)</t>
  </si>
  <si>
    <t>7.91 (3.08–8.35)</t>
  </si>
  <si>
    <t>2.508 (1.020–2.805)</t>
  </si>
  <si>
    <t>1.978 (0.840–2.310)</t>
  </si>
  <si>
    <t>11.14 (3.34–13.36)</t>
  </si>
  <si>
    <t>3.750 (1.073–4.948)</t>
  </si>
  <si>
    <t>3.080 (0.771–4.101)</t>
  </si>
  <si>
    <t>11.14 (2.78–12.31)</t>
  </si>
  <si>
    <t>3.900 (0.950–3.900)</t>
  </si>
  <si>
    <t>3.150 (0.850–3.750)</t>
  </si>
  <si>
    <t>11.87 (4.84–12.75)</t>
  </si>
  <si>
    <t>3.840 (0.950–4.050)</t>
  </si>
  <si>
    <t>3.288 (0.850–3.750)</t>
  </si>
  <si>
    <t>14.65 (4.40–17.58)</t>
  </si>
  <si>
    <t>4.590 (1.311–6.044)</t>
  </si>
  <si>
    <t>4.170 (1.044–5.550)</t>
  </si>
  <si>
    <t>15.53 (6.30–17.00)</t>
  </si>
  <si>
    <t>5.358 (0.900–5.600)</t>
  </si>
  <si>
    <t>4.854 (0.950–5.500)</t>
  </si>
  <si>
    <t>17.00 (5.10–20.40)</t>
  </si>
  <si>
    <t>5.740 (1.639–7.500)</t>
  </si>
  <si>
    <t>4.985 (1.246–6.627)</t>
  </si>
  <si>
    <t>17.58 (7.03–19.34)</t>
  </si>
  <si>
    <t>6.321 (2.528–6.953)</t>
  </si>
  <si>
    <t>4.912 (1.020–6.200)</t>
  </si>
  <si>
    <t>4.10 (0.62–5.13)</t>
  </si>
  <si>
    <t>1.080 (0.210–1.692)</t>
  </si>
  <si>
    <t>1.060 (0.496–1.830)</t>
  </si>
  <si>
    <t>4.25 (1.74–4.65)</t>
  </si>
  <si>
    <t>1.197 (0.140–1.668)</t>
  </si>
  <si>
    <t>1.098 (0.145–1.135)</t>
  </si>
  <si>
    <t>5.57 (0.88–6.29)</t>
  </si>
  <si>
    <t>1.550 (0.270–2.265)</t>
  </si>
  <si>
    <t>1.420 (0.295–2.310)</t>
  </si>
  <si>
    <t>5.57 (2.27–6.01)</t>
  </si>
  <si>
    <t>1.649 (0.130–1.995)</t>
  </si>
  <si>
    <t>1.520 (0.280–1.950)</t>
  </si>
  <si>
    <t>5.67(0.88-7.03)</t>
  </si>
  <si>
    <t>1.63(0.27-2.36)</t>
  </si>
  <si>
    <t>1.46(0.255-2.51)</t>
  </si>
  <si>
    <t>5.57 (2.40–5.83)</t>
  </si>
  <si>
    <t>1.633 (0.610–1.800)</t>
  </si>
  <si>
    <t>1.500 (0.510–1.530)</t>
  </si>
  <si>
    <t>5.86 (2.40–6.30)</t>
  </si>
  <si>
    <t>1.649 (0.117–2.170)</t>
  </si>
  <si>
    <t>1.500 (0.213–1.501)</t>
  </si>
  <si>
    <t>7.62 (1.20–8.65)</t>
  </si>
  <si>
    <t>2.070 (0.400–3.160)</t>
  </si>
  <si>
    <t>2.050 (0.400–3.090)</t>
  </si>
  <si>
    <t>8.50 (3.46–8.94)</t>
  </si>
  <si>
    <t>2.155 (0.200–2.600)</t>
  </si>
  <si>
    <t>2.250 (0.370–2.400)</t>
  </si>
  <si>
    <t>3.505 (1.002–4.619)</t>
  </si>
  <si>
    <t>3.085 (0.771–4.101)</t>
  </si>
  <si>
    <t>11.72 (2.78–12.13)</t>
  </si>
  <si>
    <t>4.000 (0.950–4.100)</t>
  </si>
  <si>
    <t>3.250 (0.850–3.680)</t>
  </si>
  <si>
    <t>3.840 (0.950–4.100)</t>
  </si>
  <si>
    <t>2.967 (0.850–3.680)</t>
  </si>
  <si>
    <t>5.010 (1.430–6.597)</t>
  </si>
  <si>
    <t>4.175 (1.044–5.550)</t>
  </si>
  <si>
    <t>15.53 (6.30–17.00 )</t>
  </si>
  <si>
    <t>5.700 (0.950–5.800)</t>
  </si>
  <si>
    <t>4.854 (1.000–5.780)</t>
  </si>
  <si>
    <t>4.700 (1.177–6.260)</t>
  </si>
  <si>
    <t>17.88 (7.18–19.64)</t>
  </si>
  <si>
    <t>5.249 (1.100–6.500)</t>
  </si>
  <si>
    <t>3.81 (1.00–3.99)</t>
  </si>
  <si>
    <t>1.170 (0.160–2.100)</t>
  </si>
  <si>
    <t>0.990 (0.302–2.100)</t>
  </si>
  <si>
    <t>1.352 (0.145–1.700)</t>
  </si>
  <si>
    <t>1.171 (0.157–1.500)</t>
  </si>
  <si>
    <t>5.86 (1.79–7.03)</t>
  </si>
  <si>
    <t>1.635 (0.260–2.120)</t>
  </si>
  <si>
    <t>1.578 (0.310–2.150)</t>
  </si>
  <si>
    <t>1.649 (0.124–2.160)</t>
  </si>
  <si>
    <t>1.653 (0.230–1.700)</t>
  </si>
  <si>
    <t>7.62 (2.40–8.65)</t>
  </si>
  <si>
    <t>2.175 (0.450–2.800)</t>
  </si>
  <si>
    <t>2.050 (0.480–2.850)</t>
  </si>
  <si>
    <t>2.155 (0.190–2.700)</t>
  </si>
  <si>
    <t>2.250 (0.390–2.400)</t>
  </si>
  <si>
    <t>3.590 (1.036–4.777)</t>
  </si>
  <si>
    <t>2.895 (0.850–3.650)</t>
  </si>
  <si>
    <t>5.191 (1.430–6.597)</t>
  </si>
  <si>
    <t>4.059 (1.015–5.397)</t>
  </si>
  <si>
    <t>5.450 (0.950–5.600)</t>
  </si>
  <si>
    <t>4.088 (1.000-4.890)</t>
  </si>
  <si>
    <t>6.176 (1.639–7.500)</t>
  </si>
  <si>
    <t>4.709 (1.177–6.260)</t>
  </si>
  <si>
    <t>18.76 (7.77–20.51)</t>
  </si>
  <si>
    <t>4.810 (1.020–6.200)</t>
  </si>
  <si>
    <t>7.62 + 2.34</t>
  </si>
  <si>
    <t>2.500 + 2.500</t>
  </si>
  <si>
    <t>15.24 + 3.52</t>
  </si>
  <si>
    <t>5.06 + 3.75</t>
  </si>
  <si>
    <t>16.12 + 3.52</t>
  </si>
  <si>
    <t>5.350 + 3.700</t>
  </si>
  <si>
    <t>18.17 + 3.52</t>
  </si>
  <si>
    <t>5.30 + 3.70</t>
  </si>
  <si>
    <t>18.9 + 3.52</t>
  </si>
  <si>
    <t>5.590 + 3.900</t>
  </si>
  <si>
    <t>4.40 (1.50–4.91)</t>
  </si>
  <si>
    <t>1.270 (0.120–1.680)</t>
  </si>
  <si>
    <t>1.200 (0.228–1.850)</t>
  </si>
  <si>
    <t>4.40 (1.61–4.84)</t>
  </si>
  <si>
    <t>1.270 (0.105–1.670)</t>
  </si>
  <si>
    <t>1.185 (0.220–1.600)</t>
  </si>
  <si>
    <t>5.57 (2.35–7.24)</t>
  </si>
  <si>
    <t>1.630 (0.690–2.000)</t>
  </si>
  <si>
    <t>1.500 (0.600–1.670)</t>
  </si>
  <si>
    <t>5.57 (2.34–5.63)</t>
  </si>
  <si>
    <t>1.635 (0.690–2.000)</t>
  </si>
  <si>
    <t>1.500 (0.600–1.780)</t>
  </si>
  <si>
    <t>6.59 (1.45–6.86)</t>
  </si>
  <si>
    <t>1.900 (0.125–2.136)</t>
  </si>
  <si>
    <t>1.770 (0.250–1.980)</t>
  </si>
  <si>
    <t>6.45 (1.99–6.51)</t>
  </si>
  <si>
    <t>1.905 (0.180–2.200)</t>
  </si>
  <si>
    <t>1.738 (0.350–1.800)</t>
  </si>
  <si>
    <t>8.21 (1.99–8.49)</t>
  </si>
  <si>
    <t>2.450 (0.240–3.220)</t>
  </si>
  <si>
    <t>2.200 (0.320–2.840)</t>
  </si>
  <si>
    <t>7.91 (2.34–8.79)</t>
  </si>
  <si>
    <t>2.450 (0.180–3.250)</t>
  </si>
  <si>
    <t>2.120 (0.320–2.850)</t>
  </si>
  <si>
    <t>8.79 (2.35–10.55)</t>
  </si>
  <si>
    <t>2.500 (0.880–3.130)</t>
  </si>
  <si>
    <t>2.400 (0.840–3.000)</t>
  </si>
  <si>
    <t>10.55 (2.35–11.14)</t>
  </si>
  <si>
    <t>3.517 (0.733–4.396)</t>
  </si>
  <si>
    <t>2.880 (0.781–3.978)</t>
  </si>
  <si>
    <t>12.31 (2.35–14.51)</t>
  </si>
  <si>
    <t>3.800 (0.680–4.268)</t>
  </si>
  <si>
    <t>3.300 (0.680–3.920)</t>
  </si>
  <si>
    <t>2.61 (0.94–3.38)</t>
  </si>
  <si>
    <t>0.750 (0.240–1.230)</t>
  </si>
  <si>
    <t>0.752 (0.240–1.280)</t>
  </si>
  <si>
    <t>2.61(0.94~3.36)</t>
  </si>
  <si>
    <t>0.800 (0.240–1.380)</t>
  </si>
  <si>
    <t>0.699 (0.240–1.552)</t>
  </si>
  <si>
    <t>3.42 (1.00–3.81)</t>
  </si>
  <si>
    <t>1.010 (0.290–1.320)</t>
  </si>
  <si>
    <t>0.948 (0.290–1.400)</t>
  </si>
  <si>
    <t>3.42(1.0~3.81)</t>
  </si>
  <si>
    <t>1.130 (0.290–1.500)</t>
  </si>
  <si>
    <t>0.922 (0.290–1.720)</t>
  </si>
  <si>
    <t>2.78 (0.94–3.66)</t>
  </si>
  <si>
    <t>0.820 (0.240–1.250)</t>
  </si>
  <si>
    <t>0.770 (0.240–1.350)</t>
  </si>
  <si>
    <t>3.66 (1.02–3.96)</t>
  </si>
  <si>
    <t>1.095 (0.320–1.600)</t>
  </si>
  <si>
    <t>1.013 (0.320–1.500)</t>
  </si>
  <si>
    <t>5.42 (1.30–6.30)</t>
  </si>
  <si>
    <t>1.645 (0.420–2.500)</t>
  </si>
  <si>
    <t>1.500 (0.420–2.500)</t>
  </si>
  <si>
    <t>7.18 (1.50–7.90)</t>
  </si>
  <si>
    <t>2.190 (0.530–2.900)</t>
  </si>
  <si>
    <t>1.985 (0.530–2.800)</t>
  </si>
  <si>
    <t>2.61 (0.94–3.36)</t>
  </si>
  <si>
    <t>5.23 (1.35–6.28)</t>
  </si>
  <si>
    <t>1.530 (0.330–2.250)</t>
  </si>
  <si>
    <t>1550 (0.340–2.350)</t>
  </si>
  <si>
    <t>5.10 (1.25–6.07)</t>
  </si>
  <si>
    <t>1.580 (0.330–2.340)</t>
  </si>
  <si>
    <t>1.374 (0.340–2.520)</t>
  </si>
  <si>
    <t>6.87 (1.85–7.93)</t>
  </si>
  <si>
    <t>1.950 (0.410–2.800)</t>
  </si>
  <si>
    <t>2.050 (0.420–3.000)</t>
  </si>
  <si>
    <t>6.87 (1.85–7.90)</t>
  </si>
  <si>
    <t>2.257 (0.410–2.824)</t>
  </si>
  <si>
    <t>2.063 (0.420–3.005)</t>
  </si>
  <si>
    <t>4.31 (1.25-5.20)</t>
  </si>
  <si>
    <t>1.25 (0.25–1.56)</t>
  </si>
  <si>
    <t>1.16 (0.23–1.56)</t>
  </si>
  <si>
    <t>5.29 (1.29-5.75)</t>
  </si>
  <si>
    <t>1.61 (0.28–2.05)</t>
  </si>
  <si>
    <t>1.42 (0.25–2.05)</t>
  </si>
  <si>
    <t>6.50 (2.45-6.80)</t>
  </si>
  <si>
    <t>1.92 (0.34–2.58)</t>
  </si>
  <si>
    <t>1.75 (0.40–2.58)</t>
  </si>
  <si>
    <t>7.96 (2.45-8.80)</t>
  </si>
  <si>
    <t>2.63 (0.35–2.85)</t>
  </si>
  <si>
    <t>2.12 (0.42–2.85)</t>
  </si>
  <si>
    <t>3.20 (0.90–4.70)</t>
  </si>
  <si>
    <t>0.600 (0.140–1.400)</t>
  </si>
  <si>
    <t>0.715 (0.180–1.650)</t>
  </si>
  <si>
    <t>3.81 (1.00–4.80)</t>
  </si>
  <si>
    <t>0.875 (0.140–1.400)</t>
  </si>
  <si>
    <t>0.952 (0.180–1.650)</t>
  </si>
  <si>
    <t>2.50 (0.50–3.40)</t>
  </si>
  <si>
    <t>0.681 (0.200–0.980)</t>
  </si>
  <si>
    <t>0.649 (0.200–1.230)</t>
  </si>
  <si>
    <t>2.80 (0.50–3.50)</t>
  </si>
  <si>
    <t>0.720 (0.150–1.300)</t>
  </si>
  <si>
    <t>0.750 (0.140–1.500)</t>
  </si>
  <si>
    <t>3.40 (0.90–4.00)</t>
  </si>
  <si>
    <t>0.991 (0.220–1.300)</t>
  </si>
  <si>
    <t>0.916 (0.220–1.500)</t>
  </si>
  <si>
    <t>1.083 (0.220–1.300)</t>
  </si>
  <si>
    <t>0.918 (0.220–1.500)</t>
  </si>
  <si>
    <t>5.20 (0.70–5.40)</t>
  </si>
  <si>
    <t>1.430 (0.150–1.700)</t>
  </si>
  <si>
    <t>1.400 (0.160–1.600)</t>
  </si>
  <si>
    <t>6.45 (1.60–6.60)</t>
  </si>
  <si>
    <t>1.760 (0.600–2.500)</t>
  </si>
  <si>
    <t>1.860 (0.650–2.600)</t>
  </si>
  <si>
    <t>6.50 (1.30–7.03)</t>
  </si>
  <si>
    <t>1.827 (0.450–2.200)</t>
  </si>
  <si>
    <t>1.912 (0.450–2.300)</t>
  </si>
  <si>
    <t>3.60 (0.80–5.00)</t>
  </si>
  <si>
    <t>0.550 (0.130–1.300)</t>
  </si>
  <si>
    <t>0.750 (0.220–1.600)</t>
  </si>
  <si>
    <t>4.20 (0.80–5.20)</t>
  </si>
  <si>
    <t>0.802 (0.130–1.400)</t>
  </si>
  <si>
    <t>0.934 (0.130–1.650)</t>
  </si>
  <si>
    <t>5.80 (1.50–6.00)</t>
  </si>
  <si>
    <t>1.650 (0.300–2.000)</t>
  </si>
  <si>
    <t>1.600 (0.300–2.000)</t>
  </si>
  <si>
    <t>8.00 (2.20–8.30)</t>
  </si>
  <si>
    <t>2.450 (0.400–2.500)</t>
  </si>
  <si>
    <t>2.500 (0.400–2.500)</t>
  </si>
  <si>
    <t>11.00 (2.40–11.50)</t>
  </si>
  <si>
    <t>3.400 (0.500–3.500)</t>
  </si>
  <si>
    <t>3.200 (0.500–3.400)</t>
  </si>
  <si>
    <t>15.00 (4.20–16.00)</t>
  </si>
  <si>
    <t>5.000 (1.200–5.200)</t>
  </si>
  <si>
    <t>4.400 (1.000–5.000)</t>
  </si>
  <si>
    <t>17.00 (5.40–17.60)</t>
  </si>
  <si>
    <t>5.400 (1.400–5.600)</t>
  </si>
  <si>
    <t>4.800 (1.200–5.000)</t>
  </si>
  <si>
    <t>4.00 (0.900–4.50)</t>
  </si>
  <si>
    <t>1.030 (0.200–1.600)</t>
  </si>
  <si>
    <t>1.100 (0.200–1.600)</t>
  </si>
  <si>
    <t>5.60 (1.500–6.00)</t>
  </si>
  <si>
    <t>1.560 (0.300–2.000)</t>
  </si>
  <si>
    <t>8.00 (2.200–9.00)</t>
  </si>
  <si>
    <t>2.180 (0.400–3.000)</t>
  </si>
  <si>
    <t>2.200 (0.400–3.000)</t>
  </si>
  <si>
    <t>11.00 (2.400–11.50)</t>
  </si>
  <si>
    <t>3.000 (0.500–3.300)</t>
  </si>
  <si>
    <t>15.00 (4.200–16.00)</t>
  </si>
  <si>
    <t>5.200 (1.400–5.600)</t>
  </si>
  <si>
    <t>4.700 (1.200–5.000)</t>
  </si>
  <si>
    <t>1.620 (0.300–2.000)</t>
  </si>
  <si>
    <t>1.700 (0.300–2.000)</t>
  </si>
  <si>
    <t>8.00 (2.20–8.50)</t>
  </si>
  <si>
    <t>2.400 (0.400–2.400)</t>
  </si>
  <si>
    <t>2.550 (0.400–2.550)</t>
  </si>
  <si>
    <t>5.200 (1.200–5.400)</t>
  </si>
  <si>
    <t>4.40 (2.49–5.42)</t>
  </si>
  <si>
    <t>5.40 (2.58–5.92)</t>
  </si>
  <si>
    <t>6.50 (3.60–8.50)</t>
  </si>
  <si>
    <t>8.50 (3.66–8.79)</t>
  </si>
  <si>
    <t>9.30 (3.66–10.26)</t>
  </si>
  <si>
    <t>12.00  (2.60–14.00)</t>
  </si>
  <si>
    <t>13.00 (2.60–14.00)</t>
  </si>
  <si>
    <t>4.40 (2.49–5.40)</t>
  </si>
  <si>
    <t>5.65 (2.58–6.50)</t>
  </si>
  <si>
    <t>8.60 (3.65–9.20)</t>
  </si>
  <si>
    <t>9.50 (3.65–10.25)</t>
  </si>
  <si>
    <t>12.00 (2.60–13.50)</t>
  </si>
  <si>
    <t>13.00 (2.60–14.50)</t>
  </si>
  <si>
    <t>12.50 (1.20–14.00)</t>
  </si>
  <si>
    <t>15.50 (1.20–17.00)</t>
  </si>
  <si>
    <t>16.00 (1.20–17.40)</t>
  </si>
  <si>
    <t>17.50 (1.20–18.50)</t>
  </si>
  <si>
    <t>18.00 (1.20-19.00)</t>
  </si>
  <si>
    <t>6.35 ? 2</t>
  </si>
  <si>
    <t>9.52 ? 2</t>
  </si>
  <si>
    <t>6.35 ? 3</t>
  </si>
  <si>
    <t>9.52 ? 3</t>
  </si>
  <si>
    <t>9.52 ? 2 + 12.7 ? 1</t>
  </si>
  <si>
    <t>6.35 ? 4</t>
  </si>
  <si>
    <t>9.52 ? 2 + 12.7 ? 2</t>
  </si>
  <si>
    <t>6.35 ? 5</t>
  </si>
  <si>
    <t>9.52 ? 3 + 12.7 ? 2</t>
  </si>
  <si>
    <t>6.35 Х 2</t>
  </si>
  <si>
    <t>9.52 Х 2</t>
  </si>
  <si>
    <t>6.35 Х 3</t>
  </si>
  <si>
    <t>9.52 Х 3</t>
  </si>
  <si>
    <t>9.52 Х 2  + 12.70 х 1</t>
  </si>
  <si>
    <t>6.35 Х 4</t>
  </si>
  <si>
    <t>9.52 Х 2  + 12.70 х 2</t>
  </si>
  <si>
    <t>6.35 Х 5</t>
  </si>
  <si>
    <t>9.52 Х 3  + 12.70 х 2</t>
  </si>
  <si>
    <t>6.35 ? 6</t>
  </si>
  <si>
    <t>9.52 ? 4  + 12.70 ? 2</t>
  </si>
  <si>
    <t>22.1 / 25.4</t>
  </si>
  <si>
    <t>2 x 6.35</t>
  </si>
  <si>
    <t>2 x 9.52</t>
  </si>
  <si>
    <t>3 x 6.35</t>
  </si>
  <si>
    <t>3 x 9.52</t>
  </si>
  <si>
    <t>4 x 6.35</t>
  </si>
  <si>
    <t>3 x 9.52 + 1 x 12.7</t>
  </si>
  <si>
    <t>5 x 6.35</t>
  </si>
  <si>
    <t>4 x 9.52 + 1 x 12.7</t>
  </si>
  <si>
    <t>2?6.35</t>
  </si>
  <si>
    <t>2?9.52</t>
  </si>
  <si>
    <t>3?6.35</t>
  </si>
  <si>
    <t>3?9.52</t>
  </si>
  <si>
    <t>2 x 9.5</t>
  </si>
  <si>
    <t>3 x 9.5</t>
  </si>
  <si>
    <t>4 x 9.5</t>
  </si>
  <si>
    <t>3 x 6.35 + 9.5</t>
  </si>
  <si>
    <t>2 x 9.5 + 12.7 + 15.8</t>
  </si>
  <si>
    <t>4 x 6.35 + 9.5</t>
  </si>
  <si>
    <t>2 x 9.5 + 2 x 12.7 + 15.8</t>
  </si>
  <si>
    <t>5 x 9.5</t>
  </si>
  <si>
    <t>Производительность. нагрев. кВт</t>
  </si>
  <si>
    <t>Потребляемая мощность в режиме охлаждения. кВт</t>
  </si>
  <si>
    <t>Потребляемая мощность в режиме обогрева. кВт</t>
  </si>
  <si>
    <t>6.8 (A++)</t>
  </si>
  <si>
    <t>4.1 (A+)</t>
  </si>
  <si>
    <t>6.9 (A++)</t>
  </si>
  <si>
    <t>6.7 (A++)</t>
  </si>
  <si>
    <t>6.3 (A++)</t>
  </si>
  <si>
    <t>7.2 (A++)</t>
  </si>
  <si>
    <t>4.3 (A+)</t>
  </si>
  <si>
    <t>7.1 (A++)</t>
  </si>
  <si>
    <t>7.4 (A++)</t>
  </si>
  <si>
    <t>7.3 (A++)</t>
  </si>
  <si>
    <t>4.4 (A+)</t>
  </si>
  <si>
    <t>7.77 (A++)</t>
  </si>
  <si>
    <t>4.56 (A+)</t>
  </si>
  <si>
    <t>7.28 (A++)</t>
  </si>
  <si>
    <t>4.18 (A+)</t>
  </si>
  <si>
    <t>8.5 (A+++)</t>
  </si>
  <si>
    <t>5.1 (A+++)</t>
  </si>
  <si>
    <t>6.94 (A++)</t>
  </si>
  <si>
    <t>3.87 (A)</t>
  </si>
  <si>
    <t>5.69 (A+)</t>
  </si>
  <si>
    <t>3.8 (A)</t>
  </si>
  <si>
    <t>6.67 (A++)</t>
  </si>
  <si>
    <t>4.54 (A+)</t>
  </si>
  <si>
    <t>6.14 (A++)</t>
  </si>
  <si>
    <t>4.52 (A+)</t>
  </si>
  <si>
    <t>5.9 (A+)</t>
  </si>
  <si>
    <t>3.9 (A)</t>
  </si>
  <si>
    <t>5.8 (A+)</t>
  </si>
  <si>
    <t>5.6 (A+)</t>
  </si>
  <si>
    <t>6.2 (A++)</t>
  </si>
  <si>
    <t>6.5 (A++)</t>
  </si>
  <si>
    <t>6.23 (A++)</t>
  </si>
  <si>
    <t>6.1 (A++)</t>
  </si>
  <si>
    <t>4.2 (A+)</t>
  </si>
  <si>
    <t>6.4 (A++)</t>
  </si>
  <si>
    <t>8.2 (A++)</t>
  </si>
  <si>
    <t>8.1 (A++)</t>
  </si>
  <si>
    <t>8.7 (A+++)</t>
  </si>
  <si>
    <t>4.7 (A++)</t>
  </si>
  <si>
    <t>8.6 (A+++)</t>
  </si>
  <si>
    <t>4.6 (A++)</t>
  </si>
  <si>
    <t>6.7 (А++)</t>
  </si>
  <si>
    <t>4.1 (А+)</t>
  </si>
  <si>
    <t>6.6 (А++)</t>
  </si>
  <si>
    <t>6.9 (А++)</t>
  </si>
  <si>
    <t>4.3 (А+)</t>
  </si>
  <si>
    <t>6.4 (А++)</t>
  </si>
  <si>
    <t>4.2 (А+)</t>
  </si>
  <si>
    <t>6.2 (А++)</t>
  </si>
  <si>
    <t>4.4 (А+)</t>
  </si>
  <si>
    <t>8.5 (А+++)</t>
  </si>
  <si>
    <t>4.6 (А++)</t>
  </si>
  <si>
    <t>6.1 (А++)</t>
  </si>
  <si>
    <t>8.8 (A+++)</t>
  </si>
  <si>
    <t>3.8 (D)</t>
  </si>
  <si>
    <t>4.62 (A++)</t>
  </si>
  <si>
    <t>6.5 (А++)</t>
  </si>
  <si>
    <t>3.8 (A+)</t>
  </si>
  <si>
    <t>6.3 (А++)</t>
  </si>
  <si>
    <t>3.2 (B)</t>
  </si>
  <si>
    <t>9.4 (A+++)</t>
  </si>
  <si>
    <t>5.1 (A++)</t>
  </si>
  <si>
    <t>5.1 (A)</t>
  </si>
  <si>
    <t>3.4 (A)</t>
  </si>
  <si>
    <t>4.7 (B)</t>
  </si>
  <si>
    <t>3.5 (A)</t>
  </si>
  <si>
    <t>5.4 (A)</t>
  </si>
  <si>
    <t>5.5 (A)</t>
  </si>
  <si>
    <t>4.6 (B)</t>
  </si>
  <si>
    <t>3.6 (A)</t>
  </si>
  <si>
    <t>5.7 (A++)</t>
  </si>
  <si>
    <t>7.2 (А++)</t>
  </si>
  <si>
    <t>7.8 (А++)</t>
  </si>
  <si>
    <t>7.1 (А++)</t>
  </si>
  <si>
    <t>5.39 (A)</t>
  </si>
  <si>
    <t>4.08 (A+)</t>
  </si>
  <si>
    <t>6.09 (A+)</t>
  </si>
  <si>
    <t>4.21 (A+)</t>
  </si>
  <si>
    <t>Жидкостная линия. мм</t>
  </si>
  <si>
    <t>Газовая линия. мм</t>
  </si>
  <si>
    <t>Диаметр трубопровода для слива конденсата. мм</t>
  </si>
  <si>
    <t>13.8. 15.8 до 16.7 / 13.0. 16.0 до 16.8</t>
  </si>
  <si>
    <t>13.8. 15.8 до 16.7 / 13.0. 16.0 до 16.7</t>
  </si>
  <si>
    <t>11.8 / 15 до 16.8</t>
  </si>
  <si>
    <t>11.8. 15 до 16.8 / 13.0. 16.0 до 16.8</t>
  </si>
  <si>
    <t>13.8 / 15.8 до 16.7</t>
  </si>
  <si>
    <t>11.8 / 15.0 до 16.8</t>
  </si>
  <si>
    <t>13.0 / 16.0 до 16.8</t>
  </si>
  <si>
    <t>13.8 / 15.0 до 16.8</t>
  </si>
  <si>
    <t>12. 16 /</t>
  </si>
  <si>
    <t>35.7 / 38.1</t>
  </si>
  <si>
    <t>23.4. 25.4/</t>
  </si>
  <si>
    <t>24.4. 32/</t>
  </si>
  <si>
    <t>25. 32/</t>
  </si>
  <si>
    <t>35.7. 38.1/</t>
  </si>
  <si>
    <t>внутр. 25 / наружн. 32</t>
  </si>
  <si>
    <t>13.8 16.7</t>
  </si>
  <si>
    <t>Ø 13.0 (I.D.). Ø 16.0 to Ø 16.7 (O.D.)</t>
  </si>
  <si>
    <t>? 13.0 (I.D.). ? 16.0 to ? 16.7 (O.D.)</t>
  </si>
  <si>
    <t>Сечение кабеля питания. мм</t>
  </si>
  <si>
    <t>Сечение соединительного кабеля. мм</t>
  </si>
  <si>
    <t>3 х 1.5</t>
  </si>
  <si>
    <t>4 х 1.5</t>
  </si>
  <si>
    <t>3 х 2.5</t>
  </si>
  <si>
    <t>5 х 2.5</t>
  </si>
  <si>
    <t>5 х 1.5</t>
  </si>
  <si>
    <t>5 х 1.0</t>
  </si>
  <si>
    <t>3 х 1.5 + 2 х 0.75</t>
  </si>
  <si>
    <t>4 х 1.0</t>
  </si>
  <si>
    <t>3 х 0.75</t>
  </si>
  <si>
    <t>3 х 2.5 + 3 х 0.75</t>
  </si>
  <si>
    <t>5 х 2.5 + 3 x 1</t>
  </si>
  <si>
    <t>5 х 1.5 + 3 x 0.75</t>
  </si>
  <si>
    <t>6 х 1.5</t>
  </si>
  <si>
    <t>4 x 1.5</t>
  </si>
  <si>
    <t>6 х 2.5</t>
  </si>
  <si>
    <t>3 х 1.5 + 5 х 2.5</t>
  </si>
  <si>
    <t>2 х 1.0</t>
  </si>
  <si>
    <t>5 х 2.5 + 2 х 0.75</t>
  </si>
  <si>
    <t>3 х 0.75 + 3 х 2.5</t>
  </si>
  <si>
    <t>4 х 2.5 + 2 х 0.75</t>
  </si>
  <si>
    <t>3 х 0.75 + 5 х 2.5</t>
  </si>
  <si>
    <t>3 х 1.5 + 3 х 2.5</t>
  </si>
  <si>
    <t>4 х 1.5 + 2 х 0.75</t>
  </si>
  <si>
    <t>4 х 2.5</t>
  </si>
  <si>
    <t>3 х 1.0 + 3 х 1.5</t>
  </si>
  <si>
    <t>2 х 0.75</t>
  </si>
  <si>
    <t>3 х 1.0 + 3 х 2.5</t>
  </si>
  <si>
    <t>3 х 1.0 + 5 х 1.5</t>
  </si>
  <si>
    <t>2 х 1.5</t>
  </si>
  <si>
    <t>Максимальный ток. А</t>
  </si>
  <si>
    <t>2.5/3.3</t>
  </si>
  <si>
    <t>3.2/3.5</t>
  </si>
  <si>
    <t>4.6/4.8</t>
  </si>
  <si>
    <t>5.3/6.3</t>
  </si>
  <si>
    <t>2.70 / 3.20</t>
  </si>
  <si>
    <t>2.7/3.2</t>
  </si>
  <si>
    <t>3.50 / 3.80</t>
  </si>
  <si>
    <t>3.5/3.8</t>
  </si>
  <si>
    <t>4.70 / 5.60</t>
  </si>
  <si>
    <t>4.7/5.6</t>
  </si>
  <si>
    <t>7.50 / 8.00</t>
  </si>
  <si>
    <t>10.90 / 10.40</t>
  </si>
  <si>
    <t>2.60 / 3.00</t>
  </si>
  <si>
    <t>3.40 / 3.40</t>
  </si>
  <si>
    <t>4.80 / 5.10</t>
  </si>
  <si>
    <t>5.80 / 6.80</t>
  </si>
  <si>
    <t>6.10 / 7.00</t>
  </si>
  <si>
    <t>9.30 / 8.60</t>
  </si>
  <si>
    <t>2.10 / 2.80</t>
  </si>
  <si>
    <t>3.00 / 4.50</t>
  </si>
  <si>
    <t>6.8 / 7.6</t>
  </si>
  <si>
    <t>10.9/10.7</t>
  </si>
  <si>
    <t>10.20 / 9.70</t>
  </si>
  <si>
    <t>13.90 / 12.00</t>
  </si>
  <si>
    <t>18.20 / 15.80</t>
  </si>
  <si>
    <t>7.60 / 6.80</t>
  </si>
  <si>
    <t>20.90 / 18.30</t>
  </si>
  <si>
    <t>8.50 / 7.60</t>
  </si>
  <si>
    <t>9.7 / 8.8</t>
  </si>
  <si>
    <t>12.3 / 12.3</t>
  </si>
  <si>
    <t>13.8 / 13.4</t>
  </si>
  <si>
    <t>6.00 / 5.80</t>
  </si>
  <si>
    <t>21.3 / 18.3</t>
  </si>
  <si>
    <t>8.60 / 7.60</t>
  </si>
  <si>
    <t>3.90 / 4.40</t>
  </si>
  <si>
    <t>5.10 / 5.50</t>
  </si>
  <si>
    <t>6.00 / 6.80</t>
  </si>
  <si>
    <t>8.30 / 8.10</t>
  </si>
  <si>
    <t>11.70 / 11.70</t>
  </si>
  <si>
    <t>12.60 / 11.00</t>
  </si>
  <si>
    <t>15.50 / 14.80</t>
  </si>
  <si>
    <t>19.40 / 17.10</t>
  </si>
  <si>
    <t>6.1/5.5</t>
  </si>
  <si>
    <t>18.9/16.7</t>
  </si>
  <si>
    <t>6.9/6.5</t>
  </si>
  <si>
    <t>6.9/7.6</t>
  </si>
  <si>
    <t>11.2/11.5</t>
  </si>
  <si>
    <t>13.5/14.1</t>
  </si>
  <si>
    <t>3.40 / 4.40</t>
  </si>
  <si>
    <t>5.2 / 5.8</t>
  </si>
  <si>
    <t>6.4 / 6.6</t>
  </si>
  <si>
    <t>7.6 / 7.9</t>
  </si>
  <si>
    <t>11.6/12.2</t>
  </si>
  <si>
    <t>3.7/3.9</t>
  </si>
  <si>
    <t>13.7/13.3</t>
  </si>
  <si>
    <t>5.3/5.3</t>
  </si>
  <si>
    <t>16.9/16.5</t>
  </si>
  <si>
    <t>6.5/6.6</t>
  </si>
  <si>
    <t>19.3/20.5</t>
  </si>
  <si>
    <t>7.40 / 7.70</t>
  </si>
  <si>
    <t>9.30 / 8.70</t>
  </si>
  <si>
    <t>11.30 / 11.70</t>
  </si>
  <si>
    <t>13.60 / 11.40</t>
  </si>
  <si>
    <t>5.9 / 5.0</t>
  </si>
  <si>
    <t>18.8 / 16.6</t>
  </si>
  <si>
    <t>7.8 / 7.0</t>
  </si>
  <si>
    <t>21.4 / 21.3</t>
  </si>
  <si>
    <t>8.6 / 8.6</t>
  </si>
  <si>
    <t>4.8/5.1</t>
  </si>
  <si>
    <t>6.1/6.1</t>
  </si>
  <si>
    <t>7.2/7.4</t>
  </si>
  <si>
    <t>9.7/9.9</t>
  </si>
  <si>
    <t>5.20 / 5.80</t>
  </si>
  <si>
    <t>6.40 / 6.60</t>
  </si>
  <si>
    <t>7.80 / 7.90</t>
  </si>
  <si>
    <t>10.00 / 9.10</t>
  </si>
  <si>
    <t>2.90 / 4.10</t>
  </si>
  <si>
    <t>4.30 / 5.70</t>
  </si>
  <si>
    <t>4.70 / 6.20</t>
  </si>
  <si>
    <t>7.4 / 7.6</t>
  </si>
  <si>
    <t>12.3 / 12.6</t>
  </si>
  <si>
    <t>13.8 / 13.3</t>
  </si>
  <si>
    <t>6.0 / 5.8</t>
  </si>
  <si>
    <t>21.3 / 18.4</t>
  </si>
  <si>
    <t>8.8 / 7.6</t>
  </si>
  <si>
    <t>4.3 / 4.4</t>
  </si>
  <si>
    <t>11.2 / 13.3</t>
  </si>
  <si>
    <t>13.5 / 14.1</t>
  </si>
  <si>
    <t>6.1 / 5.5</t>
  </si>
  <si>
    <t>4.7 / 4.7</t>
  </si>
  <si>
    <t>5.6 / 5.6</t>
  </si>
  <si>
    <t>5.1 / 6.2</t>
  </si>
  <si>
    <t>7.7 / 8.1</t>
  </si>
  <si>
    <t>9.1 / 9.4</t>
  </si>
  <si>
    <t>11.1 / 10.9</t>
  </si>
  <si>
    <t>5.1 / 4.9</t>
  </si>
  <si>
    <t>6.9 / 6.3</t>
  </si>
  <si>
    <t>5.9 / 7.1</t>
  </si>
  <si>
    <t>8.5 / 8.8</t>
  </si>
  <si>
    <t>9.7 / 10.5</t>
  </si>
  <si>
    <t>10.6 / 12.3</t>
  </si>
  <si>
    <t>15.7 / 14.9</t>
  </si>
  <si>
    <t>23.1 / 22.5</t>
  </si>
  <si>
    <t>3.60 (0.40–5.50) / 3.20 (0.60–5.80)</t>
  </si>
  <si>
    <t>2.80 (0.35–4.35) / 2.80 (0.50–5.40)</t>
  </si>
  <si>
    <t>3.60 (0.40–5.50) / 3.60 (0.60–5.80)</t>
  </si>
  <si>
    <t>4.40 (0.50–5.60) / 4.30 (0.80–5.30)</t>
  </si>
  <si>
    <t>4.50 (1.20–6.00) / 4.40 (1.30–6.20)</t>
  </si>
  <si>
    <t>3.00 / 2.80</t>
  </si>
  <si>
    <t>3.02 / 2.80</t>
  </si>
  <si>
    <t>3.57 / 3.35</t>
  </si>
  <si>
    <t>4.77 / 4.59</t>
  </si>
  <si>
    <t>7.10 / 6.50</t>
  </si>
  <si>
    <t>10.88 / 10.32</t>
  </si>
  <si>
    <t>11.90 / 11.00</t>
  </si>
  <si>
    <t>14.40 / 14.30</t>
  </si>
  <si>
    <t>2.78 / 2.82</t>
  </si>
  <si>
    <t>3.57 / 3.17</t>
  </si>
  <si>
    <t>4.76 / 4.41</t>
  </si>
  <si>
    <t>7.20 / 6.80</t>
  </si>
  <si>
    <t>11.10 / 10.30</t>
  </si>
  <si>
    <t>2.95 (0.30–6.50) / 2.80 (0.45–6.40)</t>
  </si>
  <si>
    <t>4.70 (0.40–7.50) / 4.50 (0.70–7.60)</t>
  </si>
  <si>
    <t>3.8/3.9</t>
  </si>
  <si>
    <t>4.97/4.22</t>
  </si>
  <si>
    <t>5.9/5.8</t>
  </si>
  <si>
    <t>8.89/7.88</t>
  </si>
  <si>
    <t>3.47(0.4-5.4) / 4.1(0.5-5.2)</t>
  </si>
  <si>
    <t>5.88(0.5-6.9) / 4.42(0.4-6.9)</t>
  </si>
  <si>
    <t>6.7(0.7-9.8) / 7.8(0.95-10.2)</t>
  </si>
  <si>
    <t>11.1(1.4-15) / 10.3(1.3~13.7)</t>
  </si>
  <si>
    <t xml:space="preserve">3.10 (0.40–6.00) / 3.52 (0.60–5.70) </t>
  </si>
  <si>
    <t>5.40 (0.70–9.70) / 5.08 (1.00–10.10)</t>
  </si>
  <si>
    <t>6.50 (0.70–9.70) / 6.10 (1.00–10.10)</t>
  </si>
  <si>
    <t>9.90 (1.00–13.10) / 9.17 (1.40–13.70)</t>
  </si>
  <si>
    <t>3.10 (0.40–5.50) / 3.35 (0.40-5.70)</t>
  </si>
  <si>
    <t>2.73 (0.40–4.70) / 2.89 (0.48–4.70)</t>
  </si>
  <si>
    <t>5.25 (0.57–6.20) / 4.87 (0.50–5.82)</t>
  </si>
  <si>
    <t>4.50 (0.60–7.20) / 4.47 (0.70–6.78)</t>
  </si>
  <si>
    <t>2.60 (0.40–5.50) / 2.70 (0.40–5.70)</t>
  </si>
  <si>
    <t>3.91 (0.60–7.20) / 4.13 (0.50–6.50)</t>
  </si>
  <si>
    <t>21.60 / 19.00</t>
  </si>
  <si>
    <t>11.00 (3.00–13.80) / 10.20 (2.40–12.90)</t>
  </si>
  <si>
    <t>12.00 (4.80–13.20) / 10.00 (4.00–11.00)</t>
  </si>
  <si>
    <t>6.60 (1.90–8.70) / 5.50 (1.40–7.40)</t>
  </si>
  <si>
    <t>6.60 (1.80–6.80) / 5.50 (1.60–6.30)</t>
  </si>
  <si>
    <t>7.60 (2.20–10.10) / 6.90 (1.70–9.20)</t>
  </si>
  <si>
    <t>9.60 (2.30–9.80) / 9.30 (2.50–9.70)</t>
  </si>
  <si>
    <t>10.00 (2.90–12.60) / 7.90 (2.20–11.60)</t>
  </si>
  <si>
    <t>11.00 (3.10–11.60) / 10.00 (4.00–12.00)</t>
  </si>
  <si>
    <t>4.80 (1.00–7.70) / 4.70 (2.30–8.40)</t>
  </si>
  <si>
    <t>5.10  (0.70–7.30) / 4.70 (0.70–5.95)</t>
  </si>
  <si>
    <t>6.80 (1.20–10.90) / 6.30 (1.38–10.5)</t>
  </si>
  <si>
    <t>7.90 (0.87–8.70) / 6.60 (1.95–8.50)</t>
  </si>
  <si>
    <t>7.57.5(1.2-10.9)/6.76.7(1.2-11.5)</t>
  </si>
  <si>
    <t>7.30 (2.80–7.90) / 6.60 (2.40–6.80)</t>
  </si>
  <si>
    <t>7.70 (1.03–9.10) / 6.60 (1.65–6.60)</t>
  </si>
  <si>
    <t>9.40 (1.80–14.40) / 8.90 (1.80–14.10)</t>
  </si>
  <si>
    <t>10.00 (0.87–11.30) / 9.78 (1.61–10.43)</t>
  </si>
  <si>
    <t>6.20 (1.80–8.10) / 5.60 (1.40–7.40)</t>
  </si>
  <si>
    <t>6.90 (1.80–7.00) / 5.80 (1.60–6.30)</t>
  </si>
  <si>
    <t>8.30 (2.40–11.00) / 6.90 (1.70–9.20)</t>
  </si>
  <si>
    <t>10.30 (2.30–10.5) / 9.50 (2.50–10.40)</t>
  </si>
  <si>
    <t>10.00 (2.90–12.60) / 8.20 (2.10–11.00)</t>
  </si>
  <si>
    <t xml:space="preserve">11.00 (3.10–11.60) / 9.00 (2.20–10.90) </t>
  </si>
  <si>
    <t>5.10 (1.30–10.00) / 4.50 (1.48–10.00)</t>
  </si>
  <si>
    <t>5.70 (0.70–7.50) / 5.50 (0.70–6.70)</t>
  </si>
  <si>
    <t>7.20 (1.10–9.20) / 7.00 (1.30–9.30)</t>
  </si>
  <si>
    <t>7.60 (1.00–9.50) / 7.25 (1.70–7.50)</t>
  </si>
  <si>
    <t>10.00 (2.00–12.20) / 8.90 (2.10–12.40)</t>
  </si>
  <si>
    <t>10.0 (0.83–11.74) / 9.78 (1.70–10.43)</t>
  </si>
  <si>
    <t>5.70 (1.80–8.40) / 4.70 (1.40–7.40)</t>
  </si>
  <si>
    <t>6.80 (1.80–6.90) / 5.40 (1.60–6.30)</t>
  </si>
  <si>
    <t>7.90 (2.40–11.00) / 6.20 (1.70–9.00)</t>
  </si>
  <si>
    <t>9.50 (2.30–9.70) / 8.10 (2.50–8.80)</t>
  </si>
  <si>
    <t>9.40 (2.90–12.00) / 7.20 (2.10–11.00)</t>
  </si>
  <si>
    <t>11.00 (3.10–11.60) / 8.30 (2.10–10.50)</t>
  </si>
  <si>
    <t>13.04 / 12.08 + 11.40</t>
  </si>
  <si>
    <t>11.00 / 11.00</t>
  </si>
  <si>
    <t>9.20 / 9.00 + 5.30</t>
  </si>
  <si>
    <t>9.50 / 10.00 + 5.30</t>
  </si>
  <si>
    <t>11.00 / 10.00 + 5.30</t>
  </si>
  <si>
    <t>11.50 / 11.00 + 5.70</t>
  </si>
  <si>
    <t>0.11/0.11</t>
  </si>
  <si>
    <t>0.15/0.15</t>
  </si>
  <si>
    <t>0.28/0.28</t>
  </si>
  <si>
    <t>5.90 (0.78–9.10) / 5.30 (1.10–9.73)</t>
  </si>
  <si>
    <t>5.8 (0.8–7.3) / 5.4 (1.7–7.3)</t>
  </si>
  <si>
    <t>7.10 (3.10–9.20) / 6.60 (2.60–7.90)</t>
  </si>
  <si>
    <t>7.1 (3.2–9.0) / 6.6 (2.80–7.95)</t>
  </si>
  <si>
    <t>9.00 (1.10–9.40) / 8.10 (1.76–8.80)</t>
  </si>
  <si>
    <t>8.3 (1.8–10) / 7.6 (2.6–8)</t>
  </si>
  <si>
    <t>13.70 (2.20–14.30) / 12.50 (2.60–12.60)</t>
  </si>
  <si>
    <t>14.2 (0.6–14.2) / 9.8 (2.2–12.5)</t>
  </si>
  <si>
    <t>10.90 (3.90–13.90) / 10.40 (3.70–13.30)</t>
  </si>
  <si>
    <t>16.10 (3.35–20.12) / 13.18 (3.58–18.20)</t>
  </si>
  <si>
    <t>17.30 (3.00–19.20) / 14.90 (3.00–17.70)</t>
  </si>
  <si>
    <t>3.2 / 2.9</t>
  </si>
  <si>
    <t>3.80 / 3.60</t>
  </si>
  <si>
    <t>3.9 / 3.6</t>
  </si>
  <si>
    <t>5.10 / 4.70</t>
  </si>
  <si>
    <t>5.1 / 4.7</t>
  </si>
  <si>
    <t>7.60 / 7.00</t>
  </si>
  <si>
    <t>7.8 / 7.1</t>
  </si>
  <si>
    <t>10.10 / 9.40</t>
  </si>
  <si>
    <t>10.4 / 9.4</t>
  </si>
  <si>
    <t>12.10 / 10.90</t>
  </si>
  <si>
    <t>4.00 (1.20–6.30) / 4.10 (1.20–6.50)</t>
  </si>
  <si>
    <t>4.6 (1.2–8.0) / 4.1 (1.2–9.0)</t>
  </si>
  <si>
    <t>4.70 (1.50–6.70) / 4.50 (1.50–7.00)</t>
  </si>
  <si>
    <t>5.8 (1.5–9.0) / 4.7 (1.5–10.0)</t>
  </si>
  <si>
    <t>3.8 (1.2–7.2) / 3.6 (1.2–7.5)</t>
  </si>
  <si>
    <t>5.1 (1.8–8.0) / 4.7 (1.8–8.5)</t>
  </si>
  <si>
    <t>7.8 (2.4–12.0) / 7.1 (2.4–12.0)</t>
  </si>
  <si>
    <t>10.4 (3.0–15.0) / 9.4 (3.0–14.0)</t>
  </si>
  <si>
    <t>3.0 / 2.9</t>
  </si>
  <si>
    <t>3.7 / 3.5</t>
  </si>
  <si>
    <t>4.9 / 4.6</t>
  </si>
  <si>
    <t>7.6 / 6.9</t>
  </si>
  <si>
    <t>9.9 / 9.2</t>
  </si>
  <si>
    <t>12.1 / 10.9</t>
  </si>
  <si>
    <t>7.20 (1.70–10.80) / 7.30 (1.70–12.00)</t>
  </si>
  <si>
    <t>8.1 (1.7–12.0) / 7.0 (1.7–13.0)</t>
  </si>
  <si>
    <t>8.90 (2.30–12.50) / 9.00 (2.30–13.70)</t>
  </si>
  <si>
    <t>10.7 (2.3–12.3) / 9.9 (2.3–13.5)</t>
  </si>
  <si>
    <t>7.80 / 7.11</t>
  </si>
  <si>
    <t>10.37 / 10.00</t>
  </si>
  <si>
    <t>6.69 / 6.28</t>
  </si>
  <si>
    <t>9.10 / 9.00</t>
  </si>
  <si>
    <t>12.13 / 13.36</t>
  </si>
  <si>
    <t>8.00 / 6.87</t>
  </si>
  <si>
    <t>10.69 / 12.40</t>
  </si>
  <si>
    <t>7.80 / 7.20</t>
  </si>
  <si>
    <t>9.30 / 9.50</t>
  </si>
  <si>
    <t>12.00 / 12.40</t>
  </si>
  <si>
    <t>8.0/7.5</t>
  </si>
  <si>
    <t>9.35/8.2</t>
  </si>
  <si>
    <t>8.0/7.0</t>
  </si>
  <si>
    <t>9.1/9.0</t>
  </si>
  <si>
    <t>11.0/10.0</t>
  </si>
  <si>
    <t>5.49 / 5.63</t>
  </si>
  <si>
    <t>7.80 / 7.52</t>
  </si>
  <si>
    <t>10.37 / 10.60</t>
  </si>
  <si>
    <t>6.76 / 6.28</t>
  </si>
  <si>
    <t>12.13 / 10.36</t>
  </si>
  <si>
    <t>5.30 / 5.30</t>
  </si>
  <si>
    <t>7.65 / 8.00</t>
  </si>
  <si>
    <t>11.05 / 11.00</t>
  </si>
  <si>
    <t>11.00 / 11.30</t>
  </si>
  <si>
    <t>6.6/5.8</t>
  </si>
  <si>
    <t>7.8/6.8</t>
  </si>
  <si>
    <t>9.35/8.35</t>
  </si>
  <si>
    <t>9.74 / 9.13</t>
  </si>
  <si>
    <t>5.82 / 5.60</t>
  </si>
  <si>
    <t>12.00 / 10.30</t>
  </si>
  <si>
    <t>7.78 / 8.50</t>
  </si>
  <si>
    <t>10.10 / 11.20</t>
  </si>
  <si>
    <t>7.5/6.8</t>
  </si>
  <si>
    <t>9.35/8.5</t>
  </si>
  <si>
    <t>7.2/7.0</t>
  </si>
  <si>
    <t>0.2/0.2</t>
  </si>
  <si>
    <t>0.34/0.34</t>
  </si>
  <si>
    <t>6.3 (1.2–8.0)/5.9 (1.1–8.0)</t>
  </si>
  <si>
    <t>8.2 (1.3–10.5)/7.3 (1.2–10.5)</t>
  </si>
  <si>
    <t>9.8 (1.5–13.2)/9.0 (1.7–13.2)</t>
  </si>
  <si>
    <t>12.7 (1.6–14.0)/10.9 (1.9–14.0)</t>
  </si>
  <si>
    <t xml:space="preserve">2.80 / 3.30 </t>
  </si>
  <si>
    <t>4.00 / 4.30</t>
  </si>
  <si>
    <t>3.30 / 3.50</t>
  </si>
  <si>
    <t>3.3 / 3.5</t>
  </si>
  <si>
    <t>3.20 / 3.20</t>
  </si>
  <si>
    <t>3.8 / 3.9</t>
  </si>
  <si>
    <t>4.40 / 4.00</t>
  </si>
  <si>
    <t>4.8 / 4.0</t>
  </si>
  <si>
    <t>6.30 / 6.20</t>
  </si>
  <si>
    <t>5.9 / 5.8</t>
  </si>
  <si>
    <t>7.70 / 8.10</t>
  </si>
  <si>
    <t>7.6 / 7.6</t>
  </si>
  <si>
    <t>3.50 / 3.20</t>
  </si>
  <si>
    <t>3.5 / 3.1</t>
  </si>
  <si>
    <t>3.70 / 3.40</t>
  </si>
  <si>
    <t>3.7 / 3.4</t>
  </si>
  <si>
    <t>4.62 / 4.41</t>
  </si>
  <si>
    <t>4.8 / 4.6</t>
  </si>
  <si>
    <t>6.42 / 6.38</t>
  </si>
  <si>
    <t>6.6 / 6.4</t>
  </si>
  <si>
    <t>8.29 / 8.07</t>
  </si>
  <si>
    <t>12.33 / 11.86</t>
  </si>
  <si>
    <t>12.0 / 11.5</t>
  </si>
  <si>
    <t>13.10 / 13.50</t>
  </si>
  <si>
    <t>2.65 / 3.54</t>
  </si>
  <si>
    <t>3.55 / 4.23</t>
  </si>
  <si>
    <t>7.40 (1.30–8.70) / 7.00 (1.30–8.70)</t>
  </si>
  <si>
    <t>10.65 (1.74–10.87) / 10.87 (1.74–10.87)</t>
  </si>
  <si>
    <t>16.30 (2.40–16.60) / 15.30 (2.40–16.20)</t>
  </si>
  <si>
    <t>8.60 (2.00–9.00) / 7.60 (1.70–8.60)</t>
  </si>
  <si>
    <t>9.40 (2.40–9.80) / 8.40 (2.00–8.70)</t>
  </si>
  <si>
    <t>16.50 / 15.60</t>
  </si>
  <si>
    <t>18.90 / 17.20</t>
  </si>
  <si>
    <t>22.70 / 20.70</t>
  </si>
  <si>
    <t>27.80 / 26.40</t>
  </si>
  <si>
    <t>4.45 (1.00–8.00) / 4.80 (1.00–8.00)</t>
  </si>
  <si>
    <t>6.78 (1.30–8.70) / 7.00 (1.30–8.70)</t>
  </si>
  <si>
    <t>9.47 (1.74–13.00) / 9.56 (1.74–13.00)</t>
  </si>
  <si>
    <t>16.30 (2.40–16.60) / 14.40 (2.40–15.80)</t>
  </si>
  <si>
    <t>9.00 (2.40–9.80) / 8.20 (2.00–8.70)</t>
  </si>
  <si>
    <t>7.00 (1.30–8.70) / 7.40 (1.30–8.70)</t>
  </si>
  <si>
    <t>10.43 (1.74–10.43) / 11.09 (1.74–11.09)</t>
  </si>
  <si>
    <t>8.60 (2.00–9.20) / 7.60 (1.70–8.60)</t>
  </si>
  <si>
    <t>9.00 (2.40–9.80) / 8.40 (2.00–8.70)</t>
  </si>
  <si>
    <t>10.7/9.5</t>
  </si>
  <si>
    <t>5.6/5.6</t>
  </si>
  <si>
    <t>8.5/8.2</t>
  </si>
  <si>
    <t>10.7/10.4</t>
  </si>
  <si>
    <t>9.6/9.4</t>
  </si>
  <si>
    <t>9.2/8.6</t>
  </si>
  <si>
    <t>7.45/6.46</t>
  </si>
  <si>
    <t>10.7/9.6</t>
  </si>
  <si>
    <t>10.28/9.8</t>
  </si>
  <si>
    <t>12.68/12.26</t>
  </si>
  <si>
    <t>5.7/5.6</t>
  </si>
  <si>
    <t>9.3/9.5</t>
  </si>
  <si>
    <t>10.5/10.3</t>
  </si>
  <si>
    <t>9.2/9.8</t>
  </si>
  <si>
    <t>10.49 / 10.15</t>
  </si>
  <si>
    <t>9.90 / 9.56</t>
  </si>
  <si>
    <t>11.72 / 11.24</t>
  </si>
  <si>
    <t>7.9/6.94</t>
  </si>
  <si>
    <t>11.4/11.1</t>
  </si>
  <si>
    <t>10.76/10.52</t>
  </si>
  <si>
    <t>5.6/5.9</t>
  </si>
  <si>
    <t>7.8/7.7</t>
  </si>
  <si>
    <t>10.7/10.65</t>
  </si>
  <si>
    <t>11.8/12.5</t>
  </si>
  <si>
    <t>5.32 / 5.24</t>
  </si>
  <si>
    <t>6.43 / 6.43</t>
  </si>
  <si>
    <t>8.47 / 7.68</t>
  </si>
  <si>
    <t>9.67 / 10.12</t>
  </si>
  <si>
    <t>11.27 / 11.05</t>
  </si>
  <si>
    <t>15.42 / 15.20</t>
  </si>
  <si>
    <t>17.21 / 15.79</t>
  </si>
  <si>
    <t>4.88 / 4.44</t>
  </si>
  <si>
    <t>6.56 / 5.55</t>
  </si>
  <si>
    <t>6.57 / 6.33</t>
  </si>
  <si>
    <t>8.35 / 9.89</t>
  </si>
  <si>
    <t>9.41 / 9.77</t>
  </si>
  <si>
    <t>18.00 / 17.00</t>
  </si>
  <si>
    <t>21.50 / 19.50</t>
  </si>
  <si>
    <t>9.00 / 8.40</t>
  </si>
  <si>
    <t>23.00 / 22.00</t>
  </si>
  <si>
    <t>9.50 / 8.50</t>
  </si>
  <si>
    <t>Максимальная длина трассы. м</t>
  </si>
  <si>
    <t>Максимальный перепад высот. м</t>
  </si>
  <si>
    <t>Минимальный уровень шума внутреннего блока. дБ(А)</t>
  </si>
  <si>
    <t>Максимальный уровень шума внутреннего блока. дБ(А)</t>
  </si>
  <si>
    <t>Минимальное количество подключаемых внутренних блоков. шт.</t>
  </si>
  <si>
    <t>Минимальный уровень шума наружного блока. дБ(А)</t>
  </si>
  <si>
    <t>Максимальный уровень шума наружного блока. дБ(А)</t>
  </si>
  <si>
    <t>Мин. допустимая температура наружного воздуха в режиме охлаждения. °С</t>
  </si>
  <si>
    <t>Макс. допустимая температура наружного воздуха в режиме охлаждения. °С</t>
  </si>
  <si>
    <t>Максимальное количество подключаемых внутренних блоков. шт.</t>
  </si>
  <si>
    <t>Минимальная рекомендуемая площадь помещения. м2</t>
  </si>
  <si>
    <t>Наименование модели. внутренний блок</t>
  </si>
  <si>
    <t>Автомат токовой защиты. A</t>
  </si>
  <si>
    <t>Максимальная длина трассы для одного внутреннего блока. м</t>
  </si>
  <si>
    <t>Максимальный перепад высот между внутренними блоками. м</t>
  </si>
  <si>
    <t>Диапазон статического давления. Па</t>
  </si>
  <si>
    <t>Максимальная потребляемая мощность. кВт</t>
  </si>
  <si>
    <t>Максимальная рекомендуемая площадь помещения. м2</t>
  </si>
  <si>
    <t>Электропитание. Ф/В/Гц</t>
  </si>
  <si>
    <t>Внешнее статическое давление. Па</t>
  </si>
  <si>
    <t>Высота нетто. мм</t>
  </si>
  <si>
    <t>Ширина нетто. мм</t>
  </si>
  <si>
    <t>Глубина нетто. мм</t>
  </si>
  <si>
    <t>Вес нетто. кг</t>
  </si>
  <si>
    <t>Вес брутто. кг</t>
  </si>
  <si>
    <t>Высота брутто. мм</t>
  </si>
  <si>
    <t>Ширина брутто. мм</t>
  </si>
  <si>
    <t>Глубина брутто. мм</t>
  </si>
  <si>
    <t>Уровень звукового давления внутреннего блока. дБ</t>
  </si>
  <si>
    <t>Производительность. м3/ч</t>
  </si>
  <si>
    <t>Изоляция корпуса. мм</t>
  </si>
  <si>
    <t>Частота вращения двигателя. Об/Мин</t>
  </si>
  <si>
    <t>Номинальный ток электродвигателя. А</t>
  </si>
  <si>
    <t>Класс защиты корпуса. IP</t>
  </si>
  <si>
    <t>Класс защиты электродвигателя. IP</t>
  </si>
  <si>
    <t>Присоединительный размер. мм</t>
  </si>
  <si>
    <t>Потребляемая мощность электродвигателя. кВт</t>
  </si>
  <si>
    <t>КПД рекуператора. %</t>
  </si>
  <si>
    <t>Высота нетто наружного блока. мм</t>
  </si>
  <si>
    <t>Высота брутто наружного блока. мм</t>
  </si>
  <si>
    <t>Ширина нетто наружного блока. мм</t>
  </si>
  <si>
    <t>Ширина брутто наружного блока. мм</t>
  </si>
  <si>
    <t>Глубина нетто наружного блока. мм</t>
  </si>
  <si>
    <t>Глубина брутто наружного блока. мм</t>
  </si>
  <si>
    <t>Вес нетто наружного блока. кг</t>
  </si>
  <si>
    <t>Вес брутто наружного блока. кг</t>
  </si>
  <si>
    <t>Высота нетто внутреннего блока. мм</t>
  </si>
  <si>
    <t>Высота брутто внутреннего блока. мм</t>
  </si>
  <si>
    <t>Ширина нетто внутреннего блока. мм</t>
  </si>
  <si>
    <t>Ширина брутто внутреннего блока. мм</t>
  </si>
  <si>
    <t>Глубина нетто внутреннего блока. мм</t>
  </si>
  <si>
    <t>Глубина брутто внутреннего блока. мм</t>
  </si>
  <si>
    <t>Высота нетто панели. мм</t>
  </si>
  <si>
    <t>Высота брутто панели. мм</t>
  </si>
  <si>
    <t>Ширина нетто панели. мм</t>
  </si>
  <si>
    <t>Ширина брутто панели. мм</t>
  </si>
  <si>
    <t>Глубина нетто панели. мм</t>
  </si>
  <si>
    <t>Глубина брутто панели. мм</t>
  </si>
  <si>
    <t>Вес нетто панели. кг</t>
  </si>
  <si>
    <t>Вес брутто панели. кг</t>
  </si>
  <si>
    <t>Бытовая сплит-система ASYG07LMCE-R/AOYG07LMCE-R серии Airflow является представителем новейшего. идеально сбалансированного по своим характеристикам поколения бытовых кондиционеров и отличается повышенной производительностью и скоростью достижения задаваемой с пульта температуры. Внутренний блок выполнен в абсолютно новом дизайне. задающем новые стандарты для рынка. Для данной модели специалисты TM Fujitsu значительно улучшили геометрию подачи воздуха. благодаря которой в помещении обеспечивается равномерное воздухораспределение. В стандартную комплектацию входят стильный пульт управления с возможностью настройки недельного таймера. а также комплект из нейтрализующего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данные модели можно размещать в помещениях с повышенными гигиеническими требованиями к чистоте воздуха — например. в спальнях и детских комнатах. Сплит-системы состоят из блока внутреннего и наружного и представлены на сайте в виде комплекта для удобства пользователя.</t>
  </si>
  <si>
    <t>Сплит-система ASYG09LMCE-R/AOYG09LMCE-R серии Airflow относится к новейшему. идеально сбалансированному по своим характеристикам поколению бытовых кондиционеров. Ее преимущества — повышенная производительность и скорость. с которой достигается задаваемая с пульта температура. Внутренний блок выполнен в совершенно новом дизайне. формирующем новый стандарт для рынка бытового кондиционирования. Для этой модели разработчики Fujitsu значительно улучшили геометрию подачи воздуха. благодаря чему обеспечивается равномерное распределение воздуха в помещении. В стандартную комплектацию входят стильный пульт управления с возможностью настройки недельного таймера и комплект из подавляющего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эти модели могут устанавливаться в помещениях с повышенными гигиеническими требованиями к чистоте воздуха. таких как спальни и детские комнаты.  Сплит-системы состоят из блока внутреннего и наружного и представлены на сайте в виде комплекта для удобства пользователя.</t>
  </si>
  <si>
    <t>Сплит-систему ASYG12LMCE-R/AOYG12LMCE-R серии Airflow относят к новейшему. идеально сбалансированному по своим характеристикам поколению бытовых кондиционеров. Данная модель отличается повышенной производительностью и скоростью. с которой достигается температура. задаваемая с пульта управления. Уникальный дизайн внутреннего блока формирует новые стандарты для рынка бытового кондиционирования. Для этой модели разработчиками Fujitsu была значительно улучшена геометрия подачи воздуха. благодаря чему в помещении обеспечивается равномерное распределение воздуха комфортной температуры. В базовую комплектацию входят удобный пульт управления с возможностью настройки недельного таймера и комплект из подавляющего неприятные запахи фильтра ионного деодорирования с очищающим воздух яблочно-катехиновым фильтром. Благодаря оснащению модели современной эффективной системой фильтрации. она может устанавливаться в помещениях с повышенными гигиеническими требованиями к чистоте воздуха. таких как детские и спальни.  Сплит-системы состоят из блока внутреннего и наружного и представлены на сайте в виде комплекта для удобства пользователя.</t>
  </si>
  <si>
    <t>Модель серии Airflow ASYG14LMCE-R/AOYG14LMCE-R является представителем новейшего. прекрасно сбалансированного по своим характеристикам поколения бытовых кондиционеров и отличается повышенной производительностью и скоростью достижения задаваемой с пульта температуры. Внутренний блок выполнен в совершенно новом дизайне. задающем новый стандарт для рынка бытового кондиционирования. Для этой модели разработчики Fujitsu значительно улучшили геометрию подачи воздуха. и благодаря этому в помещении обеспечивается равномерное воздухораспределение. В стандартную комплектацию вошли удобный пульт управления с опцией настройки недельного таймера и комплект из подавляющего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модели серии Airflow можно устанавливать в помещениях с повышенными гигиеническими требованиями к чистоте воздуха. таких как спальни и детские.  Сплит-системы состоят из блока внутреннего и наружного и представлены на сайте в виде комплекта для удобства пользователя.</t>
  </si>
  <si>
    <t xml:space="preserve">	 В духе японского тренда на минимализм. который сегодня приобретает мировую популярность. были разработаны компактные ALL DC-инверторные сплит-системы Clarios. Дизайн белого матового внутреннего блока шириной 784 мм был разработан для квартир SMART-планировки. являющихся стандартом для японского города.	 Широкие жалюзи усовершенствованной конструкции и новый дизайн вентилятора способствуют созданию рассеянного воздушного потока. обеспечивающего максимальный комфорт пользователю.	 Новый хладагент R32 является более эффективной и экологичной альтернативой R410A. который использовался в моделях прошлого поколения.	 Отвечая глобальным запросам на снижение энергопотребления. кондиционеры Clarios показывают сезонную эффективность класса А++ в режиме охлаждения и А+ в режиме обогрева для каждой модели.	 Опциональный Wi-Fi-модуль нового поколения можно установить для моделей 7-12 всего за несколько минут самостоятельно. На модели 18-24 Wi-Fi не устанавливается.	 * Обращаем внимание: дизайн внутреннего блока. приведенный на странице серии. соответствует моделям 7000. 9000.12000 BTU. Дизайн внутреннего блока для моделей 18000 и 24000 BTU отличается и отображен в карточках данных блоков. 	 **Держатель пульта UTZ-RXLA для моделей 7000. 9000. 12000 BTU является дополнительной опцией	 ***Модели KPCA и KPCA-R технически идентичны и отличаются только заводской маркировкой	 Сплит-системы состоят из блока внутреннего и наружного и представлены на сайте в виде комплекта для удобства пользователя.</t>
  </si>
  <si>
    <t xml:space="preserve">	 В духе японского тренда на минимализм. который сегодня приобретает мировую популярность. были разработаны компактные ALL DC-инверторные сплит-системы Clarios. Дизайн белого матового внутреннего блока шириной 784 мм был разработан для квартир SMART-планировки. являющихся стандартом для японского города.	 Широкие жалюзи усовершенствованной конструкции и новый дизайн вентилятора способствуют созданию рассеянного воздушного потока. обеспечивающего максимальный комфорт пользователю.	 Новый хладагент R32 является более эффективной и экологичной альтернативой R410A. который использовался в моделях прошлого поколения.	 Отвечая глобальным запросам на снижение энергопотребления. кондиционеры Clarios показывают сезонную эффективность класса А++ в режиме охлаждения и А+ в режиме обогрева для каждой модели.</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</si>
  <si>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позволяет настроить комфортный воздушный поток даже в высокопроизводительных режимах.		 Сплит-системы состоят из блока внутреннего и наружного и представлены на сайте в виде комплекта для удобства пользователя.</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</si>
  <si>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и функция «Двойной автосвинг» позволяет настроить комфортный воздушный поток даже в высокопроизводительных режимах.	 Сплит-системы состоят из блока внутреннего и наружного и представлены на сайте в виде комплекта для удобства пользователя.</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</si>
  <si>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и функция «Двойной автосвинг» позволяет настроить комфортный воздушный поток даже в высокопроизводительных режимах.  Заказать WI-FI для моделей 18000-24000 BTU	 Сплит-системы состоят из блока внутреннего и наружного и представлены на сайте в виде комплекта для удобства пользователя.</t>
  </si>
  <si>
    <t xml:space="preserve">	 Дизайн кондиционера Interios был разработан специально для Европы. и его легкие и элегантные очертания специально созданы для того. чтобы стать акцентом в интерьере. Изогнутая форма лицевой панели привлекательно смотрится с любого ракурса. что открывает больше возможностей для дизайнера.	 Кондиционеры серии Interios доступны в жемчужно-белом и серебристо-сером исполнении.&amp;nbsp;	 Необычный дизайн сочетается с качеством работы и функциональностью: в серии Interios использована новая конструкция жалюзи. обеспечивающая высокий комфорт воздушного потока. Расширенный функционал также включает в себя широкие возможности программирования и систему дополнительной фильтрации воздуха.&amp;nbsp;	 Работа кондиционера Interios не нарушит вашу доверительную беседу. медитацию. рабочий процесс или безмятежный сон: минимальный уровень шума внутреннего блока составляет всего 20 дБ. что граничит с беззвучностью в условиях реального жилого пространства.	 Новый хладагент R32 является более эффективной и экологичной альтернативой R410A. который использовался в моделях прошлого поколения.&amp;nbsp;	 Эффективность подтверждают высокие сезонные показатели SEER — до 7.7 и SCOP — до 4.5.		 Сплит-системы состоят из блока внутреннего и наружного и представлены на сайте в виде комплекта для удобства пользователя.</t>
  </si>
  <si>
    <t xml:space="preserve"> Сплит-система Fujitsu ASYG09KXCA/AOYG09KXCA настенного типа серии «Nocria X» является инновационным решением в мире климатической техники. не имеющим аналогов. Кондиционер&amp;nbsp;ASYG09KXCA/AOYG09KXCA воплотил в себе самые передовые и революционные для климатической отрасли решения — первый в мире кондиционер с технологией Dual Blaster и двухступенчатой системой фильтрации. превосходящий все представления о комфортном климате.В данной сплит-системе в качестве хладагента применяется экологически безопасный R32. Сезонные коэффициенты SEER8.5 и SCOP5.1 подтверждают высочайший класс энергоэффективности А+++. Прогрессивное инженерное решение гармонично дополняет футуристичный дизайн корпуса с боковыми вентиляторами. Кондиционер комплектуется WI-FI-контроллером и стильным беспроводным пульт управления с выдвижной панелью.	 Сплит-системы состоят из блока внутреннего и наружного и представлены на сайте в виде комплекта для удобства пользователя.</t>
  </si>
  <si>
    <t xml:space="preserve">	 Сплит-система Fujitsu ASYG12KXCA/AOYG12KXCA серии Nocria X сочетает в себе максимум полезных функций и технических преимуществ инверторного кондиционера. Японский кондиционер ASYG12KXCA/AOYG12KXCA обладает низким уровнем шума. отсутствием вибрации. высокой экономичностью. Плавная регулировка мощности сплит-системы данной серии позволяет максимально точно поддерживать заданную температуру вне зависимости от погоды и времени суток. Отсутствие высоких пусковых токов благотворно сказывается на сроке службы компрессора и уменьшает нагрузку на электрическую сеть.	 Прогрессивное инженерное решение гармонично дополняет футуристичный дизайн корпуса с боковыми вентиляторами. Все сплит-системы комплектуются Wi-Fi-контроллером и стильным беспроводным пультом управления с выдвижной панелью. Сплит-системы состоят из блока внутреннего и наружного и представлены на сайте в виде комплекта для удобства пользователя.</t>
  </si>
  <si>
    <t>Сплит-система Fujitsu ASYG18LFCA/AOYG18LFC серии Standard сочетает в себе энергоэффективность класса А и систему очистки воздуха. которая была разработана на основе японских технологий с применением натуральных природных компонентов. Кондиционер ASYG18LFCA/AOYG18LFC рекомендован для установки в помещениях с повышенными гигиеническими требованиями к чистоте воздуха. таких как спальни и детские комнаты. В стандартную комплектацию кондиционеров данной серии входят яблочно- катехиновым фильтром и фильтром ионного деодорирования. В яблочно-катехиновом фильтре мелкие частицы пыли. невидимые споры плесени и вредные микроорганизмы притягиваются. поглощаются и обезвреживаются благодаря электростатическим свойствам фильтра и химическим свойствам активного действующего вещества. В фильтрах ионного деодорирования запахи эффективно поглощаются благодаря воздействию ионов. которые излучают напыленные на сетку фильтра микрочастицы керамики.  Сплит-системы состоят из блока внутреннего и наружного и представлены на сайте в виде комплекта для удобства пользователя.</t>
  </si>
  <si>
    <t>Сплит-система Fujitsu ASYG30LFCA/AOYG30LFT серии Standard предназначена для поддержания комфортного микроклимата в помещениях большой площади. Она сочетает в себе высочайшую энергоэффективность класса А и эффективную систему очистки воздуха. которая была разработана на основе японских технологий с применением натуральных природных компонентов. Кондиционер ASYG30LFCA/AOYG30LFT рекомендуется устанавливаться в просторных помещениях с повышенными требованиями к чистоте воздуха. таких как спортзалы. детские игровые комнаты. гостиные или офисы.В стандартную комплектацию сплит-систем серии Standard входят яблочно-катехиновый фильтр и фильтр ионного деодорирования.  Сплит-системы состоят из блока внутреннего и наружного и представлены на сайте в виде комплекта для удобства пользователя.</t>
  </si>
  <si>
    <t>Мощные и экономичные кондиционеры настенного типа стабильно работают в режиме охлаждения при температуре наружного воздуха до -15 °С. а также в условиях низкой влажности.  Настенные инверторные сплит-системы состоят из блока внутреннего и наружного и представлены на сайте в виде комплекта для удобства пользователя.</t>
  </si>
  <si>
    <t>Мощные и экономичные кондиционеры настенного типа стабильно работают в режиме охлаждения при температуре наружного воздуха до -15 °С. а также в условиях низкой влажности. Настенные инверторные сплит-системы состоят из блока внутреннего и наружного и представлены на сайте в виде комплекта для удобства пользователя.</t>
  </si>
  <si>
    <t xml:space="preserve">	 Инверторные высоконапорные канальные кондиционеры Fujitsu разработаны для создания комфортного микроклимата в больших по площади жилых и коммерческих помещениях: офисах. магазинах. коттеджах. фитнес-центрах. библиотеках. Внутренние блоки таких систем развивают уровень статического давления 250 Па. что позволяет им эффективно работать при подключении к сложным системам воздуховодов.	 Двухроторные инверторные компрессоры обеспечивают высокую производительность и широкий диапазон рабочих температур. Модели Fujitsu являются одними из наиболее тихих среди кондиционеров такой мощности. В тихом режиме работы уровень шума внутреннего блока составляет всего 40 дБ. Если необходимо достичь минимального уровня шума наружного блока при работе. возможно снижение его уровня шума на 3 дБ.	 Канальные высоконапорные кондиционеры серии работают на экологически безопасном хладагенте R32.	 Пульт управления не входит в комплект поставки.	 Внутренние блоки серии KHTA сочетаются только с наружными блоками серии KBTB.</t>
  </si>
  <si>
    <t>2.91 (C)</t>
  </si>
  <si>
    <t>3.74 (A)</t>
  </si>
  <si>
    <t>2.81 (C)</t>
  </si>
  <si>
    <t>3.71 (A)</t>
  </si>
  <si>
    <t xml:space="preserve">	 Средненапорные инверторные канальные кондиционеры Fujitsu способны обеспечить комфортный микроклимат сразу в нескольких помещениях одновременно. Скрытый способ монтажа позволяет сочетать их с любыми интерьерами — в поле зрения остаются лишь декоративные решетки для подачи воздуха. Благодаря компактным размерам (всего 270 мм по высоте) они легко монтируются в пространстве за подвесным потолком.	 Внешнее статическое давление инверторных канальных кондиционеров ТМ FUJITSU достигает 150 Па. что позволяет обеспечить комфортное распределение воздуха сразу по нескольким помещениям по системе воздуховодов.	 Отдельно следует отметить низкий уровень шума от 25 Дб. что является отличным показателем для кондиционера. предназначенного для скрытого монтажа вне помещения.	 Канальные средненапорные кондиционеры работают на экологически безопасном хладагенте R32.	 Пульт управления и дренажная помпа в комплект поставки не входят.</t>
  </si>
  <si>
    <t>2.5 (E)</t>
  </si>
  <si>
    <t>3.23 (C)</t>
  </si>
  <si>
    <t xml:space="preserve">	 Средненапорные канальные кондиционеры серии Smart Design — очередная ступень развития энергоэффективных климатических решений Fujitsu. Соответствуя классам А++/А+ европейского стандарта энергоэффективности. сплит- системы отличаются высокой производительностью и низким энергопотреблением. Благодаря встроенным стабилизаторам воздушного потока. уравнивающим скорость и объем проходящего воздуха. уровень шума внутренних блоков существенно снижен.	 Канальные кондиционеры серии Smart Design отличаются очень широким модельным рядом (от 3.5 до 13.4 кВт холодопроизводительности). что в сочетании с настраиваемым уровнем статического давления от 30 до 200 Па делают их уникальным предложением. Статическое давление может быть отрегулировано с проводного пульта управления.	 В стандартную комплектацию входит дренажная помпа (высота подъема конденсата 850 мм). Опционально доступны фильтры очистки воздуха.	 Пульт управления в комплект поставки не входит.</t>
  </si>
  <si>
    <t>3.43 (A)</t>
  </si>
  <si>
    <t>4.01 (A)</t>
  </si>
  <si>
    <t>3.03 (A)</t>
  </si>
  <si>
    <t>3.98 (A)</t>
  </si>
  <si>
    <t xml:space="preserve">	 Инверторные высоконапорные канальные кондиционеры ТМ FUJITSU разработаны для быстрого создания и эффективного поддержания комфортного микроклимата в больших по площади жилых и коммерческих помещениях: офисах. магазинах. коттеджах. фитнесс-центрах. библиотеках. Внутренние блоки таких систем развивают уровень статического давления 250 Па. что позволяет им обеспечивать комфортные условия в нескольких просторных помещениях одновременно. Двухроторные инверторные компрессоры обеспечивают высокую производительность и широкий диапазон рабочих температур высоконапорных моделей&amp;nbsp;ТМ FUJITSU. Модели&amp;nbsp;ТМ FUJITSU&amp;nbsp;являются одними из наиболее тихих среди кондиционеров такой мощности. В тихом режиме работы уровень шума внутреннего блока составляет всего 40 дБ. Если необходимо достичь минимального уровня шума наружного блока при работе. возможно снижение его уровня шума на 3 дБ.</t>
  </si>
  <si>
    <t>3.08 (B)</t>
  </si>
  <si>
    <t>3.81 (A)</t>
  </si>
  <si>
    <t>3.68 (A)</t>
  </si>
  <si>
    <t>3.01 (B)</t>
  </si>
  <si>
    <t>3.66 (A)</t>
  </si>
  <si>
    <t>3.19 (B)</t>
  </si>
  <si>
    <t>3.5 (B)</t>
  </si>
  <si>
    <t>2.94 (C)</t>
  </si>
  <si>
    <t>3.4 (B)</t>
  </si>
  <si>
    <t>2.83 (C)</t>
  </si>
  <si>
    <t>3.3 (C)</t>
  </si>
  <si>
    <t xml:space="preserve">	 Компактные кондиционеры канального типа являются идеальным решением для скрытого монтажа в таких помещениях. как гостиничные номера. переговорные комнаты. спальни и гостиные. Внутренний блок обладает рекордно малой высотой (всего 198 мм). что позволяет устанавливать данную модель в ограниченном пространстве. Забор воздуха можно осуществлять как с нижней. так и с тыльной стороны внутреннего блока.	 Непревзойденный уровень статического давления вентилятора 90 Па. что расширяет возможности расположения блоков.	 Дополнительно может быть установлена управляемая интерьерная решетка воздуховода с 4 положениями жалюзи и функцией автоматического распределения воздушного потока. Использование этой опции облагородит интерьер и обеспечит максимальный комфорт пользователя.	 В стандартную комплектацию входит встроенная дренажная помпа (высота подъема конденсата 850 мм) и воздушный фильтр.	 Канальные узкопрофильные кондиционеры работают на экологически безопасном хладагенте R32.	 Пульт управления в комплект поставки не входит.</t>
  </si>
  <si>
    <t xml:space="preserve">	 Четырехпоточное распределение воздуха. малозаметная установка за подвесным потолком. возможность работы в режиме высоких потолков делают инверторные кассетные кондиционеры Fujitsu оптимальным решением для кондиционирования просторных помещений коммерческого назначения: ночных клубов. кафе и ресторанов. учебных аудиторий. Также полно-размерные кассетные кондиционеры используются для кондиционирования нескольких помещений одновременно благодаря подключению дополнительных воздуховодов*. Уникальная разработка Fujitsu — высокоэффективный турбовентилятор —. обеспечивает равномерное и практически бесшумное распределение воздуха. Благодаря усовершенствованной форме лопаток значительно снижается шум и турбулентноcть потока. что приводит к тихой и экономичной работе кондиционера.</t>
  </si>
  <si>
    <t>3.22 (A)</t>
  </si>
  <si>
    <t>3.21 (A)</t>
  </si>
  <si>
    <t>3.61 (A)</t>
  </si>
  <si>
    <t>3.41 (B)</t>
  </si>
  <si>
    <t xml:space="preserve">	 Полноразмерные кассетные кондиционерыFujitsu являются идеальным решением для создания комфортного микроклимата в коммерческих помещениях большой площади. Особая конструкция жалюзи без перегородок вместе с новым турбовентилятором обеспечивают равномерное распределение воздуха с углом охвата 360⁰. Благодаря индивидуальному управлению жалюзи появилась возможность более точно настроить режим работы кассетного блока в каждом из четырех направлений воздушного потока.	 Дизайн панели элегантный и сдержанный. Стандартная панель изготовлена в белом матовом цвете. опционально доступна черная матовая панель. что расширяет возможности дизайнерских решений. Панель белого цвета также может быть дополнена датчиком движения Human Sensor. который переключает кондиционер в режим энергосбережения. если в помещении нет людей.	 Кассетные полноразмерные кондиционеры работают на экологически безопасном хладагенте R32.	 В стандартную комплектацию внутреннего блока входит дренажная помпа (высота подъема конденсата 850 мм). В комплектацию стандартной панели входит проводной пульт.&amp;nbsp;</t>
  </si>
  <si>
    <t>2.8 (C)</t>
  </si>
  <si>
    <t>3.58 (B)</t>
  </si>
  <si>
    <t>2.75 (D)</t>
  </si>
  <si>
    <t>3.19 (D)</t>
  </si>
  <si>
    <t xml:space="preserve">	 Компактный инверторный кассетный кондиционер Fujitsu — одна из лучших сплит-систем полупромышленного назначения на климатическом рынке. Именно Fujitsu впервые предложила компактную кассетную модель мощностью 7.1 кВт. Внутренний блок кондиционеров этой серии обладает уникальными характеристиками: это оригинальная разработка Fujitsu — турбовентилятор внутреннего блока с усовершенствованными лопастями — обеспечивает равномерное и практически бесшумное распределение воздуха. Отличительная особенность кассетных кондиционеров Fujitsu заключается в эффективном использовании пространства и отсутствии сквозняков. В компактных инверторных кассетных моделях предусмотрена возможность подачи свежего воздуха через дополнительный воздуховод.* Можно также подключить воздуховоды для удаленного распределения воздуха*. Габариты этой модели идеально подходят для установки в подвесные потолки евростандарта. Благодаря малозаметности и низкому уровню шума эти кондиционеры являются идеальным решением для кондиционирования жилых помещений и офисов.</t>
  </si>
  <si>
    <t xml:space="preserve">	 Напольные кондиционеры Fujitsu являются современным и высокоэффективным решением для поддержания оптимальной температуры в помещении как летом. так и в период межсезонья.	 Двухвентиляторная конструкция обеспечивает подачу воздуха горизонтально по полу и вертикально вдоль стены или окна. Такое распределение воздуха особенно эффективно при работе на обогрев. так как оно защищает от холода. идущего от окна.	 Стильный и компактный внутренний блок удачно впишется в дизайн-проект любого уровня сложности. а практически бесшумная работа его вентиляторов обеспечит непревзойденный акустический комфорт.	 Внутренний блок оборудованы датчиком утечки хладагента. обеспечивающий полную безопасность использования кондиционера.	 Напольные кондиционеры работают на экологически безопасном хладагенте R32.	 В комплект поставки входит беспроводной пульт управления</t>
  </si>
  <si>
    <t xml:space="preserve">	 К сезону 2021 года инженеры Fujitsu разработали абсолютно новую модель подпотолочного кондиционера на экологически безопасном хладагенте R32. Легкий и элегантный дизайн внутреннего блока удостоился в 2020 году награды Red Dot Design Award. Изогнутые линии корпуса хорошо смотрятся с любого угла обзора. а современный и минималистичный стиль внутреннего блока подойдет к любому интерьеру.	 По сравнению с кондиционерами предыдущего поколения новые подпотолочные блоки стали до 20% легче. Кроме того. в новых блоках используются монтажные пластины новой конструкции. существенно облегчающие монтаж внутреннего блока.	 Высокая производительность вентиляторов внутреннего блока и позволяют достичь комфортной подвижности воздуха и благоприятного поля температур даже в самых отдаленных частях помещения.	 Опционально доступен встраиваемый ИК-приемник с беспроводным пультом.	 Пульт управления и дренажная помпа в комплект поставки не входят.</t>
  </si>
  <si>
    <t>2.5 (F)</t>
  </si>
  <si>
    <t xml:space="preserve">	 Средненапорные инверторные канальные модели&amp;nbsp;Fujitsu способны обеспечить комфортный микроклимат сразу в нескольких смежных помещениях. Благодаря компактным размерам (всего 270 мм по высоте) они легко монтируются в пространстве за подвесным потолком. что позволяет обеспечить полную сохранность интерьера. Охлажденный или нагретый воздух подается в помещения по системе воздуховодов. которые прикрепляются к внутреннему блоку как при встроенном. так и при подвесном подпотолочном монтаже. Инверторная технология&amp;nbsp;V-PAM&amp;nbsp;гарантирует эффективную работу компрессора при высоких рабочих частотах. Для оптимальной настройки режимов работы кондиционера в стандартной комплектации поставляется проводной пульт управления с функцией недельного таймера. </t>
  </si>
  <si>
    <t xml:space="preserve">	 Узкопрофильные канальные внутренние блоки Fujitsu — уникальное предложение на рынке систем кондиционирования. Они отличаются наибольшей гибкостью размещения: их можно установить как за подвесным потолком при горизонтальной установке. так и в пространстве между стен при вертикальной установке. И в том. и в другом случае внутренний блок сплит-системы полностью незаметен. Внутренний блок обладает рекордно малой высотой (всего 198 мм). что позволяет устанавливать данную модель в ограниченном пространстве. При запотолочной установке можно осуществлять забор воздуха как с нижней. так и с тыльной стороны внутреннего блока. Непревзойденный уровень статического давления вентилятора 90 Па гарантирует подачу теплого воздуха на уровне пола при работе на обогрев помещения. Отдельно следует отметить низкий уровень шума при работе этой модели внутреннего блока. </t>
  </si>
  <si>
    <t xml:space="preserve">	 Компактный инверторный кассетный внутренний блок&amp;nbsp;Fujitsu&amp;nbsp;— это оригинальная разработка инженеров японского премиального бренда.&amp;nbsp;Турбовентилятор внутреннего блока с усовершенствованными лопастями обеспечивает равномерное и практически бесшумное распределение воздуха. Отличительная особенность кассетных блоков&amp;nbsp;ТМ Fujitsu заключается в эффективном использовании пространства и отсутствии сквозняков. Габариты этой модели идеально подходят для установки в подвесные потолки европейского стандарта. Благодаря малозаметности и низкому уровню шума. компактные кассетные внутренние блоки являются идеальным решением для кондиционирования жилых помещений и офисов.</t>
  </si>
  <si>
    <t xml:space="preserve">	 Отличительная черта инверторных напольно-подпотолочных внутренних блоков Fujitsu — это гибкость размещения и превосходная производительность. Напольно-подпотолочные модели являются оптимальным решением в тех случаях. когда эксплуатационные особенности не позволяют проводить монтаж внутреннего блока на стене. Толщина универсального внутреннего блока Fujitsu составляет всего 199 мм. что позволяет свести к минимуму эффект присутствия оборудования в помещении. Современный дизайн и высококачественные материалы внутреннего блока позволяют ему гармонично вписываться в самые изысканные интерьеры. Функция автоматического трехмерного воздухораспределения позволит достичь комфортной температуры в самых отдаленных углах помещения и надежно защитит от простуд. возникающих от длительного пребывания под прямым потоком охлажденного воздуха.&amp;nbsp; </t>
  </si>
  <si>
    <t xml:space="preserve">	 Стильный и компактный внутренний блок удачно впишется в дизайн-проект любого уровня сложности. а практически бесшумная работа его вентиляторов обеспечит непревзойденный акустический комфорт. Широкая и мощная струя подачи воздуха позволяет надежно защитить помещение от сквозняков. возникающих от окна. Многоступенчатая система фильтрации воздуха позволяет устанавливать напольные внутренние блоки Fujitsu в помещениях с повышенными требованиями к чистоте воздуха. При регулярной промывке срок службы фильтра может достигать 3 лет. Высокая эффективность фильтрации и. как следствие. свежесть и чистота воздуха делают напольные внутренние блоки Fujitsu изящным решением для создания комфортного микроклимата в гостиных и детских комнатах загородных домов. </t>
  </si>
  <si>
    <t>Наружные блоки мультисплит-систем Inverter R32 для 2. 3. 4 и 5 помещений</t>
  </si>
  <si>
    <t xml:space="preserve">	 Мультисплит-системы нового поколения для 2. 3. 4 и 5 помещений – это следующий шаг в развитии технологий Fujitsu. Класс энергоэффективности A+++ на охлаждение и A++ на обогрев для всех типоразмеров задает новый стандарт на рынке климатической техники. Расширенные возможности по производительности подключаемых внутренних блоков увеличивают гибкость проектирования системы.	 Габариты и вес всех наружных блоков снижен относительно предыдущего поколения на хладагенте R410A.	 Линейка внутренних блоков представлена 6 типами производительностью от 2 до 7 кВт. Это настенные. напольные. подпотолочные. компактные кассетные и канальные внутренние блоки актуальных серий на хладагенте R32.</t>
  </si>
  <si>
    <t>Наружные блоки мультисплит-систем Inverter для 2. 3. 4. 5 и 6 помещений</t>
  </si>
  <si>
    <t xml:space="preserve">	 Для комплексного создания комфортного микроклимата в нескольких помещениях. компания ТМ FUJITSU предлагает мультисплит-системы для 2. 3 или 4 помещений. Компактность. гибкость размещения и высокая производительность наружного блока позволяют смонтировать систему в соответствии с индивидуальными требованиями заказчика.&amp;nbsp;	 При проектировании системы кондиционирования для таких объектов. как кафе или загородные коттеджи. требуется сохранить уникальный дизайн дома. расположив наружный блок за фасадом на большом расстоянии от внутренних блоков. Если оборудование устанавливается в многоэтажном здании. необходимо учитывать перепад высот между внутренними и наружными блоками.&amp;nbsp;	 Максимальная длина трассы у мультисплит-систем&amp;nbsp;ТМ FUJITSU&amp;nbsp;для 2. 3 или 4 помещений составляет до 70 м (для модели AOYG30LAT4). максимальный перепад высот до 15 м (для всех моделей). Что делает данные системы очень удобными в проектировании и монтаже.	 &amp;nbsp;Мультисплит-системы&amp;nbsp;ТМ FUJITSU&amp;nbsp;отличаются широтой выбора внутренних блоков. Линейка внутренних блоков представлена 6 типами. 20 моделями. производительностью от 2 кВт до 7 кВт. Это настенные. напольные. универсальные. компактные кассетные и канальные внутренние блоки.</t>
  </si>
  <si>
    <t>3.5 (А)</t>
  </si>
  <si>
    <t xml:space="preserve">	 Для комплексного создания комфортного микроклимата от 2 до 8 помещений. компания ТМ FUJITSU предлагает мультисплит-систему AOYG45LBT8. Компактность. гибкость размещения и высокая производительность наружного блока позволяют смонтировать систему в соответствии с индивидуальными требованиями заказчика и делают технологии комфорта малогабаритными. К одному наружному блоку можно подключать до 8 внутренних блоков. Максимальная производительность подключаемых внутренних блоков – до 130% от производительности наружного. Фактическая производительность зависит от ряда условий: от температуры наружного воздуха. погодных условий. времени года. При эксплуатации мультисплит-систем не все внутренние блоки будут работать одновременно в течение всего времени. В итоге 90% фактического времени наработки проходит при частичной нагрузке. а не при номинальной. Поэтому ТМ Fujitsu решили сосредоточиться на энергоэффективности в условиях действительной эксплуатации системы.</t>
  </si>
  <si>
    <t>2.69 (D)</t>
  </si>
  <si>
    <t>3.07 (D)</t>
  </si>
  <si>
    <t xml:space="preserve">	 Настенная инверторная&amp;nbsp;сплит-система LESSAR LS-HE07KRA2/LU-HE07KRA2&amp;nbsp;серии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интерьере.&amp;nbsp;LS-HE07KRA2/LU-HE07KRA2&amp;nbsp;— самый выгодный DC-инверторный кондиционер в линейке бытовых сплит-систем LESSAR.</t>
  </si>
  <si>
    <t>24/31/37.5</t>
  </si>
  <si>
    <t xml:space="preserve">	 Amigo — самый выгодный DC-инверторный кондиционер в линейке бытовых сплит-систем LESSAR.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увеличена теплопроизводительность на 1000 BTU/h. Номинальная мощность обновленного компрессора увеличилась на 20%. по сравнению с предыдущим поколением.	 Amigo — DC-инверторная серия бытовых сплит-систем. которая станет оптимальным решением для ценителей энергоэффективных технологий в классическом дизайне. За рекордные сроки кондиционеры Amigo стали бестселлерами TM LESSAR — этому способствует оптимальный модельный ряд. а также выверенный баланс цены и надежности. Компрессор от мирового производителя GMCC позволяет обеспечить экономию электроэнергии до 50% (в сравнении с кондиционерами постоянной производительности).	 Опционально возможно подключение Wi-Fi модуля для дистанционного управления кондиционером из любой точки мира.</t>
  </si>
  <si>
    <t>24/30.5/36.5</t>
  </si>
  <si>
    <t>Настенная инверторная&amp;nbsp;сплит-система LS-HE09KRA2/LU-HE09KRA2серии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интерьере.&amp;nbsp;LS-HE09KRA2/LU-HE09KRA2 — самыйвыгодный DC-инверторный кондиционер в линейке бытовых сплит-систем LESSAR.</t>
  </si>
  <si>
    <t>Настенная инверторная&amp;nbsp;сплит-система LS-HE12KRA2/LU-HE12KRA2серии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интерьере.&amp;nbsp;LS-HE12KRA2/LU-HE12KRA2 — самыйвыгодный DC-инверторный кондиционер в линейке бытовых сплит-систем LESSAR.</t>
  </si>
  <si>
    <t>26/34/39.5</t>
  </si>
  <si>
    <t>Настенная инверторная&amp;nbsp;сплит-система LS-HE12KRA2A/LU-HE12KRA2A 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интерьере.&amp;nbsp;LS-HE12KRA2A/LU-HE12KRA2A — самый выгодный DC-инверторный кондиционер в линейке бытовых сплит-систем LESSAR.	 Опционально возможно подключение Wi-Fi модуля для дистанционного управления кондиционером из любой точки мира. Заказать WI-FI к этой модели</t>
  </si>
  <si>
    <t>26/35.5/39.5</t>
  </si>
  <si>
    <t xml:space="preserve">	 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t>
  </si>
  <si>
    <t>26/34.5/38</t>
  </si>
  <si>
    <t xml:space="preserve"> Сплит-система Lessar LS-H07KPA2C/LU-H07KPA2C – это улучшенный кондиционер серии с постоянной производительностью "Cool+".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изменился конденсатор по всему периметру блока. в 2021 году он будет производиться с загибом.	 Как и все модели в этой серии. кондиционер LS-H07KPA2C/LU-H07KPA2C отличается низким уровнем шума. обладает высокой производительностью на охлаждение и нагрев воздуха. а также привлекательной ценой.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17222000A07041&amp;nbsp;</t>
  </si>
  <si>
    <t>26/35/40.5</t>
  </si>
  <si>
    <t xml:space="preserve"> Сплит-система Lessar LS-H09KPA2C/LU-H09KPA2C – это улучшенный кондиционер серии с постоянной производительностью "Cool+".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изменился конденсатор по всему периметру блока. в 2021 году он будет производиться с загибом. Сплит-система LS-H09KPA2C/LU-H09KPA2C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t>
  </si>
  <si>
    <t>26.5/33/41</t>
  </si>
  <si>
    <t>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t>
  </si>
  <si>
    <t>26.5/35.5/37.5</t>
  </si>
  <si>
    <t xml:space="preserve">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17222000A07066 </t>
  </si>
  <si>
    <t>30/38.5/42.5</t>
  </si>
  <si>
    <t>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17222000A07108</t>
  </si>
  <si>
    <t>3.2 (C)</t>
  </si>
  <si>
    <t xml:space="preserve">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17222000A07108 </t>
  </si>
  <si>
    <t>3.52 (B)</t>
  </si>
  <si>
    <t>26.5/38/41</t>
  </si>
  <si>
    <t>26.5/34.5/37.5</t>
  </si>
  <si>
    <t>34.5/38/45</t>
  </si>
  <si>
    <t>34.5/45.5/49</t>
  </si>
  <si>
    <t>Инверторная сплит-система LESSAR серии Ego — инверторный кондиционер класса «Комфорт+». объединивший в себе новейшие технологии и стильные дизайнерские решения. LESSAR Ego — кондиционер переменной производительности. оснащённый высокоэффективным DC-инверторным компрессором и Wi-Fi модулем для максимально удобного управления сплит-системой.</t>
  </si>
  <si>
    <t>Сплит-система LESSAR LS-HE12KNA2AB / LU-HE12KNA2AB из серии EGO — инверторный кондиционер класса «Комфорт+». объединивший в себе новейшие технологии и стильные дизайнерские решения. Кондиционер LS-HE12KNA2AB/LU-HE12KNA2AB переменной производительности оснащен высокоэффективным DC-инверторным компрессором  японского производства и Wi-Fi-модулем для максимально удобного управления сплит-системой. Система очистки воздуха Plasma уничтожает 95% пыли. дыма. пыльцы и других различных вредных веществ.</t>
  </si>
  <si>
    <t xml:space="preserve">	 Новая серия инверторных сплит-систем&amp;nbsp;Enigma&amp;nbsp;— это высокие показатели энергоэффективности. сочетание наиболее популярных у пользователей функций и оптимальный модельный ряд.	 Сплит-системы серии Enigma отвечают всем европейским экологическим стандартам и работают на хладагенте R32. который является наиболее экологически безопасным хладагентом на сегодняшний день.	 Благодаря новой интеллектуальной системе. сокращено время процесса размораживания.	 Встроенный ионизатор воздуха способствует очищению воздуха от пыли. аллергенов и молекул вредных газов.	 Минимально допустимая температура. устанавливаемая пользователем. — 16 °С.	 Все это позволяет создать максимально комфортную атмосферу в помещении. А опциональное подключение WI-FI-модуля дает возможность управлять кондиционером удаленно с помощью мобильного телефона.</t>
  </si>
  <si>
    <t>3.65 (A)</t>
  </si>
  <si>
    <t>3.23 (A)</t>
  </si>
  <si>
    <t>3.88 (A)</t>
  </si>
  <si>
    <t xml:space="preserve">	 Обновленная серия Full-DC инверторных кондиционеров Flexool сочетает высокую энергоэффективность и комфорт для пользователя. Все модели серии соответствуют европейским стандартам эффективности. Высокие сезонные показатели А++/А+ и работа на экологичном и современном хладагенте R32 создают минимальную нагрузку на окружающую среду.&amp;nbsp;	 Flexcool – это привлекательный минималистичный дизайн в белом цвете. который прекрасно дополняет любой интерьер. Встроенный ионизатор очищает воздух и наполняет помещение отрицательными ионами. что благоприятно сказывается на здоровье людей.&amp;nbsp;	 Сплит-системы Flexcool обеспечивают оптимальное охлаждение даже при экстремально высоких температурах окружающей среды — до +50 градусов. Благодаря трехмерному воздушному потоку помещение охлаждается равномерно на всей площади. </t>
  </si>
  <si>
    <t>37.0/29.0/25.5</t>
  </si>
  <si>
    <t>37.5/31.5/25</t>
  </si>
  <si>
    <t>46/37/34.5</t>
  </si>
  <si>
    <t xml:space="preserve">	 В 2021 году. в духе актуальных мировых трендов. направленных на снижение энергопотребления. новая серия Full DC-инверторных сплит-систем FLEXCOOL переходит на экологически безопасный фреон R32 и предлагает сезонный показатель энергоэффективности. соответствующий классу A++ в режиме охлаждения.	 Кондиционер оснащен функцией 3D Airflow. позволяющей за счет согласованной работы горизонтальных и вертикальных жалюзи обеспечить равномерное распределение воздуха комфортной температуры сразу в 4 направлениях. Функция Auto Restart сохраняет все заданные настройки в случае перебоев с электропитанием. позволяя сплит-системе самостоятельно возобновить работу в ранее заданном режиме после возобновления питания. Опционально возможно подключение Wi-Fi модуля для дистанционного управления кондиционером из любой точки мира. Заказать WI-FI к этой модели</t>
  </si>
  <si>
    <t xml:space="preserve">	 Бытовые FULL DC-инверторные сплит-системы TIGER — новинка 2020 года и флагман TM LESSAR в сегменте HOME. Серия получила свое название в честь партнерства бренда с Всемирным фондом дикой природы (WWF) и участия в программе поддержки амурского тигра.	 Кондиционеры TIGER обладают сезонными показателями энергоэффективности. соответствующими классам A++ в режиме охлаждения и A+ в режиме обогрева. Они заправлены передовым хладагентом R32. признанным наиболее экологически безопасным фреоном на сегодняшний день. Смелый V-образный дизайн внутреннего блока. удостоенный престижной награды на международном конкурсе IF Design Awards. станет украшением современного интерьера. Встроенный Wi-Fi модуль дает пользователю полную свободу в управлении микроклиматом при помощи мобильного устройства.</t>
  </si>
  <si>
    <t>21/26/32/37.5</t>
  </si>
  <si>
    <t xml:space="preserve">	 В начале 2021 года были внесены значительные улучшения в наружные блоки FULL DC-инверторных сплит-системы TIGER мощностью 9&amp;nbsp;000 BTU и 12&amp;nbsp;000 BTU.	 Кондиционеры TIGER с новыми наружными блоками обладают наивысшим сезонным показателем энергоэффективности в режиме охлаждения А+++ и высоким классом энергоэффективности в режиме обогрева А++.	 Они заправлены передовым хладагентом R32. признанным наиболее экологически безопасным фреоном на сегодняшний день. Смелый V-образный дизайн внутреннего блока. удостоенный престижной награды на международном конкурсе IF Design Awards. станет украшением современного интерьера. Встроенный Wi-Fi модуль дает пользователю полную свободу в управлении микроклиматом при помощи мобильного устройства.	 А также. хотим напомнить. что серия получила свое название в честь партнерства бренда с Всемирным фондом дикой природы (WWF) и участия в программе поддержки амурского тигра.</t>
  </si>
  <si>
    <t>24/32/37.5</t>
  </si>
  <si>
    <t xml:space="preserve">	 Флагманская серия Tiger от Lessar получила новое воплощение. сохранив отличительные черты —высокие показатели энергоэффективности. инновационные технологии и уникальный дизайн.&amp;nbsp;	 Жалюзи внутреннего блока имеют принципиально новую форму с вращающимся механизмом. Это конструктивное решение позволяет максимально точно регулировать направление воздушного потока из кондиционера. Таким образом. можно избежать прямого попадания потока воздуха на человека в любом. даже самом производительном режиме работы. Инновационный дизайн внутреннего блока серии Tiger отмечен престижной наградой международного конкурса Reddot.&amp;nbsp;	 Верный высоким стандартам экологичности флагман Lessar работает на хладагенте R32. Наивысший сезонный класс энергоэффективности в режиме охлаждения А+++ и высокий класс энергоэффективности в режиме обогрева А++ делают сплит-системы Tiger идеальным решением с точки зрения грамотного энергопотребления. </t>
  </si>
  <si>
    <t>21.5/32.5/40</t>
  </si>
  <si>
    <t xml:space="preserve">	Новый дизайн корпуса	Встроенный насос отвода конденсата	 Канальные внутренние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управления&amp;nbsp;LZ-HJPW. фильтр с фланцем LZ-DOF. Опционально: беспроводной пульт LZ-KNP. центральный пульт LZ-UPW7.</t>
  </si>
  <si>
    <t>Инверторные кассетные внутренние блоки&amp;nbsp;предназначены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семи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помещения.&amp;nbsp;</t>
  </si>
  <si>
    <t>2.71 (D)</t>
  </si>
  <si>
    <t>3.54 (B)</t>
  </si>
  <si>
    <t>44.5/47.0/49.5</t>
  </si>
  <si>
    <t>2.9 (C)</t>
  </si>
  <si>
    <t>44.5/47/49.5</t>
  </si>
  <si>
    <t>2.92 (C)</t>
  </si>
  <si>
    <t>3.51 (B)</t>
  </si>
  <si>
    <t>48/51.5/53.5</t>
  </si>
  <si>
    <t>2.55 (E)</t>
  </si>
  <si>
    <t>49.5/52/54.5</t>
  </si>
  <si>
    <t>Инверторные кассетные внутренние блоки&amp;nbsp;предназначены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семи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</si>
  <si>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37?/?40.5?/?44</t>
  </si>
  <si>
    <t>Инверторные напольно-потолочные внутренние блоки&amp;nbsp;незаменимы в тех случаях. когда требуется установка на полу. вдоль стены или под потолком. а установка кассетных блоков невозможна из-за отсутствия в помещении подвесного потолка или потому. что оно слишком вытянуто по форме. При этом блоки отличаются низким уровнем шума и простотой установки.</t>
  </si>
  <si>
    <t>34.5/38.5/42</t>
  </si>
  <si>
    <t>35.5/39/43</t>
  </si>
  <si>
    <t>2.64 (D)</t>
  </si>
  <si>
    <t>3.62 (A)</t>
  </si>
  <si>
    <t>3.35 (C)</t>
  </si>
  <si>
    <t>49.5/50.5/53.5</t>
  </si>
  <si>
    <t xml:space="preserve">	Новый дизайн корпуса	Встроенный насос отвода конденсата	 Канальные внутренние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 LZ-UPW4F. фильтр с фланцем LZ-DOF. Опционально: беспроводной пульт LZ-KNP. центральный пульт LZ-UPW7.</t>
  </si>
  <si>
    <t>27.5/34.5/40</t>
  </si>
  <si>
    <t>2.94 (С)</t>
  </si>
  <si>
    <t>36/38.5/45</t>
  </si>
  <si>
    <t>4.1 (A)</t>
  </si>
  <si>
    <t>38/40.5/44</t>
  </si>
  <si>
    <t>2.6 (D)</t>
  </si>
  <si>
    <t>43/45.5/47.5</t>
  </si>
  <si>
    <t>2.61 (D)</t>
  </si>
  <si>
    <t>46/48.5/50</t>
  </si>
  <si>
    <t xml:space="preserve">	 Внутренние канальные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t>
  </si>
  <si>
    <t>2.7 (D)</t>
  </si>
  <si>
    <t>2.99 (D)</t>
  </si>
  <si>
    <t>2.56 (E)</t>
  </si>
  <si>
    <t>3.04 (D)</t>
  </si>
  <si>
    <t>2.93 (C)</t>
  </si>
  <si>
    <t>3.02 (D)</t>
  </si>
  <si>
    <t xml:space="preserve">	новый дизайн внутренних блоков	для всех моделей доступен инфракрасный беспроводной пульт управления	 Внутренние блоки колонных сплит-систем предназначены для установки на полу. Используются. как правило. в холлах гостиниц. залах ресторанов. конференц-залах. магазинах и других общественных помещениях. где невозможно установить блок на стену или потолок и где требуется большая холодопроизводительность. Сильный поток охлажденного воздуха. направленный от внутреннего блока вверх. отражается от по- толка и равномерно распределяется по всему помещению. В корпусе имеются распределительные жалюзи с автоматическим регулированием воздушного потока. Внутренние блоки колонных сплит-систем дополнительно оснащены электрическими нагревательными элементами для более быстрого достижения комфортной температуры в холодный период времени.	 Сплит-системы состоят из блока внутреннего и наружного и представлены на сайте в виде комплекта для удобства пользователя.</t>
  </si>
  <si>
    <t>3.05 (D)</t>
  </si>
  <si>
    <t>40.5/47.5</t>
  </si>
  <si>
    <t>2.9 (С)</t>
  </si>
  <si>
    <t>3.2 (С)</t>
  </si>
  <si>
    <t>3.01 (D)</t>
  </si>
  <si>
    <t>2.65 (D)</t>
  </si>
  <si>
    <t>3.43 (B)</t>
  </si>
  <si>
    <t>49.8/53.9</t>
  </si>
  <si>
    <t>3.38 (C)</t>
  </si>
  <si>
    <t xml:space="preserve">	 Канальные внутренние блоки eMagic Inverter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 LZ-UPW4F. фильтр с фланцем LZ-DOF. Опционально: беспроводной пульт LZ-KNP. центральный пульт LZ-UPW7. фильтр с фланцем LZ-DOF.</t>
  </si>
  <si>
    <t>30/32/34.5</t>
  </si>
  <si>
    <t>33/38/41.5</t>
  </si>
  <si>
    <t>Внутренние кассетные блоки&amp;nbsp;eMagic Inverter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блока&amp;nbsp;в центре помещения.</t>
  </si>
  <si>
    <t xml:space="preserve">	 Новый современный дизайн внутреннего блока. скрытый LED-дисплей. двойной автосвинг воздуха. низкий уровень шума. обновленная система логического управления Intellect — вот что делает настенные внутренние блоки eMagic Inverter оптимальным выбором для самых требовательных потребителей.</t>
  </si>
  <si>
    <t>28.5/30.5/41.5</t>
  </si>
  <si>
    <t>29/38.5/45</t>
  </si>
  <si>
    <t xml:space="preserve">	 Новый современный дизайн внутреннего блока. скрытый LED-дисплей. ионизатор воздуха. низкий уровень шума. обновленная система логического управления Intellect — вот что делает настенные внутренние блоки eMagic Inverter оптимальным выбором для самых требовательных потребителей.</t>
  </si>
  <si>
    <t xml:space="preserve">	 Предлагая линейку инверторных мультисплит-систем. LESSAR предоставляет пользователям максимальную свободу выбора при интеграции систем кондиционирования в интерьер помещения. К одному наружному блоку eMagic Inverter можно подключить до 5 внутренних блоков различной мощности и типа — настенного. кассетного. напольно-потолочного. канального — что позволяет пользователю составить индивидуальную систему кондиционирования. отвечающую его персональным требованиям.	 В 2021 году вся линейка наружных блоков мультисплит-систем TM LESSAR перешла на передовой фреон R32 с возможностью подключения внутренних блоков работающих на фреоне R410.	 Повысился класс сезонной энергоэфективности в режиме охлаждения SEER (A++) для моделей 18 000 BTU. 27 000 BTU. 36 000 BTU и 42 000 BTU.</t>
  </si>
  <si>
    <t xml:space="preserve">	 Сплит-системы Bergamo — кондиционеры постоянной производительности. предлагающие пользователю оптимальный баланс стоимости. технологичности и надежности. Серия имеет расширенную линейку моделей мощностью от 7000 до 28000 BTU и поддерживает все необходимые режимы: охлаждение. обогрев и осушение. Благодаря современному роторному компрессору. кондиционеры Bergamo имеют высокий класс энергоэффективности — A. что означает бережный расход электроэнергии. Внутренний блок. исполненный в лаконичном дизайне с плавными линиями и обтекаемыми формами. станет органичным дополнением вашего интерьера. Лицевая панель оснащена скрытым дисплеем. Функция самодиагностики позволяет кондиционеру в автоматическом режиме проверять состояние своих подсистем.</t>
  </si>
  <si>
    <t>3.63 (A)</t>
  </si>
  <si>
    <t xml:space="preserve">	 Новое поколение DC-инверторных сплит-систем серии Ferrara сочетает в себе инновационные технологии и современный дизайн.	 Кондиционер обладает повышенным классом сезонной энергоэффективности — А++. а также способен эффективно работать в режиме обогрева при температуре за окном до -20 °C. Это стало возможным благодаря применению инверторного компрессора торговой марки GMCC.	 Зеркальный корпус со скрытым дисплеем. выполненный в черном цвете. станет финальным штрихом стильного интерьера. Минимальный уровень шума внутреннего блока Ferrara составляет всего 22 дБ.	 Одним из наиболее важных главным преимуществ серии является заправка моделей экологически безопасным однокомпонентным хладагентом R32. широко применяющимся в странах Европы.</t>
  </si>
  <si>
    <t xml:space="preserve">	 Новая серия DC-инверторных кондиционеров Monsone от бренда QuattroClima – это сочетание передовых технологий и европейских стандартов надежности. Сплит-системы Monsone обладают высоким классом сезонной энергоэффективности — A. что стало возможным благодаря применению компрессора DC Inverter мировых производителей GMCC и SANYO.	 Monsone предлагает широкую линейку оборудования производительностью от 9000 до 24 000 BTU. Внутренний блок. исполненный в лаконичном дизайне с плавными линиями и обтекаемыми формами. станет органичным дополнением вашего интерьера.</t>
  </si>
  <si>
    <t>Сплит-системы Vento — оптимальный баланс стоимости. технологичности и надежности.  Это классические кондиционеры постоянной производительности. предлагающие пользователю:	Полный набор необходимых режимов: охлаждение. обогрев. осушение. вентиляция и AUTO.	Расширенную линейку моделей мощностью от 7000 до 28000 BTU	Современный роторный компрессор GMCC (для моделей 07. 09. 12. 28).	Высокий класс энергоэффективности — Класс A.	Качественные материалы внешнего и внутреннего блоков.	Возможность адаптации ЗИМНИМ КОМПЛЕКТОМ ( –30⁰ / –43⁰).	Компактные размеры – позволяют разместить блоки в ограниченном пространстве.	Эстетичный дизайн – делает кондиционер уместным в любом интерьере.Серия Vento – представляет собой более экономичную версию самой популярной серии QuattroClima Bergamo.</t>
  </si>
  <si>
    <t xml:space="preserve">	 Новая серия DC-инверторных кондиционеров VERONA от бренда QuattroClima – это сочетание передовых технологий и европейских стандартов надежности. Сплит-системы VERONA обладают высоким классом сезонной энергоэффективности — A++. что стало возможным благодаря применению компрессора DC Inverter мировых производителей GMCC и SANYO. Помимо существенной экономии электроэнергии. еще одним преимуществом инверторных технологий является более точное поддержание заданных температурных параметров.VERONA предлагаетширокую линейку оборудования производительностью от 9000 до 24 000 BTU. Неменее важно. что кондиционеры серии заправлены хладагентом R32. который насегодняшний день является наиболее экобезопасным фреоном.</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</si>
  <si>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Канальные сплит-системы предназначены для кондиционирования нескольких залов одновременно. либо одного помещения сложной планировки. Внутренние блоки монтируются в систему подвесных потолков. и воздух распределяется воздуховодами по кондиционируемым помещениям. Скрытый способ монтажа позволяет обеспечить полную сохранность интерьерного дизайна — на виду остаются лишь декоративные решетки для подачи воздуха.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t>
  </si>
  <si>
    <t>3.1 (B)</t>
  </si>
  <si>
    <t>3.11 (B)</t>
  </si>
  <si>
    <t>2.84 (C)</t>
  </si>
  <si>
    <t>3.34 (C)</t>
  </si>
  <si>
    <t>3.24 (C)</t>
  </si>
  <si>
    <t xml:space="preserve">	 Внутренние канальные блоки предназначены для кондиционирования нескольких помещений одновременно или помещений сложной конфигурации.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t>
  </si>
  <si>
    <t xml:space="preserve">	 Внутренние канальные блоки предназначены для кондиционирования нескольких помещений одновременно или помещений сложной конфигурации.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t>
  </si>
  <si>
    <t>3.06 (B)</t>
  </si>
  <si>
    <t>3.31 (C)</t>
  </si>
  <si>
    <t>3.46 (B)</t>
  </si>
  <si>
    <t>3.07 (B)</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</si>
  <si>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Канальные сплит-системы предназначены для кондиционирования нескольких залов одновременно. либо одного помещения сложной планировки. Внутренние блоки монтируются в систему подвесных потолков. и воздух распределяется воздуховодами по кондиционируемым помещениям. Скрытый способ монтажа позволяет обеспечить полную сохранность интерьерного дизайна — на виду остаются лишь декоративные решетки для подачи воздуха.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В новой линейке 2022 года улучшены показатели энергоэффективности для моделей производительностью 24. 36. 48 и 60 тыс. BTU при работе на охлаждение и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t>
  </si>
  <si>
    <t>3.05 (B)</t>
  </si>
  <si>
    <t>3.27 (A)</t>
  </si>
  <si>
    <t>3.95 (A)</t>
  </si>
  <si>
    <t>3.45 (B)</t>
  </si>
  <si>
    <t xml:space="preserve">	 В 2021 году произошли большие изменения в полупромышленной линейке QuattroClima. Теперь все кассетные сплит-системы работают до -15 градусов на охлаждение.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 В комплект входит инфракрасный пульт дистанционного управления. * опциональный пульт QA-RPG</t>
  </si>
  <si>
    <t>3.03 (B)</t>
  </si>
  <si>
    <t>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</si>
  <si>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3.18 (D)</t>
  </si>
  <si>
    <t>2.96 (C)</t>
  </si>
  <si>
    <t>3.6 (B)</t>
  </si>
  <si>
    <t xml:space="preserve">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</si>
  <si>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2.82 (C)</t>
  </si>
  <si>
    <t>3.02 (B)</t>
  </si>
  <si>
    <t>2.88 (D)</t>
  </si>
  <si>
    <t>3.11 (D)</t>
  </si>
  <si>
    <t xml:space="preserve">	 В 2021 году произошли большие изменения в полупромышленной линейке QuattroClima. Теперь все кассетные сплит-системы работают до -15 градусов на охлаждение.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 В комплект входит инфракрасный пульт дистанционного управления.	 В новой линейке 2022 года улучшены показатели энергоэффективности для моделей производительностью 18. 24. 36. и 48 тыс. BTU при работе на охлаждение и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 * опциональный пульт QA-RPG</t>
  </si>
  <si>
    <t>3.1 (D)</t>
  </si>
  <si>
    <t>3.16 (D)</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</si>
  <si>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Напольно-потолочные сплит-системы незаменимы в тех случаях. когда требуется установка на полу. вдоль стены или под потолком. а установка кассетного кондиционера нецелесообразна из-за отсутствия в помещении подвесного потолка или потому. что оно обладает сложной планировкой. Напольно-потолочные кондиционеры отличаются низким уровнем шума и простотой установки.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 опциональный пульт QA-RPG</t>
  </si>
  <si>
    <t>3.39 (C)</t>
  </si>
  <si>
    <t>Внутренние напольно-потолочные блоки незаменимы в тех случаях. когда требуется установка на полу. вдоль стены или под потолком. а скрытая установка кассетного блока невозможна из-за отсутствия в помещении подвесного потолка или потому. что оно слишком вытянуто по форме. При этом блоки отличаются низким уровнем шума и простотой установки.</t>
  </si>
  <si>
    <t>3.29 (C)</t>
  </si>
  <si>
    <t>3.35 (B)</t>
  </si>
  <si>
    <t>2.95 (C)</t>
  </si>
  <si>
    <t>3.46 (C)</t>
  </si>
  <si>
    <t>2.88 (C)</t>
  </si>
  <si>
    <t>3.44 (B)</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</si>
  <si>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Напольно-потолочные сплит-системы незаменимы в тех случаях. когда требуется установка на полу. вдоль стены или под потолком. а установка кассетного кондиционера нецелесообразна из-за отсутствия в помещении подвесного потолка или потому. что оно обладает сложной планировкой. Напольно-потолочные кондиционеры отличаются низким уровнем шума и простотой установки.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В новой линейке 2022 года были улучшены показатели энергоэффективности для моделей производительностью 18 и 48 тыс. BTU при работе на охлаждение и на обогрев. а также для модели производительностью 36 тыс.BTU при работе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 * опциональный пульт QA-RPG</t>
  </si>
  <si>
    <t xml:space="preserve">	 Мультисплит-системы QUATTROCLIMA FREDDO идеально подходят для использования в загородных домах. многокомнатных квартирах и небольших офисах.	 К одному наружному блоку можно подключить до 3-х внутренних настенных блоков различ­ной производительности. Это позволяет создавать комфортный климат в нескольких помещениях. максимально сохраняя внешний вид фасада здания. Современный лаконичный дизайн и низкий уровень шума внутренних блоков позволяют разместить их в любом помещении.	 Мультисплит-системы QUATTROCLIMA FREDDO работают на озонобезопасном хладагенте R32 и обладают высоким классом энергоэффективности: А++ при работе на охлаждение и А+ при работе на обогрев.	 Все это делает мультисплит-системы QUATTROCLIMA FREDDO оптимальным решением для создания комфортного климата в нескольких помещениях.</t>
  </si>
  <si>
    <t xml:space="preserve">	 Full DC Inverter G-TECH – новинка сезона 2020 года. Это технологичный кондиционер. заправленный экобезопасным хладагентом R32. обладающий высокими классами энергоэффективности и оснащенный встроенным модулем Wi-Fi.	 Серия G-TECH делает шаг навстречу пользователю и предлагает концепцию удобного обслуживания сплит-системы в домашних условиях. состоящей из 5 простых этапов. благодаря особой модульной компоновке.	 Серия G-TECH также оснащена уникальной системой подачи воздуха. Вертикальные направляющие жалюзи особой спиралевидной формы управляются при помощи электропривода. Располагаясь на широком горизонтальном направляющем жалюзи. они также вместе с ним регулируются в вертикальной плоскости. Такое конструктивное решение обеспечивает вихревую подачу воздуха под широким углом. Тем самым достигается имитация естественного ветра. а пользователь испытывает эффект нахождения на природе. пребывая в помещении.	 Благодаря мощному компрессору. модели серии G-TECH способны обеспечить эффективную работу даже в экстремальных температурных условиях. Диапазон рабочих температур наружного воздуха при работе на охлаждение составляет от -15 ℃ до 43 ℃. а при работе на обогрев — от -22 ℃ до 24 ℃.  Заказать WI-FI к этой модели</t>
  </si>
  <si>
    <t>В новинке 2021 года — бытовых сплит-системах LYRA Inverter — дизайн встречается с технологичностью. Важное обновление: теперь модели серии заправлены экобезопасным хладагентом R32. что делает ее выбором людей. заботящихся об окружающей среде. Инверторный компрессор обеспечивает высокие показатели энергоэффективности.  Дизайн модели LYRA Inverter — минималистичный. Базовый цвет внутреннего блока — белый — дополняется тонкими эстетичными металлическими вставками. Компактные размеры внутреннего блока дарят больше свободы его размещения.  Заказать WI-FI к этой модели</t>
  </si>
  <si>
    <t>3.45 (A)</t>
  </si>
  <si>
    <t>3.85 (A)</t>
  </si>
  <si>
    <t>Модели серии Lyra Inverter заправлены экобезопасным хладагентом R32. что делает ее выбором людей. заботящихся об окружающей среде. Инверторный компрессор обеспечивает высокие показатели энергоэффективности. Дизайн модели LYRA Inverter — минималистичный. Базовый цвет внутреннего блока — белый — дополняется тонкими эстетичными металлическими вставками. Компактные размеры внутреннего блока дарят больше свободы его размещения.Заказать WI-FI к этой модели</t>
  </si>
  <si>
    <t>NATAL NEW — новинка 2021 года — задает стандарт современного кондиционера постоянной производительности. предлагая пользователю все необходимые технологии для управления климатом. Удобное расположение системы фильтров в верхней части внутреннего блока позволяет с легкостью производить очистку. Двойные жалюзи обеспечивают более комфортный воздушный поток. Благодаря обновленной конструкции внутреннего блока NATAL. уровень шума в тихом режиме снижен до 24 дБ. а за счет улучшенной конструкции вентилятора увеличен расход воздуха.</t>
  </si>
  <si>
    <t>3.21 (А)</t>
  </si>
  <si>
    <t>3.61 (А)</t>
  </si>
  <si>
    <t>3.3 (А)</t>
  </si>
  <si>
    <t>3.25 (А)</t>
  </si>
  <si>
    <t>3.25 (A)</t>
  </si>
  <si>
    <t>3.21 (С)</t>
  </si>
  <si>
    <t xml:space="preserve"> Инверторные сплит-системы TRIANGLE – флагман сезона 2020 года. 	 Яркий дизайн сплит-системы сразу бросается в глаза. Изящные изгибы корпуса в сочетании с гармоничной палитрой текстур и вниманием к мелким деталям формируют образ современного дизайнерского кондиционера. Доступны два оттенка на выбор: золотистый и серебристый. 	 Передовой способностью кондиционеров TRIANGLE в области обеспечения комфортного микроклимата является интеллектуальная технология «I SENSE». В ее основе заложен принцип теплового сканирования помещения и установки индивидуального режима работы.	 Благодаря работе вертикальных жалюзи с электронным независимым управлением кондиционер поддерживает 4 различных режима подачи воздуха:	Follow — воздушные потоки направлены в сторону источников тепла; 	Avoid — воздушные потоки уклоняются от источников тепла; 	Surround — воздушные потоки опоясывают источники тепла; 	ECO — режим ожидания и экономии электроэнергии.	 Модели серии TRIANGLE способны обеспечить эффективную работу даже в экстремальных температурных условиях. Диапазон рабочих температур наружного воздуха при работе на охлаждение составляет от -15 ℃ до 52 ℃. а при работе на обогрев — от -25 ℃ до 24 ℃.  Заказать WI-FI к этой модели</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</si>
  <si>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Скрытый монтаж канальных кондиционеров позволяет использовать их в самых различных интерьерах — в поле зрения находятся лишь изящные вентиляционные решетки.</t>
  </si>
  <si>
    <t xml:space="preserve">	 В TFRI установлены инверторные компрессоры. применение которых позволило улучшить показатели энергоэффективности и сделать процесс эксплуатации оборудования еще более экономичным.За счет установки вентиляторов с DC-инверторными моторами. а также модернизации холодильного контура наружного блока. значительно снижен вес внутренних и наружных блоков. Разница с моделями предыдущей серии доходит до 50 кг. как у внутренних блоков. так и у наружных. Новые канальные кондиционеры обладают улучшенными шумовыми характеристиками. Например. уровень звукового давления внутреннего блока системы мощностью 20 кВт стал тише на 6 дБ. Наружные блоки TFRI также понизили уровень шума в среднем на 10%.Помимо пульта индивидуального управления новое поколение мощных канальных кондиционеров предоставляет возможность подключения к системе удаленного мониторинга и управления через специальный конвертер. Модельный ряд кондиционеров представлен холодопроизводительностью 20. 25. 30 и 40 кВт.</t>
  </si>
  <si>
    <t>3.25 (C)</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</si>
  <si>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Кассетные кондиционеры являются оптимальным решением для помещений с подвесными потолками и обеспечивают равномерную подачу воздуха сразу в 4 направлениях.</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</si>
  <si>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Напольно-потолочные кондиционеры находят применение в помещениях нестандартной формы. предлагая вариативность монтажа — под потолком или на стене рядом с полом.</t>
  </si>
  <si>
    <t>Канальные внутренние блоки полупромышленных сплит-систем устанавливаются в монтажном пространстве подвесного потолка и имеют возможность подмеса свежего воздуха. Рекомендуемый объем подаваемого атмосферного воздуха - 10% от общего объема рециркулируемого воздуха. За счет высокого статического давления канальный кондиционер может обслуживать несколько воздуховодов одновременно. что обуславливает его применение в помещениях большой площади и/или сложной конфигурации.&amp;nbsp;</t>
  </si>
  <si>
    <t>3.21 (C)</t>
  </si>
  <si>
    <t>3.16 (B)</t>
  </si>
  <si>
    <t>3.75 (A)</t>
  </si>
  <si>
    <t>2.73 (D)</t>
  </si>
  <si>
    <t>3.33 (C)</t>
  </si>
  <si>
    <t>3.26 (C)</t>
  </si>
  <si>
    <t>2.72 (D)</t>
  </si>
  <si>
    <t>Внутренние блоки кассетных полупромышленных сплит-систем представлены в&amp;nbsp;компактном(650х650 мм) и&amp;nbsp;стандартном&amp;nbsp;(950х950 мм)&amp;nbsp;исполнениях.&amp;nbsp;Блоки устанавливаются в подвесной потолок и обеспечивают равномерное охлаждение/обогрев помещения за счет подачи воздуха в четырех направлениях. Небольшая высота (от 230 мм) и встроенный насос отвода конденсата облегчают монтаж кассетных сплит-систем. Предусмотрена возможность подсоединения воздуховода для подмеса свежего воздуха в количестве 10% от общего объема рециркулируемого воздуха. Кассетные полупромышленные сплит-системы могут быть оснащены низкотемпературными комплектами&amp;nbsp;WHITE FROST&amp;nbsp;или&amp;nbsp;BLACK FROST. обеспечивающими работу кондиционеров в режиме охлаждения при температуре наружного воздуха до -30°С или до -43°С соответственно.</t>
  </si>
  <si>
    <t>2.84 (D)</t>
  </si>
  <si>
    <t>3.7 (A)</t>
  </si>
  <si>
    <t>3.3 (A)</t>
  </si>
  <si>
    <t>3.15 (B)</t>
  </si>
  <si>
    <t>2.86 (C)</t>
  </si>
  <si>
    <t>3.48 (B)</t>
  </si>
  <si>
    <t>3.13 (B)</t>
  </si>
  <si>
    <t>3.32 (С)</t>
  </si>
  <si>
    <t>2.82 (С)</t>
  </si>
  <si>
    <t>2.81 (С)</t>
  </si>
  <si>
    <t xml:space="preserve">	 Напольно-потолочные внутренние блоки. как правило. устанавливаются в помещениях сложной формы. не оборудованных подвесными потолками. При подпотолочном размещении поток воздуха распространяется горизонтально вдоль потолка. при напольном - вертикально вверх вдоль стены. Компактные размеры и различные возможности монтажа делают напольно-потолочные кондиционеры достойной альтернативой кассетным.</t>
  </si>
  <si>
    <t>2.85 (D)</t>
  </si>
  <si>
    <t>3.59 (B)</t>
  </si>
  <si>
    <t>3.42 (B)</t>
  </si>
  <si>
    <t>3.24 (A)</t>
  </si>
  <si>
    <t>3.28 (C)</t>
  </si>
  <si>
    <t>3.53 (B)</t>
  </si>
  <si>
    <t>2.79 (D)</t>
  </si>
  <si>
    <t>3.22 (C)</t>
  </si>
  <si>
    <t>3.04 (B)</t>
  </si>
  <si>
    <t xml:space="preserve">Преимущества серии:					Компактные размеры		Функция подготовки воздуха для предотвращения поступления холодного воздуха в помещение при запуске кондиционера в режиме обогрева		Встроенный насос отвода конденсата. позволяющий поднимать конденсат на высоту до 1 м		Комплектация проводным и беспроводным пультами управления		Гарантия 4 года			</t>
  </si>
  <si>
    <t xml:space="preserve">	 В случаях. когда к дизайну интерьера предъявляются жесткие требования. оптимальным решением становится канальный внутренний блок. Видимой его частью является лишь декоративная вентиляционная решетка. в то время когда сам блок скрыт за подвесным потолком. Внутренние канальные блоки универсальны для серий наружных блоков Free Match и Free Match Super. </t>
  </si>
  <si>
    <t xml:space="preserve">Преимущества серии:					Компактные размеры		Равномерное распределение воздушного потока в четырех направлениях		Информативный LED-дисплей		Встроенный насос отвода конденсата. позволяющий поднимать конденсат на высоту до 0.5 м		Функция подготовки воздуха предотвращает поступление холодного воздуха в помещение при запуске кондиционера в режиме обогрева		Точный температурный контроль благодаря электронному расширительному клапану		Комплектация проводным и беспроводным пультами управления		Гарантия 4 года			 </t>
  </si>
  <si>
    <t xml:space="preserve">	 LYRA INVERTER – новинка сезона 2020 года в модельном ряду внутренних блоков мультисплит-систем. отрицающая своим обликом классические образы бытовых кондиционеров. Тщательно продуманные пропорции. изящные линии. компактные размеры и металлическое обрамление внутреннего блока — именно за это потребители ценят дизайн LYRA.	 В линейку 2020 года модель вошла с инверторным компрессором. генератором холодной плазмы и опциональной возможностью Wi-Fi управления.  Заказать WI-FI к этой модели</t>
  </si>
  <si>
    <t>LYRA INVERTER R32 –тщательно продуманные пропорции. изящные линии. компактные размеры и металлическое обрамление внутреннего блока — именно за это потребители ценят дизайн LYRA.В линейку 2022 года модель вошла с инверторным компрессором на хладагенте R32. генератором холодной плазмы и опциональной возможностью Wi-Fi управления.  Заказать WI-FI к этой модели</t>
  </si>
  <si>
    <t xml:space="preserve">	 Наружные блоки мультисплит-систем TOSOT представлены двумя инверторными сериями: Free Match и Free Match Super. Выбор в пользу той или иной серии зависит от ряда факторов. К одному наружному блоку Free Match могут быть подсоединены до 5 внутренних. суммарная длина трассы составит 80 м. а максимальный перепад высот между блоками - 15 м. Такое решение идеально для создания системы кондиционирования в коттедже или многокомнатной квартире. Когда же речь идет о квартирах большой площади или мини-отелях. стоит обратить внимание на серию Free Match Super. наружные блоки которой отличаются большими показателями по холодопроизводительности. длине трассы и перепаду высот. Неоспоримым преимуществом данной серии является возможность подключения 9 внутренних блоков.</t>
  </si>
  <si>
    <t>В 2022 году инверторные мультисплит-системы ТМ Tosot Free Match Euro перешли на экологичный хладагент R32 с возможностью подключения к одному наружному блоку допяти внутренних блоков. Суммарная длина трассы составит 75м. а максимальный перепад высот между блоками - 15 м. Диапазон рабочих температур составляет от -15 до +43 на охлаждение и от -22 до +24 на обогрев. Такое решение идеально для создания системы кондиционирования в коттедже или многокомнатной квартире.</t>
  </si>
  <si>
    <t xml:space="preserve">Преимущества серии: 					Свободная комплектация до 9 внутренних блоков. до 448 комбинаций подключений		Инверторные компрессоры GREE		Работа в широком диапазоне температур		Функция эффективного оттаивания			</t>
  </si>
  <si>
    <t>List was prepared on 13.03.2023</t>
  </si>
  <si>
    <t>on 16:30:52</t>
  </si>
  <si>
    <t>Nr of row = 503</t>
  </si>
  <si>
    <t>on 15:59:05</t>
  </si>
  <si>
    <t>Press here:</t>
  </si>
  <si>
    <t>on 16:12:57</t>
  </si>
  <si>
    <t>on 16:14:33</t>
  </si>
  <si>
    <t>on 16:17:16</t>
  </si>
  <si>
    <t>on 16:21:38</t>
  </si>
  <si>
    <t>on 16:22:28</t>
  </si>
  <si>
    <t>on 16:23:31</t>
  </si>
  <si>
    <t>on 16:24:00</t>
  </si>
  <si>
    <t>on 16:26:12</t>
  </si>
  <si>
    <t>on 16:27:14</t>
  </si>
  <si>
    <t>on 16:28:19</t>
  </si>
  <si>
    <t>Report</t>
  </si>
  <si>
    <t>Date &amp; time &amp; rows</t>
  </si>
  <si>
    <t>rez</t>
  </si>
  <si>
    <t>12.5 (3.5—14.0)</t>
  </si>
  <si>
    <t>4(1.4-4.6)</t>
  </si>
  <si>
    <t>5(1.7-5.8)</t>
  </si>
  <si>
    <t>5.4(1.8-7.0)</t>
  </si>
  <si>
    <t>6.8(1.8-8.5)</t>
  </si>
  <si>
    <t>8(2.4-10.1)</t>
  </si>
  <si>
    <t>9.5(3.0-11.0)</t>
  </si>
  <si>
    <t>List was prepared on 14.03.2023</t>
  </si>
  <si>
    <t>on 23:31:17</t>
  </si>
  <si>
    <t>Nr of row = 497</t>
  </si>
  <si>
    <t>S[</t>
  </si>
  <si>
    <t>N[</t>
  </si>
  <si>
    <t>on 23:43:57</t>
  </si>
  <si>
    <t>Nr of row = 498</t>
  </si>
  <si>
    <t>on 23:44:43</t>
  </si>
  <si>
    <t xml:space="preserve"> Тип: S[Сплит система]</t>
  </si>
  <si>
    <t xml:space="preserve"> (Сплит система) Холодопроизводительность: N[]</t>
  </si>
  <si>
    <t xml:space="preserve"> (Сплит система) Площадь помещения: N[]</t>
  </si>
  <si>
    <t xml:space="preserve"> (Сплит система) Теплопроизводительность: N[]</t>
  </si>
  <si>
    <t xml:space="preserve"> (Потребляемая мощность) Охлаждение: N[]</t>
  </si>
  <si>
    <t xml:space="preserve"> (Потребляемая мощность) Обогрев: S[]</t>
  </si>
  <si>
    <t xml:space="preserve"> (Рабочий ток) Охлаждение: S[]</t>
  </si>
  <si>
    <t xml:space="preserve"> (Рабочий ток) Обогрев: S[]</t>
  </si>
  <si>
    <t xml:space="preserve"> (Рабочий ток) Напряжение / Частота источника питания: S[]</t>
  </si>
  <si>
    <t xml:space="preserve"> (Рабочий ток) Хладагент: S[]</t>
  </si>
  <si>
    <t xml:space="preserve"> (Рабочий ток) Количество хладагента: N[]</t>
  </si>
  <si>
    <t xml:space="preserve"> (Рабочий ток) Объем рециркулируемого воздуха внутреннего блока: S[]</t>
  </si>
  <si>
    <t xml:space="preserve"> (Внутренний блок) Масса (нетто / брутто): S[]</t>
  </si>
  <si>
    <t xml:space="preserve"> (Внутренний блок) Уровень шума мин. / макс.: S[]</t>
  </si>
  <si>
    <t xml:space="preserve"> (Наружный блок) Марка компрессора: S[]</t>
  </si>
  <si>
    <t xml:space="preserve"> (Наружный блок) Масса (нетто / брутто): S[]</t>
  </si>
  <si>
    <t xml:space="preserve"> (Наружный блок) Максимальный уровень шума: N[]</t>
  </si>
  <si>
    <t xml:space="preserve"> (Соединительные трубы) Жидкостная линия : N[]</t>
  </si>
  <si>
    <t xml:space="preserve"> (Соединительные трубы) Газовая линия : N[]</t>
  </si>
  <si>
    <t xml:space="preserve"> (Соединительные трубы) Максимальная длина трубопровода: N[]</t>
  </si>
  <si>
    <t xml:space="preserve"> (Соединительные трубы) Максимальный перепад высот: S[]</t>
  </si>
  <si>
    <t xml:space="preserve"> (Допустимая темп. наружного воздуха) Охлаждение: S[]</t>
  </si>
  <si>
    <t xml:space="preserve"> (Допустимая темп. наружного воздуха) Обогрев: S[]</t>
  </si>
  <si>
    <t>on 23:46:05</t>
  </si>
  <si>
    <t>on 23:55:45</t>
  </si>
  <si>
    <t>on 23:58:55</t>
  </si>
  <si>
    <t xml:space="preserve"> (Наружный блок) Масса (нетто / брутто): S[21/25]</t>
  </si>
  <si>
    <t>List was prepared on 15.03.2023</t>
  </si>
  <si>
    <t>on 0:16:18</t>
  </si>
  <si>
    <t xml:space="preserve"> (Сплит система) Холодопроизводительность: N[2]</t>
  </si>
  <si>
    <t xml:space="preserve"> (Сплит система) Площадь помещения: N[20]</t>
  </si>
  <si>
    <t xml:space="preserve"> (Сплит система) Инвентор: S[да]</t>
  </si>
  <si>
    <t xml:space="preserve"> (Сплит система) Теплопроизводительность: N[2]</t>
  </si>
  <si>
    <t xml:space="preserve"> (Рабочий ток) Напряжение / Частота источника питания: S[1 / 230 / 50]</t>
  </si>
  <si>
    <t xml:space="preserve"> (Рабочий ток) Хладагент: S[R410A]</t>
  </si>
  <si>
    <t xml:space="preserve"> (Внутренний блок) Масса (нетто / брутто): S[8.5 / 10.5]</t>
  </si>
  <si>
    <t xml:space="preserve"> (Внутренний блок) Уровень шума мин. / макс.: S[21/32/40/43]</t>
  </si>
  <si>
    <t xml:space="preserve"> (Наружный блок) Марка компрессора: S[PANASONIC]</t>
  </si>
  <si>
    <t xml:space="preserve"> (Соединительные трубы) Жидкостная линия : N[6.35]</t>
  </si>
  <si>
    <t xml:space="preserve"> (Соединительные трубы) Газовая линия : N[9.52]</t>
  </si>
  <si>
    <t xml:space="preserve"> (Допустимая темп. наружного воздуха) Охлаждение: S[от -10 до +43]</t>
  </si>
  <si>
    <t xml:space="preserve"> (Допустимая темп. наружного воздуха) Обогрев: S[от -15 до +24]</t>
  </si>
  <si>
    <t xml:space="preserve"> (Сплит система) Холодопроизводительность: N[2.5]</t>
  </si>
  <si>
    <t xml:space="preserve"> (Сплит система) Площадь помещения: N[25]</t>
  </si>
  <si>
    <t xml:space="preserve"> (Сплит система) Теплопроизводительность: N[2.5]</t>
  </si>
  <si>
    <t xml:space="preserve"> (Потребляемая мощность) Охлаждение: N[0.65]</t>
  </si>
  <si>
    <t xml:space="preserve"> (Потребляемая мощность) Обогрев: S[0.73]</t>
  </si>
  <si>
    <t xml:space="preserve"> (Сплит система) Холодопроизводительность: N[3.5]</t>
  </si>
  <si>
    <t xml:space="preserve"> (Сплит система) Площадь помещения: N[35]</t>
  </si>
  <si>
    <t xml:space="preserve"> (Сплит система) Теплопроизводительность: N[3.5]</t>
  </si>
  <si>
    <t xml:space="preserve"> (Потребляемая мощность) Охлаждение: N[0.97]</t>
  </si>
  <si>
    <t xml:space="preserve"> (Потребляемая мощность) Обогрев: S[1.02]</t>
  </si>
  <si>
    <t xml:space="preserve"> (Наружный блок) Масса (нетто / брутто): S[26/30]</t>
  </si>
  <si>
    <t xml:space="preserve"> (Сплит система) Холодопроизводительность: N[4]</t>
  </si>
  <si>
    <t xml:space="preserve"> (Сплит система) Площадь помещения: N[40]</t>
  </si>
  <si>
    <t xml:space="preserve"> (Сплит система) Теплопроизводительность: N[4]</t>
  </si>
  <si>
    <t xml:space="preserve"> (Потребляемая мощность) Охлаждение: N[1.135]</t>
  </si>
  <si>
    <t xml:space="preserve"> (Потребляемая мощность) Обогрев: S[1.365]</t>
  </si>
  <si>
    <t xml:space="preserve"> (Внутренний блок) Уровень шума мин. / макс.: S[25/33/40/44]</t>
  </si>
  <si>
    <t xml:space="preserve"> (Наружный блок) Масса (нетто / брутто): S[34/37]</t>
  </si>
  <si>
    <t xml:space="preserve"> (Соединительные трубы) Газовая линия : N[12.7]</t>
  </si>
  <si>
    <t xml:space="preserve"> (Рабочий ток) Хладагент: S[R32]</t>
  </si>
  <si>
    <t xml:space="preserve"> (Внутренний блок) Масса (нетто / брутто): S[8 / 11]</t>
  </si>
  <si>
    <t xml:space="preserve"> (Внутренний блок) Уровень шума мин. / макс.: S[22/31/38/45]</t>
  </si>
  <si>
    <t xml:space="preserve"> (Наружный блок) Масса (нетто / брутто): S[23/25]</t>
  </si>
  <si>
    <t xml:space="preserve"> (Допустимая темп. наружного воздуха) Охлаждение: S[от -10 до +46]</t>
  </si>
  <si>
    <t xml:space="preserve"> (Потребляемая мощность) Охлаждение: N[0.48]</t>
  </si>
  <si>
    <t xml:space="preserve"> (Потребляемая мощность) Обогрев: S[0.63]</t>
  </si>
  <si>
    <t xml:space="preserve"> (Потребляемая мощность) Охлаждение: N[0.71]</t>
  </si>
  <si>
    <t xml:space="preserve"> (Потребляемая мощность) Обогрев: S[0.79]</t>
  </si>
  <si>
    <t xml:space="preserve"> (Сплит система) Площадь помещения: N[34]</t>
  </si>
  <si>
    <t xml:space="preserve"> (Внутренний блок) Уровень шума мин. / макс.: S[22/33/40/46]</t>
  </si>
  <si>
    <t xml:space="preserve"> (Наружный блок) Масса (нетто / брутто): S[25/27]</t>
  </si>
  <si>
    <t xml:space="preserve"> (Потребляемая мощность) Охлаждение: N[1]</t>
  </si>
  <si>
    <t xml:space="preserve"> (Потребляемая мощность) Обогрев: S[1.14]</t>
  </si>
  <si>
    <t xml:space="preserve"> (Сплит система) Площадь помещения: N[52]</t>
  </si>
  <si>
    <t xml:space="preserve"> (Внутренний блок) Масса (нетто / брутто): S[9.5 / 12]</t>
  </si>
  <si>
    <t xml:space="preserve"> (Внутренний блок) Уровень шума мин. / макс.: S[35/40/44/47]</t>
  </si>
  <si>
    <t xml:space="preserve"> (Наружный блок) Масса (нетто / брутто): S[33/37]</t>
  </si>
  <si>
    <t xml:space="preserve"> (Наружный блок) Масса (нетто / брутто): S[33/36]</t>
  </si>
  <si>
    <t xml:space="preserve"> (Сплит система) Площадь помещения: N[71]</t>
  </si>
  <si>
    <t xml:space="preserve"> (Внутренний блок) Масса (нетто / брутто): S[10 / 12.5]</t>
  </si>
  <si>
    <t xml:space="preserve"> (Внутренний блок) Уровень шума мин. / макс.: S[33/38/45/51]</t>
  </si>
  <si>
    <t xml:space="preserve"> (Наружный блок) Масса (нетто / брутто): S[38/42]</t>
  </si>
  <si>
    <t xml:space="preserve"> (Рабочий ток) Напряжение / Частота источника питания: S[1 / 220 / 50]</t>
  </si>
  <si>
    <t xml:space="preserve"> (Внутренний блок) Уровень шума мин. / макс.: S[20/29/33/38]</t>
  </si>
  <si>
    <t xml:space="preserve"> (Наружный блок) Масса (нетто / брутто): S[22/25]</t>
  </si>
  <si>
    <t xml:space="preserve"> (Внутренний блок) Уровень шума мин. / макс.: S[20/29/34/40]</t>
  </si>
  <si>
    <t xml:space="preserve"> (Внутренний блок) Уровень шума мин. / макс.: S[20/30/35/40]</t>
  </si>
  <si>
    <t xml:space="preserve"> (Наружный блок) Масса (нетто / брутто): S[24/27]</t>
  </si>
  <si>
    <t xml:space="preserve"> (Внутренний блок) Масса (нетто / брутто): S[10 / 13]</t>
  </si>
  <si>
    <t xml:space="preserve"> (Внутренний блок) Уровень шума мин. / макс.: S[20/30/36/43]</t>
  </si>
  <si>
    <t xml:space="preserve"> (Наружный блок) Масса (нетто / брутто): S[31/35]</t>
  </si>
  <si>
    <t xml:space="preserve"> (Внутренний блок) Масса (нетто / брутто): S[12.5 / 18]</t>
  </si>
  <si>
    <t xml:space="preserve"> (Внутренний блок) Уровень шума мин. / макс.: S[29/35/40/45]</t>
  </si>
  <si>
    <t xml:space="preserve"> (Наружный блок) Масса (нетто / брутто): S[36/40]</t>
  </si>
  <si>
    <t xml:space="preserve"> (Сплит система) Холодопроизводительность: N[5]</t>
  </si>
  <si>
    <t xml:space="preserve"> (Сплит система) Площадь помещения: N[50]</t>
  </si>
  <si>
    <t xml:space="preserve"> (Сплит система) Теплопроизводительность: N[5]</t>
  </si>
  <si>
    <t xml:space="preserve"> (Внутренний блок) Уровень шума мин. / макс.: S[29/35/40/49]</t>
  </si>
  <si>
    <t xml:space="preserve"> (Наружный блок) Масса (нетто / брутто): S[42/46]</t>
  </si>
  <si>
    <t xml:space="preserve"> (Сплит система) Холодопроизводительность: N[7]</t>
  </si>
  <si>
    <t xml:space="preserve"> (Сплит система) Площадь помещения: N[70]</t>
  </si>
  <si>
    <t xml:space="preserve"> (Сплит система) Теплопроизводительность: N[7]</t>
  </si>
  <si>
    <t xml:space="preserve"> (Внутренний блок) Масса (нетто / брутто): S[11 / 14.5]</t>
  </si>
  <si>
    <t xml:space="preserve"> (Наружный блок) Масса (нетто / брутто): S[23/26]</t>
  </si>
  <si>
    <t xml:space="preserve"> (Наружный блок) Масса (нетто / брутто): S[25/29]</t>
  </si>
  <si>
    <t xml:space="preserve"> (Внутренний блок) Масса (нетто / брутто): S[11.5 / 15]</t>
  </si>
  <si>
    <t xml:space="preserve"> (Потребляемая мощность) Охлаждение: N[0.46]</t>
  </si>
  <si>
    <t xml:space="preserve"> (Внутренний блок) Масса (нетто / брутто): S[20 / 24]</t>
  </si>
  <si>
    <t xml:space="preserve"> (Внутренний блок) Уровень шума мин. / макс.: S[28/38/42/46]</t>
  </si>
  <si>
    <t xml:space="preserve"> (Наружный блок) Масса (нетто / брутто): S[41/46]</t>
  </si>
  <si>
    <t xml:space="preserve"> (Потребляемая мощность) Охлаждение: N[0.67]</t>
  </si>
  <si>
    <t xml:space="preserve"> (Потребляемая мощность) Охлаждение: N[1.52]</t>
  </si>
  <si>
    <t xml:space="preserve"> (Потребляемая мощность) Обогрев: S[1.71]</t>
  </si>
  <si>
    <t xml:space="preserve"> (Внутренний блок) Масса (нетто / брутто): S[14 / 18]</t>
  </si>
  <si>
    <t xml:space="preserve"> (Внутренний блок) Уровень шума мин. / макс.: S[26/33/37/43]</t>
  </si>
  <si>
    <t xml:space="preserve"> (Наружный блок) Марка компрессора: S[GENERAL]</t>
  </si>
  <si>
    <t xml:space="preserve"> (Наружный блок) Масса (нетто / брутто): S[41/45]</t>
  </si>
  <si>
    <t xml:space="preserve"> (Сплит система) Площадь помещения: N[80]</t>
  </si>
  <si>
    <t xml:space="preserve"> (Потребляемая мощность) Охлаждение: N[2.49]</t>
  </si>
  <si>
    <t xml:space="preserve"> (Потребляемая мощность) Обогрев: S[2.44]</t>
  </si>
  <si>
    <t xml:space="preserve"> (Внутренний блок) Уровень шума мин. / макс.: S[33/37/42/48]</t>
  </si>
  <si>
    <t xml:space="preserve"> (Наружный блок) Масса (нетто / брутто): S[61/69]</t>
  </si>
  <si>
    <t xml:space="preserve"> (Соединительные трубы) Жидкостная линия : N[9.52]</t>
  </si>
  <si>
    <t xml:space="preserve"> (Соединительные трубы) Газовая линия : N[15.88]</t>
  </si>
  <si>
    <t xml:space="preserve"> (Потребляемая мощность) Охлаждение: N[2.33]</t>
  </si>
  <si>
    <t xml:space="preserve"> (Потребляемая мощность) Обогрев: S[2.2]</t>
  </si>
  <si>
    <t xml:space="preserve"> (Внутренний блок) Масса (нетто / брутто): S[18.5 / 24.5]</t>
  </si>
  <si>
    <t xml:space="preserve"> (Внутренний блок) Уровень шума мин. / макс.: S[33/40/44/50]</t>
  </si>
  <si>
    <t xml:space="preserve"> (Наружный блок) Масса (нетто / брутто): S[52/60]</t>
  </si>
  <si>
    <t xml:space="preserve"> (Допустимая темп. наружного воздуха) Охлаждение: S[от -15 до +46]</t>
  </si>
  <si>
    <t xml:space="preserve"> (Сплит система) Площадь помещения: N[94]</t>
  </si>
  <si>
    <t xml:space="preserve"> (Потребляемая мощность) Охлаждение: N[3.16]</t>
  </si>
  <si>
    <t xml:space="preserve"> (Потребляемая мощность) Обогрев: S[2.73]</t>
  </si>
  <si>
    <t xml:space="preserve"> Тип: S[Канальные]</t>
  </si>
  <si>
    <t xml:space="preserve"> (Сплит система) Площадь помещения: N[120]</t>
  </si>
  <si>
    <t xml:space="preserve"> (Потребляемая мощность) Охлаждение: N[4.16]</t>
  </si>
  <si>
    <t xml:space="preserve"> (Потребляемая мощность) Обогрев: S[3.61]</t>
  </si>
  <si>
    <t xml:space="preserve"> (Внутренний блок) Масса (нетто / брутто): S[46 / 51]</t>
  </si>
  <si>
    <t xml:space="preserve"> (Внутренний блок) Уровень шума мин. / макс.: S[40/43/47]</t>
  </si>
  <si>
    <t xml:space="preserve"> (Наружный блок) Масса (нетто / брутто): S[67/75]</t>
  </si>
  <si>
    <t xml:space="preserve"> (Рабочий ток) Напряжение / Частота источника питания: S[3 / 380 / 50]</t>
  </si>
  <si>
    <t xml:space="preserve"> (Наружный блок) Масса (нетто / брутто): S[67/77]</t>
  </si>
  <si>
    <t xml:space="preserve"> (Сплит система) Площадь помещения: N[130]</t>
  </si>
  <si>
    <t xml:space="preserve"> (Потребляемая мощность) Охлаждение: N[4.77]</t>
  </si>
  <si>
    <t xml:space="preserve"> (Потребляемая мощность) Обогрев: S[4.18]</t>
  </si>
  <si>
    <t xml:space="preserve"> (Сплит система) Площадь помещения: N[68]</t>
  </si>
  <si>
    <t xml:space="preserve"> (Потребляемая мощность) Охлаждение: N[2.19]</t>
  </si>
  <si>
    <t xml:space="preserve"> (Потребляемая мощность) Обогрев: S[2]</t>
  </si>
  <si>
    <t xml:space="preserve"> (Внутренний блок) Масса (нетто / брутто): S[35 / 43]</t>
  </si>
  <si>
    <t xml:space="preserve"> (Внутренний блок) Уровень шума мин. / макс.: S[25/27/29/31]</t>
  </si>
  <si>
    <t xml:space="preserve"> (Сплит система) Площадь помещения: N[85]</t>
  </si>
  <si>
    <t xml:space="preserve"> (Потребляемая мощность) Охлаждение: N[2.78]</t>
  </si>
  <si>
    <t xml:space="preserve"> (Потребляемая мощность) Обогрев: S[2.77]</t>
  </si>
  <si>
    <t xml:space="preserve"> (Внутренний блок) Масса (нетто / брутто): S[38 / 45]</t>
  </si>
  <si>
    <t xml:space="preserve"> (Внутренний блок) Уровень шума мин. / макс.: S[26/30/35/39]</t>
  </si>
  <si>
    <t xml:space="preserve"> (Наружный блок) Масса (нетто / брутто): S[52/61]</t>
  </si>
  <si>
    <t xml:space="preserve"> (Сплит система) Площадь помещения: N[95]</t>
  </si>
  <si>
    <t xml:space="preserve"> (Потребляемая мощность) Охлаждение: N[3.13]</t>
  </si>
  <si>
    <t xml:space="preserve"> (Потребляемая мощность) Обогрев: S[3.03]</t>
  </si>
  <si>
    <t xml:space="preserve"> (Рабочий ток) Напряжение / Частота источника питания: S[3 / 400 / 50]</t>
  </si>
  <si>
    <t xml:space="preserve"> (Наружный блок) Масса (нетто / брутто): S[53/62]</t>
  </si>
  <si>
    <t xml:space="preserve"> (Потребляемая мощность) Охлаждение: N[4.84]</t>
  </si>
  <si>
    <t xml:space="preserve"> (Внутренний блок) Масса (нетто / брутто): S[39 / 47]</t>
  </si>
  <si>
    <t xml:space="preserve"> (Внутренний блок) Уровень шума мин. / макс.: S[28/32/38/42]</t>
  </si>
  <si>
    <t xml:space="preserve"> (Наружный блок) Масса (нетто / брутто): S[61/71]</t>
  </si>
  <si>
    <t xml:space="preserve"> (Наружный блок) Масса (нетто / брутто): S[62/72]</t>
  </si>
  <si>
    <t xml:space="preserve"> (Потребляемая мощность) Охлаждение: N[0.87]</t>
  </si>
  <si>
    <t xml:space="preserve"> (Потребляемая мощность) Обогрев: S[1]</t>
  </si>
  <si>
    <t xml:space="preserve"> (Внутренний блок) Масса (нетто / брутто): S[27 / 34]</t>
  </si>
  <si>
    <t xml:space="preserve"> (Внутренний блок) Уровень шума мин. / макс.: S[24/26/27/32]</t>
  </si>
  <si>
    <t xml:space="preserve"> (Сплит система) Площадь помещения: N[43]</t>
  </si>
  <si>
    <t xml:space="preserve"> (Потребляемая мощность) Охлаждение: N[1.17]</t>
  </si>
  <si>
    <t xml:space="preserve"> (Потребляемая мощность) Обогрев: S[1.25]</t>
  </si>
  <si>
    <t xml:space="preserve"> (Внутренний блок) Уровень шума мин. / макс.: S[25/27/28/33]</t>
  </si>
  <si>
    <t xml:space="preserve"> (Потребляемая мощность) Охлаждение: N[1.36]</t>
  </si>
  <si>
    <t xml:space="preserve"> (Потребляемая мощность) Обогрев: S[1.56]</t>
  </si>
  <si>
    <t xml:space="preserve"> (Внутренний блок) Масса (нетто / брутто): S[35 / 44]</t>
  </si>
  <si>
    <t xml:space="preserve"> (Внутренний блок) Уровень шума мин. / макс.: S[20/22/25/28]</t>
  </si>
  <si>
    <t xml:space="preserve"> (Потребляемая мощность) Охлаждение: N[1.89]</t>
  </si>
  <si>
    <t xml:space="preserve"> (Потребляемая мощность) Обогрев: S[1.85]</t>
  </si>
  <si>
    <t xml:space="preserve"> (Внутренний блок) Масса (нетто / брутто): S[36 / 43]</t>
  </si>
  <si>
    <t xml:space="preserve"> (Внутренний блок) Уровень шума мин. / макс.: S[21/24/28/32]</t>
  </si>
  <si>
    <t xml:space="preserve"> (Наружный блок) Масса (нетто / брутто): S[42/48]</t>
  </si>
  <si>
    <t xml:space="preserve"> (Потребляемая мощность) Охлаждение: N[2.65]</t>
  </si>
  <si>
    <t xml:space="preserve"> (Потребляемая мощность) Обогрев: S[2.63]</t>
  </si>
  <si>
    <t xml:space="preserve"> (Внутренний блок) Масса (нетто / брутто): S[36 / 44]</t>
  </si>
  <si>
    <t xml:space="preserve"> (Внутренний блок) Уровень шума мин. / макс.: S[29/30/33/36]</t>
  </si>
  <si>
    <t xml:space="preserve"> (Потребляемая мощность) Охлаждение: N[2.86]</t>
  </si>
  <si>
    <t xml:space="preserve"> (Потребляемая мощность) Обогрев: S[2.48]</t>
  </si>
  <si>
    <t xml:space="preserve"> (Внутренний блок) Масса (нетто / брутто): S[46 / 56]</t>
  </si>
  <si>
    <t xml:space="preserve"> (Внутренний блок) Уровень шума мин. / макс.: S[26/28/31/36]</t>
  </si>
  <si>
    <t xml:space="preserve"> (Потребляемая мощность) Охлаждение: N[3.53]</t>
  </si>
  <si>
    <t xml:space="preserve"> (Потребляемая мощность) Обогрев: S[3.37]</t>
  </si>
  <si>
    <t xml:space="preserve"> (Внутренний блок) Уровень шума мин. / макс.: S[29/31/35/39]</t>
  </si>
  <si>
    <t xml:space="preserve"> (Потребляемая мощность) Охлаждение: N[4.42]</t>
  </si>
  <si>
    <t xml:space="preserve"> (Потребляемая мощность) Обогрев: S[3.89]</t>
  </si>
  <si>
    <t xml:space="preserve"> (Наружный блок) Марка компрессора: S[TOSHIBA]</t>
  </si>
  <si>
    <t xml:space="preserve"> (Наружный блок) Масса (нетто / брутто): S[104/114]</t>
  </si>
  <si>
    <t xml:space="preserve"> (Наружный блок) Масса (нетто / брутто): S[86/95]</t>
  </si>
  <si>
    <t xml:space="preserve"> (Сплит система) Площадь помещения: N[140]</t>
  </si>
  <si>
    <t xml:space="preserve"> (Сплит система) Площадь помещения: N[150]</t>
  </si>
  <si>
    <t xml:space="preserve"> (Внутренний блок) Масса (нетто / брутто): S[54 / 61]</t>
  </si>
  <si>
    <t xml:space="preserve"> (Внутренний блок) Уровень шума мин. / макс.: S[36/40/45]</t>
  </si>
  <si>
    <t xml:space="preserve"> (Сплит система) Площадь помещения: N[190]</t>
  </si>
  <si>
    <t xml:space="preserve"> (Потребляемая мощность) Охлаждение: N[5.99]</t>
  </si>
  <si>
    <t xml:space="preserve"> (Потребляемая мощность) Обогрев: S[6.12]</t>
  </si>
  <si>
    <t xml:space="preserve"> (Внутренний блок) Масса (нетто / брутто): S[69 / 80]</t>
  </si>
  <si>
    <t xml:space="preserve"> (Внутренний блок) Уровень шума мин. / макс.: S[39/41/43/46]</t>
  </si>
  <si>
    <t xml:space="preserve"> (Наружный блок) Масса (нетто / брутто): S[163/181]</t>
  </si>
  <si>
    <t xml:space="preserve"> (Соединительные трубы) Жидкостная линия : N[12.7]</t>
  </si>
  <si>
    <t xml:space="preserve"> (Соединительные трубы) Газовая линия : N[25.4]</t>
  </si>
  <si>
    <t xml:space="preserve"> (Допустимая темп. наружного воздуха) Обогрев: S[от -20 до +24]</t>
  </si>
  <si>
    <t xml:space="preserve"> (Сплит система) Площадь помещения: N[220]</t>
  </si>
  <si>
    <t xml:space="preserve"> (Потребляемая мощность) Охлаждение: N[7.24]</t>
  </si>
  <si>
    <t xml:space="preserve"> (Потребляемая мощность) Обогрев: S[7.65]</t>
  </si>
  <si>
    <t xml:space="preserve"> (Внутренний блок) Масса (нетто / брутто): S[80 / 91]</t>
  </si>
  <si>
    <t xml:space="preserve"> (Внутренний блок) Уровень шума мин. / макс.: S[40/42/44/47]</t>
  </si>
  <si>
    <t xml:space="preserve"> (Наружный блок) Масса (нетто / брутто): S[172/190]</t>
  </si>
  <si>
    <t xml:space="preserve"> (Потребляемая мощность) Охлаждение: N[0.69]</t>
  </si>
  <si>
    <t xml:space="preserve"> (Потребляемая мощность) Обогрев: S[0.88]</t>
  </si>
  <si>
    <t xml:space="preserve"> (Внутренний блок) Масса (нетто / брутто): S[17 / 22]</t>
  </si>
  <si>
    <t xml:space="preserve"> (Внутренний блок) Уровень шума мин. / макс.: S[25/26/27/28]</t>
  </si>
  <si>
    <t xml:space="preserve"> (Наружный блок) Масса (нетто / брутто): S[23/27]</t>
  </si>
  <si>
    <t xml:space="preserve"> (Потребляемая мощность) Охлаждение: N[1.09]</t>
  </si>
  <si>
    <t xml:space="preserve"> (Потребляемая мощность) Обогрев: S[1.17]</t>
  </si>
  <si>
    <t xml:space="preserve"> (Внутренний блок) Уровень шума мин. / макс.: S[25/26/28/29]</t>
  </si>
  <si>
    <t xml:space="preserve"> (Потребляемая мощность) Охлаждение: N[1.37]</t>
  </si>
  <si>
    <t xml:space="preserve"> (Потребляемая мощность) Обогрев: S[1.42]</t>
  </si>
  <si>
    <t xml:space="preserve"> (Внутренний блок) Уровень шума мин. / макс.: S[26/28/30/32]</t>
  </si>
  <si>
    <t xml:space="preserve"> (Наружный блок) Масса (нетто / брутто): S[32/36]</t>
  </si>
  <si>
    <t xml:space="preserve"> (Потребляемая мощность) Охлаждение: N[1.66]</t>
  </si>
  <si>
    <t xml:space="preserve"> (Внутренний блок) Масса (нетто / брутто): S[20 / 26]</t>
  </si>
  <si>
    <t xml:space="preserve"> (Внутренний блок) Уровень шума мин. / макс.: S[27/29/30/32]</t>
  </si>
  <si>
    <t xml:space="preserve"> Тип: S[Кассетные]</t>
  </si>
  <si>
    <t xml:space="preserve"> (Внутренний блок) Масса (нетто / брутто): S[5.5 / 8.5]</t>
  </si>
  <si>
    <t xml:space="preserve"> (Внутренний блок) Уровень шума мин. / макс.: S[32/36/38/40]</t>
  </si>
  <si>
    <t xml:space="preserve"> (Сплит система) Площадь помещения: N[100]</t>
  </si>
  <si>
    <t xml:space="preserve"> (Внутренний блок) Уровень шума мин. / макс.: S[33/36/39/44]</t>
  </si>
  <si>
    <t xml:space="preserve"> (Внутренний блок) Уровень шума мин. / макс.: S[32/36/38/43]</t>
  </si>
  <si>
    <t xml:space="preserve"> (Внутренний блок) Уровень шума мин. / макс.: S[36/40/42/46]</t>
  </si>
  <si>
    <t xml:space="preserve"> (Внутренний блок) Уровень шума мин. / макс.: S[37/41/43/47]</t>
  </si>
  <si>
    <t xml:space="preserve"> (Потребляемая мощность) Охлаждение: N[1.6]</t>
  </si>
  <si>
    <t xml:space="preserve"> (Потребляемая мощность) Обогрев: S[1.66]</t>
  </si>
  <si>
    <t xml:space="preserve"> (Внутренний блок) Масса (нетто / брутто): S[10.5 / 10.5]</t>
  </si>
  <si>
    <t xml:space="preserve"> (Внутренний блок) Уровень шума мин. / макс.: S[28/31/32/33]</t>
  </si>
  <si>
    <t xml:space="preserve"> (Потребляемая мощность) Охлаждение: N[2.12]</t>
  </si>
  <si>
    <t xml:space="preserve"> (Потребляемая мощность) Обогрев: S[1.97]</t>
  </si>
  <si>
    <t xml:space="preserve"> (Внутренний блок) Уровень шума мин. / макс.: S[29/32/33/35]</t>
  </si>
  <si>
    <t xml:space="preserve"> (Потребляемая мощность) Охлаждение: N[2.56]</t>
  </si>
  <si>
    <t xml:space="preserve"> (Потребляемая мощность) Обогрев: S[2.64]</t>
  </si>
  <si>
    <t xml:space="preserve"> (Внутренний блок) Уровень шума мин. / макс.: S[33/36/38/40]</t>
  </si>
  <si>
    <t xml:space="preserve"> (Потребляемая мощность) Охлаждение: N[3.06]</t>
  </si>
  <si>
    <t xml:space="preserve"> (Потребляемая мощность) Обогрев: S[2.58]</t>
  </si>
  <si>
    <t xml:space="preserve"> (Внутренний блок) Уровень шума мин. / макс.: S[34/38/41/44]</t>
  </si>
  <si>
    <t xml:space="preserve"> (Потребляемая мощность) Охлаждение: N[4.32]</t>
  </si>
  <si>
    <t xml:space="preserve"> (Потребляемая мощность) Обогрев: S[3.77]</t>
  </si>
  <si>
    <t xml:space="preserve"> (Внутренний блок) Уровень шума мин. / макс.: S[35/39/42/46]</t>
  </si>
  <si>
    <t xml:space="preserve"> (Потребляемая мощность) Охлаждение: N[4.87]</t>
  </si>
  <si>
    <t xml:space="preserve"> (Потребляемая мощность) Обогрев: S[4.86]</t>
  </si>
  <si>
    <t xml:space="preserve"> (Внутренний блок) Уровень шума мин. / макс.: S[36/40/43/47]</t>
  </si>
  <si>
    <t xml:space="preserve"> (Наружный блок) Масса (нетто / брутто): S[63/72]</t>
  </si>
  <si>
    <t xml:space="preserve"> (Наружный блок) Масса (нетто / брутто): S[63/73]</t>
  </si>
  <si>
    <t xml:space="preserve"> (Внутренний блок) Масса (нетто / брутто): S[4.5 / 4.5]</t>
  </si>
  <si>
    <t xml:space="preserve"> (Внутренний блок) Уровень шума мин. / макс.: S[27/30/34/37]</t>
  </si>
  <si>
    <t xml:space="preserve"> (Наружный блок) Масса (нетто / брутто): S[40/44]</t>
  </si>
  <si>
    <t xml:space="preserve"> (Внутренний блок) Уровень шума мин. / макс.: S[26/30/34/38]</t>
  </si>
  <si>
    <t xml:space="preserve"> (Внутренний блок) Уровень шума мин. / макс.: S[30/36/44/49]</t>
  </si>
  <si>
    <t xml:space="preserve"> (Наружный блок) Масса (нетто / брутто): S[42/47]</t>
  </si>
  <si>
    <t xml:space="preserve"> (Внутренний блок) Уровень шума мин. / макс.: S[27/30/34/38]</t>
  </si>
  <si>
    <t xml:space="preserve"> (Потребляемая мощность) Охлаждение: N[1.69]</t>
  </si>
  <si>
    <t xml:space="preserve"> (Потребляемая мощность) Обогрев: S[1.72]</t>
  </si>
  <si>
    <t xml:space="preserve"> (Потребляемая мощность) Охлаждение: N[2.26]</t>
  </si>
  <si>
    <t xml:space="preserve"> (Потребляемая мощность) Обогрев: S[2.08]</t>
  </si>
  <si>
    <t xml:space="preserve"> Тип: S[Напольно-потолочные]</t>
  </si>
  <si>
    <t xml:space="preserve"> (Потребляемая мощность) Охлаждение: N[0.53]</t>
  </si>
  <si>
    <t xml:space="preserve"> (Потребляемая мощность) Обогрев: S[0.81]</t>
  </si>
  <si>
    <t xml:space="preserve"> (Внутренний блок) Уровень шума мин. / макс.: S[22/29/35/40]</t>
  </si>
  <si>
    <t xml:space="preserve"> (Потребляемая мощность) Охлаждение: N[0.88]</t>
  </si>
  <si>
    <t xml:space="preserve"> (Потребляемая мощность) Обогрев: S[1.22]</t>
  </si>
  <si>
    <t xml:space="preserve"> (Сплит система) Площадь помещения: N[42]</t>
  </si>
  <si>
    <t xml:space="preserve"> (Потребляемая мощность) Охлаждение: N[1.06]</t>
  </si>
  <si>
    <t xml:space="preserve"> (Потребляемая мощность) Обогрев: S[1.41]</t>
  </si>
  <si>
    <t xml:space="preserve"> (Внутренний блок) Уровень шума мин. / макс.: S[22/31/38/44]</t>
  </si>
  <si>
    <t xml:space="preserve"> (Внутренний блок) Масса (нетто / брутто): S[24 / 33]</t>
  </si>
  <si>
    <t xml:space="preserve"> (Внутренний блок) Уровень шума мин. / макс.: S[31/33/36/38]</t>
  </si>
  <si>
    <t xml:space="preserve"> (Внутренний блок) Масса (нетто / брутто): S[31 / 41]</t>
  </si>
  <si>
    <t xml:space="preserve"> (Внутренний блок) Уровень шума мин. / макс.: S[29/32/36/41]</t>
  </si>
  <si>
    <t xml:space="preserve"> (Потребляемая мощность) Обогрев: S[2.86]</t>
  </si>
  <si>
    <t xml:space="preserve"> (Внутренний блок) Уровень шума мин. / макс.: S[32/35/40/45]</t>
  </si>
  <si>
    <t xml:space="preserve"> (Внутренний блок) Масса (нетто / брутто): S[38 / 48]</t>
  </si>
  <si>
    <t xml:space="preserve"> (Внутренний блок) Уровень шума мин. / макс.: S[32/37/40/44]</t>
  </si>
  <si>
    <t xml:space="preserve"> (Внутренний блок) Уровень шума мин. / макс.: S[34/39/41/45]</t>
  </si>
  <si>
    <t xml:space="preserve"> (Внутренний блок) Уровень шума мин. / макс.: S[31/39/41/45]</t>
  </si>
  <si>
    <t xml:space="preserve"> Тип: S[Мульти сплит система]</t>
  </si>
  <si>
    <t xml:space="preserve"> (Сплит система) Холодопроизводительность: N[10]</t>
  </si>
  <si>
    <t xml:space="preserve"> (Сплит система) Теплопроизводительность: N[11.2]</t>
  </si>
  <si>
    <t xml:space="preserve"> (Потребляемая мощность) Охлаждение: N[2.84]</t>
  </si>
  <si>
    <t xml:space="preserve"> (Потребляемая мощность) Обогрев: S[2.87]</t>
  </si>
  <si>
    <t xml:space="preserve"> (Сплит система) Холодопроизводительность: N[14]</t>
  </si>
  <si>
    <t xml:space="preserve"> (Сплит система) Теплопроизводительность: N[16]</t>
  </si>
  <si>
    <t xml:space="preserve"> (Потребляемая мощность) Охлаждение: N[4.65]</t>
  </si>
  <si>
    <t xml:space="preserve"> (Потребляемая мощность) Обогрев: S[4.37]</t>
  </si>
  <si>
    <t xml:space="preserve"> (Сплит система) Холодопроизводительность: N[19]</t>
  </si>
  <si>
    <t xml:space="preserve"> (Сплит система) Теплопроизводительность: N[22.4]</t>
  </si>
  <si>
    <t xml:space="preserve"> (Сплит система) Холодопроизводительность: N[22]</t>
  </si>
  <si>
    <t xml:space="preserve"> (Сплит система) Теплопроизводительность: N[27]</t>
  </si>
  <si>
    <t xml:space="preserve"> (Сплит система) Холодопроизводительность: N[6.8]</t>
  </si>
  <si>
    <t xml:space="preserve"> (Сплит система) Теплопроизводительность: N[8]</t>
  </si>
  <si>
    <t xml:space="preserve"> (Потребляемая мощность) Охлаждение: N[2.21]</t>
  </si>
  <si>
    <t xml:space="preserve"> (Потребляемая мощность) Обогрев: S[2.26]</t>
  </si>
  <si>
    <t xml:space="preserve"> (Сплит система) Холодопроизводительность: N[6.25]</t>
  </si>
  <si>
    <t xml:space="preserve"> (Сплит система) Площадь помещения: N[63]</t>
  </si>
  <si>
    <t xml:space="preserve"> (Потребляемая мощность) Охлаждение: N[0.106]</t>
  </si>
  <si>
    <t xml:space="preserve"> (Потребляемая мощность) Обогрев: S[0.11]</t>
  </si>
  <si>
    <t xml:space="preserve"> (Потребляемая мощность) Охлаждение: N[0.033]</t>
  </si>
  <si>
    <t xml:space="preserve"> (Потребляемая мощность) Обогрев: S[0.033]</t>
  </si>
  <si>
    <t xml:space="preserve"> (Внутренний блок) Уровень шума мин. / макс.: S[28/26/25/24]</t>
  </si>
  <si>
    <t xml:space="preserve"> (Потребляемая мощность) Охлаждение: N[0.049]</t>
  </si>
  <si>
    <t xml:space="preserve"> (Потребляемая мощность) Обогрев: S[0.049]</t>
  </si>
  <si>
    <t xml:space="preserve"> (Внутренний блок) Уровень шума мин. / макс.: S[28/27/26/25]</t>
  </si>
  <si>
    <t xml:space="preserve"> (Потребляемая мощность) Охлаждение: N[0.058]</t>
  </si>
  <si>
    <t xml:space="preserve"> (Потребляемая мощность) Обогрев: S[0.058]</t>
  </si>
  <si>
    <t xml:space="preserve"> (Потребляемая мощность) Охлаждение: N[0.076]</t>
  </si>
  <si>
    <t xml:space="preserve"> (Потребляемая мощность) Обогрев: S[0.076]</t>
  </si>
  <si>
    <t xml:space="preserve"> (Потребляемая мощность) Охлаждение: N[0.073]</t>
  </si>
  <si>
    <t xml:space="preserve"> (Потребляемая мощность) Обогрев: S[0.073]</t>
  </si>
  <si>
    <t xml:space="preserve"> (Потребляемая мощность) Охлаждение: N[0.018]</t>
  </si>
  <si>
    <t xml:space="preserve"> (Потребляемая мощность) Обогрев: S[0.018]</t>
  </si>
  <si>
    <t xml:space="preserve"> (Внутренний блок) Уровень шума мин. / макс.: S[27/29/31/33]</t>
  </si>
  <si>
    <t xml:space="preserve"> (Потребляемая мощность) Охлаждение: N[0.023]</t>
  </si>
  <si>
    <t xml:space="preserve"> (Потребляемая мощность) Обогрев: S[0.023]</t>
  </si>
  <si>
    <t xml:space="preserve"> (Потребляемая мощность) Охлаждение: N[0.028]</t>
  </si>
  <si>
    <t xml:space="preserve"> (Потребляемая мощность) Обогрев: S[0.028]</t>
  </si>
  <si>
    <t xml:space="preserve"> (Потребляемая мощность) Охлаждение: N[0.039]</t>
  </si>
  <si>
    <t xml:space="preserve"> (Потребляемая мощность) Обогрев: S[0.039]</t>
  </si>
  <si>
    <t xml:space="preserve"> (Внутренний блок) Уровень шума мин. / макс.: S[33/31/29/27]</t>
  </si>
  <si>
    <t xml:space="preserve"> (Сплит система) Холодопроизводительность: N[5.5]</t>
  </si>
  <si>
    <t xml:space="preserve"> (Сплит система) Площадь помещения: N[55]</t>
  </si>
  <si>
    <t xml:space="preserve"> (Сплит система) Теплопроизводительность: N[5.5]</t>
  </si>
  <si>
    <t xml:space="preserve"> (Потребляемая мощность) Охлаждение: N[5.5]</t>
  </si>
  <si>
    <t xml:space="preserve"> (Потребляемая мощность) Обогрев: S[5.5]</t>
  </si>
  <si>
    <t xml:space="preserve"> (Потребляемая мощность) Охлаждение: N[0.026]</t>
  </si>
  <si>
    <t xml:space="preserve"> (Потребляемая мощность) Обогрев: S[0.026]</t>
  </si>
  <si>
    <t xml:space="preserve"> (Потребляемая мощность) Охлаждение: N[0.047]</t>
  </si>
  <si>
    <t xml:space="preserve"> (Потребляемая мощность) Обогрев: S[0.047]</t>
  </si>
  <si>
    <t xml:space="preserve"> (Потребляемая мощность) Охлаждение: N[0.08]</t>
  </si>
  <si>
    <t xml:space="preserve"> (Потребляемая мощность) Обогрев: S[0.08]</t>
  </si>
  <si>
    <t xml:space="preserve"> (Потребляемая мощность) Охлаждение: N[0.016]</t>
  </si>
  <si>
    <t xml:space="preserve"> (Потребляемая мощность) Обогрев: S[0.016]</t>
  </si>
  <si>
    <t xml:space="preserve"> (Потребляемая мощность) Охлаждение: N[0.02]</t>
  </si>
  <si>
    <t xml:space="preserve"> (Потребляемая мощность) Обогрев: S[0.02]</t>
  </si>
  <si>
    <t xml:space="preserve"> (Сплит система) Холодопроизводительность: N[12.5]</t>
  </si>
  <si>
    <t xml:space="preserve"> (Сплит система) Площадь помещения: N[125]</t>
  </si>
  <si>
    <t xml:space="preserve"> (Сплит система) Теплопроизводительность: N[14]</t>
  </si>
  <si>
    <t xml:space="preserve"> (Потребляемая мощность) Охлаждение: N[4.06]</t>
  </si>
  <si>
    <t xml:space="preserve"> (Потребляемая мощность) Обогрев: S[3.67]</t>
  </si>
  <si>
    <t xml:space="preserve"> (Потребляемая мощность) Обогрев: S[0.95]</t>
  </si>
  <si>
    <t xml:space="preserve"> (Потребляемая мощность) Охлаждение: N[1.24]</t>
  </si>
  <si>
    <t xml:space="preserve"> (Сплит система) Площадь помещения: N[54]</t>
  </si>
  <si>
    <t xml:space="preserve"> (Потребляемая мощность) Охлаждение: N[1.13]</t>
  </si>
  <si>
    <t xml:space="preserve"> (Потребляемая мощность) Обогрев: S[1.39]</t>
  </si>
  <si>
    <t xml:space="preserve"> (Потребляемая мощность) Охлаждение: N[1.74]</t>
  </si>
  <si>
    <t xml:space="preserve"> (Потребляемая мощность) Обогрев: S[1.82]</t>
  </si>
  <si>
    <t xml:space="preserve"> (Потребляемая мощность) Охлаждение: N[2.05]</t>
  </si>
  <si>
    <t xml:space="preserve"> (Потребляемая мощность) Обогрев: S[2.11]</t>
  </si>
  <si>
    <t xml:space="preserve"> (Потребляемая мощность) Охлаждение: N[2.5]</t>
  </si>
  <si>
    <t xml:space="preserve"> (Потребляемая мощность) Обогрев: S[2.36]</t>
  </si>
  <si>
    <t xml:space="preserve"> (Допустимая темп. наружного воздуха) Охлаждение: S[от -10 до +24]</t>
  </si>
  <si>
    <t xml:space="preserve"> (Потребляемая мощность) Обогрев: S[1.03]</t>
  </si>
  <si>
    <t xml:space="preserve"> (Рабочий ток) Хладагент: S[R410]</t>
  </si>
  <si>
    <t xml:space="preserve"> (Допустимая темп. наружного воздуха) Охлаждение: S[от 10 до +46]</t>
  </si>
  <si>
    <t xml:space="preserve"> (Потребляемая мощность) Охлаждение: N[1.56]</t>
  </si>
  <si>
    <t xml:space="preserve"> (Потребляемая мощность) Охлаждение: N[1.35]</t>
  </si>
  <si>
    <t xml:space="preserve"> (Потребляемая мощность) Обогрев: S[1.62]</t>
  </si>
  <si>
    <t xml:space="preserve"> (Потребляемая мощность) Охлаждение: N[1.94]</t>
  </si>
  <si>
    <t xml:space="preserve"> (Потребляемая мощность) Охлаждение: N[2.22]</t>
  </si>
  <si>
    <t xml:space="preserve"> (Потребляемая мощность) Обогрев: S[2.4]</t>
  </si>
  <si>
    <t xml:space="preserve"> (Наружный блок) Марка компрессора: S[SCI]</t>
  </si>
  <si>
    <t xml:space="preserve"> (Допустимая темп. наружного воздуха) Обогрев: S[от -10 до +24]</t>
  </si>
  <si>
    <t xml:space="preserve"> (Сплит система) Площадь помещения: N[10]</t>
  </si>
  <si>
    <t xml:space="preserve"> (Потребляемая мощность) Охлаждение: N[2.44]</t>
  </si>
  <si>
    <t xml:space="preserve"> (Потребляемая мощность) Обогрев: S[2.79]</t>
  </si>
  <si>
    <t xml:space="preserve"> (Потребляемая мощность) Охлаждение: N[3.57]</t>
  </si>
  <si>
    <t xml:space="preserve"> (Потребляемая мощность) Охлаждение: N[5.2]</t>
  </si>
  <si>
    <t xml:space="preserve"> (Потребляемая мощность) Обогрев: S[5.16]</t>
  </si>
  <si>
    <t xml:space="preserve"> (Наружный блок) Марка компрессора: S[SANYO]</t>
  </si>
  <si>
    <t xml:space="preserve"> (Допустимая темп. наружного воздуха) Охлаждение: S[от -5 до +46]</t>
  </si>
  <si>
    <t xml:space="preserve"> (Внутренний блок) Масса (нетто / брутто): S[7.7 / 9.8]</t>
  </si>
  <si>
    <t xml:space="preserve"> (Внутренний блок) Уровень шума мин. / макс.: S[24/31/37.5]</t>
  </si>
  <si>
    <t xml:space="preserve"> (Наружный блок) Марка компрессора: S[GMCC]</t>
  </si>
  <si>
    <t xml:space="preserve"> (Наружный блок) Масса (нетто / брутто): S[20.9/22.9]</t>
  </si>
  <si>
    <t xml:space="preserve"> (Допустимая темп. наружного воздуха) Обогрев: S[от -15 до +30]</t>
  </si>
  <si>
    <t xml:space="preserve"> (Внутренний блок) Масса (нетто / брутто): S[7.5 / 9.5]</t>
  </si>
  <si>
    <t xml:space="preserve"> (Внутренний блок) Уровень шума мин. / макс.: S[24/30.5/36.5]</t>
  </si>
  <si>
    <t xml:space="preserve"> (Наружный блок) Масса (нетто / брутто): S[22.8/24.8]</t>
  </si>
  <si>
    <t xml:space="preserve"> (Сплит система) Площадь помещения: N[26]</t>
  </si>
  <si>
    <t xml:space="preserve"> (Сплит система) Площадь помещения: N[32]</t>
  </si>
  <si>
    <t xml:space="preserve"> (Внутренний блок) Уровень шума мин. / макс.: S[26/34/39.5]</t>
  </si>
  <si>
    <t xml:space="preserve"> (Наружный блок) Масса (нетто / брутто): S[22.7/25.1]</t>
  </si>
  <si>
    <t xml:space="preserve"> (Сплит система) Площадь помещения: N[33]</t>
  </si>
  <si>
    <t xml:space="preserve"> (Внутренний блок) Уровень шума мин. / макс.: S[26/35.5/39.5]</t>
  </si>
  <si>
    <t xml:space="preserve"> (Наружный блок) Масса (нетто / брутто): S[23.5/25.3]</t>
  </si>
  <si>
    <t xml:space="preserve"> (Сплит система) Холодопроизводительность: N[2.2]</t>
  </si>
  <si>
    <t xml:space="preserve"> (Сплит система) Площадь помещения: N[22]</t>
  </si>
  <si>
    <t xml:space="preserve"> (Сплит система) Инвентор: S[нет]</t>
  </si>
  <si>
    <t xml:space="preserve"> (Сплит система) Теплопроизводительность: N[2.34]</t>
  </si>
  <si>
    <t xml:space="preserve"> (Потребляемая мощность) Охлаждение: N[0.685]</t>
  </si>
  <si>
    <t xml:space="preserve"> (Потребляемая мощность) Обогрев: S[0.649]</t>
  </si>
  <si>
    <t xml:space="preserve"> (Внутренний блок) Масса (нетто / брутто): S[8.3 / 10.6]</t>
  </si>
  <si>
    <t xml:space="preserve"> (Внутренний блок) Уровень шума мин. / макс.: S[26/34.5/38]</t>
  </si>
  <si>
    <t xml:space="preserve"> (Наружный блок) Масса (нетто / брутто): S[23.9/26.2]</t>
  </si>
  <si>
    <t xml:space="preserve"> (Допустимая темп. наружного воздуха) Охлаждение: S[от 18 до +43]</t>
  </si>
  <si>
    <t xml:space="preserve"> (Допустимая темп. наружного воздуха) Обогрев: S[от -7 до +24]</t>
  </si>
  <si>
    <t xml:space="preserve"> (Сплит система) Холодопроизводительность: N[2.28]</t>
  </si>
  <si>
    <t xml:space="preserve"> (Сплит система) Площадь помещения: N[23]</t>
  </si>
  <si>
    <t xml:space="preserve"> (Сплит система) Теплопроизводительность: N[2.28]</t>
  </si>
  <si>
    <t xml:space="preserve"> (Потребляемая мощность) Охлаждение: N[0.693]</t>
  </si>
  <si>
    <t xml:space="preserve"> (Потребляемая мощность) Обогрев: S[0.617]</t>
  </si>
  <si>
    <t xml:space="preserve"> (Внутренний блок) Масса (нетто / брутто): S[8.1 / 10.4]</t>
  </si>
  <si>
    <t xml:space="preserve"> (Внутренний блок) Уровень шума мин. / макс.: S[26/35/40.5]</t>
  </si>
  <si>
    <t xml:space="preserve"> (Наружный блок) Масса (нетто / брутто): S[24.6/26.5]</t>
  </si>
  <si>
    <t xml:space="preserve"> (Сплит система) Холодопроизводительность: N[2.64]</t>
  </si>
  <si>
    <t xml:space="preserve"> (Сплит система) Теплопроизводительность: N[2.81]</t>
  </si>
  <si>
    <t xml:space="preserve"> (Потребляемая мощность) Охлаждение: N[0.821]</t>
  </si>
  <si>
    <t xml:space="preserve"> (Потребляемая мощность) Обогрев: S[0.771]</t>
  </si>
  <si>
    <t xml:space="preserve"> (Внутренний блок) Масса (нетто / брутто): S[8.2 / 10.2]</t>
  </si>
  <si>
    <t xml:space="preserve"> (Внутренний блок) Уровень шума мин. / макс.: S[26.5/33/41]</t>
  </si>
  <si>
    <t xml:space="preserve"> (Наружный блок) Масса (нетто / брутто): S[24.9/26.6]</t>
  </si>
  <si>
    <t xml:space="preserve"> (Сплит система) Холодопроизводительность: N[3.52]</t>
  </si>
  <si>
    <t xml:space="preserve"> (Сплит система) Теплопроизводительность: N[3.81]</t>
  </si>
  <si>
    <t xml:space="preserve"> (Потребляемая мощность) Охлаждение: N[1.096]</t>
  </si>
  <si>
    <t xml:space="preserve"> (Потребляемая мощность) Обогрев: S[1.055]</t>
  </si>
  <si>
    <t xml:space="preserve"> (Внутренний блок) Масса (нетто / брутто): S[8.8 / 11]</t>
  </si>
  <si>
    <t xml:space="preserve"> (Внутренний блок) Уровень шума мин. / макс.: S[26.5/35.5/37.5]</t>
  </si>
  <si>
    <t xml:space="preserve"> (Наружный блок) Масса (нетто / брутто): S[31.2/33.5]</t>
  </si>
  <si>
    <t xml:space="preserve"> (Сплит система) Холодопроизводительность: N[5.28]</t>
  </si>
  <si>
    <t xml:space="preserve"> (Сплит система) Площадь помещения: N[53]</t>
  </si>
  <si>
    <t xml:space="preserve"> (Сплит система) Теплопроизводительность: N[5.42]</t>
  </si>
  <si>
    <t xml:space="preserve"> (Потребляемая мощность) Охлаждение: N[1.644]</t>
  </si>
  <si>
    <t xml:space="preserve"> (Потребляемая мощность) Обогрев: S[1.502]</t>
  </si>
  <si>
    <t xml:space="preserve"> (Внутренний блок) Масса (нетто / брутто): S[11.6 / 14.8]</t>
  </si>
  <si>
    <t xml:space="preserve"> (Внутренний блок) Уровень шума мин. / макс.: S[30/38.5/42.5]</t>
  </si>
  <si>
    <t xml:space="preserve"> (Наружный блок) Масса (нетто / брутто): S[37.7/40]</t>
  </si>
  <si>
    <t xml:space="preserve"> (Сплит система) Холодопроизводительность: N[7.03]</t>
  </si>
  <si>
    <t xml:space="preserve"> (Сплит система) Теплопроизводительность: N[7.62]</t>
  </si>
  <si>
    <t xml:space="preserve"> (Потребляемая мощность) Охлаждение: N[2.503]</t>
  </si>
  <si>
    <t xml:space="preserve"> (Потребляемая мощность) Обогрев: S[2.374]</t>
  </si>
  <si>
    <t xml:space="preserve"> (Внутренний блок) Масса (нетто / брутто): S[14 / 17.5]</t>
  </si>
  <si>
    <t xml:space="preserve"> (Внутренний блок) Уровень шума мин. / макс.: S[40/44/47]</t>
  </si>
  <si>
    <t xml:space="preserve"> (Наружный блок) Масса (нетто / брутто): S[50.6/53.8]</t>
  </si>
  <si>
    <t xml:space="preserve"> (Соединительные трубы) Газовая линия : N[15.9]</t>
  </si>
  <si>
    <t xml:space="preserve"> (Сплит система) Холодопроизводительность: N[8.21]</t>
  </si>
  <si>
    <t xml:space="preserve"> (Сплит система) Площадь помещения: N[82]</t>
  </si>
  <si>
    <t xml:space="preserve"> (Сплит система) Теплопроизводительность: N[8.5]</t>
  </si>
  <si>
    <t xml:space="preserve"> (Потребляемая мощность) Охлаждение: N[2.556]</t>
  </si>
  <si>
    <t xml:space="preserve"> (Потребляемая мощность) Обогрев: S[2.354]</t>
  </si>
  <si>
    <t xml:space="preserve"> (Внутренний блок) Масса (нетто / брутто): S[20.1 / 25.9]</t>
  </si>
  <si>
    <t xml:space="preserve"> (Внутренний блок) Уровень шума мин. / макс.: S[40/47/50]</t>
  </si>
  <si>
    <t xml:space="preserve"> (Наружный блок) Масса (нетто / брутто): S[62.5/68.5]</t>
  </si>
  <si>
    <t xml:space="preserve"> (Допустимая темп. наружного воздуха) Охлаждение: S[от 18 до +54]</t>
  </si>
  <si>
    <t xml:space="preserve"> (Сплит система) Холодопроизводительность: N[9.96]</t>
  </si>
  <si>
    <t xml:space="preserve"> (Сплит система) Теплопроизводительность: N[10.84]</t>
  </si>
  <si>
    <t xml:space="preserve"> (Потребляемая мощность) Охлаждение: N[3.104]</t>
  </si>
  <si>
    <t xml:space="preserve"> (Потребляемая мощность) Обогрев: S[3.08]</t>
  </si>
  <si>
    <t xml:space="preserve"> (Внутренний блок) Масса (нетто / брутто): S[21.8 / 27.6]</t>
  </si>
  <si>
    <t xml:space="preserve"> (Внутренний блок) Уровень шума мин. / макс.: S[42/47/51]</t>
  </si>
  <si>
    <t xml:space="preserve"> (Наружный блок) Масса (нетто / брутто): S[70/76.5]</t>
  </si>
  <si>
    <t xml:space="preserve"> (Сплит система) Холодопроизводительность: N[2.05]</t>
  </si>
  <si>
    <t xml:space="preserve"> (Сплит система) Площадь помещения: N[21]</t>
  </si>
  <si>
    <t xml:space="preserve"> (Потребляемая мощность) Охлаждение: N[0.639]</t>
  </si>
  <si>
    <t xml:space="preserve"> (Внутренний блок) Уровень шума мин. / макс.: S[26.5/38/41]</t>
  </si>
  <si>
    <t xml:space="preserve"> (Наружный блок) Масса (нетто / брутто): S[23.9/25.6]</t>
  </si>
  <si>
    <t xml:space="preserve"> (Сплит система) Теплопроизводительность: N[2.64]</t>
  </si>
  <si>
    <t xml:space="preserve"> (Наружный блок) Масса (нетто / брутто): S[24.2/26]</t>
  </si>
  <si>
    <t xml:space="preserve"> (Сплит система) Теплопроизводительность: N[3.66]</t>
  </si>
  <si>
    <t xml:space="preserve"> (Потребляемая мощность) Охлаждение: N[1.095]</t>
  </si>
  <si>
    <t xml:space="preserve"> (Потребляемая мощность) Обогрев: S[1.015]</t>
  </si>
  <si>
    <t xml:space="preserve"> (Внутренний блок) Масса (нетто / брутто): S[9 / 11.4]</t>
  </si>
  <si>
    <t xml:space="preserve"> (Внутренний блок) Уровень шума мин. / макс.: S[26.5/34.5/37.5]</t>
  </si>
  <si>
    <t xml:space="preserve"> (Наружный блок) Масса (нетто / брутто): S[26/27.7]</t>
  </si>
  <si>
    <t xml:space="preserve"> (Сплит система) Теплопроизводительность: N[5.57]</t>
  </si>
  <si>
    <t xml:space="preserve"> (Потребляемая мощность) Охлаждение: N[1.643]</t>
  </si>
  <si>
    <t xml:space="preserve"> (Потребляемая мощность) Обогрев: S[1.542]</t>
  </si>
  <si>
    <t xml:space="preserve"> (Внутренний блок) Масса (нетто / брутто): S[12.1 / 15.3]</t>
  </si>
  <si>
    <t xml:space="preserve"> (Внутренний блок) Уровень шума мин. / макс.: S[34.5/38/45]</t>
  </si>
  <si>
    <t xml:space="preserve"> (Наружный блок) Масса (нетто / брутто): S[34.5/37]</t>
  </si>
  <si>
    <t xml:space="preserve"> (Сплит система) Теплопроизводительность: N[7.33]</t>
  </si>
  <si>
    <t xml:space="preserve"> (Потребляемая мощность) Охлаждение: N[2.191]</t>
  </si>
  <si>
    <t xml:space="preserve"> (Потребляемая мощность) Обогрев: S[2.03]</t>
  </si>
  <si>
    <t xml:space="preserve"> (Внутренний блок) Масса (нетто / брутто): S[15 / 18.6]</t>
  </si>
  <si>
    <t xml:space="preserve"> (Внутренний блок) Уровень шума мин. / макс.: S[34.5/45.5/49]</t>
  </si>
  <si>
    <t xml:space="preserve"> (Наружный блок) Масса (нетто / брутто): S[47.9/50.9]</t>
  </si>
  <si>
    <t xml:space="preserve"> (Внутренний блок) Масса (нетто / брутто): S[8.2 / 10.7]</t>
  </si>
  <si>
    <t xml:space="preserve"> (Внутренний блок) Уровень шума мин. / макс.: S[21/22/32/38]</t>
  </si>
  <si>
    <t xml:space="preserve"> (Наружный блок) Масса (нетто / брутто): S[29.1/31.9]</t>
  </si>
  <si>
    <t xml:space="preserve"> (Допустимая темп. наружного воздуха) Охлаждение: S[от -15 до +50]</t>
  </si>
  <si>
    <t xml:space="preserve"> (Внутренний блок) Масса (нетто / брутто): S[8.1 / 9.6]</t>
  </si>
  <si>
    <t xml:space="preserve"> (Внутренний блок) Уровень шума мин. / макс.: S[27/33/38/40]</t>
  </si>
  <si>
    <t xml:space="preserve"> (Наружный блок) Марка компрессора: S[Gree]</t>
  </si>
  <si>
    <t xml:space="preserve"> (Наружный блок) Масса (нетто / брутто): S[21/23]</t>
  </si>
  <si>
    <t xml:space="preserve"> (Допустимая темп. наружного воздуха) Охлаждение: S[от -15 до +43]</t>
  </si>
  <si>
    <t xml:space="preserve"> (Внутренний блок) Масса (нетто / брутто): S[9 / 11]</t>
  </si>
  <si>
    <t xml:space="preserve"> (Внутренний блок) Уровень шума мин. / макс.: S[26/33/37/41]</t>
  </si>
  <si>
    <t xml:space="preserve"> (Наружный блок) Масса (нетто / брутто): S[25.5/28]</t>
  </si>
  <si>
    <t xml:space="preserve"> (Сплит система) Площадь помещения: N[46]</t>
  </si>
  <si>
    <t xml:space="preserve"> (Внутренний блок) Масса (нетто / брутто): S[13.5 / 16]</t>
  </si>
  <si>
    <t xml:space="preserve"> (Внутренний блок) Уровень шума мин. / макс.: S[34/38/42/44]</t>
  </si>
  <si>
    <t xml:space="preserve"> (Наружный блок) Масса (нетто / брутто): S[26.5/29]</t>
  </si>
  <si>
    <t xml:space="preserve"> (Сплит система) Площадь помещения: N[61]</t>
  </si>
  <si>
    <t xml:space="preserve"> (Внутренний блок) Уровень шума мин. / макс.: S[34/38/43/48]</t>
  </si>
  <si>
    <t xml:space="preserve"> (Наружный блок) Масса (нетто / брутто): S[35/38]</t>
  </si>
  <si>
    <t xml:space="preserve"> (Внутренний блок) Масса (нетто / брутто): S[7.8 / 10.1]</t>
  </si>
  <si>
    <t xml:space="preserve"> (Внутренний блок) Уровень шума мин. / макс.: S[37.0/29.0/25.5]</t>
  </si>
  <si>
    <t xml:space="preserve"> (Наружный блок) Масса (нетто / брутто): S[23.5/25.4]</t>
  </si>
  <si>
    <t xml:space="preserve"> (Внутренний блок) Масса (нетто / брутто): S[8.4 / 11]</t>
  </si>
  <si>
    <t xml:space="preserve"> (Внутренний блок) Уровень шума мин. / макс.: S[37.5/31.5/25]</t>
  </si>
  <si>
    <t xml:space="preserve"> (Наружный блок) Масса (нетто / брутто): S[23.7/25.5]</t>
  </si>
  <si>
    <t xml:space="preserve"> (Внутренний блок) Масса (нетто / брутто): S[11.2 / 14.6]</t>
  </si>
  <si>
    <t xml:space="preserve"> (Внутренний блок) Уровень шума мин. / макс.: S[41/37/31]</t>
  </si>
  <si>
    <t xml:space="preserve"> (Наружный блок) Масса (нетто / брутто): S[33.5/36.1]</t>
  </si>
  <si>
    <t xml:space="preserve"> (Внутренний блок) Масса (нетто / брутто): S[13.6 / 17.3]</t>
  </si>
  <si>
    <t xml:space="preserve"> (Внутренний блок) Уровень шума мин. / макс.: S[46/37/34.5]</t>
  </si>
  <si>
    <t xml:space="preserve"> (Наружный блок) Масса (нетто / брутто): S[43.9/46.9]</t>
  </si>
  <si>
    <t xml:space="preserve"> (Внутренний блок) Масса (нетто / брутто): S[7.8 / 10.3]</t>
  </si>
  <si>
    <t xml:space="preserve"> (Внутренний блок) Уровень шума мин. / макс.: S[29/35/41]</t>
  </si>
  <si>
    <t xml:space="preserve"> (Наружный блок) Масса (нетто / брутто): S[26.8/29.1]</t>
  </si>
  <si>
    <t xml:space="preserve"> (Внутренний блок) Масса (нетто / брутто): S[8.2 / 10.9]</t>
  </si>
  <si>
    <t xml:space="preserve"> (Внутренний блок) Уровень шума мин. / макс.: S[28/36/42]</t>
  </si>
  <si>
    <t xml:space="preserve"> (Наружный блок) Масса (нетто / брутто): S[27/29.4]</t>
  </si>
  <si>
    <t xml:space="preserve"> (Внутренний блок) Масса (нетто / брутто): S[10.8 / 14.3]</t>
  </si>
  <si>
    <t xml:space="preserve"> (Внутренний блок) Уровень шума мин. / макс.: S[29/37/45]</t>
  </si>
  <si>
    <t xml:space="preserve"> (Наружный блок) Масса (нетто / брутто): S[37/39.9]</t>
  </si>
  <si>
    <t xml:space="preserve"> (Сплит система) Площадь помещения: N[73]</t>
  </si>
  <si>
    <t xml:space="preserve"> (Внутренний блок) Масса (нетто / брутто): S[14.3 / 18.2]</t>
  </si>
  <si>
    <t xml:space="preserve"> (Внутренний блок) Уровень шума мин. / макс.: S[36/41/46]</t>
  </si>
  <si>
    <t xml:space="preserve"> (Наружный блок) Масса (нетто / брутто): S[51.5/54.6]</t>
  </si>
  <si>
    <t xml:space="preserve"> (Внутренний блок) Масса (нетто / брутто): S[10.5 / 13.9]</t>
  </si>
  <si>
    <t xml:space="preserve"> (Внутренний блок) Уровень шума мин. / макс.: S[21/26/32/37.5]</t>
  </si>
  <si>
    <t xml:space="preserve"> (Внутренний блок) Масса (нетто / брутто): S[10.5 / 14.2]</t>
  </si>
  <si>
    <t xml:space="preserve"> (Внутренний блок) Уровень шума мин. / макс.: S[24/32/37.5]</t>
  </si>
  <si>
    <t xml:space="preserve"> (Наружный блок) Масса (нетто / брутто): S[26.7/29.1]</t>
  </si>
  <si>
    <t xml:space="preserve"> (Внутренний блок) Масса (нетто / брутто): S[11.3 / 14.16]</t>
  </si>
  <si>
    <t xml:space="preserve"> (Внутренний блок) Уровень шума мин. / макс.: S[21.5/32.5/40]</t>
  </si>
  <si>
    <t xml:space="preserve"> (Наружный блок) Масса (нетто / брутто): S[26.4/28.8]</t>
  </si>
  <si>
    <t xml:space="preserve"> (Сплит система) Холодопроизводительность: N[28]</t>
  </si>
  <si>
    <t xml:space="preserve"> (Сплит система) Площадь помещения: N[280]</t>
  </si>
  <si>
    <t xml:space="preserve"> (Сплит система) Теплопроизводительность: N[31]</t>
  </si>
  <si>
    <t xml:space="preserve"> (Потребляемая мощность) Охлаждение: N[11.2]</t>
  </si>
  <si>
    <t xml:space="preserve"> (Потребляемая мощность) Обогрев: S[9.39]</t>
  </si>
  <si>
    <t xml:space="preserve"> (Внутренний блок) Масса (нетто / брутто): S[90 / 99]</t>
  </si>
  <si>
    <t xml:space="preserve"> (Внутренний блок) Уровень шума мин. / макс.: S[51/53/55]</t>
  </si>
  <si>
    <t xml:space="preserve"> (Наружный блок) Масса (нетто / брутто): S[142/157]</t>
  </si>
  <si>
    <t xml:space="preserve"> (Допустимая темп. наружного воздуха) Охлаждение: S[от 10 до +55]</t>
  </si>
  <si>
    <t xml:space="preserve"> (Допустимая темп. наружного воздуха) Обогрев: S[от -15 до +27]</t>
  </si>
  <si>
    <t xml:space="preserve"> (Внутренний блок) Масса (нетто / брутто): S[5 / 8]</t>
  </si>
  <si>
    <t xml:space="preserve"> (Внутренний блок) Уровень шума мин. / макс.: S[38/45/51]</t>
  </si>
  <si>
    <t xml:space="preserve"> (Наружный блок) Масса (нетто / брутто): S[46/49.1]</t>
  </si>
  <si>
    <t xml:space="preserve"> (Соединительные трубы) Газовая линия : N[16]</t>
  </si>
  <si>
    <t xml:space="preserve"> (Сплит система) Площадь помещения: N[74]</t>
  </si>
  <si>
    <t xml:space="preserve"> (Внутренний блок) Масса (нетто / брутто): S[6 / 9]</t>
  </si>
  <si>
    <t xml:space="preserve"> (Внутренний блок) Уровень шума мин. / макс.: S[40/43/45]</t>
  </si>
  <si>
    <t xml:space="preserve"> (Наружный блок) Масса (нетто / брутто): S[44/47.3]</t>
  </si>
  <si>
    <t xml:space="preserve"> (Внутренний блок) Уровень шума мин. / макс.: S[45/48/52]</t>
  </si>
  <si>
    <t xml:space="preserve"> (Наружный блок) Масса (нетто / брутто): S[77.9/82.7]</t>
  </si>
  <si>
    <t xml:space="preserve"> (Соединительные трубы) Газовая линия : N[19]</t>
  </si>
  <si>
    <t xml:space="preserve"> (Внутренний блок) Уровень шума мин. / макс.: S[44.5/47.0/49.5]</t>
  </si>
  <si>
    <t xml:space="preserve"> (Сплит система) Площадь помещения: N[110]</t>
  </si>
  <si>
    <t xml:space="preserve"> (Внутренний блок) Уровень шума мин. / макс.: S[44.5/47/49.5]</t>
  </si>
  <si>
    <t xml:space="preserve"> (Внутренний блок) Уровень шума мин. / макс.: S[46/49/52]</t>
  </si>
  <si>
    <t xml:space="preserve"> (Наружный блок) Масса (нетто / брутто): S[86/91.6]</t>
  </si>
  <si>
    <t xml:space="preserve"> (Внутренний блок) Уровень шума мин. / макс.: S[48/51.5/53.5]</t>
  </si>
  <si>
    <t xml:space="preserve"> (Наружный блок) Масса (нетто / брутто): S[86.7/91.4]</t>
  </si>
  <si>
    <t xml:space="preserve"> (Сплит система) Площадь помещения: N[160]</t>
  </si>
  <si>
    <t xml:space="preserve"> (Внутренний блок) Уровень шума мин. / макс.: S[44/48/53]</t>
  </si>
  <si>
    <t xml:space="preserve"> (Наружный блок) Масса (нетто / брутто): S[107/120.7]</t>
  </si>
  <si>
    <t xml:space="preserve"> (Внутренний блок) Уровень шума мин. / макс.: S[49.5/52/54.5]</t>
  </si>
  <si>
    <t xml:space="preserve"> (Наружный блок) Масса (нетто / брутто): S[107.1/121.3]</t>
  </si>
  <si>
    <t xml:space="preserve"> (Внутренний блок) Масса (нетто / брутто): S[2.5 / 4.5]</t>
  </si>
  <si>
    <t xml:space="preserve"> (Внутренний блок) Уровень шума мин. / макс.: S[34/38/42]</t>
  </si>
  <si>
    <t xml:space="preserve"> (Наружный блок) Масса (нетто / брутто): S[29.9/32.6]</t>
  </si>
  <si>
    <t xml:space="preserve"> (Сплит система) Площадь помещения: N[36]</t>
  </si>
  <si>
    <t xml:space="preserve"> (Внутренний блок) Уровень шума мин. / макс.: S[35?/?38?/?42]</t>
  </si>
  <si>
    <t xml:space="preserve"> (Наружный блок) Масса (нетто / брутто): S[26.9/29.2]</t>
  </si>
  <si>
    <t xml:space="preserve"> (Внутренний блок) Уровень шума мин. / макс.: S[36/39/43]</t>
  </si>
  <si>
    <t xml:space="preserve"> (Наружный блок) Масса (нетто / брутто): S[34.5/37.2]</t>
  </si>
  <si>
    <t xml:space="preserve"> (Внутренний блок) Уровень шума мин. / макс.: S[37?/?40.5?/?44]</t>
  </si>
  <si>
    <t xml:space="preserve"> (Наружный блок) Масса (нетто / брутто): S[33.6/36.2]</t>
  </si>
  <si>
    <t xml:space="preserve"> (Внутренний блок) Масса (нетто / брутто): S[28 / 33.3]</t>
  </si>
  <si>
    <t xml:space="preserve"> (Внутренний блок) Уровень шума мин. / макс.: S[37/40/45]</t>
  </si>
  <si>
    <t xml:space="preserve"> (Наружный блок) Масса (нетто / брутто): S[35.5/38.4]</t>
  </si>
  <si>
    <t xml:space="preserve"> (Внутренний блок) Уровень шума мин. / макс.: S[34.5/38.5/42]</t>
  </si>
  <si>
    <t xml:space="preserve"> (Внутренний блок) Уровень шума мин. / макс.: S[35.5/39/43]</t>
  </si>
  <si>
    <t xml:space="preserve"> (Внутренний блок) Масса (нетто / брутто): S[26.8 / 31.9]</t>
  </si>
  <si>
    <t xml:space="preserve"> (Внутренний блок) Уровень шума мин. / макс.: S[41/46/50]</t>
  </si>
  <si>
    <t xml:space="preserve"> (Наружный блок) Масса (нетто / брутто): S[49/51.5]</t>
  </si>
  <si>
    <t xml:space="preserve"> (Внутренний блок) Масса (нетто / брутто): S[28 / 33.1]</t>
  </si>
  <si>
    <t xml:space="preserve"> (Наружный блок) Масса (нетто / брутто): S[45.1/48.3]</t>
  </si>
  <si>
    <t xml:space="preserve"> (Внутренний блок) Масса (нетто / брутто): S[30.1 / 35.4]</t>
  </si>
  <si>
    <t xml:space="preserve"> (Внутренний блок) Уровень шума мин. / макс.: S[45/49/54]</t>
  </si>
  <si>
    <t xml:space="preserve"> (Внутренний блок) Масса (нетто / брутто): S[41.5 / 48]</t>
  </si>
  <si>
    <t xml:space="preserve"> (Внутренний блок) Уровень шума мин. / макс.: S[44/48/51]</t>
  </si>
  <si>
    <t xml:space="preserve"> (Внутренний блок) Масса (нетто / брутто): S[37.5 / 43.8]</t>
  </si>
  <si>
    <t xml:space="preserve"> (Внутренний блок) Уровень шума мин. / макс.: S[49/52/56]</t>
  </si>
  <si>
    <t xml:space="preserve"> (Внутренний блок) Масса (нетто / брутто): S[40.4 / 46.8]</t>
  </si>
  <si>
    <t xml:space="preserve"> (Внутренний блок) Уровень шума мин. / макс.: S[50/52/54]</t>
  </si>
  <si>
    <t xml:space="preserve"> (Внутренний блок) Масса (нетто / брутто): S[40 / 46]</t>
  </si>
  <si>
    <t xml:space="preserve"> (Внутренний блок) Уровень шума мин. / макс.: S[46/49/55]</t>
  </si>
  <si>
    <t xml:space="preserve"> (Внутренний блок) Масса (нетто / брутто): S[40.4 / 47]</t>
  </si>
  <si>
    <t xml:space="preserve"> (Внутренний блок) Уровень шума мин. / макс.: S[49.5/50.5/53.5]</t>
  </si>
  <si>
    <t xml:space="preserve"> (Внутренний блок) Масса (нетто / брутто): S[18 / 22]</t>
  </si>
  <si>
    <t xml:space="preserve"> (Внутренний блок) Уровень шума мин. / макс.: S[27.5/34.5/40]</t>
  </si>
  <si>
    <t xml:space="preserve"> (Внутренний блок) Масса (нетто / брутто): S[17.8 / 21.5]</t>
  </si>
  <si>
    <t xml:space="preserve"> (Внутренний блок) Уровень шума мин. / макс.: S[25/34/38]</t>
  </si>
  <si>
    <t xml:space="preserve"> (Внутренний блок) Масса (нетто / брутто): S[24.3 / 29.6]</t>
  </si>
  <si>
    <t xml:space="preserve"> (Внутренний блок) Уровень шума мин. / макс.: S[33/38/42]</t>
  </si>
  <si>
    <t xml:space="preserve"> (Внутренний блок) Масса (нетто / брутто): S[24.4 / 29.6]</t>
  </si>
  <si>
    <t xml:space="preserve"> (Внутренний блок) Уровень шума мин. / макс.: S[34/38/41]</t>
  </si>
  <si>
    <t xml:space="preserve"> (Внутренний блок) Масса (нетто / брутто): S[31.5 / 38.9]</t>
  </si>
  <si>
    <t xml:space="preserve"> (Внутренний блок) Уровень шума мин. / макс.: S[40/42/44]</t>
  </si>
  <si>
    <t xml:space="preserve"> (Внутренний блок) Масса (нетто / брутто): S[32.3 / 39.1]</t>
  </si>
  <si>
    <t xml:space="preserve"> (Внутренний блок) Уровень шума мин. / макс.: S[37/39/41]</t>
  </si>
  <si>
    <t xml:space="preserve"> (Внутренний блок) Масса (нетто / брутто): S[34.5 / 41.9]</t>
  </si>
  <si>
    <t xml:space="preserve"> (Внутренний блок) Уровень шума мин. / макс.: S[36/38.5/45]</t>
  </si>
  <si>
    <t xml:space="preserve"> (Внутренний блок) Масса (нетто / брутто): S[40.5 / 48.2]</t>
  </si>
  <si>
    <t xml:space="preserve"> (Внутренний блок) Уровень шума мин. / макс.: S[38/40.5/44]</t>
  </si>
  <si>
    <t xml:space="preserve"> (Внутренний блок) Масса (нетто / брутто): S[47.3 / 56]</t>
  </si>
  <si>
    <t xml:space="preserve"> (Внутренний блок) Уровень шума мин. / макс.: S[39/43/47]</t>
  </si>
  <si>
    <t xml:space="preserve"> (Внутренний блок) Масса (нетто / брутто): S[47.6 / 55.8]</t>
  </si>
  <si>
    <t xml:space="preserve"> (Внутренний блок) Уровень шума мин. / макс.: S[43/45.5/47.5]</t>
  </si>
  <si>
    <t xml:space="preserve"> (Внутренний блок) Масса (нетто / брутто): S[47.2 / 56]</t>
  </si>
  <si>
    <t xml:space="preserve"> (Внутренний блок) Уровень шума мин. / макс.: S[41/44/48]</t>
  </si>
  <si>
    <t xml:space="preserve"> (Внутренний блок) Масса (нетто / брутто): S[47.4 / 56.1]</t>
  </si>
  <si>
    <t xml:space="preserve"> (Внутренний блок) Уровень шума мин. / макс.: S[46/48.5/50]</t>
  </si>
  <si>
    <t xml:space="preserve"> (Сплит система) Холодопроизводительность: N[44]</t>
  </si>
  <si>
    <t xml:space="preserve"> (Сплит система) Площадь помещения: N[440]</t>
  </si>
  <si>
    <t xml:space="preserve"> (Сплит система) Теплопроизводительность: N[47]</t>
  </si>
  <si>
    <t xml:space="preserve"> (Потребляемая мощность) Охлаждение: N[16.3]</t>
  </si>
  <si>
    <t xml:space="preserve"> (Потребляемая мощность) Обогрев: S[15.7]</t>
  </si>
  <si>
    <t xml:space="preserve"> (Внутренний блок) Масса (нетто / брутто): S[208 / 220]</t>
  </si>
  <si>
    <t xml:space="preserve"> (Внутренний блок) Уровень шума мин. / макс.: S[63]</t>
  </si>
  <si>
    <t xml:space="preserve"> (Наружный блок) Марка компрессора: S[Hitachi x 3]</t>
  </si>
  <si>
    <t xml:space="preserve"> (Наружный блок) Масса (нетто / брутто): S[288/308]</t>
  </si>
  <si>
    <t xml:space="preserve"> (Соединительные трубы) Жидкостная линия : N[16]</t>
  </si>
  <si>
    <t xml:space="preserve"> (Соединительные трубы) Газовая линия : N[32]</t>
  </si>
  <si>
    <t xml:space="preserve"> (Допустимая темп. наружного воздуха) Охлаждение: S[от 17 до +46]</t>
  </si>
  <si>
    <t xml:space="preserve"> (Сплит система) Холодопроизводительность: N[56.3]</t>
  </si>
  <si>
    <t xml:space="preserve"> (Сплит система) Площадь помещения: N[563]</t>
  </si>
  <si>
    <t xml:space="preserve"> (Сплит система) Теплопроизводительность: N[58.6]</t>
  </si>
  <si>
    <t xml:space="preserve"> (Потребляемая мощность) Охлаждение: N[22]</t>
  </si>
  <si>
    <t xml:space="preserve"> (Потребляемая мощность) Обогрев: S[19.3]</t>
  </si>
  <si>
    <t xml:space="preserve"> (Внутренний блок) Масса (нетто / брутто): S[215 / 230]</t>
  </si>
  <si>
    <t xml:space="preserve"> (Внутренний блок) Уровень шума мин. / макс.: S[65]</t>
  </si>
  <si>
    <t xml:space="preserve"> (Наружный блок) Масса (нетто / брутто): S[320/336]</t>
  </si>
  <si>
    <t xml:space="preserve"> (Соединительные трубы) Газовая линия : N[35]</t>
  </si>
  <si>
    <t xml:space="preserve"> (Сплит система) Холодопроизводительность: N[28.1]</t>
  </si>
  <si>
    <t xml:space="preserve"> (Сплит система) Площадь помещения: N[281]</t>
  </si>
  <si>
    <t xml:space="preserve"> (Сплит система) Теплопроизводительность: N[31.1]</t>
  </si>
  <si>
    <t xml:space="preserve"> (Потребляемая мощность) Охлаждение: N[9.6]</t>
  </si>
  <si>
    <t xml:space="preserve"> (Потребляемая мощность) Обогрев: S[10.3]</t>
  </si>
  <si>
    <t xml:space="preserve"> (Внутренний блок) Масса (нетто / брутто): S[97 / 109]</t>
  </si>
  <si>
    <t xml:space="preserve"> (Внутренний блок) Уровень шума мин. / макс.: S[56]</t>
  </si>
  <si>
    <t xml:space="preserve"> (Наружный блок) Марка компрессора: S[Danfoss]</t>
  </si>
  <si>
    <t xml:space="preserve"> (Наружный блок) Масса (нетто / брутто): S[177/192]</t>
  </si>
  <si>
    <t xml:space="preserve"> Тип: S[Колонные]</t>
  </si>
  <si>
    <t xml:space="preserve"> (Потребляемая мощность) Охлаждение: N[2.7]</t>
  </si>
  <si>
    <t xml:space="preserve"> (Внутренний блок) Масса (нетто / брутто): S[38.4 / 48.7]</t>
  </si>
  <si>
    <t xml:space="preserve"> (Внутренний блок) Уровень шума мин. / макс.: S[40.5/47.5]</t>
  </si>
  <si>
    <t xml:space="preserve"> (Наружный блок) Масса (нетто / брутто): S[57.7/61]</t>
  </si>
  <si>
    <t xml:space="preserve"> (Сплит система) Теплопроизводительность: N[7.91]</t>
  </si>
  <si>
    <t xml:space="preserve"> (Потребляемая мощность) Охлаждение: N[2.425]</t>
  </si>
  <si>
    <t xml:space="preserve"> (Потребляемая мощность) Обогрев: S[2.47]</t>
  </si>
  <si>
    <t xml:space="preserve"> (Внутренний блок) Масса (нетто / брутто): S[38.4 / 49]</t>
  </si>
  <si>
    <t xml:space="preserve"> (Внутренний блок) Уровень шума мин. / макс.: S[40/47]</t>
  </si>
  <si>
    <t xml:space="preserve"> (Наружный блок) Масса (нетто / брутто): S[55.5/58.7]</t>
  </si>
  <si>
    <t xml:space="preserve"> (Сплит система) Холодопроизводительность: N[14.06]</t>
  </si>
  <si>
    <t xml:space="preserve"> (Сплит система) Площадь помещения: N[141]</t>
  </si>
  <si>
    <t xml:space="preserve"> (Потребляемая мощность) Охлаждение: N[5.39]</t>
  </si>
  <si>
    <t xml:space="preserve"> (Внутренний блок) Масса (нетто / брутто): S[54.7 / 68.9]</t>
  </si>
  <si>
    <t xml:space="preserve"> (Внутренний блок) Уровень шума мин. / макс.: S[50/53]</t>
  </si>
  <si>
    <t xml:space="preserve"> (Наружный блок) Масса (нетто / брутто): S[93.2/105]</t>
  </si>
  <si>
    <t xml:space="preserve"> (Сплит система) Холодопроизводительность: N[14.07]</t>
  </si>
  <si>
    <t xml:space="preserve"> (Потребляемая мощность) Охлаждение: N[5.3]</t>
  </si>
  <si>
    <t xml:space="preserve"> (Внутренний блок) Масса (нетто / брутто): S[51.3 / 65.5]</t>
  </si>
  <si>
    <t xml:space="preserve"> (Внутренний блок) Уровень шума мин. / макс.: S[46/54]</t>
  </si>
  <si>
    <t xml:space="preserve"> (Наружный блок) Масса (нетто / брутто): S[98.6/109.3]</t>
  </si>
  <si>
    <t xml:space="preserve"> (Сплит система) Холодопроизводительность: N[16.96]</t>
  </si>
  <si>
    <t xml:space="preserve"> (Сплит система) Площадь помещения: N[170]</t>
  </si>
  <si>
    <t xml:space="preserve"> (Потребляемая мощность) Охлаждение: N[6.5]</t>
  </si>
  <si>
    <t xml:space="preserve"> (Внутренний блок) Масса (нетто / брутто): S[68.5 / 88.3]</t>
  </si>
  <si>
    <t xml:space="preserve"> (Внутренний блок) Уровень шума мин. / макс.: S[49.8/53.9]</t>
  </si>
  <si>
    <t xml:space="preserve"> (Наружный блок) Масса (нетто / брутто): S[97/107]</t>
  </si>
  <si>
    <t xml:space="preserve"> (Сплит система) Холодопроизводительность: N[17.14]</t>
  </si>
  <si>
    <t xml:space="preserve"> (Сплит система) Площадь помещения: N[171]</t>
  </si>
  <si>
    <t xml:space="preserve"> (Потребляемая мощность) Охлаждение: N[6.7]</t>
  </si>
  <si>
    <t xml:space="preserve"> (Внутренний блок) Масса (нетто / брутто): S[67 / 85.6]</t>
  </si>
  <si>
    <t xml:space="preserve"> (Внутренний блок) Уровень шума мин. / макс.: S[50/54]</t>
  </si>
  <si>
    <t xml:space="preserve"> (Наружный блок) Масса (нетто / брутто): S[99.7/111.2]</t>
  </si>
  <si>
    <t xml:space="preserve"> (Потребляемая мощность) Охлаждение: N[0.17]</t>
  </si>
  <si>
    <t xml:space="preserve"> (Потребляемая мощность) Обогрев: S[0.17]</t>
  </si>
  <si>
    <t xml:space="preserve"> (Внутренний блок) Уровень шума мин. / макс.: S[27/34/40]</t>
  </si>
  <si>
    <t xml:space="preserve"> (Сплит система) Теплопроизводительность: N[2.93]</t>
  </si>
  <si>
    <t xml:space="preserve"> (Потребляемая мощность) Охлаждение: N[0.18]</t>
  </si>
  <si>
    <t xml:space="preserve"> (Потребляемая мощность) Обогрев: S[0.18]</t>
  </si>
  <si>
    <t xml:space="preserve"> (Потребляемая мощность) Охлаждение: N[0.185]</t>
  </si>
  <si>
    <t xml:space="preserve"> (Потребляемая мощность) Обогрев: S[0.185]</t>
  </si>
  <si>
    <t xml:space="preserve"> (Внутренний блок) Уровень шума мин. / макс.: S[30/32/34.5]</t>
  </si>
  <si>
    <t xml:space="preserve"> (Потребляемая мощность) Охлаждение: N[0.2]</t>
  </si>
  <si>
    <t xml:space="preserve"> (Потребляемая мощность) Обогрев: S[0.2]</t>
  </si>
  <si>
    <t xml:space="preserve"> (Внутренний блок) Уровень шума мин. / макс.: S[33/38/41.5]</t>
  </si>
  <si>
    <t xml:space="preserve"> (Внутренний блок) Уровень шума мин. / макс.: S[35/39/42]</t>
  </si>
  <si>
    <t xml:space="preserve"> (Сплит система) Холодопроизводительность: N[2.63]</t>
  </si>
  <si>
    <t xml:space="preserve"> (Сплит система) Теплопроизводительность: N[2.63]</t>
  </si>
  <si>
    <t xml:space="preserve"> (Потребляемая мощность) Охлаждение: N[0]</t>
  </si>
  <si>
    <t xml:space="preserve"> (Потребляемая мощность) Обогрев: S[0]</t>
  </si>
  <si>
    <t xml:space="preserve"> (Соединительные трубы) Газовая линия : N[9.53]</t>
  </si>
  <si>
    <t xml:space="preserve"> (Сплит система) Холодопроизводительность: N[3.51]</t>
  </si>
  <si>
    <t xml:space="preserve"> (Сплит система) Теплопроизводительность: N[4.1]</t>
  </si>
  <si>
    <t xml:space="preserve"> (Сплит система) Холодопроизводительность: N[5.27]</t>
  </si>
  <si>
    <t xml:space="preserve"> (Сплит система) Теплопроизводительность: N[5.27]</t>
  </si>
  <si>
    <t xml:space="preserve"> (Сплит система) Холодопроизводительность: N[2.7]</t>
  </si>
  <si>
    <t xml:space="preserve"> (Сплит система) Площадь помещения: N[27]</t>
  </si>
  <si>
    <t xml:space="preserve"> (Внутренний блок) Уровень шума мин. / макс.: S[22/33/37]</t>
  </si>
  <si>
    <t xml:space="preserve"> (Потребляемая мощность) Охлаждение: N[0.021]</t>
  </si>
  <si>
    <t xml:space="preserve"> (Потребляемая мощность) Обогрев: S[0.021]</t>
  </si>
  <si>
    <t xml:space="preserve"> (Внутренний блок) Уровень шума мин. / макс.: S[22/32/38]</t>
  </si>
  <si>
    <t xml:space="preserve"> (Внутренний блок) Уровень шума мин. / макс.: S[25/35/42]</t>
  </si>
  <si>
    <t xml:space="preserve"> (Потребляемая мощность) Охлаждение: N[0.024]</t>
  </si>
  <si>
    <t xml:space="preserve"> (Потребляемая мощность) Обогрев: S[0.024]</t>
  </si>
  <si>
    <t xml:space="preserve"> (Внутренний блок) Уровень шума мин. / макс.: S[27/33/42]</t>
  </si>
  <si>
    <t xml:space="preserve"> (Потребляемая мощность) Охлаждение: N[0.035]</t>
  </si>
  <si>
    <t xml:space="preserve"> (Потребляемая мощность) Обогрев: S[0.035]</t>
  </si>
  <si>
    <t xml:space="preserve"> (Внутренний блок) Уровень шума мин. / макс.: S[28.5/30.5/41.5]</t>
  </si>
  <si>
    <t xml:space="preserve"> (Сплит система) Холодопроизводительность: N[7.33]</t>
  </si>
  <si>
    <t xml:space="preserve"> (Внутренний блок) Уровень шума мин. / макс.: S[30/40/46]</t>
  </si>
  <si>
    <t xml:space="preserve"> (Потребляемая мощность) Охлаждение: N[0.072]</t>
  </si>
  <si>
    <t xml:space="preserve"> (Потребляемая мощность) Обогрев: S[0.072]</t>
  </si>
  <si>
    <t xml:space="preserve"> (Внутренний блок) Уровень шума мин. / макс.: S[29/38.5/45]</t>
  </si>
  <si>
    <t xml:space="preserve"> (Сплит система) Холодопроизводительность: N[2.34]</t>
  </si>
  <si>
    <t xml:space="preserve"> (Внутренний блок) Уровень шума мин. / макс.: S[32/33/37]</t>
  </si>
  <si>
    <t xml:space="preserve"> (Сплит система) Теплопроизводительность: N[3.8]</t>
  </si>
  <si>
    <t xml:space="preserve"> (Внутренний блок) Уровень шума мин. / макс.: S[24/35/39]</t>
  </si>
  <si>
    <t xml:space="preserve"> (Сплит система) Теплопроизводительность: N[5.86]</t>
  </si>
  <si>
    <t xml:space="preserve"> (Потребляемая мощность) Охлаждение: N[0.03]</t>
  </si>
  <si>
    <t xml:space="preserve"> (Потребляемая мощность) Обогрев: S[0.03]</t>
  </si>
  <si>
    <t xml:space="preserve"> (Потребляемая мощность) Охлаждение: N[0.06]</t>
  </si>
  <si>
    <t xml:space="preserve"> (Потребляемая мощность) Обогрев: S[0.06]</t>
  </si>
  <si>
    <t xml:space="preserve"> (Внутренний блок) Уровень шума мин. / макс.: S[32/43/48]</t>
  </si>
  <si>
    <t xml:space="preserve"> (Соединительные трубы) Жидкостная линия : N[9.53]</t>
  </si>
  <si>
    <t xml:space="preserve"> (Сплит система) Площадь помещения: N[41]</t>
  </si>
  <si>
    <t xml:space="preserve"> (Сплит система) Площадь помещения: N[79]</t>
  </si>
  <si>
    <t xml:space="preserve"> (Сплит система) Теплопроизводительность: N[2.2]</t>
  </si>
  <si>
    <t xml:space="preserve"> (Потребляемая мощность) Охлаждение: N[0.64]</t>
  </si>
  <si>
    <t xml:space="preserve"> (Потребляемая мощность) Обогрев: S[0.61]</t>
  </si>
  <si>
    <t xml:space="preserve"> (Внутренний блок) Масса (нетто / брутто): S[7 / 8.5]</t>
  </si>
  <si>
    <t xml:space="preserve"> (Внутренний блок) Уровень шума мин. / макс.: S[24/26/28/31/34]</t>
  </si>
  <si>
    <t xml:space="preserve"> (Допустимая темп. наружного воздуха) Охлаждение: S[от 15 до +43]</t>
  </si>
  <si>
    <t xml:space="preserve"> (Потребляемая мощность) Обогрев: S[0.609]</t>
  </si>
  <si>
    <t xml:space="preserve"> (Внутренний блок) Уровень шума мин. / макс.: S[28/31/34/37/40]</t>
  </si>
  <si>
    <t xml:space="preserve"> (Наружный блок) Масса (нетто / брутто): S[20/23]</t>
  </si>
  <si>
    <t xml:space="preserve"> (Сплит система) Теплопроизводительность: N[2.8]</t>
  </si>
  <si>
    <t xml:space="preserve"> (Потребляемая мощность) Охлаждение: N[0.82]</t>
  </si>
  <si>
    <t xml:space="preserve"> (Потребляемая мощность) Обогрев: S[0.775]</t>
  </si>
  <si>
    <t xml:space="preserve"> (Внутренний блок) Уровень шума мин. / макс.: S[25/26/28/32/35]</t>
  </si>
  <si>
    <t xml:space="preserve"> (Наружный блок) Марка компрессора: S[RECHI]</t>
  </si>
  <si>
    <t xml:space="preserve"> (Сплит система) Теплопроизводительность: N[2.78]</t>
  </si>
  <si>
    <t xml:space="preserve"> (Потребляемая мощность) Охлаждение: N[0.822]</t>
  </si>
  <si>
    <t xml:space="preserve"> (Потребляемая мощность) Обогрев: S[0.77]</t>
  </si>
  <si>
    <t xml:space="preserve"> (Сплит система) Теплопроизводительность: N[3.7]</t>
  </si>
  <si>
    <t xml:space="preserve"> (Потребляемая мощность) Охлаждение: N[1.1]</t>
  </si>
  <si>
    <t xml:space="preserve"> (Внутренний блок) Масса (нетто / брутто): S[7.5 / 10]</t>
  </si>
  <si>
    <t xml:space="preserve"> (Внутренний блок) Уровень шума мин. / макс.: S[29/33/35/38/38]</t>
  </si>
  <si>
    <t xml:space="preserve"> (Наружный блок) Масса (нетто / брутто): S[25/28]</t>
  </si>
  <si>
    <t xml:space="preserve"> (Потребляемая мощность) Обогрев: S[1.013]</t>
  </si>
  <si>
    <t xml:space="preserve"> (Внутренний блок) Масса (нетто / брутто): S[8 / 10]</t>
  </si>
  <si>
    <t xml:space="preserve"> (Потребляемая мощность) Охлаждение: N[1.64]</t>
  </si>
  <si>
    <t xml:space="preserve"> (Потребляемая мощность) Обогрев: S[1.5]</t>
  </si>
  <si>
    <t xml:space="preserve"> (Внутренний блок) Уровень шума мин. / макс.: S[32/34/36/38/40]</t>
  </si>
  <si>
    <t xml:space="preserve"> (Наружный блок) Марка компрессора: S[HIGHLY]</t>
  </si>
  <si>
    <t xml:space="preserve"> (Потребляемая мощность) Охлаждение: N[1.645]</t>
  </si>
  <si>
    <t xml:space="preserve"> (Внутренний блок) Масса (нетто / брутто): S[10.5 / 12.5]</t>
  </si>
  <si>
    <t xml:space="preserve"> (Внутренний блок) Уровень шума мин. / макс.: S[34/36/40/43/44]</t>
  </si>
  <si>
    <t xml:space="preserve"> (Наружный блок) Масса (нетто / брутто): S[38/41]</t>
  </si>
  <si>
    <t xml:space="preserve"> (Сплит система) Теплопроизводительность: N[7.18]</t>
  </si>
  <si>
    <t xml:space="preserve"> (Потребляемая мощность) Охлаждение: N[2.18]</t>
  </si>
  <si>
    <t xml:space="preserve"> (Потребляемая мощность) Обогрев: S[1.98]</t>
  </si>
  <si>
    <t xml:space="preserve"> (Внутренний блок) Масса (нетто / брутто): S[13 / 16]</t>
  </si>
  <si>
    <t xml:space="preserve"> (Внутренний блок) Уровень шума мин. / макс.: S[35/39/43/47/49]</t>
  </si>
  <si>
    <t xml:space="preserve"> (Наружный блок) Масса (нетто / брутто): S[50/54]</t>
  </si>
  <si>
    <t xml:space="preserve"> (Потребляемая мощность) Обогрев: S[1.985]</t>
  </si>
  <si>
    <t xml:space="preserve"> (Внутренний блок) Уровень шума мин. / макс.: S[35/38/42/45/49]</t>
  </si>
  <si>
    <t xml:space="preserve"> (Наружный блок) Масса (нетто / брутто): S[43/46]</t>
  </si>
  <si>
    <t xml:space="preserve"> (Сплит система) Теплопроизводительность: N[8.35]</t>
  </si>
  <si>
    <t xml:space="preserve"> (Потребляемая мощность) Охлаждение: N[2.55]</t>
  </si>
  <si>
    <t xml:space="preserve"> (Потребляемая мощность) Обогрев: S[2.31]</t>
  </si>
  <si>
    <t xml:space="preserve"> (Внутренний блок) Уровень шума мин. / макс.: S[/41/45/49/51]</t>
  </si>
  <si>
    <t xml:space="preserve"> (Наружный блок) Масса (нетто / брутто): S[68/74]</t>
  </si>
  <si>
    <t xml:space="preserve"> (Внутренний блок) Масса (нетто / брутто): S[7 / 9]</t>
  </si>
  <si>
    <t xml:space="preserve"> (Внутренний блок) Уровень шума мин. / макс.: S[22/25/33/40]</t>
  </si>
  <si>
    <t xml:space="preserve"> (Допустимая темп. наружного воздуха) Обогрев: S[от -20 до +30]</t>
  </si>
  <si>
    <t xml:space="preserve"> (Внутренний блок) Уровень шума мин. / макс.: S[22/25/33/37/40]</t>
  </si>
  <si>
    <t xml:space="preserve"> (Допустимая темп. наружного воздуха) Охлаждение: S[от -15 до +53]</t>
  </si>
  <si>
    <t xml:space="preserve"> (Внутренний блок) Масса (нетто / брутто): S[6.5 / 8.5]</t>
  </si>
  <si>
    <t xml:space="preserve"> (Внутренний блок) Уровень шума мин. / макс.: S[25/27/32/35/38]</t>
  </si>
  <si>
    <t xml:space="preserve"> (Наружный блок) Масса (нетто / брутто): S[24/26]</t>
  </si>
  <si>
    <t xml:space="preserve"> (Внутренний блок) Уровень шума мин. / макс.: S[26/30/34/37/39]</t>
  </si>
  <si>
    <t xml:space="preserve"> (Наружный блок) Масса (нетто / брутто): S[26/28]</t>
  </si>
  <si>
    <t xml:space="preserve"> (Внутренний блок) Уровень шума мин. / макс.: S[30/33/36/43/44]</t>
  </si>
  <si>
    <t xml:space="preserve"> (Наружный блок) Масса (нетто / брутто): S[31/34]</t>
  </si>
  <si>
    <t xml:space="preserve"> (Внутренний блок) Уровень шума мин. / макс.: S[32/37/42/46/48]</t>
  </si>
  <si>
    <t xml:space="preserve"> (Внутренний блок) Уровень шума мин. / макс.: S[25/27/29/32/34]</t>
  </si>
  <si>
    <t xml:space="preserve"> (Наружный блок) Масса (нетто / брутто): S[20/22]</t>
  </si>
  <si>
    <t xml:space="preserve"> (Сплит система) Холодопроизводительность: N[2.55]</t>
  </si>
  <si>
    <t xml:space="preserve"> (Сплит система) Теплопроизводительность: N[2.73]</t>
  </si>
  <si>
    <t xml:space="preserve"> (Потребляемая мощность) Охлаждение: N[0.794]</t>
  </si>
  <si>
    <t xml:space="preserve"> (Потребляемая мощность) Обогрев: S[0.755]</t>
  </si>
  <si>
    <t xml:space="preserve"> (Внутренний блок) Уровень шума мин. / макс.: S[25/27/29/33/35]</t>
  </si>
  <si>
    <t xml:space="preserve"> (Сплит система) Холодопроизводительность: N[3.37]</t>
  </si>
  <si>
    <t xml:space="preserve"> (Сплит система) Теплопроизводительность: N[3.52]</t>
  </si>
  <si>
    <t xml:space="preserve"> (Потребляемая мощность) Охлаждение: N[1.05]</t>
  </si>
  <si>
    <t xml:space="preserve"> (Потребляемая мощность) Обогрев: S[0.975]</t>
  </si>
  <si>
    <t xml:space="preserve"> (Внутренний блок) Уровень шума мин. / макс.: S[31/34/37/40/42]</t>
  </si>
  <si>
    <t xml:space="preserve"> (Сплит система) Холодопроизводительность: N[5.13]</t>
  </si>
  <si>
    <t xml:space="preserve"> (Сплит система) Площадь помещения: N[51]</t>
  </si>
  <si>
    <t xml:space="preserve"> (Сплит система) Теплопроизводительность: N[5.28]</t>
  </si>
  <si>
    <t xml:space="preserve"> (Потребляемая мощность) Охлаждение: N[1.598]</t>
  </si>
  <si>
    <t xml:space="preserve"> (Потребляемая мощность) Обогрев: S[1.462]</t>
  </si>
  <si>
    <t xml:space="preserve"> (Внутренний блок) Уровень шума мин. / макс.: S[34/35/38/40/43]</t>
  </si>
  <si>
    <t xml:space="preserve"> (Наружный блок) Масса (нетто / брутто): S[32.5/35]</t>
  </si>
  <si>
    <t xml:space="preserve"> (Сплит система) Холодопроизводительность: N[6.74]</t>
  </si>
  <si>
    <t xml:space="preserve"> (Сплит система) Площадь помещения: N[67]</t>
  </si>
  <si>
    <t xml:space="preserve"> (Сплит система) Теплопроизводительность: N[7.03]</t>
  </si>
  <si>
    <t xml:space="preserve"> (Потребляемая мощность) Охлаждение: N[2.1]</t>
  </si>
  <si>
    <t xml:space="preserve"> (Потребляемая мощность) Обогрев: S[1.945]</t>
  </si>
  <si>
    <t xml:space="preserve"> (Внутренний блок) Уровень шума мин. / макс.: S[35/37/38/41/43]</t>
  </si>
  <si>
    <t xml:space="preserve"> (Потребляемая мощность) Обогрев: S[2.305]</t>
  </si>
  <si>
    <t xml:space="preserve"> (Внутренний блок) Уровень шума мин. / макс.: S[37/41/45/49/51]</t>
  </si>
  <si>
    <t xml:space="preserve"> (Внутренний блок) Уровень шума мин. / макс.: S[27/35/40/43]</t>
  </si>
  <si>
    <t xml:space="preserve"> (Внутренний блок) Уровень шума мин. / макс.: S[27/35/38/41/43]</t>
  </si>
  <si>
    <t xml:space="preserve"> (Внутренний блок) Уровень шума мин. / макс.: S[30/38/41/44]</t>
  </si>
  <si>
    <t xml:space="preserve"> (Наружный блок) Масса (нетто / брутто): S[46/52]</t>
  </si>
  <si>
    <t xml:space="preserve"> (Внутренний блок) Уровень шума мин. / макс.: S[30/34/38/41/44]</t>
  </si>
  <si>
    <t xml:space="preserve"> (Сплит система) Теплопроизводительность: N[5.6]</t>
  </si>
  <si>
    <t xml:space="preserve"> (Потребляемая мощность) Охлаждение: N[1.7]</t>
  </si>
  <si>
    <t xml:space="preserve"> (Потребляемая мощность) Обогрев: S[1.55]</t>
  </si>
  <si>
    <t xml:space="preserve"> (Внутренний блок) Масса (нетто / брутто): S[32 / 37]</t>
  </si>
  <si>
    <t xml:space="preserve"> (Внутренний блок) Уровень шума мин. / макс.: S[32/35/38]</t>
  </si>
  <si>
    <t xml:space="preserve"> (Наружный блок) Масса (нетто / брутто): S[42/45]</t>
  </si>
  <si>
    <t xml:space="preserve"> (Допустимая темп. наружного воздуха) Охлаждение: S[от -15 до +49]</t>
  </si>
  <si>
    <t xml:space="preserve"> (Сплит система) Теплопроизводительность: N[7.88]</t>
  </si>
  <si>
    <t xml:space="preserve"> (Потребляемая мощность) Обогрев: S[2.18]</t>
  </si>
  <si>
    <t xml:space="preserve"> (Внутренний блок) Масса (нетто / брутто): S[33 / 38]</t>
  </si>
  <si>
    <t xml:space="preserve"> (Внутренний блок) Уровень шума мин. / макс.: S[42/44/46]</t>
  </si>
  <si>
    <t xml:space="preserve"> (Наружный блок) Масса (нетто / брутто): S[53/56]</t>
  </si>
  <si>
    <t xml:space="preserve"> (Сплит система) Холодопроизводительность: N[10.6]</t>
  </si>
  <si>
    <t xml:space="preserve"> (Сплит система) Площадь помещения: N[106]</t>
  </si>
  <si>
    <t xml:space="preserve"> (Сплит система) Теплопроизводительность: N[11.7]</t>
  </si>
  <si>
    <t xml:space="preserve"> (Потребляемая мощность) Охлаждение: N[3.73]</t>
  </si>
  <si>
    <t xml:space="preserve"> (Потребляемая мощность) Обогрев: S[3.5]</t>
  </si>
  <si>
    <t xml:space="preserve"> (Внутренний блок) Масса (нетто / брутто): S[35 / 39]</t>
  </si>
  <si>
    <t xml:space="preserve"> (Внутренний блок) Уровень шума мин. / макс.: S[41/47/50]</t>
  </si>
  <si>
    <t xml:space="preserve"> (Наружный блок) Масса (нетто / брутто): S[65/75]</t>
  </si>
  <si>
    <t xml:space="preserve"> (Сплит система) Теплопроизводительность: N[15.55]</t>
  </si>
  <si>
    <t xml:space="preserve"> (Потребляемая мощность) Охлаждение: N[4.85]</t>
  </si>
  <si>
    <t xml:space="preserve"> (Потребляемая мощность) Обогрев: S[4.8]</t>
  </si>
  <si>
    <t xml:space="preserve"> (Внутренний блок) Масса (нетто / брутто): S[45 / 51]</t>
  </si>
  <si>
    <t xml:space="preserve"> (Внутренний блок) Уровень шума мин. / макс.: S[44/46/50]</t>
  </si>
  <si>
    <t xml:space="preserve"> (Наружный блок) Масса (нетто / брутто): S[95/105]</t>
  </si>
  <si>
    <t xml:space="preserve"> (Соединительные трубы) Газовая линия : N[19.05]</t>
  </si>
  <si>
    <t xml:space="preserve"> (Сплит система) Холодопроизводительность: N[17.6]</t>
  </si>
  <si>
    <t xml:space="preserve"> (Сплит система) Площадь помещения: N[176]</t>
  </si>
  <si>
    <t xml:space="preserve"> (Сплит система) Теплопроизводительность: N[18.5]</t>
  </si>
  <si>
    <t xml:space="preserve"> (Потребляемая мощность) Охлаждение: N[6.77]</t>
  </si>
  <si>
    <t xml:space="preserve"> (Потребляемая мощность) Обогрев: S[5.78]</t>
  </si>
  <si>
    <t xml:space="preserve"> (Внутренний блок) Масса (нетто / брутто): S[50 / 56]</t>
  </si>
  <si>
    <t xml:space="preserve"> (Внутренний блок) Уровень шума мин. / макс.: S[45/47/50]</t>
  </si>
  <si>
    <t xml:space="preserve"> (Наружный блок) Масса (нетто / брутто): S[99/109]</t>
  </si>
  <si>
    <t xml:space="preserve"> (Сплит система) Холодопроизводительность: N[5.3]</t>
  </si>
  <si>
    <t xml:space="preserve"> (Сплит система) Теплопроизводительность: N[5.9]</t>
  </si>
  <si>
    <t xml:space="preserve"> (Потребляемая мощность) Охлаждение: N[1.761]</t>
  </si>
  <si>
    <t xml:space="preserve"> (Потребляемая мощность) Обогрев: S[1.513]</t>
  </si>
  <si>
    <t xml:space="preserve"> (Внутренний блок) Масса (нетто / брутто): S[23 / 28]</t>
  </si>
  <si>
    <t xml:space="preserve"> (Внутренний блок) Уровень шума мин. / макс.: S[32/35/43]</t>
  </si>
  <si>
    <t xml:space="preserve"> (Допустимая темп. наружного воздуха) Охлаждение: S[от 17 до +43]</t>
  </si>
  <si>
    <t xml:space="preserve"> (Сплит система) Холодопроизводительность: N[7.2]</t>
  </si>
  <si>
    <t xml:space="preserve"> (Сплит система) Площадь помещения: N[72]</t>
  </si>
  <si>
    <t xml:space="preserve"> (Сплит система) Теплопроизводительность: N[7.9]</t>
  </si>
  <si>
    <t xml:space="preserve"> (Потребляемая мощность) Охлаждение: N[2.351]</t>
  </si>
  <si>
    <t xml:space="preserve"> (Потребляемая мощность) Обогрев: S[2.388]</t>
  </si>
  <si>
    <t xml:space="preserve"> (Внутренний блок) Масса (нетто / брутто): S[28 / 32]</t>
  </si>
  <si>
    <t xml:space="preserve"> (Внутренний блок) Уровень шума мин. / макс.: S[41/43/46]</t>
  </si>
  <si>
    <t xml:space="preserve"> (Наружный блок) Масса (нетто / брутто): S[51/54]</t>
  </si>
  <si>
    <t xml:space="preserve"> (Сплит система) Холодопроизводительность: N[10.55]</t>
  </si>
  <si>
    <t xml:space="preserve"> (Сплит система) Теплопроизводительность: N[12]</t>
  </si>
  <si>
    <t xml:space="preserve"> (Потребляемая мощность) Охлаждение: N[3.584]</t>
  </si>
  <si>
    <t xml:space="preserve"> (Потребляемая мощность) Обогрев: S[3.468]</t>
  </si>
  <si>
    <t xml:space="preserve"> (Наружный блок) Масса (нетто / брутто): S[64/69]</t>
  </si>
  <si>
    <t xml:space="preserve"> (Сплит система) Теплопроизводительность: N[14.65]</t>
  </si>
  <si>
    <t xml:space="preserve"> (Потребляемая мощность) Охлаждение: N[4.56]</t>
  </si>
  <si>
    <t xml:space="preserve"> (Потребляемая мощность) Обогрев: S[4.446]</t>
  </si>
  <si>
    <t xml:space="preserve"> (Внутренний блок) Масса (нетто / брутто): S[45 / 52]</t>
  </si>
  <si>
    <t xml:space="preserve"> (Внутренний блок) Уровень шума мин. / макс.: S[42/44/47]</t>
  </si>
  <si>
    <t xml:space="preserve"> (Наружный блок) Масса (нетто / брутто): S[93/103]</t>
  </si>
  <si>
    <t xml:space="preserve"> (Сплит система) Холодопроизводительность: N[16.12]</t>
  </si>
  <si>
    <t xml:space="preserve"> (Сплит система) Площадь помещения: N[161]</t>
  </si>
  <si>
    <t xml:space="preserve"> (Сплит система) Теплопроизводительность: N[17.73]</t>
  </si>
  <si>
    <t xml:space="preserve"> (Потребляемая мощность) Охлаждение: N[5.694]</t>
  </si>
  <si>
    <t xml:space="preserve"> (Потребляемая мощность) Обогрев: S[4.845]</t>
  </si>
  <si>
    <t xml:space="preserve"> (Внутренний блок) Масса (нетто / брутто): S[46 / 53]</t>
  </si>
  <si>
    <t xml:space="preserve"> (Внутренний блок) Уровень шума мин. / макс.: S[43/45/47]</t>
  </si>
  <si>
    <t xml:space="preserve"> (Наружный блок) Масса (нетто / брутто): S[101/111]</t>
  </si>
  <si>
    <t xml:space="preserve"> (Потребляемая мощность) Охлаждение: N[1.73]</t>
  </si>
  <si>
    <t xml:space="preserve"> (Внутренний блок) Уровень шума мин. / макс.: S[28/31/35/39]</t>
  </si>
  <si>
    <t xml:space="preserve"> (Наружный блок) Масса (нетто / брутто): S[36/39]</t>
  </si>
  <si>
    <t xml:space="preserve"> (Сплит система) Теплопроизводительность: N[7.4]</t>
  </si>
  <si>
    <t xml:space="preserve"> (Потребляемая мощность) Охлаждение: N[2.15]</t>
  </si>
  <si>
    <t xml:space="preserve"> (Потребляемая мощность) Обогрев: S[1.88]</t>
  </si>
  <si>
    <t xml:space="preserve"> (Внутренний блок) Уровень шума мин. / макс.: S[38/40/43/46]</t>
  </si>
  <si>
    <t xml:space="preserve"> (Наружный блок) Масса (нетто / брутто): S[46/49]</t>
  </si>
  <si>
    <t xml:space="preserve"> (Потребляемая мощность) Охлаждение: N[3.5]</t>
  </si>
  <si>
    <t xml:space="preserve"> (Потребляемая мощность) Обогрев: S[3.43]</t>
  </si>
  <si>
    <t xml:space="preserve"> (Внутренний блок) Уровень шума мин. / макс.: S[37/40/45/48]</t>
  </si>
  <si>
    <t xml:space="preserve"> (Наружный блок) Масса (нетто / брутто): S[64/68]</t>
  </si>
  <si>
    <t xml:space="preserve"> (Сплит система) Теплопроизводительность: N[15.24]</t>
  </si>
  <si>
    <t xml:space="preserve"> (Потребляемая мощность) Охлаждение: N[4.68]</t>
  </si>
  <si>
    <t xml:space="preserve"> (Потребляемая мощность) Обогрев: S[4.42]</t>
  </si>
  <si>
    <t xml:space="preserve"> (Внутренний блок) Масса (нетто / брутто): S[42 / 48]</t>
  </si>
  <si>
    <t xml:space="preserve"> (Внутренний блок) Уровень шума мин. / макс.: S[41/44/47/50]</t>
  </si>
  <si>
    <t xml:space="preserve"> (Наружный блок) Масса (нетто / брутто): S[85/94]</t>
  </si>
  <si>
    <t xml:space="preserve"> (Сплит система) Теплопроизводительность: N[17.6]</t>
  </si>
  <si>
    <t xml:space="preserve"> (Потребляемая мощность) Охлаждение: N[5.55]</t>
  </si>
  <si>
    <t xml:space="preserve"> (Потребляемая мощность) Обогрев: S[5.01]</t>
  </si>
  <si>
    <t xml:space="preserve"> (Наружный блок) Масса (нетто / брутто): S[91/100]</t>
  </si>
  <si>
    <t xml:space="preserve"> (Сплит система) Теплопроизводительность: N[3.96]</t>
  </si>
  <si>
    <t xml:space="preserve"> (Потребляемая мощность) Охлаждение: N[1.16]</t>
  </si>
  <si>
    <t xml:space="preserve"> (Внутренний блок) Масса (нетто / брутто): S[2.2 / 3.7]</t>
  </si>
  <si>
    <t xml:space="preserve"> (Внутренний блок) Уровень шума мин. / макс.: S[39/41/46]</t>
  </si>
  <si>
    <t xml:space="preserve"> (Наружный блок) Масса (нетто / брутто): S[28/31.5]</t>
  </si>
  <si>
    <t xml:space="preserve"> (Потребляемая мощность) Обогрев: S[1.64]</t>
  </si>
  <si>
    <t xml:space="preserve"> (Внутренний блок) Уровень шума мин. / макс.: S[32/40/45]</t>
  </si>
  <si>
    <t xml:space="preserve"> (Внутренний блок) Уровень шума мин. / макс.: S[36/42/45]</t>
  </si>
  <si>
    <t xml:space="preserve"> (Потребляемая мощность) Охлаждение: N[3.77]</t>
  </si>
  <si>
    <t xml:space="preserve"> (Внутренний блок) Уровень шума мин. / макс.: S[39/45/48]</t>
  </si>
  <si>
    <t xml:space="preserve"> (Внутренний блок) Уровень шума мин. / макс.: S[47/51/53]</t>
  </si>
  <si>
    <t xml:space="preserve"> (Потребляемая мощность) Охлаждение: N[1.15]</t>
  </si>
  <si>
    <t xml:space="preserve"> (Наружный блок) Масса (нетто / брутто): S[30/33]</t>
  </si>
  <si>
    <t xml:space="preserve"> (Сплит система) Холодопроизводительность: N[5.18]</t>
  </si>
  <si>
    <t xml:space="preserve"> (Потребляемая мощность) Охлаждение: N[1.683]</t>
  </si>
  <si>
    <t xml:space="preserve"> (Потребляемая мощность) Обогрев: S[1.761]</t>
  </si>
  <si>
    <t xml:space="preserve"> (Потребляемая мощность) Охлаждение: N[2.432]</t>
  </si>
  <si>
    <t xml:space="preserve"> (Потребляемая мощность) Обогрев: S[2.192]</t>
  </si>
  <si>
    <t xml:space="preserve"> (Внутренний блок) Уровень шума мин. / макс.: S[37/41/43]</t>
  </si>
  <si>
    <t xml:space="preserve"> (Сплит система) Холодопроизводительность: N[10.5]</t>
  </si>
  <si>
    <t xml:space="preserve"> (Сплит система) Площадь помещения: N[105]</t>
  </si>
  <si>
    <t xml:space="preserve"> (Потребляемая мощность) Охлаждение: N[3.723]</t>
  </si>
  <si>
    <t xml:space="preserve"> (Потребляемая мощность) Обогрев: S[3.409]</t>
  </si>
  <si>
    <t xml:space="preserve"> (Внутренний блок) Уровень шума мин. / макс.: S[41/43/45]</t>
  </si>
  <si>
    <t xml:space="preserve"> (Потребляемая мощность) Охлаждение: N[4.636]</t>
  </si>
  <si>
    <t xml:space="preserve"> (Потребляемая мощность) Обогрев: S[5.079]</t>
  </si>
  <si>
    <t xml:space="preserve"> (Потребляемая мощность) Обогрев: S[5.7]</t>
  </si>
  <si>
    <t xml:space="preserve"> (Внутренний блок) Уровень шума мин. / макс.: S[43/44/47]</t>
  </si>
  <si>
    <t xml:space="preserve"> (Потребляемая мощность) Охлаждение: N[1.3]</t>
  </si>
  <si>
    <t xml:space="preserve"> (Потребляемая мощность) Обогрев: S[1.28]</t>
  </si>
  <si>
    <t xml:space="preserve"> (Внутренний блок) Уровень шума мин. / макс.: S[39/42/45]</t>
  </si>
  <si>
    <t xml:space="preserve"> (Наружный блок) Масса (нетто / брутто): S[28/32]</t>
  </si>
  <si>
    <t xml:space="preserve"> (Сплит система) Теплопроизводительность: N[7.2]</t>
  </si>
  <si>
    <t xml:space="preserve"> (Потребляемая мощность) Обогрев: S[1.83]</t>
  </si>
  <si>
    <t xml:space="preserve"> (Внутренний блок) Масса (нетто / брутто): S[5.3 / 7.8]</t>
  </si>
  <si>
    <t xml:space="preserve"> (Внутренний блок) Уровень шума мин. / макс.: S[39/42/46]</t>
  </si>
  <si>
    <t xml:space="preserve"> (Внутренний блок) Уровень шума мин. / макс.: S[43/47/52]</t>
  </si>
  <si>
    <t xml:space="preserve"> (Потребляемая мощность) Обогрев: S[4.6]</t>
  </si>
  <si>
    <t xml:space="preserve"> (Потребляемая мощность) Обогрев: S[5.57]</t>
  </si>
  <si>
    <t xml:space="preserve"> (Сплит система) Холодопроизводительность: N[5.4]</t>
  </si>
  <si>
    <t xml:space="preserve"> (Сплит система) Теплопроизводительность: N[5.8]</t>
  </si>
  <si>
    <t xml:space="preserve"> (Потребляемая мощность) Охлаждение: N[1.65]</t>
  </si>
  <si>
    <t xml:space="preserve"> (Внутренний блок) Масса (нетто / брутто): S[29 / 33]</t>
  </si>
  <si>
    <t xml:space="preserve"> (Сплит система) Теплопроизводительность: N[7.6]</t>
  </si>
  <si>
    <t xml:space="preserve"> (Потребляемая мощность) Охлаждение: N[2.24]</t>
  </si>
  <si>
    <t xml:space="preserve"> (Потребляемая мощность) Обогрев: S[2.1]</t>
  </si>
  <si>
    <t xml:space="preserve"> (Внутренний блок) Масса (нетто / брутто): S[36 / 42]</t>
  </si>
  <si>
    <t xml:space="preserve"> (Внутренний блок) Уровень шума мин. / макс.: S[42/46/50]</t>
  </si>
  <si>
    <t xml:space="preserve"> (Потребляемая мощность) Обогрев: S[3.45]</t>
  </si>
  <si>
    <t xml:space="preserve"> (Внутренний блок) Масса (нетто / брутто): S[44 / 50.5]</t>
  </si>
  <si>
    <t xml:space="preserve"> (Внутренний блок) Уровень шума мин. / макс.: S[43/47/51]</t>
  </si>
  <si>
    <t xml:space="preserve"> (Сплит система) Теплопроизводительность: N[17.58]</t>
  </si>
  <si>
    <t xml:space="preserve"> (Потребляемая мощность) Обогрев: S[5.1]</t>
  </si>
  <si>
    <t xml:space="preserve"> (Потребляемая мощность) Охлаждение: N[1.712]</t>
  </si>
  <si>
    <t xml:space="preserve"> (Потребляемая мощность) Обогрев: S[1.782]</t>
  </si>
  <si>
    <t xml:space="preserve"> (Внутренний блок) Масса (нетто / брутто): S[24 / 29]</t>
  </si>
  <si>
    <t xml:space="preserve"> (Внутренний блок) Уровень шума мин. / макс.: S[38/41/43]</t>
  </si>
  <si>
    <t xml:space="preserve"> (Допустимая темп. наружного воздуха) Обогрев: S[от 7 до +24]</t>
  </si>
  <si>
    <t xml:space="preserve"> (Потребляемая мощность) Охлаждение: N[2.23]</t>
  </si>
  <si>
    <t xml:space="preserve"> (Потребляемая мощность) Обогрев: S[2.254]</t>
  </si>
  <si>
    <t xml:space="preserve"> (Внутренний блок) Масса (нетто / брутто): S[24 / 30]</t>
  </si>
  <si>
    <t xml:space="preserve"> (Потребляемая мощность) Охлаждение: N[3.578]</t>
  </si>
  <si>
    <t xml:space="preserve"> (Внутренний блок) Масса (нетто / брутто): S[29 / 35]</t>
  </si>
  <si>
    <t xml:space="preserve"> (Потребляемая мощность) Охлаждение: N[4.551]</t>
  </si>
  <si>
    <t xml:space="preserve"> (Потребляемая мощность) Обогрев: S[4.058]</t>
  </si>
  <si>
    <t xml:space="preserve"> (Внутренний блок) Масса (нетто / брутто): S[38 / 46]</t>
  </si>
  <si>
    <t xml:space="preserve"> (Потребляемая мощность) Охлаждение: N[5.594]</t>
  </si>
  <si>
    <t xml:space="preserve"> (Потребляемая мощность) Обогрев: S[5.147]</t>
  </si>
  <si>
    <t xml:space="preserve"> (Внутренний блок) Масса (нетто / брутто): S[41 / 48]</t>
  </si>
  <si>
    <t xml:space="preserve"> (Потребляемая мощность) Обогрев: S[1.95]</t>
  </si>
  <si>
    <t xml:space="preserve"> (Внутренний блок) Уровень шума мин. / макс.: S[35/39/46]</t>
  </si>
  <si>
    <t xml:space="preserve"> (Потребляемая мощность) Обогрев: S[3.24]</t>
  </si>
  <si>
    <t xml:space="preserve"> (Внутренний блок) Уровень шума мин. / макс.: S[40/45/49]</t>
  </si>
  <si>
    <t xml:space="preserve"> (Внутренний блок) Уровень шума мин. / макс.: S[42/46/51]</t>
  </si>
  <si>
    <t xml:space="preserve"> (Сплит система) Теплопроизводительность: N[2.05]</t>
  </si>
  <si>
    <t xml:space="preserve"> (Внутренний блок) Уровень шума мин. / макс.: S[40/37/33/25/22]</t>
  </si>
  <si>
    <t xml:space="preserve"> (Сплит система) Теплопроизводительность: N[5.21]</t>
  </si>
  <si>
    <t xml:space="preserve"> (Потребляемая мощность) Охлаждение: N[0.052]</t>
  </si>
  <si>
    <t xml:space="preserve"> (Потребляемая мощность) Обогрев: S[0.052]</t>
  </si>
  <si>
    <t xml:space="preserve"> (Внутренний блок) Уровень шума мин. / макс.: S[43/41/38//35/27]</t>
  </si>
  <si>
    <t xml:space="preserve"> (Сплит система) Площадь помещения: N[62]</t>
  </si>
  <si>
    <t xml:space="preserve"> (Внутренний блок) Масса (нетто / брутто): S[14 / 17]</t>
  </si>
  <si>
    <t xml:space="preserve"> (Внутренний блок) Уровень шума мин. / макс.: S[21/22/28/33/36/39/43]</t>
  </si>
  <si>
    <t xml:space="preserve"> (Наружный блок) Масса (нетто / брутто): S[33.5/36.5]</t>
  </si>
  <si>
    <t xml:space="preserve"> (Допустимая темп. наружного воздуха) Обогрев: S[от -22 до +24]</t>
  </si>
  <si>
    <t xml:space="preserve"> (Внутренний блок) Масса (нетто / брутто): S[7.5 / 9]</t>
  </si>
  <si>
    <t xml:space="preserve"> (Внутренний блок) Уровень шума мин. / макс.: S[24/25/29/33/35/38/40]</t>
  </si>
  <si>
    <t xml:space="preserve"> (Наружный блок) Масса (нетто / брутто): S[20.8/22.8]</t>
  </si>
  <si>
    <t xml:space="preserve"> (Внутренний блок) Масса (нетто / брутто): S[7.7 / 9.2]</t>
  </si>
  <si>
    <t xml:space="preserve"> (Внутренний блок) Уровень шума мин. / макс.: S[25/33/38/40]</t>
  </si>
  <si>
    <t xml:space="preserve"> (Соединительные трубы) Жидкостная линия : N[6]</t>
  </si>
  <si>
    <t xml:space="preserve"> (Внутренний блок) Уровень шума мин. / макс.: S[25/32/36/38]</t>
  </si>
  <si>
    <t xml:space="preserve"> (Наружный блок) Масса (нетто / брутто): S[25/27.5]</t>
  </si>
  <si>
    <t xml:space="preserve"> (Внутренний блок) Масса (нетто / брутто): S[8 / 9.5]</t>
  </si>
  <si>
    <t xml:space="preserve"> (Внутренний блок) Масса (нетто / брутто): S[8.5 / 10]</t>
  </si>
  <si>
    <t xml:space="preserve"> (Внутренний блок) Уровень шума мин. / макс.: S[24/26/30/33/35/37/41]</t>
  </si>
  <si>
    <t xml:space="preserve"> (Внутренний блок) Уровень шума мин. / макс.: S[34/39/45/48]</t>
  </si>
  <si>
    <t xml:space="preserve"> (Внутренний блок) Уровень шума мин. / макс.: S[34/40/44/48]</t>
  </si>
  <si>
    <t xml:space="preserve"> (Наружный блок) Масса (нетто / брутто): S[46/50.5]</t>
  </si>
  <si>
    <t xml:space="preserve"> (Внутренний блок) Уровень шума мин. / макс.: S[26/30/32/37/42/45/48]</t>
  </si>
  <si>
    <t xml:space="preserve"> (Наружный блок) Масса (нетто / брутто): S[36.5/39.5]</t>
  </si>
  <si>
    <t xml:space="preserve"> (Соединительные трубы) Газовая линия : N[12]</t>
  </si>
  <si>
    <t xml:space="preserve"> (Сплит система) Холодопроизводительность: N[2.25]</t>
  </si>
  <si>
    <t xml:space="preserve"> (Сплит система) Теплопроизводительность: N[2.35]</t>
  </si>
  <si>
    <t xml:space="preserve"> (Потребляемая мощность) Охлаждение: N[0.7]</t>
  </si>
  <si>
    <t xml:space="preserve"> (Потребляемая мощность) Обогрев: S[0.651]</t>
  </si>
  <si>
    <t xml:space="preserve"> (Внутренний блок) Масса (нетто / брутто): S[7.5 / 8.7]</t>
  </si>
  <si>
    <t xml:space="preserve"> (Внутренний блок) Уровень шума мин. / макс.: S[24/27/28/34/35/37/39]</t>
  </si>
  <si>
    <t xml:space="preserve"> (Наружный блок) Масса (нетто / брутто): S[23.4/25.4]</t>
  </si>
  <si>
    <t xml:space="preserve"> (Сплит система) Теплопроизводительность: N[2.3]</t>
  </si>
  <si>
    <t xml:space="preserve"> (Потребляемая мощность) Обогрев: S[0.637]</t>
  </si>
  <si>
    <t xml:space="preserve"> (Внутренний блок) Уровень шума мин. / макс.: S[25/31/37/40]</t>
  </si>
  <si>
    <t xml:space="preserve"> (Наружный блок) Масса (нетто / брутто): S[22.3/24.3]</t>
  </si>
  <si>
    <t xml:space="preserve"> (Сплит система) Теплопроизводительность: N[2.65]</t>
  </si>
  <si>
    <t xml:space="preserve"> (Потребляемая мощность) Обогрев: S[0.734]</t>
  </si>
  <si>
    <t xml:space="preserve"> (Внутренний блок) Уровень шума мин. / макс.: S[24/27/29/34/36/37/40]</t>
  </si>
  <si>
    <t xml:space="preserve"> (Внутренний блок) Масса (нетто / брутто): S[7.6 / 8.8]</t>
  </si>
  <si>
    <t xml:space="preserve"> (Наружный блок) Масса (нетто / брутто): S[24.7/26.7]</t>
  </si>
  <si>
    <t xml:space="preserve"> (Сплит система) Холодопроизводительность: N[3.25]</t>
  </si>
  <si>
    <t xml:space="preserve"> (Сплит система) Теплопроизводительность: N[3.4]</t>
  </si>
  <si>
    <t xml:space="preserve"> (Потребляемая мощность) Охлаждение: N[0.985]</t>
  </si>
  <si>
    <t xml:space="preserve"> (Потребляемая мощность) Обогрев: S[0.941]</t>
  </si>
  <si>
    <t xml:space="preserve"> (Внутренний блок) Масса (нетто / брутто): S[8.2 / 9.7]</t>
  </si>
  <si>
    <t xml:space="preserve"> (Внутренний блок) Уровень шума мин. / макс.: S[28/30/33/34/36/37/41]</t>
  </si>
  <si>
    <t xml:space="preserve"> (Наружный блок) Масса (нетто / брутто): S[29.2/31.7]</t>
  </si>
  <si>
    <t xml:space="preserve"> (Потребляемая мощность) Охлаждение: N[1.009]</t>
  </si>
  <si>
    <t xml:space="preserve"> (Потребляемая мощность) Обогрев: S[0.942]</t>
  </si>
  <si>
    <t xml:space="preserve"> (Внутренний блок) Уровень шума мин. / макс.: S[30/34/37/40]</t>
  </si>
  <si>
    <t xml:space="preserve"> (Наружный блок) Масса (нетто / брутто): S[28/30.5]</t>
  </si>
  <si>
    <t xml:space="preserve"> (Сплит система) Холодопроизводительность: N[4.8]</t>
  </si>
  <si>
    <t xml:space="preserve"> (Сплит система) Площадь помещения: N[48]</t>
  </si>
  <si>
    <t xml:space="preserve"> (Сплит система) Теплопроизводительность: N[5.3]</t>
  </si>
  <si>
    <t xml:space="preserve"> (Потребляемая мощность) Охлаждение: N[1.476]</t>
  </si>
  <si>
    <t xml:space="preserve"> (Потребляемая мощность) Обогрев: S[1.468]</t>
  </si>
  <si>
    <t xml:space="preserve"> (Внутренний блок) Масса (нетто / брутто): S[10.3 / 11.9]</t>
  </si>
  <si>
    <t xml:space="preserve"> (Внутренний блок) Уровень шума мин. / макс.: S[32/34/35/36/38/39/40]</t>
  </si>
  <si>
    <t xml:space="preserve"> (Наружный блок) Масса (нетто / брутто): S[38/40.5]</t>
  </si>
  <si>
    <t xml:space="preserve"> (Сплит система) Теплопроизводительность: N[5.16]</t>
  </si>
  <si>
    <t xml:space="preserve"> (Потребляемая мощность) Охлаждение: N[1.477]</t>
  </si>
  <si>
    <t xml:space="preserve"> (Потребляемая мощность) Обогрев: S[1.428]</t>
  </si>
  <si>
    <t xml:space="preserve"> (Внутренний блок) Уровень шума мин. / макс.: S[34/36/40/41]</t>
  </si>
  <si>
    <t xml:space="preserve"> (Наружный блок) Масса (нетто / брутто): S[38.5/41]</t>
  </si>
  <si>
    <t xml:space="preserve"> (Сплит система) Холодопроизводительность: N[6.2]</t>
  </si>
  <si>
    <t xml:space="preserve"> (Сплит система) Теплопроизводительность: N[6.7]</t>
  </si>
  <si>
    <t xml:space="preserve"> (Потребляемая мощность) Охлаждение: N[1.907]</t>
  </si>
  <si>
    <t xml:space="preserve"> (Потребляемая мощность) Обогрев: S[1.856]</t>
  </si>
  <si>
    <t xml:space="preserve"> (Внутренний блок) Масса (нетто / брутто): S[13.7 / 16]</t>
  </si>
  <si>
    <t xml:space="preserve"> (Внутренний блок) Уровень шума мин. / макс.: S[32/33/35/37/40/42/44]</t>
  </si>
  <si>
    <t xml:space="preserve"> (Наружный блок) Масса (нетто / брутто): S[46.5/49.5]</t>
  </si>
  <si>
    <t xml:space="preserve"> (Допустимая темп. наружного воздуха) Охлаждение: S[от 18 до +48]</t>
  </si>
  <si>
    <t xml:space="preserve"> (Сплит система) Холодопроизводительность: N[6.155]</t>
  </si>
  <si>
    <t xml:space="preserve"> (Потребляемая мощность) Охлаждение: N[1.917]</t>
  </si>
  <si>
    <t xml:space="preserve"> (Внутренний блок) Уровень шума мин. / макс.: S[35/38/42/44]</t>
  </si>
  <si>
    <t xml:space="preserve"> (Сплит система) Холодопроизводительность: N[8.5]</t>
  </si>
  <si>
    <t xml:space="preserve"> (Сплит система) Теплопроизводительность: N[9.2]</t>
  </si>
  <si>
    <t xml:space="preserve"> (Потребляемая мощность) Охлаждение: N[2.647]</t>
  </si>
  <si>
    <t xml:space="preserve"> (Потребляемая мощность) Обогрев: S[2.548]</t>
  </si>
  <si>
    <t xml:space="preserve"> (Внутренний блок) Масса (нетто / брутто): S[17 / 20]</t>
  </si>
  <si>
    <t xml:space="preserve"> (Внутренний блок) Уровень шума мин. / макс.: S[39/40/41/42/46/47/49]</t>
  </si>
  <si>
    <t xml:space="preserve"> (Наружный блок) Масса (нетто / брутто): S[61/65.5]</t>
  </si>
  <si>
    <t xml:space="preserve"> (Соединительные трубы) Газовая линия : N[15.8]</t>
  </si>
  <si>
    <t xml:space="preserve"> (Сплит система) Теплопроизводительность: N[8.9]</t>
  </si>
  <si>
    <t xml:space="preserve"> (Потребляемая мощность) Охлаждение: N[2.615]</t>
  </si>
  <si>
    <t xml:space="preserve"> (Потребляемая мощность) Обогрев: S[2.465]</t>
  </si>
  <si>
    <t xml:space="preserve"> (Наружный блок) Масса (нетто / брутто): S[57/61.5]</t>
  </si>
  <si>
    <t xml:space="preserve"> (Сплит система) Холодопроизводительность: N[9.5]</t>
  </si>
  <si>
    <t xml:space="preserve"> (Сплит система) Теплопроизводительность: N[9.8]</t>
  </si>
  <si>
    <t xml:space="preserve"> (Потребляемая мощность) Охлаждение: N[2.96]</t>
  </si>
  <si>
    <t xml:space="preserve"> (Потребляемая мощность) Обогрев: S[3.05]</t>
  </si>
  <si>
    <t xml:space="preserve"> (Внутренний блок) Масса (нетто / брутто): S[16.5 / 20]</t>
  </si>
  <si>
    <t xml:space="preserve"> (Внутренний блок) Уровень шума мин. / макс.: S[41/42/47/48]</t>
  </si>
  <si>
    <t xml:space="preserve"> (Наружный блок) Масса (нетто / брутто): S[67/72]</t>
  </si>
  <si>
    <t xml:space="preserve"> (Внутренний блок) Масса (нетто / брутто): S[17 / 21.5]</t>
  </si>
  <si>
    <t xml:space="preserve"> (Внутренний блок) Уровень шума мин. / макс.: S[19/22/29/33/35/38/42]</t>
  </si>
  <si>
    <t xml:space="preserve"> (Наружный блок) Масса (нетто / брутто): S[37.5/40.5]</t>
  </si>
  <si>
    <t xml:space="preserve"> (Допустимая темп. наружного воздуха) Охлаждение: S[от -15 до +52]</t>
  </si>
  <si>
    <t xml:space="preserve"> (Допустимая темп. наружного воздуха) Обогрев: S[от -25 до +24]</t>
  </si>
  <si>
    <t xml:space="preserve"> (Внутренний блок) Уровень шума мин. / макс.: S[22/23/29/34/37/39/44]</t>
  </si>
  <si>
    <t xml:space="preserve"> (Внутренний блок) Масса (нетто / брутто): S[26 / 31]</t>
  </si>
  <si>
    <t xml:space="preserve"> (Внутренний блок) Уровень шума мин. / макс.: S[35/37/39/40]</t>
  </si>
  <si>
    <t xml:space="preserve"> (Наружный блок) Масса (нетто / брутто): S[41/44]</t>
  </si>
  <si>
    <t xml:space="preserve"> (Допустимая темп. наружного воздуха) Охлаждение: S[от -15 до +48]</t>
  </si>
  <si>
    <t xml:space="preserve"> (Внутренний блок) Уровень шума мин. / макс.: S[38/40/42/43]</t>
  </si>
  <si>
    <t xml:space="preserve"> (Наружный блок) Масса (нетто / брутто): S[53/57]</t>
  </si>
  <si>
    <t xml:space="preserve"> (Соединительные трубы) Газовая линия : N[15.87]</t>
  </si>
  <si>
    <t xml:space="preserve"> (Внутренний блок) Масса (нетто / брутто): S[41 / 47]</t>
  </si>
  <si>
    <t xml:space="preserve"> (Внутренний блок) Уровень шума мин. / макс.: S[37/39/41/43]</t>
  </si>
  <si>
    <t xml:space="preserve"> (Наружный блок) Масса (нетто / брутто): S[61/66]</t>
  </si>
  <si>
    <t xml:space="preserve"> (Внутренний блок) Уровень шума мин. / макс.: S[37/39/40/42]</t>
  </si>
  <si>
    <t xml:space="preserve"> (Наружный блок) Масса (нетто / брутто): S[96/108]</t>
  </si>
  <si>
    <t xml:space="preserve"> (Внутренний блок) Масса (нетто / брутто): S[57 / 64]</t>
  </si>
  <si>
    <t xml:space="preserve"> (Внутренний блок) Уровень шума мин. / макс.: S[42/44/45/50]</t>
  </si>
  <si>
    <t xml:space="preserve"> (Наружный блок) Масса (нетто / брутто): S[100/112]</t>
  </si>
  <si>
    <t xml:space="preserve"> (Сплит система) Холодопроизводительность: N[20]</t>
  </si>
  <si>
    <t xml:space="preserve"> (Сплит система) Площадь помещения: N[200]</t>
  </si>
  <si>
    <t xml:space="preserve"> (Сплит система) Теплопроизводительность: N[22]</t>
  </si>
  <si>
    <t xml:space="preserve"> (Потребляемая мощность) Охлаждение: N[7.8]</t>
  </si>
  <si>
    <t xml:space="preserve"> (Потребляемая мощность) Обогрев: S[7]</t>
  </si>
  <si>
    <t xml:space="preserve"> (Внутренний блок) Масса (нетто / брутто): S[82 / 104]</t>
  </si>
  <si>
    <t xml:space="preserve"> (Внутренний блок) Уровень шума мин. / макс.: S[50/51/52]</t>
  </si>
  <si>
    <t xml:space="preserve"> (Наружный блок) Марка компрессора: S[Mitsubishi]</t>
  </si>
  <si>
    <t xml:space="preserve"> (Наружный блок) Масса (нетто / брутто): S[120/130]</t>
  </si>
  <si>
    <t xml:space="preserve"> (Допустимая темп. наружного воздуха) Охлаждение: S[от -7 до +48]</t>
  </si>
  <si>
    <t xml:space="preserve"> (Сплит система) Холодопроизводительность: N[25]</t>
  </si>
  <si>
    <t xml:space="preserve"> (Сплит система) Площадь помещения: N[250]</t>
  </si>
  <si>
    <t xml:space="preserve"> (Сплит система) Теплопроизводительность: N[27.5]</t>
  </si>
  <si>
    <t xml:space="preserve"> (Потребляемая мощность) Охлаждение: N[9.4]</t>
  </si>
  <si>
    <t xml:space="preserve"> (Потребляемая мощность) Обогрев: S[8.9]</t>
  </si>
  <si>
    <t xml:space="preserve"> (Внутренний блок) Масса (нетто / брутто): S[99 / 134]</t>
  </si>
  <si>
    <t xml:space="preserve"> (Внутренний блок) Уровень шума мин. / макс.: S[51/52/53]</t>
  </si>
  <si>
    <t xml:space="preserve"> (Наружный блок) Масса (нетто / брутто): S[146/162]</t>
  </si>
  <si>
    <t xml:space="preserve"> (Соединительные трубы) Газовая линия : N[22]</t>
  </si>
  <si>
    <t xml:space="preserve"> (Сплит система) Холодопроизводительность: N[30]</t>
  </si>
  <si>
    <t xml:space="preserve"> (Сплит система) Площадь помещения: N[300]</t>
  </si>
  <si>
    <t xml:space="preserve"> (Сплит система) Теплопроизводительность: N[33]</t>
  </si>
  <si>
    <t xml:space="preserve"> (Потребляемая мощность) Охлаждение: N[11.3]</t>
  </si>
  <si>
    <t xml:space="preserve"> (Внутренний блок) Масса (нетто / брутто): S[105 / 145]</t>
  </si>
  <si>
    <t xml:space="preserve"> (Внутренний блок) Уровень шума мин. / макс.: S[53/54/55]</t>
  </si>
  <si>
    <t xml:space="preserve"> (Наружный блок) Марка компрессора: S[HITACHI]</t>
  </si>
  <si>
    <t xml:space="preserve"> (Наружный блок) Масса (нетто / брутто): S[175/190]</t>
  </si>
  <si>
    <t xml:space="preserve"> (Сплит система) Холодопроизводительность: N[40]</t>
  </si>
  <si>
    <t xml:space="preserve"> (Сплит система) Площадь помещения: N[400]</t>
  </si>
  <si>
    <t xml:space="preserve"> (Сплит система) Теплопроизводительность: N[43]</t>
  </si>
  <si>
    <t xml:space="preserve"> (Потребляемая мощность) Охлаждение: N[15.4]</t>
  </si>
  <si>
    <t xml:space="preserve"> (Потребляемая мощность) Обогрев: S[13.9]</t>
  </si>
  <si>
    <t xml:space="preserve"> (Внутренний блок) Масса (нетто / брутто): S[165 / 210]</t>
  </si>
  <si>
    <t xml:space="preserve"> (Внутренний блок) Уровень шума мин. / макс.: S[54/55/56]</t>
  </si>
  <si>
    <t xml:space="preserve"> (Внутренний блок) Уровень шума мин. / макс.: S[31/35/37/41]</t>
  </si>
  <si>
    <t xml:space="preserve"> (Внутренний блок) Уровень шума мин. / макс.: S[31/35/39/44]</t>
  </si>
  <si>
    <t xml:space="preserve"> (Внутренний блок) Масса (нетто / брутто): S[23 / 30]</t>
  </si>
  <si>
    <t xml:space="preserve"> (Внутренний блок) Уровень шума мин. / макс.: S[39/41/45/47]</t>
  </si>
  <si>
    <t xml:space="preserve"> (Внутренний блок) Масса (нетто / брутто): S[31 / 38]</t>
  </si>
  <si>
    <t xml:space="preserve"> (Внутренний блок) Уровень шума мин. / макс.: S[42/46/48/50]</t>
  </si>
  <si>
    <t xml:space="preserve"> (Рабочий ток) Напряжение / Частота источника питания: S[1 / 380 / 50]</t>
  </si>
  <si>
    <t xml:space="preserve"> (Внутренний блок) Масса (нетто / брутто): S[33 / 41]</t>
  </si>
  <si>
    <t xml:space="preserve"> (Внутренний блок) Уровень шума мин. / макс.: S[42/46/49/51]</t>
  </si>
  <si>
    <t xml:space="preserve"> (Внутренний блок) Уровень шума мин. / макс.: S[48/50/52/54]</t>
  </si>
  <si>
    <t xml:space="preserve"> (Внутренний блок) Уровень шума мин. / макс.: S[36/39/42/44]</t>
  </si>
  <si>
    <t xml:space="preserve"> (Внутренний блок) Уровень шума мин. / макс.: S[43/45/48/49]</t>
  </si>
  <si>
    <t xml:space="preserve"> (Внутренний блок) Масса (нетто / брутто): S[32 / 38]</t>
  </si>
  <si>
    <t xml:space="preserve"> (Внутренний блок) Уровень шума мин. / макс.: S[43/45/47/49]</t>
  </si>
  <si>
    <t xml:space="preserve"> (Внутренний блок) Масса (нетто / брутто): S[40 / 47]</t>
  </si>
  <si>
    <t xml:space="preserve"> (Внутренний блок) Уровень шума мин. / макс.: S[44/48/50/52]</t>
  </si>
  <si>
    <t xml:space="preserve"> (Внутренний блок) Масса (нетто / брутто): S[42 / 49]</t>
  </si>
  <si>
    <t xml:space="preserve"> (Внутренний блок) Уровень шума мин. / макс.: S[45/49/53/54]</t>
  </si>
  <si>
    <t xml:space="preserve"> (Сплит система) Холодопроизводительность: N[12]</t>
  </si>
  <si>
    <t xml:space="preserve"> (Сплит система) Теплопроизводительность: N[14.8]</t>
  </si>
  <si>
    <t xml:space="preserve"> (Потребляемая мощность) Охлаждение: N[4.2]</t>
  </si>
  <si>
    <t xml:space="preserve"> (Потребляемая мощность) Обогрев: S[4.2]</t>
  </si>
  <si>
    <t xml:space="preserve"> (Потребляемая мощность) Обогрев: S[2.3]</t>
  </si>
  <si>
    <t xml:space="preserve"> (Внутренний блок) Уровень шума мин. / макс.: S[43/38/34/32]</t>
  </si>
  <si>
    <t xml:space="preserve"> (Сплит система) Холодопроизводительность: N[10.1]</t>
  </si>
  <si>
    <t xml:space="preserve"> (Сплит система) Площадь помещения: N[101]</t>
  </si>
  <si>
    <t xml:space="preserve"> (Потребляемая мощность) Охлаждение: N[3.2]</t>
  </si>
  <si>
    <t xml:space="preserve"> (Потребляемая мощность) Обогрев: S[3.2]</t>
  </si>
  <si>
    <t xml:space="preserve"> (Допустимая темп. наружного воздуха) Обогрев: S[от 15 до +24]</t>
  </si>
  <si>
    <t xml:space="preserve"> (Сплит система) Теплопроизводительность: N[13.5]</t>
  </si>
  <si>
    <t xml:space="preserve"> (Потребляемая мощность) Охлаждение: N[4.4]</t>
  </si>
  <si>
    <t xml:space="preserve"> (Потребляемая мощность) Обогрев: S[4.05]</t>
  </si>
  <si>
    <t xml:space="preserve"> (Внутренний блок) Масса (нетто / брутто): S[47 / 53]</t>
  </si>
  <si>
    <t xml:space="preserve"> (Внутренний блок) Уровень шума мин. / макс.: S[51/48/46/44]</t>
  </si>
  <si>
    <t xml:space="preserve"> (Сплит система) Теплопроизводительность: N[15]</t>
  </si>
  <si>
    <t xml:space="preserve"> (Потребляемая мощность) Охлаждение: N[5]</t>
  </si>
  <si>
    <t xml:space="preserve"> (Потребляемая мощность) Обогрев: S[4.7]</t>
  </si>
  <si>
    <t xml:space="preserve"> (Внутренний блок) Масса (нетто / брутто): S[53 / 59.83]</t>
  </si>
  <si>
    <t xml:space="preserve"> (Сплит система) Холодопроизводительность: N[16]</t>
  </si>
  <si>
    <t xml:space="preserve"> (Сплит система) Теплопроизводительность: N[19]</t>
  </si>
  <si>
    <t xml:space="preserve"> (Потребляемая мощность) Охлаждение: N[4.3]</t>
  </si>
  <si>
    <t xml:space="preserve"> (Потребляемая мощность) Обогрев: S[5.4]</t>
  </si>
  <si>
    <t xml:space="preserve"> (Внутренний блок) Масса (нетто / брутто): S[55 / 62]</t>
  </si>
  <si>
    <t xml:space="preserve"> (Внутренний блок) Уровень шума мин. / макс.: S[37/40/45/47]</t>
  </si>
  <si>
    <t xml:space="preserve"> (Сплит система) Холодопроизводительность: N[8.3]</t>
  </si>
  <si>
    <t xml:space="preserve"> (Сплит система) Площадь помещения: N[83]</t>
  </si>
  <si>
    <t xml:space="preserve"> (Сплит система) Теплопроизводительность: N[8.8]</t>
  </si>
  <si>
    <t xml:space="preserve"> (Потребляемая мощность) Охлаждение: N[2.8]</t>
  </si>
  <si>
    <t xml:space="preserve"> (Потребляемая мощность) Обогрев: S[2.7]</t>
  </si>
  <si>
    <t xml:space="preserve"> (Внутренний блок) Масса (нетто / брутто): S[35 / 40]</t>
  </si>
  <si>
    <t xml:space="preserve"> (Внутренний блок) Уровень шума мин. / макс.: S[48/46/45/44]</t>
  </si>
  <si>
    <t xml:space="preserve"> (Наружный блок) Масса (нетто / брутто): S[69/74]</t>
  </si>
  <si>
    <t xml:space="preserve"> (Сплит система) Холодопроизводительность: N[11.98]</t>
  </si>
  <si>
    <t xml:space="preserve"> (Наружный блок) Масса (нетто / брутто): S[97/108]</t>
  </si>
  <si>
    <t xml:space="preserve"> (Сплит система) Теплопроизводительность: N[5.4]</t>
  </si>
  <si>
    <t xml:space="preserve"> (Потребляемая мощность) Охлаждение: N[2]</t>
  </si>
  <si>
    <t xml:space="preserve"> (Потребляемая мощность) Обогрев: S[1.9]</t>
  </si>
  <si>
    <t xml:space="preserve"> (Внутренний блок) Масса (нетто / брутто): S[3.5 / 5]</t>
  </si>
  <si>
    <t xml:space="preserve"> (Внутренний блок) Уровень шума мин. / макс.: S[50/49/47/46]</t>
  </si>
  <si>
    <t xml:space="preserve"> (Наружный блок) Масса (нетто / брутто): S[53/58]</t>
  </si>
  <si>
    <t xml:space="preserve"> (Потребляемая мощность) Охлаждение: N[1.55]</t>
  </si>
  <si>
    <t xml:space="preserve"> (Потребляемая мощность) Обогрев: S[1.35]</t>
  </si>
  <si>
    <t xml:space="preserve"> (Внутренний блок) Масса (нетто / брутто): S[3 / 4.5]</t>
  </si>
  <si>
    <t xml:space="preserve"> (Внутренний блок) Уровень шума мин. / макс.: S[35/38/43/44]</t>
  </si>
  <si>
    <t xml:space="preserve"> (Наружный блок) Масса (нетто / брутто): S[39/41.5]</t>
  </si>
  <si>
    <t xml:space="preserve"> (Внутренний блок) Масса (нетто / брутто): S[7 / 11]</t>
  </si>
  <si>
    <t xml:space="preserve"> (Внутренний блок) Уровень шума мин. / макс.: S[49/48/47/46]</t>
  </si>
  <si>
    <t xml:space="preserve"> (Сплит система) Холодопроизводительность: N[7.1]</t>
  </si>
  <si>
    <t xml:space="preserve"> (Потребляемая мощность) Обогрев: S[2.05]</t>
  </si>
  <si>
    <t xml:space="preserve"> (Внутренний блок) Масса (нетто / брутто): S[6 / 9.5]</t>
  </si>
  <si>
    <t xml:space="preserve"> (Внутренний блок) Уровень шума мин. / макс.: S[39/42/45/46]</t>
  </si>
  <si>
    <t xml:space="preserve"> (Наружный блок) Масса (нетто / брутто): S[59/63]</t>
  </si>
  <si>
    <t xml:space="preserve"> (Сплит система) Теплопроизводительность: N[9]</t>
  </si>
  <si>
    <t xml:space="preserve"> (Потребляемая мощность) Обогрев: S[2.6]</t>
  </si>
  <si>
    <t xml:space="preserve"> (Внутренний блок) Уровень шума мин. / макс.: S[51/50/49/48]</t>
  </si>
  <si>
    <t xml:space="preserve"> (Внутренний блок) Уровень шума мин. / макс.: S[45/48/50/52]</t>
  </si>
  <si>
    <t xml:space="preserve"> (Сплит система) Теплопроизводительность: N[11.5]</t>
  </si>
  <si>
    <t xml:space="preserve"> (Потребляемая мощность) Обогрев: S[3.3]</t>
  </si>
  <si>
    <t xml:space="preserve"> (Внутренний блок) Уровень шума мин. / макс.: S[52/47/46/43]</t>
  </si>
  <si>
    <t xml:space="preserve"> (Сплит система) Холодопроизводительность: N[10.01]</t>
  </si>
  <si>
    <t xml:space="preserve"> (Потребляемая мощность) Охлаждение: N[3.25]</t>
  </si>
  <si>
    <t xml:space="preserve"> (Наружный блок) Масса (нетто / брутто): S[70/75]</t>
  </si>
  <si>
    <t xml:space="preserve"> (Потребляемая мощность) Обогрев: S[4]</t>
  </si>
  <si>
    <t xml:space="preserve"> (Потребляемая мощность) Охлаждение: N[4.8]</t>
  </si>
  <si>
    <t xml:space="preserve"> (Потребляемая мощность) Обогрев: S[4.9]</t>
  </si>
  <si>
    <t xml:space="preserve"> (Наружный блок) Масса (нетто / брутто): S[103/115]</t>
  </si>
  <si>
    <t xml:space="preserve"> (Сплит система) Холодопроизводительность: N[14.1]</t>
  </si>
  <si>
    <t xml:space="preserve"> (Сплит система) Теплопроизводительность: N[15.1]</t>
  </si>
  <si>
    <t xml:space="preserve"> (Потребляемая мощность) Охлаждение: N[4.5]</t>
  </si>
  <si>
    <t xml:space="preserve"> (Потребляемая мощность) Обогрев: S[4.3]</t>
  </si>
  <si>
    <t xml:space="preserve"> (Внутренний блок) Уровень шума мин. / макс.: S[45/47/51/54]</t>
  </si>
  <si>
    <t xml:space="preserve"> (Сплит система) Холодопроизводительность: N[15]</t>
  </si>
  <si>
    <t xml:space="preserve"> (Сплит система) Теплопроизводительность: N[16.8]</t>
  </si>
  <si>
    <t xml:space="preserve"> (Потребляемая мощность) Обогрев: S[5.2]</t>
  </si>
  <si>
    <t xml:space="preserve"> (Наружный блок) Масса (нетто / брутто): S[118/129]</t>
  </si>
  <si>
    <t xml:space="preserve"> (Сплит система) Теплопроизводительность: N[17.4]</t>
  </si>
  <si>
    <t xml:space="preserve"> (Потребляемая мощность) Обогрев: S[5.6]</t>
  </si>
  <si>
    <t xml:space="preserve"> (Внутренний блок) Уровень шума мин. / макс.: S[45/47/51/55]</t>
  </si>
  <si>
    <t xml:space="preserve"> (Наружный блок) Масса (нетто / брутто): S[103/114]</t>
  </si>
  <si>
    <t xml:space="preserve"> (Сплит система) Холодопроизводительность: N[7.06]</t>
  </si>
  <si>
    <t xml:space="preserve"> (Сплит система) Теплопроизводительность: N[7.8]</t>
  </si>
  <si>
    <t xml:space="preserve"> (Потребляемая мощность) Охлаждение: N[2.43]</t>
  </si>
  <si>
    <t xml:space="preserve"> (Потребляемая мощность) Обогрев: S[2.35]</t>
  </si>
  <si>
    <t xml:space="preserve"> (Внутренний блок) Масса (нетто / брутто): S[40 / 52]</t>
  </si>
  <si>
    <t xml:space="preserve"> (Внутренний блок) Уровень шума мин. / макс.: S[38/41/44/46]</t>
  </si>
  <si>
    <t xml:space="preserve"> (Наружный блок) Масса (нетто / брутто): S[60/64.5]</t>
  </si>
  <si>
    <t xml:space="preserve"> (Сплит система) Теплопроизводительность: N[15.5]</t>
  </si>
  <si>
    <t xml:space="preserve"> (Потребляемая мощность) Обогрев: S[4.83]</t>
  </si>
  <si>
    <t xml:space="preserve"> (Внутренний блок) Масса (нетто / брутто): S[61 / 83.5]</t>
  </si>
  <si>
    <t xml:space="preserve"> (Наружный блок) Масса (нетто / брутто): S[107/118]</t>
  </si>
  <si>
    <t xml:space="preserve"> (Сплит система) Холодопроизводительность: N[15.2]</t>
  </si>
  <si>
    <t xml:space="preserve"> (Сплит система) Площадь помещения: N[152]</t>
  </si>
  <si>
    <t xml:space="preserve"> (Сплит система) Теплопроизводительность: N[17]</t>
  </si>
  <si>
    <t xml:space="preserve"> (Потребляемая мощность) Охлаждение: N[5.41]</t>
  </si>
  <si>
    <t xml:space="preserve"> (Потребляемая мощность) Обогрев: S[5.29]</t>
  </si>
  <si>
    <t xml:space="preserve"> (Внутренний блок) Уровень шума мин. / макс.: S[44/47/50/52]</t>
  </si>
  <si>
    <t xml:space="preserve"> (Сплит система) Теплопроизводительность: N[5.7]</t>
  </si>
  <si>
    <t xml:space="preserve"> (Внутренний блок) Уровень шума мин. / макс.: S[33-37]</t>
  </si>
  <si>
    <t xml:space="preserve"> (Сплит система) Теплопроизводительность: N[5.2]</t>
  </si>
  <si>
    <t xml:space="preserve"> (Потребляемая мощность) Обогрев: S[1.45]</t>
  </si>
  <si>
    <t xml:space="preserve"> (Внутренний блок) Масса (нетто / брутто): S[25 / 30]</t>
  </si>
  <si>
    <t xml:space="preserve"> (Внутренний блок) Уровень шума мин. / макс.: S[33/37/40/41]</t>
  </si>
  <si>
    <t xml:space="preserve"> (Сплит система) Теплопроизводительность: N[8.2]</t>
  </si>
  <si>
    <t xml:space="preserve"> (Внутренний блок) Масса (нетто / брутто): S[32 / 39]</t>
  </si>
  <si>
    <t xml:space="preserve"> (Внутренний блок) Уровень шума мин. / макс.: S[40-46]</t>
  </si>
  <si>
    <t xml:space="preserve"> (Сплит система) Холодопроизводительность: N[7.3]</t>
  </si>
  <si>
    <t xml:space="preserve"> (Сплит система) Теплопроизводительность: N[7.7]</t>
  </si>
  <si>
    <t xml:space="preserve"> (Потребляемая мощность) Охлаждение: N[2.25]</t>
  </si>
  <si>
    <t xml:space="preserve"> (Внутренний блок) Масса (нетто / брутто): S[33 / 39]</t>
  </si>
  <si>
    <t xml:space="preserve"> (Внутренний блок) Уровень шума мин. / макс.: S[41/44/46/47]</t>
  </si>
  <si>
    <t xml:space="preserve"> (Сплит система) Теплопроизводительность: N[11.8]</t>
  </si>
  <si>
    <t xml:space="preserve"> (Потребляемая мощность) Охлаждение: N[3.6]</t>
  </si>
  <si>
    <t xml:space="preserve"> (Потребляемая мощность) Обогрев: S[3.6]</t>
  </si>
  <si>
    <t xml:space="preserve"> (Внутренний блок) Уровень шума мин. / макс.: S[49-51]</t>
  </si>
  <si>
    <t xml:space="preserve"> (Потребляемая мощность) Обогрев: S[3.4]</t>
  </si>
  <si>
    <t xml:space="preserve"> (Внутренний блок) Уровень шума мин. / макс.: S[48/49/50/51]</t>
  </si>
  <si>
    <t xml:space="preserve"> (Сплит система) Теплопроизводительность: N[13.2]</t>
  </si>
  <si>
    <t xml:space="preserve"> (Потребляемая мощность) Обогрев: S[4.1]</t>
  </si>
  <si>
    <t xml:space="preserve"> (Сплит система) Холодопроизводительность: N[14.2]</t>
  </si>
  <si>
    <t xml:space="preserve"> (Сплит система) Площадь помещения: N[142]</t>
  </si>
  <si>
    <t xml:space="preserve"> (Сплит система) Теплопроизводительность: N[16.5]</t>
  </si>
  <si>
    <t xml:space="preserve"> (Потребляемая мощность) Обогрев: S[5.48]</t>
  </si>
  <si>
    <t xml:space="preserve"> (Внутренний блок) Масса (нетто / брутто): S[43 / 50]</t>
  </si>
  <si>
    <t xml:space="preserve"> (Внутренний блок) Уровень шума мин. / макс.: S[51/52/53/54]</t>
  </si>
  <si>
    <t xml:space="preserve"> (Сплит система) Холодопроизводительность: N[15.8]</t>
  </si>
  <si>
    <t xml:space="preserve"> (Сплит система) Площадь помещения: N[158]</t>
  </si>
  <si>
    <t xml:space="preserve"> (Сплит система) Теплопроизводительность: N[18.2]</t>
  </si>
  <si>
    <t xml:space="preserve"> (Потребляемая мощность) Обогрев: S[5.45]</t>
  </si>
  <si>
    <t xml:space="preserve"> (Сплит система) Теплопроизводительность: N[19.1]</t>
  </si>
  <si>
    <t xml:space="preserve"> (Потребляемая мощность) Охлаждение: N[5.48]</t>
  </si>
  <si>
    <t xml:space="preserve"> (Потребляемая мощность) Обогрев: S[2.8]</t>
  </si>
  <si>
    <t xml:space="preserve"> (Внутренний блок) Уровень шума мин. / макс.: S[43-48]</t>
  </si>
  <si>
    <t xml:space="preserve"> (Потребляемая мощность) Охлаждение: N[0.075]</t>
  </si>
  <si>
    <t xml:space="preserve"> (Потребляемая мощность) Обогрев: S[0.075]</t>
  </si>
  <si>
    <t xml:space="preserve"> (Внутренний блок) Уровень шума мин. / макс.: S[31/37]</t>
  </si>
  <si>
    <t xml:space="preserve"> (Соединительные трубы) Газовая линия : N[9.5]</t>
  </si>
  <si>
    <t xml:space="preserve"> (Потребляемая мощность) Охлаждение: N[0.065]</t>
  </si>
  <si>
    <t xml:space="preserve"> (Внутренний блок) Уровень шума мин. / макс.: S[31/34/37/41]</t>
  </si>
  <si>
    <t xml:space="preserve"> (Сплит система) Теплопроизводительность: N[3.85]</t>
  </si>
  <si>
    <t xml:space="preserve"> (Внутренний блок) Уровень шума мин. / макс.: S[32/39]</t>
  </si>
  <si>
    <t xml:space="preserve"> (Внутренний блок) Уровень шума мин. / макс.: S[32/35/39/42]</t>
  </si>
  <si>
    <t xml:space="preserve"> (Внутренний блок) Уровень шума мин. / макс.: S[33/40]</t>
  </si>
  <si>
    <t xml:space="preserve"> (Потребляемая мощность) Охлаждение: N[0.095]</t>
  </si>
  <si>
    <t xml:space="preserve"> (Внутренний блок) Уровень шума мин. / макс.: S[33/36/41/45]</t>
  </si>
  <si>
    <t xml:space="preserve"> (Сплит система) Холодопроизводительность: N[6]</t>
  </si>
  <si>
    <t xml:space="preserve"> (Сплит система) Площадь помещения: N[60]</t>
  </si>
  <si>
    <t xml:space="preserve"> (Сплит система) Теплопроизводительность: N[6.6]</t>
  </si>
  <si>
    <t xml:space="preserve"> (Потребляемая мощность) Охлаждение: N[0.11]</t>
  </si>
  <si>
    <t xml:space="preserve"> (Внутренний блок) Уровень шума мин. / макс.: S[34/42]</t>
  </si>
  <si>
    <t xml:space="preserve"> (Соединительные трубы) Жидкостная линия : N[9.5]</t>
  </si>
  <si>
    <t xml:space="preserve"> (Внутренний блок) Уровень шума мин. / макс.: S[34/37/42/48]</t>
  </si>
  <si>
    <t xml:space="preserve"> (Сплит система) Холодопроизводительность: N[4.5]</t>
  </si>
  <si>
    <t xml:space="preserve"> (Сплит система) Площадь помещения: N[45]</t>
  </si>
  <si>
    <t xml:space="preserve"> (Потребляемая мощность) Охлаждение: N[0.055]</t>
  </si>
  <si>
    <t xml:space="preserve"> (Потребляемая мощность) Обогрев: S[0.055]</t>
  </si>
  <si>
    <t xml:space="preserve"> (Внутренний блок) Уровень шума мин. / макс.: S[36/40]</t>
  </si>
  <si>
    <t xml:space="preserve"> (Внутренний блок) Уровень шума мин. / макс.: S[40/45]</t>
  </si>
  <si>
    <t xml:space="preserve"> (Внутренний блок) Уровень шума мин. / макс.: S[40/48]</t>
  </si>
  <si>
    <t xml:space="preserve"> (Внутренний блок) Уровень шума мин. / макс.: S[24/31/37/40]</t>
  </si>
  <si>
    <t xml:space="preserve"> (Внутренний блок) Уровень шума мин. / макс.: S[27/35/37/40]</t>
  </si>
  <si>
    <t xml:space="preserve"> (Сплит система) Холодопроизводительность: N[3.2]</t>
  </si>
  <si>
    <t xml:space="preserve"> (Сплит система) Теплопроизводительность: N[3.3]</t>
  </si>
  <si>
    <t xml:space="preserve"> (Внутренний блок) Уровень шума мин. / макс.: S[29/33/36/40]</t>
  </si>
  <si>
    <t xml:space="preserve"> (Сплит система) Холодопроизводительность: N[4.6]</t>
  </si>
  <si>
    <t xml:space="preserve"> (Потребляемая мощность) Охлаждение: N[0.04]</t>
  </si>
  <si>
    <t xml:space="preserve"> (Потребляемая мощность) Обогрев: S[0.04]</t>
  </si>
  <si>
    <t xml:space="preserve"> (Внутренний блок) Уровень шума мин. / макс.: S[33/37/43/45]</t>
  </si>
  <si>
    <t xml:space="preserve"> (Сплит система) Холодопроизводительность: N[6.16]</t>
  </si>
  <si>
    <t xml:space="preserve"> (Сплит система) Теплопроизводительность: N[6.2]</t>
  </si>
  <si>
    <t xml:space="preserve"> (Внутренний блок) Уровень шума мин. / макс.: S[34/39/43/47]</t>
  </si>
  <si>
    <t xml:space="preserve"> (Сплит система) Холодопроизводительность: N[2.35]</t>
  </si>
  <si>
    <t xml:space="preserve"> (Сплит система) Площадь помещения: N[24]</t>
  </si>
  <si>
    <t xml:space="preserve"> (Потребляемая мощность) Охлаждение: N[0.022]</t>
  </si>
  <si>
    <t xml:space="preserve"> (Сплит система) Теплопроизводительность: N[6.45]</t>
  </si>
  <si>
    <t xml:space="preserve"> (Потребляемая мощность) Охлаждение: N[1.2]</t>
  </si>
  <si>
    <t xml:space="preserve"> (Потребляемая мощность) Обогрев: S[1.18]</t>
  </si>
  <si>
    <t xml:space="preserve"> (Потребляемая мощность) Охлаждение: N[1.45]</t>
  </si>
  <si>
    <t xml:space="preserve"> (Потребляемая мощность) Охлаждение: N[1.91]</t>
  </si>
  <si>
    <t xml:space="preserve"> (Потребляемая мощность) Обогрев: S[1.73]</t>
  </si>
  <si>
    <t xml:space="preserve"> (Потребляемая мощность) Обогрев: S[2.28]</t>
  </si>
  <si>
    <t xml:space="preserve"> (Потребляемая мощность) Охлаждение: N[2.54]</t>
  </si>
  <si>
    <t xml:space="preserve"> (Потребляемая мощность) Обогрев: S[2.49]</t>
  </si>
  <si>
    <t xml:space="preserve"> (Потребляемая мощность) Обогрев: S[3.75]</t>
  </si>
  <si>
    <t xml:space="preserve"> (Допустимая темп. наружного воздуха) Охлаждение: S[от -5 до +48]</t>
  </si>
  <si>
    <t xml:space="preserve"> (Потребляемая мощность) Охлаждение: N[3.76]</t>
  </si>
  <si>
    <t xml:space="preserve"> (Потребляемая мощность) Обогрев: S[0.97]</t>
  </si>
  <si>
    <t xml:space="preserve"> (Потребляемая мощность) Охлаждение: N[1.48]</t>
  </si>
  <si>
    <t xml:space="preserve"> (Потребляемая мощность) Обогрев: S[1.43]</t>
  </si>
  <si>
    <t xml:space="preserve"> (Потребляемая мощность) Охлаждение: N[1.88]</t>
  </si>
  <si>
    <t xml:space="preserve"> (Потребляемая мощность) Обогрев: S[2.23]</t>
  </si>
  <si>
    <t xml:space="preserve"> (Потребляемая мощность) Охлаждение: N[3.1]</t>
  </si>
  <si>
    <t xml:space="preserve"> (Потребляемая мощность) Охлаждение: N[3.45]</t>
  </si>
  <si>
    <t xml:space="preserve"> (Потребляемая мощность) Охлаждение: N[4.1]</t>
  </si>
  <si>
    <t xml:space="preserve"> (Потребляемая мощность) Обогрев: S[3.7]</t>
  </si>
  <si>
    <t xml:space="preserve"> (Потребляемая мощность) Охлаждение: N[4.9]</t>
  </si>
  <si>
    <t xml:space="preserve"> (Потребляемая мощность) Обогрев: S[4.25]</t>
  </si>
  <si>
    <t xml:space="preserve"> (Допустимая темп. наружного воздуха) Охлаждение: S[от 10 до +48]</t>
  </si>
  <si>
    <t>on 0:26:01</t>
  </si>
  <si>
    <t>on 0:26:35</t>
  </si>
  <si>
    <t>on 0:36:15</t>
  </si>
  <si>
    <t xml:space="preserve"> (Соединительные трубы) Максимальная длина трубопровода: N[20]</t>
  </si>
  <si>
    <t xml:space="preserve"> (Соединительные трубы) Максимальный перепад высот: S[15]</t>
  </si>
  <si>
    <t xml:space="preserve"> (Соединительные трубы) Максимальная длина трубопровода: N[25]</t>
  </si>
  <si>
    <t xml:space="preserve"> (Соединительные трубы) Максимальный перепад высот: S[20]</t>
  </si>
  <si>
    <t xml:space="preserve"> (Соединительные трубы) Максимальная длина трубопровода: N[30]</t>
  </si>
  <si>
    <t xml:space="preserve"> (Соединительные трубы) Максимальный перепад высот: S[25]</t>
  </si>
  <si>
    <t xml:space="preserve"> (Соединительные трубы) Максимальная длина трубопровода: N[15]</t>
  </si>
  <si>
    <t xml:space="preserve"> (Соединительные трубы) Максимальный перепад высот: S[10]</t>
  </si>
  <si>
    <t xml:space="preserve"> (Соединительные трубы) Максимальная длина трубопровода: N[50]</t>
  </si>
  <si>
    <t xml:space="preserve"> (Соединительные трубы) Максимальный перепад высот: S[30]</t>
  </si>
  <si>
    <t xml:space="preserve"> (Соединительные трубы) Максимальная длина трубопровода: N[75]</t>
  </si>
  <si>
    <t xml:space="preserve"> (Соединительные трубы) Максимальная длина трубопровода: N[100]</t>
  </si>
  <si>
    <t xml:space="preserve"> (Соединительные трубы) Максимальная длина трубопровода: N[70]</t>
  </si>
  <si>
    <t xml:space="preserve"> (Соединительные трубы) Максимальная длина трубопровода: N[80]</t>
  </si>
  <si>
    <t xml:space="preserve"> (Соединительные трубы) Максимальная длина трубопровода: N[115]</t>
  </si>
  <si>
    <t xml:space="preserve"> (Соединительные трубы) Максимальный перепад высот: S[8]</t>
  </si>
  <si>
    <t xml:space="preserve"> (Соединительные трубы) Максимальная длина трубопровода: N[40]</t>
  </si>
  <si>
    <t xml:space="preserve"> (Соединительные трубы) Максимальная длина трубопровода: N[60]</t>
  </si>
  <si>
    <t xml:space="preserve"> (Соединительные трубы) Максимальный перепад высот: S[5]</t>
  </si>
  <si>
    <t xml:space="preserve"> (Соединительные трубы) Максимальная длина трубопровода: N[45]</t>
  </si>
  <si>
    <t xml:space="preserve"> (Соединительные трубы) Максимальная длина трубопровода: N[35]</t>
  </si>
  <si>
    <t xml:space="preserve"> (Соединительные трубы) Максимальная длина трубопровода: N[135]</t>
  </si>
  <si>
    <t xml:space="preserve"> (Соединительные трубы) Максимальная длина трубопровода: N[145]</t>
  </si>
  <si>
    <t>on 0:40:06</t>
  </si>
  <si>
    <t>внут/наруж</t>
  </si>
  <si>
    <t>внутренний</t>
  </si>
  <si>
    <t>наружный</t>
  </si>
  <si>
    <t xml:space="preserve"> (Внутренний блок) Масса (нетто / брутто): S[38 / 44]</t>
  </si>
  <si>
    <t xml:space="preserve"> (Наружный блок) Масса (нетто / брутто): S[38 / 44]</t>
  </si>
  <si>
    <t xml:space="preserve"> (Внутренний блок) Масса (нетто / брутто): S[16 / 21]</t>
  </si>
  <si>
    <t xml:space="preserve"> (Наружный блок) Масса (нетто / брутто): S[16 / 21]</t>
  </si>
  <si>
    <t xml:space="preserve"> (Внутренний блок) Масса (нетто / брутто): S[17 / 24]</t>
  </si>
  <si>
    <t xml:space="preserve"> (Наружный блок) Масса (нетто / брутто): S[17 / 24]</t>
  </si>
  <si>
    <t xml:space="preserve"> (Внутренний блок) Масса (нетто / брутто): S[19 / 26]</t>
  </si>
  <si>
    <t xml:space="preserve"> (Наружный блок) Масса (нетто / брутто): S[19 / 26]</t>
  </si>
  <si>
    <t xml:space="preserve"> (Внутренний блок) Масса (нетто / брутто): S[19 / 23]</t>
  </si>
  <si>
    <t xml:space="preserve"> (Наружный блок) Масса (нетто / брутто): S[19 / 23]</t>
  </si>
  <si>
    <t xml:space="preserve"> (Внутренний блок) Масса (нетто / брутто): S[23 / 27]</t>
  </si>
  <si>
    <t xml:space="preserve"> (Наружный блок) Масса (нетто / брутто): S[23 / 27]</t>
  </si>
  <si>
    <t xml:space="preserve"> (Внутренний блок) Масса (нетто / брутто): S[15 / 18]</t>
  </si>
  <si>
    <t xml:space="preserve"> (Наружный блок) Масса (нетто / брутто): S[15 / 18]</t>
  </si>
  <si>
    <t xml:space="preserve"> (Внутренний блок) Масса (нетто / брутто): S[16 / 19]</t>
  </si>
  <si>
    <t xml:space="preserve"> (Наружный блок) Масса (нетто / брутто): S[16 / 19]</t>
  </si>
  <si>
    <t xml:space="preserve"> (Внутренний блок) Масса (нетто / брутто): S[27 / 36]</t>
  </si>
  <si>
    <t xml:space="preserve"> (Наружный блок) Масса (нетто / брутто): S[27 / 36]</t>
  </si>
  <si>
    <t xml:space="preserve"> (Внутренний блок) Масса (нетто / брутто): S[27 / 27]</t>
  </si>
  <si>
    <t xml:space="preserve"> (Наружный блок) Масса (нетто / брутто): S[27 / 27]</t>
  </si>
  <si>
    <t xml:space="preserve"> (Наружный блок) Масса (нетто / брутто): S[14 / 17]</t>
  </si>
  <si>
    <t xml:space="preserve"> (Наружный блок) Масса (нетто / брутто): S[18 / 22]</t>
  </si>
  <si>
    <t xml:space="preserve"> (Наружный блок) Масса (нетто / брутто): S[17.8 / 21.5]</t>
  </si>
  <si>
    <t xml:space="preserve"> (Наружный блок) Масса (нетто / брутто): S[24.3 / 29.6]</t>
  </si>
  <si>
    <t xml:space="preserve"> (Наружный блок) Масса (нетто / брутто): S[24.4 / 29.6]</t>
  </si>
  <si>
    <t xml:space="preserve"> (Внутренний блок) Масса (нетто / брутто): S[7.3 / 9.7]</t>
  </si>
  <si>
    <t xml:space="preserve"> (Наружный блок) Масса (нетто / брутто): S[7.3 / 9.7]</t>
  </si>
  <si>
    <t xml:space="preserve"> (Наружный блок) Масса (нетто / брутто): S[8.2 / 10.7]</t>
  </si>
  <si>
    <t xml:space="preserve"> (Внутренний блок) Масса (нетто / брутто): S[8.6 / 11.1]</t>
  </si>
  <si>
    <t xml:space="preserve"> (Наружный блок) Масса (нетто / брутто): S[8.6 / 11.1]</t>
  </si>
  <si>
    <t xml:space="preserve"> (Внутренний блок) Масса (нетто / брутто): S[9 / 12.2]</t>
  </si>
  <si>
    <t xml:space="preserve"> (Наружный блок) Масса (нетто / брутто): S[9 / 12.2]</t>
  </si>
  <si>
    <t xml:space="preserve"> (Внутренний блок) Масса (нетто / брутто): S[10.9 / 14.2]</t>
  </si>
  <si>
    <t xml:space="preserve"> (Наружный блок) Масса (нетто / брутто): S[10.9 / 14.2]</t>
  </si>
  <si>
    <t xml:space="preserve"> (Внутренний блок) Масса (нетто / брутто): S[12 / 15.2]</t>
  </si>
  <si>
    <t xml:space="preserve"> (Наружный блок) Масса (нетто / брутто): S[12 / 15.2]</t>
  </si>
  <si>
    <t xml:space="preserve"> (Внутренний блок) Масса (нетто / брутто): S[13.7 / 17.3]</t>
  </si>
  <si>
    <t xml:space="preserve"> (Наружный блок) Масса (нетто / брутто): S[13.7 / 17.3]</t>
  </si>
  <si>
    <t xml:space="preserve"> (Внутренний блок) Масса (нетто / брутто): S[7.4 / 9.6]</t>
  </si>
  <si>
    <t xml:space="preserve"> (Наружный блок) Масса (нетто / брутто): S[7.4 / 9.6]</t>
  </si>
  <si>
    <t xml:space="preserve"> (Внутренний блок) Масса (нетто / брутто): S[10.7 / 14]</t>
  </si>
  <si>
    <t xml:space="preserve"> (Наружный блок) Масса (нетто / брутто): S[10.7 / 14]</t>
  </si>
  <si>
    <t xml:space="preserve"> (Внутренний блок) Масса (нетто / брутто): S[13 / 16.6]</t>
  </si>
  <si>
    <t xml:space="preserve"> (Наружный блок) Масса (нетто / брутто): S[13 / 16.6]</t>
  </si>
  <si>
    <t xml:space="preserve"> (Внутренний блок) Масса (нетто / брутто): S[8 / 10.5]</t>
  </si>
  <si>
    <t xml:space="preserve"> (Наружный блок) Масса (нетто / брутто): S[8 / 10.5]</t>
  </si>
  <si>
    <t xml:space="preserve"> (Наружный блок) Масса (нетто / брутто): S[10 / 13]</t>
  </si>
  <si>
    <t xml:space="preserve"> (Внутренний блок) Масса (нетто / брутто): S[22 / 27]</t>
  </si>
  <si>
    <t xml:space="preserve"> (Наружный блок) Масса (нетто / брутто): S[22 / 27]</t>
  </si>
  <si>
    <t xml:space="preserve"> (Внутренний блок) Масса (нетто / брутто): S[21 / 26]</t>
  </si>
  <si>
    <t xml:space="preserve"> (Наружный блок) Масса (нетто / брутто): S[21 / 26]</t>
  </si>
  <si>
    <t xml:space="preserve"> (Внутренний блок) Масса (нетто / брутто): S[23 / 29]</t>
  </si>
  <si>
    <t xml:space="preserve"> (Наружный блок) Масса (нетто / брутто): S[23 / 29]</t>
  </si>
  <si>
    <t xml:space="preserve"> (Внутренний блок) Масса (нетто / брутто): S[22 / 28]</t>
  </si>
  <si>
    <t xml:space="preserve"> (Наружный блок) Масса (нетто / брутто): S[22 / 28]</t>
  </si>
  <si>
    <t xml:space="preserve"> (Внутренний блок) Масса (нетто / брутто): S[26 / 32]</t>
  </si>
  <si>
    <t xml:space="preserve"> (Наружный блок) Масса (нетто / брутто): S[26 / 32]</t>
  </si>
  <si>
    <t xml:space="preserve"> (Наружный блок) Масса (нетто / брутто): S[31 / 41]</t>
  </si>
  <si>
    <t xml:space="preserve"> (Внутренний блок) Масса (нетто / брутто): S[30 / 40]</t>
  </si>
  <si>
    <t xml:space="preserve"> (Наружный блок) Масса (нетто / брутто): S[30 / 40]</t>
  </si>
  <si>
    <t xml:space="preserve"> (Внутренний блок) Масса (нетто / брутто): S[40 / 50]</t>
  </si>
  <si>
    <t xml:space="preserve"> (Наружный блок) Масса (нетто / брутто): S[40 / 50]</t>
  </si>
  <si>
    <t xml:space="preserve"> (Внутренний блок) Масса (нетто / брутто): S[45 / 54]</t>
  </si>
  <si>
    <t xml:space="preserve"> (Наружный блок) Масса (нетто / брутто): S[45 / 54]</t>
  </si>
  <si>
    <t xml:space="preserve"> (Наружный блок) Масса (нетто / брутто): S[8.5 / 10]</t>
  </si>
  <si>
    <t xml:space="preserve"> (Внутренний блок) Масса (нетто / брутто): S[13.5 / 16.5]</t>
  </si>
  <si>
    <t xml:space="preserve"> (Наружный блок) Масса (нетто / брутто): S[13.5 / 16.5]</t>
  </si>
  <si>
    <t xml:space="preserve"> (Наружный блок) Масса (нетто / брутто): S[7.7 / 9.2]</t>
  </si>
  <si>
    <t xml:space="preserve"> (Наружный блок) Масса (нетто / брутто): S[7.5 / 9]</t>
  </si>
  <si>
    <t xml:space="preserve"> (Наружный блок) Масса (нетто / брутто): S[8 / 9.5]</t>
  </si>
  <si>
    <t>on 0:58:01</t>
  </si>
  <si>
    <t>сплит-система</t>
  </si>
  <si>
    <t xml:space="preserve"> (Потребляемая мощность) Охлаждение: N[0.465]</t>
  </si>
  <si>
    <t xml:space="preserve"> (Потребляемая мощность) Обогрев: S[0.685]</t>
  </si>
  <si>
    <t>List was prepared on 02.04.2023</t>
  </si>
  <si>
    <t>on 11:37:35</t>
  </si>
  <si>
    <t xml:space="preserve"> (Внутренний блок) Размеры (Ш x Г x В)</t>
  </si>
  <si>
    <t xml:space="preserve"> (Внутренний блок) Упаковка (Ш x Г x В)</t>
  </si>
  <si>
    <t xml:space="preserve"> (Наружный блок) Размеры (Ш x Г x В)</t>
  </si>
  <si>
    <t xml:space="preserve"> (Наружный блок) Упаковка (Ш x Г x В)</t>
  </si>
  <si>
    <t xml:space="preserve"> (Внутренний блок) Размеры (Ш x Г x В): S[870 х 270 х 204]</t>
  </si>
  <si>
    <t xml:space="preserve"> (Внутренний блок) Упаковка (Ш x Г x В): S[925 х 270 х 366]</t>
  </si>
  <si>
    <t xml:space="preserve"> (Наружный блок) Размеры (Ш x Г x В): S[663 х 293 х 535]</t>
  </si>
  <si>
    <t xml:space="preserve"> (Наружный блок) Упаковка (Ш x Г x В): S[790 х 395 х 595]</t>
  </si>
  <si>
    <t xml:space="preserve"> (Наружный блок) Размеры (Ш x Г x В): S[790 х 290 х 540]</t>
  </si>
  <si>
    <t xml:space="preserve"> (Наружный блок) Упаковка (Ш x Г x В): S[938 х 400 х 648]</t>
  </si>
  <si>
    <t xml:space="preserve"> (Внутренний блок) Размеры (Ш x Г x В): S[784 х 270 х 224]</t>
  </si>
  <si>
    <t xml:space="preserve"> (Внутренний блок) Упаковка (Ш x Г x В): S[864 х 279 х 334]</t>
  </si>
  <si>
    <t xml:space="preserve"> (Наружный блок) Размеры (Ш x Г x В): S[663 х 290 х 541]</t>
  </si>
  <si>
    <t xml:space="preserve"> (Наружный блок) Упаковка (Ш x Г x В): S[798 х 369 х 596]</t>
  </si>
  <si>
    <t xml:space="preserve"> (Внутренний блок) Размеры (Ш x Г x В): S[790 х 293 х 249]</t>
  </si>
  <si>
    <t xml:space="preserve"> (Внутренний блок) Упаковка (Ш x Г x В): S[840 х 320 х 375]</t>
  </si>
  <si>
    <t xml:space="preserve"> (Наружный блок) Размеры (Ш x Г x В): S[799 х 290 х 542]</t>
  </si>
  <si>
    <t xml:space="preserve"> (Наружный блок) Упаковка (Ш x Г x В): S[940 х 375 х 602]</t>
  </si>
  <si>
    <t xml:space="preserve"> (Наружный блок) Размеры (Ш x Г x В): S[799 х 290 х 632]</t>
  </si>
  <si>
    <t xml:space="preserve"> (Наружный блок) Упаковка (Ш x Г x В): S[940 х 375 х 692]</t>
  </si>
  <si>
    <t xml:space="preserve"> (Внутренний блок) Размеры (Ш x Г x В): S[834 х 270 х 222]</t>
  </si>
  <si>
    <t xml:space="preserve"> (Внутренний блок) Упаковка (Ш x Г x В): S[914 х 332 х 277]</t>
  </si>
  <si>
    <t xml:space="preserve"> (Наружный блок) Упаковка (Ш x Г x В): S[804 х 375 х 602]</t>
  </si>
  <si>
    <t xml:space="preserve"> (Внутренний блок) Размеры (Ш x Г x В): S[980 х 280 х 240]</t>
  </si>
  <si>
    <t xml:space="preserve"> (Внутренний блок) Упаковка (Ш x Г x В): S[1078 х 322 х 346]</t>
  </si>
  <si>
    <t xml:space="preserve"> (Внутренний блок) Упаковка (Ш x Г x В): S[1078 х 346 х 322]</t>
  </si>
  <si>
    <t xml:space="preserve"> (Наружный блок) Размеры (Ш x Г x В): S[820 х 315 х 716]</t>
  </si>
  <si>
    <t xml:space="preserve"> (Наружный блок) Упаковка (Ш x Г x В): S[961 х 450 х 776]</t>
  </si>
  <si>
    <t xml:space="preserve"> (Внутренний блок) Размеры (Ш x Г x В): S[950 х 295 х 230]</t>
  </si>
  <si>
    <t xml:space="preserve"> (Внутренний блок) Упаковка (Ш x Г x В): S[1027 х 284 х 357]</t>
  </si>
  <si>
    <t xml:space="preserve"> (Внутренний блок) Размеры (Ш x Г x В): S[786 х 293 х 378]</t>
  </si>
  <si>
    <t xml:space="preserve"> (Внутренний блок) Упаковка (Ш x Г x В): S[877 х 454 х 376]</t>
  </si>
  <si>
    <t xml:space="preserve"> (Наружный блок) Размеры (Ш x Г x В): S[820 х 315 х 704]</t>
  </si>
  <si>
    <t xml:space="preserve"> (Наружный блок) Упаковка (Ш x Г x В): S[965 х 426 х 786]</t>
  </si>
  <si>
    <t xml:space="preserve"> (Внутренний блок) Размеры (Ш x Г x В): S[998 х 320 х 238]</t>
  </si>
  <si>
    <t xml:space="preserve"> (Внутренний блок) Упаковка (Ш x Г x В): S[1090 х 329 х 420]</t>
  </si>
  <si>
    <t xml:space="preserve"> (Наружный блок) Размеры (Ш x Г x В): S[790 х 290 х 620]</t>
  </si>
  <si>
    <t xml:space="preserve"> (Наружный блок) Упаковка (Ш x Г x В): S[935 х 400 х 712]</t>
  </si>
  <si>
    <t xml:space="preserve"> (Наружный блок) Размеры (Ш x Г x В): S[900 х 330 х 830]</t>
  </si>
  <si>
    <t xml:space="preserve"> (Наружный блок) Упаковка (Ш x Г x В): S[1050 х 445 х 1000]</t>
  </si>
  <si>
    <t xml:space="preserve"> (Внутренний блок) Размеры (Ш x Г x В): S[1150 х 340 х 280]</t>
  </si>
  <si>
    <t xml:space="preserve"> (Внутренний блок) Упаковка (Ш x Г x В): S[1270 х 450 х 405]</t>
  </si>
  <si>
    <t xml:space="preserve"> (Наружный блок) Размеры (Ш x Г x В): S[940 х 320 х 788]</t>
  </si>
  <si>
    <t xml:space="preserve"> (Наружный блок) Упаковка (Ш x Г x В): S[1027 х 445 х 966]</t>
  </si>
  <si>
    <t xml:space="preserve"> (Внутренний блок) Размеры (Ш x Г x В): S[1050 х 400 х 500]</t>
  </si>
  <si>
    <t xml:space="preserve"> (Внутренний блок) Упаковка (Ш x Г x В): S[1230 х 640 х 460]</t>
  </si>
  <si>
    <t xml:space="preserve"> (Наружный блок) Размеры (Ш x Г x В): S[940 х 320 х 988]</t>
  </si>
  <si>
    <t xml:space="preserve"> (Наружный блок) Упаковка (Ш x Г x В): S[1027 х 445 х 1176]</t>
  </si>
  <si>
    <t xml:space="preserve"> (Наружный блок) Размеры (Ш x Г x В): S[940 х 320 х 998]</t>
  </si>
  <si>
    <t xml:space="preserve"> (Внутренний блок) Размеры (Ш x Г x В): S[1135 х 270 х 700]</t>
  </si>
  <si>
    <t xml:space="preserve"> (Внутренний блок) Упаковка (Ш x Г x В): S[1320 х 790 х 300]</t>
  </si>
  <si>
    <t xml:space="preserve"> (Внутренний блок) Размеры (Ш x Г x В): S[700 х 300 х 700]</t>
  </si>
  <si>
    <t xml:space="preserve"> (Внутренний блок) Упаковка (Ш x Г x В): S[938 х 875 х 400]</t>
  </si>
  <si>
    <t xml:space="preserve"> (Внутренний блок) Размеры (Ш x Г x В): S[1000 х 300 х 700]</t>
  </si>
  <si>
    <t xml:space="preserve"> (Внутренний блок) Упаковка (Ш x Г x В): S[1238 х 875 х 400]</t>
  </si>
  <si>
    <t xml:space="preserve"> (Внутренний блок) Размеры (Ш x Г x В): S[1400 х 300 х 700]</t>
  </si>
  <si>
    <t xml:space="preserve"> (Внутренний блок) Упаковка (Ш x Г x В): S[1638 х 875 х 400]</t>
  </si>
  <si>
    <t xml:space="preserve"> (Наружный блок) Размеры (Ш x Г x В): S[900 х 330 х 1290]</t>
  </si>
  <si>
    <t xml:space="preserve"> (Наружный блок) Упаковка (Ш x Г x В): S[1050 х 445 х 1460]</t>
  </si>
  <si>
    <t xml:space="preserve"> (Внутренний блок) Размеры (Ш x Г x В): S[1250 х 425 х 490]</t>
  </si>
  <si>
    <t xml:space="preserve"> (Внутренний блок) Упаковка (Ш x Г x В): S[1440 х 655 х 490]</t>
  </si>
  <si>
    <t xml:space="preserve"> (Внутренний блок) Размеры (Ш x Г x В): S[1400 х 360 х 850]</t>
  </si>
  <si>
    <t xml:space="preserve"> (Внутренний блок) Упаковка (Ш x Г x В): S[1640 х 1030 х 460]</t>
  </si>
  <si>
    <t xml:space="preserve"> (Наружный блок) Размеры (Ш x Г x В): S[1080 х 480 х 1428]</t>
  </si>
  <si>
    <t xml:space="preserve"> (Наружный блок) Упаковка (Ш x Г x В): S[1174 х 600 х 1557]</t>
  </si>
  <si>
    <t xml:space="preserve"> (Внутренний блок) Размеры (Ш x Г x В): S[700 х 198 х 620]</t>
  </si>
  <si>
    <t xml:space="preserve"> (Внутренний блок) Упаковка (Ш x Г x В): S[968 х 772 х 276]</t>
  </si>
  <si>
    <t xml:space="preserve"> (Внутренний блок) Размеры (Ш x Г x В): S[900 х 198 х 620]</t>
  </si>
  <si>
    <t xml:space="preserve"> (Внутренний блок) Упаковка (Ш x Г x В): S[1168 х 772 х 276]</t>
  </si>
  <si>
    <t xml:space="preserve"> (Внутренний блок) Размеры (Ш x Г x В): S[950 х 50 х 950]</t>
  </si>
  <si>
    <t xml:space="preserve"> (Внутренний блок) Упаковка (Ш x Г x В): S[1020 х 1000 х 115]</t>
  </si>
  <si>
    <t xml:space="preserve"> (Внутренний блок) Размеры (Ш x Г x В): S[950 х 53 х 950]</t>
  </si>
  <si>
    <t xml:space="preserve"> (Внутренний блок) Упаковка (Ш x Г x В): S[1000 х 1010 х 110]</t>
  </si>
  <si>
    <t xml:space="preserve"> (Внутренний блок) Размеры (Ш x Г x В): S[700 х 50 х 700]</t>
  </si>
  <si>
    <t xml:space="preserve"> (Внутренний блок) Упаковка (Ш x Г x В): S[755 х 765 х 120]</t>
  </si>
  <si>
    <t xml:space="preserve"> (Наружный блок) Размеры (Ш x Г x В): S[790 х 300 х 578]</t>
  </si>
  <si>
    <t xml:space="preserve"> (Наружный блок) Упаковка (Ш x Г x В): S[910 х 380 х 648]</t>
  </si>
  <si>
    <t xml:space="preserve"> (Внутренний блок) Размеры (Ш x Г x В): S[]</t>
  </si>
  <si>
    <t xml:space="preserve"> (Внутренний блок) Упаковка (Ш x Г x В): S[]</t>
  </si>
  <si>
    <t xml:space="preserve"> (Внутренний блок) Размеры (Ш x Г x В): S[740 х 600 х 200]</t>
  </si>
  <si>
    <t xml:space="preserve"> (Внутренний блок) Упаковка (Ш x Г x В): S[820 х 310 х 700]</t>
  </si>
  <si>
    <t xml:space="preserve"> (Внутренний блок) Размеры (Ш x Г x В): S[1080 х 235 х 705]</t>
  </si>
  <si>
    <t xml:space="preserve"> (Внутренний блок) Упаковка (Ш x Г x В): S[1165 х 825 х 330]</t>
  </si>
  <si>
    <t xml:space="preserve"> (Внутренний блок) Размеры (Ш x Г x В): S[1390 х 235 х 705]</t>
  </si>
  <si>
    <t xml:space="preserve"> (Внутренний блок) Упаковка (Ш x Г x В): S[1475 х 825 х 330]</t>
  </si>
  <si>
    <t xml:space="preserve"> (Внутренний блок) Размеры (Ш x Г x В): S[1700 х 235 х 705]</t>
  </si>
  <si>
    <t xml:space="preserve"> (Внутренний блок) Упаковка (Ш x Г x В): S[1785 х 825 х 330]</t>
  </si>
  <si>
    <t xml:space="preserve"> (Наружный блок) Размеры (Ш x Г x В): S[]</t>
  </si>
  <si>
    <t xml:space="preserve"> (Наружный блок) Упаковка (Ш x Г x В): S[]</t>
  </si>
  <si>
    <t xml:space="preserve"> (Внутренний блок) Размеры (Ш x Г x В): S[1135 х 700 х 270]</t>
  </si>
  <si>
    <t xml:space="preserve"> (Наружный блок) Размеры (Ш x Г x В): S[1135 х 700 х 270]</t>
  </si>
  <si>
    <t xml:space="preserve"> (Наружный блок) Упаковка (Ш x Г x В): S[1320 х 790 х 300]</t>
  </si>
  <si>
    <t xml:space="preserve"> (Внутренний блок) Размеры (Ш x Г x В): S[700 х 620 х 198]</t>
  </si>
  <si>
    <t xml:space="preserve"> (Наружный блок) Размеры (Ш x Г x В): S[700 х 620 х 198]</t>
  </si>
  <si>
    <t xml:space="preserve"> (Наружный блок) Упаковка (Ш x Г x В): S[968 х 772 х 276]</t>
  </si>
  <si>
    <t xml:space="preserve"> (Внутренний блок) Размеры (Ш x Г x В): S[900 х 620 х 198]</t>
  </si>
  <si>
    <t xml:space="preserve"> (Наружный блок) Размеры (Ш x Г x В): S[900 х 620 х 198]</t>
  </si>
  <si>
    <t xml:space="preserve"> (Наружный блок) Упаковка (Ш x Г x В): S[1168 х 772 х 276]</t>
  </si>
  <si>
    <t xml:space="preserve"> (Внутренний блок) Размеры (Ш x Г x В): S[570 х 570 х 245]</t>
  </si>
  <si>
    <t xml:space="preserve"> (Внутренний блок) Упаковка (Ш x Г x В): S[730 х 625 х 265]</t>
  </si>
  <si>
    <t xml:space="preserve"> (Наружный блок) Размеры (Ш x Г x В): S[570 х 570 х 245]</t>
  </si>
  <si>
    <t xml:space="preserve"> (Наружный блок) Упаковка (Ш x Г x В): S[730 х 625 х 265]</t>
  </si>
  <si>
    <t xml:space="preserve"> (Внутренний блок) Размеры (Ш x Г x В): S[990 х 199 х 655]</t>
  </si>
  <si>
    <t xml:space="preserve"> (Внутренний блок) Упаковка (Ш x Г x В): S[1150 х 320 х 790]</t>
  </si>
  <si>
    <t xml:space="preserve"> (Наружный блок) Размеры (Ш x Г x В): S[990 х 199 х 655]</t>
  </si>
  <si>
    <t xml:space="preserve"> (Наружный блок) Упаковка (Ш x Г x В): S[1150 х 320 х 790]</t>
  </si>
  <si>
    <t xml:space="preserve"> (Внутренний блок) Размеры (Ш x Г x В): S[990 х 655 х 199]</t>
  </si>
  <si>
    <t xml:space="preserve"> (Внутренний блок) Упаковка (Ш x Г x В): S[1150 х 790 х 320]</t>
  </si>
  <si>
    <t xml:space="preserve"> (Наружный блок) Размеры (Ш x Г x В): S[990 х 655 х 199]</t>
  </si>
  <si>
    <t xml:space="preserve"> (Наружный блок) Упаковка (Ш x Г x В): S[1150 х 790 х 320]</t>
  </si>
  <si>
    <t xml:space="preserve"> (Внутренний блок) Размеры (Ш x Г x В): S[655 х 990 х 199]</t>
  </si>
  <si>
    <t xml:space="preserve"> (Внутренний блок) Упаковка (Ш x Г x В): S[655 х 990 х 199]</t>
  </si>
  <si>
    <t xml:space="preserve"> (Наружный блок) Размеры (Ш x Г x В): S[655 х 990 х 199]</t>
  </si>
  <si>
    <t xml:space="preserve"> (Наружный блок) Упаковка (Ш x Г x В): S[655 х 990 х 199]</t>
  </si>
  <si>
    <t xml:space="preserve"> (Внутренний блок) Размеры (Ш x Г x В): S[740 х 200 х 600]</t>
  </si>
  <si>
    <t xml:space="preserve"> (Наружный блок) Размеры (Ш x Г x В): S[740 х 200 х 600]</t>
  </si>
  <si>
    <t xml:space="preserve"> (Наружный блок) Упаковка (Ш x Г x В): S[820 х 310 х 700]</t>
  </si>
  <si>
    <t xml:space="preserve"> (Внутренний блок) Размеры (Ш x Г x В): S[715 х 285 х 194]</t>
  </si>
  <si>
    <t xml:space="preserve"> (Внутренний блок) Упаковка (Ш x Г x В): S[780 х 270 х 365]</t>
  </si>
  <si>
    <t xml:space="preserve"> (Наружный блок) Размеры (Ш x Г x В): S[681 х 285 х 434]</t>
  </si>
  <si>
    <t xml:space="preserve"> (Наружный блок) Упаковка (Ш x Г x В): S[795 х 345 х 505]</t>
  </si>
  <si>
    <t xml:space="preserve"> (Наружный блок) Размеры (Ш x Г x В): S[720 х 270 х 495]</t>
  </si>
  <si>
    <t xml:space="preserve"> (Наружный блок) Упаковка (Ш x Г x В): S[835 х 300 х 540]</t>
  </si>
  <si>
    <t xml:space="preserve"> (Внутренний блок) Упаковка (Ш x Г x В): S[780 х 270 х 360]</t>
  </si>
  <si>
    <t xml:space="preserve"> (Наружный блок) Размеры (Ш x Г x В): S[700 х 275 х 550]</t>
  </si>
  <si>
    <t xml:space="preserve"> (Наружный блок) Упаковка (Ш x Г x В): S[815 х 325 х 615]</t>
  </si>
  <si>
    <t xml:space="preserve"> (Внутренний блок) Размеры (Ш x Г x В): S[722 х 290 х 187]</t>
  </si>
  <si>
    <t xml:space="preserve"> (Внутренний блок) Упаковка (Ш x Г x В): S[790 х 270 х 375]</t>
  </si>
  <si>
    <t xml:space="preserve"> (Наружный блок) Упаковка (Ш x Г x В): S[815 х 325 х 625]</t>
  </si>
  <si>
    <t xml:space="preserve"> (Внутренний блок) Размеры (Ш x Г x В): S[802 х 297 х 189]</t>
  </si>
  <si>
    <t xml:space="preserve"> (Внутренний блок) Упаковка (Ш x Г x В): S[875 х 285 х 380]</t>
  </si>
  <si>
    <t xml:space="preserve"> (Наружный блок) Размеры (Ш x Г x В): S[770 х 300 х 555]</t>
  </si>
  <si>
    <t xml:space="preserve"> (Наружный блок) Упаковка (Ш x Г x В): S[900 х 345 х 595]</t>
  </si>
  <si>
    <t xml:space="preserve"> (Внутренний блок) Размеры (Ш x Г x В): S[965 х 319 х 215]</t>
  </si>
  <si>
    <t xml:space="preserve"> (Внутренний блок) Упаковка (Ш x Г x В): S[1045 х 305 х 410]</t>
  </si>
  <si>
    <t xml:space="preserve"> (Наружный блок) Упаковка (Ш x Г x В): S[900 х 348 х 625]</t>
  </si>
  <si>
    <t xml:space="preserve"> (Внутренний блок) Размеры (Ш x Г x В): S[1080 х 335 х 226]</t>
  </si>
  <si>
    <t xml:space="preserve"> (Внутренний блок) Упаковка (Ш x Г x В): S[1155 х 320 х 415]</t>
  </si>
  <si>
    <t xml:space="preserve"> (Наружный блок) Размеры (Ш x Г x В): S[845 х 363 х 702]</t>
  </si>
  <si>
    <t xml:space="preserve"> (Наружный блок) Упаковка (Ш x Г x В): S[965 х 395 х 775]</t>
  </si>
  <si>
    <t xml:space="preserve"> (Внутренний блок) Размеры (Ш x Г x В): S[1259 х 362 х 282]</t>
  </si>
  <si>
    <t xml:space="preserve"> (Внутренний блок) Упаковка (Ш x Г x В): S[1340 х 385 х 450]</t>
  </si>
  <si>
    <t xml:space="preserve"> (Наружный блок) Размеры (Ш x Г x В): S[946 х 410 х 810]</t>
  </si>
  <si>
    <t xml:space="preserve"> (Наружный блок) Упаковка (Ш x Г x В): S[1090 х 500 х 885]</t>
  </si>
  <si>
    <t xml:space="preserve"> (Внутренний блок) Размеры (Ш x Г x В): S[1260 х 362 х 283]</t>
  </si>
  <si>
    <t xml:space="preserve"> (Наружный блок) Размеры (Ш x Г x В): S[765 х 303 х 555]</t>
  </si>
  <si>
    <t xml:space="preserve"> (Наружный блок) Упаковка (Ш x Г x В): S[887 х 337 х 610]</t>
  </si>
  <si>
    <t xml:space="preserve"> (Внутренний блок) Упаковка (Ш x Г x В): S[1155 х 415 х 320]</t>
  </si>
  <si>
    <t xml:space="preserve"> (Наружный блок) Размеры (Ш x Г x В): S[890 х 342 х 673]</t>
  </si>
  <si>
    <t xml:space="preserve"> (Наружный блок) Упаковка (Ш x Г x В): S[995 х 398 х 740]</t>
  </si>
  <si>
    <t xml:space="preserve"> (Внутренний блок) Упаковка (Ш x Г x В): S[875 х 285 х 375]</t>
  </si>
  <si>
    <t xml:space="preserve"> (Наружный блок) Размеры (Ш x Г x В): S[800 х 333 х 554]</t>
  </si>
  <si>
    <t xml:space="preserve"> (Наружный блок) Упаковка (Ш x Г x В): S[920 х 390 х 625]</t>
  </si>
  <si>
    <t xml:space="preserve"> (Внутренний блок) Размеры (Ш x Г x В): S[713 х 270 х 195]</t>
  </si>
  <si>
    <t xml:space="preserve"> (Внутренний блок) Упаковка (Ш x Г x В): S[760 х 259 х 334]</t>
  </si>
  <si>
    <t xml:space="preserve"> (Наружный блок) Размеры (Ш x Г x В): S[710 х 293 х 450]</t>
  </si>
  <si>
    <t xml:space="preserve"> (Наружный блок) Упаковка (Ш x Г x В): S[761 х 327 х 500]</t>
  </si>
  <si>
    <t xml:space="preserve"> (Внутренний блок) Размеры (Ш x Г x В): S[790 х 275 х 200]</t>
  </si>
  <si>
    <t xml:space="preserve"> (Внутренний блок) Упаковка (Ш x Г x В): S[850 х 262 х 339]</t>
  </si>
  <si>
    <t xml:space="preserve"> (Наружный блок) Размеры (Ш x Г x В): S[732 х 330 х 550]</t>
  </si>
  <si>
    <t xml:space="preserve"> (Наружный блок) Упаковка (Ш x Г x В): S[791 х 373 х 590]</t>
  </si>
  <si>
    <t xml:space="preserve"> (Внутренний блок) Размеры (Ш x Г x В): S[970 х 300 х 224]</t>
  </si>
  <si>
    <t xml:space="preserve"> (Внутренний блок) Упаковка (Ш x Г x В): S[1020 х 294 х 370]</t>
  </si>
  <si>
    <t xml:space="preserve"> (Наружный блок) Размеры (Ш x Г x В): S[873 х 376 х 555]</t>
  </si>
  <si>
    <t xml:space="preserve"> (Наружный блок) Упаковка (Ш x Г x В): S[948 х 428 х 591]</t>
  </si>
  <si>
    <t xml:space="preserve"> (Внутренний блок) Размеры (Ш x Г x В): S[726 х 291 х 210]</t>
  </si>
  <si>
    <t xml:space="preserve"> (Наружный блок) Размеры (Ш x Г x В): S[720 х 462 х 495]</t>
  </si>
  <si>
    <t xml:space="preserve"> (Внутренний блок) Размеры (Ш x Г x В): S[835 х 295 х 208]</t>
  </si>
  <si>
    <t xml:space="preserve"> (Внутренний блок) Упаковка (Ш x Г x В): S[905 х 355 х 290]</t>
  </si>
  <si>
    <t xml:space="preserve"> (Внутренний блок) Размеры (Ш x Г x В): S[969 х 320 х 241]</t>
  </si>
  <si>
    <t xml:space="preserve"> (Внутренний блок) Упаковка (Ш x Г x В): S[1045 х 315 х 405]</t>
  </si>
  <si>
    <t xml:space="preserve"> (Наружный блок) Размеры (Ш x Г x В): S[874 х 330 х 554]</t>
  </si>
  <si>
    <t xml:space="preserve"> (Наружный блок) Упаковка (Ш x Г x В): S[915 х 370 х 615]</t>
  </si>
  <si>
    <t xml:space="preserve"> (Внутренний блок) Размеры (Ш x Г x В): S[1083 х 336 х 244]</t>
  </si>
  <si>
    <t xml:space="preserve"> (Внутренний блок) Упаковка (Ш x Г x В): S[1155 х 415 х 315]</t>
  </si>
  <si>
    <t xml:space="preserve"> (Наружный блок) Размеры (Ш x Г x В): S[955 х 342 х 673]</t>
  </si>
  <si>
    <t xml:space="preserve"> (Внутренний блок) Размеры (Ш x Г x В): S[717 х 302 х 193]</t>
  </si>
  <si>
    <t xml:space="preserve"> (Внутренний блок) Упаковка (Ш x Г x В): S[785 х 375 х 290]</t>
  </si>
  <si>
    <t xml:space="preserve"> (Внутренний блок) Размеры (Ш x Г x В): S[805 х 302 х 193]</t>
  </si>
  <si>
    <t xml:space="preserve"> (Внутренний блок) Упаковка (Ш x Г x В): S[875 х 375 х 290]</t>
  </si>
  <si>
    <t xml:space="preserve"> (Внутренний блок) Размеры (Ш x Г x В): S[964 х 325 х 222]</t>
  </si>
  <si>
    <t xml:space="preserve"> (Внутренний блок) Упаковка (Ш x Г x В): S[1045 х 405 х 310]</t>
  </si>
  <si>
    <t xml:space="preserve"> (Наружный блок) Упаковка (Ш x Г x В): S[920 х 390 х 615]</t>
  </si>
  <si>
    <t xml:space="preserve"> (Внутренний блок) Размеры (Ш x Г x В): S[1106 х 342 х 232]</t>
  </si>
  <si>
    <t xml:space="preserve"> (Внутренний блок) Упаковка (Ш x Г x В): S[1195 х 420 х 320]</t>
  </si>
  <si>
    <t xml:space="preserve"> (Внутренний блок) Размеры (Ш x Г x В): S[897 х 312 х 182]</t>
  </si>
  <si>
    <t xml:space="preserve"> (Внутренний блок) Упаковка (Ш x Г x В): S[985 х 385 х 265]</t>
  </si>
  <si>
    <t xml:space="preserve"> (Внутренний блок) Упаковка (Ш x Г x В): S[985 х 265 х 385]</t>
  </si>
  <si>
    <t xml:space="preserve"> (Внутренний блок) Размеры (Ш x Г x В): S[920 х 211 х 321]</t>
  </si>
  <si>
    <t xml:space="preserve"> (Внутренний блок) Упаковка (Ш x Г x В): S[1005 х 385 х 295]</t>
  </si>
  <si>
    <t xml:space="preserve"> (Внутренний блок) Размеры (Ш x Г x В): S[722 х 450 х 1366]</t>
  </si>
  <si>
    <t xml:space="preserve"> (Внутренний блок) Упаковка (Ш x Г x В): S[875 х 1555 х 500]</t>
  </si>
  <si>
    <t xml:space="preserve"> (Наружный блок) Размеры (Ш x Г x В): S[400 х 1120 х 1558]</t>
  </si>
  <si>
    <t xml:space="preserve"> (Наружный блок) Упаковка (Ш x Г x В): S[565 х 1270 х 1720]</t>
  </si>
  <si>
    <t xml:space="preserve"> (Внутренний блок) Размеры (Ш x Г x В): S[950 х 55 х 950]</t>
  </si>
  <si>
    <t xml:space="preserve"> (Внутренний блок) Упаковка (Ш x Г x В): S[1035 х 1035 х 90]</t>
  </si>
  <si>
    <t xml:space="preserve"> (Наружный блок) Упаковка (Ш x Г x В): S[398 х 995 х 740]</t>
  </si>
  <si>
    <t xml:space="preserve"> (Наружный блок) Упаковка (Ш x Г x В): S[1090 х 500 х 875]</t>
  </si>
  <si>
    <t xml:space="preserve"> (Наружный блок) Размеры (Ш x Г x В): S[952 х 410 х 1333]</t>
  </si>
  <si>
    <t xml:space="preserve"> (Наружный блок) Упаковка (Ш x Г x В): S[1095 х 495 х 1480]</t>
  </si>
  <si>
    <t xml:space="preserve"> (Наружный блок) Размеры (Ш x Г x В): S[952 х 415 х 1333]</t>
  </si>
  <si>
    <t xml:space="preserve"> (Внутренний блок) Размеры (Ш x Г x В): S[647 х 50 х 647]</t>
  </si>
  <si>
    <t xml:space="preserve"> (Внутренний блок) Упаковка (Ш x Г x В): S[715 х 715 х 123]</t>
  </si>
  <si>
    <t xml:space="preserve"> (Наружный блок) Размеры (Ш x Г x В): S[805 х 330 х 554]</t>
  </si>
  <si>
    <t xml:space="preserve"> (Внутренний блок) Размеры (Ш x Г x В): S[1068 х 235 х 675]</t>
  </si>
  <si>
    <t xml:space="preserve"> (Внутренний блок) Упаковка (Ш x Г x В): S[1145 х 755 х 313]</t>
  </si>
  <si>
    <t xml:space="preserve"> (Внутренний блок) Упаковка (Ш x Г x В): S[1145 х 755 х 318]</t>
  </si>
  <si>
    <t xml:space="preserve"> (Наружный блок) Упаковка (Ш x Г x В): S[965 х 395 х 755]</t>
  </si>
  <si>
    <t xml:space="preserve"> (Внутренний блок) Размеры (Ш x Г x В): S[1285 х 235 х 675]</t>
  </si>
  <si>
    <t xml:space="preserve"> (Внутренний блок) Упаковка (Ш x Г x В): S[1360 х 755 х 318]</t>
  </si>
  <si>
    <t xml:space="preserve"> (Внутренний блок) Размеры (Ш x Г x В): S[1650 х 235 х 675]</t>
  </si>
  <si>
    <t xml:space="preserve"> (Внутренний блок) Упаковка (Ш x Г x В): S[1725 х 755 х 318]</t>
  </si>
  <si>
    <t xml:space="preserve"> (Внутренний блок) Размеры (Ш x Г x В): S[700 х 200 х 450]</t>
  </si>
  <si>
    <t xml:space="preserve"> (Внутренний блок) Упаковка (Ш x Г x В): S[860 х 540 х 275]</t>
  </si>
  <si>
    <t xml:space="preserve"> (Внутренний блок) Размеры (Ш x Г x В): S[700 х 200 х 506]</t>
  </si>
  <si>
    <t xml:space="preserve"> (Внутренний блок) Упаковка (Ш x Г x В): S[860 х 540 х 285]</t>
  </si>
  <si>
    <t xml:space="preserve"> (Внутренний блок) Размеры (Ш x Г x В): S[880 х 210 х 674]</t>
  </si>
  <si>
    <t xml:space="preserve"> (Внутренний блок) Упаковка (Ш x Г x В): S[1070 х 725 х 280]</t>
  </si>
  <si>
    <t xml:space="preserve"> (Внутренний блок) Размеры (Ш x Г x В): S[1100 х 249 х 774]</t>
  </si>
  <si>
    <t xml:space="preserve"> (Внутренний блок) Упаковка (Ш x Г x В): S[1305 х 805 х 305]</t>
  </si>
  <si>
    <t xml:space="preserve"> (Внутренний блок) Упаковка (Ш x Г x В): S[1305 х 805 х 315]</t>
  </si>
  <si>
    <t xml:space="preserve"> (Внутренний блок) Размеры (Ш x Г x В): S[1360 х 249 х 774]</t>
  </si>
  <si>
    <t xml:space="preserve"> (Внутренний блок) Упаковка (Ш x Г x В): S[1570 х 805 х 330]</t>
  </si>
  <si>
    <t xml:space="preserve"> (Внутренний блок) Размеры (Ш x Г x В): S[1200 х 300 х 874]</t>
  </si>
  <si>
    <t xml:space="preserve"> (Внутренний блок) Упаковка (Ш x Г x В): S[1405 х 915 х 365]</t>
  </si>
  <si>
    <t xml:space="preserve"> (Внутренний блок) Размеры (Ш x Г x В): S[1988 х 669 х 906]</t>
  </si>
  <si>
    <t xml:space="preserve"> (Внутренний блок) Упаковка (Ш x Г x В): S[2095 х 964 х 800]</t>
  </si>
  <si>
    <t xml:space="preserve"> (Наружный блок) Размеры (Ш x Г x В): S[1250 х 765 х 1615]</t>
  </si>
  <si>
    <t xml:space="preserve"> (Наружный блок) Упаковка (Ш x Г x В): S[1305 х 820 х 1790]</t>
  </si>
  <si>
    <t xml:space="preserve"> (Наружный блок) Размеры (Ш x Г x В): S[1390 х 765 х 1615]</t>
  </si>
  <si>
    <t xml:space="preserve"> (Наружный блок) Упаковка (Ш x Г x В): S[1455 х 830 х 1790]</t>
  </si>
  <si>
    <t xml:space="preserve"> (Внутренний блок) Размеры (Ш x Г x В): S[1452 х 462 х 716]</t>
  </si>
  <si>
    <t xml:space="preserve"> (Внутренний блок) Упаковка (Ш x Г x В): S[1555 х 875 х 500]</t>
  </si>
  <si>
    <t xml:space="preserve"> (Наружный блок) Размеры (Ш x Г x В): S[1312 х 658 х 919]</t>
  </si>
  <si>
    <t xml:space="preserve"> (Наружный блок) Упаковка (Ш x Г x В): S[1320 х 730 х 1060]</t>
  </si>
  <si>
    <t xml:space="preserve"> (Внутренний блок) Размеры (Ш x Г x В): S[510 х 1750 х 315]</t>
  </si>
  <si>
    <t xml:space="preserve"> (Внутренний блок) Упаковка (Ш x Г x В): S[655 х 430 х 1910]</t>
  </si>
  <si>
    <t xml:space="preserve"> (Внутренний блок) Упаковка (Ш x Г x В): S[1910 х 655 х 430]</t>
  </si>
  <si>
    <t xml:space="preserve"> (Внутренний блок) Размеры (Ш x Г x В): S[540 х 1825 х 410]</t>
  </si>
  <si>
    <t xml:space="preserve"> (Внутренний блок) Упаковка (Ш x Г x В): S[690 х 540 х 1965]</t>
  </si>
  <si>
    <t xml:space="preserve"> (Наружный блок) Размеры (Ш x Г x В): S[900 х 350 х 1170]</t>
  </si>
  <si>
    <t xml:space="preserve"> (Наружный блок) Упаковка (Ш x Г x В): S[1032 х 443 х 1307]</t>
  </si>
  <si>
    <t xml:space="preserve"> (Внутренний блок) Размеры (Ш x Г x В): S[540 х 1800 х 350]</t>
  </si>
  <si>
    <t xml:space="preserve"> (Внутренний блок) Упаковка (Ш x Г x В): S[685 х 480 х 1910]</t>
  </si>
  <si>
    <t xml:space="preserve"> (Внутренний блок) Размеры (Ш x Г x В): S[600 х 1934 х 455]</t>
  </si>
  <si>
    <t xml:space="preserve"> (Внутренний блок) Упаковка (Ш x Г x В): S[755 х 585 х 2080]</t>
  </si>
  <si>
    <t xml:space="preserve"> (Внутренний блок) Размеры (Ш x Г x В): S[700 х 450 х 200]</t>
  </si>
  <si>
    <t xml:space="preserve"> (Внутренний блок) Упаковка (Ш x Г x В): S[860 х 540 х 270]</t>
  </si>
  <si>
    <t xml:space="preserve"> (Наружный блок) Размеры (Ш x Г x В): S[700 х 450 х 200]</t>
  </si>
  <si>
    <t xml:space="preserve"> (Наружный блок) Упаковка (Ш x Г x В): S[860 х 540 х 270]</t>
  </si>
  <si>
    <t xml:space="preserve"> (Внутренний блок) Размеры (Ш x Г x В): S[700 х 506 х 200]</t>
  </si>
  <si>
    <t xml:space="preserve"> (Наружный блок) Размеры (Ш x Г x В): S[700 х 506 х 200]</t>
  </si>
  <si>
    <t xml:space="preserve"> (Наружный блок) Упаковка (Ш x Г x В): S[860 х 540 х 285]</t>
  </si>
  <si>
    <t xml:space="preserve"> (Внутренний блок) Размеры (Ш x Г x В): S[880 х 674 х 210]</t>
  </si>
  <si>
    <t xml:space="preserve"> (Наружный блок) Размеры (Ш x Г x В): S[880 х 674 х 210]</t>
  </si>
  <si>
    <t xml:space="preserve"> (Наружный блок) Упаковка (Ш x Г x В): S[1070 х 725 х 280]</t>
  </si>
  <si>
    <t xml:space="preserve"> (Внутренний блок) Размеры (Ш x Г x В): S[722 х 187 х 290]</t>
  </si>
  <si>
    <t xml:space="preserve"> (Внутренний блок) Упаковка (Ш x Г x В): S[790 х 270 х 370]</t>
  </si>
  <si>
    <t xml:space="preserve"> (Наружный блок) Размеры (Ш x Г x В): S[722 х 187 х 290]</t>
  </si>
  <si>
    <t xml:space="preserve"> (Наружный блок) Упаковка (Ш x Г x В): S[790 х 270 х 370]</t>
  </si>
  <si>
    <t xml:space="preserve"> (Внутренний блок) Размеры (Ш x Г x В): S[802 х 189 х 297]</t>
  </si>
  <si>
    <t xml:space="preserve"> (Наружный блок) Размеры (Ш x Г x В): S[802 х 189 х 297]</t>
  </si>
  <si>
    <t xml:space="preserve"> (Наружный блок) Упаковка (Ш x Г x В): S[875 х 285 х 375]</t>
  </si>
  <si>
    <t xml:space="preserve"> (Внутренний блок) Размеры (Ш x Г x В): S[965 х 215 х 319]</t>
  </si>
  <si>
    <t xml:space="preserve"> (Внутренний блок) Упаковка (Ш x Г x В): S[1045 х 305 х 405]</t>
  </si>
  <si>
    <t xml:space="preserve"> (Наружный блок) Размеры (Ш x Г x В): S[965 х 215 х 319]</t>
  </si>
  <si>
    <t xml:space="preserve"> (Наружный блок) Упаковка (Ш x Г x В): S[1045 х 305 х 405]</t>
  </si>
  <si>
    <t xml:space="preserve"> (Внутренний блок) Размеры (Ш x Г x В): S[1080 х 226 х 335]</t>
  </si>
  <si>
    <t xml:space="preserve"> (Наружный блок) Размеры (Ш x Г x В): S[1080 х 226 х 335]</t>
  </si>
  <si>
    <t xml:space="preserve"> (Наружный блок) Упаковка (Ш x Г x В): S[1155 х 415 х 315]</t>
  </si>
  <si>
    <t xml:space="preserve"> (Внутренний блок) Размеры (Ш x Г x В): S[215 х 965 х 319]</t>
  </si>
  <si>
    <t xml:space="preserve"> (Внутренний блок) Упаковка (Ш x Г x В): S[305 х 1045 х 405]</t>
  </si>
  <si>
    <t xml:space="preserve"> (Наружный блок) Размеры (Ш x Г x В): S[215 х 965 х 319]</t>
  </si>
  <si>
    <t xml:space="preserve"> (Наружный блок) Упаковка (Ш x Г x В): S[305 х 1045 х 405]</t>
  </si>
  <si>
    <t xml:space="preserve"> (Внутренний блок) Упаковка (Ш x Г x В): S[1155 х 315 х 415]</t>
  </si>
  <si>
    <t xml:space="preserve"> (Наружный блок) Упаковка (Ш x Г x В): S[1155 х 315 х 415]</t>
  </si>
  <si>
    <t xml:space="preserve"> (Внутренний блок) Размеры (Ш x Г x В): S[698 х 255 х 190]</t>
  </si>
  <si>
    <t xml:space="preserve"> (Внутренний блок) Упаковка (Ш x Г x В): S[764 х 257 х 325]</t>
  </si>
  <si>
    <t xml:space="preserve"> (Наружный блок) Размеры (Ш x Г x В): S[777 х 290 х 498]</t>
  </si>
  <si>
    <t xml:space="preserve"> (Наружный блок) Упаковка (Ш x Г x В): S[818 х 325 х 520]</t>
  </si>
  <si>
    <t xml:space="preserve"> (Внутренний блок) Размеры (Ш x Г x В): S[777 х 250 х 201]</t>
  </si>
  <si>
    <t xml:space="preserve"> (Внутренний блок) Упаковка (Ш x Г x В): S[850 х 275 х 320]</t>
  </si>
  <si>
    <t xml:space="preserve"> (Наружный блок) Размеры (Ш x Г x В): S[712 х 276 х 459]</t>
  </si>
  <si>
    <t xml:space="preserve"> (Наружный блок) Упаковка (Ш x Г x В): S[765 х 310 х 481]</t>
  </si>
  <si>
    <t xml:space="preserve"> (Внутренний блок) Упаковка (Ш x Г x В): S[840 х 260 х 315]</t>
  </si>
  <si>
    <t xml:space="preserve"> (Внутренний блок) Размеры (Ш x Г x В): S[910 х 294 х 206]</t>
  </si>
  <si>
    <t xml:space="preserve"> (Внутренний блок) Упаковка (Ш x Г x В): S[979 х 277 х 372]</t>
  </si>
  <si>
    <t xml:space="preserve"> (Наружный блок) Размеры (Ш x Г x В): S[853 х 349 х 602]</t>
  </si>
  <si>
    <t xml:space="preserve"> (Наружный блок) Упаковка (Ш x Г x В): S[890 х 385 х 628]</t>
  </si>
  <si>
    <t xml:space="preserve"> (Внутренний блок) Размеры (Ш x Г x В): S[1010 х 315 х 220]</t>
  </si>
  <si>
    <t xml:space="preserve"> (Внутренний блок) Упаковка (Ш x Г x В): S[1096 х 297 х 390]</t>
  </si>
  <si>
    <t xml:space="preserve"> (Наружный блок) Размеры (Ш x Г x В): S[968 х 375 х 655]</t>
  </si>
  <si>
    <t xml:space="preserve"> (Наружный блок) Упаковка (Ш x Г x В): S[1015 х 425 х 715]</t>
  </si>
  <si>
    <t xml:space="preserve"> (Наружный блок) Размеры (Ш x Г x В): S[886 х 357 х 605]</t>
  </si>
  <si>
    <t xml:space="preserve"> (Наружный блок) Упаковка (Ш x Г x В): S[930 х 380 х 635]</t>
  </si>
  <si>
    <t xml:space="preserve"> (Внутренний блок) Размеры (Ш x Г x В): S[1186 х 340 х 258]</t>
  </si>
  <si>
    <t xml:space="preserve"> (Внутренний блок) Упаковка (Ш x Г x В): S[1262 х 337 х 420]</t>
  </si>
  <si>
    <t xml:space="preserve"> (Наружный блок) Размеры (Ш x Г x В): S[953 х 433 х 808]</t>
  </si>
  <si>
    <t xml:space="preserve"> (Наружный блок) Упаковка (Ш x Г x В): S[1020 х 475 х 845]</t>
  </si>
  <si>
    <t xml:space="preserve"> (Внутренний блок) Упаковка (Ш x Г x В): S[764 х 267 х 325]</t>
  </si>
  <si>
    <t xml:space="preserve"> (Наружный блок) Размеры (Ш x Г x В): S[817 х 300 х 553]</t>
  </si>
  <si>
    <t xml:space="preserve"> (Наружный блок) Упаковка (Ш x Г x В): S[858 х 321 х 585]</t>
  </si>
  <si>
    <t xml:space="preserve"> (Наружный блок) Размеры (Ш x Г x В): S[968 х 400 х 655]</t>
  </si>
  <si>
    <t xml:space="preserve"> (Наружный блок) Упаковка (Ш x Г x В): S[1023 х 430 х 698]</t>
  </si>
  <si>
    <t xml:space="preserve"> (Наружный блок) Размеры (Ш x Г x В): S[920 х 380 х 699]</t>
  </si>
  <si>
    <t xml:space="preserve"> (Наружный блок) Упаковка (Ш x Г x В): S[960 х 400 х 732]</t>
  </si>
  <si>
    <t xml:space="preserve"> (Внутренний блок) Размеры (Ш x Г x В): S[890 х 290 х 735]</t>
  </si>
  <si>
    <t xml:space="preserve"> (Внутренний блок) Упаковка (Ш x Г x В): S[1070 х 800 х 360]</t>
  </si>
  <si>
    <t xml:space="preserve"> (Наружный блок) Размеры (Ш x Г x В): S[800 х 315 х 545]</t>
  </si>
  <si>
    <t xml:space="preserve"> (Наружный блок) Упаковка (Ш x Г x В): S[920 х 400 х 620]</t>
  </si>
  <si>
    <t xml:space="preserve"> (Наружный блок) Размеры (Ш x Г x В): S[825 х 310 х 655]</t>
  </si>
  <si>
    <t xml:space="preserve"> (Наружный блок) Упаковка (Ш x Г x В): S[945 х 435 х 725]</t>
  </si>
  <si>
    <t xml:space="preserve"> (Наружный блок) Размеры (Ш x Г x В): S[970 х 395 х 805]</t>
  </si>
  <si>
    <t xml:space="preserve"> (Наружный блок) Упаковка (Ш x Г x В): S[1105 х 495 х 895]</t>
  </si>
  <si>
    <t xml:space="preserve"> (Внутренний блок) Размеры (Ш x Г x В): S[1250 х 290 х 735]</t>
  </si>
  <si>
    <t xml:space="preserve"> (Внутренний блок) Упаковка (Ш x Г x В): S[1430 х 800 х 360]</t>
  </si>
  <si>
    <t xml:space="preserve"> (Наружный блок) Размеры (Ш x Г x В): S[940 х 370 х 1325]</t>
  </si>
  <si>
    <t xml:space="preserve"> (Наружный блок) Упаковка (Ш x Г x В): S[1080 х 430 х 1440]</t>
  </si>
  <si>
    <t xml:space="preserve"> (Внутренний блок) Размеры (Ш x Г x В): S[920 х 210 х 605]</t>
  </si>
  <si>
    <t xml:space="preserve"> (Внутренний блок) Упаковка (Ш x Г x В): S[1115 х 690 х 280]</t>
  </si>
  <si>
    <t xml:space="preserve"> (Наружный блок) Размеры (Ш x Г x В): S[780 х 290 х 605]</t>
  </si>
  <si>
    <t xml:space="preserve"> (Наружный блок) Упаковка (Ш x Г x В): S[883 х 412 х 653]</t>
  </si>
  <si>
    <t xml:space="preserve"> (Внутренний блок) Размеры (Ш x Г x В): S[920 х 270 х 605]</t>
  </si>
  <si>
    <t xml:space="preserve"> (Внутренний блок) Упаковка (Ш x Г x В): S[1115 х 690 х 340]</t>
  </si>
  <si>
    <t xml:space="preserve"> (Наружный блок) Размеры (Ш x Г x В): S[900 х 310 х 650]</t>
  </si>
  <si>
    <t xml:space="preserve"> (Наружный блок) Упаковка (Ш x Г x В): S[1015 х 425 х 720]</t>
  </si>
  <si>
    <t xml:space="preserve"> (Внутренний блок) Размеры (Ш x Г x В): S[1140 х 270 х 745]</t>
  </si>
  <si>
    <t xml:space="preserve"> (Внутренний блок) Упаковка (Ш x Г x В): S[1345 х 830 х 345]</t>
  </si>
  <si>
    <t xml:space="preserve"> (Наружный блок) Размеры (Ш x Г x В): S[900 х 360 х 805]</t>
  </si>
  <si>
    <t xml:space="preserve"> (Наружный блок) Упаковка (Ш x Г x В): S[1020 х 475 х 860]</t>
  </si>
  <si>
    <t xml:space="preserve"> (Внутренний блок) Размеры (Ш x Г x В): S[1200 х 300 х 835]</t>
  </si>
  <si>
    <t xml:space="preserve"> (Внутренний блок) Упаковка (Ш x Г x В): S[1405 х 925 х 375]</t>
  </si>
  <si>
    <t xml:space="preserve"> (Наружный блок) Размеры (Ш x Г x В): S[940 х 340 х 1250]</t>
  </si>
  <si>
    <t xml:space="preserve"> (Наружный блок) Упаковка (Ш x Г x В): S[1030 х 430 х 1365]</t>
  </si>
  <si>
    <t xml:space="preserve"> (Внутренний блок) Размеры (Ш x Г x В): S[1000 х 450 х 200]</t>
  </si>
  <si>
    <t xml:space="preserve"> (Внутренний блок) Упаковка (Ш x Г x В): S[1300 х 275 х 555]</t>
  </si>
  <si>
    <t xml:space="preserve"> (Внутренний блок) Размеры (Ш x Г x В): S[1000 х 700 х 245]</t>
  </si>
  <si>
    <t xml:space="preserve"> (Внутренний блок) Упаковка (Ш x Г x В): S[1230 х 300 х 830]</t>
  </si>
  <si>
    <t xml:space="preserve"> (Внутренний блок) Размеры (Ш x Г x В): S[1000 х 245 х 700]</t>
  </si>
  <si>
    <t xml:space="preserve"> (Внутренний блок) Упаковка (Ш x Г x В): S[1230 х 830 х 300]</t>
  </si>
  <si>
    <t xml:space="preserve"> (Наружный блок) Упаковка (Ш x Г x В): S[1105 х 495 х 890]</t>
  </si>
  <si>
    <t xml:space="preserve"> (Внутренний блок) Размеры (Ш x Г x В): S[1400 х 700 х 245]</t>
  </si>
  <si>
    <t xml:space="preserve"> (Внутренний блок) Упаковка (Ш x Г x В): S[1630 х 300 х 830]</t>
  </si>
  <si>
    <t xml:space="preserve"> (Наружный блок) Размеры (Ш x Г x В): S[940 х 340 х 1320]</t>
  </si>
  <si>
    <t xml:space="preserve"> (Внутренний блок) Размеры (Ш x Г x В): S[650 х 55 х 650]</t>
  </si>
  <si>
    <t xml:space="preserve"> (Внутренний блок) Упаковка (Ш x Г x В): S[710 х 710 х 80]</t>
  </si>
  <si>
    <t xml:space="preserve"> (Наружный блок) Размеры (Ш x Г x В): S[730 х 285 х 545]</t>
  </si>
  <si>
    <t xml:space="preserve"> (Наружный блок) Упаковка (Ш x Г x В): S[845 х 370 х 620]</t>
  </si>
  <si>
    <t xml:space="preserve"> (Внутренний блок) Размеры (Ш x Г x В): S[650 х 30 х 650]</t>
  </si>
  <si>
    <t xml:space="preserve"> (Внутренний блок) Упаковка (Ш x Г x В): S[690 х 690 х 65]</t>
  </si>
  <si>
    <t xml:space="preserve"> (Наружный блок) Размеры (Ш x Г x В): S[760 х 250 х 550]</t>
  </si>
  <si>
    <t xml:space="preserve"> (Наружный блок) Упаковка (Ш x Г x В): S[863 х 361 х 590]</t>
  </si>
  <si>
    <t xml:space="preserve"> (Внутренний блок) Размеры (Ш x Г x В): S[950 х 45 х 950]</t>
  </si>
  <si>
    <t xml:space="preserve"> (Внутренний блок) Упаковка (Ш x Г x В): S[1035 х 1035 х 80]</t>
  </si>
  <si>
    <t xml:space="preserve"> (Наружный блок) Упаковка (Ш x Г x В): S[850 х 370 х 620]</t>
  </si>
  <si>
    <t xml:space="preserve"> (Внутренний блок) Упаковка (Ш x Г x В): S[1000 х 1000 х 100]</t>
  </si>
  <si>
    <t xml:space="preserve"> (Внутренний блок) Размеры (Ш x Г x В): S[1000 х 690 х 235]</t>
  </si>
  <si>
    <t xml:space="preserve"> (Внутренний блок) Упаковка (Ш x Г x В): S[1080 х 325 х 770]</t>
  </si>
  <si>
    <t xml:space="preserve"> (Внутренний блок) Размеры (Ш x Г x В): S[1280 х 690 х 235]</t>
  </si>
  <si>
    <t xml:space="preserve"> (Внутренний блок) Упаковка (Ш x Г x В): S[1360 х 325 х 770]</t>
  </si>
  <si>
    <t xml:space="preserve"> (Внутренний блок) Размеры (Ш x Г x В): S[1600 х 690 х 235]</t>
  </si>
  <si>
    <t xml:space="preserve"> (Внутренний блок) Упаковка (Ш x Г x В): S[1680 х 325 х 770]</t>
  </si>
  <si>
    <t xml:space="preserve"> (Внутренний блок) Размеры (Ш x Г x В): S[1055 х 235 х 675]</t>
  </si>
  <si>
    <t xml:space="preserve"> (Внутренний блок) Упаковка (Ш x Г x В): S[1130 х 748 х 305]</t>
  </si>
  <si>
    <t xml:space="preserve"> (Внутренний блок) Размеры (Ш x Г x В): S[1055 х 675 х 235]</t>
  </si>
  <si>
    <t xml:space="preserve"> (Внутренний блок) Упаковка (Ш x Г x В): S[1130 х 305 х 748]</t>
  </si>
  <si>
    <t xml:space="preserve"> (Внутренний блок) Размеры (Ш x Г x В): S[1275 х 675 х 235]</t>
  </si>
  <si>
    <t xml:space="preserve"> (Внутренний блок) Упаковка (Ш x Г x В): S[1350 х 305 х 748]</t>
  </si>
  <si>
    <t xml:space="preserve"> (Внутренний блок) Размеры (Ш x Г x В): S[1635 х 235 х 675]</t>
  </si>
  <si>
    <t xml:space="preserve"> (Внутренний блок) Упаковка (Ш x Г x В): S[1710 х 748 х 305]</t>
  </si>
  <si>
    <t xml:space="preserve"> (Внутренний блок) Размеры (Ш x Г x В): S[1635 х 675 х 235]</t>
  </si>
  <si>
    <t xml:space="preserve"> (Внутренний блок) Упаковка (Ш x Г x В): S[1710 х 305 х 748]</t>
  </si>
  <si>
    <t xml:space="preserve"> (Внутренний блок) Размеры (Ш x Г x В): S[1000 х 235 х 690]</t>
  </si>
  <si>
    <t xml:space="preserve"> (Внутренний блок) Упаковка (Ш x Г x В): S[1080 х 770 х 325]</t>
  </si>
  <si>
    <t xml:space="preserve"> (Внутренний блок) Размеры (Ш x Г x В): S[1280 х 235 х 690]</t>
  </si>
  <si>
    <t xml:space="preserve"> (Внутренний блок) Упаковка (Ш x Г x В): S[1360 х 770 х 325]</t>
  </si>
  <si>
    <t xml:space="preserve"> (Внутренний блок) Размеры (Ш x Г x В): S[1600 х 235 х 690]</t>
  </si>
  <si>
    <t xml:space="preserve"> (Внутренний блок) Упаковка (Ш x Г x В): S[1680 х 770 х 325]</t>
  </si>
  <si>
    <t xml:space="preserve"> (Внутренний блок) Размеры (Ш x Г x В): S[777 х 201 х 250]</t>
  </si>
  <si>
    <t xml:space="preserve"> (Наружный блок) Размеры (Ш x Г x В): S[777 х 201 х 250]</t>
  </si>
  <si>
    <t xml:space="preserve"> (Наружный блок) Упаковка (Ш x Г x В): S[850 х 275 х 320]</t>
  </si>
  <si>
    <t xml:space="preserve"> (Внутренний блок) Размеры (Ш x Г x В): S[910 х 206 х 294]</t>
  </si>
  <si>
    <t xml:space="preserve"> (Наружный блок) Размеры (Ш x Г x В): S[910 х 206 х 294]</t>
  </si>
  <si>
    <t xml:space="preserve"> (Наружный блок) Упаковка (Ш x Г x В): S[979 х 277 х 372]</t>
  </si>
  <si>
    <t xml:space="preserve"> (Внутренний блок) Размеры (Ш x Г x В): S[945 х 293 х 225]</t>
  </si>
  <si>
    <t xml:space="preserve"> (Внутренний блок) Упаковка (Ш x Г x В): S[1035 х 325 х 384]</t>
  </si>
  <si>
    <t xml:space="preserve"> (Наружный блок) Размеры (Ш x Г x В): S[848 х 320 х 596]</t>
  </si>
  <si>
    <t xml:space="preserve"> (Наружный блок) Упаковка (Ш x Г x В): S[881 х 363 х 645]</t>
  </si>
  <si>
    <t xml:space="preserve"> (Внутренний блок) Размеры (Ш x Г x В): S[744 х 256 х 185]</t>
  </si>
  <si>
    <t xml:space="preserve"> (Внутренний блок) Упаковка (Ш x Г x В): S[788 х 249 х 315]</t>
  </si>
  <si>
    <t xml:space="preserve"> (Внутренний блок) Упаковка (Ш x Г x В): S[788 х 249 х 314]</t>
  </si>
  <si>
    <t xml:space="preserve"> (Наружный блок) Упаковка (Ш x Г x В): S[789 х 390 х 600]</t>
  </si>
  <si>
    <t xml:space="preserve"> (Внутренний блок) Размеры (Ш x Г x В): S[819 х 256 х 185]</t>
  </si>
  <si>
    <t xml:space="preserve"> (Внутренний блок) Упаковка (Ш x Г x В): S[863 х 249 х 314]</t>
  </si>
  <si>
    <t xml:space="preserve"> (Внутренний блок) Размеры (Ш x Г x В): S[1017 х 304 х 221]</t>
  </si>
  <si>
    <t xml:space="preserve"> (Внутренний блок) Упаковка (Ш x Г x В): S[1077 х 300 х 375]</t>
  </si>
  <si>
    <t xml:space="preserve"> (Наружный блок) Упаковка (Ш x Г x В): S[878 х 360 х 630]</t>
  </si>
  <si>
    <t xml:space="preserve"> (Внутренний блок) Размеры (Ш x Г x В): S[1013 х 307 х 221]</t>
  </si>
  <si>
    <t xml:space="preserve"> (Внутренний блок) Упаковка (Ш x Г x В): S[1055 х 287 х 366]</t>
  </si>
  <si>
    <t xml:space="preserve"> (Наружный блок) Размеры (Ш x Г x В): S[732 х 330 х 555]</t>
  </si>
  <si>
    <t xml:space="preserve"> (Наружный блок) Размеры (Ш x Г x В): S[965 х 396 х 700]</t>
  </si>
  <si>
    <t xml:space="preserve"> (Наружный блок) Упаковка (Ш x Г x В): S[1026 х 455 х 735]</t>
  </si>
  <si>
    <t xml:space="preserve"> (Внутренний блок) Размеры (Ш x Г x В): S[704 х 260 х 185]</t>
  </si>
  <si>
    <t xml:space="preserve"> (Внутренний блок) Упаковка (Ш x Г x В): S[748 х 247 х 316]</t>
  </si>
  <si>
    <t xml:space="preserve"> (Наружный блок) Размеры (Ш x Г x В): S[720 х 310 х 428]</t>
  </si>
  <si>
    <t xml:space="preserve"> (Наружный блок) Упаковка (Ш x Г x В): S[765 х 350 х 475]</t>
  </si>
  <si>
    <t xml:space="preserve"> (Внутренний блок) Размеры (Ш x Г x В): S[779 х 260 х 185]</t>
  </si>
  <si>
    <t xml:space="preserve"> (Внутренний блок) Упаковка (Ш x Г x В): S[823 х 247 х 316]</t>
  </si>
  <si>
    <t xml:space="preserve"> (Наружный блок) Размеры (Ш x Г x В): S[782 х 320 х 540]</t>
  </si>
  <si>
    <t xml:space="preserve"> (Наружный блок) Упаковка (Ш x Г x В): S[820 х 355 х 580]</t>
  </si>
  <si>
    <t xml:space="preserve"> (Внутренний блок) Размеры (Ш x Г x В): S[825 х 293 х 196]</t>
  </si>
  <si>
    <t xml:space="preserve"> (Внутренний блок) Упаковка (Ш x Г x В): S[870 х 257 х 349]</t>
  </si>
  <si>
    <t xml:space="preserve"> (Наружный блок) Размеры (Ш x Г x В): S[848 х 320 х 540]</t>
  </si>
  <si>
    <t xml:space="preserve"> (Наружный блок) Упаковка (Ш x Г x В): S[878 х 360 х 580]</t>
  </si>
  <si>
    <t xml:space="preserve"> (Наружный блок) Размеры (Ш x Г x В): S[802 х 350 х 555]</t>
  </si>
  <si>
    <t xml:space="preserve"> (Наружный блок) Упаковка (Ш x Г x В): S[869 х 395 х 594]</t>
  </si>
  <si>
    <t xml:space="preserve"> (Внутренний блок) Размеры (Ш x Г x В): S[982 х 311 х 221]</t>
  </si>
  <si>
    <t xml:space="preserve"> (Внутренний блок) Упаковка (Ш x Г x В): S[1039 х 287 х 377]</t>
  </si>
  <si>
    <t xml:space="preserve"> (Наружный блок) Размеры (Ш x Г x В): S[912 х 373 х 646]</t>
  </si>
  <si>
    <t xml:space="preserve"> (Наружный блок) Упаковка (Ш x Г x В): S[960 х 408 х 680]</t>
  </si>
  <si>
    <t xml:space="preserve"> (Внутренний блок) Размеры (Ш x Г x В): S[1075 х 333 х 246]</t>
  </si>
  <si>
    <t xml:space="preserve"> (Внутренний блок) Упаковка (Ш x Г x В): S[1128 х 323 х 406]</t>
  </si>
  <si>
    <t xml:space="preserve"> (Наружный блок) Размеры (Ш x Г x В): S[955 х 396 х 700]</t>
  </si>
  <si>
    <t xml:space="preserve"> (Наружный блок) Размеры (Ш x Г x В): S[958 х 402 х 660]</t>
  </si>
  <si>
    <t xml:space="preserve"> (Наружный блок) Упаковка (Ш x Г x В): S[1029 х 453 х 715]</t>
  </si>
  <si>
    <t xml:space="preserve"> (Внутренний блок) Размеры (Ш x Г x В): S[1078 х 325 х 246]</t>
  </si>
  <si>
    <t xml:space="preserve"> (Внутренний блок) Упаковка (Ш x Г x В): S[1148 х 350 х 413]</t>
  </si>
  <si>
    <t xml:space="preserve"> (Наружный блок) Размеры (Ш x Г x В): S[980 х 427 х 790]</t>
  </si>
  <si>
    <t xml:space="preserve"> (Наружный блок) Упаковка (Ш x Г x В): S[1083 х 488 х 855]</t>
  </si>
  <si>
    <t xml:space="preserve"> (Внутренний блок) Размеры (Ш x Г x В): S[977 х 281 х 295]</t>
  </si>
  <si>
    <t xml:space="preserve"> (Внутренний блок) Упаковка (Ш x Г x В): S[1086 х 402 х 376]</t>
  </si>
  <si>
    <t xml:space="preserve"> (Наружный блок) Размеры (Ш x Г x В): S[899 х 378 х 596]</t>
  </si>
  <si>
    <t xml:space="preserve"> (Наружный блок) Упаковка (Ш x Г x В): S[948 х 420 х 645]</t>
  </si>
  <si>
    <t xml:space="preserve"> (Внутренний блок) Размеры (Ш x Г x В): S[1000 х 200 х 450]</t>
  </si>
  <si>
    <t xml:space="preserve"> (Внутренний блок) Упаковка (Ш x Г x В): S[1308 х 568 х 275]</t>
  </si>
  <si>
    <t xml:space="preserve"> (Наружный блок) Размеры (Ш x Г x В): S[818 х 302 х 596]</t>
  </si>
  <si>
    <t xml:space="preserve"> (Наружный блок) Размеры (Ш x Г x В): S[892 х 340 х 698]</t>
  </si>
  <si>
    <t xml:space="preserve"> (Наружный блок) Упаковка (Ш x Г x В): S[1029 х 458 х 750]</t>
  </si>
  <si>
    <t xml:space="preserve"> (Внутренний блок) Упаковка (Ш x Г x В): S[1205 х 813 х 360]</t>
  </si>
  <si>
    <t xml:space="preserve"> (Наружный блок) Размеры (Ш x Г x В): S[920 х 370 х 790]</t>
  </si>
  <si>
    <t xml:space="preserve"> (Внутренний блок) Упаковка (Ш x Г x В): S[1601 х 813 х 365]</t>
  </si>
  <si>
    <t xml:space="preserve"> (Наружный блок) Размеры (Ш x Г x В): S[940 х 460 х 820]</t>
  </si>
  <si>
    <t xml:space="preserve"> (Наружный блок) Упаковка (Ш x Г x В): S[1083 х 573 х 973]</t>
  </si>
  <si>
    <t xml:space="preserve"> (Внутренний блок) Упаковка (Ш x Г x В): S[1678 х 808 х 365]</t>
  </si>
  <si>
    <t xml:space="preserve"> (Внутренний блок) Размеры (Ш x Г x В): S[1460 х 365 х 790]</t>
  </si>
  <si>
    <t xml:space="preserve"> (Внутренний блок) Упаковка (Ш x Г x В): S[1578 х 883 х 400]</t>
  </si>
  <si>
    <t xml:space="preserve"> (Наружный блок) Размеры (Ш x Г x В): S[940 х 320 х 1430]</t>
  </si>
  <si>
    <t xml:space="preserve"> (Наружный блок) Упаковка (Ш x Г x В): S[1023 х 423 х 1475]</t>
  </si>
  <si>
    <t xml:space="preserve"> (Внутренний блок) Размеры (Ш x Г x В): S[1690 х 440 х 870]</t>
  </si>
  <si>
    <t xml:space="preserve"> (Внутренний блок) Упаковка (Ш x Г x В): S[1788 х 988 х 988]</t>
  </si>
  <si>
    <t xml:space="preserve"> (Наружный блок) Размеры (Ш x Г x В): S[460 х 940 х 1615]</t>
  </si>
  <si>
    <t xml:space="preserve"> (Наружный блок) Упаковка (Ш x Г x В): S[1660 х 1023 х 563]</t>
  </si>
  <si>
    <t xml:space="preserve"> (Внутренний блок) Упаковка (Ш x Г x В): S[1788 х 988 х 465]</t>
  </si>
  <si>
    <t xml:space="preserve"> (Наружный блок) Размеры (Ш x Г x В): S[940 х 460 х 1615]</t>
  </si>
  <si>
    <t xml:space="preserve"> (Наружный блок) Упаковка (Ш x Г x В): S[1023 х 563 х 1660]</t>
  </si>
  <si>
    <t xml:space="preserve"> (Внутренний блок) Размеры (Ш x Г x В): S[1680 х 650 х 900]</t>
  </si>
  <si>
    <t xml:space="preserve"> (Внутренний блок) Упаковка (Ш x Г x В): S[1803 х 1023 х 685]</t>
  </si>
  <si>
    <t xml:space="preserve"> (Внутренний блок) Размеры (Ш x Г x В): S[570 х 265 х 570]</t>
  </si>
  <si>
    <t xml:space="preserve"> (Внутренний блок) Упаковка (Ш x Г x В): S[653 х 698 х 295]</t>
  </si>
  <si>
    <t xml:space="preserve"> (Внутренний блок) Размеры (Ш x Г x В): S[840 х 200 х 840]</t>
  </si>
  <si>
    <t xml:space="preserve"> (Внутренний блок) Упаковка (Ш x Г x В): S[923 х 943 х 245]</t>
  </si>
  <si>
    <t xml:space="preserve"> (Внутренний блок) Размеры (Ш x Г x В): S[840 х 240 х 840]</t>
  </si>
  <si>
    <t xml:space="preserve"> (Внутренний блок) Упаковка (Ш x Г x В): S[963 х 963 х 325]</t>
  </si>
  <si>
    <t xml:space="preserve"> (Внутренний блок) Размеры (Ш x Г x В): S[840 х 290 х 840]</t>
  </si>
  <si>
    <t xml:space="preserve"> (Внутренний блок) Упаковка (Ш x Г x В): S[963 х 963 х 379]</t>
  </si>
  <si>
    <t xml:space="preserve"> (Внутренний блок) Размеры (Ш x Г x В): S[870 х 665 х 235]</t>
  </si>
  <si>
    <t xml:space="preserve"> (Внутренний блок) Упаковка (Ш x Г x В): S[1033 х 300 х 770]</t>
  </si>
  <si>
    <t xml:space="preserve"> (Внутренний блок) Размеры (Ш x Г x В): S[1200 х 665 х 235]</t>
  </si>
  <si>
    <t xml:space="preserve"> (Внутренний блок) Упаковка (Ш x Г x В): S[1363 х 300 х 770]</t>
  </si>
  <si>
    <t xml:space="preserve"> (Внутренний блок) Размеры (Ш x Г x В): S[1570 х 665 х 235]</t>
  </si>
  <si>
    <t xml:space="preserve"> (Внутренний блок) Упаковка (Ш x Г x В): S[1729 х 300 х 770]</t>
  </si>
  <si>
    <t xml:space="preserve"> (Внутренний блок) Размеры (Ш x Г x В): S[1260 х 270 х 555]</t>
  </si>
  <si>
    <t xml:space="preserve"> (Внутренний блок) Упаковка (Ш x Г x В): S[1348 х 597 х 283]</t>
  </si>
  <si>
    <t xml:space="preserve"> (Внутренний блок) Размеры (Ш x Г x В): S[700 х 300 х 1000]</t>
  </si>
  <si>
    <t xml:space="preserve"> (Внутренний блок) Упаковка (Ш x Г x В): S[813 х 1205 х 360]</t>
  </si>
  <si>
    <t xml:space="preserve"> (Внутренний блок) Размеры (Ш x Г x В): S[1230 х 290 х 790]</t>
  </si>
  <si>
    <t xml:space="preserve"> (Внутренний блок) Упаковка (Ш x Г x В): S[1338 х 837 х 305]</t>
  </si>
  <si>
    <t xml:space="preserve"> (Внутренний блок) Размеры (Ш x Г x В): S[700 х 300 х 1400]</t>
  </si>
  <si>
    <t xml:space="preserve"> (Внутренний блок) Упаковка (Ш x Г x В): S[813 х 1601 х 365]</t>
  </si>
  <si>
    <t xml:space="preserve"> (Наружный блок) Размеры (Ш x Г x В): S[980 х 425 х 790]</t>
  </si>
  <si>
    <t xml:space="preserve"> (Наружный блок) Упаковка (Ш x Г x В): S[1083 х 488 х 875]</t>
  </si>
  <si>
    <t xml:space="preserve"> (Наружный блок) Размеры (Ш x Г x В): S[460 х 940 х 820]</t>
  </si>
  <si>
    <t xml:space="preserve"> (Наружный блок) Упаковка (Ш x Г x В): S[573 х 1083 х 973]</t>
  </si>
  <si>
    <t xml:space="preserve"> (Внутренний блок) Размеры (Ш x Г x В): S[670 х 50 х 670]</t>
  </si>
  <si>
    <t xml:space="preserve"> (Внутренний блок) Упаковка (Ш x Г x В): S[763 х 763 х 105]</t>
  </si>
  <si>
    <t xml:space="preserve"> (Наружный блок) Размеры (Ш x Г x В): S[955 х 395 х 700]</t>
  </si>
  <si>
    <t xml:space="preserve"> (Внутренний блок) Размеры (Ш x Г x В): S[620 х 47.5 х 620]</t>
  </si>
  <si>
    <t xml:space="preserve"> (Внутренний блок) Упаковка (Ш x Г x В): S[701 х 701 х 125]</t>
  </si>
  <si>
    <t xml:space="preserve"> (Наружный блок) Размеры (Ш x Г x В): S[761 х 256 х 548]</t>
  </si>
  <si>
    <t xml:space="preserve"> (Наружный блок) Упаковка (Ш x Г x В): S[881 х 363 х 595]</t>
  </si>
  <si>
    <t xml:space="preserve"> (Внутренний блок) Размеры (Ш x Г x В): S[950 х 60 х 950]</t>
  </si>
  <si>
    <t xml:space="preserve"> (Внутренний блок) Упаковка (Ш x Г x В): S[1038 х 1033 х 133]</t>
  </si>
  <si>
    <t xml:space="preserve"> (Внутренний блок) Размеры (Ш x Г x В): S[950 х 52 х 950]</t>
  </si>
  <si>
    <t xml:space="preserve"> (Внутренний блок) Упаковка (Ш x Г x В): S[1033 х 1038 х 112]</t>
  </si>
  <si>
    <t xml:space="preserve"> (Наружный блок) Размеры (Ш x Г x В): S[340 х 892 х 698]</t>
  </si>
  <si>
    <t xml:space="preserve"> (Наружный блок) Упаковка (Ш x Г x В): S[458 х 1029 х 750]</t>
  </si>
  <si>
    <t xml:space="preserve"> (Наружный блок) Размеры (Ш x Г x В): S[370 х 920 х 790]</t>
  </si>
  <si>
    <t xml:space="preserve"> (Наружный блок) Размеры (Ш x Г x В): S[1120 х 440 х 1100]</t>
  </si>
  <si>
    <t xml:space="preserve"> (Наружный блок) Упаковка (Ш x Г x В): S[1235 х 483 х 1158]</t>
  </si>
  <si>
    <t xml:space="preserve"> (Наружный блок) Размеры (Ш x Г x В): S[980 х 410 х 1350]</t>
  </si>
  <si>
    <t xml:space="preserve"> (Наружный блок) Упаковка (Ш x Г x В): S[1027 х 443 х 1500]</t>
  </si>
  <si>
    <t xml:space="preserve"> (Внутренний блок) Размеры (Ш x Г x В): S[507 х 1770 х 320]</t>
  </si>
  <si>
    <t xml:space="preserve"> (Внутренний блок) Упаковка (Ш x Г x В): S[623 х 440 х 1988]</t>
  </si>
  <si>
    <t xml:space="preserve"> (Внутренний блок) Размеры (Ш x Г x В): S[587 х 1882 х 394]</t>
  </si>
  <si>
    <t xml:space="preserve"> (Внутренний блок) Упаковка (Ш x Г x В): S[738 х 545 х 2153]</t>
  </si>
  <si>
    <t xml:space="preserve"> (Наружный блок) Размеры (Ш x Г x В): S[1032 х 412 х 1250]</t>
  </si>
  <si>
    <t xml:space="preserve"> (Наружный блок) Упаковка (Ш x Г x В): S[1113 х 453 х 1400]</t>
  </si>
  <si>
    <t xml:space="preserve"> (Внутренний блок) Упаковка (Ш x Г x В): S[1363 х 288 х 782]</t>
  </si>
  <si>
    <t xml:space="preserve"> (Внутренний блок) Размеры (Ш x Г x В): S[235 х 665 х 870]</t>
  </si>
  <si>
    <t xml:space="preserve"> (Внутренний блок) Упаковка (Ш x Г x В): S[300 х 1033 х 770]</t>
  </si>
  <si>
    <t xml:space="preserve"> (Внутренний блок) Размеры (Ш x Г x В): S[235 х 665 х 1200]</t>
  </si>
  <si>
    <t xml:space="preserve"> (Внутренний блок) Упаковка (Ш x Г x В): S[300 х 1363 х 770]</t>
  </si>
  <si>
    <t xml:space="preserve"> (Внутренний блок) Упаковка (Ш x Г x В): S[1729 х 288 х 782]</t>
  </si>
  <si>
    <t xml:space="preserve"> (Внутренний блок) Размеры (Ш x Г x В): S[235 х 665 х 1570]</t>
  </si>
  <si>
    <t xml:space="preserve"> (Внутренний блок) Упаковка (Ш x Г x В): S[300 х 1729 х 770]</t>
  </si>
  <si>
    <t xml:space="preserve"> (Внутренний блок) Размеры (Ш x Г x В): S[700 х 615 х 200]</t>
  </si>
  <si>
    <t xml:space="preserve"> (Внутренний блок) Упаковка (Ш x Г x В): S[893 х 743 х 305]</t>
  </si>
  <si>
    <t xml:space="preserve"> (Наружный блок) Размеры (Ш x Г x В): S[700 х 615 х 200]</t>
  </si>
  <si>
    <t xml:space="preserve"> (Наружный блок) Упаковка (Ш x Г x В): S[893 х 743 х 305]</t>
  </si>
  <si>
    <t xml:space="preserve"> (Внутренний блок) Упаковка (Ш x Г x В): S[740 х 890 х 290]</t>
  </si>
  <si>
    <t xml:space="preserve"> (Наружный блок) Упаковка (Ш x Г x В): S[740 х 890 х 290]</t>
  </si>
  <si>
    <t xml:space="preserve"> (Внутренний блок) Размеры (Ш x Г x В): S[900 х 615 х 200]</t>
  </si>
  <si>
    <t xml:space="preserve"> (Внутренний блок) Упаковка (Ш x Г x В): S[1123 х 743 х 305]</t>
  </si>
  <si>
    <t xml:space="preserve"> (Наружный блок) Размеры (Ш x Г x В): S[900 х 615 х 200]</t>
  </si>
  <si>
    <t xml:space="preserve"> (Наружный блок) Упаковка (Ш x Г x В): S[1123 х 743 х 305]</t>
  </si>
  <si>
    <t xml:space="preserve"> (Внутренний блок) Упаковка (Ш x Г x В): S[740 х 1120 х 290]</t>
  </si>
  <si>
    <t xml:space="preserve"> (Наружный блок) Упаковка (Ш x Г x В): S[740 х 1120 х 290]</t>
  </si>
  <si>
    <t xml:space="preserve"> (Внутренний блок) Размеры (Ш x Г x В): S[1100 х 615 х 200]</t>
  </si>
  <si>
    <t xml:space="preserve"> (Внутренний блок) Упаковка (Ш x Г x В): S[1323 х 743 х 205]</t>
  </si>
  <si>
    <t xml:space="preserve"> (Наружный блок) Размеры (Ш x Г x В): S[1100 х 615 х 200]</t>
  </si>
  <si>
    <t xml:space="preserve"> (Наружный блок) Упаковка (Ш x Г x В): S[1323 х 743 х 205]</t>
  </si>
  <si>
    <t xml:space="preserve"> (Внутренний блок) Упаковка (Ш x Г x В): S[740 х 1320 х 290]</t>
  </si>
  <si>
    <t xml:space="preserve"> (Наружный блок) Упаковка (Ш x Г x В): S[740 х 1320 х 290]</t>
  </si>
  <si>
    <t xml:space="preserve"> (Внутренний блок) Размеры (Ш x Г x В): S[1220 х 225 х 700]</t>
  </si>
  <si>
    <t xml:space="preserve"> (Внутренний блок) Упаковка (Ш x Г x В): S[1343 х 315 х 823]</t>
  </si>
  <si>
    <t xml:space="preserve"> (Наружный блок) Размеры (Ш x Г x В): S[1220 х 225 х 700]</t>
  </si>
  <si>
    <t xml:space="preserve"> (Наружный блок) Упаковка (Ш x Г x В): S[1343 х 315 х 823]</t>
  </si>
  <si>
    <t xml:space="preserve"> (Внутренний блок) Размеры (Ш x Г x В): S[819 х 185 х 256]</t>
  </si>
  <si>
    <t xml:space="preserve"> (Внутренний блок) Упаковка (Ш x Г x В): S[868 х 260 х 330]</t>
  </si>
  <si>
    <t xml:space="preserve"> (Наружный блок) Размеры (Ш x Г x В): S[819 х 185 х 256]</t>
  </si>
  <si>
    <t xml:space="preserve"> (Наружный блок) Упаковка (Ш x Г x В): S[868 х 260 х 330]</t>
  </si>
  <si>
    <t xml:space="preserve"> (Внутренний блок) Размеры (Ш x Г x В): S[1013 х 221 х 307]</t>
  </si>
  <si>
    <t xml:space="preserve"> (Внутренний блок) Упаковка (Ш x Г x В): S[1080 х 315 х 378]</t>
  </si>
  <si>
    <t xml:space="preserve"> (Наружный блок) Размеры (Ш x Г x В): S[1013 х 221 х 307]</t>
  </si>
  <si>
    <t xml:space="preserve"> (Наружный блок) Упаковка (Ш x Г x В): S[1080 х 315 х 378]</t>
  </si>
  <si>
    <t xml:space="preserve"> (Внутренний блок) Размеры (Ш x Г x В): S[744 х 185 х 256]</t>
  </si>
  <si>
    <t xml:space="preserve"> (Наружный блок) Размеры (Ш x Г x В): S[744 х 185 х 256]</t>
  </si>
  <si>
    <t xml:space="preserve"> (Наружный блок) Упаковка (Ш x Г x В): S[788 х 249 х 314]</t>
  </si>
  <si>
    <t xml:space="preserve"> (Наружный блок) Упаковка (Ш x Г x В): S[863 х 249 х 314]</t>
  </si>
  <si>
    <t xml:space="preserve"> (Внутренний блок) Размеры (Ш x Г x В): S[1017 х 221 х 304]</t>
  </si>
  <si>
    <t xml:space="preserve"> (Наружный блок) Размеры (Ш x Г x В): S[1017 х 221 х 304]</t>
  </si>
  <si>
    <t xml:space="preserve"> (Наружный блок) Упаковка (Ш x Г x В): S[1077 х 300 х 375]</t>
  </si>
  <si>
    <t>on 11:42:47</t>
  </si>
  <si>
    <t>30 (1)</t>
  </si>
  <si>
    <t>Производитель</t>
  </si>
  <si>
    <t xml:space="preserve">E[LESSAR колонка B]; </t>
  </si>
  <si>
    <t>E[</t>
  </si>
  <si>
    <t>Производитель: E[FUJITSU]</t>
  </si>
  <si>
    <t>; 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N[0.465];  (Потребляемая мощность) Обогрев: S[0.685];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S[21/25];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</si>
  <si>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N[0.65];  (Потребляемая мощность) Обогрев: S[0.73];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S[21/25];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</si>
  <si>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N[0.97];  (Потребляемая мощность) Обогрев: S[1.02];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S[26/30];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</si>
  <si>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N[1.135];  (Потребляемая мощность) Обогрев: S[1.365];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S[25/33/40/44];  (Наружный блок) Марка компрессора: S[PANASONIC];  (Наружный блок) Размеры (Ш x Г x В): S[790 х 290 х 540];  (Наружный блок) Упаковка (Ш x Г x В): S[938 х 400 х 648];  (Наружный блок) Масса (нетто / брутто): S[34/37];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</si>
  <si>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S[Канальные];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  (Наружный блок) Марка компрессора: S[];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</si>
  <si>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  (Наружный блок) Марка компрессора: S[];  (Наружный блок) Размеры (Ш x Г x В): S[940 х 320 х 998];  (Наружный блок) Упаковка (Ш x Г x В): S[1027 х 445 х 1176];  (Наружный блок) Масса (нетто / брутто): S[63/73];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</si>
  <si>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N[2.84];  (Потребляемая мощность) Обогрев: S[2.87];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</si>
  <si>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N[4.65];  (Потребляемая мощность) Обогрев: S[4.37];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</si>
  <si>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S[Мульти сплит система];  (Сплит система) Холодопроизводительность: N[19];  (Сплит система) Площадь помещения: N[190];  (Сплит система) Инвентор: S[да];  (Сплит система) Теплопроизводительность: N[22.4];  (Потребляемая мощность) Охлаждение: N[5.99];  (Потребляемая мощность) Обогрев: S[6.12];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</si>
  <si>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S[Мульти сплит система];  (Сплит система) Холодопроизводительность: N[22];  (Сплит система) Площадь помещения: N[220];  (Сплит система) Инвентор: S[да];  (Сплит система) Теплопроизводительность: N[27];  (Потребляемая мощность) Охлаждение: N[7.24];  (Потребляемая мощность) Обогрев: S[7.65];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</si>
  <si>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S[1135 х 700 х 270];  (Внутренний блок) Упаковка (Ш x Г x В): S[1320 х 790 х 300];  (Внутренний блок) Масса (нетто / брутто): S[38 / 44];  (Внутренний блок) Уровень шума мин. / макс.: S[];  (Наружный блок) Марка компрессора: S[];  (Наружный блок) Размеры (Ш x Г x В): S[1135 х 700 х 270];  (Наружный блок) Упаковка (Ш x Г x В): S[1320 х 790 х 300];  (Наружный блок) Масса (нетто / брутто): S[38 / 44];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</si>
  <si>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N[6.25];  (Сплит система) Площадь помещения: N[63];  (Сплит система) Инвентор: S[да];  (Сплит система) Теплопроизводительность: N[7];  (Потребляемая мощность) Охлаждение: N[0.106];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S[1135 х 700 х 270];  (Внутренний блок) Упаковка (Ш x Г x В): S[1320 х 790 х 300];  (Внутренний блок) Масса (нетто / брутто): S[38 / 44];  (Внутренний блок) Уровень шума мин. / макс.: S[];  (Наружный блок) Марка компрессора: S[];  (Наружный блок) Размеры (Ш x Г x В): S[1135 х 700 х 270];  (Наружный блок) Упаковка (Ш x Г x В): S[1320 х 790 х 300];  (Наружный блок) Масса (нетто / брутто): S[38 / 44];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</si>
  <si>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N[2];  (Сплит система) Площадь помещения: N[20];  (Сплит система) Инвентор: S[да];  (Сплит система) Теплопроизводительность: N[];  (Потребляемая мощность) Охлаждение: N[0.033];  (Потребляемая мощность) Обогрев: S[0.033];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S[16 / 21];  (Внутренний блок) Уровень шума мин. / макс.: S[28/26/25/24];  (Наружный блок) Марка компрессора: S[];  (Наружный блок) Размеры (Ш x Г x В): S[700 х 620 х 198];  (Наружный блок) Упаковка (Ш x Г x В): S[968 х 772 х 276];  (Наружный блок) Масса (нетто / брутто): S[16 / 21];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</si>
  <si>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N[0.033];  (Потребляемая мощность) Обогрев: S[0.033];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S[17 / 24];  (Внутренний блок) Уровень шума мин. / макс.: S[28/26/25/24];  (Наружный блок) Марка компрессора: S[];  (Наружный блок) Размеры (Ш x Г x В): S[700 х 620 х 198];  (Наружный блок) Упаковка (Ш x Г x В): S[968 х 772 х 276];  (Наружный блок) Масса (нетто / брутто): S[17 / 24];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</si>
  <si>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N[0.049];  (Потребляемая мощность) Обогрев: S[0.049];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26];  (Внутренний блок) Уровень шума мин. / макс.: S[28/27/26/25];  (Наружный блок) Марка компрессора: S[];  (Наружный блок) Размеры (Ш x Г x В): S[700 х 620 х 198];  (Наружный блок) Упаковка (Ш x Г x В): S[968 х 772 х 276];  (Наружный блок) Масса (нетто / брутто): S[19 / 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</si>
  <si>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N[0.058];  (Потребляемая мощность) Обогрев: S[0.058];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23];  (Внутренний блок) Уровень шума мин. / макс.: S[];  (Наружный блок) Марка компрессора: S[];  (Наружный блок) Размеры (Ш x Г x В): S[700 х 620 х 198];  (Наружный блок) Упаковка (Ш x Г x В): S[968 х 772 х 276];  (Наружный блок) Масса (нетто / брутто): S[19 / 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</si>
  <si>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N[0.076];  (Потребляемая мощность) Обогрев: S[0.076];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23];  (Внутренний блок) Уровень шума мин. / макс.: S[];  (Наружный блок) Марка компрессора: S[];  (Наружный блок) Размеры (Ш x Г x В): S[700 х 620 х 198];  (Наружный блок) Упаковка (Ш x Г x В): S[968 х 772 х 276];  (Наружный блок) Масса (нетто / брутто): S[19 / 23];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</si>
  <si>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N[0.073];  (Потребляемая мощность) Обогрев: S[0.073];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х 620 х 198];  (Внутренний блок) Упаковка (Ш x Г x В): S[1168 х 772 х 276];  (Внутренний блок) Масса (нетто / брутто): S[23 / 27];  (Внутренний блок) Уровень шума мин. / макс.: S[];  (Наружный блок) Марка компрессора: S[];  (Наружный блок) Размеры (Ш x Г x В): S[900 х 620 х 198];  (Наружный блок) Упаковка (Ш x Г x В): S[1168 х 772 х 276];  (Наружный блок) Масса (нетто / брутто): S[23 / 27];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</si>
  <si>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S[27/29/31/33];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</si>
  <si>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S[27/29/31/33];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</si>
  <si>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</si>
  <si>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N[0.028];  (Потребляемая мощность) Обогрев: S[0.028];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</si>
  <si>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N[0.039];  (Потребляемая мощность) Обогрев: S[0.039];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</si>
  <si>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570 х 245];  (Внутренний блок) Упаковка (Ш x Г x В): S[730 х 625 х 265];  (Внутренний блок) Масса (нетто / брутто): S[15 / 18];  (Внутренний блок) Уровень шума мин. / макс.: S[33/31/29/27];  (Наружный блок) Марка компрессора: S[];  (Наружный блок) Размеры (Ш x Г x В): S[570 х 570 х 245];  (Наружный блок) Упаковка (Ш x Г x В): S[730 х 625 х 265];  (Наружный блок) Масса (нетто / брутто): S[15 / 18];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</si>
  <si>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S[Кассетные];  (Сплит система) Холодопроизводительность: N[5.5];  (Сплит система) Площадь помещения: N[55];  (Сплит система) Инвентор: S[да];  (Сплит система) Теплопроизводительность: N[5.5];  (Потребляемая мощность) Охлаждение: N[5.5];  (Потребляемая мощность) Обогрев: S[5.5];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х 570 х 245];  (Внутренний блок) Упаковка (Ш x Г x В): S[730 х 625 х 265];  (Внутренний блок) Масса (нетто / брутто): S[16 / 19];  (Внутренний блок) Уровень шума мин. / макс.: S[];  (Наружный блок) Марка компрессора: S[];  (Наружный блок) Размеры (Ш x Г x В): S[570 х 570 х 245];  (Наружный блок) Упаковка (Ш x Г x В): S[730 х 625 х 265];  (Наружный блок) Масса (нетто / брутто): S[16 / 19];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</si>
  <si>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N[0.026];  (Потребляемая мощность) Обогрев: S[0.026];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199 х 655];  (Внутренний блок) Упаковка (Ш x Г x В): S[1150 х 320 х 790];  (Внутренний блок) Масса (нетто / брутто): S[27 / 36];  (Внутренний блок) Уровень шума мин. / макс.: S[];  (Наружный блок) Марка компрессора: S[];  (Наружный блок) Размеры (Ш x Г x В): S[990 х 199 х 655];  (Наружный блок) Упаковка (Ш x Г x В): S[1150 х 320 х 790];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</si>
  <si>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N[0.047];  (Потребляемая мощность) Обогрев: S[0.047];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655 х 199];  (Внутренний блок) Упаковка (Ш x Г x В): S[1150 х 790 х 320];  (Внутренний блок) Масса (нетто / брутто): S[27 / 36];  (Внутренний блок) Уровень шума мин. / макс.: S[];  (Наружный блок) Марка компрессора: S[];  (Наружный блок) Размеры (Ш x Г x В): S[990 х 655 х 199];  (Наружный блок) Упаковка (Ш x Г x В): S[1150 х 790 х 320];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</si>
  <si>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N[6.25];  (Сплит система) Площадь помещения: N[63];  (Сплит система) Инвентор: S[да];  (Сплит система) Теплопроизводительность: N[7];  (Потребляемая мощность) Охлаждение: N[0.08];  (Потребляемая мощность) Обогрев: S[0.08];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S[655 х 990 х 199];  (Внутренний блок) Упаковка (Ш x Г x В): S[655 х 990 х 199];  (Внутренний блок) Масса (нетто / брутто): S[27 / 27];  (Внутренний блок) Уровень шума мин. / макс.: S[];  (Наружный блок) Марка компрессора: S[];  (Наружный блок) Размеры (Ш x Г x В): S[655 х 990 х 199];  (Наружный блок) Упаковка (Ш x Г x В): S[655 х 990 х 199];  (Наружный блок) Масса (нетто / брутто): S[27 / 27];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</si>
  <si>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655 х 199];  (Внутренний блок) Упаковка (Ш x Г x В): S[1150 х 790 х 320];  (Внутренний блок) Масса (нетто / брутто): S[27 / 36];  (Внутренний блок) Уровень шума мин. / макс.: S[];  (Наружный блок) Марка компрессора: S[];  (Наружный блок) Размеры (Ш x Г x В): S[990 х 655 х 199];  (Наружный блок) Упаковка (Ш x Г x В): S[1150 х 790 х 320];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</si>
  <si>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N[0.016];  (Потребляемая мощность) Обогрев: S[0.016];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</si>
  <si>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</si>
  <si>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S[Напольно-потолочные];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</si>
  <si>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E[FUJITSU];  Тип: S[Мульти сплит система];  (Сплит система) Холодопроизводительность: N[12.5];  (Сплит система) Площадь помещения: N[125];  (Сплит система) Инвентор: S[да];  (Сплит система) Теплопроизводительность: N[14];  (Потребляемая мощность) Охлаждение: N[4.06];  (Потребляемая мощность) Обогрев: S[3.67];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</si>
  <si>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N[5.2];  (Потребляемая мощность) Обогрев: S[5.16];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-5 до +46];  (Допустимая темп. наружного воздуха) Обогрев: S[от -15 до +24]</t>
  </si>
  <si>
    <t>Производитель: E[LESSAR]</t>
  </si>
  <si>
    <t>; Производитель: E[LESSAR];  Тип: S[Сплит система];  (Сплит система) Холодопроизводительность: N[2.2];  (Сплит система) Площадь помещения: N[22];  (Сплит система) Инвентор: S[нет];  (Сплит система) Теплопроизводительность: N[2.34];  (Потребляемая мощность) Охлаждение: N[0.685];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S[8.3 / 10.6];  (Внутренний блок) Уровень шума мин. / макс.: S[26/34.5/38];  (Наружный блок) Марка компрессора: S[GMCC];  (Наружный блок) Размеры (Ш x Г x В): S[700 х 275 х 550];  (Наружный блок) Упаковка (Ш x Г x В): S[815 х 325 х 625];  (Наружный блок) Масса (нетто / брутто): S[23.9/26.2];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</si>
  <si>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N[2.28];  (Сплит система) Площадь помещения: N[23];  (Сплит система) Инвентор: S[нет];  (Сплит система) Теплопроизводительность: N[2.28];  (Потребляемая мощность) Охлаждение: N[0.693];  (Потребляемая мощность) Обогрев: S[0.617];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S[26/35/40.5];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S[24.6/26.5];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</si>
  <si>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N[2.81];  (Потребляемая мощность) Охлаждение: N[0.821];  (Потребляемая мощность) Обогрев: S[0.771];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S[8.2 / 10.2];  (Внутренний блок) Уровень шума мин. / макс.: S[26.5/33/41];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S[24.9/26.6];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</si>
  <si>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N[3.81];  (Потребляемая мощность) Охлаждение: N[1.096];  (Потребляемая мощность) Обогрев: S[1.055];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380];  (Внутренний блок) Масса (нетто / брутто): S[8.8 / 11];  (Внутренний блок) Уровень шума мин. / макс.: S[26.5/35.5/37.5];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S[31.2/33.5];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</si>
  <si>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N[1.644];  (Потребляемая мощность) Обогрев: S[1.502];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S[965 х 319 х 215];  (Внутренний блок) Упаковка (Ш x Г x В): S[1045 х 305 х 410];  (Внутренний блок) Масса (нетто / брутто): S[11.6 / 14.8];  (Внутренний блок) Уровень шума мин. / макс.: S[30/38.5/42.5];  (Наружный блок) Марка компрессора: S[GMCC];  (Наружный блок) Размеры (Ш x Г x В): S[770 х 300 х 555];  (Наружный блок) Упаковка (Ш x Г x В): S[900 х 348 х 625];  (Наружный блок) Масса (нетто / брутто): S[37.7/40];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</si>
  <si>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N[7.62];  (Потребляемая мощность) Охлаждение: N[2.503];  (Потребляемая мощность) Обогрев: S[2.374];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S[1080 х 335 х 226];  (Внутренний блок) Упаковка (Ш x Г x В): S[1155 х 320 х 415];  (Внутренний блок) Масса (нетто / брутто): S[14 / 17.5];  (Внутренний блок) Уровень шума мин. / макс.: S[40/44/47];  (Наружный блок) Марка компрессора: S[GMCC];  (Наружный блок) Размеры (Ш x Г x В): S[845 х 363 х 702];  (Наружный блок) Упаковка (Ш x Г x В): S[965 х 395 х 775];  (Наружный блок) Масса (нетто / брутто): S[50.6/53.8];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</si>
  <si>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N[8.5];  (Потребляемая мощность) Охлаждение: N[2.556];  (Потребляемая мощность) Обогрев: S[2.354];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S[1259 х 362 х 282];  (Внутренний блок) Упаковка (Ш x Г x В): S[1340 х 385 х 450];  (Внутренний блок) Масса (нетто / брутто): S[20.1 / 25.9];  (Внутренний блок) Уровень шума мин. / макс.: S[40/47/50];  (Наружный блок) Марка компрессора: S[GMCC];  (Наружный блок) Размеры (Ш x Г x В): S[946 х 410 х 810];  (Наружный блок) Упаковка (Ш x Г x В): S[1090 х 500 х 885];  (Наружный блок) Масса (нетто / брутто): S[62.5/68.5];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+54];  (Допустимая темп. наружного воздуха) Обогрев: S[от -7 до +24]</t>
  </si>
  <si>
    <t>; Производитель: E[LESSAR];  Тип: S[Сплит система];  (Сплит система) Холодопроизводительность: N[9.96];  (Сплит система) Площадь помещения: N[100];  (Сплит система) Инвентор: S[нет];  (Сплит система) Теплопроизводительность: N[10.84];  (Потребляемая мощность) Охлаждение: N[3.104];  (Потребляемая мощность) Обогрев: S[3.08];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362 х 283];  (Внутренний блок) Упаковка (Ш x Г x В): S[1340 х 385 х 450];  (Внутренний блок) Масса (нетто / брутто): S[21.8 / 27.6];  (Внутренний блок) Уровень шума мин. / макс.: S[42/47/51];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S[70/76.5];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</si>
  <si>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N[2.34];  (Потребляемая мощность) Охлаждение: N[0.639];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S[26.5/38/41];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S[23.9/25.6];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</si>
  <si>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N[2.64];  (Потребляемая мощность) Охлаждение: N[0.821];  (Потребляемая мощность) Обогрев: S[0.73];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S[26.5/38/41];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S[24.2/26];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</si>
  <si>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N[3.66];  (Потребляемая мощность) Охлаждение: N[1.095];  (Потребляемая мощность) Обогрев: S[1.015];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380];  (Внутренний блок) Масса (нетто / брутто): S[9 / 11.4];  (Внутренний блок) Уровень шума мин. / макс.: S[26.5/34.5/37.5];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S[26/27.7];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</si>
  <si>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N[5.57];  (Потребляемая мощность) Охлаждение: N[1.643];  (Потребляемая мощность) Обогрев: S[1.542];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S[965 х 319 х 215];  (Внутренний блок) Упаковка (Ш x Г x В): S[1045 х 305 х 410];  (Внутренний блок) Масса (нетто / брутто): S[12.1 / 15.3];  (Внутренний блок) Уровень шума мин. / макс.: S[34.5/38/45];  (Наружный блок) Марка компрессора: S[GMCC];  (Наружный блок) Размеры (Ш x Г x В): S[765 х 303 х 555];  (Наружный блок) Упаковка (Ш x Г x В): S[887 х 337 х 610];  (Наружный блок) Масса (нетто / брутто): S[34.5/37];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</si>
  <si>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N[7.33];  (Потребляемая мощность) Охлаждение: N[2.191];  (Потребляемая мощность) Обогрев: S[2.03];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335 х 226];  (Внутренний блок) Упаковка (Ш x Г x В): S[1155 х 415 х 320];  (Внутренний блок) Масса (нетто / брутто): S[15 / 18.6];  (Внутренний блок) Уровень шума мин. / макс.: S[34.5/45.5/49];  (Наружный блок) Марка компрессора: S[GMCC];  (Наружный блок) Размеры (Ш x Г x В): S[890 х 342 х 673];  (Наружный блок) Упаковка (Ш x Г x В): S[995 х 398 х 740];  (Наружный блок) Масса (нетто / брутто): S[47.9/50.9];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</si>
  <si>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S[Канальные];  (Сплит система) Холодопроизводительность: N[44];  (Сплит система) Площадь помещения: N[440];  (Сплит система) Инвентор: S[нет];  (Сплит система) Теплопроизводительность: N[47];  (Потребляемая мощность) Охлаждение: N[16.3];  (Потребляемая мощность) Обогрев: S[15.7];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S[1988 х 669 х 906];  (Внутренний блок) Упаковка (Ш x Г x В): S[2095 х 964 х 800];  (Внутренний блок) Масса (нетто / брутто): S[208 / 220];  (Внутренний блок) Уровень шума мин. / макс.: S[63];  (Наружный блок) Марка компрессора: S[Hitachi x 3];  (Наружный блок) Размеры (Ш x Г x В): S[1250 х 765 х 1615];  (Наружный блок) Упаковка (Ш x Г x В): S[1305 х 820 х 1790];  (Наружный блок) Масса (нетто / брутто): S[288/308];  (Наружный блок) Максимальный уровень шума: N[];  (Соединительные трубы) Жидкостная линия : N[16];  (Соединительные трубы) Газовая линия : N[32];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</si>
  <si>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S[Канальные];  (Сплит система) Холодопроизводительность: N[56.3];  (Сплит система) Площадь помещения: N[563];  (Сплит система) Инвентор: S[нет];  (Сплит система) Теплопроизводительность: N[58.6];  (Потребляемая мощность) Охлаждение: N[22];  (Потребляемая мощность) Обогрев: S[19.3];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S[1988 х 669 х 906];  (Внутренний блок) Упаковка (Ш x Г x В): S[2095 х 964 х 800];  (Внутренний блок) Масса (нетто / брутто): S[215 / 230];  (Внутренний блок) Уровень шума мин. / макс.: S[65];  (Наружный блок) Марка компрессора: S[Hitachi x 3];  (Наружный блок) Размеры (Ш x Г x В): S[1390 х 765 х 1615];  (Наружный блок) Упаковка (Ш x Г x В): S[1455 х 830 х 1790];  (Наружный блок) Масса (нетто / брутто): S[320/336];  (Наружный блок) Максимальный уровень шума: N[];  (Соединительные трубы) Жидкостная линия : N[16];  (Соединительные трубы) Газовая линия : N[35];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</si>
  <si>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S[Канальные];  (Сплит система) Холодопроизводительность: N[28.1];  (Сплит система) Площадь помещения: N[281];  (Сплит система) Инвентор: S[нет];  (Сплит система) Теплопроизводительность: N[31.1];  (Потребляемая мощность) Охлаждение: N[9.6];  (Потребляемая мощность) Обогрев: S[10.3];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S[1452 х 462 х 716];  (Внутренний блок) Упаковка (Ш x Г x В): S[1555 х 875 х 500];  (Внутренний блок) Масса (нетто / брутто): S[97 / 109];  (Внутренний блок) Уровень шума мин. / макс.: S[56];  (Наружный блок) Марка компрессора: S[Danfoss];  (Наружный блок) Размеры (Ш x Г x В): S[1312 х 658 х 919];  (Наружный блок) Упаковка (Ш x Г x В): S[1320 х 730 х 1060];  (Наружный блок) Масса (нетто / брутто): S[177/192];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</si>
  <si>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S[Колонные];  (Сплит система) Холодопроизводительность: N[7.03];  (Сплит система) Площадь помещения: N[70];  (Сплит система) Инвентор: S[нет];  (Сплит система) Теплопроизводительность: N[7.91];  (Потребляемая мощность) Охлаждение: N[2.425];  (Потребляемая мощность) Обогрев: S[2.47];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S[510 х 1750 х 315];  (Внутренний блок) Упаковка (Ш x Г x В): S[1910 х 655 х 430];  (Внутренний блок) Масса (нетто / брутто): S[38.4 / 49];  (Внутренний блок) Уровень шума мин. / макс.: S[40/47];  (Наружный блок) Марка компрессора: S[GMCC];  (Наружный блок) Размеры (Ш x Г x В): S[890 х 342 х 673];  (Наружный блок) Упаковка (Ш x Г x В): S[995 х 398 х 740];  (Наружный блок) Масса (нетто / брутто): S[55.5/58.7];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18 до +43];  (Допустимая темп. наружного воздуха) Обогрев: S[от -7 до +24]</t>
  </si>
  <si>
    <t>; Производитель: E[LESSAR];  Тип: S[Канальные];  (Сплит система) Холодопроизводительность: N[2.05];  (Сплит система) Площадь помещения: N[21];  (Сплит система) Инвентор: S[да];  (Сплит система) Теплопроизводительность: N[2.34];  (Потребляемая мощность) Охлаждение: N[0.17];  (Потребляемая мощность) Обогрев: S[0.17];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S[27/34/40];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</si>
  <si>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S[Канальные];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N[0.18];  (Потребляемая мощность) Обогрев: S[0.18];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S[27/34/40];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</si>
  <si>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N[0.185];  (Потребляемая мощность) Обогрев: S[0.185];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S[27.5/34.5/40];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</si>
  <si>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N[0.185];  (Потребляемая мощность) Обогрев: S[0.185];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506 х 200];  (Внутренний блок) Упаковка (Ш x Г x В): S[860 х 540 х 285];  (Внутренний блок) Масса (нетто / брутто): S[17.8 / 21.5];  (Внутренний блок) Уровень шума мин. / макс.: S[30/32/34.5];  (Наружный блок) Марка компрессора: S[];  (Наружный блок) Размеры (Ш x Г x В): S[700 х 506 х 200];  (Наружный блок) Упаковка (Ш x Г x В): S[860 х 540 х 285];  (Наружный блок) Масса (нетто / брутто): S[17.8 / 21.5];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</si>
  <si>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S[Канальные];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N[0.2];  (Потребляемая мощность) Обогрев: S[0.2];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674 х 210];  (Внутренний блок) Упаковка (Ш x Г x В): S[1070 х 725 х 280];  (Внутренний блок) Масса (нетто / брутто): S[24.3 / 29.6];  (Внутренний блок) Уровень шума мин. / макс.: S[33/38/41.5];  (Наружный блок) Марка компрессора: S[];  (Наружный блок) Размеры (Ш x Г x В): S[880 х 674 х 210];  (Наружный блок) Упаковка (Ш x Г x В): S[1070 х 725 х 280];  (Наружный блок) Масса (нетто / брутто): S[24.3 / 29.6];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</si>
  <si>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S[Канальные];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N[0.2];  (Потребляемая мощность) Обогрев: S[0.2];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S[880 х 674 х 210];  (Внутренний блок) Упаковка (Ш x Г x В): S[1070 х 725 х 280];  (Внутренний блок) Масса (нетто / брутто): S[24.4 / 29.6];  (Внутренний блок) Уровень шума мин. / макс.: S[35/39/42];  (Наружный блок) Марка компрессора: S[];  (Наружный блок) Размеры (Ш x Г x В): S[880 х 674 х 210];  (Наружный блок) Упаковка (Ш x Г x В): S[1070 х 725 х 280];  (Наружный блок) Масса (нетто / брутто): S[24.4 / 29.6];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</si>
  <si>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S[Кассетные];  (Сплит система) Холодопроизводительность: N[2.63];  (Сплит система) Площадь помещения: N[26];  (Сплит система) Инвентор: S[да];  (Сплит система) Теплопроизводительность: N[2.63];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</si>
  <si>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S[Кассетные];  (Сплит система) Холодопроизводительность: N[3.51];  (Сплит система) Площадь помещения: N[35];  (Сплит система) Инвентор: S[да];  (Сплит система) Теплопроизводительность: N[4.1];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</si>
  <si>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S[Кассетные];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</si>
  <si>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S[Кассетные];  (Сплит система) Холодопроизводительность: N[5.27];  (Сплит система) Площадь помещения: N[53];  (Сплит система) Инвентор: S[да];  (Сплит система) Теплопроизводительность: N[5.27];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</si>
  <si>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N[2.93];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S[7.3 / 9.7];  (Внутренний блок) Уровень шума мин. / макс.: S[22/33/37];  (Наружный блок) Марка компрессора: S[];  (Наружный блок) Размеры (Ш x Г x В): S[722 х 187 х 290];  (Наружный блок) Упаковка (Ш x Г x В): S[790 х 270 х 370];  (Наружный блок) Масса (нетто / брутто): S[7.3 / 9.7];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</si>
  <si>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N[0.021];  (Потребляемая мощность) Обогрев: S[0.021];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S[8.2 / 10.7];  (Внутренний блок) Уровень шума мин. / макс.: S[22/32/38];  (Наружный блок) Марка компрессора: S[];  (Наружный блок) Размеры (Ш x Г x В): S[802 х 189 х 297];  (Наружный блок) Упаковка (Ш x Г x В): S[875 х 285 х 375];  (Наружный блок) Масса (нетто / брутто): S[8.2 / 10.7];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</si>
  <si>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S[8.6 / 11.1];  (Внутренний блок) Уровень шума мин. / макс.: S[25/35/42];  (Наружный блок) Марка компрессора: S[];  (Наружный блок) Размеры (Ш x Г x В): S[802 х 189 х 297];  (Наружный блок) Упаковка (Ш x Г x В): S[875 х 285 х 375];  (Наружный блок) Масса (нетто / брутто): S[8.6 / 11.1];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</si>
  <si>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N[0.024];  (Потребляемая мощность) Обогрев: S[0.024];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S[965 х 215 х 319];  (Внутренний блок) Упаковка (Ш x Г x В): S[1045 х 305 х 405];  (Внутренний блок) Масса (нетто / брутто): S[9 / 12.2];  (Внутренний блок) Уровень шума мин. / макс.: S[27/33/42];  (Наружный блок) Марка компрессора: S[];  (Наружный блок) Размеры (Ш x Г x В): S[965 х 215 х 319];  (Наружный блок) Упаковка (Ш x Г x В): S[1045 х 305 х 405];  (Наружный блок) Масса (нетто / брутто): S[9 / 12.2];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</si>
  <si>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S[965 х 215 х 319];  (Внутренний блок) Упаковка (Ш x Г x В): S[1045 х 305 х 405];  (Внутренний блок) Масса (нетто / брутто): S[10.9 / 14.2];  (Внутренний блок) Уровень шума мин. / макс.: S[28.5/30.5/41.5];  (Наружный блок) Марка компрессора: S[];  (Наружный блок) Размеры (Ш x Г x В): S[965 х 215 х 319];  (Наружный блок) Упаковка (Ш x Г x В): S[1045 х 305 х 405];  (Наружный блок) Масса (нетто / брутто): S[10.9 / 14.2];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</si>
  <si>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N[7.33];  (Сплит система) Площадь помещения: N[73];  (Сплит система) Инвентор: S[да];  (Сплит система) Теплопроизводительность: N[7.62];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415 х 315];  (Внутренний блок) Масса (нетто / брутто): S[12 / 15.2];  (Внутренний блок) Уровень шума мин. / макс.: S[30/40/46];  (Наружный блок) Марка компрессора: S[];  (Наружный блок) Размеры (Ш x Г x В): S[1080 х 226 х 335];  (Наружный блок) Упаковка (Ш x Г x В): S[1155 х 415 х 315];  (Наружный блок) Масса (нетто / брутто): S[12 / 15.2];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</si>
  <si>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N[7.33];  (Потребляемая мощность) Охлаждение: N[0.072];  (Потребляемая мощность) Обогрев: S[0.072];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415 х 315];  (Внутренний блок) Масса (нетто / брутто): S[13.7 / 17.3];  (Внутренний блок) Уровень шума мин. / макс.: S[29/38.5/45];  (Наружный блок) Марка компрессора: S[];  (Наружный блок) Размеры (Ш x Г x В): S[1080 х 226 х 335];  (Наружный блок) Упаковка (Ш x Г x В): S[1155 х 415 х 315];  (Наружный блок) Масса (нетто / брутто): S[13.7 / 17.3];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</si>
  <si>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N[2.34];  (Сплит система) Площадь помещения: N[23];  (Сплит система) Инвентор: S[да];  (Сплит система) Теплопроизводительность: N[2.63];  (Потребляемая мощность) Охлаждение: N[0.024];  (Потребляемая мощность) Обогрев: S[0.024];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S[7.4 / 9.6];  (Внутренний блок) Уровень шума мин. / макс.: S[];  (Наружный блок) Марка компрессора: S[];  (Наружный блок) Размеры (Ш x Г x В): S[722 х 187 х 290];  (Наружный блок) Упаковка (Ш x Г x В): S[790 х 270 х 370];  (Наружный блок) Масса (нетто / брутто): S[7.4 / 9.6];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</si>
  <si>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N[2.63];  (Сплит система) Площадь помещения: N[26];  (Сплит система) Инвентор: S[да];  (Сплит система) Теплопроизводительность: N[2.93];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S[7.4 / 9.6];  (Внутренний блок) Уровень шума мин. / макс.: S[32/33/37];  (Наружный блок) Марка компрессора: S[];  (Наружный блок) Размеры (Ш x Г x В): S[722 х 187 х 290];  (Наружный блок) Упаковка (Ш x Г x В): S[790 х 270 х 370];  (Наружный блок) Масса (нетто / брутто): S[7.4 / 9.6];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</si>
  <si>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N[3.51];  (Сплит система) Площадь помещения: N[35];  (Сплит система) Инвентор: S[да];  (Сплит система) Теплопроизводительность: N[3.8];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S[8.2 / 10.7];  (Внутренний блок) Уровень шума мин. / макс.: S[24/35/39];  (Наружный блок) Марка компрессора: S[];  (Наружный блок) Размеры (Ш x Г x В): S[802 х 189 х 297];  (Наружный блок) Упаковка (Ш x Г x В): S[875 х 285 х 375];  (Наружный блок) Масса (нетто / брутто): S[8.2 / 10.7];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</si>
  <si>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N[5.27];  (Сплит система) Площадь помещения: N[53];  (Сплит система) Инвентор: S[да];  (Сплит система) Теплопроизводительность: N[5.86];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S[215 х 965 х 319];  (Внутренний блок) Упаковка (Ш x Г x В): S[305 х 1045 х 405];  (Внутренний блок) Масса (нетто / брутто): S[10.7 / 14];  (Внутренний блок) Уровень шума мин. / макс.: S[];  (Наружный блок) Марка компрессора: S[];  (Наружный блок) Размеры (Ш x Г x В): S[215 х 965 х 319];  (Наружный блок) Упаковка (Ш x Г x В): S[305 х 1045 х 405];  (Наружный блок) Масса (нетто / брутто): S[10.7 / 14];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</si>
  <si>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E[LESSAR];  Тип: S[Мульти 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N[7.91];  (Потребляемая мощность) Охлаждение: N[0.06];  (Потребляемая мощность) Обогрев: S[0.06];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315 х 415];  (Внутренний блок) Масса (нетто / брутто): S[13 / 16.6];  (Внутренний блок) Уровень шума мин. / макс.: S[32/43/48];  (Наружный блок) Марка компрессора: S[];  (Наружный блок) Размеры (Ш x Г x В): S[1080 х 226 х 335];  (Наружный блок) Упаковка (Ш x Г x В): S[1155 х 315 х 415];  (Наружный блок) Масса (нетто / брутто): S[13 / 16.6];  (Наружный блок) Максимальный уровень шума: N[];  (Соединительные трубы) Жидкостная линия : N[9.53];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</si>
  <si>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E[QUATTROCLIMA]</t>
  </si>
  <si>
    <t>; Производитель: E[QUATTROCLIMA];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N[2.2];  (Потребляемая мощность) Охлаждение: N[0.64];  (Потребляемая мощность) Обогрев: S[0.61];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S[7 / 8.5];  (Внутренний блок) Уровень шума мин. / макс.: S[24/26/28/31/34];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</si>
  <si>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N[2.2];  (Сплит система) Площадь помещения: N[22];  (Сплит система) Инвентор: S[нет];  (Сплит система) Теплопроизводительность: N[2.2];  (Потребляемая мощность) Охлаждение: N[0.685];  (Потребляемая мощность) Обогрев: S[0.609];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S[7.5 / 9.5];  (Внутренний блок) Уровень шума мин. / макс.: S[28/31/34/37/40];  (Наружный блок) Марка компрессора: S[GMCC];  (Наружный блок) Размеры (Ш x Г x В): S[712 х 276 х 459];  (Наружный блок) Упаковка (Ш x Г x В): S[765 х 310 х 481];  (Наружный блок) Масса (нетто / брутто): S[20/23];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</si>
  <si>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N[2.8];  (Потребляемая мощность) Охлаждение: N[0.82];  (Потребляемая мощность) Обогрев: S[0.775];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S[7 / 8.5];  (Внутренний блок) Уровень шума мин. / макс.: S[25/26/28/32/35];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</si>
  <si>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N[2.78];  (Потребляемая мощность) Охлаждение: N[0.822];  (Потребляемая мощность) Обогрев: S[0.77];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S[7.5 / 9.5];  (Внутренний блок) Уровень шума мин. / макс.: S[28/31/34/37/40];  (Наружный блок) Марка компрессора: S[GMCC];  (Наружный блок) Размеры (Ш x Г x В): S[712 х 276 х 459];  (Наружный блок) Упаковка (Ш x Г x В): S[765 х 310 х 481];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</si>
  <si>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N[3.7];  (Потребляемая мощность) Охлаждение: N[1.1];  (Потребляемая мощность) Обогрев: S[1.02];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S[7.5 / 10];  (Внутренний блок) Уровень шума мин. / макс.: S[29/33/35/38/38];  (Наружный блок) Марка компрессора: S[GMCC];  (Наружный блок) Размеры (Ш x Г x В): S[777 х 290 х 498];  (Наружный блок) Упаковка (Ш x Г x В): S[818 х 325 х 520];  (Наружный блок) Масса (нетто / брутто): S[25/28];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</si>
  <si>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N[3.66];  (Потребляемая мощность) Охлаждение: N[1.095];  (Потребляемая мощность) Обогрев: S[1.013];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S[28/31/34/37/40];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</si>
  <si>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S[32/34/36/38/40];  (Наружный блок) Марка компрессора: S[HIGHLY];  (Наружный блок) Размеры (Ш x Г x В): S[853 х 349 х 602];  (Наружный блок) Упаковка (Ш x Г x В): S[890 х 385 х 628];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</si>
  <si>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S[34/36/40/43/44];  (Наружный блок) Марка компрессора: S[HIGHLY];  (Наружный блок) Размеры (Ш x Г x В): S[853 х 349 х 602];  (Наружный блок) Упаковка (Ш x Г x В): S[890 х 385 х 628];  (Наружный блок) Масса (нетто / брутто): S[38/41];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</si>
  <si>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N[7.18];  (Потребляемая мощность) Охлаждение: N[2.18];  (Потребляемая мощность) Обогрев: S[1.98];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S[35/39/43/47/49];  (Наружный блок) Марка компрессора: S[GMCC];  (Наружный блок) Размеры (Ш x Г x В): S[968 х 375 х 655];  (Наружный блок) Упаковка (Ш x Г x В): S[1015 х 425 х 715];  (Наружный блок) Масса (нетто / брутто): S[50/54];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</si>
  <si>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N[7.18];  (Потребляемая мощность) Охлаждение: N[2.19];  (Потребляемая мощность) Обогрев: S[1.985];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S[35/38/42/45/49];  (Наружный блок) Марка компрессора: S[HIGHLY];  (Наружный блок) Размеры (Ш x Г x В): S[886 х 357 х 605];  (Наружный блок) Упаковка (Ш x Г x В): S[930 х 380 х 635];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</si>
  <si>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N[8.35];  (Потребляемая мощность) Охлаждение: N[2.55];  (Потребляемая мощность) Обогрев: S[2.31];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S[1186 х 340 х 258];  (Внутренний блок) Упаковка (Ш x Г x В): S[1262 х 337 х 420];  (Внутренний блок) Масса (нетто / брутто): S[18 / 22];  (Внутренний блок) Уровень шума мин. / макс.: S[/41/45/49/51];  (Наружный блок) Марка компрессора: S[HIGHLY];  (Наружный блок) Размеры (Ш x Г x В): S[953 х 433 х 808];  (Наружный блок) Упаковка (Ш x Г x В): S[1020 х 475 х 845];  (Наружный блок) Масса (нетто / брутто): S[68/74];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</si>
  <si>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N[2.2];  (Потребляемая мощность) Охлаждение: N[0.639];  (Потребляемая мощность) Обогрев: S[0.609];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S[25/27/29/32/34];  (Наружный блок) Марка компрессора: S[GMCC];  (Наружный блок) Размеры (Ш x Г x В): S[712 х 276 х 459];  (Наружный блок) Упаковка (Ш x Г x В): S[765 х 310 х 481];  (Наружный блок) Масса (нетто / брутто): S[20/22];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</si>
  <si>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N[2.73];  (Потребляемая мощность) Охлаждение: N[0.794];  (Потребляемая мощность) Обогрев: S[0.755];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S[25/27/29/33/35];  (Наружный блок) Марка компрессора: S[GMCC];  (Наружный блок) Размеры (Ш x Г x В): S[712 х 276 х 459];  (Наружный блок) Упаковка (Ш x Г x В): S[765 х 310 х 481];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</si>
  <si>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N[3.37];  (Сплит система) Площадь помещения: N[34];  (Сплит система) Инвентор: S[нет];  (Сплит система) Теплопроизводительность: N[3.52];  (Потребляемая мощность) Охлаждение: N[1.05];  (Потребляемая мощность) Обогрев: S[0.975];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S[31/34/37/40/42];  (Наружный блок) Марка компрессора: S[GMCC];  (Наружный блок) Размеры (Ш x Г x В): S[777 х 290 х 498];  (Наружный блок) Упаковка (Ш x Г x В): S[818 х 325 х 520];  (Наружный блок) Масса (нетто / брутто): S[25/28];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</si>
  <si>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N[5.13];  (Сплит система) Площадь помещения: N[51];  (Сплит система) Инвентор: S[нет];  (Сплит система) Теплопроизводительность: N[5.28];  (Потребляемая мощность) Охлаждение: N[1.598];  (Потребляемая мощность) Обогрев: S[1.462];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S[34/35/38/40/43];  (Наружный блок) Марка компрессора: S[RECHI];  (Наружный блок) Размеры (Ш x Г x В): S[817 х 300 х 553];  (Наружный блок) Упаковка (Ш x Г x В): S[858 х 321 х 585];  (Наружный блок) Масса (нетто / брутто): S[32.5/35];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</si>
  <si>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N[6.74];  (Сплит система) Площадь помещения: N[67];  (Сплит система) Инвентор: S[нет];  (Сплит система) Теплопроизводительность: N[7.03];  (Потребляемая мощность) Охлаждение: N[2.1];  (Потребляемая мощность) Обогрев: S[1.945];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S[35/37/38/41/43];  (Наружный блок) Марка компрессора: S[HIGHLY];  (Наружный блок) Размеры (Ш x Г x В): S[886 х 357 х 605];  (Наружный блок) Упаковка (Ш x Г x В): S[930 х 380 х 635];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</si>
  <si>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N[8.35];  (Потребляемая мощность) Охлаждение: N[2.55];  (Потребляемая мощность) Обогрев: S[2.305];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S[37/41/45/49/51];  (Наружный блок) Марка компрессора: S[GMCC];  (Наружный блок) Размеры (Ш x Г x В): S[968 х 400 х 655];  (Наружный блок) Упаковка (Ш x Г x В): S[1023 х 430 х 698];  (Наружный блок) Масса (нетто / брутто): S[50/54];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</si>
  <si>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S[Канальные];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S[32 / 37];  (Внутренний блок) Уровень шума мин. / макс.: S[32/35/38];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</si>
  <si>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N[7.03];  (Сплит система) Площадь помещения: N[70];  (Сплит система) Инвентор: S[нет];  (Сплит система) Теплопроизводительность: N[7.88];  (Потребляемая мощность) Охлаждение: N[2.26];  (Потребляемая мощность) Обогрев: S[2.18];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S[33 / 38];  (Внутренний блок) Уровень шума мин. / макс.: S[42/44/46];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</si>
  <si>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N[3.73];  (Потребляемая мощность) Обогрев: S[3.5];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S[35 / 39];  (Внутренний блок) Уровень шума мин. / макс.: S[41/47/50];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</si>
  <si>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290 х 735];  (Внутренний блок) Упаковка (Ш x Г x В): S[1430 х 800 х 360];  (Внутренний блок) Масса (нетто / брутто): S[45 / 51];  (Внутренний блок) Уровень шума мин. / макс.: S[44/46/50];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</si>
  <si>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N[17.6];  (Сплит система) Площадь помещения: N[176];  (Сплит система) Инвентор: S[нет];  (Сплит система) Теплопроизводительность: N[18.5];  (Потребляемая мощность) Охлаждение: N[6.77];  (Потребляемая мощность) Обогрев: S[5.78];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290 х 735];  (Внутренний блок) Упаковка (Ш x Г x В): S[1430 х 800 х 360];  (Внутренний блок) Масса (нетто / брутто): S[50 / 56];  (Внутренний блок) Уровень шума мин. / макс.: S[45/47/50];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</si>
  <si>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N[1.761];  (Потребляемая мощность) Обогрев: S[1.513];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S[920 х 210 х 605];  (Внутренний блок) Упаковка (Ш x Г x В): S[1115 х 690 х 280];  (Внутренний блок) Масса (нетто / брутто): S[23 / 28];  (Внутренний блок) Уровень шума мин. / макс.: S[32/35/43];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</si>
  <si>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S[Канальные];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N[2.351];  (Потребляемая мощность) Обогрев: S[2.388];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S[920 х 270 х 605];  (Внутренний блок) Упаковка (Ш x Г x В): S[1115 х 690 х 340];  (Внутренний блок) Масса (нетто / брутто): S[28 / 32];  (Внутренний блок) Уровень шума мин. / макс.: S[41/43/46];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</si>
  <si>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S[Канальные];  (Сплит система) Холодопроизводительность: N[10.55];  (Сплит система) Площадь помещения: N[106];  (Сплит система) Инвентор: S[нет];  (Сплит система) Теплопроизводительность: N[12];  (Потребляемая мощность) Охлаждение: N[3.584];  (Потребляемая мощность) Обогрев: S[3.468];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S[1140 х 270 х 745];  (Внутренний блок) Упаковка (Ш x Г x В): S[1345 х 830 х 345];  (Внутренний блок) Масса (нетто / брутто): S[36 / 43];  (Внутренний блок) Уровень шума мин. / макс.: S[42/44/46];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</si>
  <si>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S[Канальные];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N[4.56];  (Потребляемая мощность) Обогрев: S[4.446];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835];  (Внутренний блок) Упаковка (Ш x Г x В): S[1405 х 925 х 375];  (Внутренний блок) Масса (нетто / брутто): S[45 / 52];  (Внутренний блок) Уровень шума мин. / макс.: S[42/44/47];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</si>
  <si>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S[Канальные];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N[5.694];  (Потребляемая мощность) Обогрев: S[4.845];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835];  (Внутренний блок) Упаковка (Ш x Г x В): S[1405 х 925 х 375];  (Внутренний блок) Масса (нетто / брутто): S[46 / 53];  (Внутренний блок) Уровень шума мин. / макс.: S[43/45/47];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</si>
  <si>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S[Канальные];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N[1.73];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450 х 200];  (Внутренний блок) Упаковка (Ш x Г x В): S[1300 х 275 х 555];  (Внутренний блок) Масса (нетто / брутто): S[20 / 24];  (Внутренний блок) Уровень шума мин. / макс.: S[28/31/35/39];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</si>
  <si>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N[7.03];  (Сплит система) Площадь помещения: N[70];  (Сплит система) Инвентор: S[нет];  (Сплит система) Теплопроизводительность: N[7.4];  (Потребляемая мощность) Охлаждение: N[2.15];  (Потребляемая мощность) Обогрев: S[1.88];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700 х 245];  (Внутренний блок) Упаковка (Ш x Г x В): S[1230 х 300 х 830];  (Внутренний блок) Масса (нетто / брутто): S[32 / 37];  (Внутренний блок) Уровень шума мин. / макс.: S[38/40/43/46];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</si>
  <si>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245 х 700];  (Внутренний блок) Упаковка (Ш x Г x В): S[1230 х 830 х 300];  (Внутренний блок) Масса (нетто / брутто): S[32 / 37];  (Внутренний блок) Уровень шума мин. / макс.: S[37/40/45/48];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</si>
  <si>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700 х 245];  (Внутренний блок) Упаковка (Ш x Г x В): S[1630 х 300 х 830];  (Внутренний блок) Масса (нетто / брутто): S[42 / 48];  (Внутренний блок) Уровень шума мин. / макс.: S[41/44/47/50];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</si>
  <si>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S[Канальные];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S[5.01];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700 х 245];  (Внутренний блок) Упаковка (Ш x Г x В): S[1630 х 300 х 830];  (Внутренний блок) Масса (нетто / брутто): S[42 / 48];  (Внутренний блок) Уровень шума мин. / макс.: S[41/44/47/50];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</si>
  <si>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N[3.96];  (Потребляемая мощность) Охлаждение: N[1.16];  (Потребляемая мощность) Обогрев: S[1.22];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S[39/41/46];  (Наружный блок) Марка компрессора: S[Gree];  (Наружный блок) Размеры (Ш x Г x В): S[730 х 285 х 545];  (Наружный блок) Упаковка (Ш x Г x В): S[845 х 370 х 620];  (Наружный блок) Масса (нетто / брутто): S[28/31.5];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</si>
  <si>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S[1.64];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S[32/40/45];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</si>
  <si>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N[7.03];  (Сплит система) Площадь помещения: N[70];  (Сплит система) Инвентор: S[нет];  (Сплит система) Теплопроизводительность: N[7.88];  (Потребляемая мощность) Охлаждение: N[2.26];  (Потребляемая мощность) Обогрев: S[2.31];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S[36/42/45];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</si>
  <si>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N[3.77];  (Потребляемая мощность) Обогрев: S[3.5];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S[39/45/48];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</si>
  <si>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S[47/51/53];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</si>
  <si>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N[17.6];  (Сплит система) Площадь помещения: N[176];  (Сплит система) Инвентор: S[нет];  (Сплит система) Теплопроизводительность: N[18.5];  (Потребляемая мощность) Охлаждение: N[6.77];  (Потребляемая мощность) Обогрев: S[5.78];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S[47/51/53];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</si>
  <si>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N[3.52];  (Потребляемая мощность) Охлаждение: N[1.15];  (Потребляемая мощность) Обогрев: S[1.17];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30 х 650];  (Внутренний блок) Упаковка (Ш x Г x В): S[690 х 690 х 65];  (Внутренний блок) Масса (нетто / брутто): S[2.5 / 4.5];  (Внутренний блок) Уровень шума мин. / макс.: S[34/38/41];  (Наружный блок) Марка компрессора: S[GMCC];  (Наружный блок) Размеры (Ш x Г x В): S[760 х 250 х 550];  (Наружный блок) Упаковка (Ш x Г x В): S[863 х 361 х 590];  (Наружный блок) Масса (нетто / брутто): S[30/33];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</si>
  <si>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N[5.18];  (Сплит система) Площадь помещения: N[52];  (Сплит система) Инвентор: S[нет];  (Сплит система) Теплопроизводительность: N[5.6];  (Потребляемая мощность) Охлаждение: N[1.683];  (Потребляемая мощность) Обогрев: S[1.761];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30 х 650];  (Внутренний блок) Упаковка (Ш x Г x В): S[690 х 690 х 65];  (Внутренний блок) Масса (нетто / брутто): S[2.5 / 4.5];  (Внутренний блок) Уровень шума мин. / макс.: S[34/38/41];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</si>
  <si>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N[2.432];  (Потребляемая мощность) Обогрев: S[2.192];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S[37/41/43];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</si>
  <si>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N[10.5];  (Сплит система) Площадь помещения: N[105];  (Сплит система) Инвентор: S[нет];  (Сплит система) Теплопроизводительность: N[12];  (Потребляемая мощность) Охлаждение: N[3.723];  (Потребляемая мощность) Обогрев: S[3.409];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S[41/43/45];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</si>
  <si>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N[4.636];  (Потребляемая мощность) Обогрев: S[5.079];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S[41/43/45];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</si>
  <si>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N[5.694];  (Потребляемая мощность) Обогрев: S[5.7];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S[43/44/47];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</si>
  <si>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N[3.96];  (Потребляемая мощность) Охлаждение: N[1.3];  (Потребляемая мощность) Обогрев: S[1.28];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S[39/42/45];  (Наружный блок) Марка компрессора: S[Gree];  (Наружный блок) Размеры (Ш x Г x В): S[730 х 285 х 545];  (Наружный блок) Упаковка (Ш x Г x В): S[850 х 370 х 620];  (Наружный блок) Масса (нетто / брутто): S[28/32];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</si>
  <si>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S[39/42/45];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</si>
  <si>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N[7.03];  (Сплит система) Площадь помещения: N[70];  (Сплит система) Инвентор: S[нет];  (Сплит система) Теплопроизводительность: N[7.2];  (Потребляемая мощность) Охлаждение: N[2.15];  (Потребляемая мощность) Обогрев: S[1.83];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S[39/42/46];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</si>
  <si>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</si>
  <si>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</si>
  <si>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S[Кассетные];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</si>
  <si>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N[5.4];  (Сплит система) Площадь помещения: N[54];  (Сплит система) Инвентор: S[нет];  (Сплит система) Теплопроизводительность: N[5.8];  (Потребляемая мощность) Охлаждение: N[1.65];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690 х 235];  (Внутренний блок) Упаковка (Ш x Г x В): S[1080 х 325 х 770];  (Внутренний блок) Масса (нетто / брутто): S[29 / 33];  (Внутренний блок) Уровень шума мин. / макс.: S[32/35/43];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</si>
  <si>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N[7.6];  (Потребляемая мощность) Охлаждение: N[2.24];  (Потребляемая мощность) Обогрев: S[2.1];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690 х 235];  (Внутренний блок) Упаковка (Ш x Г x В): S[1360 х 325 х 770];  (Внутренний блок) Масса (нетто / брутто): S[36 / 42];  (Внутренний блок) Уровень шума мин. / макс.: S[42/46/50];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</si>
  <si>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690 х 235];  (Внутренний блок) Упаковка (Ш x Г x В): S[1360 х 325 х 770];  (Внутренний блок) Масса (нетто / брутто): S[36 / 42];  (Внутренний блок) Уровень шума мин. / макс.: S[42/46/50];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</si>
  <si>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S[43/47/51];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</si>
  <si>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N[17.58];  (Потребляемая мощность) Охлаждение: N[5.2];  (Потребляемая мощность) Обогрев: S[5.1];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S[43/47/51];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</si>
  <si>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N[1.712];  (Потребляемая мощность) Обогрев: S[1.782];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235 х 675];  (Внутренний блок) Упаковка (Ш x Г x В): S[1130 х 748 х 305];  (Внутренний блок) Масса (нетто / брутто): S[24 / 29];  (Внутренний блок) Уровень шума мин. / макс.: S[38/41/43];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</si>
  <si>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N[1.712];  (Потребляемая мощность) Обогрев: S[1.782];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675 х 235];  (Внутренний блок) Упаковка (Ш x Г x В): S[1130 х 305 х 748];  (Внутренний блок) Масса (нетто / брутто): S[24 / 29];  (Внутренний блок) Уровень шума мин. / макс.: S[38/41/43];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</si>
  <si>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N[2.23];  (Потребляемая мощность) Обогрев: S[2.254];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235 х 675];  (Внутренний блок) Упаковка (Ш x Г x В): S[1130 х 748 х 305];  (Внутренний блок) Масса (нетто / брутто): S[24 / 30];  (Внутренний блок) Уровень шума мин. / макс.: S[40/43/45];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</si>
  <si>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N[2.23];  (Потребляемая мощность) Обогрев: S[2.254];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675 х 235];  (Внутренний блок) Упаковка (Ш x Г x В): S[1130 х 305 х 748];  (Внутренний блок) Масса (нетто / брутто): S[24 / 30];  (Внутренний блок) Уровень шума мин. / макс.: S[40/43/45];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</si>
  <si>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N[10.55];  (Сплит система) Площадь помещения: N[106];  (Сплит система) Инвентор: S[нет];  (Сплит система) Теплопроизводительность: N[12];  (Потребляемая мощность) Охлаждение: N[3.578];  (Потребляемая мощность) Обогрев: S[3.468];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S[1275 х 675 х 235];  (Внутренний блок) Упаковка (Ш x Г x В): S[1350 х 305 х 748];  (Внутренний блок) Масса (нетто / брутто): S[29 / 35];  (Внутренний блок) Уровень шума мин. / макс.: S[40/43/45];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</si>
  <si>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N[4.551];  (Потребляемая мощность) Обогрев: S[4.058];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235 х 675];  (Внутренний блок) Упаковка (Ш x Г x В): S[1710 х 748 х 305];  (Внутренний блок) Масса (нетто / брутто): S[38 / 46];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</si>
  <si>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N[4.551];  (Потребляемая мощность) Обогрев: S[4.058];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675 х 235];  (Внутренний блок) Упаковка (Ш x Г x В): S[1710 х 305 х 748];  (Внутренний блок) Масса (нетто / брутто): S[38 / 46];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</si>
  <si>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N[5.594];  (Потребляемая мощность) Обогрев: S[5.147];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235 х 675];  (Внутренний блок) Упаковка (Ш x Г x В): S[1710 х 748 х 305];  (Внутренний блок) Масса (нетто / брутто): S[41 / 48];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</si>
  <si>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N[5.594];  (Потребляемая мощность) Обогрев: S[5.147];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675 х 235];  (Внутренний блок) Упаковка (Ш x Г x В): S[1710 х 305 х 748];  (Внутренний блок) Масса (нетто / брутто): S[41 / 48];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</si>
  <si>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S[Напольно-потолочные];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235 х 690];  (Внутренний блок) Упаковка (Ш x Г x В): S[1080 х 770 х 325];  (Внутренний блок) Масса (нетто / брутто): S[28 / 32];  (Внутренний блок) Уровень шума мин. / макс.: S[32/35/43];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</si>
  <si>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N[7.03];  (Сплит система) Площадь помещения: N[70];  (Сплит система) Инвентор: S[нет];  (Сплит система) Теплопроизводительность: N[7.4];  (Потребляемая мощность) Охлаждение: N[2.15];  (Потребляемая мощность) Обогрев: S[1.95];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235 х 690];  (Внутренний блок) Упаковка (Ш x Г x В): S[1080 х 770 х 325];  (Внутренний блок) Масса (нетто / брутто): S[29 / 33];  (Внутренний блок) Уровень шума мин. / макс.: S[35/39/46];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</si>
  <si>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S[3.24];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235 х 690];  (Внутренний блок) Упаковка (Ш x Г x В): S[1360 х 770 х 325];  (Внутренний блок) Масса (нетто / брутто): S[36 / 42];  (Внутренний блок) Уровень шума мин. / макс.: S[40/45/49];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</si>
  <si>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S[42/46/51];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</si>
  <si>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S[5.01];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235 х 690];  (Внутренний блок) Упаковка (Ш x Г x В): S[1680 х 770 х 325];  (Внутренний блок) Масса (нетто / брутто): S[44 / 50.5];  (Внутренний блок) Уровень шума мин. / макс.: S[42/46/51];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</si>
  <si>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S[Мульти сплит система];  (Сплит система) Холодопроизводительность: N[2.05];  (Сплит система) Площадь помещения: N[21];  (Сплит система) Инвентор: S[да];  (Сплит система) Теплопроизводительность: N[2.05];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</si>
  <si>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E[QUATTROCLIMA];  Тип: S[Мульти 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N[2.64];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</si>
  <si>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E[QUATTROCLIMA];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N[3.52];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</si>
  <si>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E[QUATTROCLIMA];  Тип: S[Мульти сплит система];  (Сплит система) Холодопроизводительность: N[5.13];  (Сплит система) Площадь помещения: N[51];  (Сплит система) Инвентор: S[да];  (Сплит система) Теплопроизводительность: N[5.21];  (Потребляемая мощность) Охлаждение: N[0.052];  (Потребляемая мощность) Обогрев: S[0.052];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206 х 294];  (Внутренний блок) Упаковка (Ш x Г x В): S[979 х 277 х 372];  (Внутренний блок) Масса (нетто / брутто): S[10 / 13];  (Внутренний блок) Уровень шума мин. / макс.: S[43/41/38//35/27];  (Наружный блок) Марка компрессора: S[];  (Наружный блок) Размеры (Ш x Г x В): S[910 х 206 х 294];  (Наружный блок) Упаковка (Ш x Г x В): S[979 х 277 х 372];  (Наружный блок) Масса (нетто / брутто): S[10 / 13];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</si>
  <si>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t>
  </si>
  <si>
    <t>; Производитель: E[TOSOT];  Тип: S[Сплит система];  (Сплит система) Холодопроизводительность: N[2.25];  (Сплит система) Площадь помещения: N[23];  (Сплит система) Инвентор: S[нет];  (Сплит система) Теплопроизводительность: N[2.35];  (Потребляемая мощность) Охлаждение: N[0.7];  (Потребляемая мощность) Обогрев: S[0.651];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S[24/27/28/34/35/37/39];  (Наружный блок) Марка компрессора: S[Gree];  (Наружный блок) Размеры (Ш x Г x В): S[720 х 310 х 428];  (Наружный блок) Упаковка (Ш x Г x В): S[765 х 350 х 475];  (Наружный блок) Масса (нетто / брутто): S[23.4/25.4];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</si>
  <si>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N[2.25];  (Сплит система) Площадь помещения: N[23];  (Сплит система) Инвентор: S[нет];  (Сплит система) Теплопроизводительность: N[2.3];  (Потребляемая мощность) Охлаждение: N[0.7];  (Потребляемая мощность) Обогрев: S[0.637];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S[25/31/37/40];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S[22.3/24.3];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</si>
  <si>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N[2.65];  (Потребляемая мощность) Охлаждение: N[0.794];  (Потребляемая мощность) Обогрев: S[0.734];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S[24/27/29/34/36/37/40];  (Наружный блок) Марка компрессора: S[Gree];  (Наружный блок) Размеры (Ш x Г x В): S[720 х 310 х 428];  (Наружный блок) Упаковка (Ш x Г x В): S[765 х 350 х 475];  (Наружный блок) Масса (нетто / брутто): S[25/27];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</si>
  <si>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N[2.65];  (Потребляемая мощность) Охлаждение: N[0.794];  (Потребляемая мощность) Обогрев: S[0.734];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S[7.6 / 8.8];  (Внутренний блок) Уровень шума мин. / макс.: S[25/31/37/40];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S[24.7/26.7];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</si>
  <si>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N[3.25];  (Сплит система) Площадь помещения: N[33];  (Сплит система) Инвентор: S[нет];  (Сплит система) Теплопроизводительность: N[3.4];  (Потребляемая мощность) Охлаждение: N[0.985];  (Потребляемая мощность) Обогрев: S[0.941];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S[779 х 260 х 185];  (Внутренний блок) Упаковка (Ш x Г x В): S[823 х 247 х 316];  (Внутренний блок) Масса (нетто / брутто): S[8.2 / 9.7];  (Внутренний блок) Уровень шума мин. / макс.: S[28/30/33/34/36/37/41];  (Наружный блок) Марка компрессора: S[Gree];  (Наружный блок) Размеры (Ш x Г x В): S[782 х 320 х 540];  (Наружный блок) Упаковка (Ш x Г x В): S[820 х 355 х 580];  (Наружный блок) Масса (нетто / брутто): S[29.2/31.7];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</si>
  <si>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N[3.25];  (Сплит система) Площадь помещения: N[33];  (Сплит система) Инвентор: S[нет];  (Сплит система) Теплопроизводительность: N[3.4];  (Потребляемая мощность) Охлаждение: N[1.009];  (Потребляемая мощность) Обогрев: S[0.942];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S[779 х 260 х 185];  (Внутренний блок) Упаковка (Ш x Г x В): S[823 х 247 х 316];  (Внутренний блок) Масса (нетто / брутто): S[8.5 / 10];  (Внутренний блок) Уровень шума мин. / макс.: S[30/34/37/40];  (Наружный блок) Марка компрессора: S[Gree];  (Наружный блок) Размеры (Ш x Г x В): S[732 х 330 х 555];  (Наружный блок) Упаковка (Ш x Г x В): S[791 х 373 х 590];  (Наружный блок) Масса (нетто / брутто): S[28/30.5];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</si>
  <si>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N[4.8];  (Сплит система) Площадь помещения: N[48];  (Сплит система) Инвентор: S[нет];  (Сплит система) Теплопроизводительность: N[5.3];  (Потребляемая мощность) Охлаждение: N[1.476];  (Потребляемая мощность) Обогрев: S[1.468];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S[825 х 293 х 196];  (Внутренний блок) Упаковка (Ш x Г x В): S[870 х 257 х 349];  (Внутренний блок) Масса (нетто / брутто): S[10.3 / 11.9];  (Внутренний блок) Уровень шума мин. / макс.: S[32/34/35/36/38/39/40];  (Наружный блок) Марка компрессора: S[Gree];  (Наружный блок) Размеры (Ш x Г x В): S[848 х 320 х 540];  (Наружный блок) Упаковка (Ш x Г x В): S[878 х 360 х 580];  (Наружный блок) Масса (нетто / брутто): S[38/40.5];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</si>
  <si>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N[4.8];  (Сплит система) Площадь помещения: N[48];  (Сплит система) Инвентор: S[нет];  (Сплит система) Теплопроизводительность: N[5.16];  (Потребляемая мощность) Охлаждение: N[1.477];  (Потребляемая мощность) Обогрев: S[1.428];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S[825 х 293 х 196];  (Внутренний блок) Упаковка (Ш x Г x В): S[870 х 257 х 349];  (Внутренний блок) Масса (нетто / брутто): S[10.3 / 11.9];  (Внутренний блок) Уровень шума мин. / макс.: S[34/36/40/41];  (Наружный блок) Марка компрессора: S[Gree];  (Наружный блок) Размеры (Ш x Г x В): S[802 х 350 х 555];  (Наружный блок) Упаковка (Ш x Г x В): S[869 х 395 х 594];  (Наружный блок) Масса (нетто / брутто): S[38.5/41];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</si>
  <si>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N[6.2];  (Сплит система) Площадь помещения: N[62];  (Сплит система) Инвентор: S[нет];  (Сплит система) Теплопроизводительность: N[6.7];  (Потребляемая мощность) Охлаждение: N[1.907];  (Потребляемая мощность) Обогрев: S[1.856];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S[982 х 311 х 221];  (Внутренний блок) Упаковка (Ш x Г x В): S[1039 х 287 х 377];  (Внутренний блок) Масса (нетто / брутто): S[13.7 / 16];  (Внутренний блок) Уровень шума мин. / макс.: S[32/33/35/37/40/42/44];  (Наружный блок) Марка компрессора: S[Gree];  (Наружный блок) Размеры (Ш x Г x В): S[912 х 373 х 646];  (Наружный блок) Упаковка (Ш x Г x В): S[960 х 408 х 680];  (Наружный блок) Масса (нетто / брутто): S[46.5/49.5];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-15 до +24]</t>
  </si>
  <si>
    <t>; Производитель: E[TOSOT];  Тип: S[Сплит система];  (Сплит система) Холодопроизводительность: N[6.155];  (Сплит система) Площадь помещения: N[62];  (Сплит система) Инвентор: S[нет];  (Сплит система) Теплопроизводительность: N[6.7];  (Потребляемая мощность) Охлаждение: N[1.917];  (Потребляемая мощность) Обогрев: S[1.856];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S[982 х 311 х 221];  (Внутренний блок) Упаковка (Ш x Г x В): S[1039 х 287 х 377];  (Внутренний блок) Масса (нетто / брутто): S[13.7 / 16];  (Внутренний блок) Уровень шума мин. / макс.: S[35/38/42/44];  (Наружный блок) Марка компрессора: S[Gree];  (Наружный блок) Размеры (Ш x Г x В): S[873 х 376 х 555];  (Наружный блок) Упаковка (Ш x Г x В): S[948 х 428 х 591];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</si>
  <si>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N[8.5];  (Сплит система) Площадь помещения: N[85];  (Сплит система) Инвентор: S[нет];  (Сплит система) Теплопроизводительность: N[9.2];  (Потребляемая мощность) Охлаждение: N[2.647];  (Потребляемая мощность) Обогрев: S[2.548];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S[1075 х 333 х 246];  (Внутренний блок) Упаковка (Ш x Г x В): S[1128 х 323 х 406];  (Внутренний блок) Масса (нетто / брутто): S[17 / 20];  (Внутренний блок) Уровень шума мин. / макс.: S[39/40/41/42/46/47/49];  (Наружный блок) Марка компрессора: S[Gree];  (Наружный блок) Размеры (Ш x Г x В): S[955 х 396 х 700];  (Наружный блок) Упаковка (Ш x Г x В): S[1026 х 455 х 735];  (Наружный блок) Масса (нетто / брутто): S[61/65.5];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</si>
  <si>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N[8.5];  (Сплит система) Площадь помещения: N[85];  (Сплит система) Инвентор: S[нет];  (Сплит система) Теплопроизводительность: N[8.9];  (Потребляемая мощность) Охлаждение: N[2.615];  (Потребляемая мощность) Обогрев: S[2.465];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S[1075 х 333 х 246];  (Внутренний блок) Упаковка (Ш x Г x В): S[1128 х 323 х 406];  (Внутренний блок) Масса (нетто / брутто): S[17 / 20];  (Внутренний блок) Уровень шума мин. / макс.: S[37/40/45/48];  (Наружный блок) Марка компрессора: S[Gree];  (Наружный блок) Размеры (Ш x Г x В): S[958 х 402 х 660];  (Наружный блок) Упаковка (Ш x Г x В): S[1029 х 453 х 715];  (Наружный блок) Масса (нетто / брутто): S[57/61.5];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</si>
  <si>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N[9.5];  (Сплит система) Площадь помещения: N[95];  (Сплит система) Инвентор: S[нет];  (Сплит система) Теплопроизводительность: N[9.8];  (Потребляемая мощность) Охлаждение: N[2.96];  (Потребляемая мощность) Обогрев: S[3.05];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S[1078 х 325 х 246];  (Внутренний блок) Упаковка (Ш x Г x В): S[1148 х 350 х 413];  (Внутренний блок) Масса (нетто / брутто): S[16.5 / 20];  (Внутренний блок) Уровень шума мин. / макс.: S[41/42/47/48];  (Наружный блок) Марка компрессора: S[Gree];  (Наружный блок) Размеры (Ш x Г x В): S[980 х 427 х 790];  (Наружный блок) Упаковка (Ш x Г x В): S[1083 х 488 х 855];  (Наружный блок) Масса (нетто / брутто): S[67/72];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</si>
  <si>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E[TOSOT];  Тип: S[Канальные];  (Сплит система) Холодопроизводительность: N[20];  (Сплит система) Площадь помещения: N[200];  (Сплит система) Инвентор: S[да];  (Сплит система) Теплопроизводительность: N[22];  (Потребляемая мощность) Охлаждение: N[7.8];  (Потребляемая мощность) Обогрев: S[7];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S[1460 х 365 х 790];  (Внутренний блок) Упаковка (Ш x Г x В): S[1578 х 883 х 400];  (Внутренний блок) Масса (нетто / брутто): S[82 / 104];  (Внутренний блок) Уровень шума мин. / макс.: S[50/51/52];  (Наружный блок) Марка компрессора: S[Mitsubishi];  (Наружный блок) Размеры (Ш x Г x В): S[940 х 320 х 1430];  (Наружный блок) Упаковка (Ш x Г x В): S[1023 х 423 х 1475];  (Наружный блок) Масса (нетто / брутто): S[120/130];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</si>
  <si>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S[Канальные];  (Сплит система) Холодопроизводительность: N[25];  (Сплит система) Площадь помещения: N[250];  (Сплит система) Инвентор: S[да];  (Сплит система) Теплопроизводительность: N[27.5];  (Потребляемая мощность) Охлаждение: N[9.4];  (Потребляемая мощность) Обогрев: S[8.9];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S[1690 х 440 х 870];  (Внутренний блок) Упаковка (Ш x Г x В): S[1788 х 988 х 988];  (Внутренний блок) Масса (нетто / брутто): S[99 / 134];  (Внутренний блок) Уровень шума мин. / макс.: S[51/52/53];  (Наружный блок) Марка компрессора: S[Mitsubishi];  (Наружный блок) Размеры (Ш x Г x В): S[460 х 940 х 1615];  (Наружный блок) Упаковка (Ш x Г x В): S[1660 х 1023 х 563];  (Наружный блок) Масса (нетто / брутто): S[146/162];  (Наружный блок) Максимальный уровень шума: N[];  (Соединительные трубы) Жидкостная линия : N[9.52];  (Соединительные трубы) Газовая линия : N[22];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</si>
  <si>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S[Канальные];  (Сплит система) Холодопроизводительность: N[30];  (Сплит система) Площадь помещения: N[300];  (Сплит система) Инвентор: S[да];  (Сплит система) Теплопроизводительность: N[33];  (Потребляемая мощность) Охлаждение: N[11.3];  (Потребляемая мощность) Обогрев: S[10.3];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S[1690 х 440 х 870];  (Внутренний блок) Упаковка (Ш x Г x В): S[1788 х 988 х 465];  (Внутренний блок) Масса (нетто / брутто): S[105 / 145];  (Внутренний блок) Уровень шума мин. / макс.: S[53/54/55];  (Наружный блок) Марка компрессора: S[HITACHI];  (Наружный блок) Размеры (Ш x Г x В): S[940 х 460 х 1615];  (Наружный блок) Упаковка (Ш x Г x В): S[1023 х 563 х 1660];  (Наружный блок) Масса (нетто / брутто): S[175/190];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</si>
  <si>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S[Канальные];  (Сплит система) Холодопроизводительность: N[40];  (Сплит система) Площадь помещения: N[400];  (Сплит система) Инвентор: S[да];  (Сплит система) Теплопроизводительность: N[43];  (Потребляемая мощность) Охлаждение: N[15.4];  (Потребляемая мощность) Обогрев: S[13.9];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S[1680 х 650 х 900];  (Внутренний блок) Упаковка (Ш x Г x В): S[1803 х 1023 х 685];  (Внутренний блок) Масса (нетто / брутто): S[165 / 210];  (Внутренний блок) Уровень шума мин. / макс.: S[54/55/56];  (Наружный блок) Марка компрессора: S[Mitsubishi];  (Наружный блок) Размеры (Ш x Г x В): S[940 х 320 х 1430];  (Наружный блок) Упаковка (Ш x Г x В): S[1023 х 423 х 1475];  (Наружный блок) Масса (нетто / брутто): S[120/130];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</si>
  <si>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S[Канальные];  (Сплит система) Холодопроизводительность: N[12];  (Сплит система) Площадь помещения: N[120];  (Сплит система) Инвентор: S[нет];  (Сплит система) Теплопроизводительность: N[14.8];  (Потребляемая мощность) Охлаждение: N[4.2];  (Потребляемая мощность) Обогрев: S[4.2];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</si>
  <si>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S[Канальные];  (Сплит система) Холодопроизводительность: N[7];  (Сплит система) Площадь помещения: N[70];  (Сплит система) Инвентор: S[нет];  (Сплит система) Теплопроизводительность: N[7.4];  (Потребляемая мощность) Охлаждение: N[2.5];  (Потребляемая мощность) Обогрев: S[2.3];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270 х 555];  (Внутренний блок) Упаковка (Ш x Г x В): S[1348 х 597 х 283];  (Внутренний блок) Масса (нетто / брутто): S[33 / 38];  (Внутренний блок) Уровень шума мин. / макс.: S[43/38/34/32];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</si>
  <si>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S[Канальные];  (Сплит система) Холодопроизводительность: N[10.1];  (Сплит система) Площадь помещения: N[101];  (Сплит система) Инвентор: S[нет];  (Сплит система) Теплопроизводительность: N[12];  (Потребляемая мощность) Охлаждение: N[3.2];  (Потребляемая мощность) Обогрев: S[3.2];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1000];  (Внутренний блок) Упаковка (Ш x Г x В): S[813 х 1205 х 360];  (Внутренний блок) Масса (нетто / брутто): S[41 / 47];  (Внутренний блок) Уровень шума мин. / макс.: S[35/38/42/44];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</si>
  <si>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S[Канальные];  (Сплит система) Холодопроизводительность: N[12];  (Сплит система) Площадь помещения: N[120];  (Сплит система) Инвентор: S[нет];  (Сплит система) Теплопроизводительность: N[13.5];  (Потребляемая мощность) Охлаждение: N[4.4];  (Потребляемая мощность) Обогрев: S[4.05];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S[1230 х 290 х 790];  (Внутренний блок) Упаковка (Ш x Г x В): S[1338 х 837 х 305];  (Внутренний блок) Масса (нетто / брутто): S[47 / 53];  (Внутренний блок) Уровень шума мин. / макс.: S[51/48/46/44];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</si>
  <si>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S[Канальные];  (Сплит система) Холодопроизводительность: N[14];  (Сплит система) Площадь помещения: N[140];  (Сплит система) Инвентор: S[нет];  (Сплит система) Теплопроизводительность: N[15];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S[1230 х 290 х 790];  (Внутренний блок) Упаковка (Ш x Г x В): S[1338 х 837 х 305];  (Внутренний блок) Масса (нетто / брутто): S[53 / 59.83];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</si>
  <si>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S[Канальные];  (Сплит система) Холодопроизводительность: N[16];  (Сплит система) Площадь помещения: N[160];  (Сплит система) Инвентор: S[нет];  (Сплит система) Теплопроизводительность: N[19];  (Потребляемая мощность) Охлаждение: N[4.3];  (Потребляемая мощность) Обогрев: S[5.4];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1400];  (Внутренний блок) Упаковка (Ш x Г x В): S[813 х 1601 х 365];  (Внутренний блок) Масса (нетто / брутто): S[55 / 62];  (Внутренний блок) Уровень шума мин. / макс.: S[37/40/45/47];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</si>
  <si>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S[Канальные];  (Сплит система) Холодопроизводительность: N[8.3];  (Сплит система) Площадь помещения: N[83];  (Сплит система) Инвентор: S[нет];  (Сплит система) Теплопроизводительность: N[8.8];  (Потребляемая мощность) Охлаждение: N[2.8];  (Потребляемая мощность) Обогрев: S[2.7];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270 х 555];  (Внутренний блок) Упаковка (Ш x Г x В): S[1348 х 597 х 283];  (Внутренний блок) Масса (нетто / брутто): S[35 / 40];  (Внутренний блок) Уровень шума мин. / макс.: S[48/46/45/44];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</si>
  <si>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S[Канальные];  (Сплит система) Холодопроизводительность: N[11.98];  (Сплит система) Площадь помещения: N[120];  (Сплит система) Инвентор: S[нет];  (Сплит система) Теплопроизводительность: N[13.5];  (Потребляемая мощность) Охлаждение: N[4.4];  (Потребляемая мощность) Обогрев: S[4.05];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1000];  (Внутренний блок) Упаковка (Ш x Г x В): S[813 х 1205 х 360];  (Внутренний блок) Масса (нетто / брутто): S[42 / 48];  (Внутренний блок) Уровень шума мин. / макс.: S[35/38/42/44];  (Наружный блок) Марка компрессора: S[Gree];  (Наружный блок) Размеры (Ш x Г x В): S[460 х 940 х 820];  (Наружный блок) Упаковка (Ш x Г x В): S[573 х 1083 х 973];  (Наружный блок) Масса (нетто / брутто): S[97/108];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</si>
  <si>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N[5];  (Сплит система) Площадь помещения: N[50];  (Сплит система) Инвентор: S[нет];  (Сплит система) Теплопроизводительность: N[5.4];  (Потребляемая мощность) Охлаждение: N[2];  (Потребляемая мощность) Обогрев: S[1.9];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S[670 х 50 х 670];  (Внутренний блок) Упаковка (Ш x Г x В): S[763 х 763 х 105];  (Внутренний блок) Масса (нетто / брутто): S[3.5 / 5];  (Внутренний блок) Уровень шума мин. / макс.: S[50/49/47/46];  (Наружный блок) Марка компрессора: S[Gree];  (Наружный блок) Размеры (Ш x Г x В): S[955 х 395 х 700];  (Наружный блок) Упаковка (Ш x Г x В): S[1029 х 458 х 750];  (Наружный блок) Масса (нетто / брутто): S[53/58];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</si>
  <si>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N[4.8];  (Сплит система) Площадь помещения: N[48];  (Сплит система) Инвентор: S[нет];  (Сплит система) Теплопроизводительность: N[5];  (Потребляемая мощность) Охлаждение: N[1.55];  (Потребляемая мощность) Обогрев: S[1.35];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S[620 х 47.5 х 620];  (Внутренний блок) Упаковка (Ш x Г x В): S[701 х 701 х 125];  (Внутренний блок) Масса (нетто / брутто): S[3 / 4.5];  (Внутренний блок) Уровень шума мин. / макс.: S[35/38/43/44];  (Наружный блок) Марка компрессора: S[Gree];  (Наружный блок) Размеры (Ш x Г x В): S[761 х 256 х 548];  (Наружный блок) Упаковка (Ш x Г x В): S[881 х 363 х 595];  (Наружный блок) Масса (нетто / брутто): S[39/41.5];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  (Допустимая темп. наружного воздуха) Обогрев: S[от -15 до +24]</t>
  </si>
  <si>
    <t>; Производитель: E[TOSOT];  Тип: S[Кассетные];  (Сплит система) Холодопроизводительность: N[7];  (Сплит система) Площадь помещения: N[70];  (Сплит система) Инвентор: S[нет];  (Сплит система) Теплопроизводительность: N[7.6];  (Потребляемая мощность) Охлаждение: N[2.5];  (Потребляемая мощность) Обогрев: S[2.3];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S[49/48/47/46];  (Наружный блок) Марка компрессора: S[Gree];  (Наружный блок) Размеры (Ш x Г x В): S[955 х 395 х 700];  (Наружный блок) Упаковка (Ш x Г x В): S[1029 х 458 х 750];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</si>
  <si>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N[7.1];  (Сплит система) Площадь помещения: N[71];  (Сплит система) Инвентор: S[нет];  (Сплит система) Теплопроизводительность: N[7.4];  (Потребляемая мощность) Охлаждение: N[2.15];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S[39/42/45/46];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S[59/63];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</si>
  <si>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N[8.5];  (Сплит система) Площадь помещения: N[85];  (Сплит система) Инвентор: S[нет];  (Сплит система) Теплопроизводительность: N[9];  (Потребляемая мощность) Охлаждение: N[2.7];  (Потребляемая мощность) Обогрев: S[2.6];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S[51/50/49/48];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</si>
  <si>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N[8.3];  (Сплит система) Площадь помещения: N[83];  (Сплит система) Инвентор: S[нет];  (Сплит система) Теплопроизводительность: N[8.8];  (Потребляемая мощность) Охлаждение: N[2.8];  (Потребляемая мощность) Обогрев: S[2.7];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S[45/48/50/52];  (Наружный блок) Марка компрессора: S[Gree];  (Наружный блок) Размеры (Ш x Г x В): S[340 х 892 х 698];  (Наружный блок) Упаковка (Ш x Г x В): S[458 х 1029 х 750];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</si>
  <si>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N[10];  (Сплит система) Площадь помещения: N[100];  (Сплит система) Инвентор: S[нет];  (Сплит система) Теплопроизводительность: N[11.5];  (Потребляемая мощность) Охлаждение: N[3.5];  (Потребляемая мощность) Обогрев: S[3.3];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S[52/47/46/43];  (Наружный блок) Марка компрессора: S[HITACHI];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</si>
  <si>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N[10.01];  (Сплит система) Площадь помещения: N[100];  (Сплит система) Инвентор: S[нет];  (Сплит система) Теплопроизводительность: N[12];  (Потребляемая мощность) Охлаждение: N[3.25];  (Потребляемая мощность) Обогрев: S[3.2];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S[45/48/50/52];  (Наружный блок) Марка компрессора: S[Gree];  (Наружный блок) Размеры (Ш x Г x В): S[370 х 920 х 790];  (Наружный блок) Упаковка (Ш x Г x В): S[1083 х 488 х 875];  (Наружный блок) Масса (нетто / брутто): S[70/75];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</si>
  <si>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N[12];  (Сплит система) Площадь помещения: N[120];  (Сплит система) Инвентор: S[нет];  (Сплит система) Теплопроизводительность: N[13.5];  (Потребляемая мощность) Охлаждение: N[4.2];  (Потребляемая мощность) Обогрев: S[4];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S[52/47/46/43];  (Наружный блок) Марка компрессора: S[HITACHI];  (Наружный блок) Размеры (Ш x Г x В): S[1120 х 440 х 1100];  (Наружный блок) Упаковка (Ш x Г x В): S[1235 х 483 х 1158];  (Наружный блок) Масса (нетто / брутто): S[100/112];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</si>
  <si>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N[14];  (Сплит система) Площадь помещения: N[140];  (Сплит система) Инвентор: S[нет];  (Сплит система) Теплопроизводительность: N[14.8];  (Потребляемая мощность) Охлаждение: N[4.8];  (Потребляемая мощность) Обогрев: S[4.9];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  (Наружный блок) Марка компрессора: S[SANYO];  (Наружный блок) Размеры (Ш x Г x В): S[1120 х 440 х 1100];  (Наружный блок) Упаковка (Ш x Г x В): S[1235 х 483 х 1158];  (Наружный блок) Масса (нетто / брутто): S[103/115];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</si>
  <si>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N[14.1];  (Сплит система) Площадь помещения: N[141];  (Сплит система) Инвентор: S[нет];  (Сплит система) Теплопроизводительность: N[15.1];  (Потребляемая мощность) Охлаждение: N[4.5];  (Потребляемая мощность) Обогрев: S[4.3];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S[45/47/51/54];  (Наружный блок) Марка компрессора: S[Gree];  (Наружный блок) Размеры (Ш x Г x В): S[460 х 940 х 820];  (Наружный блок) Упаковка (Ш x Г x В): S[573 х 1083 х 973];  (Наружный блок) Масса (нетто / брутто): S[97/108];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</si>
  <si>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N[15];  (Сплит система) Площадь помещения: N[150];  (Сплит система) Инвентор: S[нет];  (Сплит система) Теплопроизводительность: N[16.8];  (Потребляемая мощность) Охлаждение: N[5.3];  (Потребляемая мощность) Обогрев: S[5.2];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  (Наружный блок) Марка компрессора: S[SANYO];  (Наружный блок) Размеры (Ш x Г x В): S[980 х 410 х 1350];  (Наружный блок) Упаковка (Ш x Г x В): S[1027 х 443 х 1500];  (Наружный блок) Масса (нетто / брутто): S[118/129];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</si>
  <si>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S[Кассетные];  (Сплит система) Холодопроизводительность: N[15];  (Сплит система) Площадь помещения: N[150];  (Сплит система) Инвентор: S[нет];  (Сплит система) Теплопроизводительность: N[17.4];  (Потребляемая мощность) Охлаждение: N[5.3];  (Потребляемая мощность) Обогрев: S[5.6];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S[45/47/51/55];  (Наружный блок) Марка компрессора: S[Gree];  (Наружный блок) Размеры (Ш x Г x В): S[460 х 940 х 820];  (Наружный блок) Упаковка (Ш x Г x В): S[573 х 1083 х 973];  (Наружный блок) Масса (нетто / брутто): S[103/114];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</si>
  <si>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S[Колонные];  (Сплит система) Холодопроизводительность: N[7.06];  (Сплит система) Площадь помещения: N[71];  (Сплит система) Инвентор: S[нет];  (Сплит система) Теплопроизводительность: N[7.8];  (Потребляемая мощность) Охлаждение: N[2.43];  (Потребляемая мощность) Обогрев: S[2.35];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S[507 х 1770 х 320];  (Внутренний блок) Упаковка (Ш x Г x В): S[623 х 440 х 1988];  (Внутренний блок) Масса (нетто / брутто): S[40 / 52];  (Внутренний блок) Уровень шума мин. / макс.: S[38/41/44/46];  (Наружный блок) Марка компрессора: S[Gree];  (Наружный блок) Размеры (Ш x Г x В): S[955 х 396 х 700];  (Наружный блок) Упаковка (Ш x Г x В): S[1029 х 458 х 750];  (Наружный блок) Масса (нетто / брутто): S[60/64.5];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</si>
  <si>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S[Колонные];  (Сплит система) Холодопроизводительность: N[14.1];  (Сплит система) Площадь помещения: N[141];  (Сплит система) Инвентор: S[нет];  (Сплит система) Теплопроизводительность: N[15.5];  (Потребляемая мощность) Охлаждение: N[5];  (Потребляемая мощность) Обогрев: S[4.83];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S[587 х 1882 х 394];  (Внутренний блок) Упаковка (Ш x Г x В): S[738 х 545 х 2153];  (Внутренний блок) Масса (нетто / брутто): S[61 / 83.5];  (Внутренний блок) Уровень шума мин. / макс.: S[45/48/50/52];  (Наружный блок) Марка компрессора: S[Gree];  (Наружный блок) Размеры (Ш x Г x В): S[1032 х 412 х 1250];  (Наружный блок) Упаковка (Ш x Г x В): S[1113 х 453 х 1400];  (Наружный блок) Масса (нетто / брутто): S[107/118];  (Наружный блок) Максимальный уровень шума: N[];  (Соединительные трубы) Жидкостная линия :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</si>
  <si>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 Производитель: E[TOSOT];  Тип: S[Колонные];  (Сплит система) Холодопроизводительность: N[15.2];  (Сплит система) Площадь помещения: N[152];  (Сплит система) Инвентор: S[нет];  (Сплит система) Теплопроизводительность: N[17];  (Потребляемая мощность) Охлаждение: N[5.41];  (Потребляемая мощность) Обогрев: S[5.29];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S[587 х 1882 х 394];  (Внутренний блок) Упаковка (Ш x Г x В): S[738 х 545 х 2153];  (Внутренний блок) Масса (нетто / брутто): S[61 / 83.5];  (Внутренний блок) Уровень шума мин. / макс.: S[44/47/50/52];  (Наружный блок) Марка компрессора: S[Gree];  (Наружный блок) Размеры (Ш x Г x В): S[1032 х 412 х 1250];  (Наружный блок) Упаковка (Ш x Г x В): S[1113 х 453 х 1400];  (Наружный блок) Масса (нетто / брутто): S[107/118];  (Наружный блок) Максимальный уровень шума: N[];  (Соединительные трубы) Жидкостная линия :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</si>
  <si>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 Производитель: E[TOSOT];  Тип: S[Напольно-потолочные];  (Сплит система) Холодопроизводительность: N[5.5];  (Сплит система) Площадь помещения: N[55];  (Сплит система) Инвентор: S[нет];  (Сплит система) Теплопроизводительность: N[5.7];  (Потребляемая мощность) Охлаждение: N[2];  (Потребляемая мощность) Обогрев: S[2];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S[31 / 38];  (Внутренний блок) Уровень шума мин. / макс.: S[33-37];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</si>
  <si>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N[5];  (Сплит система) Площадь помещения: N[50];  (Сплит система) Инвентор: S[нет];  (Сплит система) Теплопроизводительность: N[5.2];  (Потребляемая мощность) Охлаждение: N[1.65];  (Потребляемая мощность) Обогрев: S[1.45];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870];  (Внутренний блок) Упаковка (Ш x Г x В): S[300 х 1033 х 770];  (Внутренний блок) Масса (нетто / брутто): S[25 / 30];  (Внутренний блок) Уровень шума мин. / макс.: S[33/37/40/41];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</si>
  <si>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N[8.2];  (Потребляемая мощность) Охлаждение: N[2.5];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S[32 / 39];  (Внутренний блок) Уровень шума мин. / макс.: S[40-46];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</si>
  <si>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N[7.3];  (Сплит система) Площадь помещения: N[73];  (Сплит система) Инвентор: S[нет];  (Сплит система) Теплопроизводительность: N[7.7];  (Потребляемая мощность) Охлаждение: N[2.25];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1200];  (Внутренний блок) Упаковка (Ш x Г x В): S[300 х 1363 х 770];  (Внутренний блок) Масса (нетто / брутто): S[33 / 39];  (Внутренний блок) Уровень шума мин. / макс.: S[41/44/46/47];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</si>
  <si>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N[10.6];  (Сплит система) Площадь помещения: N[106];  (Сплит система) Инвентор: S[нет];  (Сплит система) Теплопроизводительность: N[11.8];  (Потребляемая мощность) Охлаждение: N[3.6];  (Потребляемая мощность) Обогрев: S[3.6];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S[36 / 43];  (Внутренний блок) Уровень шума мин. / макс.: S[49-51];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</si>
  <si>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N[10.1];  (Сплит система) Площадь помещения: N[101];  (Сплит система) Инвентор: S[нет];  (Сплит система) Теплопроизводительность: N[12];  (Потребляемая мощность) Охлаждение: N[3.2];  (Потребляемая мощность) Обогрев: S[3.4];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1200];  (Внутренний блок) Упаковка (Ш x Г x В): S[300 х 1363 х 770];  (Внутренний блок) Масса (нетто / брутто): S[36 / 42];  (Внутренний блок) Уровень шума мин. / макс.: S[48/49/50/51];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</si>
  <si>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N[12];  (Сплит система) Площадь помещения: N[120];  (Сплит система) Инвентор: S[нет];  (Сплит система) Теплопроизводительность: N[13.2];  (Потребляемая мощность) Охлаждение: N[4.3];  (Потребляемая мощность) Обогрев: S[4.1];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S[38 / 45];  (Внутренний блок) Уровень шума мин. / макс.: S[49-51];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</si>
  <si>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N[14.2];  (Сплит система) Площадь помещения: N[142];  (Сплит система) Инвентор: S[нет];  (Сплит система) Теплопроизводительность: N[16];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288 х 782];  (Внутренний блок) Масса (нетто / брутто): S[46 / 53];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</si>
  <si>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N[14.1];  (Сплит система) Площадь помещения: N[141];  (Сплит система) Инвентор: S[нет];  (Сплит система) Теплопроизводительность: N[16.5];  (Потребляемая мощность) Охлаждение: N[4.5];  (Потребляемая мощность) Обогрев: S[5.48];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1570];  (Внутренний блок) Упаковка (Ш x Г x В): S[300 х 1729 х 770];  (Внутренний блок) Масса (нетто / брутто): S[43 / 50];  (Внутренний блок) Уровень шума мин. / макс.: S[51/52/53/54];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</si>
  <si>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N[15.8];  (Сплит система) Площадь помещения: N[158];  (Сплит система) Инвентор: S[нет];  (Сплит система) Теплопроизводительность: N[18.2];  (Потребляемая мощность) Охлаждение: N[5.5];  (Потребляемая мощность) Обогрев: S[5.45];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288 х 782];  (Внутренний блок) Масса (нетто / брутто): S[46 / 53];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</si>
  <si>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S[Напольно-потолочные];  (Сплит система) Холодопроизводительность: N[15.8];  (Сплит система) Площадь помещения: N[158];  (Сплит система) Инвентор: S[нет];  (Сплит система) Теплопроизводительность: N[19.1];  (Потребляемая мощность) Охлаждение: N[5.48];  (Потребляемая мощность) Обогрев: S[5.4];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1570];  (Внутренний блок) Упаковка (Ш x Г x В): S[300 х 1729 х 770];  (Внутренний блок) Масса (нетто / брутто): S[45 / 52];  (Внутренний блок) Уровень шума мин. / макс.: S[51/52/53/54];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</si>
  <si>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N[8.5];  (Сплит система) Площадь помещения: N[85];  (Сплит система) Инвентор: S[нет];  (Сплит система) Теплопроизводительность: N[9.8];  (Потребляемая мощность) Охлаждение: N[2.8];  (Потребляемая мощность) Обогрев: S[2.8];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S[32 / 39];  (Внутренний блок) Уровень шума мин. / макс.: S[43-48];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</si>
  <si>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N[0.075];  (Потребляемая мощность) Обогрев: S[0.075];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S[893 х 743 х 305];  (Внутренний блок) Масса (нетто / брутто): S[22 / 27];  (Внутренний блок) Уровень шума мин. / макс.: S[31/37];  (Наружный блок) Марка компрессора: S[];  (Наружный блок) Размеры (Ш x Г x В): S[700 х 615 х 200];  (Наружный блок) Упаковка (Ш x Г x В): S[893 х 743 х 305];  (Наружный блок) Масса (нетто / брутто): S[22 / 27];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</si>
  <si>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N[0.065];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S[740 х 890 х 290];  (Внутренний блок) Масса (нетто / брутто): S[21 / 26];  (Внутренний блок) Уровень шума мин. / макс.: S[31/34/37/41];  (Наружный блок) Марка компрессора: S[];  (Наружный блок) Размеры (Ш x Г x В): S[700 х 615 х 200];  (Наружный блок) Упаковка (Ш x Г x В): S[740 х 890 х 290];  (Наружный блок) Масса (нетто / брутто): S[21 / 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</si>
  <si>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N[0.075];  (Потребляемая мощность) Обогрев: S[0.075];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S[893 х 743 х 305];  (Внутренний блок) Масса (нетто / брутто): S[23 / 29];  (Внутренний блок) Уровень шума мин. / макс.: S[32/39];  (Наружный блок) Марка компрессора: S[];  (Наружный блок) Размеры (Ш x Г x В): S[700 х 615 х 200];  (Наружный блок) Упаковка (Ш x Г x В): S[893 х 743 х 305];  (Наружный блок) Масса (нетто / брутто): S[23 / 29];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</si>
  <si>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N[0.075];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S[740 х 890 х 290];  (Внутренний блок) Масса (нетто / брутто): S[22 / 28];  (Внутренний блок) Уровень шума мин. / макс.: S[32/35/39/42];  (Наружный блок) Марка компрессора: S[];  (Наружный блок) Размеры (Ш x Г x В): S[700 х 615 х 200];  (Наружный блок) Упаковка (Ш x Г x В): S[740 х 890 х 290];  (Наружный блок) Масса (нетто / брутто): S[22 / 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</si>
  <si>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N[0.08];  (Потребляемая мощность) Обогрев: S[0.08];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S[900 х 615 х 200];  (Внутренний блок) Упаковка (Ш x Г x В): S[1123 х 743 х 305];  (Внутренний блок) Масса (нетто / брутто): S[27 / 36];  (Внутренний блок) Уровень шума мин. / макс.: S[33/40];  (Наружный блок) Марка компрессора: S[];  (Наружный блок) Размеры (Ш x Г x В): S[900 х 615 х 200];  (Наружный блок) Упаковка (Ш x Г x В): S[1123 х 743 х 305];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</si>
  <si>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N[0.095];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х 615 х 200];  (Внутренний блок) Упаковка (Ш x Г x В): S[740 х 1120 х 290];  (Внутренний блок) Масса (нетто / брутто): S[26 / 32];  (Внутренний блок) Уровень шума мин. / макс.: S[33/36/41/45];  (Наружный блок) Марка компрессора: S[];  (Наружный блок) Размеры (Ш x Г x В): S[900 х 615 х 200];  (Наружный блок) Упаковка (Ш x Г x В): S[740 х 1120 х 290];  (Наружный блок) Масса (нетто / брутто): S[26 / 32];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</si>
  <si>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N[6];  (Сплит система) Площадь помещения: N[60];  (Сплит система) Инвентор: S[да];  (Сплит система) Теплопроизводительность: N[6.6];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S[1323 х 743 х 205];  (Внутренний блок) Масса (нетто / брутто): S[31 / 41];  (Внутренний блок) Уровень шума мин. / макс.: S[34/42];  (Наружный блок) Марка компрессора: S[];  (Наружный блок) Размеры (Ш x Г x В): S[1100 х 615 х 200];  (Наружный блок) Упаковка (Ш x Г x В): S[1323 х 743 х 205];  (Наружный блок) Масса (нетто / брутто): S[31 / 41];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</si>
  <si>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N[6];  (Сплит система) Площадь помещения: N[60];  (Сплит система) Инвентор: S[да];  (Сплит система) Теплопроизводительность: N[6.6];  (Потребляемая мощность) Охлаждение: N[0.11];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S[740 х 1320 х 290];  (Внутренний блок) Масса (нетто / брутто): S[30 / 40];  (Внутренний блок) Уровень шума мин. / макс.: S[34/37/42/48];  (Наружный блок) Марка компрессора: S[];  (Наружный блок) Размеры (Ш x Г x В): S[1100 х 615 х 200];  (Наружный блок) Упаковка (Ш x Г x В): S[740 х 1320 х 290];  (Наружный блок) Масса (нетто / брутто): S[30 / 40];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</si>
  <si>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S[1323 х 743 х 205];  (Внутренний блок) Масса (нетто / брутто): S[31 / 41];  (Внутренний блок) Уровень шума мин. / макс.: S[34/42];  (Наружный блок) Марка компрессора: S[];  (Наружный блок) Размеры (Ш x Г x В): S[1100 х 615 х 200];  (Наружный блок) Упаковка (Ш x Г x В): S[1323 х 743 х 205];  (Наружный блок) Масса (нетто / брутто): S[31 / 41];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</si>
  <si>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S[Канальные];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S[740 х 1320 х 290];  (Внутренний блок) Масса (нетто / брутто): S[30 / 40];  (Внутренний блок) Уровень шума мин. / макс.: S[34/37/42/48];  (Наружный блок) Марка компрессора: S[];  (Наружный блок) Размеры (Ш x Г x В): S[1100 х 615 х 200];  (Наружный блок) Упаковка (Ш x Г x В): S[740 х 1320 х 290];  (Наружный блок) Масса (нетто / брутто): S[30 / 40];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</si>
  <si>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</si>
  <si>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S[Кассетные];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</si>
  <si>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S[Кассетные];  (Сплит система) Холодопроизводительность: N[4.5];  (Сплит система) Площадь помещения: N[45];  (Сплит система) Инвентор: S[да];  (Сплит система) Теплопроизводительность: N[5];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</si>
  <si>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S[Кассетные];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</si>
  <si>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N[0.055];  (Потребляемая мощность) Обогрев: S[0.055];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S[36/40];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</si>
  <si>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N[0.055];  (Потребляемая мощность) Обогрев: S[0.055];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S[36/40];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</si>
  <si>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S[Напольно-потолочные];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S[40/45];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</si>
  <si>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S[Напольно-потолочные];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S[45 / 54];  (Внутренний блок) Уровень шума мин. / макс.: S[40/48];  (Наружный блок) Марка компрессора: S[];  (Наружный блок) Размеры (Ш x Г x В): S[1220 х 225 х 700];  (Наружный блок) Упаковка (Ш x Г x В): S[1343 х 315 х 823];  (Наружный блок) Масса (нетто / брутто): S[45 / 54];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</si>
  <si>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N[2.2];  (Сплит система) Площадь помещения: N[22];  (Сплит система) Инвентор: S[да];  (Сплит система) Теплопроизводительность: N[2.3];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S[24/31/37/40];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</si>
  <si>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S[27/35/37/40];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</si>
  <si>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N[3.3];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S[29/33/36/40];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</si>
  <si>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  (Потребляемая мощность) Охлаждение: N[0.04];  (Потребляемая мощность) Обогрев: S[0.04];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S[1013 х 221 х 307];  (Внутренний блок) Упаковка (Ш x Г x В): S[1080 х 315 х 378];  (Внутренний блок) Масса (нетто / брутто): S[13.5 / 16.5];  (Внутренний блок) Уровень шума мин. / макс.: S[33/37/43/45];  (Наружный блок) Марка компрессора: S[];  (Наружный блок) Размеры (Ш x Г x В): S[1013 х 221 х 307];  (Наружный блок) Упаковка (Ш x Г x В): S[1080 х 315 х 378];  (Наружный блок) Масса (нетто / брутто): S[13.5 / 16.5];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</si>
  <si>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N[6.16];  (Сплит система) Площадь помещения: N[62];  (Сплит система) Инвентор: S[да];  (Сплит система) Теплопроизводительность: N[6.2];  (Потребляемая мощность) Охлаждение: N[0.04];  (Потребляемая мощность) Обогрев: S[0.04];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S[1013 х 221 х 307];  (Внутренний блок) Упаковка (Ш x Г x В): S[1080 х 315 х 378];  (Внутренний блок) Масса (нетто / брутто): S[14 / 17];  (Внутренний блок) Уровень шума мин. / макс.: S[34/39/43/47];  (Наружный блок) Марка компрессора: S[];  (Наружный блок) Размеры (Ш x Г x В): S[1013 х 221 х 307];  (Наружный блок) Упаковка (Ш x Г x В): S[1080 х 315 х 378];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</si>
  <si>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N[2.35];  (Сплит система) Площадь помещения: N[24];  (Сплит система) Инвентор: S[да];  (Сплит система) Теплопроизводительность: N[2.5];  (Потребляемая мощность) Охлаждение: N[0.022];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185 х 256];  (Внутренний блок) Упаковка (Ш x Г x В): S[788 х 249 х 314];  (Внутренний блок) Масса (нетто / брутто): S[7.7 / 9.2];  (Внутренний блок) Уровень шума мин. / макс.: S[27/33/38/40];  (Наружный блок) Марка компрессора: S[];  (Наружный блок) Размеры (Ш x Г x В): S[744 х 185 х 256];  (Наружный блок) Упаковка (Ш x Г x В): S[788 х 249 х 314];  (Наружный блок) Масса (нетто / брутто): S[7.7 / 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</si>
  <si>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N[0.022];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185 х 256];  (Внутренний блок) Упаковка (Ш x Г x В): S[788 х 249 х 314];  (Внутренний блок) Масса (нетто / брутто): S[7.5 / 9];  (Внутренний блок) Уровень шума мин. / макс.: S[25/32/36/38];  (Наружный блок) Марка компрессора: S[];  (Наружный блок) Размеры (Ш x Г x В): S[744 х 185 х 256];  (Наружный блок) Упаковка (Ш x Г x В): S[788 х 249 х 314];  (Наружный блок) Масса (нетто / брутто): S[7.5 / 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</si>
  <si>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N[3.4];  (Потребляемая мощность) Охлаждение: N[0.03];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S[863 х 249 х 314];  (Внутренний блок) Масса (нетто / брутто): S[8 / 9.5];  (Внутренний блок) Уровень шума мин. / макс.: S[26/33/37/41];  (Наружный блок) Марка компрессора: S[];  (Наружный блок) Размеры (Ш x Г x В): S[819 х 185 х 256];  (Наружный блок) Упаковка (Ш x Г x В): S[863 х 249 х 314];  (Наружный блок) Масса (нетто / брутто): S[8 / 9.5];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</si>
  <si>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N[0.035];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221 х 304];  (Внутренний блок) Упаковка (Ш x Г x В): S[1077 х 300 х 375];  (Внутренний блок) Масса (нетто / брутто): S[14 / 17];  (Внутренний блок) Уровень шума мин. / макс.: S[34/39/45/48];  (Наружный блок) Марка компрессора: S[];  (Наружный блок) Размеры (Ш x Г x В): S[1017 х 221 х 304];  (Наружный блок) Упаковка (Ш x Г x В): S[1077 х 300 х 375];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</si>
  <si>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E[TOSOT];  Тип: S[Мульти сплит система];  (Сплит система) Холодопроизводительность: N[6.16];  (Сплит система) Площадь помещения: N[62];  (Сплит система) Инвентор: S[да];  (Сплит система) Теплопроизводительность: N[6.45];  (Потребляемая мощность) Охлаждение: N[0.06];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221 х 304];  (Внутренний блок) Упаковка (Ш x Г x В): S[1077 х 300 х 375];  (Внутренний блок) Масса (нетто / брутто): S[14 / 17];  (Внутренний блок) Уровень шума мин. / макс.: S[34/40/44/48];  (Наружный блок) Марка компрессора: S[];  (Наружный блок) Размеры (Ш x Г x В): S[1017 х 221 х 304];  (Наружный блок) Упаковка (Ш x Г x В): S[1077 х 300 х 375];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</si>
  <si>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 ; ; ; ; ; ; ; ; ; ; ; ; ; ; ; ; ; ; ; ; ; ; ; ; ; ; ; </t>
  </si>
  <si>
    <t>List was prepared on 04.04.2023</t>
  </si>
  <si>
    <t>on 1:06:46</t>
  </si>
  <si>
    <t>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N[0.465];  (Потребляемая мощность) Обогрев: S[0.685];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S[21/25];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</si>
  <si>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N[0.65];  (Потребляемая мощность) Обогрев: S[0.73];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S[21/25];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</si>
  <si>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N[0.97];  (Потребляемая мощность) Обогрев: S[1.02];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S[21/32/40/43];  (Наружный блок) Марка компрессора: S[PANASONIC];  (Наружный блок) Размеры (Ш x Г x В): S[663 х 293 х 535];  (Наружный блок) Упаковка (Ш x Г x В): S[790 х 395 х 595];  (Наружный блок) Масса (нетто / брутто): S[26/30];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</si>
  <si>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N[1.135];  (Потребляемая мощность) Обогрев: S[1.365];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270 х 204];  (Внутренний блок) Упаковка (Ш x Г x В): S[925 х 270 х 366];  (Внутренний блок) Масса (нетто / брутто): S[8.5 / 10.5];  (Внутренний блок) Уровень шума мин. / макс.: S[25/33/40/44];  (Наружный блок) Марка компрессора: S[PANASONIC];  (Наружный блок) Размеры (Ш x Г x В): S[790 х 290 х 540];  (Наружный блок) Упаковка (Ш x Г x В): S[938 х 400 х 648];  (Наружный блок) Масса (нетто / брутто): S[34/37];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</si>
  <si>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Производитель: E[FUJITSU];  Тип: S[Канальные];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  (Наружный блок) Марка компрессора: S[];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</si>
  <si>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  (Наружный блок) Марка компрессора: S[];  (Наружный блок) Размеры (Ш x Г x В): S[940 х 320 х 998];  (Наружный блок) Упаковка (Ш x Г x В): S[1027 х 445 х 1176];  (Наружный блок) Масса (нетто / брутто): S[63/73];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</si>
  <si>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N[2.84];  (Потребляемая мощность) Обогрев: S[2.87];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</si>
  <si>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N[4.65];  (Потребляемая мощность) Обогрев: S[4.37];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</si>
  <si>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S[Мульти сплит система];  (Сплит система) Холодопроизводительность: N[19];  (Сплит система) Площадь помещения: N[190];  (Сплит система) Инвентор: S[да];  (Сплит система) Теплопроизводительность: N[22.4];  (Потребляемая мощность) Охлаждение: N[5.99];  (Потребляемая мощность) Обогрев: S[6.12];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</si>
  <si>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Производитель: E[FUJITSU];  Тип: S[Мульти сплит система];  (Сплит система) Холодопроизводительность: N[22];  (Сплит система) Площадь помещения: N[220];  (Сплит система) Инвентор: S[да];  (Сплит система) Теплопроизводительность: N[27];  (Потребляемая мощность) Охлаждение: N[7.24];  (Потребляемая мощность) Обогрев: S[7.65];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</si>
  <si>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S[1135 х 700 х 270];  (Внутренний блок) Упаковка (Ш x Г x В): S[1320 х 790 х 300];  (Внутренний блок) Масса (нетто / брутто): S[38 / 44];  (Внутренний блок) Уровень шума мин. / макс.: S[];  (Наружный блок) Марка компрессора: S[];  (Наружный блок) Размеры (Ш x Г x В): S[1135 х 700 х 270];  (Наружный блок) Упаковка (Ш x Г x В): S[1320 х 790 х 300];  (Наружный блок) Масса (нетто / брутто): S[38 / 44];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</si>
  <si>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N[6.25];  (Сплит система) Площадь помещения: N[63];  (Сплит система) Инвентор: S[да];  (Сплит система) Теплопроизводительность: N[7];  (Потребляемая мощность) Охлаждение: N[0.106];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S[1135 х 700 х 270];  (Внутренний блок) Упаковка (Ш x Г x В): S[1320 х 790 х 300];  (Внутренний блок) Масса (нетто / брутто): S[38 / 44];  (Внутренний блок) Уровень шума мин. / макс.: S[];  (Наружный блок) Марка компрессора: S[];  (Наружный блок) Размеры (Ш x Г x В): S[1135 х 700 х 270];  (Наружный блок) Упаковка (Ш x Г x В): S[1320 х 790 х 300];  (Наружный блок) Масса (нетто / брутто): S[38 / 44];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</si>
  <si>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N[2];  (Сплит система) Площадь помещения: N[20];  (Сплит система) Инвентор: S[да];  (Сплит система) Теплопроизводительность: N[];  (Потребляемая мощность) Охлаждение: N[0.033];  (Потребляемая мощность) Обогрев: S[0.033];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S[16 / 21];  (Внутренний блок) Уровень шума мин. / макс.: S[28/26/25/24];  (Наружный блок) Марка компрессора: S[];  (Наружный блок) Размеры (Ш x Г x В): S[700 х 620 х 198];  (Наружный блок) Упаковка (Ш x Г x В): S[968 х 772 х 276];  (Наружный блок) Масса (нетто / брутто): S[16 / 21];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</si>
  <si>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N[0.033];  (Потребляемая мощность) Обогрев: S[0.033];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S[17 / 24];  (Внутренний блок) Уровень шума мин. / макс.: S[28/26/25/24];  (Наружный блок) Марка компрессора: S[];  (Наружный блок) Размеры (Ш x Г x В): S[700 х 620 х 198];  (Наружный блок) Упаковка (Ш x Г x В): S[968 х 772 х 276];  (Наружный блок) Масса (нетто / брутто): S[17 / 24];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</si>
  <si>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N[0.049];  (Потребляемая мощность) Обогрев: S[0.049];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26];  (Внутренний блок) Уровень шума мин. / макс.: S[28/27/26/25];  (Наружный блок) Марка компрессора: S[];  (Наружный блок) Размеры (Ш x Г x В): S[700 х 620 х 198];  (Наружный блок) Упаковка (Ш x Г x В): S[968 х 772 х 276];  (Наружный блок) Масса (нетто / брутто): S[19 / 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</si>
  <si>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N[0.058];  (Потребляемая мощность) Обогрев: S[0.058];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23];  (Внутренний блок) Уровень шума мин. / макс.: S[];  (Наружный блок) Марка компрессора: S[];  (Наружный блок) Размеры (Ш x Г x В): S[700 х 620 х 198];  (Наружный блок) Упаковка (Ш x Г x В): S[968 х 772 х 276];  (Наружный блок) Масса (нетто / брутто): S[19 / 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</si>
  <si>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N[0.076];  (Потребляемая мощность) Обогрев: S[0.076];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S[700 х 620 х 198];  (Внутренний блок) Упаковка (Ш x Г x В): S[968 х 772 х 276];  (Внутренний блок) Масса (нетто / брутто): S[19 / 23];  (Внутренний блок) Уровень шума мин. / макс.: S[];  (Наружный блок) Марка компрессора: S[];  (Наружный блок) Размеры (Ш x Г x В): S[700 х 620 х 198];  (Наружный блок) Упаковка (Ш x Г x В): S[968 х 772 х 276];  (Наружный блок) Масса (нетто / брутто): S[19 / 23];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</si>
  <si>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N[0.073];  (Потребляемая мощность) Обогрев: S[0.073];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х 620 х 198];  (Внутренний блок) Упаковка (Ш x Г x В): S[1168 х 772 х 276];  (Внутренний блок) Масса (нетто / брутто): S[23 / 27];  (Внутренний блок) Уровень шума мин. / макс.: S[];  (Наружный блок) Марка компрессора: S[];  (Наружный блок) Размеры (Ш x Г x В): S[900 х 620 х 198];  (Наружный блок) Упаковка (Ш x Г x В): S[1168 х 772 х 276];  (Наружный блок) Масса (нетто / брутто): S[23 / 27];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</si>
  <si>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S[27/29/31/33];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</si>
  <si>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S[27/29/31/33];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</si>
  <si>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</si>
  <si>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N[0.028];  (Потребляемая мощность) Обогрев: S[0.028];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</si>
  <si>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N[0.039];  (Потребляемая мощность) Обогрев: S[0.039];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</si>
  <si>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570 х 245];  (Внутренний блок) Упаковка (Ш x Г x В): S[730 х 625 х 265];  (Внутренний блок) Масса (нетто / брутто): S[15 / 18];  (Внутренний блок) Уровень шума мин. / макс.: S[33/31/29/27];  (Наружный блок) Марка компрессора: S[];  (Наружный блок) Размеры (Ш x Г x В): S[570 х 570 х 245];  (Наружный блок) Упаковка (Ш x Г x В): S[730 х 625 х 265];  (Наружный блок) Масса (нетто / брутто): S[15 / 18];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</si>
  <si>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S[Кассетные];  (Сплит система) Холодопроизводительность: N[5.5];  (Сплит система) Площадь помещения: N[55];  (Сплит система) Инвентор: S[да];  (Сплит система) Теплопроизводительность: N[5.5];  (Потребляемая мощность) Охлаждение: N[5.5];  (Потребляемая мощность) Обогрев: S[5.5];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х 570 х 245];  (Внутренний блок) Упаковка (Ш x Г x В): S[730 х 625 х 265];  (Внутренний блок) Масса (нетто / брутто): S[16 / 19];  (Внутренний блок) Уровень шума мин. / макс.: S[];  (Наружный блок) Марка компрессора: S[];  (Наружный блок) Размеры (Ш x Г x В): S[570 х 570 х 245];  (Наружный блок) Упаковка (Ш x Г x В): S[730 х 625 х 265];  (Наружный блок) Масса (нетто / брутто): S[16 / 19];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</si>
  <si>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N[0.026];  (Потребляемая мощность) Обогрев: S[0.026];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199 х 655];  (Внутренний блок) Упаковка (Ш x Г x В): S[1150 х 320 х 790];  (Внутренний блок) Масса (нетто / брутто): S[27 / 36];  (Внутренний блок) Уровень шума мин. / макс.: S[];  (Наружный блок) Марка компрессора: S[];  (Наружный блок) Размеры (Ш x Г x В): S[990 х 199 х 655];  (Наружный блок) Упаковка (Ш x Г x В): S[1150 х 320 х 790];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</si>
  <si>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N[0.047];  (Потребляемая мощность) Обогрев: S[0.047];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655 х 199];  (Внутренний блок) Упаковка (Ш x Г x В): S[1150 х 790 х 320];  (Внутренний блок) Масса (нетто / брутто): S[27 / 36];  (Внутренний блок) Уровень шума мин. / макс.: S[];  (Наружный блок) Марка компрессора: S[];  (Наружный блок) Размеры (Ш x Г x В): S[990 х 655 х 199];  (Наружный блок) Упаковка (Ш x Г x В): S[1150 х 790 х 320];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</si>
  <si>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N[6.25];  (Сплит система) Площадь помещения: N[63];  (Сплит система) Инвентор: S[да];  (Сплит система) Теплопроизводительность: N[7];  (Потребляемая мощность) Охлаждение: N[0.08];  (Потребляемая мощность) Обогрев: S[0.08];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S[655 х 990 х 199];  (Внутренний блок) Упаковка (Ш x Г x В): S[655 х 990 х 199];  (Внутренний блок) Масса (нетто / брутто): S[27 / 27];  (Внутренний блок) Уровень шума мин. / макс.: S[];  (Наружный блок) Марка компрессора: S[];  (Наружный блок) Размеры (Ш x Г x В): S[655 х 990 х 199];  (Наружный блок) Упаковка (Ш x Г x В): S[655 х 990 х 199];  (Наружный блок) Масса (нетто / брутто): S[27 / 27];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</si>
  <si>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230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S[990 х 655 х 199];  (Внутренний блок) Упаковка (Ш x Г x В): S[1150 х 790 х 320];  (Внутренний блок) Масса (нетто / брутто): S[27 / 36];  (Внутренний блок) Уровень шума мин. / макс.: S[];  (Наружный блок) Марка компрессора: S[];  (Наружный блок) Размеры (Ш x Г x В): S[990 х 655 х 199];  (Наружный блок) Упаковка (Ш x Г x В): S[1150 х 790 х 320];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</si>
  <si>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N[0.016];  (Потребляемая мощность) Обогрев: S[0.016];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</si>
  <si>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</si>
  <si>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S[Напольно-потолочные];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S[740 х 200 х 600];  (Внутренний блок) Упаковка (Ш x Г x В): S[820 х 310 х 700];  (Внутренний блок) Масса (нетто / брутто): S[14 / 17];  (Внутренний блок) Уровень шума мин. / макс.: S[];  (Наружный блок) Марка компрессора: S[];  (Наружный блок) Размеры (Ш x Г x В): S[740 х 200 х 600];  (Наружный блок) Упаковка (Ш x Г x В): S[820 х 310 х 700];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</si>
  <si>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E[FUJITSU];  Тип: S[Мульти сплит система];  (Сплит система) Холодопроизводительность: N[12.5];  (Сплит система) Площадь помещения: N[125];  (Сплит система) Инвентор: S[да];  (Сплит система) Теплопроизводительность: N[14];  (Потребляемая мощность) Охлаждение: N[4.06];  (Потребляемая мощность) Обогрев: S[3.67];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</si>
  <si>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N[5.2];  (Потребляемая мощность) Обогрев: S[5.16];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-5 до +46];  (Допустимая темп. наружного воздуха) Обогрев: S[от -15 до +24]</t>
  </si>
  <si>
    <t>Производитель: E[LESSAR];  Тип: S[Сплит система];  (Сплит система) Холодопроизводительность: N[2.2];  (Сплит система) Площадь помещения: N[22];  (Сплит система) Инвентор: S[нет];  (Сплит система) Теплопроизводительность: N[2.34];  (Потребляемая мощность) Охлаждение: N[0.685];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S[8.3 / 10.6];  (Внутренний блок) Уровень шума мин. / макс.: S[26/34.5/38];  (Наружный блок) Марка компрессора: S[GMCC];  (Наружный блок) Размеры (Ш x Г x В): S[700 х 275 х 550];  (Наружный блок) Упаковка (Ш x Г x В): S[815 х 325 х 625];  (Наружный блок) Масса (нетто / брутто): S[23.9/26.2];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</si>
  <si>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N[2.28];  (Сплит система) Площадь помещения: N[23];  (Сплит система) Инвентор: S[нет];  (Сплит система) Теплопроизводительность: N[2.28];  (Потребляемая мощность) Охлаждение: N[0.693];  (Потребляемая мощность) Обогрев: S[0.617];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S[26/35/40.5];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S[24.6/26.5];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</si>
  <si>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N[2.81];  (Потребляемая мощность) Охлаждение: N[0.821];  (Потребляемая мощность) Обогрев: S[0.771];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S[8.2 / 10.2];  (Внутренний блок) Уровень шума мин. / макс.: S[26.5/33/41];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S[24.9/26.6];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</si>
  <si>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N[3.81];  (Потребляемая мощность) Охлаждение: N[1.096];  (Потребляемая мощность) Обогрев: S[1.055];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380];  (Внутренний блок) Масса (нетто / брутто): S[8.8 / 11];  (Внутренний блок) Уровень шума мин. / макс.: S[26.5/35.5/37.5];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S[31.2/33.5];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</si>
  <si>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N[1.644];  (Потребляемая мощность) Обогрев: S[1.502];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S[965 х 319 х 215];  (Внутренний блок) Упаковка (Ш x Г x В): S[1045 х 305 х 410];  (Внутренний блок) Масса (нетто / брутто): S[11.6 / 14.8];  (Внутренний блок) Уровень шума мин. / макс.: S[30/38.5/42.5];  (Наружный блок) Марка компрессора: S[GMCC];  (Наружный блок) Размеры (Ш x Г x В): S[770 х 300 х 555];  (Наружный блок) Упаковка (Ш x Г x В): S[900 х 348 х 625];  (Наружный блок) Масса (нетто / брутто): S[37.7/40];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</si>
  <si>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N[7.62];  (Потребляемая мощность) Охлаждение: N[2.503];  (Потребляемая мощность) Обогрев: S[2.374];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S[1080 х 335 х 226];  (Внутренний блок) Упаковка (Ш x Г x В): S[1155 х 320 х 415];  (Внутренний блок) Масса (нетто / брутто): S[14 / 17.5];  (Внутренний блок) Уровень шума мин. / макс.: S[40/44/47];  (Наружный блок) Марка компрессора: S[GMCC];  (Наружный блок) Размеры (Ш x Г x В): S[845 х 363 х 702];  (Наружный блок) Упаковка (Ш x Г x В): S[965 х 395 х 775];  (Наружный блок) Масса (нетто / брутто): S[50.6/53.8];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</si>
  <si>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N[8.5];  (Потребляемая мощность) Охлаждение: N[2.556];  (Потребляемая мощность) Обогрев: S[2.354];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S[1259 х 362 х 282];  (Внутренний блок) Упаковка (Ш x Г x В): S[1340 х 385 х 450];  (Внутренний блок) Масса (нетто / брутто): S[20.1 / 25.9];  (Внутренний блок) Уровень шума мин. / макс.: S[40/47/50];  (Наружный блок) Марка компрессора: S[GMCC];  (Наружный блок) Размеры (Ш x Г x В): S[946 х 410 х 810];  (Наружный блок) Упаковка (Ш x Г x В): S[1090 х 500 х 885];  (Наружный блок) Масса (нетто / брутто): S[62.5/68.5];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+54];  (Допустимая темп. наружного воздуха) Обогрев: S[от -7 до +24]</t>
  </si>
  <si>
    <t>Производитель: E[LESSAR];  Тип: S[Сплит система];  (Сплит система) Холодопроизводительность: N[9.96];  (Сплит система) Площадь помещения: N[100];  (Сплит система) Инвентор: S[нет];  (Сплит система) Теплопроизводительность: N[10.84];  (Потребляемая мощность) Охлаждение: N[3.104];  (Потребляемая мощность) Обогрев: S[3.08];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362 х 283];  (Внутренний блок) Упаковка (Ш x Г x В): S[1340 х 385 х 450];  (Внутренний блок) Масса (нетто / брутто): S[21.8 / 27.6];  (Внутренний блок) Уровень шума мин. / макс.: S[42/47/51];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S[70/76.5];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</si>
  <si>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N[2.34];  (Потребляемая мощность) Охлаждение: N[0.639];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S[26.5/38/41];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S[23.9/25.6];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</si>
  <si>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N[2.64];  (Потребляемая мощность) Охлаждение: N[0.821];  (Потребляемая мощность) Обогрев: S[0.73];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х 290 х 187];  (Внутренний блок) Упаковка (Ш x Г x В): S[790 х 270 х 375];  (Внутренний блок) Масса (нетто / брутто): S[8.1 / 10.4];  (Внутренний блок) Уровень шума мин. / макс.: S[26.5/38/41];  (Наружный блок) Марка компрессора: S[GMCC];  (Наружный блок) Размеры (Ш x Г x В): S[720 х 270 х 495];  (Наружный блок) Упаковка (Ш x Г x В): S[835 х 300 х 540];  (Наружный блок) Масса (нетто / брутто): S[24.2/26];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</si>
  <si>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N[3.66];  (Потребляемая мощность) Охлаждение: N[1.095];  (Потребляемая мощность) Обогрев: S[1.015];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380];  (Внутренний блок) Масса (нетто / брутто): S[9 / 11.4];  (Внутренний блок) Уровень шума мин. / макс.: S[26.5/34.5/37.5];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S[26/27.7];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</si>
  <si>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N[5.57];  (Потребляемая мощность) Охлаждение: N[1.643];  (Потребляемая мощность) Обогрев: S[1.542];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S[965 х 319 х 215];  (Внутренний блок) Упаковка (Ш x Г x В): S[1045 х 305 х 410];  (Внутренний блок) Масса (нетто / брутто): S[12.1 / 15.3];  (Внутренний блок) Уровень шума мин. / макс.: S[34.5/38/45];  (Наружный блок) Марка компрессора: S[GMCC];  (Наружный блок) Размеры (Ш x Г x В): S[765 х 303 х 555];  (Наружный блок) Упаковка (Ш x Г x В): S[887 х 337 х 610];  (Наружный блок) Масса (нетто / брутто): S[34.5/37];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</si>
  <si>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E[LESSAR];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N[7.33];  (Потребляемая мощность) Охлаждение: N[2.191];  (Потребляемая мощность) Обогрев: S[2.03];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335 х 226];  (Внутренний блок) Упаковка (Ш x Г x В): S[1155 х 415 х 320];  (Внутренний блок) Масса (нетто / брутто): S[15 / 18.6];  (Внутренний блок) Уровень шума мин. / макс.: S[34.5/45.5/49];  (Наружный блок) Марка компрессора: S[GMCC];  (Наружный блок) Размеры (Ш x Г x В): S[890 х 342 х 673];  (Наружный блок) Упаковка (Ш x Г x В): S[995 х 398 х 740];  (Наружный блок) Масса (нетто / брутто): S[47.9/50.9];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</si>
  <si>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E[LESSAR];  Тип: S[Канальные];  (Сплит система) Холодопроизводительность: N[44];  (Сплит система) Площадь помещения: N[440];  (Сплит система) Инвентор: S[нет];  (Сплит система) Теплопроизводительность: N[47];  (Потребляемая мощность) Охлаждение: N[16.3];  (Потребляемая мощность) Обогрев: S[15.7];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S[1988 х 669 х 906];  (Внутренний блок) Упаковка (Ш x Г x В): S[2095 х 964 х 800];  (Внутренний блок) Масса (нетто / брутто): S[208 / 220];  (Внутренний блок) Уровень шума мин. / макс.: S[63];  (Наружный блок) Марка компрессора: S[Hitachi x 3];  (Наружный блок) Размеры (Ш x Г x В): S[1250 х 765 х 1615];  (Наружный блок) Упаковка (Ш x Г x В): S[1305 х 820 х 1790];  (Наружный блок) Масса (нетто / брутто): S[288/308];  (Наружный блок) Максимальный уровень шума: N[];  (Соединительные трубы) Жидкостная линия : N[16];  (Соединительные трубы) Газовая линия : N[32];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</si>
  <si>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Производитель: E[LESSAR];  Тип: S[Канальные];  (Сплит система) Холодопроизводительность: N[56.3];  (Сплит система) Площадь помещения: N[563];  (Сплит система) Инвентор: S[нет];  (Сплит система) Теплопроизводительность: N[58.6];  (Потребляемая мощность) Охлаждение: N[22];  (Потребляемая мощность) Обогрев: S[19.3];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S[1988 х 669 х 906];  (Внутренний блок) Упаковка (Ш x Г x В): S[2095 х 964 х 800];  (Внутренний блок) Масса (нетто / брутто): S[215 / 230];  (Внутренний блок) Уровень шума мин. / макс.: S[65];  (Наружный блок) Марка компрессора: S[Hitachi x 3];  (Наружный блок) Размеры (Ш x Г x В): S[1390 х 765 х 1615];  (Наружный блок) Упаковка (Ш x Г x В): S[1455 х 830 х 1790];  (Наружный блок) Масса (нетто / брутто): S[320/336];  (Наружный блок) Максимальный уровень шума: N[];  (Соединительные трубы) Жидкостная линия : N[16];  (Соединительные трубы) Газовая линия : N[35];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</si>
  <si>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Производитель: E[LESSAR];  Тип: S[Канальные];  (Сплит система) Холодопроизводительность: N[28.1];  (Сплит система) Площадь помещения: N[281];  (Сплит система) Инвентор: S[нет];  (Сплит система) Теплопроизводительность: N[31.1];  (Потребляемая мощность) Охлаждение: N[9.6];  (Потребляемая мощность) Обогрев: S[10.3];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S[1452 х 462 х 716];  (Внутренний блок) Упаковка (Ш x Г x В): S[1555 х 875 х 500];  (Внутренний блок) Масса (нетто / брутто): S[97 / 109];  (Внутренний блок) Уровень шума мин. / макс.: S[56];  (Наружный блок) Марка компрессора: S[Danfoss];  (Наружный блок) Размеры (Ш x Г x В): S[1312 х 658 х 919];  (Наружный блок) Упаковка (Ш x Г x В): S[1320 х 730 х 1060];  (Наружный блок) Масса (нетто / брутто): S[177/192];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</si>
  <si>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Производитель: E[LESSAR];  Тип: S[Колонные];  (Сплит система) Холодопроизводительность: N[7.03];  (Сплит система) Площадь помещения: N[70];  (Сплит система) Инвентор: S[нет];  (Сплит система) Теплопроизводительность: N[7.91];  (Потребляемая мощность) Охлаждение: N[2.425];  (Потребляемая мощность) Обогрев: S[2.47];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S[510 х 1750 х 315];  (Внутренний блок) Упаковка (Ш x Г x В): S[1910 х 655 х 430];  (Внутренний блок) Масса (нетто / брутто): S[38.4 / 49];  (Внутренний блок) Уровень шума мин. / макс.: S[40/47];  (Наружный блок) Марка компрессора: S[GMCC];  (Наружный блок) Размеры (Ш x Г x В): S[890 х 342 х 673];  (Наружный блок) Упаковка (Ш x Г x В): S[995 х 398 х 740];  (Наружный блок) Масса (нетто / брутто): S[55.5/58.7];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18 до +43];  (Допустимая темп. наружного воздуха) Обогрев: S[от -7 до +24]</t>
  </si>
  <si>
    <t>Производитель: E[LESSAR];  Тип: S[Канальные];  (Сплит система) Холодопроизводительность: N[2.05];  (Сплит система) Площадь помещения: N[21];  (Сплит система) Инвентор: S[да];  (Сплит система) Теплопроизводительность: N[2.34];  (Потребляемая мощность) Охлаждение: N[0.17];  (Потребляемая мощность) Обогрев: S[0.17];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S[27/34/40];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</si>
  <si>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S[Канальные];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N[0.18];  (Потребляемая мощность) Обогрев: S[0.18];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S[27/34/40];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</si>
  <si>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N[0.185];  (Потребляемая мощность) Обогрев: S[0.185];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450 х 200];  (Внутренний блок) Упаковка (Ш x Г x В): S[860 х 540 х 270];  (Внутренний блок) Масса (нетто / брутто): S[18 / 22];  (Внутренний блок) Уровень шума мин. / макс.: S[27.5/34.5/40];  (Наружный блок) Марка компрессора: S[];  (Наружный блок) Размеры (Ш x Г x В): S[700 х 450 х 200];  (Наружный блок) Упаковка (Ш x Г x В): S[860 х 540 х 270];  (Наружный блок) Масса (нетто / брутто): S[18 / 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</si>
  <si>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N[0.185];  (Потребляемая мощность) Обогрев: S[0.185];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506 х 200];  (Внутренний блок) Упаковка (Ш x Г x В): S[860 х 540 х 285];  (Внутренний блок) Масса (нетто / брутто): S[17.8 / 21.5];  (Внутренний блок) Уровень шума мин. / макс.: S[30/32/34.5];  (Наружный блок) Марка компрессора: S[];  (Наружный блок) Размеры (Ш x Г x В): S[700 х 506 х 200];  (Наружный блок) Упаковка (Ш x Г x В): S[860 х 540 х 285];  (Наружный блок) Масса (нетто / брутто): S[17.8 / 21.5];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</si>
  <si>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S[Канальные];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N[0.2];  (Потребляемая мощность) Обогрев: S[0.2];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674 х 210];  (Внутренний блок) Упаковка (Ш x Г x В): S[1070 х 725 х 280];  (Внутренний блок) Масса (нетто / брутто): S[24.3 / 29.6];  (Внутренний блок) Уровень шума мин. / макс.: S[33/38/41.5];  (Наружный блок) Марка компрессора: S[];  (Наружный блок) Размеры (Ш x Г x В): S[880 х 674 х 210];  (Наружный блок) Упаковка (Ш x Г x В): S[1070 х 725 х 280];  (Наружный блок) Масса (нетто / брутто): S[24.3 / 29.6];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</si>
  <si>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S[Канальные];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N[0.2];  (Потребляемая мощность) Обогрев: S[0.2];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S[880 х 674 х 210];  (Внутренний блок) Упаковка (Ш x Г x В): S[1070 х 725 х 280];  (Внутренний блок) Масса (нетто / брутто): S[24.4 / 29.6];  (Внутренний блок) Уровень шума мин. / макс.: S[35/39/42];  (Наружный блок) Марка компрессора: S[];  (Наружный блок) Размеры (Ш x Г x В): S[880 х 674 х 210];  (Наружный блок) Упаковка (Ш x Г x В): S[1070 х 725 х 280];  (Наружный блок) Масса (нетто / брутто): S[24.4 / 29.6];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</si>
  <si>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S[Кассетные];  (Сплит система) Холодопроизводительность: N[2.63];  (Сплит система) Площадь помещения: N[26];  (Сплит система) Инвентор: S[да];  (Сплит система) Теплопроизводительность: N[2.63];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</si>
  <si>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S[Кассетные];  (Сплит система) Холодопроизводительность: N[3.51];  (Сплит система) Площадь помещения: N[35];  (Сплит система) Инвентор: S[да];  (Сплит система) Теплопроизводительность: N[4.1];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</si>
  <si>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S[Кассетные];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</si>
  <si>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S[Кассетные];  (Сплит система) Холодопроизводительность: N[5.27];  (Сплит система) Площадь помещения: N[53];  (Сплит система) Инвентор: S[да];  (Сплит система) Теплопроизводительность: N[5.27];  (Потребляемая мощность) Охлаждение: N[0];  (Потребляемая мощность) Обогрев: S[0];  (Рабочий ток) Охлаждение: S[];  (Рабочий ток) Обогрев: S[];  (Рабочий ток) Напряжение / Частота источника питания: S[1 / 220 / 50];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</si>
  <si>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N[2.93];  (Потребляемая мощность) Охлаждение: N[0.018];  (Потребляемая мощность) Обогрев: S[0.018];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S[7.3 / 9.7];  (Внутренний блок) Уровень шума мин. / макс.: S[22/33/37];  (Наружный блок) Марка компрессора: S[];  (Наружный блок) Размеры (Ш x Г x В): S[722 х 187 х 290];  (Наружный блок) Упаковка (Ш x Г x В): S[790 х 270 х 370];  (Наружный блок) Масса (нетто / брутто): S[7.3 / 9.7];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</si>
  <si>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N[0.021];  (Потребляемая мощность) Обогрев: S[0.021];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S[8.2 / 10.7];  (Внутренний блок) Уровень шума мин. / макс.: S[22/32/38];  (Наружный блок) Марка компрессора: S[];  (Наружный блок) Размеры (Ш x Г x В): S[802 х 189 х 297];  (Наружный блок) Упаковка (Ш x Г x В): S[875 х 285 х 375];  (Наружный блок) Масса (нетто / брутто): S[8.2 / 10.7];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</si>
  <si>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N[0.023];  (Потребляемая мощность) Обогрев: S[0.023];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S[8.6 / 11.1];  (Внутренний блок) Уровень шума мин. / макс.: S[25/35/42];  (Наружный блок) Марка компрессора: S[];  (Наружный блок) Размеры (Ш x Г x В): S[802 х 189 х 297];  (Наружный блок) Упаковка (Ш x Г x В): S[875 х 285 х 375];  (Наружный блок) Масса (нетто / брутто): S[8.6 / 11.1];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</si>
  <si>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N[0.024];  (Потребляемая мощность) Обогрев: S[0.024];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S[965 х 215 х 319];  (Внутренний блок) Упаковка (Ш x Г x В): S[1045 х 305 х 405];  (Внутренний блок) Масса (нетто / брутто): S[9 / 12.2];  (Внутренний блок) Уровень шума мин. / макс.: S[27/33/42];  (Наружный блок) Марка компрессора: S[];  (Наружный блок) Размеры (Ш x Г x В): S[965 х 215 х 319];  (Наружный блок) Упаковка (Ш x Г x В): S[1045 х 305 х 405];  (Наружный блок) Масса (нетто / брутто): S[9 / 12.2];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</si>
  <si>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N[5.28];  (Сплит система) Площадь помещения: N[53];  (Сплит система) Инвентор: S[да];  (Сплит система) Теплопроизводительность: N[5.57];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S[965 х 215 х 319];  (Внутренний блок) Упаковка (Ш x Г x В): S[1045 х 305 х 405];  (Внутренний блок) Масса (нетто / брутто): S[10.9 / 14.2];  (Внутренний блок) Уровень шума мин. / макс.: S[28.5/30.5/41.5];  (Наружный блок) Марка компрессора: S[];  (Наружный блок) Размеры (Ш x Г x В): S[965 х 215 х 319];  (Наружный блок) Упаковка (Ш x Г x В): S[1045 х 305 х 405];  (Наружный блок) Масса (нетто / брутто): S[10.9 / 14.2];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</si>
  <si>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N[7.33];  (Сплит система) Площадь помещения: N[73];  (Сплит система) Инвентор: S[да];  (Сплит система) Теплопроизводительность: N[7.62];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415 х 315];  (Внутренний блок) Масса (нетто / брутто): S[12 / 15.2];  (Внутренний блок) Уровень шума мин. / макс.: S[30/40/46];  (Наружный блок) Марка компрессора: S[];  (Наружный блок) Размеры (Ш x Г x В): S[1080 х 226 х 335];  (Наружный блок) Упаковка (Ш x Г x В): S[1155 х 415 х 315];  (Наружный блок) Масса (нетто / брутто): S[12 / 15.2];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</si>
  <si>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N[7.33];  (Потребляемая мощность) Охлаждение: N[0.072];  (Потребляемая мощность) Обогрев: S[0.072];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415 х 315];  (Внутренний блок) Масса (нетто / брутто): S[13.7 / 17.3];  (Внутренний блок) Уровень шума мин. / макс.: S[29/38.5/45];  (Наружный блок) Марка компрессора: S[];  (Наружный блок) Размеры (Ш x Г x В): S[1080 х 226 х 335];  (Наружный блок) Упаковка (Ш x Г x В): S[1155 х 415 х 315];  (Наружный блок) Масса (нетто / брутто): S[13.7 / 17.3];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</si>
  <si>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N[2.34];  (Сплит система) Площадь помещения: N[23];  (Сплит система) Инвентор: S[да];  (Сплит система) Теплопроизводительность: N[2.63];  (Потребляемая мощность) Охлаждение: N[0.024];  (Потребляемая мощность) Обогрев: S[0.024];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S[7.4 / 9.6];  (Внутренний блок) Уровень шума мин. / макс.: S[];  (Наружный блок) Марка компрессора: S[];  (Наружный блок) Размеры (Ш x Г x В): S[722 х 187 х 290];  (Наружный блок) Упаковка (Ш x Г x В): S[790 х 270 х 370];  (Наружный блок) Масса (нетто / брутто): S[7.4 / 9.6];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</si>
  <si>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N[2.63];  (Сплит система) Площадь помещения: N[26];  (Сплит система) Инвентор: S[да];  (Сплит система) Теплопроизводительность: N[2.93];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187 х 290];  (Внутренний блок) Упаковка (Ш x Г x В): S[790 х 270 х 370];  (Внутренний блок) Масса (нетто / брутто): S[7.4 / 9.6];  (Внутренний блок) Уровень шума мин. / макс.: S[32/33/37];  (Наружный блок) Марка компрессора: S[];  (Наружный блок) Размеры (Ш x Г x В): S[722 х 187 х 290];  (Наружный блок) Упаковка (Ш x Г x В): S[790 х 270 х 370];  (Наружный блок) Масса (нетто / брутто): S[7.4 / 9.6];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</si>
  <si>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N[3.51];  (Сплит система) Площадь помещения: N[35];  (Сплит система) Инвентор: S[да];  (Сплит система) Теплопроизводительность: N[3.8];  (Потребляемая мощность) Охлаждение: N[0.02];  (Потребляемая мощность) Обогрев: S[0.02];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189 х 297];  (Внутренний блок) Упаковка (Ш x Г x В): S[875 х 285 х 375];  (Внутренний блок) Масса (нетто / брутто): S[8.2 / 10.7];  (Внутренний блок) Уровень шума мин. / макс.: S[24/35/39];  (Наружный блок) Марка компрессора: S[];  (Наружный блок) Размеры (Ш x Г x В): S[802 х 189 х 297];  (Наружный блок) Упаковка (Ш x Г x В): S[875 х 285 х 375];  (Наружный блок) Масса (нетто / брутто): S[8.2 / 10.7];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</si>
  <si>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N[5.27];  (Сплит система) Площадь помещения: N[53];  (Сплит система) Инвентор: S[да];  (Сплит система) Теплопроизводительность: N[5.86];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S[215 х 965 х 319];  (Внутренний блок) Упаковка (Ш x Г x В): S[305 х 1045 х 405];  (Внутренний блок) Масса (нетто / брутто): S[10.7 / 14];  (Внутренний блок) Уровень шума мин. / макс.: S[];  (Наружный блок) Марка компрессора: S[];  (Наружный блок) Размеры (Ш x Г x В): S[215 х 965 х 319];  (Наружный блок) Упаковка (Ш x Г x В): S[305 х 1045 х 405];  (Наружный блок) Масса (нетто / брутто): S[10.7 / 14];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</si>
  <si>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E[LESSAR];  Тип: S[Мульти 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N[7.91];  (Потребляемая мощность) Охлаждение: N[0.06];  (Потребляемая мощность) Обогрев: S[0.06];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S[1080 х 226 х 335];  (Внутренний блок) Упаковка (Ш x Г x В): S[1155 х 315 х 415];  (Внутренний блок) Масса (нетто / брутто): S[13 / 16.6];  (Внутренний блок) Уровень шума мин. / макс.: S[32/43/48];  (Наружный блок) Марка компрессора: S[];  (Наружный блок) Размеры (Ш x Г x В): S[1080 х 226 х 335];  (Наружный блок) Упаковка (Ш x Г x В): S[1155 х 315 х 415];  (Наружный блок) Масса (нетто / брутто): S[13 / 16.6];  (Наружный блок) Максимальный уровень шума: N[];  (Соединительные трубы) Жидкостная линия : N[9.53];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</si>
  <si>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E[QUATTROCLIMA];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N[2.2];  (Потребляемая мощность) Охлаждение: N[0.64];  (Потребляемая мощность) Обогрев: S[0.61];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S[7 / 8.5];  (Внутренний блок) Уровень шума мин. / макс.: S[24/26/28/31/34];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</si>
  <si>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N[2.2];  (Сплит система) Площадь помещения: N[22];  (Сплит система) Инвентор: S[нет];  (Сплит система) Теплопроизводительность: N[2.2];  (Потребляемая мощность) Охлаждение: N[0.685];  (Потребляемая мощность) Обогрев: S[0.609];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S[7.5 / 9.5];  (Внутренний блок) Уровень шума мин. / макс.: S[28/31/34/37/40];  (Наружный блок) Марка компрессора: S[GMCC];  (Наружный блок) Размеры (Ш x Г x В): S[712 х 276 х 459];  (Наружный блок) Упаковка (Ш x Г x В): S[765 х 310 х 481];  (Наружный блок) Масса (нетто / брутто): S[20/23];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</si>
  <si>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N[2.8];  (Потребляемая мощность) Охлаждение: N[0.82];  (Потребляемая мощность) Обогрев: S[0.775];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S[7 / 8.5];  (Внутренний блок) Уровень шума мин. / макс.: S[25/26/28/32/35];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</si>
  <si>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N[2.64];  (Сплит система) Площадь помещения: N[26];  (Сплит система) Инвентор: S[нет];  (Сплит система) Теплопроизводительность: N[2.78];  (Потребляемая мощность) Охлаждение: N[0.822];  (Потребляемая мощность) Обогрев: S[0.77];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S[7.5 / 9.5];  (Внутренний блок) Уровень шума мин. / макс.: S[28/31/34/37/40];  (Наружный блок) Марка компрессора: S[GMCC];  (Наружный блок) Размеры (Ш x Г x В): S[712 х 276 х 459];  (Наружный блок) Упаковка (Ш x Г x В): S[765 х 310 х 481];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</si>
  <si>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N[3.7];  (Потребляемая мощность) Охлаждение: N[1.1];  (Потребляемая мощность) Обогрев: S[1.02];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S[7.5 / 10];  (Внутренний блок) Уровень шума мин. / макс.: S[29/33/35/38/38];  (Наружный блок) Марка компрессора: S[GMCC];  (Наружный блок) Размеры (Ш x Г x В): S[777 х 290 х 498];  (Наружный блок) Упаковка (Ш x Г x В): S[818 х 325 х 520];  (Наружный блок) Масса (нетто / брутто): S[25/28];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</si>
  <si>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N[3.52];  (Сплит система) Площадь помещения: N[35];  (Сплит система) Инвентор: S[нет];  (Сплит система) Теплопроизводительность: N[3.66];  (Потребляемая мощность) Охлаждение: N[1.095];  (Потребляемая мощность) Обогрев: S[1.013];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S[28/31/34/37/40];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</si>
  <si>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S[32/34/36/38/40];  (Наружный блок) Марка компрессора: S[HIGHLY];  (Наружный блок) Размеры (Ш x Г x В): S[853 х 349 х 602];  (Наружный блок) Упаковка (Ш x Г x В): S[890 х 385 х 628];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</si>
  <si>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N[5.28];  (Сплит система) Площадь помещения: N[53];  (Сплит система) Инвентор: S[нет];  (Сплит система) Теплопроизводительность: N[5.42];  (Потребляемая мощность) Охлаждение: N[1.645];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S[34/36/40/43/44];  (Наружный блок) Марка компрессора: S[HIGHLY];  (Наружный блок) Размеры (Ш x Г x В): S[853 х 349 х 602];  (Наружный блок) Упаковка (Ш x Г x В): S[890 х 385 х 628];  (Наружный блок) Масса (нетто / брутто): S[38/41];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</si>
  <si>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N[7.18];  (Потребляемая мощность) Охлаждение: N[2.18];  (Потребляемая мощность) Обогрев: S[1.98];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S[35/39/43/47/49];  (Наружный блок) Марка компрессора: S[GMCC];  (Наружный блок) Размеры (Ш x Г x В): S[968 х 375 х 655];  (Наружный блок) Упаковка (Ш x Г x В): S[1015 х 425 х 715];  (Наружный блок) Масса (нетто / брутто): S[50/54];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</si>
  <si>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N[7.03];  (Сплит система) Площадь помещения: N[70];  (Сплит система) Инвентор: S[нет];  (Сплит система) Теплопроизводительность: N[7.18];  (Потребляемая мощность) Охлаждение: N[2.19];  (Потребляемая мощность) Обогрев: S[1.985];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S[35/38/42/45/49];  (Наружный блок) Марка компрессора: S[HIGHLY];  (Наружный блок) Размеры (Ш x Г x В): S[886 х 357 х 605];  (Наружный блок) Упаковка (Ш x Г x В): S[930 х 380 х 635];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</si>
  <si>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N[8.35];  (Потребляемая мощность) Охлаждение: N[2.55];  (Потребляемая мощность) Обогрев: S[2.31];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S[1186 х 340 х 258];  (Внутренний блок) Упаковка (Ш x Г x В): S[1262 х 337 х 420];  (Внутренний блок) Масса (нетто / брутто): S[18 / 22];  (Внутренний блок) Уровень шума мин. / макс.: S[/41/45/49/51];  (Наружный блок) Марка компрессора: S[HIGHLY];  (Наружный блок) Размеры (Ш x Г x В): S[953 х 433 х 808];  (Наружный блок) Упаковка (Ш x Г x В): S[1020 х 475 х 845];  (Наружный блок) Масса (нетто / брутто): S[68/74];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</si>
  <si>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N[2.05];  (Сплит система) Площадь помещения: N[21];  (Сплит система) Инвентор: S[нет];  (Сплит система) Теплопроизводительность: N[2.2];  (Потребляемая мощность) Охлаждение: N[0.639];  (Потребляемая мощность) Обогрев: S[0.609];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S[25/27/29/32/34];  (Наружный блок) Марка компрессора: S[GMCC];  (Наружный блок) Размеры (Ш x Г x В): S[712 х 276 х 459];  (Наружный блок) Упаковка (Ш x Г x В): S[765 х 310 х 481];  (Наружный блок) Масса (нетто / брутто): S[20/22];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</si>
  <si>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N[2.73];  (Потребляемая мощность) Охлаждение: N[0.794];  (Потребляемая мощность) Обогрев: S[0.755];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S[25/27/29/33/35];  (Наружный блок) Марка компрессора: S[GMCC];  (Наружный блок) Размеры (Ш x Г x В): S[712 х 276 х 459];  (Наружный блок) Упаковка (Ш x Г x В): S[765 х 310 х 481];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</si>
  <si>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N[3.37];  (Сплит система) Площадь помещения: N[34];  (Сплит система) Инвентор: S[нет];  (Сплит система) Теплопроизводительность: N[3.52];  (Потребляемая мощность) Охлаждение: N[1.05];  (Потребляемая мощность) Обогрев: S[0.975];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S[31/34/37/40/42];  (Наружный блок) Марка компрессора: S[GMCC];  (Наружный блок) Размеры (Ш x Г x В): S[777 х 290 х 498];  (Наружный блок) Упаковка (Ш x Г x В): S[818 х 325 х 520];  (Наружный блок) Масса (нетто / брутто): S[25/28];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</si>
  <si>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N[5.13];  (Сплит система) Площадь помещения: N[51];  (Сплит система) Инвентор: S[нет];  (Сплит система) Теплопроизводительность: N[5.28];  (Потребляемая мощность) Охлаждение: N[1.598];  (Потребляемая мощность) Обогрев: S[1.462];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S[34/35/38/40/43];  (Наружный блок) Марка компрессора: S[RECHI];  (Наружный блок) Размеры (Ш x Г x В): S[817 х 300 х 553];  (Наружный блок) Упаковка (Ш x Г x В): S[858 х 321 х 585];  (Наружный блок) Масса (нетто / брутто): S[32.5/35];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</si>
  <si>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N[6.74];  (Сплит система) Площадь помещения: N[67];  (Сплит система) Инвентор: S[нет];  (Сплит система) Теплопроизводительность: N[7.03];  (Потребляемая мощность) Охлаждение: N[2.1];  (Потребляемая мощность) Обогрев: S[1.945];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S[10.5 / 12.5];  (Внутренний блок) Уровень шума мин. / макс.: S[35/37/38/41/43];  (Наружный блок) Марка компрессора: S[HIGHLY];  (Наружный блок) Размеры (Ш x Г x В): S[886 х 357 х 605];  (Наружный блок) Упаковка (Ш x Г x В): S[930 х 380 х 635];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</si>
  <si>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S[Сплит система];  (Сплит система) Холодопроизводительность: N[8.21];  (Сплит система) Площадь помещения: N[82];  (Сплит система) Инвентор: S[нет];  (Сплит система) Теплопроизводительность: N[8.35];  (Потребляемая мощность) Охлаждение: N[2.55];  (Потребляемая мощность) Обогрев: S[2.305];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S[37/41/45/49/51];  (Наружный блок) Марка компрессора: S[GMCC];  (Наружный блок) Размеры (Ш x Г x В): S[968 х 400 х 655];  (Наружный блок) Упаковка (Ш x Г x В): S[1023 х 430 х 698];  (Наружный блок) Масса (нетто / брутто): S[50/54];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</si>
  <si>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Производитель: E[QUATTROCLIMA];  Тип: S[Канальные];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S[32 / 37];  (Внутренний блок) Уровень шума мин. / макс.: S[32/35/38];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</si>
  <si>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N[7.03];  (Сплит система) Площадь помещения: N[70];  (Сплит система) Инвентор: S[нет];  (Сплит система) Теплопроизводительность: N[7.88];  (Потребляемая мощность) Охлаждение: N[2.26];  (Потребляемая мощность) Обогрев: S[2.18];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S[33 / 38];  (Внутренний блок) Уровень шума мин. / макс.: S[42/44/46];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</si>
  <si>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N[3.73];  (Потребляемая мощность) Обогрев: S[3.5];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S[890 х 290 х 735];  (Внутренний блок) Упаковка (Ш x Г x В): S[1070 х 800 х 360];  (Внутренний блок) Масса (нетто / брутто): S[35 / 39];  (Внутренний блок) Уровень шума мин. / макс.: S[41/47/50];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</si>
  <si>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290 х 735];  (Внутренний блок) Упаковка (Ш x Г x В): S[1430 х 800 х 360];  (Внутренний блок) Масса (нетто / брутто): S[45 / 51];  (Внутренний блок) Уровень шума мин. / макс.: S[44/46/50];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</si>
  <si>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N[17.6];  (Сплит система) Площадь помещения: N[176];  (Сплит система) Инвентор: S[нет];  (Сплит система) Теплопроизводительность: N[18.5];  (Потребляемая мощность) Охлаждение: N[6.77];  (Потребляемая мощность) Обогрев: S[5.78];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290 х 735];  (Внутренний блок) Упаковка (Ш x Г x В): S[1430 х 800 х 360];  (Внутренний блок) Масса (нетто / брутто): S[50 / 56];  (Внутренний блок) Уровень шума мин. / макс.: S[45/47/50];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</si>
  <si>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N[1.761];  (Потребляемая мощность) Обогрев: S[1.513];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S[920 х 210 х 605];  (Внутренний блок) Упаковка (Ш x Г x В): S[1115 х 690 х 280];  (Внутренний блок) Масса (нетто / брутто): S[23 / 28];  (Внутренний блок) Уровень шума мин. / макс.: S[32/35/43];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</si>
  <si>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S[Канальные];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N[2.351];  (Потребляемая мощность) Обогрев: S[2.388];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S[920 х 270 х 605];  (Внутренний блок) Упаковка (Ш x Г x В): S[1115 х 690 х 340];  (Внутренний блок) Масса (нетто / брутто): S[28 / 32];  (Внутренний блок) Уровень шума мин. / макс.: S[41/43/46];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</si>
  <si>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S[Канальные];  (Сплит система) Холодопроизводительность: N[10.55];  (Сплит система) Площадь помещения: N[106];  (Сплит система) Инвентор: S[нет];  (Сплит система) Теплопроизводительность: N[12];  (Потребляемая мощность) Охлаждение: N[3.584];  (Потребляемая мощность) Обогрев: S[3.468];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S[1140 х 270 х 745];  (Внутренний блок) Упаковка (Ш x Г x В): S[1345 х 830 х 345];  (Внутренний блок) Масса (нетто / брутто): S[36 / 43];  (Внутренний блок) Уровень шума мин. / макс.: S[42/44/46];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</si>
  <si>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Производитель: E[QUATTROCLIMA];  Тип: S[Канальные];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N[4.56];  (Потребляемая мощность) Обогрев: S[4.446];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835];  (Внутренний блок) Упаковка (Ш x Г x В): S[1405 х 925 х 375];  (Внутренний блок) Масса (нетто / брутто): S[45 / 52];  (Внутренний блок) Уровень шума мин. / макс.: S[42/44/47];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</si>
  <si>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S[Канальные];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N[5.694];  (Потребляемая мощность) Обогрев: S[4.845];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835];  (Внутренний блок) Упаковка (Ш x Г x В): S[1405 х 925 х 375];  (Внутренний блок) Масса (нетто / брутто): S[46 / 53];  (Внутренний блок) Уровень шума мин. / макс.: S[43/45/47];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</si>
  <si>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S[Канальные];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N[1.73];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450 х 200];  (Внутренний блок) Упаковка (Ш x Г x В): S[1300 х 275 х 555];  (Внутренний блок) Масса (нетто / брутто): S[20 / 24];  (Внутренний блок) Уровень шума мин. / макс.: S[28/31/35/39];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</si>
  <si>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N[7.03];  (Сплит система) Площадь помещения: N[70];  (Сплит система) Инвентор: S[нет];  (Сплит система) Теплопроизводительность: N[7.4];  (Потребляемая мощность) Охлаждение: N[2.15];  (Потребляемая мощность) Обогрев: S[1.88];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700 х 245];  (Внутренний блок) Упаковка (Ш x Г x В): S[1230 х 300 х 830];  (Внутренний блок) Масса (нетто / брутто): S[32 / 37];  (Внутренний блок) Уровень шума мин. / макс.: S[38/40/43/46];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</si>
  <si>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245 х 700];  (Внутренний блок) Упаковка (Ш x Г x В): S[1230 х 830 х 300];  (Внутренний блок) Масса (нетто / брутто): S[32 / 37];  (Внутренний блок) Уровень шума мин. / макс.: S[37/40/45/48];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</si>
  <si>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700 х 245];  (Внутренний блок) Упаковка (Ш x Г x В): S[1630 х 300 х 830];  (Внутренний блок) Масса (нетто / брутто): S[42 / 48];  (Внутренний блок) Уровень шума мин. / макс.: S[41/44/47/50];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</si>
  <si>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S[Канальные];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S[5.01];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700 х 245];  (Внутренний блок) Упаковка (Ш x Г x В): S[1630 х 300 х 830];  (Внутренний блок) Масса (нетто / брутто): S[42 / 48];  (Внутренний блок) Уровень шума мин. / макс.: S[41/44/47/50];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</si>
  <si>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N[3.96];  (Потребляемая мощность) Охлаждение: N[1.16];  (Потребляемая мощность) Обогрев: S[1.22];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S[39/41/46];  (Наружный блок) Марка компрессора: S[Gree];  (Наружный блок) Размеры (Ш x Г x В): S[730 х 285 х 545];  (Наружный блок) Упаковка (Ш x Г x В): S[845 х 370 х 620];  (Наружный блок) Масса (нетто / брутто): S[28/31.5];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</si>
  <si>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S[1.64];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S[32/40/45];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</si>
  <si>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N[7.03];  (Сплит система) Площадь помещения: N[70];  (Сплит система) Инвентор: S[нет];  (Сплит система) Теплопроизводительность: N[7.88];  (Потребляемая мощность) Охлаждение: N[2.26];  (Потребляемая мощность) Обогрев: S[2.31];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S[36/42/45];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</si>
  <si>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N[3.77];  (Потребляемая мощность) Обогрев: S[3.5];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S[39/45/48];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</si>
  <si>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S[47/51/53];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</si>
  <si>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N[17.6];  (Сплит система) Площадь помещения: N[176];  (Сплит система) Инвентор: S[нет];  (Сплит система) Теплопроизводительность: N[18.5];  (Потребляемая мощность) Охлаждение: N[6.77];  (Потребляемая мощность) Обогрев: S[5.78];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S[47/51/53];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</si>
  <si>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N[3.52];  (Потребляемая мощность) Охлаждение: N[1.15];  (Потребляемая мощность) Обогрев: S[1.17];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30 х 650];  (Внутренний блок) Упаковка (Ш x Г x В): S[690 х 690 х 65];  (Внутренний блок) Масса (нетто / брутто): S[2.5 / 4.5];  (Внутренний блок) Уровень шума мин. / макс.: S[34/38/41];  (Наружный блок) Марка компрессора: S[GMCC];  (Наружный блок) Размеры (Ш x Г x В): S[760 х 250 х 550];  (Наружный блок) Упаковка (Ш x Г x В): S[863 х 361 х 590];  (Наружный блок) Масса (нетто / брутто): S[30/33];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</si>
  <si>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N[5.18];  (Сплит система) Площадь помещения: N[52];  (Сплит система) Инвентор: S[нет];  (Сплит система) Теплопроизводительность: N[5.6];  (Потребляемая мощность) Охлаждение: N[1.683];  (Потребляемая мощность) Обогрев: S[1.761];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30 х 650];  (Внутренний блок) Упаковка (Ш x Г x В): S[690 х 690 х 65];  (Внутренний блок) Масса (нетто / брутто): S[2.5 / 4.5];  (Внутренний блок) Уровень шума мин. / макс.: S[34/38/41];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</si>
  <si>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N[2.432];  (Потребляемая мощность) Обогрев: S[2.192];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S[37/41/43];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</si>
  <si>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N[10.5];  (Сплит система) Площадь помещения: N[105];  (Сплит система) Инвентор: S[нет];  (Сплит система) Теплопроизводительность: N[12];  (Потребляемая мощность) Охлаждение: N[3.723];  (Потребляемая мощность) Обогрев: S[3.409];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S[41/43/45];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</si>
  <si>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N[4.636];  (Потребляемая мощность) Обогрев: S[5.079];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S[41/43/45];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</si>
  <si>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N[5.694];  (Потребляемая мощность) Обогрев: S[5.7];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45 х 950];  (Внутренний блок) Упаковка (Ш x Г x В): S[1035 х 1035 х 80];  (Внутренний блок) Масса (нетто / брутто): S[6 / 9];  (Внутренний блок) Уровень шума мин. / макс.: S[43/44/47];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</si>
  <si>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S[Кассетные];  (Сплит система) Холодопроизводительность: N[3.52];  (Сплит система) Площадь помещения: N[35];  (Сплит система) Инвентор: S[нет];  (Сплит система) Теплопроизводительность: N[3.96];  (Потребляемая мощность) Охлаждение: N[1.3];  (Потребляемая мощность) Обогрев: S[1.28];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S[39/42/45];  (Наружный блок) Марка компрессора: S[Gree];  (Наружный блок) Размеры (Ш x Г x В): S[730 х 285 х 545];  (Наружный блок) Упаковка (Ш x Г x В): S[850 х 370 х 620];  (Наружный блок) Масса (нетто / брутто): S[28/32];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</si>
  <si>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S[650 х 55 х 650];  (Внутренний блок) Упаковка (Ш x Г x В): S[710 х 710 х 80];  (Внутренний блок) Масса (нетто / брутто): S[2.2 / 3.7];  (Внутренний блок) Уровень шума мин. / макс.: S[39/42/45];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</si>
  <si>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N[7.03];  (Сплит система) Площадь помещения: N[70];  (Сплит система) Инвентор: S[нет];  (Сплит система) Теплопроизводительность: N[7.2];  (Потребляемая мощность) Охлаждение: N[2.15];  (Потребляемая мощность) Обогрев: S[1.83];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S[39/42/46];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</si>
  <si>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</si>
  <si>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</si>
  <si>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S[Кассетные];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S[5.57];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S[1000 х 1000 х 100];  (Внутренний блок) Масса (нетто / брутто): S[5.3 / 7.8];  (Внутренний блок) Уровень шума мин. / макс.: S[43/47/52];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</si>
  <si>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N[5.4];  (Сплит система) Площадь помещения: N[54];  (Сплит система) Инвентор: S[нет];  (Сплит система) Теплопроизводительность: N[5.8];  (Потребляемая мощность) Охлаждение: N[1.65];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690 х 235];  (Внутренний блок) Упаковка (Ш x Г x В): S[1080 х 325 х 770];  (Внутренний блок) Масса (нетто / брутто): S[29 / 33];  (Внутренний блок) Уровень шума мин. / макс.: S[32/35/43];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S[42/45];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</si>
  <si>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N[7.6];  (Потребляемая мощность) Охлаждение: N[2.24];  (Потребляемая мощность) Обогрев: S[2.1];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690 х 235];  (Внутренний блок) Упаковка (Ш x Г x В): S[1360 х 325 х 770];  (Внутренний блок) Масса (нетто / брутто): S[36 / 42];  (Внутренний блок) Уровень шума мин. / макс.: S[42/46/50];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S[53/56];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</si>
  <si>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N[10.6];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690 х 235];  (Внутренний блок) Упаковка (Ш x Г x В): S[1360 х 325 х 770];  (Внутренний блок) Масса (нетто / брутто): S[36 / 42];  (Внутренний блок) Уровень шума мин. / макс.: S[42/46/50];  (Наружный блок) Марка компрессора: S[HIGHLY];  (Наружный блок) Размеры (Ш x Г x В): S[970 х 395 х 805];  (Наружный блок) Упаковка (Ш x Г x В): S[1105 х 495 х 895];  (Наружный блок) Масса (нетто / брутто): S[65/75];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</si>
  <si>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N[15.55];  (Потребляемая мощность) Охлаждение: N[4.85];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S[43/47/51];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S[95/105];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</si>
  <si>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N[17.58];  (Потребляемая мощность) Охлаждение: N[5.2];  (Потребляемая мощность) Обогрев: S[5.1];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S[43/47/51];  (Наружный блок) Марка компрессора: S[HIGHLY];  (Наружный блок) Размеры (Ш x Г x В): S[940 х 370 х 1325];  (Наружный блок) Упаковка (Ш x Г x В): S[1080 х 430 х 1440];  (Наружный блок) Масса (нетто / брутто): S[99/109];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</si>
  <si>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N[1.712];  (Потребляемая мощность) Обогрев: S[1.782];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235 х 675];  (Внутренний блок) Упаковка (Ш x Г x В): S[1130 х 748 х 305];  (Внутренний блок) Масса (нетто / брутто): S[24 / 29];  (Внутренний блок) Уровень шума мин. / макс.: S[38/41/43];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</si>
  <si>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N[5.3];  (Сплит система) Площадь помещения: N[53];  (Сплит система) Инвентор: S[нет];  (Сплит система) Теплопроизводительность: N[5.9];  (Потребляемая мощность) Охлаждение: N[1.712];  (Потребляемая мощность) Обогрев: S[1.782];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675 х 235];  (Внутренний блок) Упаковка (Ш x Г x В): S[1130 х 305 х 748];  (Внутренний блок) Масса (нетто / брутто): S[24 / 29];  (Внутренний блок) Уровень шума мин. / макс.: S[38/41/43];  (Наружный блок) Марка компрессора: S[GMCC];  (Наружный блок) Размеры (Ш x Г x В): S[780 х 290 х 605];  (Наружный блок) Упаковка (Ш x Г x В): S[883 х 412 х 653];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</si>
  <si>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N[2.23];  (Потребляемая мощность) Обогрев: S[2.254];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235 х 675];  (Внутренний блок) Упаковка (Ш x Г x В): S[1130 х 748 х 305];  (Внутренний блок) Масса (нетто / брутто): S[24 / 30];  (Внутренний блок) Уровень шума мин. / макс.: S[40/43/45];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</si>
  <si>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N[7.9];  (Потребляемая мощность) Охлаждение: N[2.23];  (Потребляемая мощность) Обогрев: S[2.254];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S[1055 х 675 х 235];  (Внутренний блок) Упаковка (Ш x Г x В): S[1130 х 305 х 748];  (Внутренний блок) Масса (нетто / брутто): S[24 / 30];  (Внутренний блок) Уровень шума мин. / макс.: S[40/43/45];  (Наружный блок) Марка компрессора: S[GMCC];  (Наружный блок) Размеры (Ш x Г x В): S[900 х 310 х 650];  (Наружный блок) Упаковка (Ш x Г x В): S[1015 х 425 х 720];  (Наружный блок) Масса (нетто / брутто): S[51/54];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</si>
  <si>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N[10.55];  (Сплит система) Площадь помещения: N[106];  (Сплит система) Инвентор: S[нет];  (Сплит система) Теплопроизводительность: N[12];  (Потребляемая мощность) Охлаждение: N[3.578];  (Потребляемая мощность) Обогрев: S[3.468];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S[1275 х 675 х 235];  (Внутренний блок) Упаковка (Ш x Г x В): S[1350 х 305 х 748];  (Внутренний блок) Масса (нетто / брутто): S[29 / 35];  (Внутренний блок) Уровень шума мин. / макс.: S[40/43/45];  (Наружный блок) Марка компрессора: S[HIGHLY];  (Наружный блок) Размеры (Ш x Г x В): S[900 х 360 х 805];  (Наружный блок) Упаковка (Ш x Г x В): S[1020 х 475 х 860];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</si>
  <si>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N[4.551];  (Потребляемая мощность) Обогрев: S[4.058];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235 х 675];  (Внутренний блок) Упаковка (Ш x Г x В): S[1710 х 748 х 305];  (Внутренний блок) Масса (нетто / брутто): S[38 / 46];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</si>
  <si>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N[14];  (Сплит система) Площадь помещения: N[140];  (Сплит система) Инвентор: S[нет];  (Сплит система) Теплопроизводительность: N[14.65];  (Потребляемая мощность) Охлаждение: N[4.551];  (Потребляемая мощность) Обогрев: S[4.058];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675 х 235];  (Внутренний блок) Упаковка (Ш x Г x В): S[1710 х 305 х 748];  (Внутренний блок) Масса (нетто / брутто): S[38 / 46];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S[93/103];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</si>
  <si>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N[5.594];  (Потребляемая мощность) Обогрев: S[5.147];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235 х 675];  (Внутренний блок) Упаковка (Ш x Г x В): S[1710 х 748 х 305];  (Внутренний блок) Масса (нетто / брутто): S[41 / 48];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</si>
  <si>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N[17.73];  (Потребляемая мощность) Охлаждение: N[5.594];  (Потребляемая мощность) Обогрев: S[5.147];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S[1635 х 675 х 235];  (Внутренний блок) Упаковка (Ш x Г x В): S[1710 х 305 х 748];  (Внутренний блок) Масса (нетто / брутто): S[41 / 48];  (Внутренний блок) Уровень шума мин. / макс.: S[46/49/52];  (Наружный блок) Марка компрессора: S[HIGHLY];  (Наружный блок) Размеры (Ш x Г x В): S[940 х 340 х 1250];  (Наружный блок) Упаковка (Ш x Г x В): S[1030 х 430 х 1365];  (Наружный блок) Масса (нетто / брутто): S[101/111];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</si>
  <si>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Производитель: E[QUATTROCLIMA];  Тип: S[Напольно-потолочные];  (Сплит система) Холодопроизводительность: N[5.28];  (Сплит система) Площадь помещения: N[53];  (Сплит система) Инвентор: S[нет];  (Сплит система) Теплопроизводительность: N[5.6];  (Потребляемая мощность) Охлаждение: N[1.7];  (Потребляемая мощность) Обогрев: S[1.55];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235 х 690];  (Внутренний блок) Упаковка (Ш x Г x В): S[1080 х 770 х 325];  (Внутренний блок) Масса (нетто / брутто): S[28 / 32];  (Внутренний блок) Уровень шума мин. / макс.: S[32/35/43];  (Наружный блок) Марка компрессора: S[HIGHLY];  (Наружный блок) Размеры (Ш x Г x В): S[800 х 315 х 545];  (Наружный блок) Упаковка (Ш x Г x В): S[920 х 400 х 620];  (Наружный блок) Масса (нетто / брутто): S[36/39];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</si>
  <si>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N[7.03];  (Сплит система) Площадь помещения: N[70];  (Сплит система) Инвентор: S[нет];  (Сплит система) Теплопроизводительность: N[7.4];  (Потребляемая мощность) Охлаждение: N[2.15];  (Потребляемая мощность) Обогрев: S[1.95];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235 х 690];  (Внутренний блок) Упаковка (Ш x Г x В): S[1080 х 770 х 325];  (Внутренний блок) Масса (нетто / брутто): S[29 / 33];  (Внутренний блок) Уровень шума мин. / макс.: S[35/39/46];  (Наружный блок) Марка компрессора: S[HIGHLY];  (Наружный блок) Размеры (Ш x Г x В): S[825 х 310 х 655];  (Наружный блок) Упаковка (Ш x Г x В): S[945 х 435 х 725];  (Наружный блок) Масса (нетто / брутто): S[46/49];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</si>
  <si>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N[10.55];  (Сплит система) Площадь помещения: N[106];  (Сплит система) Инвентор: S[нет];  (Сплит система) Теплопроизводительность: N[11.7];  (Потребляемая мощность) Охлаждение: N[3.5];  (Потребляемая мощность) Обогрев: S[3.24];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S[1280 х 235 х 690];  (Внутренний блок) Упаковка (Ш x Г x В): S[1360 х 770 х 325];  (Внутренний блок) Масса (нетто / брутто): S[36 / 42];  (Внутренний блок) Уровень шума мин. / макс.: S[40/45/49];  (Наружный блок) Марка компрессора: S[Gree];  (Наружный блок) Размеры (Ш x Г x В): S[970 х 395 х 805];  (Наружный блок) Упаковка (Ш x Г x В): S[1105 х 495 х 890];  (Наружный блок) Масса (нетто / брутто): S[64/68];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</si>
  <si>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N[14.07];  (Сплит система) Площадь помещения: N[141];  (Сплит система) Инвентор: S[нет];  (Сплит система) Теплопроизводительность: N[15.24];  (Потребляемая мощность) Охлаждение: N[4.68];  (Потребляемая мощность) Обогрев: S[4.42];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690 х 235];  (Внутренний блок) Упаковка (Ш x Г x В): S[1680 х 325 х 770];  (Внутренний блок) Масса (нетто / брутто): S[44 / 50.5];  (Внутренний блок) Уровень шума мин. / макс.: S[42/46/51];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S[85/94];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</si>
  <si>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S[Напольно-потолочные];  (Сплит система) Холодопроизводительность: N[16.12];  (Сплит система) Площадь помещения: N[161];  (Сплит система) Инвентор: S[нет];  (Сплит система) Теплопроизводительность: N[17.6];  (Потребляемая мощность) Охлаждение: N[5.55];  (Потребляемая мощность) Обогрев: S[5.01];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S[1600 х 235 х 690];  (Внутренний блок) Упаковка (Ш x Г x В): S[1680 х 770 х 325];  (Внутренний блок) Масса (нетто / брутто): S[44 / 50.5];  (Внутренний блок) Уровень шума мин. / макс.: S[42/46/51];  (Наружный блок) Марка компрессора: S[GMCC];  (Наружный блок) Размеры (Ш x Г x В): S[940 х 340 х 1320];  (Наружный блок) Упаковка (Ш x Г x В): S[1080 х 430 х 1440];  (Наружный блок) Масса (нетто / брутто): S[91/100];  (Наружный блок) Максимальный уровень шума: N[];  (Соединительные трубы) Жидкостная линия :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</si>
  <si>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Производитель: E[QUATTROCLIMA];  Тип: S[Мульти сплит система];  (Сплит система) Холодопроизводительность: N[2.05];  (Сплит система) Площадь помещения: N[21];  (Сплит система) Инвентор: S[да];  (Сплит система) Теплопроизводительность: N[2.05];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</si>
  <si>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E[QUATTROCLIMA];  Тип: S[Мульти 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N[2.64];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</si>
  <si>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E[QUATTROCLIMA];  Тип: S[Мульти 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N[3.52];  (Потребляемая мощность) Охлаждение: N[0.035];  (Потребляемая мощность) Обогрев: S[0.035];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201 х 250];  (Внутренний блок) Упаковка (Ш x Г x В): S[850 х 275 х 320];  (Внутренний блок) Масса (нетто / брутто): S[8 / 10.5];  (Внутренний блок) Уровень шума мин. / макс.: S[40/37/33/25/22];  (Наружный блок) Марка компрессора: S[];  (Наружный блок) Размеры (Ш x Г x В): S[777 х 201 х 250];  (Наружный блок) Упаковка (Ш x Г x В): S[850 х 275 х 320];  (Наружный блок) Масса (нетто / брутто): S[8 / 10.5];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</si>
  <si>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E[QUATTROCLIMA];  Тип: S[Мульти сплит система];  (Сплит система) Холодопроизводительность: N[5.13];  (Сплит система) Площадь помещения: N[51];  (Сплит система) Инвентор: S[да];  (Сплит система) Теплопроизводительность: N[5.21];  (Потребляемая мощность) Охлаждение: N[0.052];  (Потребляемая мощность) Обогрев: S[0.052];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206 х 294];  (Внутренний блок) Упаковка (Ш x Г x В): S[979 х 277 х 372];  (Внутренний блок) Масса (нетто / брутто): S[10 / 13];  (Внутренний блок) Уровень шума мин. / макс.: S[43/41/38//35/27];  (Наружный блок) Марка компрессора: S[];  (Наружный блок) Размеры (Ш x Г x В): S[910 х 206 х 294];  (Наружный блок) Упаковка (Ш x Г x В): S[979 х 277 х 372];  (Наружный блок) Масса (нетто / брутто): S[10 / 13];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</si>
  <si>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S[Сплит система];  (Сплит система) Холодопроизводительность: N[2.25];  (Сплит система) Площадь помещения: N[23];  (Сплит система) Инвентор: S[нет];  (Сплит система) Теплопроизводительность: N[2.35];  (Потребляемая мощность) Охлаждение: N[0.7];  (Потребляемая мощность) Обогрев: S[0.651];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S[24/27/28/34/35/37/39];  (Наружный блок) Марка компрессора: S[Gree];  (Наружный блок) Размеры (Ш x Г x В): S[720 х 310 х 428];  (Наружный блок) Упаковка (Ш x Г x В): S[765 х 350 х 475];  (Наружный блок) Масса (нетто / брутто): S[23.4/25.4];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</si>
  <si>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N[2.25];  (Сплит система) Площадь помещения: N[23];  (Сплит система) Инвентор: S[нет];  (Сплит система) Теплопроизводительность: N[2.3];  (Потребляемая мощность) Охлаждение: N[0.7];  (Потребляемая мощность) Обогрев: S[0.637];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S[25/31/37/40];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S[22.3/24.3];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</si>
  <si>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N[2.65];  (Потребляемая мощность) Охлаждение: N[0.794];  (Потребляемая мощность) Обогрев: S[0.734];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S[7.5 / 8.7];  (Внутренний блок) Уровень шума мин. / макс.: S[24/27/29/34/36/37/40];  (Наружный блок) Марка компрессора: S[Gree];  (Наружный блок) Размеры (Ш x Г x В): S[720 х 310 х 428];  (Наружный блок) Упаковка (Ш x Г x В): S[765 х 350 х 475];  (Наружный блок) Масса (нетто / брутто): S[25/27];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</si>
  <si>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N[2.55];  (Сплит система) Площадь помещения: N[26];  (Сплит система) Инвентор: S[нет];  (Сплит система) Теплопроизводительность: N[2.65];  (Потребляемая мощность) Охлаждение: N[0.794];  (Потребляемая мощность) Обогрев: S[0.734];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S[704 х 260 х 185];  (Внутренний блок) Упаковка (Ш x Г x В): S[748 х 247 х 316];  (Внутренний блок) Масса (нетто / брутто): S[7.6 / 8.8];  (Внутренний блок) Уровень шума мин. / макс.: S[25/31/37/40];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S[24.7/26.7];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</si>
  <si>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N[3.25];  (Сплит система) Площадь помещения: N[33];  (Сплит система) Инвентор: S[нет];  (Сплит система) Теплопроизводительность: N[3.4];  (Потребляемая мощность) Охлаждение: N[0.985];  (Потребляемая мощность) Обогрев: S[0.941];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S[779 х 260 х 185];  (Внутренний блок) Упаковка (Ш x Г x В): S[823 х 247 х 316];  (Внутренний блок) Масса (нетто / брутто): S[8.2 / 9.7];  (Внутренний блок) Уровень шума мин. / макс.: S[28/30/33/34/36/37/41];  (Наружный блок) Марка компрессора: S[Gree];  (Наружный блок) Размеры (Ш x Г x В): S[782 х 320 х 540];  (Наружный блок) Упаковка (Ш x Г x В): S[820 х 355 х 580];  (Наружный блок) Масса (нетто / брутто): S[29.2/31.7];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</si>
  <si>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N[3.25];  (Сплит система) Площадь помещения: N[33];  (Сплит система) Инвентор: S[нет];  (Сплит система) Теплопроизводительность: N[3.4];  (Потребляемая мощность) Охлаждение: N[1.009];  (Потребляемая мощность) Обогрев: S[0.942];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S[779 х 260 х 185];  (Внутренний блок) Упаковка (Ш x Г x В): S[823 х 247 х 316];  (Внутренний блок) Масса (нетто / брутто): S[8.5 / 10];  (Внутренний блок) Уровень шума мин. / макс.: S[30/34/37/40];  (Наружный блок) Марка компрессора: S[Gree];  (Наружный блок) Размеры (Ш x Г x В): S[732 х 330 х 555];  (Наружный блок) Упаковка (Ш x Г x В): S[791 х 373 х 590];  (Наружный блок) Масса (нетто / брутто): S[28/30.5];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</si>
  <si>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N[4.8];  (Сплит система) Площадь помещения: N[48];  (Сплит система) Инвентор: S[нет];  (Сплит система) Теплопроизводительность: N[5.3];  (Потребляемая мощность) Охлаждение: N[1.476];  (Потребляемая мощность) Обогрев: S[1.468];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S[825 х 293 х 196];  (Внутренний блок) Упаковка (Ш x Г x В): S[870 х 257 х 349];  (Внутренний блок) Масса (нетто / брутто): S[10.3 / 11.9];  (Внутренний блок) Уровень шума мин. / макс.: S[32/34/35/36/38/39/40];  (Наружный блок) Марка компрессора: S[Gree];  (Наружный блок) Размеры (Ш x Г x В): S[848 х 320 х 540];  (Наружный блок) Упаковка (Ш x Г x В): S[878 х 360 х 580];  (Наружный блок) Масса (нетто / брутто): S[38/40.5];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</si>
  <si>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N[4.8];  (Сплит система) Площадь помещения: N[48];  (Сплит система) Инвентор: S[нет];  (Сплит система) Теплопроизводительность: N[5.16];  (Потребляемая мощность) Охлаждение: N[1.477];  (Потребляемая мощность) Обогрев: S[1.428];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S[825 х 293 х 196];  (Внутренний блок) Упаковка (Ш x Г x В): S[870 х 257 х 349];  (Внутренний блок) Масса (нетто / брутто): S[10.3 / 11.9];  (Внутренний блок) Уровень шума мин. / макс.: S[34/36/40/41];  (Наружный блок) Марка компрессора: S[Gree];  (Наружный блок) Размеры (Ш x Г x В): S[802 х 350 х 555];  (Наружный блок) Упаковка (Ш x Г x В): S[869 х 395 х 594];  (Наружный блок) Масса (нетто / брутто): S[38.5/41];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</si>
  <si>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N[6.2];  (Сплит система) Площадь помещения: N[62];  (Сплит система) Инвентор: S[нет];  (Сплит система) Теплопроизводительность: N[6.7];  (Потребляемая мощность) Охлаждение: N[1.907];  (Потребляемая мощность) Обогрев: S[1.856];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S[982 х 311 х 221];  (Внутренний блок) Упаковка (Ш x Г x В): S[1039 х 287 х 377];  (Внутренний блок) Масса (нетто / брутто): S[13.7 / 16];  (Внутренний блок) Уровень шума мин. / макс.: S[32/33/35/37/40/42/44];  (Наружный блок) Марка компрессора: S[Gree];  (Наружный блок) Размеры (Ш x Г x В): S[912 х 373 х 646];  (Наружный блок) Упаковка (Ш x Г x В): S[960 х 408 х 680];  (Наружный блок) Масса (нетто / брутто): S[46.5/49.5];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-15 до +24]</t>
  </si>
  <si>
    <t>Производитель: E[TOSOT];  Тип: S[Сплит система];  (Сплит система) Холодопроизводительность: N[6.155];  (Сплит система) Площадь помещения: N[62];  (Сплит система) Инвентор: S[нет];  (Сплит система) Теплопроизводительность: N[6.7];  (Потребляемая мощность) Охлаждение: N[1.917];  (Потребляемая мощность) Обогрев: S[1.856];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S[982 х 311 х 221];  (Внутренний блок) Упаковка (Ш x Г x В): S[1039 х 287 х 377];  (Внутренний блок) Масса (нетто / брутто): S[13.7 / 16];  (Внутренний блок) Уровень шума мин. / макс.: S[35/38/42/44];  (Наружный блок) Марка компрессора: S[Gree];  (Наружный блок) Размеры (Ш x Г x В): S[873 х 376 х 555];  (Наружный блок) Упаковка (Ш x Г x В): S[948 х 428 х 591];  (Наружный блок) Масса (нетто / брутто): S[43/46];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</si>
  <si>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N[8.5];  (Сплит система) Площадь помещения: N[85];  (Сплит система) Инвентор: S[нет];  (Сплит система) Теплопроизводительность: N[9.2];  (Потребляемая мощность) Охлаждение: N[2.647];  (Потребляемая мощность) Обогрев: S[2.548];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S[1075 х 333 х 246];  (Внутренний блок) Упаковка (Ш x Г x В): S[1128 х 323 х 406];  (Внутренний блок) Масса (нетто / брутто): S[17 / 20];  (Внутренний блок) Уровень шума мин. / макс.: S[39/40/41/42/46/47/49];  (Наружный блок) Марка компрессора: S[Gree];  (Наружный блок) Размеры (Ш x Г x В): S[955 х 396 х 700];  (Наружный блок) Упаковка (Ш x Г x В): S[1026 х 455 х 735];  (Наружный блок) Масса (нетто / брутто): S[61/65.5];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</si>
  <si>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N[8.5];  (Сплит система) Площадь помещения: N[85];  (Сплит система) Инвентор: S[нет];  (Сплит система) Теплопроизводительность: N[8.9];  (Потребляемая мощность) Охлаждение: N[2.615];  (Потребляемая мощность) Обогрев: S[2.465];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S[1075 х 333 х 246];  (Внутренний блок) Упаковка (Ш x Г x В): S[1128 х 323 х 406];  (Внутренний блок) Масса (нетто / брутто): S[17 / 20];  (Внутренний блок) Уровень шума мин. / макс.: S[37/40/45/48];  (Наружный блок) Марка компрессора: S[Gree];  (Наружный блок) Размеры (Ш x Г x В): S[958 х 402 х 660];  (Наружный блок) Упаковка (Ш x Г x В): S[1029 х 453 х 715];  (Наружный блок) Масса (нетто / брутто): S[57/61.5];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</si>
  <si>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N[9.5];  (Сплит система) Площадь помещения: N[95];  (Сплит система) Инвентор: S[нет];  (Сплит система) Теплопроизводительность: N[9.8];  (Потребляемая мощность) Охлаждение: N[2.96];  (Потребляемая мощность) Обогрев: S[3.05];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S[1078 х 325 х 246];  (Внутренний блок) Упаковка (Ш x Г x В): S[1148 х 350 х 413];  (Внутренний блок) Масса (нетто / брутто): S[16.5 / 20];  (Внутренний блок) Уровень шума мин. / макс.: S[41/42/47/48];  (Наружный блок) Марка компрессора: S[Gree];  (Наружный блок) Размеры (Ш x Г x В): S[980 х 427 х 790];  (Наружный блок) Упаковка (Ш x Г x В): S[1083 х 488 х 855];  (Наружный блок) Масса (нетто / брутто): S[67/72];  (Наружный блок) Максимальный уровень шума: N[];  (Соединительные трубы) Жидкостная линия :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</si>
  <si>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E[TOSOT];  Тип: S[Канальные];  (Сплит система) Холодопроизводительность: N[20];  (Сплит система) Площадь помещения: N[200];  (Сплит система) Инвентор: S[да];  (Сплит система) Теплопроизводительность: N[22];  (Потребляемая мощность) Охлаждение: N[7.8];  (Потребляемая мощность) Обогрев: S[7];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S[1460 х 365 х 790];  (Внутренний блок) Упаковка (Ш x Г x В): S[1578 х 883 х 400];  (Внутренний блок) Масса (нетто / брутто): S[82 / 104];  (Внутренний блок) Уровень шума мин. / макс.: S[50/51/52];  (Наружный блок) Марка компрессора: S[Mitsubishi];  (Наружный блок) Размеры (Ш x Г x В): S[940 х 320 х 1430];  (Наружный блок) Упаковка (Ш x Г x В): S[1023 х 423 х 1475];  (Наружный блок) Масса (нетто / брутто): S[120/130];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</si>
  <si>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Производитель: E[TOSOT];  Тип: S[Канальные];  (Сплит система) Холодопроизводительность: N[25];  (Сплит система) Площадь помещения: N[250];  (Сплит система) Инвентор: S[да];  (Сплит система) Теплопроизводительность: N[27.5];  (Потребляемая мощность) Охлаждение: N[9.4];  (Потребляемая мощность) Обогрев: S[8.9];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S[1690 х 440 х 870];  (Внутренний блок) Упаковка (Ш x Г x В): S[1788 х 988 х 988];  (Внутренний блок) Масса (нетто / брутто): S[99 / 134];  (Внутренний блок) Уровень шума мин. / макс.: S[51/52/53];  (Наружный блок) Марка компрессора: S[Mitsubishi];  (Наружный блок) Размеры (Ш x Г x В): S[460 х 940 х 1615];  (Наружный блок) Упаковка (Ш x Г x В): S[1660 х 1023 х 563];  (Наружный блок) Масса (нетто / брутто): S[146/162];  (Наружный блок) Максимальный уровень шума: N[];  (Соединительные трубы) Жидкостная линия : N[9.52];  (Соединительные трубы) Газовая линия : N[22];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</si>
  <si>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Производитель: E[TOSOT];  Тип: S[Канальные];  (Сплит система) Холодопроизводительность: N[30];  (Сплит система) Площадь помещения: N[300];  (Сплит система) Инвентор: S[да];  (Сплит система) Теплопроизводительность: N[33];  (Потребляемая мощность) Охлаждение: N[11.3];  (Потребляемая мощность) Обогрев: S[10.3];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S[1690 х 440 х 870];  (Внутренний блок) Упаковка (Ш x Г x В): S[1788 х 988 х 465];  (Внутренний блок) Масса (нетто / брутто): S[105 / 145];  (Внутренний блок) Уровень шума мин. / макс.: S[53/54/55];  (Наружный блок) Марка компрессора: S[HITACHI];  (Наружный блок) Размеры (Ш x Г x В): S[940 х 460 х 1615];  (Наружный блок) Упаковка (Ш x Г x В): S[1023 х 563 х 1660];  (Наружный блок) Масса (нетто / брутто): S[175/190];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</si>
  <si>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Производитель: E[TOSOT];  Тип: S[Канальные];  (Сплит система) Холодопроизводительность: N[40];  (Сплит система) Площадь помещения: N[400];  (Сплит система) Инвентор: S[да];  (Сплит система) Теплопроизводительность: N[43];  (Потребляемая мощность) Охлаждение: N[15.4];  (Потребляемая мощность) Обогрев: S[13.9];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S[1680 х 650 х 900];  (Внутренний блок) Упаковка (Ш x Г x В): S[1803 х 1023 х 685];  (Внутренний блок) Масса (нетто / брутто): S[165 / 210];  (Внутренний блок) Уровень шума мин. / макс.: S[54/55/56];  (Наружный блок) Марка компрессора: S[Mitsubishi];  (Наружный блок) Размеры (Ш x Г x В): S[940 х 320 х 1430];  (Наружный блок) Упаковка (Ш x Г x В): S[1023 х 423 х 1475];  (Наружный блок) Масса (нетто / брутто): S[120/130];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</si>
  <si>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Производитель: E[TOSOT];  Тип: S[Канальные];  (Сплит система) Холодопроизводительность: N[12];  (Сплит система) Площадь помещения: N[120];  (Сплит система) Инвентор: S[нет];  (Сплит система) Теплопроизводительность: N[14.8];  (Потребляемая мощность) Охлаждение: N[4.2];  (Потребляемая мощность) Обогрев: S[4.2];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</si>
  <si>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N[7];  (Сплит система) Площадь помещения: N[70];  (Сплит система) Инвентор: S[нет];  (Сплит система) Теплопроизводительность: N[7.4];  (Потребляемая мощность) Охлаждение: N[2.5];  (Потребляемая мощность) Обогрев: S[2.3];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270 х 555];  (Внутренний блок) Упаковка (Ш x Г x В): S[1348 х 597 х 283];  (Внутренний блок) Масса (нетто / брутто): S[33 / 38];  (Внутренний блок) Уровень шума мин. / макс.: S[43/38/34/32];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</si>
  <si>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S[Канальные];  (Сплит система) Холодопроизводительность: N[10.1];  (Сплит система) Площадь помещения: N[101];  (Сплит система) Инвентор: S[нет];  (Сплит система) Теплопроизводительность: N[12];  (Потребляемая мощность) Охлаждение: N[3.2];  (Потребляемая мощность) Обогрев: S[3.2];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1000];  (Внутренний блок) Упаковка (Ш x Г x В): S[813 х 1205 х 360];  (Внутренний блок) Масса (нетто / брутто): S[41 / 47];  (Внутренний блок) Уровень шума мин. / макс.: S[35/38/42/44];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</si>
  <si>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N[12];  (Сплит система) Площадь помещения: N[120];  (Сплит система) Инвентор: S[нет];  (Сплит система) Теплопроизводительность: N[13.5];  (Потребляемая мощность) Охлаждение: N[4.4];  (Потребляемая мощность) Обогрев: S[4.05];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S[1230 х 290 х 790];  (Внутренний блок) Упаковка (Ш x Г x В): S[1338 х 837 х 305];  (Внутренний блок) Масса (нетто / брутто): S[47 / 53];  (Внутренний блок) Уровень шума мин. / макс.: S[51/48/46/44];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</si>
  <si>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S[Канальные];  (Сплит система) Холодопроизводительность: N[14];  (Сплит система) Площадь помещения: N[140];  (Сплит система) Инвентор: S[нет];  (Сплит система) Теплопроизводительность: N[15];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S[1230 х 290 х 790];  (Внутренний блок) Упаковка (Ш x Г x В): S[1338 х 837 х 305];  (Внутренний блок) Масса (нетто / брутто): S[53 / 59.83];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</si>
  <si>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S[Канальные];  (Сплит система) Холодопроизводительность: N[16];  (Сплит система) Площадь помещения: N[160];  (Сплит система) Инвентор: S[нет];  (Сплит система) Теплопроизводительность: N[19];  (Потребляемая мощность) Охлаждение: N[4.3];  (Потребляемая мощность) Обогрев: S[5.4];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1400];  (Внутренний блок) Упаковка (Ш x Г x В): S[813 х 1601 х 365];  (Внутренний блок) Масса (нетто / брутто): S[55 / 62];  (Внутренний блок) Уровень шума мин. / макс.: S[37/40/45/47];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</si>
  <si>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N[8.3];  (Сплит система) Площадь помещения: N[83];  (Сплит система) Инвентор: S[нет];  (Сплит система) Теплопроизводительность: N[8.8];  (Потребляемая мощность) Охлаждение: N[2.8];  (Потребляемая мощность) Обогрев: S[2.7];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S[1260 х 270 х 555];  (Внутренний блок) Упаковка (Ш x Г x В): S[1348 х 597 х 283];  (Внутренний блок) Масса (нетто / брутто): S[35 / 40];  (Внутренний блок) Уровень шума мин. / макс.: S[48/46/45/44];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</si>
  <si>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S[Канальные];  (Сплит система) Холодопроизводительность: N[11.98];  (Сплит система) Площадь помещения: N[120];  (Сплит система) Инвентор: S[нет];  (Сплит система) Теплопроизводительность: N[13.5];  (Потребляемая мощность) Охлаждение: N[4.4];  (Потребляемая мощность) Обогрев: S[4.05];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300 х 1000];  (Внутренний блок) Упаковка (Ш x Г x В): S[813 х 1205 х 360];  (Внутренний блок) Масса (нетто / брутто): S[42 / 48];  (Внутренний блок) Уровень шума мин. / макс.: S[35/38/42/44];  (Наружный блок) Марка компрессора: S[Gree];  (Наружный блок) Размеры (Ш x Г x В): S[460 х 940 х 820];  (Наружный блок) Упаковка (Ш x Г x В): S[573 х 1083 х 973];  (Наружный блок) Масса (нетто / брутто): S[97/108];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</si>
  <si>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N[5];  (Сплит система) Площадь помещения: N[50];  (Сплит система) Инвентор: S[нет];  (Сплит система) Теплопроизводительность: N[5.4];  (Потребляемая мощность) Охлаждение: N[2];  (Потребляемая мощность) Обогрев: S[1.9];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S[670 х 50 х 670];  (Внутренний блок) Упаковка (Ш x Г x В): S[763 х 763 х 105];  (Внутренний блок) Масса (нетто / брутто): S[3.5 / 5];  (Внутренний блок) Уровень шума мин. / макс.: S[50/49/47/46];  (Наружный блок) Марка компрессора: S[Gree];  (Наружный блок) Размеры (Ш x Г x В): S[955 х 395 х 700];  (Наружный блок) Упаковка (Ш x Г x В): S[1029 х 458 х 750];  (Наружный блок) Масса (нетто / брутто): S[53/58];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</si>
  <si>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N[4.8];  (Сплит система) Площадь помещения: N[48];  (Сплит система) Инвентор: S[нет];  (Сплит система) Теплопроизводительность: N[5];  (Потребляемая мощность) Охлаждение: N[1.55];  (Потребляемая мощность) Обогрев: S[1.35];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S[620 х 47.5 х 620];  (Внутренний блок) Упаковка (Ш x Г x В): S[701 х 701 х 125];  (Внутренний блок) Масса (нетто / брутто): S[3 / 4.5];  (Внутренний блок) Уровень шума мин. / макс.: S[35/38/43/44];  (Наружный блок) Марка компрессора: S[Gree];  (Наружный блок) Размеры (Ш x Г x В): S[761 х 256 х 548];  (Наружный блок) Упаковка (Ш x Г x В): S[881 х 363 х 595];  (Наружный блок) Масса (нетто / брутто): S[39/41.5];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  (Допустимая темп. наружного воздуха) Обогрев: S[от -15 до +24]</t>
  </si>
  <si>
    <t>Производитель: E[TOSOT];  Тип: S[Кассетные];  (Сплит система) Холодопроизводительность: N[7];  (Сплит система) Площадь помещения: N[70];  (Сплит система) Инвентор: S[нет];  (Сплит система) Теплопроизводительность: N[7.6];  (Потребляемая мощность) Охлаждение: N[2.5];  (Потребляемая мощность) Обогрев: S[2.3];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S[49/48/47/46];  (Наружный блок) Марка компрессора: S[Gree];  (Наружный блок) Размеры (Ш x Г x В): S[955 х 395 х 700];  (Наружный блок) Упаковка (Ш x Г x В): S[1029 х 458 х 750];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</si>
  <si>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N[7.1];  (Сплит система) Площадь помещения: N[71];  (Сплит система) Инвентор: S[нет];  (Сплит система) Теплопроизводительность: N[7.4];  (Потребляемая мощность) Охлаждение: N[2.15];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S[39/42/45/46];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S[59/63];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</si>
  <si>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N[8.5];  (Сплит система) Площадь помещения: N[85];  (Сплит система) Инвентор: S[нет];  (Сплит система) Теплопроизводительность: N[9];  (Потребляемая мощность) Охлаждение: N[2.7];  (Потребляемая мощность) Обогрев: S[2.6];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S[51/50/49/48];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</si>
  <si>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N[8.3];  (Сплит система) Площадь помещения: N[83];  (Сплит система) Инвентор: S[нет];  (Сплит система) Теплопроизводительность: N[8.8];  (Потребляемая мощность) Охлаждение: N[2.8];  (Потребляемая мощность) Обогрев: S[2.7];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S[45/48/50/52];  (Наружный блок) Марка компрессора: S[Gree];  (Наружный блок) Размеры (Ш x Г x В): S[340 х 892 х 698];  (Наружный блок) Упаковка (Ш x Г x В): S[458 х 1029 х 750];  (Наружный блок) Масса (нетто / брутто): S[64/69];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</si>
  <si>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N[10];  (Сплит система) Площадь помещения: N[100];  (Сплит система) Инвентор: S[нет];  (Сплит система) Теплопроизводительность: N[11.5];  (Потребляемая мощность) Охлаждение: N[3.5];  (Потребляемая мощность) Обогрев: S[3.3];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S[52/47/46/43];  (Наружный блок) Марка компрессора: S[HITACHI];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</si>
  <si>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N[10.01];  (Сплит система) Площадь помещения: N[100];  (Сплит система) Инвентор: S[нет];  (Сплит система) Теплопроизводительность: N[12];  (Потребляемая мощность) Охлаждение: N[3.25];  (Потребляемая мощность) Обогрев: S[3.2];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S[45/48/50/52];  (Наружный блок) Марка компрессора: S[Gree];  (Наружный блок) Размеры (Ш x Г x В): S[370 х 920 х 790];  (Наружный блок) Упаковка (Ш x Г x В): S[1083 х 488 х 875];  (Наружный блок) Масса (нетто / брутто): S[70/75];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</si>
  <si>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N[12];  (Сплит система) Площадь помещения: N[120];  (Сплит система) Инвентор: S[нет];  (Сплит система) Теплопроизводительность: N[13.5];  (Потребляемая мощность) Охлаждение: N[4.2];  (Потребляемая мощность) Обогрев: S[4];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S[52/47/46/43];  (Наружный блок) Марка компрессора: S[HITACHI];  (Наружный блок) Размеры (Ш x Г x В): S[1120 х 440 х 1100];  (Наружный блок) Упаковка (Ш x Г x В): S[1235 х 483 х 1158];  (Наружный блок) Масса (нетто / брутто): S[100/112];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</si>
  <si>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N[14];  (Сплит система) Площадь помещения: N[140];  (Сплит система) Инвентор: S[нет];  (Сплит система) Теплопроизводительность: N[14.8];  (Потребляемая мощность) Охлаждение: N[4.8];  (Потребляемая мощность) Обогрев: S[4.9];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  (Наружный блок) Марка компрессора: S[SANYO];  (Наружный блок) Размеры (Ш x Г x В): S[1120 х 440 х 1100];  (Наружный блок) Упаковка (Ш x Г x В): S[1235 х 483 х 1158];  (Наружный блок) Масса (нетто / брутто): S[103/115];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</si>
  <si>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N[14.1];  (Сплит система) Площадь помещения: N[141];  (Сплит система) Инвентор: S[нет];  (Сплит система) Теплопроизводительность: N[15.1];  (Потребляемая мощность) Охлаждение: N[4.5];  (Потребляемая мощность) Обогрев: S[4.3];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S[45/47/51/54];  (Наружный блок) Марка компрессора: S[Gree];  (Наружный блок) Размеры (Ш x Г x В): S[460 х 940 х 820];  (Наружный блок) Упаковка (Ш x Г x В): S[573 х 1083 х 973];  (Наружный блок) Масса (нетто / брутто): S[97/108];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</si>
  <si>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N[15];  (Сплит система) Площадь помещения: N[150];  (Сплит система) Инвентор: S[нет];  (Сплит система) Теплопроизводительность: N[16.8];  (Потребляемая мощность) Охлаждение: N[5.3];  (Потребляемая мощность) Обогрев: S[5.2];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60 х 950];  (Внутренний блок) Упаковка (Ш x Г x В): S[1038 х 1033 х 133];  (Внутренний блок) Масса (нетто / брутто): S[7 / 11];  (Внутренний блок) Уровень шума мин. / макс.: S[];  (Наружный блок) Марка компрессора: S[SANYO];  (Наружный блок) Размеры (Ш x Г x В): S[980 х 410 х 1350];  (Наружный блок) Упаковка (Ш x Г x В): S[1027 х 443 х 1500];  (Наружный блок) Масса (нетто / брутто): S[118/129];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</si>
  <si>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S[Кассетные];  (Сплит система) Холодопроизводительность: N[15];  (Сплит система) Площадь помещения: N[150];  (Сплит система) Инвентор: S[нет];  (Сплит система) Теплопроизводительность: N[17.4];  (Потребляемая мощность) Охлаждение: N[5.3];  (Потребляемая мощность) Обогрев: S[5.6];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52 х 950];  (Внутренний блок) Упаковка (Ш x Г x В): S[1033 х 1038 х 112];  (Внутренний блок) Масса (нетто / брутто): S[6 / 9.5];  (Внутренний блок) Уровень шума мин. / макс.: S[45/47/51/55];  (Наружный блок) Марка компрессора: S[Gree];  (Наружный блок) Размеры (Ш x Г x В): S[460 х 940 х 820];  (Наружный блок) Упаковка (Ш x Г x В): S[573 х 1083 х 973];  (Наружный блок) Масса (нетто / брутто): S[103/114];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</si>
  <si>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S[Колонные];  (Сплит система) Холодопроизводительность: N[7.06];  (Сплит система) Площадь помещения: N[71];  (Сплит система) Инвентор: S[нет];  (Сплит система) Теплопроизводительность: N[7.8];  (Потребляемая мощность) Охлаждение: N[2.43];  (Потребляемая мощность) Обогрев: S[2.35];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S[507 х 1770 х 320];  (Внутренний блок) Упаковка (Ш x Г x В): S[623 х 440 х 1988];  (Внутренний блок) Масса (нетто / брутто): S[40 / 52];  (Внутренний блок) Уровень шума мин. / макс.: S[38/41/44/46];  (Наружный блок) Марка компрессора: S[Gree];  (Наружный блок) Размеры (Ш x Г x В): S[955 х 396 х 700];  (Наружный блок) Упаковка (Ш x Г x В): S[1029 х 458 х 750];  (Наружный блок) Масса (нетто / брутто): S[60/64.5];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</si>
  <si>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S[Колонные];  (Сплит система) Холодопроизводительность: N[14.1];  (Сплит система) Площадь помещения: N[141];  (Сплит система) Инвентор: S[нет];  (Сплит система) Теплопроизводительность: N[15.5];  (Потребляемая мощность) Охлаждение: N[5];  (Потребляемая мощность) Обогрев: S[4.83];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S[587 х 1882 х 394];  (Внутренний блок) Упаковка (Ш x Г x В): S[738 х 545 х 2153];  (Внутренний блок) Масса (нетто / брутто): S[61 / 83.5];  (Внутренний блок) Уровень шума мин. / макс.: S[45/48/50/52];  (Наружный блок) Марка компрессора: S[Gree];  (Наружный блок) Размеры (Ш x Г x В): S[1032 х 412 х 1250];  (Наружный блок) Упаковка (Ш x Г x В): S[1113 х 453 х 1400];  (Наружный блок) Масса (нетто / брутто): S[107/118];  (Наружный блок) Максимальный уровень шума: N[];  (Соединительные трубы) Жидкостная линия :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</si>
  <si>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Производитель: E[TOSOT];  Тип: S[Колонные];  (Сплит система) Холодопроизводительность: N[15.2];  (Сплит система) Площадь помещения: N[152];  (Сплит система) Инвентор: S[нет];  (Сплит система) Теплопроизводительность: N[17];  (Потребляемая мощность) Охлаждение: N[5.41];  (Потребляемая мощность) Обогрев: S[5.29];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S[587 х 1882 х 394];  (Внутренний блок) Упаковка (Ш x Г x В): S[738 х 545 х 2153];  (Внутренний блок) Масса (нетто / брутто): S[61 / 83.5];  (Внутренний блок) Уровень шума мин. / макс.: S[44/47/50/52];  (Наружный блок) Марка компрессора: S[Gree];  (Наружный блок) Размеры (Ш x Г x В): S[1032 х 412 х 1250];  (Наружный блок) Упаковка (Ш x Г x В): S[1113 х 453 х 1400];  (Наружный блок) Масса (нетто / брутто): S[107/118];  (Наружный блок) Максимальный уровень шума: N[];  (Соединительные трубы) Жидкостная линия :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</si>
  <si>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Производитель: E[TOSOT];  Тип: S[Напольно-потолочные];  (Сплит система) Холодопроизводительность: N[5.5];  (Сплит система) Площадь помещения: N[55];  (Сплит система) Инвентор: S[нет];  (Сплит система) Теплопроизводительность: N[5.7];  (Потребляемая мощность) Охлаждение: N[2];  (Потребляемая мощность) Обогрев: S[2];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S[31 / 38];  (Внутренний блок) Уровень шума мин. / макс.: S[33-37];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</si>
  <si>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N[5];  (Сплит система) Площадь помещения: N[50];  (Сплит система) Инвентор: S[нет];  (Сплит система) Теплопроизводительность: N[5.2];  (Потребляемая мощность) Охлаждение: N[1.65];  (Потребляемая мощность) Обогрев: S[1.45];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870];  (Внутренний блок) Упаковка (Ш x Г x В): S[300 х 1033 х 770];  (Внутренний блок) Масса (нетто / брутто): S[25 / 30];  (Внутренний блок) Уровень шума мин. / макс.: S[33/37/40/41];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</si>
  <si>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N[7.2];  (Сплит система) Площадь помещения: N[72];  (Сплит система) Инвентор: S[нет];  (Сплит система) Теплопроизводительность: N[8.2];  (Потребляемая мощность) Охлаждение: N[2.5];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S[32 / 39];  (Внутренний блок) Уровень шума мин. / макс.: S[40-46];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</si>
  <si>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N[7.3];  (Сплит система) Площадь помещения: N[73];  (Сплит система) Инвентор: S[нет];  (Сплит система) Теплопроизводительность: N[7.7];  (Потребляемая мощность) Охлаждение: N[2.25];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1200];  (Внутренний блок) Упаковка (Ш x Г x В): S[300 х 1363 х 770];  (Внутренний блок) Масса (нетто / брутто): S[33 / 39];  (Внутренний блок) Уровень шума мин. / макс.: S[41/44/46/47];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</si>
  <si>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N[10.6];  (Сплит система) Площадь помещения: N[106];  (Сплит система) Инвентор: S[нет];  (Сплит система) Теплопроизводительность: N[11.8];  (Потребляемая мощность) Охлаждение: N[3.6];  (Потребляемая мощность) Обогрев: S[3.6];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S[36 / 43];  (Внутренний блок) Уровень шума мин. / макс.: S[49-51];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</si>
  <si>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N[10.1];  (Сплит система) Площадь помещения: N[101];  (Сплит система) Инвентор: S[нет];  (Сплит система) Теплопроизводительность: N[12];  (Потребляемая мощность) Охлаждение: N[3.2];  (Потребляемая мощность) Обогрев: S[3.4];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1200];  (Внутренний блок) Упаковка (Ш x Г x В): S[300 х 1363 х 770];  (Внутренний блок) Масса (нетто / брутто): S[36 / 42];  (Внутренний блок) Уровень шума мин. / макс.: S[48/49/50/51];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</si>
  <si>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N[12];  (Сплит система) Площадь помещения: N[120];  (Сплит система) Инвентор: S[нет];  (Сплит система) Теплопроизводительность: N[13.2];  (Потребляемая мощность) Охлаждение: N[4.3];  (Потребляемая мощность) Обогрев: S[4.1];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S[38 / 45];  (Внутренний блок) Уровень шума мин. / макс.: S[49-51];  (Наружный блок) Марка компрессора: S[HITACHI];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</si>
  <si>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N[14.2];  (Сплит система) Площадь помещения: N[142];  (Сплит система) Инвентор: S[нет];  (Сплит система) Теплопроизводительность: N[16];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288 х 782];  (Внутренний блок) Масса (нетто / брутто): S[46 / 53];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</si>
  <si>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N[14.1];  (Сплит система) Площадь помещения: N[141];  (Сплит система) Инвентор: S[нет];  (Сплит система) Теплопроизводительность: N[16.5];  (Потребляемая мощность) Охлаждение: N[4.5];  (Потребляемая мощность) Обогрев: S[5.48];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1570];  (Внутренний блок) Упаковка (Ш x Г x В): S[300 х 1729 х 770];  (Внутренний блок) Масса (нетто / брутто): S[43 / 50];  (Внутренний блок) Уровень шума мин. / макс.: S[51/52/53/54];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</si>
  <si>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N[15.8];  (Сплит система) Площадь помещения: N[158];  (Сплит система) Инвентор: S[нет];  (Сплит система) Теплопроизводительность: N[18.2];  (Потребляемая мощность) Охлаждение: N[5.5];  (Потребляемая мощность) Обогрев: S[5.45];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288 х 782];  (Внутренний блок) Масса (нетто / брутто): S[46 / 53];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</si>
  <si>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Производитель: E[TOSOT];  Тип: S[Напольно-потолочные];  (Сплит система) Холодопроизводительность: N[15.8];  (Сплит система) Площадь помещения: N[158];  (Сплит система) Инвентор: S[нет];  (Сплит система) Теплопроизводительность: N[19.1];  (Потребляемая мощность) Охлаждение: N[5.48];  (Потребляемая мощность) Обогрев: S[5.4];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S[235 х 665 х 1570];  (Внутренний блок) Упаковка (Ш x Г x В): S[300 х 1729 х 770];  (Внутренний блок) Масса (нетто / брутто): S[45 / 52];  (Внутренний блок) Уровень шума мин. / макс.: S[51/52/53/54];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</si>
  <si>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N[8.5];  (Сплит система) Площадь помещения: N[85];  (Сплит система) Инвентор: S[нет];  (Сплит система) Теплопроизводительность: N[9.8];  (Потребляемая мощность) Охлаждение: N[2.8];  (Потребляемая мощность) Обогрев: S[2.8];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288 х 782];  (Внутренний блок) Масса (нетто / брутто): S[32 / 39];  (Внутренний блок) Уровень шума мин. / макс.: S[43-48];  (Наружный блок) Марка компрессора: S[Gree];  (Наружный блок) Размеры (Ш x Г x В): S[980 х 425 х 790];  (Наружный блок) Упаковка (Ш x Г x В): S[1083 х 488 х 875];  (Наружный блок) Масса (нетто / брутто): S[69/74];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</si>
  <si>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Производитель: E[TOSOT];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N[0.075];  (Потребляемая мощность) Обогрев: S[0.075];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S[893 х 743 х 305];  (Внутренний блок) Масса (нетто / брутто): S[22 / 27];  (Внутренний блок) Уровень шума мин. / макс.: S[31/37];  (Наружный блок) Марка компрессора: S[];  (Наружный блок) Размеры (Ш x Г x В): S[700 х 615 х 200];  (Наружный блок) Упаковка (Ш x Г x В): S[893 х 743 х 305];  (Наружный блок) Масса (нетто / брутто): S[22 / 27];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</si>
  <si>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N[0.065];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S[740 х 890 х 290];  (Внутренний блок) Масса (нетто / брутто): S[21 / 26];  (Внутренний блок) Уровень шума мин. / макс.: S[31/34/37/41];  (Наружный блок) Марка компрессора: S[];  (Наружный блок) Размеры (Ш x Г x В): S[700 х 615 х 200];  (Наружный блок) Упаковка (Ш x Г x В): S[740 х 890 х 290];  (Наружный блок) Масса (нетто / брутто): S[21 / 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</si>
  <si>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N[0.075];  (Потребляемая мощность) Обогрев: S[0.075];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S[893 х 743 х 305];  (Внутренний блок) Масса (нетто / брутто): S[23 / 29];  (Внутренний блок) Уровень шума мин. / макс.: S[32/39];  (Наружный блок) Марка компрессора: S[];  (Наружный блок) Размеры (Ш x Г x В): S[700 х 615 х 200];  (Наружный блок) Упаковка (Ш x Г x В): S[893 х 743 х 305];  (Наружный блок) Масса (нетто / брутто): S[23 / 29];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</si>
  <si>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N[0.075];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615 х 200];  (Внутренний блок) Упаковка (Ш x Г x В): S[740 х 890 х 290];  (Внутренний блок) Масса (нетто / брутто): S[22 / 28];  (Внутренний блок) Уровень шума мин. / макс.: S[32/35/39/42];  (Наружный блок) Марка компрессора: S[];  (Наружный блок) Размеры (Ш x Г x В): S[700 х 615 х 200];  (Наружный блок) Упаковка (Ш x Г x В): S[740 х 890 х 290];  (Наружный блок) Масса (нетто / брутто): S[22 / 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</si>
  <si>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N[0.08];  (Потребляемая мощность) Обогрев: S[0.08];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S[900 х 615 х 200];  (Внутренний блок) Упаковка (Ш x Г x В): S[1123 х 743 х 305];  (Внутренний блок) Масса (нетто / брутто): S[27 / 36];  (Внутренний блок) Уровень шума мин. / макс.: S[33/40];  (Наружный блок) Марка компрессора: S[];  (Наружный блок) Размеры (Ш x Г x В): S[900 х 615 х 200];  (Наружный блок) Упаковка (Ш x Г x В): S[1123 х 743 х 305];  (Наружный блок) Масса (нетто / брутто): S[27 / 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</si>
  <si>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N[0.095];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х 615 х 200];  (Внутренний блок) Упаковка (Ш x Г x В): S[740 х 1120 х 290];  (Внутренний блок) Масса (нетто / брутто): S[26 / 32];  (Внутренний блок) Уровень шума мин. / макс.: S[33/36/41/45];  (Наружный блок) Марка компрессора: S[];  (Наружный блок) Размеры (Ш x Г x В): S[900 х 615 х 200];  (Наружный блок) Упаковка (Ш x Г x В): S[740 х 1120 х 290];  (Наружный блок) Масса (нетто / брутто): S[26 / 32];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</si>
  <si>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N[6];  (Сплит система) Площадь помещения: N[60];  (Сплит система) Инвентор: S[да];  (Сплит система) Теплопроизводительность: N[6.6];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S[1323 х 743 х 205];  (Внутренний блок) Масса (нетто / брутто): S[31 / 41];  (Внутренний блок) Уровень шума мин. / макс.: S[34/42];  (Наружный блок) Марка компрессора: S[];  (Наружный блок) Размеры (Ш x Г x В): S[1100 х 615 х 200];  (Наружный блок) Упаковка (Ш x Г x В): S[1323 х 743 х 205];  (Наружный блок) Масса (нетто / брутто): S[31 / 41];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</si>
  <si>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N[6];  (Сплит система) Площадь помещения: N[60];  (Сплит система) Инвентор: S[да];  (Сплит система) Теплопроизводительность: N[6.6];  (Потребляемая мощность) Охлаждение: N[0.11];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S[740 х 1320 х 290];  (Внутренний блок) Масса (нетто / брутто): S[30 / 40];  (Внутренний блок) Уровень шума мин. / макс.: S[34/37/42/48];  (Наружный блок) Марка компрессора: S[];  (Наружный блок) Размеры (Ш x Г x В): S[1100 х 615 х 200];  (Наружный блок) Упаковка (Ш x Г x В): S[740 х 1320 х 290];  (Наружный блок) Масса (нетто / брутто): S[30 / 40];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</si>
  <si>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S[1323 х 743 х 205];  (Внутренний блок) Масса (нетто / брутто): S[31 / 41];  (Внутренний блок) Уровень шума мин. / макс.: S[34/42];  (Наружный блок) Марка компрессора: S[];  (Наружный блок) Размеры (Ш x Г x В): S[1100 х 615 х 200];  (Наружный блок) Упаковка (Ш x Г x В): S[1323 х 743 х 205];  (Наружный блок) Масса (нетто / брутто): S[31 / 41];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</si>
  <si>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S[Канальные];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S[1100 х 615 х 200];  (Внутренний блок) Упаковка (Ш x Г x В): S[740 х 1320 х 290];  (Внутренний блок) Масса (нетто / брутто): S[30 / 40];  (Внутренний блок) Уровень шума мин. / макс.: S[34/37/42/48];  (Наружный блок) Марка компрессора: S[];  (Наружный блок) Размеры (Ш x Г x В): S[1100 х 615 х 200];  (Наружный блок) Упаковка (Ш x Г x В): S[740 х 1320 х 290];  (Наружный блок) Масса (нетто / брутто): S[30 / 40];  (Наружный блок) Максимальный уровень шума: N[];  (Соединительные трубы) Жидкостная линия :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</si>
  <si>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</si>
  <si>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S[Кассетные];  (Сплит система) Холодопроизводительность: N[];  (Сплит система) Площадь помещения: N[];  (Сплит система) Инвентор: S[да];  (Сплит система) Теплопроизводительность: N[];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</si>
  <si>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S[Кассетные];  (Сплит система) Холодопроизводительность: N[4.5];  (Сплит система) Площадь помещения: N[45];  (Сплит система) Инвентор: S[да];  (Сплит система) Теплопроизводительность: N[5];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</si>
  <si>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S[Кассетные];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  (Потребляемая мощность) Обогрев: S[];  (Рабочий ток) Охлаждение: S[];  (Рабочий ток)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</si>
  <si>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N[0.055];  (Потребляемая мощность) Обогрев: S[0.055];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S[36/40];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</si>
  <si>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N[3.85];  (Потребляемая мощность) Охлаждение: N[0.055];  (Потребляемая мощность) Обогрев: S[0.055];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S[36/40];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</si>
  <si>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S[Напольно-потолочные];  (Сплит система) Холодопроизводительность: N[5];  (Сплит система) Площадь помещения: N[50];  (Сплит система) Инвентор: S[да];  (Сплит система) Теплопроизводительность: N[5.5];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S[40 / 50];  (Внутренний блок) Уровень шума мин. / макс.: S[40/45];  (Наружный блок) Марка компрессора: S[];  (Наружный блок) Размеры (Ш x Г x В): S[1220 х 225 х 700];  (Наружный блок) Упаковка (Ш x Г x В): S[1343 х 315 х 823];  (Наружный блок) Масса (нетто / брутто): S[40 / 50];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</si>
  <si>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S[Напольно-потолочные];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N[0.11];  (Потребляемая мощность) Обогрев: S[0.11];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S[1220 х 225 х 700];  (Внутренний блок) Упаковка (Ш x Г x В): S[1343 х 315 х 823];  (Внутренний блок) Масса (нетто / брутто): S[45 / 54];  (Внутренний блок) Уровень шума мин. / макс.: S[40/48];  (Наружный блок) Марка компрессора: S[];  (Наружный блок) Размеры (Ш x Г x В): S[1220 х 225 х 700];  (Наружный блок) Упаковка (Ш x Г x В): S[1343 х 315 х 823];  (Наружный блок) Масса (нетто / брутто): S[45 / 54];  (Наружный блок) Максимальный уровень шума: N[];  (Соединительные трубы) Жидкостная линия :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</si>
  <si>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N[2.2];  (Сплит система) Площадь помещения: N[22];  (Сплит система) Инвентор: S[да];  (Сплит система) Теплопроизводительность: N[2.3];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S[24/31/37/40];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</si>
  <si>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S[27/35/37/40];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</si>
  <si>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N[3.3];  (Потребляемая мощность) Охлаждение: N[0.03];  (Потребляемая мощность) Обогрев: S[0.03];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S[868 х 260 х 330];  (Внутренний блок) Масса (нетто / брутто): S[8.5 / 10];  (Внутренний блок) Уровень шума мин. / макс.: S[29/33/36/40];  (Наружный блок) Марка компрессора: S[];  (Наружный блок) Размеры (Ш x Г x В): S[819 х 185 х 256];  (Наружный блок) Упаковка (Ш x Г x В): S[868 х 260 х 330];  (Наружный блок) Масса (нетто / брутто): S[8.5 / 10];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</si>
  <si>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  (Потребляемая мощность) Охлаждение: N[0.04];  (Потребляемая мощность) Обогрев: S[0.04];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S[1013 х 221 х 307];  (Внутренний блок) Упаковка (Ш x Г x В): S[1080 х 315 х 378];  (Внутренний блок) Масса (нетто / брутто): S[13.5 / 16.5];  (Внутренний блок) Уровень шума мин. / макс.: S[33/37/43/45];  (Наружный блок) Марка компрессора: S[];  (Наружный блок) Размеры (Ш x Г x В): S[1013 х 221 х 307];  (Наружный блок) Упаковка (Ш x Г x В): S[1080 х 315 х 378];  (Наружный блок) Масса (нетто / брутто): S[13.5 / 16.5];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</si>
  <si>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N[6.16];  (Сплит система) Площадь помещения: N[62];  (Сплит система) Инвентор: S[да];  (Сплит система) Теплопроизводительность: N[6.2];  (Потребляемая мощность) Охлаждение: N[0.04];  (Потребляемая мощность) Обогрев: S[0.04];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S[1013 х 221 х 307];  (Внутренний блок) Упаковка (Ш x Г x В): S[1080 х 315 х 378];  (Внутренний блок) Масса (нетто / брутто): S[14 / 17];  (Внутренний блок) Уровень шума мин. / макс.: S[34/39/43/47];  (Наружный блок) Марка компрессора: S[];  (Наружный блок) Размеры (Ш x Г x В): S[1013 х 221 х 307];  (Наружный блок) Упаковка (Ш x Г x В): S[1080 х 315 х 378];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</si>
  <si>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N[2.35];  (Сплит система) Площадь помещения: N[24];  (Сплит система) Инвентор: S[да];  (Сплит система) Теплопроизводительность: N[2.5];  (Потребляемая мощность) Охлаждение: N[0.022];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185 х 256];  (Внутренний блок) Упаковка (Ш x Г x В): S[788 х 249 х 314];  (Внутренний блок) Масса (нетто / брутто): S[7.7 / 9.2];  (Внутренний блок) Уровень шума мин. / макс.: S[27/33/38/40];  (Наружный блок) Марка компрессора: S[];  (Наружный блок) Размеры (Ш x Г x В): S[744 х 185 х 256];  (Наружный блок) Упаковка (Ш x Г x В): S[788 х 249 х 314];  (Наружный блок) Масса (нетто / брутто): S[7.7 / 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</si>
  <si>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N[0.022];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185 х 256];  (Внутренний блок) Упаковка (Ш x Г x В): S[788 х 249 х 314];  (Внутренний блок) Масса (нетто / брутто): S[7.5 / 9];  (Внутренний блок) Уровень шума мин. / макс.: S[25/32/36/38];  (Наружный блок) Марка компрессора: S[];  (Наружный блок) Размеры (Ш x Г x В): S[744 х 185 х 256];  (Наружный блок) Упаковка (Ш x Г x В): S[788 х 249 х 314];  (Наружный блок) Масса (нетто / брутто): S[7.5 / 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</si>
  <si>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N[3.4];  (Потребляемая мощность) Охлаждение: N[0.03];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185 х 256];  (Внутренний блок) Упаковка (Ш x Г x В): S[863 х 249 х 314];  (Внутренний блок) Масса (нетто / брутто): S[8 / 9.5];  (Внутренний блок) Уровень шума мин. / макс.: S[26/33/37/41];  (Наружный блок) Марка компрессора: S[];  (Наружный блок) Размеры (Ш x Г x В): S[819 х 185 х 256];  (Наружный блок) Упаковка (Ш x Г x В): S[863 х 249 х 314];  (Наружный блок) Масса (нетто / брутто): S[8 / 9.5];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</si>
  <si>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N[0.035];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221 х 304];  (Внутренний блок) Упаковка (Ш x Г x В): S[1077 х 300 х 375];  (Внутренний блок) Масса (нетто / брутто): S[14 / 17];  (Внутренний блок) Уровень шума мин. / макс.: S[34/39/45/48];  (Наружный блок) Марка компрессора: S[];  (Наружный блок) Размеры (Ш x Г x В): S[1017 х 221 х 304];  (Наружный блок) Упаковка (Ш x Г x В): S[1077 х 300 х 375];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</si>
  <si>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E[TOSOT];  Тип: S[Мульти сплит система];  (Сплит система) Холодопроизводительность: N[6.16];  (Сплит система) Площадь помещения: N[62];  (Сплит система) Инвентор: S[да];  (Сплит система) Теплопроизводительность: N[6.45];  (Потребляемая мощность) Охлаждение: N[0.06];  (Потребляемая мощность) Обогрев: S[];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221 х 304];  (Внутренний блок) Упаковка (Ш x Г x В): S[1077 х 300 х 375];  (Внутренний блок) Масса (нетто / брутто): S[14 / 17];  (Внутренний блок) Уровень шума мин. / макс.: S[34/40/44/48];  (Наружный блок) Марка компрессора: S[];  (Наружный блок) Размеры (Ш x Г x В): S[1017 х 221 х 304];  (Наружный блок) Упаковка (Ш x Г x В): S[1077 х 300 х 375];  (Наружный блок) Масса (нетто / брутто): S[14 / 17];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</si>
  <si>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on 1:07:43</t>
  </si>
  <si>
    <t>; 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N[2.5];  (Потребляемая мощность) Охлаждение: N[0.48];  (Потребляемая мощность) Обогрев: S[0.63];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S[22/31/38/45];  (Наружный блок) Марка компрессора: S[];  (Наружный блок) Размеры (Ш x Г x В): S[663 х 290 х 541];  (Наружный блок) Упаковка (Ш x Г x В): S[798 х 369 х 596];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</si>
  <si>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N[2.5];  (Потребляемая мощность) Охлаждение: N[0.48];  (Потребляемая мощность) Обогрев: S[0.63];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S[22/31/38/45];  (Наружный блок) Марка компрессора: S[];  (Наружный блок) Размеры (Ш x Г x В): S[663 х 290 х 541];  (Наружный блок) Упаковка (Ш x Г x В): S[798 х 369 х 596];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</si>
  <si>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N[0.71];  (Потребляемая мощность) Обогрев: S[0.79];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S[22/31/38/45];  (Наружный блок) Марка компрессора: S[];  (Наружный блок) Размеры (Ш x Г x В): S[663 х 290 х 541];  (Наружный блок) Упаковка (Ш x Г x В): S[798 х 369 х 596];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</si>
  <si>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N[0.71];  (Потребляемая мощность) Обогрев: S[0.79];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S[22/31/38/45];  (Наружный блок) Марка компрессора: S[];  (Наружный блок) Размеры (Ш x Г x В): S[663 х 290 х 541];  (Наружный блок) Упаковка (Ш x Г x В): S[798 х 369 х 596];  (Наружный блок) Масса (нетто / брутто): S[23/25];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</si>
  <si>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(Сплит система) Холодопроизводительность: N[3.4]</t>
  </si>
  <si>
    <t>; Производитель: E[FUJITSU];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N[3.8];  (Потребляемая мощность) Охлаждение: N[1];  (Потребляемая мощность) Обогрев: S[1.14];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S[22/33/40/46];  (Наружный блок) Марка компрессора: S[];  (Наружный блок) Размеры (Ш x Г x В): S[663 х 290 х 541];  (Наружный блок) Упаковка (Ш x Г x В): S[798 х 369 х 596];  (Наружный блок) Масса (нетто / брутто): S[25/27];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</si>
  <si>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N[3.8];  (Потребляемая мощность) Охлаждение: N[1];  (Потребляемая мощность) Обогрев: S[1.14];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S[784 х 270 х 224];  (Внутренний блок) Упаковка (Ш x Г x В): S[864 х 279 х 334];  (Внутренний блок) Масса (нетто / брутто): S[8 / 11];  (Внутренний блок) Уровень шума мин. / макс.: S[22/33/40/46];  (Наружный блок) Марка компрессора: S[];  (Наружный блок) Размеры (Ш x Г x В): S[663 х 290 х 541];  (Наружный блок) Упаковка (Ш x Г x В): S[798 х 369 х 596];  (Наружный блок) Масса (нетто / брутто): S[25/27];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</si>
  <si>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(Сплит система) Холодопроизводительность: N[5.2]</t>
  </si>
  <si>
    <t xml:space="preserve"> (Сплит система) Теплопроизводительность: N[6.3]</t>
  </si>
  <si>
    <t xml:space="preserve"> (Потребляемая мощность) Охлаждение: N[1.685]</t>
  </si>
  <si>
    <t xml:space="preserve"> (Потребляемая мощность) Обогрев: S[1.8]</t>
  </si>
  <si>
    <t>; 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N[1.685];  (Потребляемая мощность) Обогрев: S[1.8];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S[9.5 / 12];  (Внутренний блок) Уровень шума мин. / макс.: S[35/40/44/47];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</si>
  <si>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N[1.685];  (Потребляемая мощность) Обогрев: S[1.8];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S[9.5 / 12];  (Внутренний блок) Уровень шума мин. / макс.: S[35/40/44/47];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</si>
  <si>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N[1.685];  (Потребляемая мощность) Обогрев: S[1.8];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S[9.5 / 12];  (Внутренний блок) Уровень шума мин. / макс.: S[35/40/44/47];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</si>
  <si>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N[1.685];  (Потребляемая мощность) Обогрев: S[1.8];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S[9.5 / 12];  (Внутренний блок) Уровень шума мин. / макс.: S[35/40/44/47];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</si>
  <si>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N[2.42]</t>
  </si>
  <si>
    <t xml:space="preserve"> (Потребляемая мощность) Обогрев: S[2.225]</t>
  </si>
  <si>
    <t>; Производитель: E[FUJITSU];  Тип: S[Сплит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N[2.42];  (Потребляемая мощность) Обогрев: S[2.225];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S[10 / 12.5];  (Внутренний блок) Уровень шума мин. / макс.: S[33/38/45/51];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</si>
  <si>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N[2.42];  (Потребляемая мощность) Обогрев: S[2.225];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293 х 249];  (Внутренний блок) Упаковка (Ш x Г x В): S[840 х 320 х 375];  (Внутренний блок) Масса (нетто / брутто): S[10 / 12.5];  (Внутренний блок) Уровень шума мин. / макс.: S[33/38/45/51];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</si>
  <si>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N[0.45]</t>
  </si>
  <si>
    <t xml:space="preserve"> (Потребляемая мощность) Обогрев: S[0.555]</t>
  </si>
  <si>
    <t>; 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N[0.45];  (Потребляемая мощность) Обогрев: S[0.555];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S[20/29/33/38];  (Наружный блок) Марка компрессора: S[];  (Наружный блок) Размеры (Ш x Г x В): S[663 х 290 х 541];  (Наружный блок) Упаковка (Ш x Г x В): S[804 х 375 х 602];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</si>
  <si>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N[0.45];  (Потребляемая мощность) Обогрев: S[0.555];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S[20/29/33/38];  (Наружный блок) Марка компрессора: S[];  (Наружный блок) Размеры (Ш x Г x В): S[663 х 290 х 541];  (Наружный блок) Упаковка (Ш x Г x В): S[804 х 375 х 602];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</si>
  <si>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N[0.63]</t>
  </si>
  <si>
    <t xml:space="preserve"> (Потребляемая мощность) Обогрев: S[0.62]</t>
  </si>
  <si>
    <t>; 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N[0.63];  (Потребляемая мощность) Обогрев: S[0.62];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S[20/29/34/40];  (Наружный блок) Марка компрессора: S[];  (Наружный блок) Размеры (Ш x Г x В): S[663 х 290 х 541];  (Наружный блок) Упаковка (Ш x Г x В): S[804 х 375 х 602];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</si>
  <si>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N[0.63];  (Потребляемая мощность) Обогрев: S[0.62];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S[20/29/34/40];  (Наружный блок) Марка компрессора: S[];  (Наружный блок) Размеры (Ш x Г x В): S[663 х 290 х 541];  (Наружный блок) Упаковка (Ш x Г x В): S[804 х 375 х 602];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</si>
  <si>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N[0.935]</t>
  </si>
  <si>
    <t xml:space="preserve"> (Потребляемая мощность) Обогрев: S[0.96]</t>
  </si>
  <si>
    <t>; 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N[0.935];  (Потребляемая мощность) Обогрев: S[0.96];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S[20/30/35/40];  (Наружный блок) Марка компрессора: S[];  (Наружный блок) Размеры (Ш x Г x В): S[663 х 290 х 541];  (Наружный блок) Упаковка (Ш x Г x В): S[804 х 375 х 602];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</si>
  <si>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N[0.935];  (Потребляемая мощность) Обогрев: S[0.96];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12.5];  (Внутренний блок) Уровень шума мин. / макс.: S[20/30/35/40];  (Наружный блок) Марка компрессора: S[];  (Наружный блок) Размеры (Ш x Г x В): S[663 х 290 х 541];  (Наружный блок) Упаковка (Ш x Г x В): S[804 х 375 х 602];  (Наружный блок) Масса (нетто / брутто): S[24/27];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</si>
  <si>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N[1.22]</t>
  </si>
  <si>
    <t>; 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N[1.22];  (Потребляемая мощность) Обогрев: S[1.41];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13];  (Внутренний блок) Уровень шума мин. / макс.: S[20/30/36/43];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</si>
  <si>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N[1.22];  (Потребляемая мощность) Обогрев: S[1.41];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S[834 х 270 х 222];  (Внутренний блок) Упаковка (Ш x Г x В): S[914 х 332 х 277];  (Внутренний блок) Масса (нетто / брутто): S[10 / 13];  (Внутренний блок) Уровень шума мин. / макс.: S[20/30/36/43];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</si>
  <si>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N[1.39]</t>
  </si>
  <si>
    <t>; 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N[1.39];  (Потребляемая мощность) Обогрев: S[1.56];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322 х 346];  (Внутренний блок) Масса (нетто / брутто): S[12.5 / 18];  (Внутренний блок) Уровень шума мин. / макс.: S[29/35/40/45];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</si>
  <si>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N[1.39];  (Потребляемая мощность) Обогрев: S[1.56];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322 х 346];  (Внутренний блок) Масса (нетто / брутто): S[12.5 / 18];  (Внутренний блок) Уровень шума мин. / макс.: S[29/35/40/45];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</si>
  <si>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N[1.39];  (Потребляемая мощность) Обогрев: S[1.56];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346 х 322];  (Внутренний блок) Масса (нетто / брутто): S[12.5 / 18];  (Внутренний блок) Уровень шума мин. / макс.: S[29/35/40/45];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</si>
  <si>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  (Потребляемая мощность) Охлаждение: N[1.39];  (Потребляемая мощность) Обогрев: S[1.56];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346 х 322];  (Внутренний блок) Масса (нетто / брутто): S[12.5 / 18];  (Внутренний блок) Уровень шума мин. / макс.: S[29/35/40/45];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</si>
  <si>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N[2.08]</t>
  </si>
  <si>
    <t xml:space="preserve"> (Потребляемая мощность) Обогрев: S[1.91]</t>
  </si>
  <si>
    <t>; Производитель: E[FUJITSU];  Тип: S[Сплит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N[2.08];  (Потребляемая мощность) Обогрев: S[1.91];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322 х 346];  (Внутренний блок) Масса (нетто / брутто): S[12.5 / 18];  (Внутренний блок) Уровень шума мин. / макс.: S[29/35/40/49];  (Наружный блок) Марка компрессора: S[];  (Наружный блок) Размеры (Ш x Г x В): S[820 х 315 х 716];  (Наружный блок) Упаковка (Ш x Г x В): S[961 х 450 х 776];  (Наружный блок) Масса (нетто / брутто): S[42/46];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</si>
  <si>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  (Потребляемая мощность) Охлаждение: N[2.08];  (Потребляемая мощность) Обогрев: S[1.91];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322 х 346];  (Внутренний блок) Масса (нетто / брутто): S[12.5 / 18];  (Внутренний блок) Уровень шума мин. / макс.: S[29/35/40/49];  (Наружный блок) Марка компрессора: S[];  (Наружный блок) Размеры (Ш x Г x В): S[820 х 315 х 716];  (Наружный блок) Упаковка (Ш x Г x В): S[961 х 450 х 776];  (Наружный блок) Масса (нетто / брутто): S[42/46];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</si>
  <si>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N[7];  (Сплит система) Площадь помещения: N[70];  (Сплит система) Инвентор: S[да];  (Сплит система) Теплопроизводительность: N[7];  (Потребляемая мощность) Охлаждение: N[2.08];  (Потребляемая мощность) Обогрев: S[1.91];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346 х 322];  (Внутренний блок) Масса (нетто / брутто): S[12.5 / 18];  (Внутренний блок) Уровень шума мин. / макс.: S[29/35/40/49];  (Наружный блок) Марка компрессора: S[];  (Наружный блок) Размеры (Ш x Г x В): S[820 х 315 х 716];  (Наружный блок) Упаковка (Ш x Г x В): S[961 х 450 х 776];  (Наружный блок) Масса (нетто / брутто): S[42/46];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</si>
  <si>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N[7];  (Сплит система) Площадь помещения: N[70];  (Сплит система) Инвентор: S[да];  (Сплит система) Теплопроизводительность: N[7];  (Потребляемая мощность) Охлаждение: N[2.08];  (Потребляемая мощность) Обогрев: S[1.91];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S[980 х 280 х 240];  (Внутренний блок) Упаковка (Ш x Г x В): S[1078 х 346 х 322];  (Внутренний блок) Масса (нетто / брутто): S[12.5 / 18];  (Внутренний блок) Уровень шума мин. / макс.: S[29/35/40/49];  (Наружный блок) Марка компрессора: S[];  (Наружный блок) Размеры (Ш x Г x В): S[820 х 315 х 716];  (Наружный блок) Упаковка (Ш x Г x В): S[961 х 450 х 776];  (Наружный блок) Масса (нетто / брутто): S[42/46];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</si>
  <si>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N[0.45];  (Потребляемая мощность) Обогрев: S[0.555];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S[20/29/33/38];  (Наружный блок) Марка компрессора: S[];  (Наружный блок) Размеры (Ш x Г x В): S[663 х 290 х 541];  (Наружный блок) Упаковка (Ш x Г x В): S[804 х 375 х 602];  (Наружный блок) Масса (нетто / брутто): S[23/26];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</si>
  <si>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  (Сплит система) Площадь помещения: N[20];  (Сплит система) Инвентор: S[да];  (Сплит система) Теплопроизводительность: N[2];  (Потребляемая мощность) Охлаждение: N[0.45];  (Потребляемая мощность) Обогрев: S[0.555];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S[20/29/33/38];  (Наружный блок) Марка компрессора: S[];  (Наружный блок) Размеры (Ш x Г x В): S[663 х 290 х 541];  (Наружный блок) Упаковка (Ш x Г x В): S[804 х 375 х 602];  (Наружный блок) Масса (нетто / брутто): S[23/26];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</si>
  <si>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N[0.63];  (Потребляемая мощность) Обогрев: S[0.62];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S[20/29/34/40];  (Наружный блок) Марка компрессора: S[];  (Наружный блок) Размеры (Ш x Г x В): S[663 х 290 х 541];  (Наружный блок) Упаковка (Ш x Г x В): S[804 х 375 х 602];  (Наружный блок) Масса (нетто / брутто): S[23/26];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</si>
  <si>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N[2.5];  (Потребляемая мощность) Охлаждение: N[0.63];  (Потребляемая мощность) Обогрев: S[0.62];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S[20/29/34/40];  (Наружный блок) Марка компрессора: S[];  (Наружный блок) Размеры (Ш x Г x В): S[663 х 290 х 541];  (Наружный блок) Упаковка (Ш x Г x В): S[804 х 375 х 602];  (Наружный блок) Масса (нетто / брутто): S[23/26];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</si>
  <si>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N[0.935];  (Потребляемая мощность) Обогрев: S[0.96];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S[20/30/35/40];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</si>
  <si>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N[0.935];  (Потребляемая мощность) Обогрев: S[0.96];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 / 14.5];  (Внутренний блок) Уровень шума мин. / макс.: S[20/30/35/40];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</si>
  <si>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N[1.22];  (Потребляемая мощность) Обогрев: S[1.41];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S[11.5 / 15];  (Внутренний блок) Уровень шума мин. / макс.: S[20/30/36/43];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</si>
  <si>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  (Потребляемая мощность) Охлаждение: N[1.22];  (Потребляемая мощность) Обогрев: S[1.41];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295 х 230];  (Внутренний блок) Упаковка (Ш x Г x В): S[1027 х 284 х 357];  (Внутренний блок) Масса (нетто / брутто): S[11.5 / 15];  (Внутренний блок) Уровень шума мин. / макс.: S[20/30/36/43];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</si>
  <si>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(Сплит система) Теплопроизводительность: N[3.6]</t>
  </si>
  <si>
    <t>; 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N[3.6];  (Потребляемая мощность) Охлаждение: N[0.46];  (Потребляемая мощность) Обогрев: S[0.63];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S[786 х 293 х 378];  (Внутренний блок) Упаковка (Ш x Г x В): S[877 х 454 х 376];  (Внутренний блок) Масса (нетто / брутто): S[20 / 24];  (Внутренний блок) Уровень шума мин. / макс.: S[28/38/42/46];  (Наружный блок) Марка компрессора: S[];  (Наружный блок) Размеры (Ш x Г x В): S[820 х 315 х 704];  (Наружный блок) Упаковка (Ш x Г x В): S[965 х 426 х 786];  (Наружный блок) Масса (нетто / брутто): S[41/46];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</si>
  <si>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Производитель: E[FUJITSU];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N[3.6];  (Потребляемая мощность) Охлаждение: N[0.46];  (Потребляемая мощность) Обогрев: S[0.63];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S[786 х 293 х 378];  (Внутренний блок) Упаковка (Ш x Г x В): S[877 х 454 х 376];  (Внутренний блок) Масса (нетто / брутто): S[20 / 24];  (Внутренний блок) Уровень шума мин. / макс.: S[28/38/42/46];  (Наружный блок) Марка компрессора: S[];  (Наружный блок) Размеры (Ш x Г x В): S[820 х 315 х 704];  (Наружный блок) Упаковка (Ш x Г x В): S[965 х 426 х 786];  (Наружный блок) Масса (нетто / брутто): S[41/46];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</si>
  <si>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 Производитель: E[FUJITSU];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N[5];  (Потребляемая мощность) Охлаждение: N[0.67];  (Потребляемая мощность) Обогрев: S[1.02];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S[786 х 293 х 378];  (Внутренний блок) Упаковка (Ш x Г x В): S[877 х 454 х 376];  (Внутренний блок) Масса (нетто / брутто): S[20 / 24];  (Внутренний блок) Уровень шума мин. / макс.: S[28/38/42/46];  (Наружный блок) Марка компрессора: S[];  (Наружный блок) Размеры (Ш x Г x В): S[820 х 315 х 704];  (Наружный блок) Упаковка (Ш x Г x В): S[965 х 426 х 786];  (Наружный блок) Масса (нетто / брутто): S[41/46];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</si>
  <si>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Производитель: E[FUJITSU];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N[5];  (Потребляемая мощность) Охлаждение: N[0.67];  (Потребляемая мощность) Обогрев: S[1.02];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S[786 х 293 х 378];  (Внутренний блок) Упаковка (Ш x Г x В): S[877 х 454 х 376];  (Внутренний блок) Масса (нетто / брутто): S[20 / 24];  (Внутренний блок) Уровень шума мин. / макс.: S[28/38/42/46];  (Наружный блок) Марка компрессора: S[];  (Наружный блок) Размеры (Ш x Г x В): S[820 х 315 х 704];  (Наружный блок) Упаковка (Ш x Г x В): S[965 х 426 х 786];  (Наружный блок) Масса (нетто / брутто): S[41/46];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</si>
  <si>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 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N[1.52];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S[998 х 320 х 238];  (Внутренний блок) Упаковка (Ш x Г x В): S[1090 х 329 х 420];  (Внутренний блок) Масса (нетто / брутто): S[14 / 18];  (Внутренний блок) Уровень шума мин. / макс.: S[26/33/37/43];  (Наружный блок) Марка компрессора: S[GENERAL];  (Наружный блок) Размеры (Ш x Г x В): S[790 х 290 х 620];  (Наружный блок) Упаковка (Ш x Г x В): S[935 х 400 х 712];  (Наружный блок) Масса (нетто / брутто): S[41/45];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</si>
  <si>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N[6.3];  (Потребляемая мощность) Охлаждение: N[1.52];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S[998 х 320 х 238];  (Внутренний блок) Упаковка (Ш x Г x В): S[1090 х 329 х 420];  (Внутренний блок) Масса (нетто / брутто): S[14 / 18];  (Внутренний блок) Уровень шума мин. / макс.: S[26/33/37/43];  (Наружный блок) Марка компрессора: S[GENERAL];  (Наружный блок) Размеры (Ш x Г x В): S[790 х 290 х 620];  (Наружный блок) Упаковка (Ш x Г x В): S[935 х 400 х 712];  (Наружный блок) Масса (нетто / брутто): S[41/45];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</si>
  <si>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(Сплит система) Холодопроизводительность: N[8]</t>
  </si>
  <si>
    <t>; Производитель: E[FUJITSU];  Тип: S[Сплит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N[8.8];  (Потребляемая мощность) Охлаждение: N[2.49];  (Потребляемая мощность) Обогрев: S[2.44];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S[998 х 320 х 238];  (Внутренний блок) Упаковка (Ш x Г x В): S[1090 х 329 х 420];  (Внутренний блок) Масса (нетто / брутто): S[14 / 18];  (Внутренний блок) Уровень шума мин. / макс.: S[33/37/42/48];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</si>
  <si>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N[8.8];  (Потребляемая мощность) Охлаждение: N[2.49];  (Потребляемая мощность) Обогрев: S[2.44];  (Рабочий ток) Охлаждение: S[];  (Рабочий ток) Обогрев: S[];  (Рабочий ток) Напряжение / Частота источника питания: S[1 / 230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S[998 х 320 х 238];  (Внутренний блок) Упаковка (Ш x Г x В): S[1090 х 329 х 420];  (Внутренний блок) Масса (нетто / брутто): S[14 / 18];  (Внутренний блок) Уровень шума мин. / макс.: S[33/37/42/48];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</si>
  <si>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N[8.8];  (Потребляемая мощность) Охлаждение: N[2.33];  (Потребляемая мощность) Обогрев: S[2.2];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S[1150 х 340 х 280];  (Внутренний блок) Упаковка (Ш x Г x В): S[1270 х 450 х 405];  (Внутренний блок) Масса (нетто / брутто): S[18.5 / 24.5];  (Внутренний блок) Уровень шума мин. / макс.: S[33/40/44/50];  (Наружный блок) Марка компрессора: S[GENERAL];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</si>
  <si>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N[8.8];  (Потребляемая мощность) Охлаждение: N[2.33];  (Потребляемая мощность) Обогрев: S[2.2];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S[1150 х 340 х 280];  (Внутренний блок) Упаковка (Ш x Г x В): S[1270 х 450 х 405];  (Внутренний блок) Масса (нетто / брутто): S[18.5 / 24.5];  (Внутренний блок) Уровень шума мин. / макс.: S[33/40/44/50];  (Наружный блок) Марка компрессора: S[GENERAL];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</si>
  <si>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Холодопроизводительность: N[9.4]</t>
  </si>
  <si>
    <t xml:space="preserve"> (Сплит система) Теплопроизводительность: N[10.1]</t>
  </si>
  <si>
    <t>; Производитель: E[FUJITSU];  Тип: S[Сплит система];  (Сплит система) Холодопроизводительность: N[9.4];  (Сплит система) Площадь помещения: N[94];  (Сплит система) Инвентор: S[да];  (Сплит система) Теплопроизводительность: N[10.1];  (Потребляемая мощность) Охлаждение: N[3.16];  (Потребляемая мощность) Обогрев: S[2.73];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S[1150 х 340 х 280];  (Внутренний блок) Упаковка (Ш x Г x В): S[1270 х 450 х 405];  (Внутренний блок) Масса (нетто / брутто): S[18.5 / 24.5];  (Внутренний блок) Уровень шума мин. / макс.: S[33/40/44/50];  (Наружный блок) Марка компрессора: S[GENERAL];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</si>
  <si>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S[Сплит система];  (Сплит система) Холодопроизводительность: N[9.4];  (Сплит система) Площадь помещения: N[94];  (Сплит система) Инвентор: S[да];  (Сплит система) Теплопроизводительность: N[10.1];  (Потребляемая мощность) Охлаждение: N[3.16];  (Потребляемая мощность) Обогрев: S[2.73];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S[1150 х 340 х 280];  (Внутренний блок) Упаковка (Ш x Г x В): S[1270 х 450 х 405];  (Внутренний блок) Масса (нетто / брутто): S[18.5 / 24.5];  (Внутренний блок) Уровень шума мин. / макс.: S[33/40/44/50];  (Наружный блок) Марка компрессора: S[GENERAL];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</si>
  <si>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Холодопроизводительность: N[12.1]</t>
  </si>
  <si>
    <t>; 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N[4.16];  (Потребляемая мощность) Обогрев: S[3.61];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988];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</si>
  <si>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N[4.16];  (Потребляемая мощность) Обогрев: S[3.61];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988];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</si>
  <si>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N[4.16];  (Потребляемая мощность) Обогрев: S[3.61];  (Рабочий ток) Охлаждение: S[];  (Рабочий ток) Обогрев: S[];  (Рабочий ток) Напряжение / Частота источника питания: S[3 / 380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S[67/77];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</si>
  <si>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N[4.16];  (Потребляемая мощность) Обогрев: S[3.61];  (Рабочий ток) Охлаждение: S[];  (Рабочий ток) Обогрев: S[];  (Рабочий ток) Напряжение / Частота источника питания: S[3 / 380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S[67/77];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</si>
  <si>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Холодопроизводительность: N[13.4]</t>
  </si>
  <si>
    <t>; 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N[4.77];  (Потребляемая мощность) Обогрев: S[4.18];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</si>
  <si>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N[4.77];  (Потребляемая мощность) Обогрев: S[4.18];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</si>
  <si>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N[4.77];  (Потребляемая мощность) Обогрев: S[4.18];  (Рабочий ток) Охлаждение: S[];  (Рабочий ток) Обогрев: S[];  (Рабочий ток) Напряжение / Частота источника питания: S[3 / 380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S[67/77];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</si>
  <si>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N[4.77];  (Потребляемая мощность) Обогрев: S[4.18];  (Рабочий ток) Охлаждение: S[];  (Рабочий ток) Обогрев: S[];  (Рабочий ток) Напряжение / Частота источника питания: S[3 / 380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S[67/77];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</si>
  <si>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Теплопроизводительность: N[7.5]</t>
  </si>
  <si>
    <t>; 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N[2.19];  (Потребляемая мощность) Обогрев: S[2];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S[35 / 43];  (Внутренний блок) Уровень шума мин. / макс.: S[25/27/29/31];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</si>
  <si>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N[2.19];  (Потребляемая мощность) Обогрев: S[2];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S[35 / 43];  (Внутренний блок) Уровень шума мин. / макс.: S[25/27/29/31];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</si>
  <si>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(Сплит система) Теплопроизводительность: N[10]</t>
  </si>
  <si>
    <t>; Производитель: E[FUJITSU];  Тип: S[Канальные];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N[2.78];  (Потребляемая мощность) Обогрев: S[2.77];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</si>
  <si>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N[2.78];  (Потребляемая мощность) Обогрев: S[2.77];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</si>
  <si>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xml:space="preserve"> (Сплит система) Теплопроизводительность: N[10.8]</t>
  </si>
  <si>
    <t>; 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</si>
  <si>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</si>
  <si>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</si>
  <si>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S[38 / 45];  (Внутренний блок) Уровень шума мин. / макс.: S[26/30/35/39];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</si>
  <si>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S[39 / 47];  (Внутренний блок) Уровень шума мин. / макс.: S[28/32/38/42];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</si>
  <si>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S[39 / 47];  (Внутренний блок) Уровень шума мин. / макс.: S[28/32/38/42];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</si>
  <si>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S[39 / 47];  (Внутренний блок) Уровень шума мин. / макс.: S[28/32/38/42];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</si>
  <si>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S[1135 х 270 х 700];  (Внутренний блок) Упаковка (Ш x Г x В): S[1320 х 790 х 300];  (Внутренний блок) Масса (нетто / брутто): S[39 / 47];  (Внутренний блок) Уровень шума мин. / макс.: S[28/32/38/42];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</si>
  <si>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N[0.87];  (Потребляемая мощность) Обогрев: S[1];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300 х 700];  (Внутренний блок) Упаковка (Ш x Г x В): S[938 х 875 х 400];  (Внутренний блок) Масса (нетто / брутто): S[27 / 34];  (Внутренний блок) Уровень шума мин. / макс.: S[24/26/27/32];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</si>
  <si>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N[0.87];  (Потребляемая мощность) Обогрев: S[1];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300 х 700];  (Внутренний блок) Упаковка (Ш x Г x В): S[938 х 875 х 400];  (Внутренний блок) Масса (нетто / брутто): S[27 / 34];  (Внутренний блок) Уровень шума мин. / макс.: S[24/26/27/32];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</si>
  <si>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(Сплит система) Холодопроизводительность: N[4.3]</t>
  </si>
  <si>
    <t>; Производитель: E[FUJITSU];  Тип: S[Канальные];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N[1.17];  (Потребляемая мощность) Обогрев: S[1.25];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300 х 700];  (Внутренний блок) Упаковка (Ш x Г x В): S[938 х 875 х 400];  (Внутренний блок) Масса (нетто / брутто): S[27 / 34];  (Внутренний блок) Уровень шума мин. / макс.: S[25/27/28/33];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</si>
  <si>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N[1.17];  (Потребляемая мощность) Обогрев: S[1.25];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300 х 700];  (Внутренний блок) Упаковка (Ш x Г x В): S[938 х 875 х 400];  (Внутренний блок) Масса (нетто / брутто): S[27 / 34];  (Внутренний блок) Уровень шума мин. / макс.: S[25/27/28/33];  (Наружный блок) Марка компрессора: S[];  (Наружный блок) Размеры (Ш x Г x В): S[799 х 290 х 542];  (Наружный блок) Упаковка (Ш x Г x В): S[940 х 375 х 602];  (Наружный блок) Масса (нетто / брутто): S[33/37];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</si>
  <si>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(Сплит система) Теплопроизводительность: N[6]</t>
  </si>
  <si>
    <t>; Производитель: E[FUJITSU];  Тип: S[Канальные];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N[1.36];  (Потребляемая мощность) Обогрев: S[1.56];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S[35 / 44];  (Внутренний блок) Уровень шума мин. / макс.: S[20/22/25/28];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</si>
  <si>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N[1.36];  (Потребляемая мощность) Обогрев: S[1.56];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S[35 / 44];  (Внутренний блок) Уровень шума мин. / макс.: S[20/22/25/28];  (Наружный блок) Марка компрессора: S[];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</si>
  <si>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N[1.89];  (Потребляемая мощность) Обогрев: S[1.85];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S[36 / 43];  (Внутренний блок) Уровень шума мин. / макс.: S[21/24/28/32];  (Наружный блок) Марка компрессора: S[];  (Наружный блок) Размеры (Ш x Г x В): S[820 х 315 х 716];  (Наружный блок) Упаковка (Ш x Г x В): S[961 х 450 х 776];  (Наружный блок) Масса (нетто / брутто): S[42/48];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</si>
  <si>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N[1.89];  (Потребляемая мощность) Обогрев: S[1.85];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S[36 / 43];  (Внутренний блок) Уровень шума мин. / макс.: S[21/24/28/32];  (Наружный блок) Марка компрессора: S[];  (Наружный блок) Размеры (Ш x Г x В): S[820 х 315 х 716];  (Наружный блок) Упаковка (Ш x Г x В): S[961 х 450 х 776];  (Наружный блок) Масса (нетто / брутто): S[42/48];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</si>
  <si>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N[2.65];  (Потребляемая мощность) Обогрев: S[2.63];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S[36 / 44];  (Внутренний блок) Уровень шума мин. / макс.: S[29/30/33/36];  (Наружный блок) Марка компрессора: S[];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</si>
  <si>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N[2.65];  (Потребляемая мощность) Обогрев: S[2.63];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S[1238 х 875 х 400];  (Внутренний блок) Масса (нетто / брутто): S[36 / 44];  (Внутренний блок) Уровень шума мин. / макс.: S[29/30/33/36];  (Наружный блок) Марка компрессора: S[];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</si>
  <si>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N[2.86];  (Потребляемая мощность) Обогрев: S[2.48];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S[26/28/31/36];  (Наружный блок) Марка компрессора: S[];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</si>
  <si>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N[2.86];  (Потребляемая мощность) Обогрев: S[2.48];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S[26/28/31/36];  (Наружный блок) Марка компрессора: S[];  (Наружный блок) Размеры (Ш x Г x В): S[940 х 320 х 788];  (Наружный блок) Упаковка (Ш x Г x В): S[1027 х 445 х 966];  (Наружный блок) Масса (нетто / брутто): S[52/60];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</si>
  <si>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N[3.53];  (Потребляемая мощность) Обогрев: S[3.37];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S[29/31/35/39];  (Наружный блок) Марка компрессора: S[];  (Наружный блок) Размеры (Ш x Г x В): S[940 х 320 х 988];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</si>
  <si>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N[3.53];  (Потребляемая мощность) Обогрев: S[3.37];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S[29/31/35/39];  (Наружный блок) Марка компрессора: S[];  (Наружный блок) Размеры (Ш x Г x В): S[940 х 320 х 988];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</si>
  <si>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N[4.42];  (Потребляемая мощность) Обогрев: S[3.89];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S[29/31/35/39];  (Наружный блок) Марка компрессора: S[];  (Наружный блок) Размеры (Ш x Г x В): S[940 х 320 х 998];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</si>
  <si>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N[4.42];  (Потребляемая мощность) Обогрев: S[3.89];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S[1638 х 875 х 400];  (Внутренний блок) Масса (нетто / брутто): S[46 / 56];  (Внутренний блок) Уровень шума мин. / макс.: S[29/31/35/39];  (Наружный блок) Марка компрессора: S[];  (Наружный блок) Размеры (Ш x Г x В): S[940 х 320 х 998];  (Наружный блок) Упаковка (Ш x Г x В): S[1027 х 445 х 1176];  (Наружный блок) Масса (нетто / брутто): S[67/75];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</si>
  <si>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N[4.06];  (Потребляемая мощность) Обогрев: S[3.67];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</si>
  <si>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N[4.06];  (Потребляемая мощность) Обогрев: S[3.67];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</si>
  <si>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Обогрев: S[3.8]</t>
  </si>
  <si>
    <t>; Производитель: E[FUJITSU];  Тип: S[Канальные];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N[4.3];  (Потребляемая мощность) Обогрев: S[3.8];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</si>
  <si>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N[4.3];  (Потребляемая мощность) Обогрев: S[3.8];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</si>
  <si>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N[4.65];  (Потребляемая мощность) Обогрев: S[4.37];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</si>
  <si>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N[4.65];  (Потребляемая мощность) Обогрев: S[4.37];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S[1050 х 400 х 500];  (Внутренний блок) Упаковка (Ш x Г x В): S[1230 х 640 х 460];  (Внутренний блок) Масса (нетто / брутто): S[46 / 51];  (Внутренний блок) Уровень шума мин. / макс.: S[40/43/47];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</si>
  <si>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Теплопроизводительность: N[18]</t>
  </si>
  <si>
    <t xml:space="preserve"> (Потребляемая мощность) Охлаждение: N[4.7]</t>
  </si>
  <si>
    <t xml:space="preserve"> (Потребляемая мощность) Обогрев: S[5.15]</t>
  </si>
  <si>
    <t>; Производитель: E[FUJITSU];  Тип: S[Канальные];  (Сплит система) Холодопроизводительность: N[15];  (Сплит система) Площадь помещения: N[150];  (Сплит система) Инвентор: S[да];  (Сплит система) Теплопроизводительность: N[18];  (Потребляемая мощность) Охлаждение: N[4.7];  (Потребляемая мощность) Обогрев: S[5.15];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425 х 490];  (Внутренний блок) Упаковка (Ш x Г x В): S[1440 х 655 х 490];  (Внутренний блок) Масса (нетто / брутто): S[54 / 61];  (Внутренний блок) Уровень шума мин. / макс.: S[36/40/45];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</si>
  <si>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S[Канальные];  (Сплит система) Холодопроизводительность: N[15];  (Сплит система) Площадь помещения: N[150];  (Сплит система) Инвентор: S[да];  (Сплит система) Теплопроизводительность: N[18];  (Потребляемая мощность) Охлаждение: N[4.7];  (Потребляемая мощность) Обогрев: S[5.15];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S[1250 х 425 х 490];  (Внутренний блок) Упаковка (Ш x Г x В): S[1440 х 655 х 490];  (Внутренний блок) Масса (нетто / брутто): S[54 / 61];  (Внутренний блок) Уровень шума мин. / макс.: S[36/40/45];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</si>
  <si>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S[Канальные];  (Сплит система) Холодопроизводительность: N[19];  (Сплит система) Площадь помещения: N[190];  (Сплит система) Инвентор: S[да];  (Сплит система) Теплопроизводительность: N[22.4];  (Потребляемая мощность) Охлаждение: N[5.99];  (Потребляемая мощность) Обогрев: S[6.12];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360 х 850];  (Внутренний блок) Упаковка (Ш x Г x В): S[1640 х 1030 х 460];  (Внутренний блок) Масса (нетто / брутто): S[69 / 80];  (Внутренний блок) Уровень шума мин. / макс.: S[39/41/43/46];  (Наружный блок) Марка компрессора: S[];  (Наружный блок) Размеры (Ш x Г x В): S[1080 х 480 х 1428];  (Наружный блок) Упаковка (Ш x Г x В): S[1174 х 600 х 1557];  (Наружный блок) Масса (нетто / брутто): S[163/181];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</si>
  <si>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Производитель: E[FUJITSU];  Тип: S[Канальные];  (Сплит система) Холодопроизводительность: N[19];  (Сплит система) Площадь помещения: N[190];  (Сплит система) Инвентор: S[да];  (Сплит система) Теплопроизводительность: N[22.4];  (Потребляемая мощность) Охлаждение: N[5.99];  (Потребляемая мощность) Обогрев: S[6.12];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360 х 850];  (Внутренний блок) Упаковка (Ш x Г x В): S[1640 х 1030 х 460];  (Внутренний блок) Масса (нетто / брутто): S[69 / 80];  (Внутренний блок) Уровень шума мин. / макс.: S[39/41/43/46];  (Наружный блок) Марка компрессора: S[];  (Наружный блок) Размеры (Ш x Г x В): S[1080 х 480 х 1428];  (Наружный блок) Упаковка (Ш x Г x В): S[1174 х 600 х 1557];  (Наружный блок) Масса (нетто / брутто): S[163/181];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</si>
  <si>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S[Канальные];  (Сплит система) Холодопроизводительность: N[22];  (Сплит система) Площадь помещения: N[220];  (Сплит система) Инвентор: S[да];  (Сплит система) Теплопроизводительность: N[27];  (Потребляемая мощность) Охлаждение: N[7.24];  (Потребляемая мощность) Обогрев: S[7.65];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360 х 850];  (Внутренний блок) Упаковка (Ш x Г x В): S[1640 х 1030 х 460];  (Внутренний блок) Масса (нетто / брутто): S[80 / 91];  (Внутренний блок) Уровень шума мин. / макс.: S[40/42/44/47];  (Наружный блок) Марка компрессора: S[];  (Наружный блок) Размеры (Ш x Г x В): S[1080 х 480 х 1428];  (Наружный блок) Упаковка (Ш x Г x В): S[1174 х 600 х 1557];  (Наружный блок) Масса (нетто / брутто): S[172/190];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</si>
  <si>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Производитель: E[FUJITSU];  Тип: S[Канальные];  (Сплит система) Холодопроизводительность: N[22];  (Сплит система) Площадь помещения: N[220];  (Сплит система) Инвентор: S[да];  (Сплит система) Теплопроизводительность: N[27];  (Потребляемая мощность) Охлаждение: N[7.24];  (Потребляемая мощность) Обогрев: S[7.65];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360 х 850];  (Внутренний блок) Упаковка (Ш x Г x В): S[1640 х 1030 х 460];  (Внутренний блок) Масса (нетто / брутто): S[80 / 91];  (Внутренний блок) Уровень шума мин. / макс.: S[40/42/44/47];  (Наружный блок) Марка компрессора: S[];  (Наружный блок) Размеры (Ш x Г x В): S[1080 х 480 х 1428];  (Наружный блок) Упаковка (Ш x Г x В): S[1174 х 600 х 1557];  (Наружный блок) Масса (нетто / брутто): S[172/190];  (Наружный блок) Максимальный уровень шума: N[];  (Соединительные трубы) Жидкостная линия :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</si>
  <si>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xml:space="preserve"> (Сплит система) Теплопроизводительность: N[3.2]</t>
  </si>
  <si>
    <t>; Производитель: E[FUJITSU];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N[3.2];  (Потребляемая мощность) Охлаждение: N[0.69];  (Потребляемая мощность) Обогрев: S[0.88];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S[25/26/27/28];  (Наружный блок) Марка компрессора: S[];  (Наружный блок) Размеры (Ш x Г x В): S[663 х 290 х 541];  (Наружный блок) Упаковка (Ш x Г x В): S[804 х 375 х 602];  (Наружный блок) Масса (нетто / брутто): S[23/27];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</si>
  <si>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N[2.5];  (Сплит система) Площадь помещения: N[25];  (Сплит система) Инвентор: S[да];  (Сплит система) Теплопроизводительность: N[3.2];  (Потребляемая мощность) Охлаждение: N[0.69];  (Потребляемая мощность) Обогрев: S[0.88];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S[25/26/27/28];  (Наружный блок) Марка компрессора: S[];  (Наружный блок) Размеры (Ш x Г x В): S[663 х 290 х 541];  (Наружный блок) Упаковка (Ш x Г x В): S[804 х 375 х 602];  (Наружный блок) Масса (нетто / брутто): S[23/27];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</si>
  <si>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N[1.09];  (Потребляемая мощность) Обогрев: S[1.17];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S[25/26/28/29];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</si>
  <si>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N[1.09];  (Потребляемая мощность) Обогрев: S[1.17];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S[25/26/28/29];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</si>
  <si>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S[Канальные];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N[1.37];  (Потребляемая мощность) Обогрев: S[1.42];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S[26/28/30/32];  (Наружный блок) Марка компрессора: S[];  (Наружный блок) Размеры (Ш x Г x В): S[799 х 290 х 542];  (Наружный блок) Упаковка (Ш x Г x В): S[940 х 375 х 602];  (Наружный блок) Масса (нетто / брутто): S[32/36];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</si>
  <si>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N[1.37];  (Потребляемая мощность) Обогрев: S[1.42];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х 198 х 620];  (Внутренний блок) Упаковка (Ш x Г x В): S[968 х 772 х 276];  (Внутренний блок) Масса (нетто / брутто): S[17 / 22];  (Внутренний блок) Уровень шума мин. / макс.: S[26/28/30/32];  (Наружный блок) Марка компрессора: S[];  (Наружный блок) Размеры (Ш x Г x В): S[799 х 290 х 542];  (Наружный блок) Упаковка (Ш x Г x В): S[940 х 375 х 602];  (Наружный блок) Масса (нетто / брутто): S[32/36];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</si>
  <si>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N[2.65];  (Потребляемая мощность) Обогрев: S[2.77];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S[32/36/38/40];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</si>
  <si>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N[2.65];  (Потребляемая мощность) Обогрев: S[2.77];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S[32/36/38/40];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</si>
  <si>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Обогрев: S[2.56]</t>
  </si>
  <si>
    <t>; Производитель: E[FUJITSU];  Тип: S[Кассетные];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N[2.44];  (Потребляемая мощность) Обогрев: S[2.56];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S[33/36/39/44];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</si>
  <si>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N[2.44];  (Потребляемая мощность) Обогрев: S[2.56];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S[33/36/39/44];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</si>
  <si>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Охлаждение: N[3.12]</t>
  </si>
  <si>
    <t xml:space="preserve"> (Потребляемая мощность) Обогрев: S[3.02]</t>
  </si>
  <si>
    <t>; Производитель: E[FUJITSU];  Тип: S[Кассетные];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N[3.12];  (Потребляемая мощность) Обогрев: S[3.02];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S[32/36/38/43];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</si>
  <si>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N[10];  (Сплит система) Площадь помещения: N[100];  (Сплит система) Инвентор: S[да];  (Сплит система) Теплопроизводительность: N[11.2];  (Потребляемая мощность) Охлаждение: N[3.12];  (Потребляемая мощность) Обогрев: S[3.02];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S[32/36/38/43];  (Наружный блок) Марка компрессора: S[GENERAL];  (Наружный блок) Размеры (Ш x Г x В): S[900 х 330 х 830];  (Наружный блок) Упаковка (Ш x Г x В): S[1050 х 445 х 1000];  (Наружный блок) Масса (нетто / брутто): S[61/69];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</si>
  <si>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Охлаждение: N[3.54]</t>
  </si>
  <si>
    <t xml:space="preserve"> (Потребляемая мощность) Обогрев: S[3.58]</t>
  </si>
  <si>
    <t>; Производитель: E[FUJITSU];  Тип: S[Кассетные];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N[3.54];  (Потребляемая мощность) Обогрев: S[3.58];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S[36/40/42/46];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</si>
  <si>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N[3.54];  (Потребляемая мощность) Обогрев: S[3.58];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S[36/40/42/46];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</si>
  <si>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Охлаждение: N[3.88]</t>
  </si>
  <si>
    <t>; Производитель: E[FUJITSU];  Тип: S[Кассетные];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N[3.88];  (Потребляемая мощность) Обогрев: S[3.77];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S[36/40/42/46];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</si>
  <si>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N[12.5];  (Сплит система) Площадь помещения: N[120];  (Сплит система) Инвентор: S[да];  (Сплит система) Теплопроизводительность: N[14];  (Потребляемая мощность) Охлаждение: N[3.88];  (Потребляемая мощность) Обогрев: S[3.77];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S[36/40/42/46];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</si>
  <si>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(Потребляемая мощность) Охлаждение: N[4.36]</t>
  </si>
  <si>
    <t xml:space="preserve"> (Потребляемая мощность) Обогрев: S[4.43]</t>
  </si>
  <si>
    <t>; Производитель: E[FUJITSU];  Тип: S[Кассетные];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N[4.36];  (Потребляемая мощность) Обогрев: S[4.43];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S[37/41/43/47];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</si>
  <si>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N[4.36];  (Потребляемая мощность) Обогрев: S[4.43];  (Рабочий ток) Охлаждение: S[];  (Рабочий ток) Обогрев: S[];  (Рабочий ток) Напряжение / Частота источника питания: S[3 / 400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S[37/41/43/47];  (Наружный блок) Марка компрессора: S[TOSHIBA];  (Наружный блок) Размеры (Ш x Г x В): S[900 х 330 х 1290];  (Наружный блок) Упаковка (Ш x Г x В): S[1050 х 445 х 1460];  (Наружный блок) Масса (нетто / брутто): S[104/114];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</si>
  <si>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xml:space="preserve"> (Сплит система) Холодопроизводительность: N[13.3]</t>
  </si>
  <si>
    <t xml:space="preserve"> (Потребляемая мощность) Обогрев: S[4.69]</t>
  </si>
  <si>
    <t>; Производитель: E[FUJITSU];  Тип: S[Кассетные];  (Сплит система) Холодопроизводительность: N[13.3];  (Сплит система) Площадь помещения: N[130];  (Сплит система) Инвентор: S[да];  (Сплит система) Теплопроизводительность: N[16];  (Потребляемая мощность) Охлаждение: N[4.42];  (Потребляемая мощность) Обогрев: S[4.69];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S[37/41/43/47];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</si>
  <si>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Производитель: E[FUJITSU];  Тип: S[Кассетные];  (Сплит система) Холодопроизводительность: N[13.3];  (Сплит система) Площадь помещения: N[130];  (Сплит система) Инвентор: S[да];  (Сплит система) Теплопроизводительность: N[16];  (Потребляемая мощность) Охлаждение: N[4.42];  (Потребляемая мощность) Обогрев: S[4.69];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50 х 950];  (Внутренний блок) Упаковка (Ш x Г x В): S[1020 х 1000 х 115];  (Внутренний блок) Масса (нетто / брутто): S[5.5 / 8.5];  (Внутренний блок) Уровень шума мин. / макс.: S[37/41/43/47];  (Наружный блок) Марка компрессора: S[GENERAL];  (Наружный блок) Размеры (Ш x Г x В): S[900 х 330 х 1290];  (Наружный блок) Упаковка (Ш x Г x В): S[1050 х 445 х 1460];  (Наружный блок) Масса (нетто / брутто): S[86/95];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</si>
  <si>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  (Потребляемая мощность) Обогрев: S[1.66];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S[28/31/32/33];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</si>
  <si>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  (Потребляемая мощность) Обогрев: S[1.66];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S[28/31/32/33];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</si>
  <si>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N[2.12];  (Потребляемая мощность) Обогрев: S[1.97];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S[29/32/33/35];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</si>
  <si>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N[2.12];  (Потребляемая мощность) Обогрев: S[1.97];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S[29/32/33/35];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</si>
  <si>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N[2.56];  (Потребляемая мощность) Обогрев: S[2.64];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S[33/36/38/40];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</si>
  <si>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N[2.56];  (Потребляемая мощность) Обогрев: S[2.64];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S[33/36/38/40];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</si>
  <si>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N[3.06];  (Потребляемая мощность) Обогрев: S[2.58];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S[34/38/41/44];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</si>
  <si>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N[3.06];  (Потребляемая мощность) Обогрев: S[2.58];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S[34/38/41/44];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</si>
  <si>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N[3.06];  (Потребляемая мощность) Обогрев: S[2.58];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S[34/38/41/44];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</si>
  <si>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N[3.06];  (Потребляемая мощность) Обогрев: S[2.58];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S[34/38/41/44];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</si>
  <si>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N[4.32];  (Потребляемая мощность) Обогрев: S[3.77];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S[35/39/42/46];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</si>
  <si>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N[4.32];  (Потребляемая мощность) Обогрев: S[3.77];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S[35/39/42/46];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</si>
  <si>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N[4.32];  (Потребляемая мощность) Обогрев: S[3.77];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S[35/39/42/46];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</si>
  <si>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N[4.32];  (Потребляемая мощность) Обогрев: S[3.77];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S[35/39/42/46];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</si>
  <si>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N[4.87];  (Потребляемая мощность) Обогрев: S[4.86];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S[36/40/43/47];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S[63/72];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</si>
  <si>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N[4.87];  (Потребляемая мощность) Обогрев: S[4.86];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S[36/40/43/47];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S[63/72];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</si>
  <si>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N[4.87];  (Потребляемая мощность) Обогрев: S[4.86];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S[36/40/43/47];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S[63/73];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</si>
  <si>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N[13.4];  (Сплит система) Площадь помещения: N[130];  (Сплит система) Инвентор: S[да];  (Сплит система) Теплопроизводительность: N[15.5];  (Потребляемая мощность) Охлаждение: N[4.87];  (Потребляемая мощность) Обогрев: S[4.86];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S[950 х 53 х 950];  (Внутренний блок) Упаковка (Ш x Г x В): S[1000 х 1010 х 110];  (Внутренний блок) Масса (нетто / брутто): S[10.5 / 10.5];  (Внутренний блок) Уровень шума мин. / макс.: S[36/40/43/47];  (Наружный блок) Марка компрессора: S[];  (Наружный блок) Размеры (Ш x Г x В): S[940 х 320 х 998];  (Наружный блок) Упаковка (Ш x Г x В): S[1027 х 445 х 1176];  (Наружный блок) Масса (нетто / брутто): S[63/73];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</si>
  <si>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xml:space="preserve"> (Потребляемая мощность) Обогрев: S[1.11]</t>
  </si>
  <si>
    <t>; 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N[1.05];  (Потребляемая мощность) Обогрев: S[1.11];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S[27/30/34/37];  (Наружный блок) Марка компрессора: S[TOSHIBA];  (Наружный блок) Размеры (Ш x Г x В): S[790 х 300 х 578];  (Наружный блок) Упаковка (Ш x Г x В): S[910 х 380 х 648];  (Наружный блок) Масса (нетто / брутто): S[40/44];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</si>
  <si>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N[1.05];  (Потребляемая мощность) Обогрев: S[1.11];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S[27/30/34/37];  (Наружный блок) Марка компрессора: S[TOSHIBA];  (Наружный блок) Размеры (Ш x Г x В): S[790 х 300 х 578];  (Наружный блок) Упаковка (Ш x Г x В): S[910 х 380 х 648];  (Наружный блок) Масса (нетто / брутто): S[40/44];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</si>
  <si>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N[1.33]</t>
  </si>
  <si>
    <t xml:space="preserve"> (Потребляемая мощность) Обогрев: S[1.34]</t>
  </si>
  <si>
    <t>; Производитель: E[FUJITSU];  Тип: S[Кассетные];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N[1.33];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S[27/30/34/37];  (Наружный блок) Марка компрессора: S[TOSHIBA];  (Наружный блок) Размеры (Ш x Г x В): S[790 х 300 х 578];  (Наружный блок) Упаковка (Ш x Г x В): S[910 х 380 х 648];  (Наружный блок) Масса (нетто / брутто): S[40/44];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</si>
  <si>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N[1.33];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S[27/30/34/37];  (Наружный блок) Марка компрессора: S[TOSHIBA];  (Наружный блок) Размеры (Ш x Г x В): S[790 х 300 х 578];  (Наружный блок) Упаковка (Ш x Г x В): S[910 х 380 х 648];  (Наружный блок) Масса (нетто / брутто): S[40/44];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</si>
  <si>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(Потребляемая мощность) Охлаждение: N[1.62]</t>
  </si>
  <si>
    <t>; 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N[1.62];  (Потребляемая мощность) Обогрев: S[1.66];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S[26/30/34/38];  (Наружный блок) Марка компрессора: S[TOSHIBA];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</si>
  <si>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N[1.62];  (Потребляемая мощность) Обогрев: S[1.66];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S[26/30/34/38];  (Наружный блок) Марка компрессора: S[TOSHIBA];  (Наружный блок) Размеры (Ш x Г x В): S[799 х 290 х 632];  (Наружный блок) Упаковка (Ш x Г x В): S[940 х 375 х 692];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</si>
  <si>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S[30/36/44/49];  (Наружный блок) Марка компрессора: S[TOSHIBA];  (Наружный блок) Размеры (Ш x Г x В): S[820 х 315 х 716];  (Наружный блок) Упаковка (Ш x Г x В): S[961 х 450 х 776];  (Наружный блок) Масса (нетто / брутто): S[42/47];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</si>
  <si>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N[2.21];  (Потребляемая мощность) Обогрев: S[2.26];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50 х 700];  (Внутренний блок) Упаковка (Ш x Г x В): S[755 х 765 х 120];  (Внутренний блок) Масса (нетто / брутто): S[4.5 / 4.5];  (Внутренний блок) Уровень шума мин. / макс.: S[30/36/44/49];  (Наружный блок) Марка компрессора: S[TOSHIBA];  (Наружный блок) Размеры (Ш x Г x В): S[820 х 315 х 716];  (Наружный блок) Упаковка (Ш x Г x В): S[961 х 450 х 776];  (Наружный блок) Масса (нетто / брутто): S[42/47];  (Наружный блок) Максимальный уровень шума: N[];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</si>
  <si>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N[1.09];  (Потребляемая мощность) Обогрев: S[1.17];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S[27/30/34/37];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</si>
  <si>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N[4.1];  (Потребляемая мощность) Охлаждение: N[1.09];  (Потребляемая мощность) Обогрев: S[1.17];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S[27/30/34/37];  (Наружный блок) Марка компрессора: S[];  (Наружный блок) Размеры (Ш x Г x В): S[663 х 290 х 541];  (Наружный блок) Упаковка (Ш x Г x В): S[804 х 375 х 602];  (Наружный блок) Масса (нетто / брутто): S[25/29];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</si>
  <si>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N[1.37];  (Потребляемая мощность) Обогрев: S[1.42];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S[27/30/34/38];  (Наружный блок) Марка компрессора: S[];  (Наружный блок) Размеры (Ш x Г x В): S[799 х 290 х 542];  (Наружный блок) Упаковка (Ш x Г x В): S[940 х 375 х 602];  (Наружный блок) Масса (нетто / брутто): S[32/36];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</si>
  <si>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N[4.3];  (Сплит система) Площадь помещения: N[43];  (Сплит система) Инвентор: S[да];  (Сплит система) Теплопроизводительность: N[5];  (Потребляемая мощность) Охлаждение: N[1.37];  (Потребляемая мощность) Обогрев: S[1.42];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S[27/30/34/38];  (Наружный блок) Марка компрессора: S[];  (Наружный блок) Размеры (Ш x Г x В): S[799 х 290 х 542];  (Наружный блок) Упаковка (Ш x Г x В): S[940 х 375 х 602];  (Наружный блок) Масса (нетто / брутто): S[32/36];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</si>
  <si>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N[1.69];  (Потребляемая мощность) Обогрев: S[1.72];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S[26/30/34/38];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</si>
  <si>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N[1.69];  (Потребляемая мощность) Обогрев: S[1.72];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S[26/30/34/38];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</si>
  <si>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N[2.26];  (Потребляемая мощность) Обогрев: S[2.08];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S[30/36/44/49];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</si>
  <si>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S[Кассетные];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N[2.26];  (Потребляемая мощность) Обогрев: S[2.08];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S[30/36/44/49];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</si>
  <si>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N[3.5];  (Потребляемая мощность) Охлаждение: N[0.53];  (Потребляемая мощность) Обогрев: S[0.81];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S[22/29/35/40];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</si>
  <si>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N[2.5];  (Сплит система) Площадь помещения: N[25];  (Сплит система) Инвентор: S[да];  (Сплит система) Теплопроизводительность: N[3.5];  (Потребляемая мощность) Охлаждение: N[0.53];  (Потребляемая мощность) Обогрев: S[0.81];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S[22/29/35/40];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</si>
  <si>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(Сплит система) Теплопроизводительность: N[4.5]</t>
  </si>
  <si>
    <t>; Производитель: E[FUJITSU];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N[4.5];  (Потребляемая мощность) Охлаждение: N[0.88];  (Потребляемая мощность) Обогрев: S[1.22];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S[22/29/35/40];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</si>
  <si>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N[3.5];  (Сплит система) Площадь помещения: N[35];  (Сплит система) Инвентор: S[да];  (Сплит система) Теплопроизводительность: N[4.5];  (Потребляемая мощность) Охлаждение: N[0.88];  (Потребляемая мощность) Обогрев: S[1.22];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S[22/29/35/40];  (Наружный блок) Марка компрессора: S[];  (Наружный блок) Размеры (Ш x Г x В): S[799 х 290 х 542];  (Наружный блок) Упаковка (Ш x Г x В): S[940 х 375 х 602];  (Наружный блок) Масса (нетто / брутто): S[31/35];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</si>
  <si>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xml:space="preserve"> (Сплит система) Холодопроизводительность: N[4.2]</t>
  </si>
  <si>
    <t>; Производитель: E[FUJITSU];  Тип: S[Напольно-потолочные];  (Сплит система) Холодопроизводительность: N[4.2];  (Сплит система) Площадь помещения: N[42];  (Сплит система) Инвентор: S[да];  (Сплит система) Теплопроизводительность: N[5.2];  (Потребляемая мощность) Охлаждение: N[1.06];  (Потребляемая мощность) Обогрев: S[1.41];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S[22/31/38/44];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</si>
  <si>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N[4.2];  (Сплит система) Площадь помещения: N[42];  (Сплит система) Инвентор: S[да];  (Сплит система) Теплопроизводительность: N[5.2];  (Потребляемая мощность) Охлаждение: N[1.06];  (Потребляемая мощность) Обогрев: S[1.41];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S[740 х 600 х 200];  (Внутренний блок) Упаковка (Ш x Г x В): S[820 х 310 х 700];  (Внутренний блок) Масса (нетто / брутто): S[14 / 18];  (Внутренний блок) Уровень шума мин. / макс.: S[22/31/38/44];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</si>
  <si>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N[1.66];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235 х 705];  (Внутренний блок) Упаковка (Ш x Г x В): S[1165 х 825 х 330];  (Внутренний блок) Масса (нетто / брутто): S[24 / 33];  (Внутренний блок) Уровень шума мин. / макс.: S[31/33/36/38];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</si>
  <si>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N[1.66];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S[1080 х 235 х 705];  (Внутренний блок) Упаковка (Ш x Г x В): S[1165 х 825 х 330];  (Внутренний блок) Масса (нетто / брутто): S[24 / 33];  (Внутренний блок) Уровень шума мин. / макс.: S[31/33/36/38];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</si>
  <si>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N[2.19];  (Потребляемая мощность) Обогрев: S[2];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S[1390 х 235 х 705];  (Внутренний блок) Упаковка (Ш x Г x В): S[1475 х 825 х 330];  (Внутренний блок) Масса (нетто / брутто): S[31 / 41];  (Внутренний блок) Уровень шума мин. / макс.: S[29/32/36/41];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</si>
  <si>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N[6.8];  (Сплит система) Площадь помещения: N[68];  (Сплит система) Инвентор: S[да];  (Сплит система) Теплопроизводительность: N[7.5];  (Потребляемая мощность) Охлаждение: N[2.19];  (Потребляемая мощность) Обогрев: S[2];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S[1390 х 235 х 705];  (Внутренний блок) Упаковка (Ш x Г x В): S[1475 х 825 х 330];  (Внутренний блок) Масса (нетто / брутто): S[31 / 41];  (Внутренний блок) Уровень шума мин. / макс.: S[29/32/36/41];  (Наружный блок) Марка компрессора: S[];  (Наружный блок) Размеры (Ш x Г x В): S[799 х 290 х 632];  (Наружный блок) Упаковка (Ш x Г x В): S[940 х 375 х 692];  (Наружный блок) Масса (нетто / брутто): S[38/42];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</si>
  <si>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N[2.78];  (Потребляемая мощность) Обогрев: S[2.86];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S[1390 х 235 х 705];  (Внутренний блок) Упаковка (Ш x Г x В): S[1475 х 825 х 330];  (Внутренний блок) Масса (нетто / брутто): S[31 / 41];  (Внутренний блок) Уровень шума мин. / макс.: S[32/35/40/45];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</si>
  <si>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N[8.5];  (Сплит система) Площадь помещения: N[85];  (Сплит система) Инвентор: S[да];  (Сплит система) Теплопроизводительность: N[10];  (Потребляемая мощность) Охлаждение: N[2.78];  (Потребляемая мощность) Обогрев: S[2.86];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S[1390 х 235 х 705];  (Внутренний блок) Упаковка (Ш x Г x В): S[1475 х 825 х 330];  (Внутренний блок) Масса (нетто / брутто): S[31 / 41];  (Внутренний блок) Уровень шума мин. / макс.: S[32/35/40/45];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</si>
  <si>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S[32/37/40/44];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</si>
  <si>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S[32/37/40/44];  (Наружный блок) Марка компрессора: S[];  (Наружный блок) Размеры (Ш x Г x В): S[940 х 320 х 788];  (Наружный блок) Упаковка (Ш x Г x В): S[1027 х 445 х 966];  (Наружный блок) Масса (нетто / брутто): S[52/61];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</si>
  <si>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S[32/37/40/44];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</si>
  <si>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N[9.5];  (Сплит система) Площадь помещения: N[95];  (Сплит система) Инвентор: S[да];  (Сплит система) Теплопроизводительность: N[10.8];  (Потребляемая мощность) Охлаждение: N[3.13];  (Потребляемая мощность) Обогрев: S[3.03];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S[32/37/40/44];  (Наружный блок) Марка компрессора: S[];  (Наружный блок) Размеры (Ш x Г x В): S[940 х 320 х 788];  (Наружный блок) Упаковка (Ш x Г x В): S[1027 х 445 х 966];  (Наружный блок) Масса (нетто / брутто): S[53/62];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</si>
  <si>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S[34/39/41/45];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</si>
  <si>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S[34/39/41/45];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S[61/71];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</si>
  <si>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S[34/39/41/45];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</si>
  <si>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S[3 / 400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S[34/39/41/45];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S[62/72];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</si>
  <si>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S[31/39/41/45];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S[63/72];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</si>
  <si>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Производитель: E[FUJITSU];  Тип: S[Напольно-потолочные];  (Сплит система) Холодопроизводительность: N[12.1];  (Сплит система) Площадь помещения: N[120];  (Сплит система) Инвентор: S[да];  (Сплит система) Теплопроизводительность: N[13.5];  (Потребляемая мощность) Охлаждение: N[4.84];  (Потребляемая мощность) Обогрев: S[4.18];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S[1700 х 235 х 705];  (Внутренний блок) Упаковка (Ш x Г x В): S[1785 х 825 х 330];  (Внутренний блок) Масса (нетто / брутто): S[38 / 48];  (Внутренний блок) Уровень шума мин. / макс.: S[31/39/41/45];  (Наружный блок) Марка компрессора: S[];  (Наружный блок) Размеры (Ш x Г x В): S[940 х 320 х 998];  (Наружный блок) Упаковка (Ш x Г x В): S[1027 х 445 х 1176];  (Наружный блок) Масса (нетто / брутто): S[63/72];  (Наружный блок) Максимальный уровень шума: N[];  (Соединительные трубы) Жидкостная линия :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</si>
  <si>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xml:space="preserve"> (Сплит система) Теплопроизводительность: N[4.4]</t>
  </si>
  <si>
    <t xml:space="preserve"> (Сплит система) Теплопроизводительность: N[6.8]</t>
  </si>
  <si>
    <t xml:space="preserve"> (Сплит система) Теплопроизводительность: N[9.6]</t>
  </si>
  <si>
    <t xml:space="preserve"> (Сплит система) Теплопроизводительность: N[10.6]</t>
  </si>
  <si>
    <t xml:space="preserve"> (Потребляемая мощность) Обогрев: S[0.731]</t>
  </si>
  <si>
    <t>; Производитель: E[LESSAR];  Тип: S[Сплит система];  (Сплит система) Холодопроизводительность: N[2.05];  (Сплит система) Площадь помещения: N[20];  (Сплит система) Инвентор: S[да];  (Сплит система) Теплопроизводительность: N[2.05];  (Потребляемая мощность) Охлаждение: N[0.822];  (Потребляемая мощность) Обогрев: S[0.731];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S[24/31/37.5];  (Наружный блок) Марка компрессора: S[GMCC];  (Наружный блок) Размеры (Ш x Г x В): S[681 х 285 х 434];  (Наружный блок) Упаковка (Ш x Г x В): S[795 х 345 х 505];  (Наружный блок) Масса (нетто / брутто): S[20.9/22.9];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</si>
  <si>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Производитель: E[LESSAR];  Тип: S[Сплит система];  (Сплит система) Холодопроизводительность: N[2.05];  (Сплит система) Площадь помещения: N[20];  (Сплит система) Инвентор: S[да];  (Сплит система) Теплопроизводительность: N[2.05];  (Потребляемая мощность) Охлаждение: N[0.822];  (Потребляемая мощность) Обогрев: S[0.731];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S[24/31/37.5];  (Наружный блок) Марка компрессора: S[GMCC];  (Наружный блок) Размеры (Ш x Г x В): S[681 х 285 х 434];  (Наружный блок) Упаковка (Ш x Г x В): S[795 х 345 х 505];  (Наружный блок) Масса (нетто / брутто): S[20.9/22.9];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</si>
  <si>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 xml:space="preserve"> (Потребляемая мощность) Обогрев: S[0.65]</t>
  </si>
  <si>
    <t>; Производитель: E[LESSAR];  Тип: S[Сплит система];  (Сплит система) Холодопроизводительность: N[2.05];  (Сплит система) Площадь помещения: N[20];  (Сплит система) Инвентор: S[да];  (Сплит система) Теплопроизводительность: N[2.34];  (Потребляемая мощность) Охлаждение: N[0.639];  (Потребляемая мощность) Обогрев: S[0.65];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S[7.5 / 9.5];  (Внутренний блок) Уровень шума мин. / макс.: S[24/30.5/36.5];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S[22.8/24.8];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+24]</t>
  </si>
  <si>
    <t>Производитель: E[LESSAR];  Тип: S[Сплит система];  (Сплит система) Холодопроизводительность: N[2.05];  (Сплит система) Площадь помещения: N[20];  (Сплит система) Инвентор: S[да];  (Сплит система) Теплопроизводительность: N[2.34];  (Потребляемая мощность) Охлаждение: N[0.639];  (Потребляемая мощность) Обогрев: S[0.65];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S[7.5 / 9.5];  (Внутренний блок) Уровень шума мин. / макс.: S[24/30.5/36.5];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S[22.8/24.8];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+24]</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</si>
  <si>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N[2.64];  (Потребляемая мощность) Охлаждение: N[0.822];  (Потребляемая мощность) Обогрев: S[0.731];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S[24/31/37.5];  (Наружный блок) Марка компрессора: S[GMCC];  (Наружный блок) Размеры (Ш x Г x В): S[681 х 285 х 434];  (Наружный блок) Упаковка (Ш x Г x В): S[795 х 345 х 505];  (Наружный блок) Масса (нетто / брутто): S[20.9/22.9];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</si>
  <si>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N[2.64];  (Потребляемая мощность) Охлаждение: N[0.822];  (Потребляемая мощность) Обогрев: S[0.731];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S[24/31/37.5];  (Наружный блок) Марка компрессора: S[GMCC];  (Наружный блок) Размеры (Ш x Г x В): S[681 х 285 х 434];  (Наружный блок) Упаковка (Ш x Г x В): S[795 х 345 х 505];  (Наружный блок) Масса (нетто / брутто): S[20.9/22.9];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</si>
  <si>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 xml:space="preserve"> (Потребляемая мощность) Обогрев: S[0.812]</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</si>
  <si>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N[0.822];  (Потребляемая мощность) Обогрев: S[0.812];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S[7.5 / 9.5];  (Внутренний блок) Уровень шума мин. / макс.: S[24/30.5/36.5];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S[22.8/24.8];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+24]</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</si>
  <si>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N[0.822];  (Потребляемая мощность) Обогрев: S[0.812];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S[7.5 / 9.5];  (Внутренний блок) Уровень шума мин. / макс.: S[24/30.5/36.5];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S[22.8/24.8];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+24]</t>
  </si>
  <si>
    <t xml:space="preserve"> (Сплит система) Холодопроизводительность: N[3.22]</t>
  </si>
  <si>
    <t xml:space="preserve"> (Потребляемая мощность) Охлаждение: N[1.004]</t>
  </si>
  <si>
    <t xml:space="preserve"> (Потребляемая мощность) Обогрев: S[0.974]</t>
  </si>
  <si>
    <t>; Производитель: E[LESSAR];  Тип: S[Сплит система];  (Сплит система) Холодопроизводительность: N[3.22];  (Сплит система) Площадь помещения: N[32];  (Сплит система) Инвентор: S[да];  (Сплит система) Теплопроизводительность: N[3.52];  (Потребляемая мощность) Охлаждение: N[1.004];  (Потребляемая мощность) Обогрев: S[0.974];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360];  (Внутренний блок) Масса (нетто / брутто): S[7.7 / 9.8];  (Внутренний блок) Уровень шума мин. / макс.: S[26/34/39.5];  (Наружный блок) Марка компрессора: S[GMCC];  (Наружный блок) Размеры (Ш x Г x В): S[700 х 275 х 550];  (Наружный блок) Упаковка (Ш x Г x В): S[815 х 325 х 615];  (Наружный блок) Масса (нетто / брутто): S[22.7/25.1];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</si>
  <si>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Производитель: E[LESSAR];  Тип: S[Сплит система];  (Сплит система) Холодопроизводительность: N[3.22];  (Сплит система) Площадь помещения: N[32];  (Сплит система) Инвентор: S[да];  (Сплит система) Теплопроизводительность: N[3.52];  (Потребляемая мощность) Охлаждение: N[1.004];  (Потребляемая мощность) Обогрев: S[0.974];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360];  (Внутренний блок) Масса (нетто / брутто): S[7.7 / 9.8];  (Внутренний блок) Уровень шума мин. / макс.: S[26/34/39.5];  (Наружный блок) Марка компрессора: S[GMCC];  (Наружный блок) Размеры (Ш x Г x В): S[700 х 275 х 550];  (Наружный блок) Упаковка (Ш x Г x В): S[815 х 325 х 615];  (Наружный блок) Масса (нетто / брутто): S[22.7/25.1];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</si>
  <si>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 xml:space="preserve"> (Сплит система) Холодопроизводительность: N[3.36]</t>
  </si>
  <si>
    <t xml:space="preserve"> (Сплит система) Теплопроизводительность: N[3.69]</t>
  </si>
  <si>
    <t xml:space="preserve"> (Потребляемая мощность) Охлаждение: N[1.045]</t>
  </si>
  <si>
    <t xml:space="preserve"> (Потребляемая мощность) Обогрев: S[1.023]</t>
  </si>
  <si>
    <t>; Производитель: E[LESSAR];  Тип: S[Сплит система];  (Сплит система) Холодопроизводительность: N[3.36];  (Сплит система) Площадь помещения: N[33];  (Сплит система) Инвентор: S[да];  (Сплит система) Теплопроизводительность: N[3.69];  (Потребляемая мощность) Охлаждение: N[1.045];  (Потребляемая мощность) Обогрев: S[1.023];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S[26/35.5/39.5];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S[23.5/25.3];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</si>
  <si>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Производитель: E[LESSAR];  Тип: S[Сплит система];  (Сплит система) Холодопроизводительность: N[3.36];  (Сплит система) Площадь помещения: N[33];  (Сплит система) Инвентор: S[да];  (Сплит система) Теплопроизводительность: N[3.69];  (Потребляемая мощность) Охлаждение: N[1.045];  (Потребляемая мощность) Обогрев: S[1.023];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S[715 х 285 х 194];  (Внутренний блок) Упаковка (Ш x Г x В): S[780 х 270 х 365];  (Внутренний блок) Масса (нетто / брутто): S[7.7 / 9.8];  (Внутренний блок) Уровень шума мин. / макс.: S[26/35.5/39.5];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S[23.5/25.3];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  (Допустимая темп. наружного воздуха) Обогрев: S[от -15 до +30]</t>
  </si>
  <si>
    <t xml:space="preserve"> (Потребляемая мощность) Охлаждение: N[0.613]</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</si>
  <si>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N[0.613];  (Потребляемая мощность) Обогрев: S[0.637];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375];  (Внутренний блок) Масса (нетто / брутто): S[8.2 / 10.7];  (Внутренний блок) Уровень шума мин. / макс.: S[21/22/32/38];  (Наружный блок) Марка компрессора: S[GMCC];  (Наружный блок) Размеры (Ш x Г x В): S[800 х 333 х 554];  (Наружный блок) Упаковка (Ш x Г x В): S[920 х 390 х 625];  (Наружный блок) Масса (нетто / брутто): S[29.1/31.9];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</si>
  <si>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N[0.613];  (Потребляемая мощность) Обогрев: S[0.637];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375];  (Внутренний блок) Масса (нетто / брутто): S[8.2 / 10.7];  (Внутренний блок) Уровень шума мин. / макс.: S[21/22/32/38];  (Наружный блок) Марка компрессора: S[GMCC];  (Наружный блок) Размеры (Ш x Г x В): S[800 х 333 х 554];  (Наружный блок) Упаковка (Ш x Г x В): S[920 х 390 х 625];  (Наружный блок) Масса (нетто / брутто): S[29.1/31.9];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</si>
  <si>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N[1.088]</t>
  </si>
  <si>
    <t xml:space="preserve"> (Потребляемая мощность) Обогрев: S[1.025]</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</si>
  <si>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N[1.088];  (Потребляемая мощность) Обогрев: S[1.025];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375];  (Внутренний блок) Масса (нетто / брутто): S[8.2 / 10.7];  (Внутренний блок) Уровень шума мин. / макс.: S[21/22/32/38];  (Наружный блок) Марка компрессора: S[GMCC];  (Наружный блок) Размеры (Ш x Г x В): S[800 х 333 х 554];  (Наружный блок) Упаковка (Ш x Г x В): S[920 х 390 х 625];  (Наружный блок) Масса (нетто / брутто): S[29.1/31.9];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</si>
  <si>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N[1.088];  (Потребляемая мощность) Обогрев: S[1.025];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S[802 х 297 х 189];  (Внутренний блок) Упаковка (Ш x Г x В): S[875 х 285 х 375];  (Внутренний блок) Масса (нетто / брутто): S[8.2 / 10.7];  (Внутренний блок) Уровень шума мин. / макс.: S[21/22/32/38];  (Наружный блок) Марка компрессора: S[GMCC];  (Наружный блок) Размеры (Ш x Г x В): S[800 х 333 х 554];  (Наружный блок) Упаковка (Ш x Г x В): S[920 х 390 х 625];  (Наружный блок) Масса (нетто / брутто): S[29.1/31.9];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</si>
  <si>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(Сплит система) Холодопроизводительность: N[2.65]</t>
  </si>
  <si>
    <t xml:space="preserve"> (Сплит система) Теплопроизводительность: N[2.85]</t>
  </si>
  <si>
    <t xml:space="preserve"> (Потребляемая мощность) Охлаждение: N[0.78]</t>
  </si>
  <si>
    <t xml:space="preserve"> (Потребляемая мощность) Обогрев: S[0.781]</t>
  </si>
  <si>
    <t>; Производитель: E[LESSAR];  Тип: S[Сплит система];  (Сплит система) Холодопроизводительность: N[2.65];  (Сплит система) Площадь помещения: N[26];  (Сплит система) Инвентор: S[да];  (Сплит система) Теплопроизводительность: N[2.85];  (Потребляемая мощность) Охлаждение: N[0.78];  (Потребляемая мощность) Обогрев: S[0.781];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S[713 х 270 х 195];  (Внутренний блок) Упаковка (Ш x Г x В): S[760 х 259 х 334];  (Внутренний блок) Масса (нетто / брутто): S[8.1 / 9.6];  (Внутренний блок) Уровень шума мин. / макс.: S[27/33/38/40];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S[21/23];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</si>
  <si>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E[LESSAR];  Тип: S[Сплит система];  (Сплит система) Холодопроизводительность: N[2.65];  (Сплит система) Площадь помещения: N[26];  (Сплит система) Инвентор: S[да];  (Сплит система) Теплопроизводительность: N[2.85];  (Потребляемая мощность) Охлаждение: N[0.78];  (Потребляемая мощность) Обогрев: S[0.781];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S[713 х 270 х 195];  (Внутренний блок) Упаковка (Ш x Г x В): S[760 х 259 х 334];  (Внутренний блок) Масса (нетто / брутто): S[8.1 / 9.6];  (Внутренний блок) Уровень шума мин. / макс.: S[27/33/38/40];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S[21/23];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</si>
  <si>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N[1.083]</t>
  </si>
  <si>
    <t xml:space="preserve"> (Потребляемая мощность) Обогрев: S[0.918]</t>
  </si>
  <si>
    <t>; Производитель: E[LESSAR];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N[1.083];  (Потребляемая мощность) Обогрев: S[0.918];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275 х 200];  (Внутренний блок) Упаковка (Ш x Г x В): S[850 х 262 х 339];  (Внутренний блок) Масса (нетто / брутто): S[9 / 11];  (Внутренний блок) Уровень шума мин. / макс.: S[26/33/37/41];  (Наружный блок) Марка компрессора: S[Gree];  (Наружный блок) Размеры (Ш x Г x В): S[732 х 330 х 550];  (Наружный блок) Упаковка (Ш x Г x В): S[791 х 373 х 590];  (Наружный блок) Масса (нетто / брутто): S[25.5/28];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</si>
  <si>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E[LESSAR];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N[1.083];  (Потребляемая мощность) Обогрев: S[0.918];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S[790 х 275 х 200];  (Внутренний блок) Упаковка (Ш x Г x В): S[850 х 262 х 339];  (Внутренний блок) Масса (нетто / брутто): S[9 / 11];  (Внутренний блок) Уровень шума мин. / макс.: S[26/33/37/41];  (Наружный блок) Марка компрессора: S[Gree];  (Наружный блок) Размеры (Ш x Г x В): S[732 х 330 х 550];  (Наружный блок) Упаковка (Ш x Г x В): S[791 х 373 х 590];  (Наружный блок) Масса (нетто / брутто): S[25.5/28];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</si>
  <si>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N[1.355]</t>
  </si>
  <si>
    <t>; Производитель: E[LESSAR];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N[1.355];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S[970 х 300 х 224];  (Внутренний блок) Упаковка (Ш x Г x В): S[1020 х 294 х 370];  (Внутренний блок) Масса (нетто / брутто): S[13.5 / 16];  (Внутренний блок) Уровень шума мин. / макс.: S[34/38/42/44];  (Наружный блок) Марка компрессора: S[Gree];  (Наружный блок) Размеры (Ш x Г x В): S[732 х 330 х 550];  (Наружный блок) Упаковка (Ш x Г x В): S[791 х 373 х 590];  (Наружный блок) Масса (нетто / брутто): S[26.5/29];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</si>
  <si>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E[LESSAR];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N[1.355];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S[970 х 300 х 224];  (Внутренний блок) Упаковка (Ш x Г x В): S[1020 х 294 х 370];  (Внутренний блок) Масса (нетто / брутто): S[13.5 / 16];  (Внутренний блок) Уровень шума мин. / макс.: S[34/38/42/44];  (Наружный блок) Марка компрессора: S[Gree];  (Наружный блок) Размеры (Ш x Г x В): S[732 х 330 х 550];  (Наружный блок) Упаковка (Ш x Г x В): S[791 х 373 х 590];  (Наружный блок) Масса (нетто / брутто): S[26.5/29];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</si>
  <si>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Обогрев: S[1.698]</t>
  </si>
  <si>
    <t>; Производитель: E[LESSAR];  Тип: S[Сплит система];  (Сплит система) Холодопроизводительность: N[6.16];  (Сплит система) Площадь помещения: N[61];  (Сплит система) Инвентор: S[да];  (Сплит система) Теплопроизводительность: N[6.2];  (Потребляемая мощность) Охлаждение: N[1.917];  (Потребляемая мощность) Обогрев: S[1.698];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S[970 х 300 х 224];  (Внутренний блок) Упаковка (Ш x Г x В): S[1020 х 294 х 370];  (Внутренний блок) Масса (нетто / брутто): S[13.5 / 16];  (Внутренний блок) Уровень шума мин. / макс.: S[34/38/43/48];  (Наружный блок) Марка компрессора: S[Gree];  (Наружный блок) Размеры (Ш x Г x В): S[873 х 376 х 555];  (Наружный блок) Упаковка (Ш x Г x В): S[948 х 428 х 591];  (Наружный блок) Масса (нетто / брутто): S[35/38];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</si>
  <si>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E[LESSAR];  Тип: S[Сплит система];  (Сплит система) Холодопроизводительность: N[6.16];  (Сплит система) Площадь помещения: N[61];  (Сплит система) Инвентор: S[да];  (Сплит система) Теплопроизводительность: N[6.2];  (Потребляемая мощность) Охлаждение: N[1.917];  (Потребляемая мощность) Обогрев: S[1.698];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S[970 х 300 х 224];  (Внутренний блок) Упаковка (Ш x Г x В): S[1020 х 294 х 370];  (Внутренний блок) Масса (нетто / брутто): S[13.5 / 16];  (Внутренний блок) Уровень шума мин. / макс.: S[34/38/43/48];  (Наружный блок) Марка компрессора: S[Gree];  (Наружный блок) Размеры (Ш x Г x В): S[873 х 376 х 555];  (Наружный блок) Упаковка (Ш x Г x В): S[948 х 428 х 591];  (Наружный блок) Масса (нетто / брутто): S[35/38];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</si>
  <si>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N[0.799]</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</si>
  <si>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N[0.799];  (Потребляемая мощность) Обогрев: S[0.812];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S[726 х 291 х 210];  (Внутренний блок) Упаковка (Ш x Г x В): S[790 х 270 х 375];  (Внутренний блок) Масса (нетто / брутто): S[7.8 / 10.1];  (Внутренний блок) Уровень шума мин. / макс.: S[37.0/29.0/25.5];  (Наружный блок) Марка компрессора: S[GMCC];  (Наружный блок) Размеры (Ш x Г x В): S[720 х 462 х 495];  (Наружный блок) Упаковка (Ш x Г x В): S[835 х 300 х 540];  (Наружный блок) Масса (нетто / брутто): S[23.5/25.4];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</si>
  <si>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N[0.799];  (Потребляемая мощность) Обогрев: S[0.812];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S[726 х 291 х 210];  (Внутренний блок) Упаковка (Ш x Г x В): S[790 х 270 х 375];  (Внутренний блок) Масса (нетто / брутто): S[7.8 / 10.1];  (Внутренний блок) Уровень шума мин. / макс.: S[37.0/29.0/25.5];  (Наружный блок) Марка компрессора: S[GMCC];  (Наружный блок) Размеры (Ш x Г x В): S[720 х 462 х 495];  (Наружный блок) Упаковка (Ш x Г x В): S[835 х 300 х 540];  (Наружный блок) Масса (нетто / брутто): S[23.5/25.4];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</si>
  <si>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N[1.165]</t>
  </si>
  <si>
    <t xml:space="preserve"> (Потребляемая мощность) Обогрев: S[1.018]</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</si>
  <si>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  (Потребляемая мощность) Охлаждение: N[1.165];  (Потребляемая мощность) Обогрев: S[1.018];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S[835 х 295 х 208];  (Внутренний блок) Упаковка (Ш x Г x В): S[905 х 355 х 290];  (Внутренний блок) Масса (нетто / брутто): S[8.4 / 11];  (Внутренний блок) Уровень шума мин. / макс.: S[37.5/31.5/25];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S[23.7/25.5];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</si>
  <si>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  (Потребляемая мощность) Охлаждение: N[1.165];  (Потребляемая мощность) Обогрев: S[1.018];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S[835 х 295 х 208];  (Внутренний блок) Упаковка (Ш x Г x В): S[905 х 355 х 290];  (Внутренний блок) Масса (нетто / брутто): S[8.4 / 11];  (Внутренний блок) Уровень шума мин. / макс.: S[37.5/31.5/25];  (Наружный блок) Марка компрессора: S[GMCC];  (Наружный блок) Размеры (Ш x Г x В): S[720 х 270 х 495];  (Наружный блок) Упаковка (Ш x Г x В): S[835 х 300 х 540];  (Наружный блок) Масса (нетто / брутто): S[23.7/25.5];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</si>
  <si>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Обогрев: S[1.543]</t>
  </si>
  <si>
    <t>; Производитель: E[LESSAR];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N[1.55];  (Потребляемая мощность) Обогрев: S[1.543];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S[969 х 320 х 241];  (Внутренний блок) Упаковка (Ш x Г x В): S[1045 х 315 х 405];  (Внутренний блок) Масса (нетто / брутто): S[11.2 / 14.6];  (Внутренний блок) Уровень шума мин. / макс.: S[41/37/31];  (Наружный блок) Марка компрессора: S[GMCC];  (Наружный блок) Размеры (Ш x Г x В): S[874 х 330 х 554];  (Наружный блок) Упаковка (Ш x Г x В): S[915 х 370 х 615];  (Наружный блок) Масса (нетто / брутто): S[33.5/36.1];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</si>
  <si>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N[1.55];  (Потребляемая мощность) Обогрев: S[1.543];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S[969 х 320 х 241];  (Внутренний блок) Упаковка (Ш x Г x В): S[1045 х 315 х 405];  (Внутренний блок) Масса (нетто / брутто): S[11.2 / 14.6];  (Внутренний блок) Уровень шума мин. / макс.: S[41/37/31];  (Наружный блок) Марка компрессора: S[GMCC];  (Наружный блок) Размеры (Ш x Г x В): S[874 х 330 х 554];  (Наружный блок) Упаковка (Ш x Г x В): S[915 х 370 х 615];  (Наружный блок) Масса (нетто / брутто): S[33.5/36.1];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</si>
  <si>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S[Сплит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N[7.33];  (Потребляемая мощность) Охлаждение: N[2.191];  (Потребляемая мощность) Обогрев: S[2.03];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S[1083 х 336 х 244];  (Внутренний блок) Упаковка (Ш x Г x В): S[1155 х 415 х 315];  (Внутренний блок) Масса (нетто / брутто): S[13.6 / 17.3];  (Внутренний блок) Уровень шума мин. / макс.: S[46/37/34.5];  (Наружный блок) Марка компрессора: S[GMCC];  (Наружный блок) Размеры (Ш x Г x В): S[955 х 342 х 673];  (Наружный блок) Упаковка (Ш x Г x В): S[995 х 398 х 740];  (Наружный блок) Масса (нетто / брутто): S[43.9/46.9];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</si>
  <si>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N[7.33];  (Потребляемая мощность) Охлаждение: N[2.191];  (Потребляемая мощность) Обогрев: S[2.03];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S[1083 х 336 х 244];  (Внутренний блок) Упаковка (Ш x Г x В): S[1155 х 415 х 315];  (Внутренний блок) Масса (нетто / брутто): S[13.6 / 17.3];  (Внутренний блок) Уровень шума мин. / макс.: S[46/37/34.5];  (Наружный блок) Марка компрессора: S[GMCC];  (Наружный блок) Размеры (Ш x Г x В): S[955 х 342 х 673];  (Наружный блок) Упаковка (Ш x Г x В): S[995 х 398 х 740];  (Наружный блок) Масса (нетто / брутто): S[43.9/46.9];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</si>
  <si>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N[0.737]</t>
  </si>
  <si>
    <t xml:space="preserve"> (Потребляемая мощность) Обогрев: S[0.811]</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</si>
  <si>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N[0.737];  (Потребляемая мощность) Обогрев: S[0.811];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S[717 х 302 х 193];  (Внутренний блок) Упаковка (Ш x Г x В): S[785 х 375 х 290];  (Внутренний блок) Масса (нетто / брутто): S[7.8 / 10.3];  (Внутренний блок) Уровень шума мин. / макс.: S[29/35/41];  (Наружный блок) Марка компрессора: S[GMCC];  (Наружный блок) Размеры (Ш x Г x В): S[770 х 300 х 555];  (Наружный блок) Упаковка (Ш x Г x В): S[900 х 345 х 595];  (Наружный блок) Масса (нетто / брутто): S[26.8/29.1];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</si>
  <si>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N[0.737];  (Потребляемая мощность) Обогрев: S[0.811];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S[717 х 302 х 193];  (Внутренний блок) Упаковка (Ш x Г x В): S[785 х 375 х 290];  (Внутренний блок) Масса (нетто / брутто): S[7.8 / 10.3];  (Внутренний блок) Уровень шума мин. / макс.: S[29/35/41];  (Наружный блок) Марка компрессора: S[GMCC];  (Наружный блок) Размеры (Ш x Г x В): S[770 х 300 х 555];  (Наружный блок) Упаковка (Ш x Г x В): S[900 х 345 х 595];  (Наружный блок) Масса (нетто / брутто): S[26.8/29.1];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</si>
  <si>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N[1.252]</t>
  </si>
  <si>
    <t xml:space="preserve"> (Потребляемая мощность) Обогрев: S[1.169]</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</si>
  <si>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N[4.1];  (Потребляемая мощность) Охлаждение: N[1.252];  (Потребляемая мощность) Обогрев: S[1.169];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х 302 х 193];  (Внутренний блок) Упаковка (Ш x Г x В): S[875 х 375 х 290];  (Внутренний блок) Масса (нетто / брутто): S[8.2 / 10.9];  (Внутренний блок) Уровень шума мин. / макс.: S[28/36/42];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</si>
  <si>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N[4.1];  (Потребляемая мощность) Охлаждение: N[1.252];  (Потребляемая мощность) Обогрев: S[1.169];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х 302 х 193];  (Внутренний блок) Упаковка (Ш x Г x В): S[875 х 375 х 290];  (Внутренний блок) Масса (нетто / брутто): S[8.2 / 10.9];  (Внутренний блок) Уровень шума мин. / макс.: S[28/36/42];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</si>
  <si>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N[1.503]</t>
  </si>
  <si>
    <t xml:space="preserve"> (Потребляемая мощность) Обогрев: S[1.392]</t>
  </si>
  <si>
    <t>; Производитель: E[LESSAR];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N[1.503];  (Потребляемая мощность) Обогрев: S[1.392];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S[964 х 325 х 222];  (Внутренний блок) Упаковка (Ш x Г x В): S[1045 х 405 х 310];  (Внутренний блок) Масса (нетто / брутто): S[10.8 / 14.3];  (Внутренний блок) Уровень шума мин. / макс.: S[29/37/45];  (Наружный блок) Марка компрессора: S[GMCC];  (Наружный блок) Размеры (Ш x Г x В): S[800 х 333 х 554];  (Наружный блок) Упаковка (Ш x Г x В): S[920 х 390 х 615];  (Наружный блок) Масса (нетто / брутто): S[37/39.9];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</si>
  <si>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N[1.503];  (Потребляемая мощность) Обогрев: S[1.392];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S[964 х 325 х 222];  (Внутренний блок) Упаковка (Ш x Г x В): S[1045 х 405 х 310];  (Внутренний блок) Масса (нетто / брутто): S[10.8 / 14.3];  (Внутренний блок) Уровень шума мин. / макс.: S[29/37/45];  (Наружный блок) Марка компрессора: S[GMCC];  (Наружный блок) Размеры (Ш x Г x В): S[800 х 333 х 554];  (Наружный блок) Упаковка (Ш x Г x В): S[920 х 390 х 615];  (Наружный блок) Масса (нетто / брутто): S[37/39.9];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</si>
  <si>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N[2.283]</t>
  </si>
  <si>
    <t>; Производитель: E[LESSAR];  Тип: S[Сплит система];  (Сплит система) Холодопроизводительность: N[7.33];  (Сплит система) Площадь помещения: N[73];  (Сплит система) Инвентор: S[да];  (Сплит система) Теплопроизводительность: N[7.62];  (Потребляемая мощность) Охлаждение: N[2.283];  (Потребляемая мощность) Обогрев: S[2.11];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S[1106 х 342 х 232];  (Внутренний блок) Упаковка (Ш x Г x В): S[1195 х 420 х 320];  (Внутренний блок) Масса (нетто / брутто): S[14.3 / 18.2];  (Внутренний блок) Уровень шума мин. / макс.: S[36/41/46];  (Наружный блок) Марка компрессора: S[GMCC];  (Наружный блок) Размеры (Ш x Г x В): S[845 х 363 х 702];  (Наружный блок) Упаковка (Ш x Г x В): S[965 х 395 х 775];  (Наружный блок) Масса (нетто / брутто): S[51.5/54.6];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</si>
  <si>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N[7.33];  (Сплит система) Площадь помещения: N[73];  (Сплит система) Инвентор: S[да];  (Сплит система) Теплопроизводительность: N[7.62];  (Потребляемая мощность) Охлаждение: N[2.283];  (Потребляемая мощность) Обогрев: S[2.11];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S[1106 х 342 х 232];  (Внутренний блок) Упаковка (Ш x Г x В): S[1195 х 420 х 320];  (Внутренний блок) Масса (нетто / брутто): S[14.3 / 18.2];  (Внутренний блок) Уровень шума мин. / макс.: S[36/41/46];  (Наружный блок) Марка компрессора: S[GMCC];  (Наружный блок) Размеры (Ш x Г x В): S[845 х 363 х 702];  (Наружный блок) Упаковка (Ш x Г x В): S[965 х 395 х 775];  (Наружный блок) Масса (нетто / брутто): S[51.5/54.6];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</si>
  <si>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N[0.712]</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</si>
  <si>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N[0.712];  (Потребляемая мощность) Обогрев: S[0.771];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13.9];  (Внутренний блок) Уровень шума мин. / макс.: S[21/26/32/37.5];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</si>
  <si>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N[0.712];  (Потребляемая мощность) Обогрев: S[0.771];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13.9];  (Внутренний блок) Уровень шума мин. / макс.: S[21/26/32/37.5];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</si>
  <si>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N[0.628]</t>
  </si>
  <si>
    <t xml:space="preserve"> (Потребляемая мощность) Обогрев: S[0.666]</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</si>
  <si>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N[0.628];  (Потребляемая мощность) Обогрев: S[0.666];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14.2];  (Внутренний блок) Уровень шума мин. / макс.: S[24/32/37.5];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S[26.7/29.1];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</si>
  <si>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N[0.628];  (Потребляемая мощность) Обогрев: S[0.666];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14.2];  (Внутренний блок) Уровень шума мин. / макс.: S[24/32/37.5];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S[26.7/29.1];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</si>
  <si>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N[1.208]</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</si>
  <si>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N[1.208];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265 х 385];  (Внутренний блок) Масса (нетто / брутто): S[10.5 / 13.9];  (Внутренний блок) Уровень шума мин. / макс.: S[21/26/32/37.5];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</si>
  <si>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N[1.208];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265 х 385];  (Внутренний блок) Масса (нетто / брутто): S[10.5 / 13.9];  (Внутренний блок) Уровень шума мин. / макс.: S[21/26/32/37.5];  (Наружный блок) Марка компрессора: S[GMCC];  (Наружный блок) Размеры (Ш x Г x В): S[770 х 300 х 555];  (Наружный блок) Упаковка (Ш x Г x В): S[900 х 345 х 595];  (Наружный блок) Масса (нетто / брутто): S[27/29.4];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</si>
  <si>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N[1.034]</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</si>
  <si>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N[1.034];  (Потребляемая мощность) Обогрев: S[1.03];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14.2];  (Внутренний блок) Уровень шума мин. / макс.: S[24/32/37.5];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S[26.7/29.1];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</si>
  <si>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N[1.034];  (Потребляемая мощность) Обогрев: S[1.03];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S[897 х 312 х 182];  (Внутренний блок) Упаковка (Ш x Г x В): S[985 х 385 х 265];  (Внутренний блок) Масса (нетто / брутто): S[10.5 / 14.2];  (Внутренний блок) Уровень шума мин. / макс.: S[24/32/37.5];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S[26.7/29.1];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</si>
  <si>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xml:space="preserve"> (Потребляемая мощность) Охлаждение: N[0.6]</t>
  </si>
  <si>
    <t xml:space="preserve"> (Потребляемая мощность) Обогрев: S[0.623]</t>
  </si>
  <si>
    <t>; 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  (Потребляемая мощность) Обогрев: S[0.623];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S[920 х 211 х 321];  (Внутренний блок) Упаковка (Ш x Г x В): S[1005 х 385 х 295];  (Внутренний блок) Масса (нетто / брутто): S[11.3 / 14.16];  (Внутренний блок) Уровень шума мин. / макс.: S[21.5/32.5/40];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S[26.4/28.8];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</si>
  <si>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N[2.93];  (Потребляемая мощность) Охлаждение: N[0.6];  (Потребляемая мощность) Обогрев: S[0.623];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S[920 х 211 х 321];  (Внутренний блок) Упаковка (Ш x Г x В): S[1005 х 385 х 295];  (Внутренний блок) Масса (нетто / брутто): S[11.3 / 14.16];  (Внутренний блок) Уровень шума мин. / макс.: S[21.5/32.5/40];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S[26.4/28.8];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</si>
  <si>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N[0.9]</t>
  </si>
  <si>
    <t>; 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N[0.9];  (Потребляемая мощность) Обогрев: S[0.95];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S[920 х 211 х 321];  (Внутренний блок) Упаковка (Ш x Г x В): S[1005 х 385 х 295];  (Внутренний блок) Масса (нетто / брутто): S[11.3 / 14.16];  (Внутренний блок) Уровень шума мин. / макс.: S[21.5/32.5/40];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S[26.4/28.8];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</si>
  <si>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N[0.9];  (Потребляемая мощность) Обогрев: S[0.95];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S[920 х 211 х 321];  (Внутренний блок) Упаковка (Ш x Г x В): S[1005 х 385 х 295];  (Внутренний блок) Масса (нетто / брутто): S[11.3 / 14.16];  (Внутренний блок) Уровень шума мин. / макс.: S[21.5/32.5/40];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S[26.4/28.8];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</si>
  <si>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N[2.417]</t>
  </si>
  <si>
    <t xml:space="preserve"> (Потребляемая мощность) Обогрев: S[2.234]</t>
  </si>
  <si>
    <t>; Производитель: E[LESSAR];  Тип: S[Кассетные];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N[2.417];  (Потребляемая мощность) Обогрев: S[2.234];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S[38/45/51];  (Наружный блок) Марка компрессора: S[GMCC];  (Наружный блок) Размеры (Ш x Г x В): S[845 х 363 х 702];  (Наружный блок) Упаковка (Ш x Г x В): S[965 х 395 х 775];  (Наружный блок) Масса (нетто / брутто): S[46/49.1];  (Наружный блок) Максимальный уровень шума: N[];  (Соединительные трубы) Жидкостная линия : N[9.52];  (Соединительные трубы) Газовая линия : N[16];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</si>
  <si>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N[2.417];  (Потребляемая мощность) Обогрев: S[2.234];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S[38/45/51];  (Наружный блок) Марка компрессора: S[GMCC];  (Наружный блок) Размеры (Ш x Г x В): S[845 х 363 х 702];  (Наружный блок) Упаковка (Ш x Г x В): S[965 х 395 х 775];  (Наружный блок) Масса (нетто / брутто): S[46/49.1];  (Наружный блок) Максимальный уровень шума: N[];  (Соединительные трубы) Жидкостная линия : N[9.52];  (Соединительные трубы) Газовая линия : N[16];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</si>
  <si>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N[7.47]</t>
  </si>
  <si>
    <t xml:space="preserve"> (Потребляемая мощность) Охлаждение: N[2.508]</t>
  </si>
  <si>
    <t xml:space="preserve"> (Потребляемая мощность) Обогрев: S[1.978]</t>
  </si>
  <si>
    <t>; Производитель: E[LESSAR];  Тип: S[Кассетные];  (Сплит система) Холодопроизводительность: N[7.47];  (Сплит система) Площадь помещения: N[74];  (Сплит система) Инвентор: S[да];  (Сплит система) Теплопроизводительность: N[7.91];  (Потребляемая мощность) Охлаждение: N[2.508];  (Потребляемая мощность) Обогрев: S[1.978];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S[40/43/45];  (Наружный блок) Марка компрессора: S[GMCC];  (Наружный блок) Размеры (Ш x Г x В): S[890 х 342 х 673];  (Наружный блок) Упаковка (Ш x Г x В): S[398 х 995 х 740];  (Наружный блок) Масса (нетто / брутто): S[44/47.3];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</si>
  <si>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N[7.47];  (Сплит система) Площадь помещения: N[74];  (Сплит система) Инвентор: S[да];  (Сплит система) Теплопроизводительность: N[7.91];  (Потребляемая мощность) Охлаждение: N[2.508];  (Потребляемая мощность) Обогрев: S[1.978];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S[40/43/45];  (Наружный блок) Марка компрессора: S[GMCC];  (Наружный блок) Размеры (Ш x Г x В): S[890 х 342 х 673];  (Наружный блок) Упаковка (Ш x Г x В): S[398 х 995 х 740];  (Наружный блок) Масса (нетто / брутто): S[44/47.3];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</si>
  <si>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N[11.14]</t>
  </si>
  <si>
    <t xml:space="preserve"> (Потребляемая мощность) Охлаждение: N[3.75]</t>
  </si>
  <si>
    <t>; Производитель: E[LESSAR];  Тип: S[Кассетные];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N[3.75];  (Потребляемая мощность) Обогрев: S[3.08];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S[45/48/52];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</si>
  <si>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N[3.75];  (Потребляемая мощность) Обогрев: S[3.08];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S[45/48/52];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</si>
  <si>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N[3.9]</t>
  </si>
  <si>
    <t xml:space="preserve"> (Потребляемая мощность) Обогрев: S[3.15]</t>
  </si>
  <si>
    <t>; Производитель: E[LESSAR];  Тип: S[Кассетные];  (Сплит система) Холодопроизводительность: N[10.55];  (Сплит система) Площадь помещения: N[100];  (Сплит система) Инвентор: S[нет];  (Сплит система) Теплопроизводительность: N[11.14];  (Потребляемая мощность) Охлаждение: N[3.9];  (Потребляемая мощность) Обогрев: S[3.15];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S[44.5/47.0/49.5];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</si>
  <si>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N[10.55];  (Сплит система) Площадь помещения: N[100];  (Сплит система) Инвентор: S[нет];  (Сплит система) Теплопроизводительность: N[11.14];  (Потребляемая мощность) Охлаждение: N[3.9];  (Потребляемая мощность) Обогрев: S[3.15];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S[44.5/47.0/49.5];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</si>
  <si>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N[11.14]</t>
  </si>
  <si>
    <t xml:space="preserve"> (Сплит система) Теплопроизводительность: N[11.87]</t>
  </si>
  <si>
    <t xml:space="preserve"> (Потребляемая мощность) Охлаждение: N[3.84]</t>
  </si>
  <si>
    <t xml:space="preserve"> (Потребляемая мощность) Обогрев: S[3.288]</t>
  </si>
  <si>
    <t>; Производитель: E[LESSAR];  Тип: S[Кассетные];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S[3.288];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S[44.5/47/49.5];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</si>
  <si>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S[3.288];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S[44.5/47/49.5];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</si>
  <si>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N[13.39]</t>
  </si>
  <si>
    <t xml:space="preserve"> (Потребляемая мощность) Охлаждение: N[4.59]</t>
  </si>
  <si>
    <t xml:space="preserve"> (Потребляемая мощность) Обогрев: S[4.17]</t>
  </si>
  <si>
    <t>; Производитель: E[LESSAR];  Тип: S[Кассетные];  (Сплит система) Холодопроизводительность: N[13.39];  (Сплит система) Площадь помещения: N[130];  (Сплит система) Инвентор: S[да];  (Сплит система) Теплопроизводительность: N[14.65];  (Потребляемая мощность) Охлаждение: N[4.59];  (Потребляемая мощность) Обогрев: S[4.17];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S[46/49/52];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</si>
  <si>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N[13.39];  (Сплит система) Площадь помещения: N[130];  (Сплит система) Инвентор: S[да];  (Сплит система) Теплопроизводительность: N[14.65];  (Потребляемая мощность) Охлаждение: N[4.59];  (Потребляемая мощность) Обогрев: S[4.17];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S[46/49/52];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</si>
  <si>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N[13.92]</t>
  </si>
  <si>
    <t xml:space="preserve"> (Сплит система) Теплопроизводительность: N[15.53]</t>
  </si>
  <si>
    <t xml:space="preserve"> (Потребляемая мощность) Охлаждение: N[5.358]</t>
  </si>
  <si>
    <t xml:space="preserve"> (Потребляемая мощность) Обогрев: S[4.854]</t>
  </si>
  <si>
    <t>; Производитель: E[LESSAR];  Тип: S[Кассетные];  (Сплит система) Холодопроизводительность: N[13.92];  (Сплит система) Площадь помещения: N[130];  (Сплит система) Инвентор: S[да];  (Сплит система) Теплопроизводительность: N[15.53];  (Потребляемая мощность) Охлаждение: N[5.358];  (Потребляемая мощность) Обогрев: S[4.854];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S[48/51.5/53.5];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</si>
  <si>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N[13.92];  (Сплит система) Площадь помещения: N[130];  (Сплит система) Инвентор: S[да];  (Сплит система) Теплопроизводительность: N[15.53];  (Потребляемая мощность) Охлаждение: N[5.358];  (Потребляемая мощность) Обогрев: S[4.854];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S[48/51.5/53.5];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</si>
  <si>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N[5.74]</t>
  </si>
  <si>
    <t xml:space="preserve"> (Потребляемая мощность) Обогрев: S[4.985]</t>
  </si>
  <si>
    <t>; Производитель: E[LESSAR];  Тип: S[Кассетные];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N[5.74];  (Потребляемая мощность) Обогрев: S[4.985];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S[44/48/53];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</si>
  <si>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N[5.74];  (Потребляемая мощность) Обогрев: S[4.985];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S[5 / 8];  (Внутренний блок) Уровень шума мин. / макс.: S[44/48/53];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</si>
  <si>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N[6.321]</t>
  </si>
  <si>
    <t xml:space="preserve"> (Потребляемая мощность) Обогрев: S[4.912]</t>
  </si>
  <si>
    <t>; Производитель: E[LESSAR];  Тип: S[Кассетные];  (Сплит система) Холодопроизводительность: N[16.12];  (Сплит система) Площадь помещения: N[160];  (Сплит система) Инвентор: S[да];  (Сплит система) Теплопроизводительность: N[17.58];  (Потребляемая мощность) Охлаждение: N[6.321];  (Потребляемая мощность) Обогрев: S[4.912];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S[49.5/52/54.5];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</si>
  <si>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N[16.12];  (Сплит система) Площадь помещения: N[160];  (Сплит система) Инвентор: S[да];  (Сплит система) Теплопроизводительность: N[17.58];  (Потребляемая мощность) Охлаждение: N[6.321];  (Потребляемая мощность) Обогрев: S[4.912];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S[950 х 55 х 950];  (Внутренний блок) Упаковка (Ш x Г x В): S[1035 х 1035 х 90];  (Внутренний блок) Масса (нетто / брутто): S[6 / 9];  (Внутренний блок) Уровень шума мин. / макс.: S[49.5/52/54.5];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</si>
  <si>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N[1.08]</t>
  </si>
  <si>
    <t xml:space="preserve"> (Потребляемая мощность) Обогрев: S[1.06]</t>
  </si>
  <si>
    <t>; Производитель: E[LESSAR];  Тип: S[Кассетные];  (Сплит система) Холодопроизводительность: N[3.52];  (Сплит система) Площадь помещения: N[35];  (Сплит система) Инвентор: S[да];  (Сплит система) Теплопроизводительность: N[4.1];  (Потребляемая мощность) Охлаждение: N[1.08];  (Потребляемая мощность) Обогрев: S[1.06];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S[34/38/42];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S[29.9/32.6];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</si>
  <si>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N[3.52];  (Сплит система) Площадь помещения: N[35];  (Сплит система) Инвентор: S[да];  (Сплит система) Теплопроизводительность: N[4.1];  (Потребляемая мощность) Охлаждение: N[1.08];  (Потребляемая мощность) Обогрев: S[1.06];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S[34/38/42];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S[29.9/32.6];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</si>
  <si>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N[3.66]</t>
  </si>
  <si>
    <t xml:space="preserve"> (Сплит система) Теплопроизводительность: N[4.25]</t>
  </si>
  <si>
    <t xml:space="preserve"> (Потребляемая мощность) Охлаждение: N[1.197]</t>
  </si>
  <si>
    <t xml:space="preserve"> (Потребляемая мощность) Обогрев: S[1.098]</t>
  </si>
  <si>
    <t>; Производитель: E[LESSAR];  Тип: S[Кассетные];  (Сплит система) Холодопроизводительность: N[3.66];  (Сплит система) Площадь помещения: N[36];  (Сплит система) Инвентор: S[да];  (Сплит система) Теплопроизводительность: N[4.25];  (Потребляемая мощность) Охлаждение: N[1.197];  (Потребляемая мощность) Обогрев: S[1.098];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S[35?/?38?/?42];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S[26.9/29.2];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</si>
  <si>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N[3.66];  (Сплит система) Площадь помещения: N[36];  (Сплит система) Инвентор: S[да];  (Сплит система) Теплопроизводительность: N[4.25];  (Потребляемая мощность) Охлаждение: N[1.197];  (Потребляемая мощность) Обогрев: S[1.098];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S[35?/?38?/?42];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S[26.9/29.2];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</si>
  <si>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S[Кассетные];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N[1.55];  (Потребляемая мощность) Обогрев: S[1.42];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S[36/39/43];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</si>
  <si>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N[1.55];  (Потребляемая мощность) Обогрев: S[1.42];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S[36/39/43];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</si>
  <si>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N[1.649]</t>
  </si>
  <si>
    <t xml:space="preserve"> (Потребляемая мощность) Обогрев: S[1.52]</t>
  </si>
  <si>
    <t>; Производитель: E[LESSAR];  Тип: S[Кассетные];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N[1.649];  (Потребляемая мощность) Обогрев: S[1.52];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S[37?/?40.5?/?44];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</si>
  <si>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S[Кассетные];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N[1.649];  (Потребляемая мощность) Обогрев: S[1.52];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S[647 х 50 х 647];  (Внутренний блок) Упаковка (Ш x Г x В): S[715 х 715 х 123];  (Внутренний блок) Масса (нетто / брутто): S[2.5 / 4.5];  (Внутренний блок) Уровень шума мин. / макс.: S[37?/?40.5?/?44];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</si>
  <si>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N[5.67]</t>
  </si>
  <si>
    <t xml:space="preserve"> (Потребляемая мощность) Охлаждение: N[1.63]</t>
  </si>
  <si>
    <t xml:space="preserve"> (Потребляемая мощность) Обогрев: S[1.46]</t>
  </si>
  <si>
    <t>; 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N[5.67];  (Потребляемая мощность) Охлаждение: N[1.63];  (Потребляемая мощность) Обогрев: S[1.46];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313];  (Внутренний блок) Масса (нетто / брутто): S[28 / 33.3];  (Внутренний блок) Уровень шума мин. / макс.: S[37/40/45];  (Наружный блок) Марка компрессора: S[GMCC];  (Наружный блок) Размеры (Ш x Г x В): S[800 х 333 х 554];  (Наружный блок) Упаковка (Ш x Г x В): S[920 х 390 х 615];  (Наружный блок) Масса (нетто / брутто): S[35.5/38.4];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</si>
  <si>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N[5.67];  (Потребляемая мощность) Охлаждение: N[1.63];  (Потребляемая мощность) Обогрев: S[1.46];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313];  (Внутренний блок) Масса (нетто / брутто): S[28 / 33.3];  (Внутренний блок) Уровень шума мин. / макс.: S[37/40/45];  (Наружный блок) Марка компрессора: S[GMCC];  (Наружный блок) Размеры (Ш x Г x В): S[800 х 333 х 554];  (Наружный блок) Упаковка (Ш x Г x В): S[920 х 390 х 615];  (Наружный блок) Масса (нетто / брутто): S[35.5/38.4];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</si>
  <si>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N[1.633]</t>
  </si>
  <si>
    <t>; 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N[1.633];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313];  (Внутренний блок) Масса (нетто / брутто): S[28 / 33.3];  (Внутренний блок) Уровень шума мин. / макс.: S[34.5/38.5/42];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</si>
  <si>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N[1.633];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313];  (Внутренний блок) Масса (нетто / брутто): S[28 / 33.3];  (Внутренний блок) Уровень шума мин. / макс.: S[34.5/38.5/42];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</si>
  <si>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N[5.86];  (Потребляемая мощность) Охлаждение: N[1.649];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S[28 / 33.3];  (Внутренний блок) Уровень шума мин. / макс.: S[35.5/39/43];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</si>
  <si>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N[5.28];  (Сплит система) Площадь помещения: N[52];  (Сплит система) Инвентор: S[да];  (Сплит система) Теплопроизводительность: N[5.86];  (Потребляемая мощность) Охлаждение: N[1.649];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S[28 / 33.3];  (Внутренний блок) Уровень шума мин. / макс.: S[35.5/39/43];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</si>
  <si>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N[2.07]</t>
  </si>
  <si>
    <t>; Производитель: E[LESSAR];  Тип: S[Напольно-потолочные];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N[2.07];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S[26.8 / 31.9];  (Внутренний блок) Уровень шума мин. / макс.: S[41/46/50];  (Наружный блок) Марка компрессора: S[GMCC];  (Наружный блок) Размеры (Ш x Г x В): S[845 х 363 х 702];  (Наружный блок) Упаковка (Ш x Г x В): S[965 х 395 х 755];  (Наружный блок) Масса (нетто / брутто): S[49/51.5];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</si>
  <si>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N[2.07];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S[26.8 / 31.9];  (Внутренний блок) Уровень шума мин. / макс.: S[41/46/50];  (Наружный блок) Марка компрессора: S[GMCC];  (Наружный блок) Размеры (Ш x Г x В): S[845 х 363 х 702];  (Наружный блок) Упаковка (Ш x Г x В): S[965 х 395 х 755];  (Наружный блок) Масса (нетто / брутто): S[49/51.5];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</si>
  <si>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N[2.155]</t>
  </si>
  <si>
    <t xml:space="preserve"> (Потребляемая мощность) Обогрев: S[2.25]</t>
  </si>
  <si>
    <t>; Производитель: E[LESSAR];  Тип: S[Напольно-потолочные];  (Сплит система) Холодопроизводительность: N[7.33];  (Сплит система) Площадь помещения: N[73];  (Сплит система) Инвентор: S[да];  (Сплит система) Теплопроизводительность: N[8.5];  (Потребляемая мощность) Охлаждение: N[2.155];  (Потребляемая мощность) Обогрев: S[2.25];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S[28 / 33.1];  (Внутренний блок) Уровень шума мин. / макс.: S[41/46/50];  (Наружный блок) Марка компрессора: S[GMCC];  (Наружный блок) Размеры (Ш x Г x В): S[890 х 342 х 673];  (Наружный блок) Упаковка (Ш x Г x В): S[995 х 398 х 740];  (Наружный блок) Масса (нетто / брутто): S[45.1/48.3];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</si>
  <si>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N[7.33];  (Сплит система) Площадь помещения: N[73];  (Сплит система) Инвентор: S[да];  (Сплит система) Теплопроизводительность: N[8.5];  (Потребляемая мощность) Охлаждение: N[2.155];  (Потребляемая мощность) Обогрев: S[2.25];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S[1068 х 235 х 675];  (Внутренний блок) Упаковка (Ш x Г x В): S[1145 х 755 х 318];  (Внутренний блок) Масса (нетто / брутто): S[28 / 33.1];  (Внутренний блок) Уровень шума мин. / макс.: S[41/46/50];  (Наружный блок) Марка компрессора: S[GMCC];  (Наружный блок) Размеры (Ш x Г x В): S[890 х 342 х 673];  (Наружный блок) Упаковка (Ш x Г x В): S[995 х 398 х 740];  (Наружный блок) Масса (нетто / брутто): S[45.1/48.3];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</si>
  <si>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N[3.505]</t>
  </si>
  <si>
    <t xml:space="preserve"> (Потребляемая мощность) Обогрев: S[3.085]</t>
  </si>
  <si>
    <t>; Производитель: E[LESSAR];  Тип: S[Напольно-потолочные];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N[3.505];  (Потребляемая мощность) Обогрев: S[3.085];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S[1285 х 235 х 675];  (Внутренний блок) Упаковка (Ш x Г x В): S[1360 х 755 х 318];  (Внутренний блок) Масса (нетто / брутто): S[30.1 / 35.4];  (Внутренний блок) Уровень шума мин. / макс.: S[45/49/54];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</si>
  <si>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N[3.505];  (Потребляемая мощность) Обогрев: S[3.085];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S[1285 х 235 х 675];  (Внутренний блок) Упаковка (Ш x Г x В): S[1360 х 755 х 318];  (Внутренний блок) Масса (нетто / брутто): S[30.1 / 35.4];  (Внутренний блок) Уровень шума мин. / макс.: S[45/49/54];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</si>
  <si>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N[11.72]</t>
  </si>
  <si>
    <t xml:space="preserve"> (Потребляемая мощность) Охлаждение: N[4]</t>
  </si>
  <si>
    <t xml:space="preserve"> (Потребляемая мощность) Обогрев: S[3.25]</t>
  </si>
  <si>
    <t>; Производитель: E[LESSAR];  Тип: S[Напольно-потолочные];  (Сплит система) Холодопроизводительность: N[10.55];  (Сплит система) Площадь помещения: N[100];  (Сплит система) Инвентор: S[да];  (Сплит система) Теплопроизводительность: N[11.72];  (Потребляемая мощность) Охлаждение: N[4];  (Потребляемая мощность) Обогрев: S[3.25];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S[41.5 / 48];  (Внутренний блок) Уровень шума мин. / макс.: S[44/48/51];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</si>
  <si>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N[10.55];  (Сплит система) Площадь помещения: N[100];  (Сплит система) Инвентор: S[да];  (Сплит система) Теплопроизводительность: N[11.72];  (Потребляемая мощность) Охлаждение: N[4];  (Потребляемая мощность) Обогрев: S[3.25];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S[41.5 / 48];  (Внутренний блок) Уровень шума мин. / макс.: S[44/48/51];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</si>
  <si>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Обогрев: S[2.967]</t>
  </si>
  <si>
    <t>; Производитель: E[LESSAR];  Тип: S[Напольно-потолочные];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S[2.967];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S[41.5 / 48];  (Внутренний блок) Уровень шума мин. / макс.: S[44/48/51];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</si>
  <si>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S[2.967];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S[41.5 / 48];  (Внутренний блок) Уровень шума мин. / макс.: S[44/48/51];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</si>
  <si>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N[5.01]</t>
  </si>
  <si>
    <t xml:space="preserve"> (Потребляемая мощность) Обогрев: S[4.175]</t>
  </si>
  <si>
    <t>; Производитель: E[LESSAR];  Тип: S[Напольно-потолочные];  (Сплит система) Холодопроизводительность: N[14.07];  (Сплит система) Площадь помещения: N[140];  (Сплит система) Инвентор: S[да];  (Сплит система) Теплопроизводительность: N[14.65];  (Потребляемая мощность) Охлаждение: N[5.01];  (Потребляемая мощность) Обогрев: S[4.175];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S[37.5 / 43.8];  (Внутренний блок) Уровень шума мин. / макс.: S[49/52/56];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</si>
  <si>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N[14.07];  (Сплит система) Площадь помещения: N[140];  (Сплит система) Инвентор: S[да];  (Сплит система) Теплопроизводительность: N[14.65];  (Потребляемая мощность) Охлаждение: N[5.01];  (Потребляемая мощность) Обогрев: S[4.175];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S[37.5 / 43.8];  (Внутренний блок) Уровень шума мин. / макс.: S[49/52/56];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</si>
  <si>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N[5.7]</t>
  </si>
  <si>
    <t>; Производитель: E[LESSAR];  Тип: S[Напольно-потолочные];  (Сплит система) Холодопроизводительность: N[14.07];  (Сплит система) Площадь помещения: N[140];  (Сплит система) Инвентор: S[да];  (Сплит система) Теплопроизводительность: N[15.53];  (Потребляемая мощность) Охлаждение: N[5.7];  (Потребляемая мощность) Обогрев: S[4.854];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S[40.4 / 46.8];  (Внутренний блок) Уровень шума мин. / макс.: S[50/52/54];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</si>
  <si>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N[14.07];  (Сплит система) Площадь помещения: N[140];  (Сплит система) Инвентор: S[да];  (Сплит система) Теплопроизводительность: N[15.53];  (Потребляемая мощность) Охлаждение: N[5.7];  (Потребляемая мощность) Обогрев: S[4.854];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S[40.4 / 46.8];  (Внутренний блок) Уровень шума мин. / макс.: S[50/52/54];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</si>
  <si>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S[Напольно-потолочные];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N[5.74];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 / 46];  (Внутренний блок) Уровень шума мин. / макс.: S[46/49/55];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</si>
  <si>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N[5.74];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 / 46];  (Внутренний блок) Уровень шума мин. / макс.: S[46/49/55];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</si>
  <si>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N[17.88]</t>
  </si>
  <si>
    <t xml:space="preserve"> (Потребляемая мощность) Обогрев: S[5.249]</t>
  </si>
  <si>
    <t>; Производитель: E[LESSAR];  Тип: S[Напольно-потолочные];  (Сплит система) Холодопроизводительность: N[16.12];  (Сплит система) Площадь помещения: N[160];  (Сплит система) Инвентор: S[да];  (Сплит система) Теплопроизводительность: N[17.88];  (Потребляемая мощность) Охлаждение: N[6.321];  (Потребляемая мощность) Обогрев: S[5.249];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S[40.4 / 47];  (Внутренний блок) Уровень шума мин. / макс.: S[49.5/50.5/53.5];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</si>
  <si>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S[Напольно-потолочные];  (Сплит система) Холодопроизводительность: N[16.12];  (Сплит система) Площадь помещения: N[160];  (Сплит система) Инвентор: S[да];  (Сплит система) Теплопроизводительность: N[17.88];  (Потребляемая мощность) Охлаждение: N[6.321];  (Потребляемая мощность) Обогрев: S[5.249];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S[1650 х 235 х 675];  (Внутренний блок) Упаковка (Ш x Г x В): S[1725 х 755 х 318];  (Внутренний блок) Масса (нетто / брутто): S[40.4 / 47];  (Внутренний блок) Уровень шума мин. / макс.: S[49.5/50.5/53.5];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</si>
  <si>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xml:space="preserve"> (Потребляемая мощность) Обогрев: S[0.99]</t>
  </si>
  <si>
    <t>; 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N[1.17];  (Потребляемая мощность) Обогрев: S[0.99];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200 х 450];  (Внутренний блок) Упаковка (Ш x Г x В): S[860 х 540 х 275];  (Внутренний блок) Масса (нетто / брутто): S[18 / 22];  (Внутренний блок) Уровень шума мин. / макс.: S[27.5/34.5/40];  (Наружный блок) Марка компрессора: S[GMCC];  (Наружный блок) Размеры (Ш x Г x В): S[800 х 333 х 554];  (Наружный блок) Упаковка (Ш x Г x В): S[920 х 390 х 615];  (Наружный блок) Масса (нетто / брутто): S[29.9/32.6];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</si>
  <si>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N[3.52];  (Сплит система) Площадь помещения: N[35];  (Сплит система) Инвентор: S[да];  (Сплит система) Теплопроизводительность: N[3.81];  (Потребляемая мощность) Охлаждение: N[1.17];  (Потребляемая мощность) Обогрев: S[0.99];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200 х 450];  (Внутренний блок) Упаковка (Ш x Г x В): S[860 х 540 х 275];  (Внутренний блок) Масса (нетто / брутто): S[18 / 22];  (Внутренний блок) Уровень шума мин. / макс.: S[27.5/34.5/40];  (Наружный блок) Марка компрессора: S[GMCC];  (Наружный блок) Размеры (Ш x Г x В): S[800 х 333 х 554];  (Наружный блок) Упаковка (Ш x Г x В): S[920 х 390 х 615];  (Наружный блок) Масса (нетто / брутто): S[29.9/32.6];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</si>
  <si>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N[1.352]</t>
  </si>
  <si>
    <t xml:space="preserve"> (Потребляемая мощность) Обогрев: S[1.171]</t>
  </si>
  <si>
    <t>; Производитель: E[LESSAR];  Тип: S[Канальные];  (Сплит система) Холодопроизводительность: N[3.66];  (Сплит система) Площадь помещения: N[36];  (Сплит система) Инвентор: S[да];  (Сплит система) Теплопроизводительность: N[4.25];  (Потребляемая мощность) Охлаждение: N[1.352];  (Потребляемая мощность) Обогрев: S[1.171];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200 х 506];  (Внутренний блок) Упаковка (Ш x Г x В): S[860 х 540 х 285];  (Внутренний блок) Масса (нетто / брутто): S[17.8 / 21.5];  (Внутренний блок) Уровень шума мин. / макс.: S[25/34/38];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S[26.9/29.2];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</si>
  <si>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N[3.66];  (Сплит система) Площадь помещения: N[36];  (Сплит система) Инвентор: S[да];  (Сплит система) Теплопроизводительность: N[4.25];  (Потребляемая мощность) Охлаждение: N[1.352];  (Потребляемая мощность) Обогрев: S[1.171];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S[700 х 200 х 506];  (Внутренний блок) Упаковка (Ш x Г x В): S[860 х 540 х 285];  (Внутренний блок) Масса (нетто / брутто): S[17.8 / 21.5];  (Внутренний блок) Уровень шума мин. / макс.: S[25/34/38];  (Наружный блок) Марка компрессора: S[GMCC];  (Наружный блок) Размеры (Ш x Г x В): S[765 х 303 х 555];  (Наружный блок) Упаковка (Ш x Г x В): S[887 х 337 х 610];  (Наружный блок) Масса (нетто / брутто): S[26.9/29.2];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</si>
  <si>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N[1.635]</t>
  </si>
  <si>
    <t xml:space="preserve"> (Потребляемая мощность) Обогрев: S[1.578]</t>
  </si>
  <si>
    <t>; Производитель: E[LESSAR];  Тип: S[Канальные];  (Сплит система) Холодопроизводительность: N[5.28];  (Сплит система) Площадь помещения: N[52];  (Сплит система) Инвентор: S[да];  (Сплит система) Теплопроизводительность: N[5.86];  (Потребляемая мощность) Охлаждение: N[1.635];  (Потребляемая мощность) Обогрев: S[1.578];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210 х 674];  (Внутренний блок) Упаковка (Ш x Г x В): S[1070 х 725 х 280];  (Внутренний блок) Масса (нетто / брутто): S[24.3 / 29.6];  (Внутренний блок) Уровень шума мин. / макс.: S[33/38/42];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</si>
  <si>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N[5.28];  (Сплит система) Площадь помещения: N[52];  (Сплит система) Инвентор: S[да];  (Сплит система) Теплопроизводительность: N[5.86];  (Потребляемая мощность) Охлаждение: N[1.635];  (Потребляемая мощность) Обогрев: S[1.578];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210 х 674];  (Внутренний блок) Упаковка (Ш x Г x В): S[1070 х 725 х 280];  (Внутренний блок) Масса (нетто / брутто): S[24.3 / 29.6];  (Внутренний блок) Уровень шума мин. / макс.: S[33/38/42];  (Наружный блок) Марка компрессора: S[GMCC];  (Наружный блок) Размеры (Ш x Г x В): S[800 х 333 х 554];  (Наружный блок) Упаковка (Ш x Г x В): S[920 х 390 х 615];  (Наружный блок) Масса (нетто / брутто): S[34.5/37.2];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</si>
  <si>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Обогрев: S[1.653]</t>
  </si>
  <si>
    <t>; Производитель: E[LESSAR];  Тип: S[Канальные];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N[1.649];  (Потребляемая мощность) Обогрев: S[1.653];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210 х 674];  (Внутренний блок) Упаковка (Ш x Г x В): S[1070 х 725 х 280];  (Внутренний блок) Масса (нетто / брутто): S[24.4 / 29.6];  (Внутренний блок) Уровень шума мин. / макс.: S[34/38/41];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</si>
  <si>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N[1.649];  (Потребляемая мощность) Обогрев: S[1.653];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S[880 х 210 х 674];  (Внутренний блок) Упаковка (Ш x Г x В): S[1070 х 725 х 280];  (Внутренний блок) Масса (нетто / брутто): S[24.4 / 29.6];  (Внутренний блок) Уровень шума мин. / макс.: S[34/38/41];  (Наружный блок) Марка компрессора: S[GMCC];  (Наружный блок) Размеры (Ш x Г x В): S[805 х 330 х 554];  (Наружный блок) Упаковка (Ш x Г x В): S[915 х 370 х 615];  (Наружный блок) Масса (нетто / брутто): S[33.6/36.2];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</si>
  <si>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N[2.175]</t>
  </si>
  <si>
    <t>; Производитель: E[LESSAR];  Тип: S[Канальные];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N[2.175];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305];  (Внутренний блок) Масса (нетто / брутто): S[31.5 / 38.9];  (Внутренний блок) Уровень шума мин. / макс.: S[40/42/44];  (Наружный блок) Марка компрессора: S[GMCC];  (Наружный блок) Размеры (Ш x Г x В): S[845 х 363 х 702];  (Наружный блок) Упаковка (Ш x Г x В): S[965 х 395 х 755];  (Наружный блок) Масса (нетто / брутто): S[49/51.5];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</si>
  <si>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N[7.03];  (Сплит система) Площадь помещения: N[70];  (Сплит система) Инвентор: S[да];  (Сплит система) Теплопроизводительность: N[7.62];  (Потребляемая мощность) Охлаждение: N[2.175];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305];  (Внутренний блок) Масса (нетто / брутто): S[31.5 / 38.9];  (Внутренний блок) Уровень шума мин. / макс.: S[40/42/44];  (Наружный блок) Марка компрессора: S[GMCC];  (Наружный блок) Размеры (Ш x Г x В): S[845 х 363 х 702];  (Наружный блок) Упаковка (Ш x Г x В): S[965 х 395 х 755];  (Наружный блок) Масса (нетто / брутто): S[49/51.5];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</si>
  <si>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S[Канальные];  (Сплит система) Холодопроизводительность: N[7.33];  (Сплит система) Площадь помещения: N[73];  (Сплит система) Инвентор: S[да];  (Сплит система) Теплопроизводительность: N[8.5];  (Потребляемая мощность) Охлаждение: N[2.155];  (Потребляемая мощность) Обогрев: S[2.25];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315];  (Внутренний блок) Масса (нетто / брутто): S[32.3 / 39.1];  (Внутренний блок) Уровень шума мин. / макс.: S[37/39/41];  (Наружный блок) Марка компрессора: S[GMCC];  (Наружный блок) Размеры (Ш x Г x В): S[890 х 342 х 673];  (Наружный блок) Упаковка (Ш x Г x В): S[995 х 398 х 740];  (Наружный блок) Масса (нетто / брутто): S[45.1/48.3];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</si>
  <si>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N[7.33];  (Сплит система) Площадь помещения: N[73];  (Сплит система) Инвентор: S[да];  (Сплит система) Теплопроизводительность: N[8.5];  (Потребляемая мощность) Охлаждение: N[2.155];  (Потребляемая мощность) Обогрев: S[2.25];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315];  (Внутренний блок) Масса (нетто / брутто): S[32.3 / 39.1];  (Внутренний блок) Уровень шума мин. / макс.: S[37/39/41];  (Наружный блок) Марка компрессора: S[GMCC];  (Наружный блок) Размеры (Ш x Г x В): S[890 х 342 х 673];  (Наружный блок) Упаковка (Ш x Г x В): S[995 х 398 х 740];  (Наружный блок) Масса (нетто / брутто): S[45.1/48.3];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</si>
  <si>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N[3.59]</t>
  </si>
  <si>
    <t>; Производитель: E[LESSAR];  Тип: S[Канальные];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N[3.59];  (Потребляемая мощность) Обогрев: S[3.085];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315];  (Внутренний блок) Масса (нетто / брутто): S[34.5 / 41.9];  (Внутренний блок) Уровень шума мин. / макс.: S[36/38.5/45];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</si>
  <si>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N[10.55];  (Сплит система) Площадь помещения: N[100];  (Сплит система) Инвентор: S[да];  (Сплит система) Теплопроизводительность: N[11.14];  (Потребляемая мощность) Охлаждение: N[3.59];  (Потребляемая мощность) Обогрев: S[3.085];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S[1100 х 249 х 774];  (Внутренний блок) Упаковка (Ш x Г x В): S[1305 х 805 х 315];  (Внутренний блок) Масса (нетто / брутто): S[34.5 / 41.9];  (Внутренний блок) Уровень шума мин. / макс.: S[36/38.5/45];  (Наружный блок) Марка компрессора: S[GMCC];  (Наружный блок) Размеры (Ш x Г x В): S[946 х 410 х 810];  (Наружный блок) Упаковка (Ш x Г x В): S[1090 х 500 х 875];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</si>
  <si>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Обогрев: S[2.895]</t>
  </si>
  <si>
    <t>; Производитель: E[LESSAR];  Тип: S[Канальные];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S[2.895];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S[1360 х 249 х 774];  (Внутренний блок) Упаковка (Ш x Г x В): S[1570 х 805 х 330];  (Внутренний блок) Масса (нетто / брутто): S[40.5 / 48.2];  (Внутренний блок) Уровень шума мин. / макс.: S[38/40.5/44];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</si>
  <si>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N[11.14];  (Сплит система) Площадь помещения: N[110];  (Сплит система) Инвентор: S[да];  (Сплит система) Теплопроизводительность: N[11.87];  (Потребляемая мощность) Охлаждение: N[3.84];  (Потребляемая мощность) Обогрев: S[2.895];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S[1360 х 249 х 774];  (Внутренний блок) Упаковка (Ш x Г x В): S[1570 х 805 х 330];  (Внутренний блок) Масса (нетто / брутто): S[40.5 / 48.2];  (Внутренний блок) Уровень шума мин. / макс.: S[38/40.5/44];  (Наружный блок) Марка компрессора: S[GMCC];  (Наружный блок) Размеры (Ш x Г x В): S[946 х 410 х 810];  (Наружный блок) Упаковка (Ш x Г x В): S[1090 х 500 х 885];  (Наружный блок) Масса (нетто / брутто): S[77.9/82.7];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</si>
  <si>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N[5.191]</t>
  </si>
  <si>
    <t xml:space="preserve"> (Потребляемая мощность) Обогрев: S[4.059]</t>
  </si>
  <si>
    <t>; Производитель: E[LESSAR];  Тип: S[Канальные];  (Сплит система) Холодопроизводительность: N[14.07];  (Сплит система) Площадь помещения: N[140];  (Сплит система) Инвентор: S[да];  (Сплит система) Теплопроизводительность: N[14.65];  (Потребляемая мощность) Охлаждение: N[5.191];  (Потребляемая мощность) Обогрев: S[4.059];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S[47.3 / 56];  (Внутренний блок) Уровень шума мин. / макс.: S[39/43/47];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</si>
  <si>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N[14.07];  (Сплит система) Площадь помещения: N[140];  (Сплит система) Инвентор: S[да];  (Сплит система) Теплопроизводительность: N[14.65];  (Потребляемая мощность) Охлаждение: N[5.191];  (Потребляемая мощность) Обогрев: S[4.059];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S[47.3 / 56];  (Внутренний блок) Уровень шума мин. / макс.: S[39/43/47];  (Наружный блок) Марка компрессора: S[GMCC];  (Наружный блок) Размеры (Ш x Г x В): S[946 х 410 х 810];  (Наружный блок) Упаковка (Ш x Г x В): S[1090 х 500 х 875];  (Наружный блок) Масса (нетто / брутто): S[86/91.6];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</si>
  <si>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N[5.45]</t>
  </si>
  <si>
    <t xml:space="preserve"> (Потребляемая мощность) Обогрев: S[4.088]</t>
  </si>
  <si>
    <t>; Производитель: E[LESSAR];  Тип: S[Канальные];  (Сплит система) Холодопроизводительность: N[14.07];  (Сплит система) Площадь помещения: N[140];  (Сплит система) Инвентор: S[да];  (Сплит система) Теплопроизводительность: N[15.53];  (Потребляемая мощность) Охлаждение: N[5.45];  (Потребляемая мощность) Обогрев: S[4.088];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S[47.6 / 55.8];  (Внутренний блок) Уровень шума мин. / макс.: S[43/45.5/47.5];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</si>
  <si>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N[14.07];  (Сплит система) Площадь помещения: N[140];  (Сплит система) Инвентор: S[да];  (Сплит система) Теплопроизводительность: N[15.53];  (Потребляемая мощность) Охлаждение: N[5.45];  (Потребляемая мощность) Обогрев: S[4.088];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S[47.6 / 55.8];  (Внутренний блок) Уровень шума мин. / макс.: S[43/45.5/47.5];  (Наружный блок) Марка компрессора: S[GMCC];  (Наружный блок) Размеры (Ш x Г x В): S[946 х 410 х 810];  (Наружный блок) Упаковка (Ш x Г x В): S[1090 х 500 х 885];  (Наружный блок) Масса (нетто / брутто): S[86.7/91.4];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</si>
  <si>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N[6.176]</t>
  </si>
  <si>
    <t xml:space="preserve"> (Потребляемая мощность) Обогрев: S[4.709]</t>
  </si>
  <si>
    <t>; Производитель: E[LESSAR];  Тип: S[Канальные];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N[6.176];  (Потребляемая мощность) Обогрев: S[4.709];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S[47.2 / 56];  (Внутренний блок) Уровень шума мин. / макс.: S[41/44/48];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</si>
  <si>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N[16.12];  (Сплит система) Площадь помещения: N[160];  (Сплит система) Инвентор: S[да];  (Сплит система) Теплопроизводительность: N[17];  (Потребляемая мощность) Охлаждение: N[6.176];  (Потребляемая мощность) Обогрев: S[4.709];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S[47.2 / 56];  (Внутренний блок) Уровень шума мин. / макс.: S[41/44/48];  (Наружный блок) Марка компрессора: S[GMCC];  (Наружный блок) Размеры (Ш x Г x В): S[952 х 410 х 1333];  (Наружный блок) Упаковка (Ш x Г x В): S[1095 х 495 х 1480];  (Наружный блок) Масса (нетто / брутто): S[107/120.7];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</si>
  <si>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N[18.76]</t>
  </si>
  <si>
    <t xml:space="preserve"> (Потребляемая мощность) Обогрев: S[4.81]</t>
  </si>
  <si>
    <t>; Производитель: E[LESSAR];  Тип: S[Канальные];  (Сплит система) Холодопроизводительность: N[16.12];  (Сплит система) Площадь помещения: N[160];  (Сплит система) Инвентор: S[да];  (Сплит система) Теплопроизводительность: N[18.76];  (Потребляемая мощность) Охлаждение: N[6.321];  (Потребляемая мощность) Обогрев: S[4.81];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S[47.4 / 56.1];  (Внутренний блок) Уровень шума мин. / макс.: S[46/48.5/50];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</si>
  <si>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Производитель: E[LESSAR];  Тип: S[Канальные];  (Сплит система) Холодопроизводительность: N[16.12];  (Сплит система) Площадь помещения: N[160];  (Сплит система) Инвентор: S[да];  (Сплит система) Теплопроизводительность: N[18.76];  (Потребляемая мощность) Охлаждение: N[6.321];  (Потребляемая мощность) Обогрев: S[4.81];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300 х 874];  (Внутренний блок) Упаковка (Ш x Г x В): S[1405 х 915 х 365];  (Внутренний блок) Масса (нетто / брутто): S[47.4 / 56.1];  (Внутренний блок) Уровень шума мин. / макс.: S[46/48.5/50];  (Наружный блок) Марка компрессора: S[GMCC];  (Наружный блок) Размеры (Ш x Г x В): S[952 х 415 х 1333];  (Наружный блок) Упаковка (Ш x Г x В): S[1095 х 495 х 1480];  (Наружный блок) Масса (нетто / брутто): S[107.1/121.3];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</si>
  <si>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N[4.1]</t>
  </si>
  <si>
    <t xml:space="preserve"> (Потребляемая мощность) Охлаждение: N[1.27]</t>
  </si>
  <si>
    <t xml:space="preserve"> (Потребляемая мощность) Обогрев: S[1.2]</t>
  </si>
  <si>
    <t xml:space="preserve"> (Потребляемая мощность) Обогрев: S[1.185]</t>
  </si>
  <si>
    <t xml:space="preserve"> (Сплит система) Холодопроизводительность: N[6.15]</t>
  </si>
  <si>
    <t xml:space="preserve"> (Сплит система) Теплопроизводительность: N[6.59]</t>
  </si>
  <si>
    <t xml:space="preserve"> (Потребляемая мощность) Охлаждение: N[1.9]</t>
  </si>
  <si>
    <t xml:space="preserve"> (Потребляемая мощность) Обогрев: S[1.77]</t>
  </si>
  <si>
    <t xml:space="preserve"> (Потребляемая мощность) Охлаждение: N[1.905]</t>
  </si>
  <si>
    <t xml:space="preserve"> (Потребляемая мощность) Обогрев: S[1.738]</t>
  </si>
  <si>
    <t xml:space="preserve"> (Сплит система) Холодопроизводительность: N[7.91]</t>
  </si>
  <si>
    <t xml:space="preserve"> (Сплит система) Теплопроизводительность: N[8.21]</t>
  </si>
  <si>
    <t xml:space="preserve"> (Потребляемая мощность) Охлаждение: N[2.45]</t>
  </si>
  <si>
    <t xml:space="preserve"> (Потребляемая мощность) Обогрев: S[2.12]</t>
  </si>
  <si>
    <t xml:space="preserve"> (Сплит система) Теплопроизводительность: N[8.79]</t>
  </si>
  <si>
    <t xml:space="preserve"> (Сплит система) Теплопроизводительность: N[10.55]</t>
  </si>
  <si>
    <t xml:space="preserve"> (Потребляемая мощность) Охлаждение: N[3.517]</t>
  </si>
  <si>
    <t xml:space="preserve"> (Потребляемая мощность) Обогрев: S[2.88]</t>
  </si>
  <si>
    <t xml:space="preserve"> (Сплит система) Холодопроизводительность: N[12.31]</t>
  </si>
  <si>
    <t xml:space="preserve"> (Сплит система) Теплопроизводительность: N[12.31]</t>
  </si>
  <si>
    <t xml:space="preserve"> (Потребляемая мощность) Охлаждение: N[3.8]</t>
  </si>
  <si>
    <t xml:space="preserve"> (Сплит система) Холодопроизводительность: N[2.6]</t>
  </si>
  <si>
    <t xml:space="preserve"> (Сплит система) Теплопроизводительность: N[2.61]</t>
  </si>
  <si>
    <t xml:space="preserve"> (Потребляемая мощность) Охлаждение: N[0.75]</t>
  </si>
  <si>
    <t xml:space="preserve"> (Потребляемая мощность) Обогрев: S[0.752]</t>
  </si>
  <si>
    <t>; 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N[0.75];  (Потребляемая мощность) Обогрев: S[0.752];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267 х 325];  (Внутренний блок) Масса (нетто / брутто): S[7 / 9];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</si>
  <si>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N[0.75];  (Потребляемая мощность) Обогрев: S[0.752];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267 х 325];  (Внутренний блок) Масса (нетто / брутто): S[7 / 9];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</si>
  <si>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xml:space="preserve"> (Потребляемая мощность) Охлаждение: N[0.8]</t>
  </si>
  <si>
    <t xml:space="preserve"> (Потребляемая мощность) Обогрев: S[0.699]</t>
  </si>
  <si>
    <t>; 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N[0.8];  (Потребляемая мощность) Обогрев: S[0.699];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267 х 325];  (Внутренний блок) Масса (нетто / брутто): S[7 / 9];  (Внутренний блок) Уровень шума мин. / макс.: S[22/25/33/37/40];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</si>
  <si>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N[0.8];  (Потребляемая мощность) Обогрев: S[0.699];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267 х 325];  (Внутренний блок) Масса (нетто / брутто): S[7 / 9];  (Внутренний блок) Уровень шума мин. / макс.: S[22/25/33/37/40];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</si>
  <si>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Теплопроизводительность: N[3.42]</t>
  </si>
  <si>
    <t xml:space="preserve"> (Потребляемая мощность) Охлаждение: N[1.01]</t>
  </si>
  <si>
    <t xml:space="preserve"> (Потребляемая мощность) Обогрев: S[0.948]</t>
  </si>
  <si>
    <t>; 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N[1.01];  (Потребляемая мощность) Обогрев: S[0.948];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S[9 / 11];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</si>
  <si>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N[1.01];  (Потребляемая мощность) Обогрев: S[0.948];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S[9 / 11];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</si>
  <si>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xml:space="preserve"> (Потребляемая мощность) Обогрев: S[0.922]</t>
  </si>
  <si>
    <t>; 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N[1.13];  (Потребляемая мощность) Обогрев: S[0.922];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S[9 / 11];  (Внутренний блок) Уровень шума мин. / макс.: S[22/25/33/37/40];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</si>
  <si>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N[1.13];  (Потребляемая мощность) Обогрев: S[0.922];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S[9 / 11];  (Внутренний блок) Уровень шума мин. / макс.: S[22/25/33/37/40];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</si>
  <si>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N[2.78];  (Потребляемая мощность) Охлаждение: N[0.82];  (Потребляемая мощность) Обогрев: S[0.77];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S[25/27/32/35/38];  (Наружный блок) Марка компрессора: S[GMCC];  (Наружный блок) Размеры (Ш x Г x В): S[712 х 276 х 459];  (Наружный блок) Упаковка (Ш x Г x В): S[765 х 310 х 481];  (Наружный блок) Масса (нетто / брутто): S[24/26];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</si>
  <si>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Производитель: E[QUATTROCLIMA];  Тип: S[Сплит система];  (Сплит система) Холодопроизводительность: N[2.64];  (Сплит система) Площадь помещения: N[26];  (Сплит система) Инвентор: S[да];  (Сплит система) Теплопроизводительность: N[2.78];  (Потребляемая мощность) Охлаждение: N[0.82];  (Потребляемая мощность) Обогрев: S[0.77];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S[25/27/32/35/38];  (Наружный блок) Марка компрессора: S[GMCC];  (Наружный блок) Размеры (Ш x Г x В): S[712 х 276 х 459];  (Наружный блок) Упаковка (Ш x Г x В): S[765 х 310 х 481];  (Наружный блок) Масса (нетто / брутто): S[24/26];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</si>
  <si>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 Производитель: E[QUATTROCLIMA];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N[3.66];  (Потребляемая мощность) Охлаждение: N[1.095];  (Потребляемая мощность) Обогрев: S[1.013];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S[26/30/34/37/39];  (Наружный блок) Марка компрессора: S[GMCC];  (Наружный блок) Размеры (Ш x Г x В): S[712 х 276 х 459];  (Наружный блок) Упаковка (Ш x Г x В): S[765 х 310 х 481];  (Наружный блок) Масса (нетто / брутто): S[26/28];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</si>
  <si>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Производитель: E[QUATTROCLIMA];  Тип: S[Сплит система];  (Сплит система) Холодопроизводительность: N[3.52];  (Сплит система) Площадь помещения: N[35];  (Сплит система) Инвентор: S[да];  (Сплит система) Теплопроизводительность: N[3.66];  (Потребляемая мощность) Охлаждение: N[1.095];  (Потребляемая мощность) Обогрев: S[1.013];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S[850 х 275 х 320];  (Внутренний блок) Масса (нетто / брутто): S[8 / 10];  (Внутренний блок) Уровень шума мин. / макс.: S[26/30/34/37/39];  (Наружный блок) Марка компрессора: S[GMCC];  (Наружный блок) Размеры (Ш x Г x В): S[712 х 276 х 459];  (Наружный блок) Упаковка (Ш x Г x В): S[765 х 310 х 481];  (Наружный блок) Масса (нетто / брутто): S[26/28];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</si>
  <si>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 Производитель: E[QUATTROCLIMA];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N[5.42];  (Потребляемая мощность) Охлаждение: N[1.645];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S[30/33/36/43/44];  (Наружный блок) Марка компрессора: S[GMCC];  (Наружный блок) Размеры (Ш x Г x В): S[853 х 349 х 602];  (Наружный блок) Упаковка (Ш x Г x В): S[890 х 385 х 628];  (Наружный блок) Масса (нетто / брутто): S[31/34];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</si>
  <si>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Производитель: E[QUATTROCLIMA];  Тип: S[Сплит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N[5.42];  (Потребляемая мощность) Охлаждение: N[1.645];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S[30/33/36/43/44];  (Наружный блок) Марка компрессора: S[GMCC];  (Наружный блок) Размеры (Ш x Г x В): S[853 х 349 х 602];  (Наружный блок) Упаковка (Ш x Г x В): S[890 х 385 х 628];  (Наружный блок) Масса (нетто / брутто): S[31/34];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</si>
  <si>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 Производитель: E[QUATTROCLIMA];  Тип: S[Сплит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N[7.18];  (Потребляемая мощность) Охлаждение: N[2.19];  (Потребляемая мощность) Обогрев: S[1.985];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S[32/37/42/46/48];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</si>
  <si>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Производитель: E[QUATTROCLIMA];  Тип: S[Сплит система];  (Сплит система) Холодопроизводительность: N[7.03];  (Сплит система) Площадь помещения: N[70];  (Сплит система) Инвентор: S[да];  (Сплит система) Теплопроизводительность: N[7.18];  (Потребляемая мощность) Охлаждение: N[2.19];  (Потребляемая мощность) Обогрев: S[1.985];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S[32/37/42/46/48];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-15 до +30]</t>
  </si>
  <si>
    <t>; 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N[0.75];  (Потребляемая мощность) Обогрев: S[0.752];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</si>
  <si>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N[0.75];  (Потребляемая мощность) Обогрев: S[0.752];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</si>
  <si>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N[0.8];  (Потребляемая мощность) Обогрев: S[0.699];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S[22/25/33/37/40];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</si>
  <si>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N[2.6];  (Сплит система) Площадь помещения: N[26];  (Сплит система) Инвентор: S[да];  (Сплит система) Теплопроизводительность: N[2.61];  (Потребляемая мощность) Охлаждение: N[0.8];  (Потребляемая мощность) Обогрев: S[0.699];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S[698 х 255 х 190];  (Внутренний блок) Упаковка (Ш x Г x В): S[764 х 257 х 325];  (Внутренний блок) Масса (нетто / брутто): S[6.5 / 8.5];  (Внутренний блок) Уровень шума мин. / макс.: S[22/25/33/37/40];  (Наружный блок) Марка компрессора: S[RECHI];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</si>
  <si>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N[1.01];  (Потребляемая мощность) Обогрев: S[0.948];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S[8.5 / 10.5];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</si>
  <si>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N[1.01];  (Потребляемая мощность) Обогрев: S[0.948];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S[8.5 / 10.5];  (Внутренний блок) Уровень шума мин. / макс.: S[22/25/33/40];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</si>
  <si>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N[1.13];  (Потребляемая мощность) Обогрев: S[0.922];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S[8.5 / 10.5];  (Внутренний блок) Уровень шума мин. / макс.: S[22/25/33/37/40];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</si>
  <si>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N[3.4];  (Сплит система) Площадь помещения: N[34];  (Сплит система) Инвентор: S[да];  (Сплит система) Теплопроизводительность: N[3.42];  (Потребляемая мощность) Охлаждение: N[1.13];  (Потребляемая мощность) Обогрев: S[0.922];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S[777 х 250 х 201];  (Внутренний блок) Упаковка (Ш x Г x В): S[840 х 260 х 315];  (Внутренний блок) Масса (нетто / брутто): S[8.5 / 10.5];  (Внутренний блок) Уровень шума мин. / макс.: S[22/25/33/37/40];  (Наружный блок) Марка компрессора: S[GMCC];  (Наружный блок) Размеры (Ш x Г x В): S[777 х 290 х 498];  (Наружный блок) Упаковка (Ш x Г x В): S[818 х 325 х 520];  (Наружный блок) Масса (нетто / брутто): S[22/25];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</si>
  <si>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Теплопроизводительность: N[5.23]</t>
  </si>
  <si>
    <t xml:space="preserve"> (Потребляемая мощность) Охлаждение: N[1.53]</t>
  </si>
  <si>
    <t xml:space="preserve"> (Потребляемая мощность) Обогрев: S[1550]</t>
  </si>
  <si>
    <t>; Производитель: E[QUATTROCLIMA];  Тип: S[Сплит система];  (Сплит система) Холодопроизводительность: N[5.13];  (Сплит система) Площадь помещения: N[51];  (Сплит система) Инвентор: S[да];  (Сплит система) Теплопроизводительность: N[5.23];  (Потребляемая мощность) Охлаждение: N[1.53];  (Потребляемая мощность) Обогрев: S[1550];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S[27/35/40/43];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</si>
  <si>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N[5.13];  (Сплит система) Площадь помещения: N[51];  (Сплит система) Инвентор: S[да];  (Сплит система) Теплопроизводительность: N[5.23];  (Потребляемая мощность) Охлаждение: N[1.53];  (Потребляемая мощность) Обогрев: S[1550];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S[27/35/40/43];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</si>
  <si>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xml:space="preserve"> (Сплит система) Холодопроизводительность: N[5.1]</t>
  </si>
  <si>
    <t xml:space="preserve"> (Сплит система) Теплопроизводительность: N[5.1]</t>
  </si>
  <si>
    <t xml:space="preserve"> (Потребляемая мощность) Охлаждение: N[1.58]</t>
  </si>
  <si>
    <t xml:space="preserve"> (Потребляемая мощность) Обогрев: S[1.374]</t>
  </si>
  <si>
    <t>; Производитель: E[QUATTROCLIMA];  Тип: S[Сплит система];  (Сплит система) Холодопроизводительность: N[5.1];  (Сплит система) Площадь помещения: N[51];  (Сплит система) Инвентор: S[да];  (Сплит система) Теплопроизводительность: N[5.1];  (Потребляемая мощность) Охлаждение: N[1.58];  (Потребляемая мощность) Обогрев: S[1.374];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S[27/35/38/41/43];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</si>
  <si>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N[5.1];  (Сплит система) Площадь помещения: N[51];  (Сплит система) Инвентор: S[да];  (Сплит система) Теплопроизводительность: N[5.1];  (Потребляемая мощность) Охлаждение: N[1.58];  (Потребляемая мощность) Обогрев: S[1.374];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S[910 х 294 х 206];  (Внутренний блок) Упаковка (Ш x Г x В): S[979 х 277 х 372];  (Внутренний блок) Масса (нетто / брутто): S[10 / 13];  (Внутренний блок) Уровень шума мин. / макс.: S[27/35/38/41/43];  (Наружный блок) Марка компрессора: S[SANYO];  (Наружный блок) Размеры (Ш x Г x В): S[853 х 349 х 602];  (Наружный блок) Упаковка (Ш x Г x В): S[890 х 385 х 628];  (Наружный блок) Масса (нетто / брутто): S[36/40];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</si>
  <si>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N[6.81]</t>
  </si>
  <si>
    <t xml:space="preserve"> (Сплит система) Теплопроизводительность: N[6.87]</t>
  </si>
  <si>
    <t xml:space="preserve"> (Потребляемая мощность) Охлаждение: N[1.95]</t>
  </si>
  <si>
    <t>; Производитель: E[QUATTROCLIMA];  Тип: S[Сплит система];  (Сплит система) Холодопроизводительность: N[6.81];  (Сплит система) Площадь помещения: N[68];  (Сплит система) Инвентор: S[да];  (Сплит система) Теплопроизводительность: N[6.87];  (Потребляемая мощность) Охлаждение: N[1.95];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S[30/38/41/44];  (Наружный блок) Марка компрессора: S[SANYO];  (Наружный блок) Размеры (Ш x Г x В): S[920 х 380 х 699];  (Наружный блок) Упаковка (Ш x Г x В): S[960 х 400 х 732];  (Наружный блок) Масса (нетто / брутто): S[46/52];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</si>
  <si>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Производитель: E[QUATTROCLIMA];  Тип: S[Сплит система];  (Сплит система) Холодопроизводительность: N[6.81];  (Сплит система) Площадь помещения: N[68];  (Сплит система) Инвентор: S[да];  (Сплит система) Теплопроизводительность: N[6.87];  (Потребляемая мощность) Охлаждение: N[1.95];  (Потребляемая мощность) Обогрев: S[2.05];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S[30/38/41/44];  (Наружный блок) Марка компрессора: S[SANYO];  (Наружный блок) Размеры (Ш x Г x В): S[920 х 380 х 699];  (Наружный блок) Упаковка (Ш x Г x В): S[960 х 400 х 732];  (Наружный блок) Масса (нетто / брутто): S[46/52];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  (Допустимая темп. наружного воздуха) Обогрев: S[от -20 до +30]</t>
  </si>
  <si>
    <t xml:space="preserve"> (Потребляемая мощность) Охлаждение: N[2.257]</t>
  </si>
  <si>
    <t xml:space="preserve"> (Потребляемая мощность) Обогрев: S[2.063]</t>
  </si>
  <si>
    <t>; Производитель: E[QUATTROCLIMA];  Тип: S[Сплит система];  (Сплит система) Холодопроизводительность: N[6.81];  (Сплит система) Площадь помещения: N[68];  (Сплит система) Инвентор: S[да];  (Сплит система) Теплопроизводительность: N[6.87];  (Потребляемая мощность) Охлаждение: N[2.257];  (Потребляемая мощность) Обогрев: S[2.063];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S[30/34/38/41/44];  (Наружный блок) Марка компрессора: S[SANYO];  (Наружный блок) Размеры (Ш x Г x В): S[920 х 380 х 699];  (Наружный блок) Упаковка (Ш x Г x В): S[960 х 400 х 732];  (Наружный блок) Масса (нетто / брутто): S[46/52];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</si>
  <si>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S[Сплит система];  (Сплит система) Холодопроизводительность: N[6.81];  (Сплит система) Площадь помещения: N[68];  (Сплит система) Инвентор: S[да];  (Сплит система) Теплопроизводительность: N[6.87];  (Потребляемая мощность) Охлаждение: N[2.257];  (Потребляемая мощность) Обогрев: S[2.063];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S[1010 х 315 х 220];  (Внутренний блок) Упаковка (Ш x Г x В): S[1096 х 297 х 390];  (Внутренний блок) Масса (нетто / брутто): S[13 / 16];  (Внутренний блок) Уровень шума мин. / макс.: S[30/34/38/41/44];  (Наружный блок) Марка компрессора: S[SANYO];  (Наружный блок) Размеры (Ш x Г x В): S[920 х 380 х 699];  (Наружный блок) Упаковка (Ш x Г x В): S[960 х 400 х 732];  (Наружный блок) Масса (нетто / брутто): S[46/52];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</si>
  <si>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Теплопроизводительность: N[4.31]</t>
  </si>
  <si>
    <t xml:space="preserve"> (Потребляемая мощность) Охлаждение: N[1.25]</t>
  </si>
  <si>
    <t xml:space="preserve"> (Потребляемая мощность) Обогрев: S[1.16]</t>
  </si>
  <si>
    <t xml:space="preserve"> (Сплит система) Теплопроизводительность: N[5.29]</t>
  </si>
  <si>
    <t xml:space="preserve"> (Потребляемая мощность) Охлаждение: N[1.61]</t>
  </si>
  <si>
    <t xml:space="preserve"> (Сплит система) Теплопроизводительность: N[6.5]</t>
  </si>
  <si>
    <t xml:space="preserve"> (Потребляемая мощность) Охлаждение: N[1.92]</t>
  </si>
  <si>
    <t xml:space="preserve"> (Потребляемая мощность) Обогрев: S[1.75]</t>
  </si>
  <si>
    <t xml:space="preserve"> (Сплит система) Холодопроизводительность: N[7.9]</t>
  </si>
  <si>
    <t xml:space="preserve"> (Сплит система) Теплопроизводительность: N[7.96]</t>
  </si>
  <si>
    <t xml:space="preserve"> (Потребляемая мощность) Охлаждение: N[2.63]</t>
  </si>
  <si>
    <t xml:space="preserve"> (Потребляемая мощность) Обогрев: S[0.715]</t>
  </si>
  <si>
    <t>; Производитель: E[TOSOT];  Тип: S[Сплит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N[3.2];  (Потребляемая мощность) Охлаждение: N[0.6];  (Потребляемая мощность) Обогрев: S[0.715];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S[945 х 293 х 225];  (Внутренний блок) Упаковка (Ш x Г x В): S[1035 х 325 х 384];  (Внутренний блок) Масса (нетто / брутто): S[14 / 17];  (Внутренний блок) Уровень шума мин. / макс.: S[21/22/28/33/36/39/43];  (Наружный блок) Марка компрессора: S[Gree];  (Наружный блок) Размеры (Ш x Г x В): S[848 х 320 х 596];  (Наружный блок) Упаковка (Ш x Г x В): S[881 х 363 х 645];  (Наружный блок) Масса (нетто / брутто): S[33.5/36.5];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</si>
  <si>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Производитель: E[TOSOT];  Тип: S[Сплит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N[3.2];  (Потребляемая мощность) Охлаждение: N[0.6];  (Потребляемая мощность) Обогрев: S[0.715];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S[945 х 293 х 225];  (Внутренний блок) Упаковка (Ш x Г x В): S[1035 х 325 х 384];  (Внутренний блок) Масса (нетто / брутто): S[14 / 17];  (Внутренний блок) Уровень шума мин. / макс.: S[21/22/28/33/36/39/43];  (Наружный блок) Марка компрессора: S[Gree];  (Наружный блок) Размеры (Ш x Г x В): S[848 х 320 х 596];  (Наружный блок) Упаковка (Ш x Г x В): S[881 х 363 х 645];  (Наружный блок) Масса (нетто / брутто): S[33.5/36.5];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</si>
  <si>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 xml:space="preserve"> (Потребляемая мощность) Охлаждение: N[0.875]</t>
  </si>
  <si>
    <t xml:space="preserve"> (Потребляемая мощность) Обогрев: S[0.952]</t>
  </si>
  <si>
    <t>; Производитель: E[TOSOT];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N[3.81];  (Потребляемая мощность) Охлаждение: N[0.875];  (Потребляемая мощность) Обогрев: S[0.952];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S[945 х 293 х 225];  (Внутренний блок) Упаковка (Ш x Г x В): S[1035 х 325 х 384];  (Внутренний блок) Масса (нетто / брутто): S[14 / 17];  (Внутренний блок) Уровень шума мин. / макс.: S[21/22/28/33/36/39/43];  (Наружный блок) Марка компрессора: S[Gree];  (Наружный блок) Размеры (Ш x Г x В): S[848 х 320 х 596];  (Наружный блок) Упаковка (Ш x Г x В): S[881 х 363 х 645];  (Наружный блок) Масса (нетто / брутто): S[33.5/36.5];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</si>
  <si>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Производитель: E[TOSOT];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N[3.81];  (Потребляемая мощность) Охлаждение: N[0.875];  (Потребляемая мощность) Обогрев: S[0.952];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S[945 х 293 х 225];  (Внутренний блок) Упаковка (Ш x Г x В): S[1035 х 325 х 384];  (Внутренний блок) Масса (нетто / брутто): S[14 / 17];  (Внутренний блок) Уровень шума мин. / макс.: S[21/22/28/33/36/39/43];  (Наружный блок) Марка компрессора: S[Gree];  (Наружный блок) Размеры (Ш x Г x В): S[848 х 320 х 596];  (Наружный блок) Упаковка (Ш x Г x В): S[881 х 363 х 645];  (Наружный блок) Масса (нетто / брутто): S[33.5/36.5];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</si>
  <si>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 xml:space="preserve"> (Потребляемая мощность) Охлаждение: N[0.681]</t>
  </si>
  <si>
    <t>; Производитель: E[TOSOT];  Тип: S[Сплит система];  (Сплит система) Холодопроизводительность: N[2.35];  (Сплит система) Площадь помещения: N[23];  (Сплит система) Инвентор: S[да];  (Сплит система) Теплопроизводительность: N[2.5];  (Потребляемая мощность) Охлаждение: N[0.681];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315];  (Внутренний блок) Масса (нетто / брутто): S[7.5 / 9];  (Внутренний блок) Уровень шума мин. / макс.: S[24/25/29/33/35/38/40];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S[20.8/22.8];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</si>
  <si>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E[TOSOT];  Тип: S[Сплит система];  (Сплит система) Холодопроизводительность: N[2.35];  (Сплит система) Площадь помещения: N[23];  (Сплит система) Инвентор: S[да];  (Сплит система) Теплопроизводительность: N[2.5];  (Потребляемая мощность) Охлаждение: N[0.681];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315];  (Внутренний блок) Масса (нетто / брутто): S[7.5 / 9];  (Внутренний блок) Уровень шума мин. / макс.: S[24/25/29/33/35/38/40];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S[20.8/22.8];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</si>
  <si>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S[Сплит система];  (Сплит система) Холодопроизводительность: N[2.35];  (Сплит система) Площадь помещения: N[23];  (Сплит система) Инвентор: S[да];  (Сплит система) Теплопроизводительность: N[2.5];  (Потребляемая мощность) Охлаждение: N[0.681];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314];  (Внутренний блок) Масса (нетто / брутто): S[7.7 / 9.2];  (Внутренний блок) Уровень шума мин. / макс.: S[25/33/38/40];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S[20.8/22.8];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</si>
  <si>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N[2.35];  (Сплит система) Площадь помещения: N[23];  (Сплит система) Инвентор: S[да];  (Сплит система) Теплопроизводительность: N[2.5];  (Потребляемая мощность) Охлаждение: N[0.681];  (Потребляемая мощность) Обогрев: S[0.649];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314];  (Внутренний блок) Масса (нетто / брутто): S[7.7 / 9.2];  (Внутренний блок) Уровень шума мин. / макс.: S[25/33/38/40];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S[20.8/22.8];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</si>
  <si>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N[0.72]</t>
  </si>
  <si>
    <t xml:space="preserve"> (Потребляемая мощность) Обогрев: S[0.75]</t>
  </si>
  <si>
    <t>; Производитель: E[TOSOT];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N[0.72];  (Потребляемая мощность) Обогрев: S[0.75];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315];  (Внутренний блок) Масса (нетто / брутто): S[7.5 / 9];  (Внутренний блок) Уровень шума мин. / макс.: S[25/32/36/38];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</si>
  <si>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N[2.5];  (Сплит система) Площадь помещения: N[25];  (Сплит система) Инвентор: S[да];  (Сплит система) Теплопроизводительность: N[2.8];  (Потребляемая мощность) Охлаждение: N[0.72];  (Потребляемая мощность) Обогрев: S[0.75];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315];  (Внутренний блок) Масса (нетто / брутто): S[7.5 / 9];  (Внутренний блок) Уровень шума мин. / макс.: S[25/32/36/38];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</si>
  <si>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S[Сплит система];  (Сплит система) Холодопроизводительность: N[2.65];  (Сплит система) Площадь помещения: N[26];  (Сплит система) Инвентор: S[да];  (Сплит система) Теплопроизводительность: N[2.85];  (Потребляемая мощность) Охлаждение: N[0.78];  (Потребляемая мощность) Обогрев: S[0.781];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314];  (Внутренний блок) Масса (нетто / брутто): S[7.5 / 9];  (Внутренний блок) Уровень шума мин. / макс.: S[24/25/29/33/35/38/40];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S[21/23];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</si>
  <si>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N[2.65];  (Сплит система) Площадь помещения: N[26];  (Сплит система) Инвентор: S[да];  (Сплит система) Теплопроизводительность: N[2.85];  (Потребляемая мощность) Охлаждение: N[0.78];  (Потребляемая мощность) Обогрев: S[0.781];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S[744 х 256 х 185];  (Внутренний блок) Упаковка (Ш x Г x В): S[788 х 249 х 314];  (Внутренний блок) Масса (нетто / брутто): S[7.5 / 9];  (Внутренний блок) Уровень шума мин. / макс.: S[24/25/29/33/35/38/40];  (Наружный блок) Марка компрессора: S[Gree];  (Наружный блок) Размеры (Ш x Г x В): S[710 х 293 х 450];  (Наружный блок) Упаковка (Ш x Г x В): S[761 х 327 х 500];  (Наружный блок) Масса (нетто / брутто): S[21/23];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</si>
  <si>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N[0.991]</t>
  </si>
  <si>
    <t xml:space="preserve"> (Потребляемая мощность) Обогрев: S[0.916]</t>
  </si>
  <si>
    <t>; Производитель: E[TOSOT];  Тип: S[Сплит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N[3.4];  (Потребляемая мощность) Охлаждение: N[0.991];  (Потребляемая мощность) Обогрев: S[0.916];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256 х 185];  (Внутренний блок) Упаковка (Ш x Г x В): S[863 х 249 х 314];  (Внутренний блок) Масса (нетто / брутто): S[8 / 9.5];  (Внутренний блок) Уровень шума мин. / макс.: S[26/33/37/41];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</si>
  <si>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N[3.2];  (Сплит система) Площадь помещения: N[32];  (Сплит система) Инвентор: S[да];  (Сплит система) Теплопроизводительность: N[3.4];  (Потребляемая мощность) Охлаждение: N[0.991];  (Потребляемая мощность) Обогрев: S[0.916];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256 х 185];  (Внутренний блок) Упаковка (Ш x Г x В): S[863 х 249 х 314];  (Внутренний блок) Масса (нетто / брутто): S[8 / 9.5];  (Внутренний блок) Уровень шума мин. / макс.: S[26/33/37/41];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</si>
  <si>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N[1.083];  (Потребляемая мощность) Обогрев: S[0.918];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256 х 185];  (Внутренний блок) Упаковка (Ш x Г x В): S[863 х 249 х 314];  (Внутренний блок) Масса (нетто / брутто): S[8.5 / 10];  (Внутренний блок) Уровень шума мин. / макс.: S[24/26/30/33/35/37/41];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</si>
  <si>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N[3.5];  (Сплит система) Площадь помещения: N[35];  (Сплит система) Инвентор: S[да];  (Сплит система) Теплопроизводительность: N[3.5];  (Потребляемая мощность) Охлаждение: N[1.083];  (Потребляемая мощность) Обогрев: S[0.918];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S[819 х 256 х 185];  (Внутренний блок) Упаковка (Ш x Г x В): S[863 х 249 х 314];  (Внутренний блок) Масса (нетто / брутто): S[8.5 / 10];  (Внутренний блок) Уровень шума мин. / макс.: S[24/26/30/33/35/37/41];  (Наружный блок) Марка компрессора: S[Gree];  (Наружный блок) Размеры (Ш x Г x В): S[732 х 330 х 550];  (Наружный блок) Упаковка (Ш x Г x В): S[789 х 390 х 600];  (Наружный блок) Масса (нетто / брутто): S[25/27.5];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</si>
  <si>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N[1.43]</t>
  </si>
  <si>
    <t xml:space="preserve"> (Потребляемая мощность) Обогрев: S[1.4]</t>
  </si>
  <si>
    <t>; Производитель: E[TOSOT];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N[1.43];  (Потребляемая мощность) Обогрев: S[1.4];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304 х 221];  (Внутренний блок) Упаковка (Ш x Г x В): S[1077 х 300 х 375];  (Внутренний блок) Масса (нетто / брутто): S[14 / 17];  (Внутренний блок) Уровень шума мин. / макс.: S[34/39/45/48];  (Наружный блок) Марка компрессора: S[Gree];  (Наружный блок) Размеры (Ш x Г x В): S[848 х 320 х 596];  (Наружный блок) Упаковка (Ш x Г x В): S[878 х 360 х 630];  (Наружный блок) Масса (нетто / брутто): S[34/37];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</si>
  <si>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N[1.43];  (Потребляемая мощность) Обогрев: S[1.4];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304 х 221];  (Внутренний блок) Упаковка (Ш x Г x В): S[1077 х 300 х 375];  (Внутренний блок) Масса (нетто / брутто): S[14 / 17];  (Внутренний блок) Уровень шума мин. / макс.: S[34/39/45/48];  (Наружный блок) Марка компрессора: S[Gree];  (Наружный блок) Размеры (Ш x Г x В): S[848 х 320 х 596];  (Наружный блок) Упаковка (Ш x Г x В): S[878 х 360 х 630];  (Наружный блок) Масса (нетто / брутто): S[34/37];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</si>
  <si>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N[1.355];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S[1013 х 307 х 221];  (Внутренний блок) Упаковка (Ш x Г x В): S[1055 х 287 х 366];  (Внутренний блок) Масса (нетто / брутто): S[13.5 / 16];  (Внутренний блок) Уровень шума мин. / макс.: S[34/38/42/44];  (Наружный блок) Марка компрессора: S[Gree];  (Наружный блок) Размеры (Ш x Г x В): S[732 х 330 х 555];  (Наружный блок) Упаковка (Ш x Г x В): S[791 х 373 х 590];  (Наружный блок) Масса (нетто / брутто): S[26.5/29];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</si>
  <si>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N[4.6];  (Сплит система) Площадь помещения: N[46];  (Сплит система) Инвентор: S[да];  (Сплит система) Теплопроизводительность: N[5.2];  (Потребляемая мощность) Охлаждение: N[1.355];  (Потребляемая мощность) Обогрев: S[1.34];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S[1013 х 307 х 221];  (Внутренний блок) Упаковка (Ш x Г x В): S[1055 х 287 х 366];  (Внутренний блок) Масса (нетто / брутто): S[13.5 / 16];  (Внутренний блок) Уровень шума мин. / макс.: S[34/38/42/44];  (Наружный блок) Марка компрессора: S[Gree];  (Наружный блок) Размеры (Ш x Г x В): S[732 х 330 х 555];  (Наружный блок) Упаковка (Ш x Г x В): S[791 х 373 х 590];  (Наружный блок) Масса (нетто / брутто): S[26.5/29];  (Наружный блок) Максимальный уровень шума: N[];  (Соединительные трубы) Жидкостная линия : N[6];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</si>
  <si>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N[1.76]</t>
  </si>
  <si>
    <t xml:space="preserve"> (Потребляемая мощность) Обогрев: S[1.86]</t>
  </si>
  <si>
    <t>; Производитель: E[TOSOT];  Тип: S[Сплит система];  (Сплит система) Холодопроизводительность: N[6.16];  (Сплит система) Площадь помещения: N[61];  (Сплит система) Инвентор: S[да];  (Сплит система) Теплопроизводительность: N[6.45];  (Потребляемая мощность) Охлаждение: N[1.76];  (Потребляемая мощность) Обогрев: S[1.86];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304 х 221];  (Внутренний блок) Упаковка (Ш x Г x В): S[1077 х 300 х 375];  (Внутренний блок) Масса (нетто / брутто): S[14 / 17];  (Внутренний блок) Уровень шума мин. / макс.: S[34/40/44/48];  (Наружный блок) Марка компрессора: S[Gree];  (Наружный блок) Размеры (Ш x Г x В): S[965 х 396 х 700];  (Наружный блок) Упаковка (Ш x Г x В): S[1026 х 455 х 735];  (Наружный блок) Масса (нетто / брутто): S[46/50.5];  (Наружный блок) Максимальный уровень шума: N[];  (Соединительные трубы) Жидкостная линия : N[6.35];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</si>
  <si>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N[6.16];  (Сплит система) Площадь помещения: N[61];  (Сплит система) Инвентор: S[да];  (Сплит система) Теплопроизводительность: N[6.45];  (Потребляемая мощность) Охлаждение: N[1.76];  (Потребляемая мощность) Обогрев: S[1.86];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S[1017 х 304 х 221];  (Внутренний блок) Упаковка (Ш x Г x В): S[1077 х 300 х 375];  (Внутренний блок) Масса (нетто / брутто): S[14 / 17];  (Внутренний блок) Уровень шума мин. / макс.: S[34/40/44/48];  (Наружный блок) Марка компрессора: S[Gree];  (Наружный блок) Размеры (Ш x Г x В): S[965 х 396 х 700];  (Наружный блок) Упаковка (Ш x Г x В): S[1026 х 455 х 735];  (Наружный блок) Масса (нетто / брутто): S[46/50.5];  (Наружный блок) Максимальный уровень шума: N[];  (Соединительные трубы) Жидкостная линия : N[6.35];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</si>
  <si>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N[1.827]</t>
  </si>
  <si>
    <t xml:space="preserve"> (Потребляемая мощность) Обогрев: S[1.912]</t>
  </si>
  <si>
    <t>; Производитель: E[TOSOT];  Тип: S[Сплит система];  (Сплит система) Холодопроизводительность: N[6.2];  (Сплит система) Площадь помещения: N[62];  (Сплит система) Инвентор: S[да];  (Сплит система) Теплопроизводительность: N[6.5];  (Потребляемая мощность) Охлаждение: N[1.827];  (Потребляемая мощность) Обогрев: S[1.912];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S[1013 х 307 х 221];  (Внутренний блок) Упаковка (Ш x Г x В): S[1077 х 300 х 375];  (Внутренний блок) Масса (нетто / брутто): S[14 / 17];  (Внутренний блок) Уровень шума мин. / макс.: S[26/30/32/37/42/45/48];  (Наружный блок) Марка компрессора: S[Gree];  (Наружный блок) Размеры (Ш x Г x В): S[873 х 376 х 555];  (Наружный блок) Упаковка (Ш x Г x В): S[948 х 428 х 591];  (Наружный блок) Масса (нетто / брутто): S[36.5/39.5];  (Наружный блок) Максимальный уровень шума: N[];  (Соединительные трубы) Жидкостная линия : N[6];  (Соединительные трубы) Газовая линия : N[12];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</si>
  <si>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E[TOSOT];  Тип: S[Сплит система];  (Сплит система) Холодопроизводительность: N[6.2];  (Сплит система) Площадь помещения: N[62];  (Сплит система) Инвентор: S[да];  (Сплит система) Теплопроизводительность: N[6.5];  (Потребляемая мощность) Охлаждение: N[1.827];  (Потребляемая мощность) Обогрев: S[1.912];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S[1013 х 307 х 221];  (Внутренний блок) Упаковка (Ш x Г x В): S[1077 х 300 х 375];  (Внутренний блок) Масса (нетто / брутто): S[14 / 17];  (Внутренний блок) Уровень шума мин. / макс.: S[26/30/32/37/42/45/48];  (Наружный блок) Марка компрессора: S[Gree];  (Наружный блок) Размеры (Ш x Г x В): S[873 х 376 х 555];  (Наружный блок) Упаковка (Ш x Г x В): S[948 х 428 х 591];  (Наружный блок) Масса (нетто / брутто): S[36.5/39.5];  (Наружный блок) Максимальный уровень шума: N[];  (Соединительные трубы) Жидкостная линия : N[6];  (Соединительные трубы) Газовая линия : N[12];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</si>
  <si>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(Потребляемая мощность) Охлаждение: N[0.55]</t>
  </si>
  <si>
    <t>; Производитель: E[TOSOT];  Тип: S[Сплит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N[3.6];  (Потребляемая мощность) Охлаждение: N[0.55];  (Потребляемая мощность) Обогрев: S[0.75];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S[977 х 281 х 295];  (Внутренний блок) Упаковка (Ш x Г x В): S[1086 х 402 х 376];  (Внутренний блок) Масса (нетто / брутто): S[17 / 21.5];  (Внутренний блок) Уровень шума мин. / макс.: S[19/22/29/33/35/38/42];  (Наружный блок) Марка компрессора: S[Gree];  (Наружный блок) Размеры (Ш x Г x В): S[899 х 378 х 596];  (Наружный блок) Упаковка (Ш x Г x В): S[948 х 420 х 645];  (Наружный блок) Масса (нетто / брутто): S[37.5/40.5];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</si>
  <si>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Производитель: E[TOSOT];  Тип: S[Сплит система];  (Сплит система) Холодопроизводительность: N[2.7];  (Сплит система) Площадь помещения: N[27];  (Сплит система) Инвентор: S[да];  (Сплит система) Теплопроизводительность: N[3.6];  (Потребляемая мощность) Охлаждение: N[0.55];  (Потребляемая мощность) Обогрев: S[0.75];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S[977 х 281 х 295];  (Внутренний блок) Упаковка (Ш x Г x В): S[1086 х 402 х 376];  (Внутренний блок) Масса (нетто / брутто): S[17 / 21.5];  (Внутренний блок) Уровень шума мин. / макс.: S[19/22/29/33/35/38/42];  (Наружный блок) Марка компрессора: S[Gree];  (Наружный блок) Размеры (Ш x Г x В): S[899 х 378 х 596];  (Наружный блок) Упаковка (Ш x Г x В): S[948 х 420 х 645];  (Наружный блок) Масса (нетто / брутто): S[37.5/40.5];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</si>
  <si>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 xml:space="preserve"> (Сплит система) Холодопроизводительность: N[3.53]</t>
  </si>
  <si>
    <t xml:space="preserve"> (Сплит система) Теплопроизводительность: N[4.2]</t>
  </si>
  <si>
    <t xml:space="preserve"> (Потребляемая мощность) Охлаждение: N[0.802]</t>
  </si>
  <si>
    <t xml:space="preserve"> (Потребляемая мощность) Обогрев: S[0.934]</t>
  </si>
  <si>
    <t>; Производитель: E[TOSOT];  Тип: S[Сплит система];  (Сплит система) Холодопроизводительность: N[3.53];  (Сплит система) Площадь помещения: N[35];  (Сплит система) Инвентор: S[да];  (Сплит система) Теплопроизводительность: N[4.2];  (Потребляемая мощность) Охлаждение: N[0.802];  (Потребляемая мощность) Обогрев: S[0.934];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S[977 х 281 х 295];  (Внутренний блок) Упаковка (Ш x Г x В): S[1086 х 402 х 376];  (Внутренний блок) Масса (нетто / брутто): S[17 / 21.5];  (Внутренний блок) Уровень шума мин. / макс.: S[22/23/29/34/37/39/44];  (Наружный блок) Марка компрессора: S[Gree];  (Наружный блок) Размеры (Ш x Г x В): S[899 х 378 х 596];  (Наружный блок) Упаковка (Ш x Г x В): S[948 х 420 х 645];  (Наружный блок) Масса (нетто / брутто): S[37.5/40.5];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</si>
  <si>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Производитель: E[TOSOT];  Тип: S[Сплит система];  (Сплит система) Холодопроизводительность: N[3.53];  (Сплит система) Площадь помещения: N[35];  (Сплит система) Инвентор: S[да];  (Сплит система) Теплопроизводительность: N[4.2];  (Потребляемая мощность) Охлаждение: N[0.802];  (Потребляемая мощность) Обогрев: S[0.934];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S[977 х 281 х 295];  (Внутренний блок) Упаковка (Ш x Г x В): S[1086 х 402 х 376];  (Внутренний блок) Масса (нетто / брутто): S[17 / 21.5];  (Внутренний блок) Уровень шума мин. / макс.: S[22/23/29/34/37/39/44];  (Наружный блок) Марка компрессора: S[Gree];  (Наружный блок) Размеры (Ш x Г x В): S[899 х 378 х 596];  (Наружный блок) Упаковка (Ш x Г x В): S[948 х 420 х 645];  (Наружный блок) Масса (нетто / брутто): S[37.5/40.5];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</si>
  <si>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 xml:space="preserve"> (Потребляемая мощность) Обогрев: S[1.6]</t>
  </si>
  <si>
    <t>; Производитель: E[TOSOT];  Тип: S[Канальные];  (Сплит система) Холодопроизводительность: N[5.3];  (Сплит система) Площадь помещения: N[53];  (Сплит система) Инвентор: S[да];  (Сплит система) Теплопроизводительность: N[5.8];  (Потребляемая мощность) Охлаждение: N[1.65];  (Потребляемая мощность) Обогрев: S[1.6];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200 х 450];  (Внутренний блок) Упаковка (Ш x Г x В): S[1308 х 568 х 275];  (Внутренний блок) Масса (нетто / брутто): S[26 / 31];  (Внутренний блок) Уровень шума мин. / макс.: S[35/37/39/40];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</si>
  <si>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N[5.3];  (Сплит система) Площадь помещения: N[53];  (Сплит система) Инвентор: S[да];  (Сплит система) Теплопроизводительность: N[5.8];  (Потребляемая мощность) Охлаждение: N[1.65];  (Потребляемая мощность) Обогрев: S[1.6];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200 х 450];  (Внутренний блок) Упаковка (Ш x Г x В): S[1308 х 568 х 275];  (Внутренний блок) Масса (нетто / брутто): S[26 / 31];  (Внутренний блок) Уровень шума мин. / макс.: S[35/37/39/40];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</si>
  <si>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xml:space="preserve"> (Сплит система) Холодопроизводительность: N[7.15]</t>
  </si>
  <si>
    <t xml:space="preserve"> (Потребляемая мощность) Обогрев: S[2.5]</t>
  </si>
  <si>
    <t>; Производитель: E[TOSOT];  Тип: S[Канальные];  (Сплит система) Холодопроизводительность: N[7.15];  (Сплит система) Площадь помещения: N[71];  (Сплит система) Инвентор: S[да];  (Сплит система) Теплопроизводительность: N[8];  (Потребляемая мощность) Охлаждение: N[2.45];  (Потребляемая мощность) Обогрев: S[2.5];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200 х 450];  (Внутренний блок) Упаковка (Ш x Г x В): S[1308 х 568 х 275];  (Внутренний блок) Масса (нетто / брутто): S[26 / 31];  (Внутренний блок) Уровень шума мин. / макс.: S[38/40/42/43];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</si>
  <si>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N[7.15];  (Сплит система) Площадь помещения: N[71];  (Сплит система) Инвентор: S[да];  (Сплит система) Теплопроизводительность: N[8];  (Потребляемая мощность) Охлаждение: N[2.45];  (Потребляемая мощность) Обогрев: S[2.5];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200 х 450];  (Внутренний блок) Упаковка (Ш x Г x В): S[1308 х 568 х 275];  (Внутренний блок) Масса (нетто / брутто): S[26 / 31];  (Внутренний блок) Уровень шума мин. / макс.: S[38/40/42/43];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</si>
  <si>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xml:space="preserve"> (Сплит система) Теплопроизводительность: N[11]</t>
  </si>
  <si>
    <t xml:space="preserve"> (Потребляемая мощность) Охлаждение: N[3.4]</t>
  </si>
  <si>
    <t>; Производитель: E[TOSOT];  Тип: S[Канальные];  (Сплит система) Холодопроизводительность: N[10.1];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S[1205 х 813 х 360];  (Внутренний блок) Масса (нетто / брутто): S[41 / 47];  (Внутренний блок) Уровень шума мин. / макс.: S[37/39/41/43];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</si>
  <si>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N[10.1];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S[1000 х 300 х 700];  (Внутренний блок) Упаковка (Ш x Г x В): S[1205 х 813 х 360];  (Внутренний блок) Масса (нетто / брутто): S[41 / 47];  (Внутренний блок) Уровень шума мин. / макс.: S[37/39/41/43];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</si>
  <si>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xml:space="preserve"> (Потребляемая мощность) Обогрев: S[4.4]</t>
  </si>
  <si>
    <t>; Производитель: E[TOSOT];  Тип: S[Канальные];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  (Потребляемая мощность) Обогрев: S[4.4];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S[1601 х 813 х 365];  (Внутренний блок) Масса (нетто / брутто): S[50 / 56];  (Внутренний блок) Уровень шума мин. / макс.: S[37/39/40/42];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</si>
  <si>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  (Потребляемая мощность) Обогрев: S[4.4];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S[1601 х 813 х 365];  (Внутренний блок) Масса (нетто / брутто): S[50 / 56];  (Внутренний блок) Уровень шума мин. / макс.: S[37/39/40/42];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</si>
  <si>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xml:space="preserve"> (Сплит система) Холодопроизводительность: N[15.6]</t>
  </si>
  <si>
    <t xml:space="preserve"> (Потребляемая мощность) Охлаждение: N[5.4]</t>
  </si>
  <si>
    <t>; Производитель: E[TOSOT];  Тип: S[Канальные];  (Сплит система) Холодопроизводительность: N[15.6];  (Сплит система) Площадь помещения: N[150];  (Сплит система) Инвентор: S[да];  (Сплит система) Теплопроизводительность: N[17];  (Потребляемая мощность) Охлаждение: N[5.4];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S[1678 х 808 х 365];  (Внутренний блок) Масса (нетто / брутто): S[57 / 64];  (Внутренний блок) Уровень шума мин. / макс.: S[42/44/45/50];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</si>
  <si>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S[Канальные];  (Сплит система) Холодопроизводительность: N[15.6];  (Сплит система) Площадь помещения: N[150];  (Сплит система) Инвентор: S[да];  (Сплит система) Теплопроизводительность: N[17];  (Потребляемая мощность) Охлаждение: N[5.4];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S[1400 х 300 х 700];  (Внутренний блок) Упаковка (Ш x Г x В): S[1678 х 808 х 365];  (Внутренний блок) Масса (нетто / брутто): S[57 / 64];  (Внутренний блок) Уровень шума мин. / макс.: S[42/44/45/50];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</si>
  <si>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xml:space="preserve"> (Потребляемая мощность) Охлаждение: N[1.03]</t>
  </si>
  <si>
    <t xml:space="preserve"> (Потребляемая мощность) Обогрев: S[1.1]</t>
  </si>
  <si>
    <t>; Производитель: E[TOSOT];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  (Потребляемая мощность) Охлаждение: N[1.03];  (Потребляемая мощность) Обогрев: S[1.1];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265 х 570];  (Внутренний блок) Упаковка (Ш x Г x В): S[653 х 698 х 295];  (Внутренний блок) Масса (нетто / брутто): S[17 / 22];  (Внутренний блок) Уровень шума мин. / макс.: S[31/35/37/41];  (Наружный блок) Марка компрессора: S[Gree];  (Наружный блок) Размеры (Ш x Г x В): S[818 х 302 х 596];  (Наружный блок) Упаковка (Ш x Г x В): S[948 х 420 х 645];  (Наружный блок) Масса (нетто / брутто): S[38/41];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</si>
  <si>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N[3.5];  (Сплит система) Площадь помещения: N[35];  (Сплит система) Инвентор: S[да];  (Сплит система) Теплопроизводительность: N[4];  (Потребляемая мощность) Охлаждение: N[1.03];  (Потребляемая мощность) Обогрев: S[1.1];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265 х 570];  (Внутренний блок) Упаковка (Ш x Г x В): S[653 х 698 х 295];  (Внутренний блок) Масса (нетто / брутто): S[17 / 22];  (Внутренний блок) Уровень шума мин. / макс.: S[31/35/37/41];  (Наружный блок) Марка компрессора: S[Gree];  (Наружный блок) Размеры (Ш x Г x В): S[818 х 302 х 596];  (Наружный блок) Упаковка (Ш x Г x В): S[948 х 420 х 645];  (Наружный блок) Масса (нетто / брутто): S[38/41];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</si>
  <si>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N[1.56];  (Потребляемая мощность) Обогрев: S[1.6];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265 х 570];  (Внутренний блок) Упаковка (Ш x Г x В): S[653 х 698 х 295];  (Внутренний блок) Масса (нетто / брутто): S[17 / 22];  (Внутренний блок) Уровень шума мин. / макс.: S[31/35/39/44];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</si>
  <si>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N[1.56];  (Потребляемая мощность) Обогрев: S[1.6];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S[570 х 265 х 570];  (Внутренний блок) Упаковка (Ш x Г x В): S[653 х 698 х 295];  (Внутренний блок) Масса (нетто / брутто): S[17 / 22];  (Внутренний блок) Уровень шума мин. / макс.: S[31/35/39/44];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</si>
  <si>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N[7];  (Сплит система) Площадь помещения: N[70];  (Сплит система) Инвентор: S[да];  (Сплит система) Теплопроизводительность: N[8];  (Потребляемая мощность) Охлаждение: N[2.18];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200 х 840];  (Внутренний блок) Упаковка (Ш x Г x В): S[923 х 943 х 245];  (Внутренний блок) Масса (нетто / брутто): S[23 / 30];  (Внутренний блок) Уровень шума мин. / макс.: S[39/41/45/47];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</si>
  <si>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N[7];  (Сплит система) Площадь помещения: N[70];  (Сплит система) Инвентор: S[да];  (Сплит система) Теплопроизводительность: N[8];  (Потребляемая мощность) Охлаждение: N[2.18];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200 х 840];  (Внутренний блок) Упаковка (Ш x Г x В): S[923 х 943 х 245];  (Внутренний блок) Масса (нетто / брутто): S[23 / 30];  (Внутренний блок) Уровень шума мин. / макс.: S[39/41/45/47];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</si>
  <si>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xml:space="preserve"> (Потребляемая мощность) Обогрев: S[3]</t>
  </si>
  <si>
    <t>; Производитель: E[TOSOT];  Тип: S[Кассетные];  (Сплит система) Холодопроизводительность: N[10.1];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240 х 840];  (Внутренний блок) Упаковка (Ш x Г x В): S[963 х 963 х 325];  (Внутренний блок) Масса (нетто / брутто): S[31 / 38];  (Внутренний блок) Уровень шума мин. / макс.: S[42/46/48/50];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</si>
  <si>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N[10.1];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240 х 840];  (Внутренний блок) Упаковка (Ш x Г x В): S[963 х 963 х 325];  (Внутренний блок) Масса (нетто / брутто): S[31 / 38];  (Внутренний блок) Уровень шума мин. / макс.: S[42/46/48/50];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</si>
  <si>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  (Потребляемая мощность) Обогрев: S[4.4];  (Рабочий ток) Охлаждение: S[];  (Рабочий ток) Обогрев: S[];  (Рабочий ток) Напряжение / Частота источника питания: S[1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290 х 840];  (Внутренний блок) Упаковка (Ш x Г x В): S[963 х 963 х 379];  (Внутренний блок) Масса (нетто / брутто): S[33 / 41];  (Внутренний блок) Уровень шума мин. / макс.: S[42/46/49/51];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</si>
  <si>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  (Потребляемая мощность) Обогрев: S[4.4];  (Рабочий ток) Охлаждение: S[];  (Рабочий ток) Обогрев: S[];  (Рабочий ток) Напряжение / Частота источника питания: S[1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290 х 840];  (Внутренний блок) Упаковка (Ш x Г x В): S[963 х 963 х 379];  (Внутренний блок) Масса (нетто / брутто): S[33 / 41];  (Внутренний блок) Уровень шума мин. / макс.: S[42/46/49/51];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</si>
  <si>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S[Кассетные];  (Сплит система) Холодопроизводительность: N[15];  (Сплит система) Площадь помещения: N[150];  (Сплит система) Инвентор: S[да];  (Сплит система) Теплопроизводительность: N[17];  (Потребляемая мощность) Охлаждение: N[5.2];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290 х 840];  (Внутренний блок) Упаковка (Ш x Г x В): S[963 х 963 х 379];  (Внутренний блок) Масса (нетто / брутто): S[36 / 44];  (Внутренний блок) Уровень шума мин. / макс.: S[48/50/52/54];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</si>
  <si>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S[Кассетные];  (Сплит система) Холодопроизводительность: N[15];  (Сплит система) Площадь помещения: N[150];  (Сплит система) Инвентор: S[да];  (Сплит система) Теплопроизводительность: N[17];  (Потребляемая мощность) Охлаждение: N[5.2];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S[840 х 290 х 840];  (Внутренний блок) Упаковка (Ш x Г x В): S[963 х 963 х 379];  (Внутренний блок) Масса (нетто / брутто): S[36 / 44];  (Внутренний блок) Уровень шума мин. / макс.: S[48/50/52/54];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</si>
  <si>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xml:space="preserve"> (Потребляемая мощность) Обогрев: S[1.7]</t>
  </si>
  <si>
    <t>; Производитель: E[TOSOT];  Тип: S[Напольно-потолочные];  (Сплит система) Холодопроизводительность: N[5.2];  (Сплит система) Площадь помещения: N[52];  (Сплит система) Инвентор: S[да];  (Сплит система) Теплопроизводительность: N[5.8];  (Потребляемая мощность) Охлаждение: N[1.62];  (Потребляемая мощность) Обогрев: S[1.7];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665 х 235];  (Внутренний блок) Упаковка (Ш x Г x В): S[1033 х 300 х 770];  (Внутренний блок) Масса (нетто / брутто): S[26 / 31];  (Внутренний блок) Уровень шума мин. / макс.: S[36/39/42/44];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</si>
  <si>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N[5.2];  (Сплит система) Площадь помещения: N[52];  (Сплит система) Инвентор: S[да];  (Сплит система) Теплопроизводительность: N[5.8];  (Потребляемая мощность) Охлаждение: N[1.62];  (Потребляемая мощность) Обогрев: S[1.7];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665 х 235];  (Внутренний блок) Упаковка (Ш x Г x В): S[1033 х 300 х 770];  (Внутренний блок) Масса (нетто / брутто): S[26 / 31];  (Внутренний блок) Уровень шума мин. / макс.: S[36/39/42/44];  (Наружный блок) Марка компрессора: S[Gree];  (Наружный блок) Размеры (Ш x Г x В): S[818 х 302 х 596];  (Наружный блок) Упаковка (Ш x Г x В): S[948 х 420 х 645];  (Наружный блок) Масса (нетто / брутто): S[41/44];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</si>
  <si>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xml:space="preserve"> (Потребляемая мощность) Охлаждение: N[2.4]</t>
  </si>
  <si>
    <t xml:space="preserve"> (Потребляемая мощность) Обогрев: S[2.55]</t>
  </si>
  <si>
    <t>; Производитель: E[TOSOT];  Тип: S[Напольно-потолочные];  (Сплит система) Холодопроизводительность: N[7.15];  (Сплит система) Площадь помещения: N[71];  (Сплит система) Инвентор: S[да];  (Сплит система) Теплопроизводительность: N[8];  (Потребляемая мощность) Охлаждение: N[2.4];  (Потребляемая мощность) Обогрев: S[2.55];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665 х 235];  (Внутренний блок) Упаковка (Ш x Г x В): S[1033 х 300 х 770];  (Внутренний блок) Масса (нетто / брутто): S[26 / 31];  (Внутренний блок) Уровень шума мин. / макс.: S[43/45/48/49];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</si>
  <si>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N[7.15];  (Сплит система) Площадь помещения: N[71];  (Сплит система) Инвентор: S[да];  (Сплит система) Теплопроизводительность: N[8];  (Потребляемая мощность) Охлаждение: N[2.4];  (Потребляемая мощность) Обогрев: S[2.55];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S[870 х 665 х 235];  (Внутренний блок) Упаковка (Ш x Г x В): S[1033 х 300 х 770];  (Внутренний блок) Масса (нетто / брутто): S[26 / 31];  (Внутренний блок) Уровень шума мин. / макс.: S[43/45/48/49];  (Наружный блок) Марка компрессора: S[Gree];  (Наружный блок) Размеры (Ш x Г x В): S[892 х 340 х 698];  (Наружный блок) Упаковка (Ш x Г x В): S[1029 х 458 х 750];  (Наружный блок) Масса (нетто / брутто): S[53/57];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</si>
  <si>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N[10];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300 х 770];  (Внутренний блок) Масса (нетто / брутто): S[32 / 38];  (Внутренний блок) Уровень шума мин. / макс.: S[43/45/47/49];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</si>
  <si>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N[10];  (Сплит система) Площадь помещения: N[100];  (Сплит система) Инвентор: S[да];  (Сплит система) Теплопроизводительность: N[11];  (Потребляемая мощность) Охлаждение: N[3.4];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S[1200 х 665 х 235];  (Внутренний блок) Упаковка (Ш x Г x В): S[1363 х 300 х 770];  (Внутренний блок) Масса (нетто / брутто): S[32 / 38];  (Внутренний блок) Уровень шума мин. / макс.: S[43/45/47/49];  (Наружный блок) Марка компрессора: S[Gree];  (Наружный блок) Размеры (Ш x Г x В): S[920 х 370 х 790];  (Наружный блок) Упаковка (Ш x Г x В): S[1083 х 488 х 855];  (Наружный блок) Масса (нетто / брутто): S[61/66];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</si>
  <si>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S[Напольно-потолочные];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N[5.2];  (Потребляемая мощность) Обогрев: S[4.4];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300 х 770];  (Внутренний блок) Масса (нетто / брутто): S[40 / 47];  (Внутренний блок) Уровень шума мин. / макс.: S[44/48/50/52];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</si>
  <si>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N[14];  (Сплит система) Площадь помещения: N[140];  (Сплит система) Инвентор: S[да];  (Сплит система) Теплопроизводительность: N[15];  (Потребляемая мощность) Охлаждение: N[5.2];  (Потребляемая мощность) Обогрев: S[4.4];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300 х 770];  (Внутренний блок) Масса (нетто / брутто): S[40 / 47];  (Внутренний блок) Уровень шума мин. / макс.: S[44/48/50/52];  (Наружный блок) Марка компрессора: S[Gree];  (Наружный блок) Размеры (Ш x Г x В): S[940 х 460 х 820];  (Наружный блок) Упаковка (Ш x Г x В): S[1083 х 573 х 973];  (Наружный блок) Масса (нетто / брутто): S[96/108];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</si>
  <si>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xml:space="preserve"> (Сплит система) Холодопроизводительность: N[15.4]</t>
  </si>
  <si>
    <t>; Производитель: E[TOSOT];  Тип: S[Напольно-потолочные];  (Сплит система) Холодопроизводительность: N[15.4];  (Сплит система) Площадь помещения: N[150];  (Сплит система) Инвентор: S[да];  (Сплит система) Теплопроизводительность: N[17];  (Потребляемая мощность) Охлаждение: N[5.2];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300 х 770];  (Внутренний блок) Масса (нетто / брутто): S[42 / 49];  (Внутренний блок) Уровень шума мин. / макс.: S[45/49/53/54];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</si>
  <si>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Производитель: E[TOSOT];  Тип: S[Напольно-потолочные];  (Сплит система) Холодопроизводительность: N[15.4];  (Сплит система) Площадь помещения: N[150];  (Сплит система) Инвентор: S[да];  (Сплит система) Теплопроизводительность: N[17];  (Потребляемая мощность) Охлаждение: N[5.2];  (Потребляемая мощность) Обогрев: S[4.8];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S[1570 х 665 х 235];  (Внутренний блок) Упаковка (Ш x Г x В): S[1729 х 300 х 770];  (Внутренний блок) Масса (нетто / брутто): S[42 / 49];  (Внутренний блок) Уровень шума мин. / макс.: S[45/49/53/54];  (Наружный блок) Марка компрессора: S[Gree];  (Наружный блок) Размеры (Ш x Г x В): S[940 х 460 х 820];  (Наружный блок) Упаковка (Ш x Г x В): S[1083 х 573 х 973];  (Наружный блок) Масса (нетто / брутто): S[100/112];  (Наружный блок) Максимальный уровень шума: N[];  (Соединительные трубы) Жидкостная линия :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</si>
  <si>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xml:space="preserve"> (Сплит система) Холодопроизводительность: N[6.1]</t>
  </si>
  <si>
    <t xml:space="preserve"> (Сплит система) Теплопроизводительность: N[9.3]</t>
  </si>
  <si>
    <t xml:space="preserve"> (Сплит система) Теплопроизводительность: N[13]</t>
  </si>
  <si>
    <t xml:space="preserve"> (Сплит система) Теплопроизводительность: N[5.65]</t>
  </si>
  <si>
    <t xml:space="preserve"> (Сплит система) Теплопроизводительность: N[8.6]</t>
  </si>
  <si>
    <t xml:space="preserve"> (Сплит система) Теплопроизводительность: N[9.5]</t>
  </si>
  <si>
    <t xml:space="preserve"> (Сплит система) Теплопроизводительность: N[12.5]</t>
  </si>
  <si>
    <t>; Производитель: E[TOSOT];  Тип: S[Мульти сплит система];  (Сплит система) Холодопроизводительность: N[12.1];  (Сплит система) Площадь помещения: N[120];  (Сплит система) Инвентор: S[да];  (Сплит система) Теплопроизводительность: N[12.5];  (Потребляемая мощность) Охлаждение: N[4.1];  (Потребляемая мощность) Обогрев: S[3.7];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</si>
  <si>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Производитель: E[TOSOT];  Тип: S[Мульти сплит система];  (Сплит система) Холодопроизводительность: N[12.1];  (Сплит система) Площадь помещения: N[120];  (Сплит система) Инвентор: S[да];  (Сплит система) Теплопроизводительность: N[12.5];  (Потребляемая мощность) Охлаждение: N[4.1];  (Потребляемая мощность) Обогрев: S[3.7];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</si>
  <si>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N[15.5];  (Потребляемая мощность) Охлаждение: N[4.9];  (Потребляемая мощность) Обогрев: S[4.3];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</si>
  <si>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Производитель: E[TOSOT];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N[15.5];  (Потребляемая мощность) Охлаждение: N[4.9];  (Потребляемая мощность) Обогрев: S[4.3];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</si>
  <si>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N[4.4];  (Потребляемая мощность) Обогрев: S[4.25];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</si>
  <si>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Производитель: E[TOSOT];  Тип: S[Мульти сплит система];  (Сплит система) Холодопроизводительность: N[14];  (Сплит система) Площадь помещения: N[140];  (Сплит система) Инвентор: S[да];  (Сплит система) Теплопроизводительность: N[16];  (Потребляемая мощность) Охлаждение: N[4.4];  (Потребляемая мощность) Обогрев: S[4.25];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</si>
  <si>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 xml:space="preserve"> (Сплит система) Холодопроизводительность: N[15.5]</t>
  </si>
  <si>
    <t xml:space="preserve"> (Сплит система) Теплопроизводительность: N[17.5]</t>
  </si>
  <si>
    <t>; Производитель: E[TOSOT];  Тип: S[Мульти сплит система];  (Сплит система) Холодопроизводительность: N[15.5];  (Сплит система) Площадь помещения: N[150];  (Сплит система) Инвентор: S[да];  (Сплит система) Теплопроизводительность: N[17.5];  (Потребляемая мощность) Охлаждение: N[5.3];  (Потребляемая мощность) Обогрев: S[4.8];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</si>
  <si>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Производитель: E[TOSOT];  Тип: S[Мульти сплит система];  (Сплит система) Холодопроизводительность: N[15.5];  (Сплит система) Площадь помещения: N[150];  (Сплит система) Инвентор: S[да];  (Сплит система) Теплопроизводительность: N[17.5];  (Потребляемая мощность) Охлаждение: N[5.3];  (Потребляемая мощность) Обогрев: S[4.8];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N[16];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</si>
  <si>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S[Мульти сплит система];  (Сплит система) Холодопроизводительность: N[16];  (Сплит система) Площадь помещения: N[160];  (Сплит система) Инвентор: S[да];  (Сплит система) Теплопроизводительность: N[18];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N[19];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</si>
  <si>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Производитель: E[TOSOT];  Тип: S[Мульти сплит система];  (Сплит система) Холодопроизводительность: N[16];  (Сплит система) Площадь помещения: N[160];  (Сплит система) Инвентор: S[да];  (Сплит система) Теплопроизводительность: N[18];  (Потребляемая мощность) Охлаждение: N[5];  (Потребляемая мощность) Обогрев: S[4.7];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N[9.5];  (Соединительные трубы) Газовая линия : N[19];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</si>
  <si>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 xml:space="preserve">; ; ; ; ; ; ; ; ; ; ; ; ; ; ; ; ; ; ; ; ; ; ; ; ; ; ; ; </t>
  </si>
  <si>
    <t>on 17:28:17</t>
  </si>
  <si>
    <t>; Производитель: E[LESSAR];  Тип: S[Колонные];  (Сплит система) Холодопроизводительность: N[7.03];  (Сплит система) Площадь помещения: N[70];  (Сплит система) Инвентор: S[нет];  (Сплит система) Теплопроизводительность: N[7.62];  (Потребляемая мощность) Охлаждение: N[2.7];  (Потребляемая мощность) Обогрев: S[2.5];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S[510 х 1750 х 315];  (Внутренний блок) Упаковка (Ш x Г x В): S[655 х 430 х 1910];  (Внутренний блок) Масса (нетто / брутто): S[38.4 / 48.7];  (Внутренний блок) Уровень шума мин. / макс.: S[40.5/47.5];  (Наружный блок) Марка компрессора: S[GMCC];  (Наружный блок) Размеры (Ш x Г x В): S[845 х 363 х 702];  (Наружный блок) Упаковка (Ш x Г x В): S[965 х 395 х 775];  (Наружный блок) Масса (нетто / брутто): S[57.7/61];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-7 до +24]</t>
  </si>
  <si>
    <t>Производитель: E[LESSAR];  Тип: S[Колонные];  (Сплит система) Холодопроизводительность: N[7.03];  (Сплит система) Площадь помещения: N[70];  (Сплит система) Инвентор: S[нет];  (Сплит система) Теплопроизводительность: N[7.62];  (Потребляемая мощность) Охлаждение: N[2.7];  (Потребляемая мощность) Обогрев: S[2.5];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S[510 х 1750 х 315];  (Внутренний блок) Упаковка (Ш x Г x В): S[655 х 430 х 1910];  (Внутренний блок) Масса (нетто / брутто): S[38.4 / 48.7];  (Внутренний блок) Уровень шума мин. / макс.: S[40.5/47.5];  (Наружный блок) Марка компрессора: S[GMCC];  (Наружный блок) Размеры (Ш x Г x В): S[845 х 363 х 702];  (Наружный блок) Упаковка (Ш x Г x В): S[965 х 395 х 775];  (Наружный блок) Масса (нетто / брутто): S[57.7/61];  (Наружный блок) Максимальный уровень шума: N[];  (Соединительные трубы) Жидкостная линия :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-7 до +24]</t>
  </si>
  <si>
    <t xml:space="preserve"> (Потребляемая мощность) Обогрев: S[5.06]</t>
  </si>
  <si>
    <t>; Производитель: E[LESSAR];  Тип: S[Колонные];  (Сплит система) Холодопроизводительность: N[14.06];  (Сплит система) Площадь помещения: N[141];  (Сплит система) Инвентор: S[нет];  (Сплит система) Теплопроизводительность: N[15.24];  (Потребляемая мощность) Охлаждение: N[5.39];  (Потребляемая мощность) Обогрев: S[5.06];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S[540 х 1825 х 410];  (Внутренний блок) Упаковка (Ш x Г x В): S[690 х 540 х 1965];  (Внутренний блок) Масса (нетто / брутто): S[54.7 / 68.9];  (Внутренний блок) Уровень шума мин. / макс.: S[50/53];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S[93.2/105];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</si>
  <si>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Производитель: E[LESSAR];  Тип: S[Колонные];  (Сплит система) Холодопроизводительность: N[14.06];  (Сплит система) Площадь помещения: N[141];  (Сплит система) Инвентор: S[нет];  (Сплит система) Теплопроизводительность: N[15.24];  (Потребляемая мощность) Охлаждение: N[5.39];  (Потребляемая мощность) Обогрев: S[5.06];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S[540 х 1825 х 410];  (Внутренний блок) Упаковка (Ш x Г x В): S[690 х 540 х 1965];  (Внутренний блок) Масса (нетто / брутто): S[54.7 / 68.9];  (Внутренний блок) Уровень шума мин. / макс.: S[50/53];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S[93.2/105];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</si>
  <si>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xml:space="preserve"> (Сплит система) Теплопроизводительность: N[16.12]</t>
  </si>
  <si>
    <t xml:space="preserve"> (Потребляемая мощность) Обогрев: S[5.35]</t>
  </si>
  <si>
    <t>; Производитель: E[LESSAR];  Тип: S[Колонные];  (Сплит система) Холодопроизводительность: N[14.07];  (Сплит система) Площадь помещения: N[141];  (Сплит система) Инвентор: S[нет];  (Сплит система) Теплопроизводительность: N[16.12];  (Потребляемая мощность) Охлаждение: N[5.3];  (Потребляемая мощность) Обогрев: S[5.35];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S[540 х 1800 х 350];  (Внутренний блок) Упаковка (Ш x Г x В): S[685 х 480 х 1910];  (Внутренний блок) Масса (нетто / брутто): S[51.3 / 65.5];  (Внутренний блок) Уровень шума мин. / макс.: S[46/54];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S[98.6/109.3];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</si>
  <si>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Производитель: E[LESSAR];  Тип: S[Колонные];  (Сплит система) Холодопроизводительность: N[14.07];  (Сплит система) Площадь помещения: N[141];  (Сплит система) Инвентор: S[нет];  (Сплит система) Теплопроизводительность: N[16.12];  (Потребляемая мощность) Охлаждение: N[5.3];  (Потребляемая мощность) Обогрев: S[5.35];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S[540 х 1800 х 350];  (Внутренний блок) Упаковка (Ш x Г x В): S[685 х 480 х 1910];  (Внутренний блок) Масса (нетто / брутто): S[51.3 / 65.5];  (Внутренний блок) Уровень шума мин. / макс.: S[46/54];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S[98.6/109.3];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</si>
  <si>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xml:space="preserve"> (Сплит система) Теплопроизводительность: N[18.17]</t>
  </si>
  <si>
    <t xml:space="preserve"> (Потребляемая мощность) Обогрев: S[5.3]</t>
  </si>
  <si>
    <t>; Производитель: E[LESSAR];  Тип: S[Колонные];  (Сплит система) Холодопроизводительность: N[16.96];  (Сплит система) Площадь помещения: N[170];  (Сплит система) Инвентор: S[нет];  (Сплит система) Теплопроизводительность: N[18.17];  (Потребляемая мощность) Охлаждение: N[6.5];  (Потребляемая мощность) Обогрев: S[5.3];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S[600 х 1934 х 455];  (Внутренний блок) Упаковка (Ш x Г x В): S[755 х 585 х 2080];  (Внутренний блок) Масса (нетто / брутто): S[68.5 / 88.3];  (Внутренний блок) Уровень шума мин. / макс.: S[49.8/53.9];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S[97/107];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</si>
  <si>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Производитель: E[LESSAR];  Тип: S[Колонные];  (Сплит система) Холодопроизводительность: N[16.96];  (Сплит система) Площадь помещения: N[170];  (Сплит система) Инвентор: S[нет];  (Сплит система) Теплопроизводительность: N[18.17];  (Потребляемая мощность) Охлаждение: N[6.5];  (Потребляемая мощность) Обогрев: S[5.3];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S[600 х 1934 х 455];  (Внутренний блок) Упаковка (Ш x Г x В): S[755 х 585 х 2080];  (Внутренний блок) Масса (нетто / брутто): S[68.5 / 88.3];  (Внутренний блок) Уровень шума мин. / макс.: S[49.8/53.9];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S[97/107];  (Наружный блок) Максимальный уровень шума: N[];  (Соединительные трубы) Жидкостная линия :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</si>
  <si>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xml:space="preserve"> (Сплит система) Теплопроизводительность: N[18.9]</t>
  </si>
  <si>
    <t xml:space="preserve"> (Потребляемая мощность) Обогрев: S[5.59]</t>
  </si>
  <si>
    <t>; Производитель: E[LESSAR];  Тип: S[Колонные];  (Сплит система) Холодопроизводительность: N[17.14];  (Сплит система) Площадь помещения: N[171];  (Сплит система) Инвентор: S[нет];  (Сплит система) Теплопроизводительность: N[18.9];  (Потребляемая мощность) Охлаждение: N[6.7];  (Потребляемая мощность) Обогрев: S[5.59];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S[600 х 1934 х 455];  (Внутренний блок) Упаковка (Ш x Г x В): S[755 х 585 х 2080];  (Внутренний блок) Масса (нетто / брутто): S[67 / 85.6];  (Внутренний блок) Уровень шума мин. / макс.: S[50/54];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S[99.7/111.2];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-7 до +24]</t>
  </si>
  <si>
    <t>Производитель: E[LESSAR];  Тип: S[Колонные];  (Сплит система) Холодопроизводительность: N[17.14];  (Сплит система) Площадь помещения: N[171];  (Сплит система) Инвентор: S[нет];  (Сплит система) Теплопроизводительность: N[18.9];  (Потребляемая мощность) Охлаждение: N[6.7];  (Потребляемая мощность) Обогрев: S[5.59];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S[600 х 1934 х 455];  (Внутренний блок) Упаковка (Ш x Г x В): S[755 х 585 х 2080];  (Внутренний блок) Масса (нетто / брутто): S[67 / 85.6];  (Внутренний блок) Уровень шума мин. / макс.: S[50/54];  (Наружный блок) Марка компрессора: S[PANASONIC];  (Наружный блок) Размеры (Ш x Г x В): S[900 х 350 х 1170];  (Наружный блок) Упаковка (Ш x Г x В): S[1032 х 443 х 1307];  (Наружный блок) Масса (нетто / брутто): S[99.7/111.2];  (Наружный блок) Максимальный уровень шума: N[];  (Соединительные трубы) Жидкостная линия :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-7 до +24]</t>
  </si>
  <si>
    <t>on 21:03:47</t>
  </si>
  <si>
    <t>; Производитель: E[FUJITSU];  Тип: S[Канальные];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N[1.66];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х 198 х 620];  (Внутренний блок) Упаковка (Ш x Г x В): S[1168 х 772 х 276];  (Внутренний блок) Масса (нетто / брутто): S[20 / 26];  (Внутренний блок) Уровень шума мин. / макс.: S[27/29/30/32];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</si>
  <si>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S[Канальные];  (Сплит система) Холодопроизводительность: N[5.2];  (Сплит система) Площадь помещения: N[52];  (Сплит система) Инвентор: S[да];  (Сплит система) Теплопроизводительность: N[6];  (Потребляемая мощность) Охлаждение: N[1.66];  (Потребляемая мощность) Обогрев: S[1.71];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х 198 х 620];  (Внутренний блок) Упаковка (Ш x Г x В): S[1168 х 772 х 276];  (Внутренний блок) Масса (нетто / брутто): S[20 / 26];  (Внутренний блок) Уровень шума мин. / макс.: S[27/29/30/32];  (Наружный блок) Марка компрессора: S[];  (Наружный блок) Размеры (Ш x Г x В): S[799 х 290 х 542];  (Наружный блок) Упаковка (Ш x Г x В): S[940 х 375 х 602];  (Наружный блок) Масса (нетто / брутто): S[33/36];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</si>
  <si>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N[4.4];  (Потребляемая мощность) Охлаждение: N[0.97];  (Потребляемая мощность) Обогрев: S[0.95];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</si>
  <si>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N[4.4];  (Потребляемая мощность) Охлаждение: N[0.97];  (Потребляемая мощность) Обогрев: S[0.95];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</si>
  <si>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N[1.24];  (Потребляемая мощность) Обогрев: S[1.22];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</si>
  <si>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N[1.24];  (Потребляемая мощность) Обогрев: S[1.22];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</si>
  <si>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N[5.4];  (Сплит система) Площадь помещения: N[54];  (Сплит система) Инвентор: S[да];  (Сплит система) Теплопроизводительность: N[6.8];  (Потребляемая мощность) Охлаждение: N[1.13];  (Потребляемая мощность) Обогрев: S[1.39];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</si>
  <si>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N[5.4];  (Сплит система) Площадь помещения: N[54];  (Сплит система) Инвентор: S[да];  (Сплит система) Теплопроизводительность: N[6.8];  (Потребляемая мощность) Охлаждение: N[1.13];  (Потребляемая мощность) Обогрев: S[1.39];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</si>
  <si>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N[1.74];  (Потребляемая мощность) Обогрев: S[1.82];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</si>
  <si>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N[1.74];  (Потребляемая мощность) Обогрев: S[1.82];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</si>
  <si>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N[9.6];  (Потребляемая мощность) Охлаждение: N[2.05];  (Потребляемая мощность) Обогрев: S[2.11];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</si>
  <si>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N[9.6];  (Потребляемая мощность) Охлаждение: N[2.05];  (Потребляемая мощность) Обогрев: S[2.11];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</si>
  <si>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N[9.5];  (Сплит система) Площадь помещения: N[95];  (Сплит система) Инвентор: S[да];  (Сплит система) Теплопроизводительность: N[10.6];  (Потребляемая мощность) Охлаждение: N[2.5];  (Потребляемая мощность) Обогрев: S[2.36];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-10 до +24];  (Допустимая темп. наружного воздуха) Обогрев: S[от -15 до +24]</t>
  </si>
  <si>
    <t>Производитель: E[FUJITSU];  Тип: S[Мульти сплит система];  (Сплит система) Холодопроизводительность: N[9.5];  (Сплит система) Площадь помещения: N[95];  (Сплит система) Инвентор: S[да];  (Сплит система) Теплопроизводительность: N[10.6];  (Потребляемая мощность) Охлаждение: N[2.5];  (Потребляемая мощность) Обогрев: S[2.36];  (Рабочий ток) Охлаждение: S[];  (Рабочий ток) Обогрев: S[];  (Рабочий ток) Напряжение / Частота источника питания: S[1 / 230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-10 до +24];  (Допустимая темп. наружного воздуха) Обогрев: S[от -15 до +24]</t>
  </si>
  <si>
    <t>; Производитель: E[FUJITSU];  Тип: S[Мульти 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N[4.4];  (Потребляемая мощность) Охлаждение: N[1.09];  (Потребляемая мощность) Обогрев: S[1.03];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</si>
  <si>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N[4];  (Сплит система) Площадь помещения: N[40];  (Сплит система) Инвентор: S[да];  (Сплит система) Теплопроизводительность: N[4.4];  (Потребляемая мощность) Охлаждение: N[1.09];  (Потребляемая мощность) Обогрев: S[1.03];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</si>
  <si>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N[1.56];  (Потребляемая мощность) Обогрев: S[1.41];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</si>
  <si>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N[5];  (Сплит система) Площадь помещения: N[50];  (Сплит система) Инвентор: S[да];  (Сплит система) Теплопроизводительность: N[5.6];  (Потребляемая мощность) Охлаждение: N[1.56];  (Потребляемая мощность) Обогрев: S[1.41];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</si>
  <si>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N[5.4];  (Сплит система) Площадь помещения: N[54];  (Сплит система) Инвентор: S[да];  (Сплит система) Теплопроизводительность: N[6.8];  (Потребляемая мощность) Охлаждение: N[1.35];  (Потребляемая мощность) Обогрев: S[1.62];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</si>
  <si>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N[5.4];  (Сплит система) Площадь помещения: N[54];  (Сплит система) Инвентор: S[да];  (Сплит система) Теплопроизводительность: N[6.8];  (Потребляемая мощность) Охлаждение: N[1.35];  (Потребляемая мощность) Обогрев: S[1.62];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</si>
  <si>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N[1.94];  (Потребляемая мощность) Обогрев: S[2];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</si>
  <si>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N[6.8];  (Сплит система) Площадь помещения: N[68];  (Сплит система) Инвентор: S[да];  (Сплит система) Теплопроизводительность: N[8];  (Потребляемая мощность) Охлаждение: N[1.94];  (Потребляемая мощность) Обогрев: S[2];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S[TOSHIBA];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</si>
  <si>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N[9.6];  (Потребляемая мощность) Охлаждение: N[2.22];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S[SCI];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-10 до +24]</t>
  </si>
  <si>
    <t>Производитель: E[FUJITSU];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N[9.6];  (Потребляемая мощность) Охлаждение: N[2.22];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S[SCI];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-10 до +24]</t>
  </si>
  <si>
    <t>; Производитель: E[FUJITSU];  Тип: S[Мульти сплит система];  (Сплит система) Холодопроизводительность: N[10];  (Сплит система) Площадь помещения: N[10];  (Сплит система) Инвентор: S[да];  (Сплит система) Теплопроизводительность: N[12];  (Потребляемая мощность) Охлаждение: N[2.44];  (Потребляемая мощность) Обогрев: S[2.79];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</si>
  <si>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N[10];  (Сплит система) Площадь помещения: N[10];  (Сплит система) Инвентор: S[да];  (Сплит система) Теплопроизводительность: N[12];  (Потребляемая мощность) Охлаждение: N[2.44];  (Потребляемая мощность) Обогрев: S[2.79];  (Рабочий ток) Охлаждение: S[];  (Рабочий ток) Обогрев: S[];  (Рабочий ток) Напряжение / Частота источника питания: S[1 / 220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</si>
  <si>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S[Мульти сплит система];  (Сплит система) Холодопроизводительность: N[12.5];  (Сплит система) Площадь помещения: N[120];  (Сплит система) Инвентор: S[да];  (Сплит система) Теплопроизводительность: N[13.5];  (Потребляемая мощность) Охлаждение: N[3.57];  (Потребляемая мощность) Обогрев: S[3.37];  (Рабочий ток) Охлаждение: S[];  (Рабочий ток) Обогрев: S[];  (Рабочий ток) Напряжение / Частота источника питания: S[1 / 230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</si>
  <si>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Производитель: E[FUJITSU];  Тип: S[Мульти сплит система];  (Сплит система) Холодопроизводительность: N[12.5];  (Сплит система) Площадь помещения: N[120];  (Сплит система) Инвентор: S[да];  (Сплит система) Теплопроизводительность: N[13.5];  (Потребляемая мощность) Охлаждение: N[3.57];  (Потребляемая мощность) Обогрев: S[3.37];  (Рабочий ток) Охлаждение: S[];  (Рабочий ток) Обогрев: S[];  (Рабочий ток) Напряжение / Частота источника питания: S[1 / 230 / 50];  (Рабочий ток) Хладагент: S[R410];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S[GENERAL];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</si>
  <si>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E[LESSAR];  Тип: S[Канальные];  (Сплит система) Холодопроизводительность: N[28];  (Сплит система) Площадь помещения: N[280];  (Сплит система) Инвентор: S[да];  (Сплит система) Теплопроизводительность: N[31];  (Потребляемая мощность) Охлаждение: N[11.2];  (Потребляемая мощность) Обогрев: S[9.39];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450 х 1366];  (Внутренний блок) Упаковка (Ш x Г x В): S[875 х 1555 х 500];  (Внутренний блок) Масса (нетто / брутто): S[90 / 99];  (Внутренний блок) Уровень шума мин. / макс.: S[51/53/55];  (Наружный блок) Марка компрессора: S[GMCC];  (Наружный блок) Размеры (Ш x Г x В): S[400 х 1120 х 1558];  (Наружный блок) Упаковка (Ш x Г x В): S[565 х 1270 х 1720];  (Наружный блок) Масса (нетто / брутто): S[142/157];  (Наружный блок) Максимальный уровень шума: N[];  (Соединительные трубы) Жидкостная линия : N[9.52];  (Соединительные трубы) Газовая линия : N[];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10 до +55];  (Допустимая темп. наружного воздуха) Обогрев: S[от -15 до +27]</t>
  </si>
  <si>
    <t>Производитель: E[LESSAR];  Тип: S[Канальные];  (Сплит система) Холодопроизводительность: N[28];  (Сплит система) Площадь помещения: N[280];  (Сплит система) Инвентор: S[да];  (Сплит система) Теплопроизводительность: N[31];  (Потребляемая мощность) Охлаждение: N[11.2];  (Потребляемая мощность) Обогрев: S[9.39];  (Рабочий ток) Охлаждение: S[];  (Рабочий ток) Обогрев: S[];  (Рабочий ток) Напряжение / Частота источника питания: S[3 / 380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S[722 х 450 х 1366];  (Внутренний блок) Упаковка (Ш x Г x В): S[875 х 1555 х 500];  (Внутренний блок) Масса (нетто / брутто): S[90 / 99];  (Внутренний блок) Уровень шума мин. / макс.: S[51/53/55];  (Наружный блок) Марка компрессора: S[GMCC];  (Наружный блок) Размеры (Ш x Г x В): S[400 х 1120 х 1558];  (Наружный блок) Упаковка (Ш x Г x В): S[565 х 1270 х 1720];  (Наружный блок) Масса (нетто / брутто): S[142/157];  (Наружный блок) Максимальный уровень шума: N[];  (Соединительные трубы) Жидкостная линия : N[9.52];  (Соединительные трубы) Газовая линия : N[];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10 до +55];  (Допустимая темп. наружного воздуха) Обогрев: S[от -15 до +27]</t>
  </si>
  <si>
    <t>; Производитель: E[LESSAR];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N[1.27];  (Потребляемая мощность) Обогрев: S[1.2];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</si>
  <si>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N[1.27];  (Потребляемая мощность) Обогрев: S[1.2];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</si>
  <si>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N[1.27];  (Потребляемая мощность) Обогрев: S[1.185];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</si>
  <si>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N[1.27];  (Потребляемая мощность) Обогрев: S[1.185];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</si>
  <si>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</si>
  <si>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</si>
  <si>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</si>
  <si>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N[5.28];  (Сплит система) Площадь помещения: N[52];  (Сплит система) Инвентор: S[да];  (Сплит система) Теплопроизводительность: N[5.57];  (Потребляемая мощность) Охлаждение: N[1.635];  (Потребляемая мощность) Обогрев: S[1.5];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</si>
  <si>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N[6.15];  (Сплит система) Площадь помещения: N[61];  (Сплит система) Инвентор: S[да];  (Сплит система) Теплопроизводительность: N[6.59];  (Потребляемая мощность) Охлаждение: N[1.9];  (Потребляемая мощность) Обогрев: S[1.77];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</si>
  <si>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N[6.15];  (Сплит система) Площадь помещения: N[61];  (Сплит система) Инвентор: S[да];  (Сплит система) Теплопроизводительность: N[6.59];  (Потребляемая мощность) Охлаждение: N[1.9];  (Потребляемая мощность) Обогрев: S[1.77];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</si>
  <si>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N[6.15];  (Сплит система) Площадь помещения: N[61];  (Сплит система) Инвентор: S[да];  (Сплит система) Теплопроизводительность: N[6.45];  (Потребляемая мощность) Охлаждение: N[1.905];  (Потребляемая мощность) Обогрев: S[1.738];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</si>
  <si>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N[6.15];  (Сплит система) Площадь помещения: N[61];  (Сплит система) Инвентор: S[да];  (Сплит система) Теплопроизводительность: N[6.45];  (Потребляемая мощность) Охлаждение: N[1.905];  (Потребляемая мощность) Обогрев: S[1.738];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</si>
  <si>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N[7.91];  (Сплит система) Площадь помещения: N[79];  (Сплит система) Инвентор: S[да];  (Сплит система) Теплопроизводительность: N[8.21];  (Потребляемая мощность) Охлаждение: N[2.45];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</si>
  <si>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N[7.91];  (Сплит система) Площадь помещения: N[79];  (Сплит система) Инвентор: S[да];  (Сплит система) Теплопроизводительность: N[8.21];  (Потребляемая мощность) Охлаждение: N[2.45];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</si>
  <si>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N[7.91];  (Сплит система) Площадь помещения: N[79];  (Сплит система) Инвентор: S[да];  (Сплит система) Теплопроизводительность: N[7.91];  (Потребляемая мощность) Охлаждение: N[2.45];  (Потребляемая мощность) Обогрев: S[2.12];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</si>
  <si>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N[7.91];  (Сплит система) Площадь помещения: N[79];  (Сплит система) Инвентор: S[да];  (Сплит система) Теплопроизводительность: N[7.91];  (Потребляемая мощность) Охлаждение: N[2.45];  (Потребляемая мощность) Обогрев: S[2.12];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</si>
  <si>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N[8.21];  (Сплит система) Площадь помещения: N[82];  (Сплит система) Инвентор: S[да];  (Сплит система) Теплопроизводительность: N[8.79];  (Потребляемая мощность) Охлаждение: N[2.5];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</si>
  <si>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N[8.21];  (Сплит система) Площадь помещения: N[82];  (Сплит система) Инвентор: S[да];  (Сплит система) Теплопроизводительность: N[8.79];  (Потребляемая мощность) Охлаждение: N[2.5];  (Потребляемая мощность) Обогрев: S[2.4];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</si>
  <si>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N[10.55];  (Сплит система) Площадь помещения: N[100];  (Сплит система) Инвентор: S[да];  (Сплит система) Теплопроизводительность: N[10.55];  (Потребляемая мощность) Охлаждение: N[3.517];  (Потребляемая мощность) Обогрев: S[2.88];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</si>
  <si>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N[10.55];  (Сплит система) Площадь помещения: N[100];  (Сплит система) Инвентор: S[да];  (Сплит система) Теплопроизводительность: N[10.55];  (Потребляемая мощность) Охлаждение: N[3.517];  (Потребляемая мощность) Обогрев: S[2.88];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</si>
  <si>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S[Мульти сплит система];  (Сплит система) Холодопроизводительность: N[12.31];  (Сплит система) Площадь помещения: N[120];  (Сплит система) Инвентор: S[да];  (Сплит система) Теплопроизводительность: N[12.31];  (Потребляемая мощность) Охлаждение: N[3.8];  (Потребляемая мощность) Обогрев: S[3.3];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</si>
  <si>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E[LESSAR];  Тип: S[Мульти сплит система];  (Сплит система) Холодопроизводительность: N[12.31];  (Сплит система) Площадь помещения: N[120];  (Сплит система) Инвентор: S[да];  (Сплит система) Теплопроизводительность: N[12.31];  (Потребляемая мощность) Охлаждение: N[3.8];  (Потребляемая мощность) Обогрев: S[3.3];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</si>
  <si>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E[QUATTROCLIMA];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N[4.31];  (Потребляемая мощность) Охлаждение: N[1.25];  (Потребляемая мощность) Обогрев: S[1.16];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</si>
  <si>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N[4.31];  (Потребляемая мощность) Охлаждение: N[1.25];  (Потребляемая мощность) Обогрев: S[1.16];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</si>
  <si>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S[Мульти 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N[5.29];  (Потребляемая мощность) Охлаждение: N[1.61];  (Потребляемая мощность) Обогрев: S[1.42];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</si>
  <si>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S[Мульти 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N[5.29];  (Потребляемая мощность) Охлаждение: N[1.61];  (Потребляемая мощность) Обогрев: S[1.42];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</si>
  <si>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S[Мульти сплит система];  (Сплит система) Холодопроизводительность: N[6.2];  (Сплит система) Площадь помещения: N[62];  (Сплит система) Инвентор: S[да];  (Сплит система) Теплопроизводительность: N[6.5];  (Потребляемая мощность) Охлаждение: N[1.92];  (Потребляемая мощность) Обогрев: S[1.75];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</si>
  <si>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S[Мульти сплит система];  (Сплит система) Холодопроизводительность: N[6.2];  (Сплит система) Площадь помещения: N[62];  (Сплит система) Инвентор: S[да];  (Сплит система) Теплопроизводительность: N[6.5];  (Потребляемая мощность) Охлаждение: N[1.92];  (Потребляемая мощность) Обогрев: S[1.75];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</si>
  <si>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S[Мульти сплит система];  (Сплит система) Холодопроизводительность: N[7.9];  (Сплит система) Площадь помещения: N[79];  (Сплит система) Инвентор: S[да];  (Сплит система) Теплопроизводительность: N[7.96];  (Потребляемая мощность) Охлаждение: N[2.63];  (Потребляемая мощность) Обогрев: S[2.12];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</si>
  <si>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E[QUATTROCLIMA];  Тип: S[Мульти сплит система];  (Сплит система) Холодопроизводительность: N[7.9];  (Сплит система) Площадь помещения: N[79];  (Сплит система) Инвентор: S[да];  (Сплит система) Теплопроизводительность: N[7.96];  (Потребляемая мощность) Охлаждение: N[2.63];  (Потребляемая мощность) Обогрев: S[2.12];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S[SANYO];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</si>
  <si>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E[TOSOT];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  (Потребляемая мощность) Обогрев: S[1.18];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</si>
  <si>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Производитель: E[TOSOT];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N[1.2];  (Потребляемая мощность) Обогрев: S[1.18];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</si>
  <si>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 Производитель: E[TOSOT];  Тип: S[Мульти 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N[5.4];  (Потребляемая мощность) Охлаждение: N[1.45];  (Потребляемая мощность) Обогрев: S[1.45];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</si>
  <si>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Производитель: E[TOSOT];  Тип: S[Мульти сплит система];  (Сплит система) Холодопроизводительность: N[5.2];  (Сплит система) Площадь помещения: N[52];  (Сплит система) Инвентор: S[да];  (Сплит система) Теплопроизводительность: N[5.4];  (Потребляемая мощность) Охлаждение: N[1.45];  (Потребляемая мощность) Обогрев: S[1.45];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</si>
  <si>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 Производитель: E[TOSOT];  Тип: S[Мульти сплит система];  (Сплит система) Холодопроизводительность: N[6.1];  (Сплит система) Площадь помещения: N[61];  (Сплит система) Инвентор: S[да];  (Сплит система) Теплопроизводительность: N[6.5];  (Потребляемая мощность) Охлаждение: N[1.91];  (Потребляемая мощность) Обогрев: S[1.73];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</si>
  <si>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Производитель: E[TOSOT];  Тип: S[Мульти сплит система];  (Сплит система) Холодопроизводительность: N[6.1];  (Сплит система) Площадь помещения: N[61];  (Сплит система) Инвентор: S[да];  (Сплит система) Теплопроизводительность: N[6.5];  (Потребляемая мощность) Охлаждение: N[1.91];  (Потребляемая мощность) Обогрев: S[1.73];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</si>
  <si>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S[Мульти 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N[8.5];  (Потребляемая мощность) Охлаждение: N[2.18];  (Потребляемая мощность) Обогрев: S[2.28];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</si>
  <si>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Производитель: E[TOSOT];  Тип: S[Мульти 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N[8.5];  (Потребляемая мощность) Охлаждение: N[2.18];  (Потребляемая мощность) Обогрев: S[2.28];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</si>
  <si>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N[9.3];  (Потребляемая мощность) Охлаждение: N[2.54];  (Потребляемая мощность) Обогрев: S[2.49];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</si>
  <si>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Производитель: E[TOSOT];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N[9.3];  (Потребляемая мощность) Охлаждение: N[2.54];  (Потребляемая мощность) Обогрев: S[2.49];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</si>
  <si>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S[Мульти сплит система];  (Сплит система) Холодопроизводительность: N[10.5];  (Сплит система) Площадь помещения: N[100];  (Сплит система) Инвентор: S[да];  (Сплит система) Теплопроизводительность: N[12];  (Потребляемая мощность) Охлаждение: N[3.5];  (Потребляемая мощность) Обогрев: S[3.75];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</si>
  <si>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Производитель: E[TOSOT];  Тип: S[Мульти сплит система];  (Сплит система) Холодопроизводительность: N[10.5];  (Сплит система) Площадь помещения: N[100];  (Сплит система) Инвентор: S[да];  (Сплит система) Теплопроизводительность: N[12];  (Потребляемая мощность) Охлаждение: N[3.5];  (Потребляемая мощность) Обогрев: S[3.75];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</si>
  <si>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 Производитель: E[TOSOT];  Тип: S[Мульти сплит система];  (Сплит система) Холодопроизводительность: N[12.1];  (Сплит система) Площадь помещения: N[120];  (Сплит система) Инвентор: S[да];  (Сплит система) Теплопроизводительность: N[13];  (Потребляемая мощность) Охлаждение: N[3.76];  (Потребляемая мощность) Обогрев: S[3.45];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</si>
  <si>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Производитель: E[TOSOT];  Тип: S[Мульти сплит система];  (Сплит система) Холодопроизводительность: N[12.1];  (Сплит система) Площадь помещения: N[120];  (Сплит система) Инвентор: S[да];  (Сплит система) Теплопроизводительность: N[13];  (Потребляемая мощность) Охлаждение: N[3.76];  (Потребляемая мощность) Обогрев: S[3.45];  (Рабочий ток) Охлаждение: S[];  (Рабочий ток) Обогрев: S[];  (Рабочий ток) Напряжение / Частота источника питания: S[1 / 220 / 50];  (Рабочий ток) Хладагент: S[R410A];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</si>
  <si>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 Производитель: E[TOSOT];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N[1.1];  (Потребляемая мощность) Обогрев: S[0.97];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</si>
  <si>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N[4.1];  (Сплит система) Площадь помещения: N[41];  (Сплит система) Инвентор: S[да];  (Сплит система) Теплопроизводительность: N[4.4];  (Потребляемая мощность) Охлаждение: N[1.1];  (Потребляемая мощность) Обогрев: S[0.97];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</si>
  <si>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N[5.3];  (Сплит система) Площадь помещения: N[53];  (Сплит система) Инвентор: S[да];  (Сплит система) Теплопроизводительность: N[5.65];  (Потребляемая мощность) Охлаждение: N[1.48];  (Потребляемая мощность) Обогрев: S[1.25];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</si>
  <si>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N[5.3];  (Сплит система) Площадь помещения: N[53];  (Сплит система) Инвентор: S[да];  (Сплит система) Теплопроизводительность: N[5.65];  (Потребляемая мощность) Охлаждение: N[1.48];  (Потребляемая мощность) Обогрев: S[1.25];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</si>
  <si>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N[6.1];  (Сплит система) Площадь помещения: N[61];  (Сплит система) Инвентор: S[да];  (Сплит система) Теплопроизводительность: N[6.5];  (Потребляемая мощность) Охлаждение: N[1.48];  (Потребляемая мощность) Обогрев: S[1.43];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</si>
  <si>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N[6.1];  (Сплит система) Площадь помещения: N[61];  (Сплит система) Инвентор: S[да];  (Сплит система) Теплопроизводительность: N[6.5];  (Потребляемая мощность) Охлаждение: N[1.48];  (Потребляемая мощность) Обогрев: S[1.43];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</si>
  <si>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N[8.6];  (Потребляемая мощность) Охлаждение: N[1.88];  (Потребляемая мощность) Обогрев: S[2.23];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</si>
  <si>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N[7.1];  (Сплит система) Площадь помещения: N[71];  (Сплит система) Инвентор: S[да];  (Сплит система) Теплопроизводительность: N[8.6];  (Потребляемая мощность) Охлаждение: N[1.88];  (Потребляемая мощность) Обогрев: S[2.23];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</si>
  <si>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N[9.5];  (Потребляемая мощность) Охлаждение: N[2.12];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</si>
  <si>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N[8];  (Сплит система) Площадь помещения: N[80];  (Сплит система) Инвентор: S[да];  (Сплит система) Теплопроизводительность: N[9.5];  (Потребляемая мощность) Охлаждение: N[2.12];  (Потребляемая мощность) Обогрев: S[2.2];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</si>
  <si>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N[10.5];  (Сплит система) Площадь помещения: N[100];  (Сплит система) Инвентор: S[да];  (Сплит система) Теплопроизводительность: N[12];  (Потребляемая мощность) Охлаждение: N[3.1];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</si>
  <si>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N[10.5];  (Сплит система) Площадь помещения: N[100];  (Сплит система) Инвентор: S[да];  (Сплит система) Теплопроизводительность: N[12];  (Потребляемая мощность) Охлаждение: N[3.1];  (Потребляемая мощность) Обогрев: S[3.2];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</si>
  <si>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S[Мульти сплит система];  (Сплит система) Холодопроизводительность: N[12];  (Сплит система) Площадь помещения: N[120];  (Сплит система) Инвентор: S[да];  (Сплит система) Теплопроизводительность: N[13];  (Потребляемая мощность) Охлаждение: N[3.45];  (Потребляемая мощность) Обогрев: S[3.5];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</si>
  <si>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Производитель: E[TOSOT];  Тип: S[Мульти сплит система];  (Сплит система) Холодопроизводительность: N[12];  (Сплит система) Площадь помещения: N[120];  (Сплит система) Инвентор: S[да];  (Сплит система) Теплопроизводительность: N[13];  (Потребляемая мощность) Охлаждение: N[3.45];  (Потребляемая мощность) Обогрев: S[3.5];  (Рабочий ток) Охлаждение: S[];  (Рабочий ток) Обогрев: S[];  (Рабочий ток) Напряжение / Частота источника питания: S[1 / 220 / 50];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</si>
  <si>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List was prepared on 05.04.2023</t>
  </si>
  <si>
    <t>on 0:03:36</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</si>
</sst>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rgb="FF000000"/>
      <name val="Calibri"/>
    </font>
    <font>
      <sz val="11"/>
      <color rgb="FF000000"/>
      <name val="Calibri"/>
      <family val="2"/>
      <charset val="204"/>
    </font>
    <font>
      <sz val="11"/>
      <color rgb="FFC00000"/>
      <name val="Calibri"/>
      <family val="2"/>
      <charset val="204"/>
    </font>
    <font>
      <b/>
      <i/>
      <sz val="10"/>
      <color rgb="FFC00000"/>
      <name val="Arial Cyr"/>
      <charset val="204"/>
    </font>
    <font>
      <b/>
      <i/>
      <sz val="10"/>
      <color rgb="FF0000FF"/>
      <name val="Arial Cyr"/>
      <charset val="204"/>
    </font>
    <font>
      <b/>
      <i/>
      <sz val="14"/>
      <color rgb="FF0000CC"/>
      <name val="Calibri"/>
      <family val="2"/>
      <charset val="204"/>
    </font>
    <font>
      <sz val="9"/>
      <color rgb="FF000000"/>
      <name val="Calibri"/>
      <family val="2"/>
      <charset val="204"/>
    </font>
  </fonts>
  <fills count="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00B0F0"/>
        <bgColor indexed="64"/>
      </patternFill>
    </fill>
    <fill>
      <patternFill patternType="solid">
        <fgColor theme="8" tint="0.39997558519241921"/>
        <bgColor indexed="64"/>
      </patternFill>
    </fill>
  </fills>
  <borders count="2">
    <border>
      <left/>
      <right/>
      <top/>
      <bottom/>
      <diagonal/>
    </border>
    <border>
      <left style="thin">
        <color indexed="64"/>
      </left>
      <right/>
      <top/>
      <bottom/>
      <diagonal/>
    </border>
  </borders>
  <cellStyleXfs count="1">
    <xf numFmtId="0" fontId="0" fillId="0" borderId="0"/>
  </cellStyleXfs>
  <cellXfs count="26">
    <xf numFmtId="0" fontId="0" fillId="0" borderId="0" xfId="0"/>
    <xf numFmtId="0" fontId="0" fillId="2" borderId="0" xfId="0" applyFill="1"/>
    <xf numFmtId="0" fontId="0" fillId="0" borderId="1" xfId="0" applyBorder="1"/>
    <xf numFmtId="0" fontId="0" fillId="0" borderId="0" xfId="0" applyFill="1"/>
    <xf numFmtId="0" fontId="0" fillId="0" borderId="0" xfId="0" applyAlignment="1">
      <alignment wrapText="1"/>
    </xf>
    <xf numFmtId="0" fontId="0" fillId="3" borderId="0" xfId="0" applyFill="1" applyAlignment="1">
      <alignment wrapText="1"/>
    </xf>
    <xf numFmtId="0" fontId="1" fillId="0" borderId="0" xfId="0" applyFont="1"/>
    <xf numFmtId="2" fontId="0" fillId="0" borderId="0" xfId="0" applyNumberFormat="1"/>
    <xf numFmtId="2" fontId="1" fillId="0" borderId="0" xfId="0" applyNumberFormat="1" applyFont="1"/>
    <xf numFmtId="0" fontId="2" fillId="0" borderId="0" xfId="0" applyFont="1"/>
    <xf numFmtId="49" fontId="3" fillId="0" borderId="0" xfId="0" applyNumberFormat="1" applyFont="1"/>
    <xf numFmtId="49" fontId="0" fillId="0" borderId="0" xfId="0" applyNumberFormat="1"/>
    <xf numFmtId="49" fontId="4" fillId="0" borderId="0" xfId="0" applyNumberFormat="1" applyFont="1" applyAlignment="1">
      <alignment horizontal="right"/>
    </xf>
    <xf numFmtId="0" fontId="5" fillId="0" borderId="0" xfId="0" applyFont="1"/>
    <xf numFmtId="0" fontId="1" fillId="2" borderId="0" xfId="0" applyFont="1" applyFill="1"/>
    <xf numFmtId="16" fontId="0" fillId="0" borderId="0" xfId="0" applyNumberFormat="1"/>
    <xf numFmtId="0" fontId="1" fillId="0" borderId="0" xfId="0" applyFont="1" applyAlignment="1">
      <alignment wrapText="1"/>
    </xf>
    <xf numFmtId="1" fontId="0" fillId="0" borderId="0" xfId="0" applyNumberFormat="1"/>
    <xf numFmtId="1" fontId="0" fillId="0" borderId="0" xfId="0" applyNumberFormat="1" applyAlignment="1">
      <alignment wrapText="1"/>
    </xf>
    <xf numFmtId="1" fontId="1" fillId="2" borderId="0" xfId="0" applyNumberFormat="1" applyFont="1" applyFill="1"/>
    <xf numFmtId="0" fontId="6" fillId="0" borderId="0" xfId="0" applyFont="1"/>
    <xf numFmtId="0" fontId="0" fillId="4" borderId="0" xfId="0" applyFill="1"/>
    <xf numFmtId="0" fontId="0" fillId="5" borderId="0" xfId="0" applyFill="1"/>
    <xf numFmtId="2" fontId="0" fillId="6" borderId="0" xfId="0" applyNumberFormat="1" applyFill="1"/>
    <xf numFmtId="0" fontId="0" fillId="6" borderId="0" xfId="0" applyFill="1"/>
    <xf numFmtId="2" fontId="0" fillId="7" borderId="0" xfId="0" applyNumberFormat="1" applyFill="1"/>
  </cellXfs>
  <cellStyles count="1">
    <cellStyle name="Обычный" xfId="0" builtinId="0"/>
  </cellStyles>
  <dxfs count="0"/>
  <tableStyles count="0" defaultTableStyle="TableStyleMedium9"/>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85725</xdr:colOff>
      <xdr:row>2</xdr:row>
      <xdr:rowOff>180975</xdr:rowOff>
    </xdr:from>
    <xdr:to>
      <xdr:col>8</xdr:col>
      <xdr:colOff>552450</xdr:colOff>
      <xdr:row>4</xdr:row>
      <xdr:rowOff>1</xdr:rowOff>
    </xdr:to>
    <xdr:sp macro="[0]!create_scv" textlink="">
      <xdr:nvSpPr>
        <xdr:cNvPr id="2" name="Скругленный прямоугольник 1">
          <a:extLst>
            <a:ext uri="{FF2B5EF4-FFF2-40B4-BE49-F238E27FC236}">
              <a16:creationId xmlns:a16="http://schemas.microsoft.com/office/drawing/2014/main" xmlns="" id="{A2D5187A-4C4D-429F-BA7C-47664507A6C5}"/>
            </a:ext>
          </a:extLst>
        </xdr:cNvPr>
        <xdr:cNvSpPr/>
      </xdr:nvSpPr>
      <xdr:spPr>
        <a:xfrm>
          <a:off x="5991225" y="561975"/>
          <a:ext cx="466725" cy="200026"/>
        </a:xfrm>
        <a:prstGeom prst="roundRect">
          <a:avLst/>
        </a:prstGeom>
        <a:solidFill>
          <a:srgbClr val="66FF33"/>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B1:K503"/>
  <sheetViews>
    <sheetView showGridLines="0" workbookViewId="0">
      <selection activeCell="L12" sqref="L12"/>
    </sheetView>
  </sheetViews>
  <sheetFormatPr defaultRowHeight="15" x14ac:dyDescent="0.25"/>
  <cols>
    <col min="1" max="1" width="2.42578125" customWidth="1"/>
    <col min="5" max="5" width="3.7109375" customWidth="1"/>
    <col min="7" max="7" width="15.140625" customWidth="1"/>
    <col min="8" max="8" width="14.28515625" customWidth="1"/>
  </cols>
  <sheetData>
    <row r="1" spans="2:11" s="13" customFormat="1" ht="18.75" x14ac:dyDescent="0.3">
      <c r="B1" s="13" t="s">
        <v>3748</v>
      </c>
      <c r="F1" s="13" t="s">
        <v>3749</v>
      </c>
    </row>
    <row r="2" spans="2:11" ht="17.25" customHeight="1" x14ac:dyDescent="0.25">
      <c r="B2" s="9" t="s">
        <v>3733</v>
      </c>
      <c r="C2" s="9"/>
      <c r="D2" s="9"/>
      <c r="E2" s="9"/>
      <c r="F2" s="9" t="s">
        <v>3734</v>
      </c>
      <c r="G2" s="9" t="s">
        <v>3735</v>
      </c>
      <c r="K2" t="s">
        <v>6041</v>
      </c>
    </row>
    <row r="3" spans="2:11" x14ac:dyDescent="0.25">
      <c r="B3" s="9" t="s">
        <v>3733</v>
      </c>
      <c r="C3" s="9"/>
      <c r="D3" s="9"/>
      <c r="E3" s="9"/>
      <c r="F3" s="9"/>
      <c r="G3" s="9"/>
      <c r="H3" s="10"/>
      <c r="I3" s="11"/>
      <c r="K3" t="s">
        <v>6042</v>
      </c>
    </row>
    <row r="4" spans="2:11" x14ac:dyDescent="0.25">
      <c r="B4" s="9" t="s">
        <v>3733</v>
      </c>
      <c r="C4" s="9"/>
      <c r="D4" s="9"/>
      <c r="E4" s="9"/>
      <c r="F4" s="9" t="s">
        <v>3736</v>
      </c>
      <c r="G4" s="9" t="s">
        <v>3735</v>
      </c>
      <c r="H4" s="12" t="s">
        <v>3737</v>
      </c>
      <c r="I4" s="11"/>
      <c r="K4" t="s">
        <v>6043</v>
      </c>
    </row>
    <row r="5" spans="2:11" x14ac:dyDescent="0.25">
      <c r="B5" s="9" t="s">
        <v>3733</v>
      </c>
      <c r="C5" s="9"/>
      <c r="D5" s="9"/>
      <c r="E5" s="9"/>
      <c r="F5" s="9" t="s">
        <v>3738</v>
      </c>
      <c r="G5" s="9" t="s">
        <v>3735</v>
      </c>
      <c r="K5" t="s">
        <v>6044</v>
      </c>
    </row>
    <row r="6" spans="2:11" x14ac:dyDescent="0.25">
      <c r="B6" s="9" t="s">
        <v>3733</v>
      </c>
      <c r="C6" s="9"/>
      <c r="D6" s="9"/>
      <c r="E6" s="9"/>
      <c r="F6" s="9" t="s">
        <v>3739</v>
      </c>
      <c r="G6" s="9" t="s">
        <v>3735</v>
      </c>
      <c r="K6" t="s">
        <v>6270</v>
      </c>
    </row>
    <row r="7" spans="2:11" x14ac:dyDescent="0.25">
      <c r="B7" s="9" t="s">
        <v>3733</v>
      </c>
      <c r="C7" s="9"/>
      <c r="D7" s="9"/>
      <c r="E7" s="9"/>
      <c r="F7" s="9" t="s">
        <v>3740</v>
      </c>
      <c r="G7" s="9" t="s">
        <v>3735</v>
      </c>
      <c r="K7" t="s">
        <v>6270</v>
      </c>
    </row>
    <row r="8" spans="2:11" x14ac:dyDescent="0.25">
      <c r="B8" s="9" t="s">
        <v>3733</v>
      </c>
      <c r="C8" s="9"/>
      <c r="D8" s="9"/>
      <c r="E8" s="9"/>
      <c r="F8" s="9" t="s">
        <v>3741</v>
      </c>
      <c r="G8" s="9" t="s">
        <v>3735</v>
      </c>
      <c r="K8" t="s">
        <v>6272</v>
      </c>
    </row>
    <row r="9" spans="2:11" x14ac:dyDescent="0.25">
      <c r="B9" s="9" t="s">
        <v>3733</v>
      </c>
      <c r="C9" s="9"/>
      <c r="D9" s="9"/>
      <c r="E9" s="9"/>
      <c r="F9" s="9" t="s">
        <v>3742</v>
      </c>
      <c r="G9" s="9" t="s">
        <v>3735</v>
      </c>
      <c r="K9" t="s">
        <v>6272</v>
      </c>
    </row>
    <row r="10" spans="2:11" x14ac:dyDescent="0.25">
      <c r="B10" s="9" t="s">
        <v>3733</v>
      </c>
      <c r="C10" s="9"/>
      <c r="D10" s="9"/>
      <c r="E10" s="9"/>
      <c r="F10" s="9" t="s">
        <v>3743</v>
      </c>
      <c r="G10" s="9" t="s">
        <v>3735</v>
      </c>
      <c r="K10" t="s">
        <v>6275</v>
      </c>
    </row>
    <row r="11" spans="2:11" x14ac:dyDescent="0.25">
      <c r="B11" s="9" t="s">
        <v>3733</v>
      </c>
      <c r="C11" s="9"/>
      <c r="D11" s="9"/>
      <c r="E11" s="9"/>
      <c r="F11" s="9" t="s">
        <v>3744</v>
      </c>
      <c r="G11" s="9" t="s">
        <v>3735</v>
      </c>
      <c r="K11" t="s">
        <v>6275</v>
      </c>
    </row>
    <row r="12" spans="2:11" x14ac:dyDescent="0.25">
      <c r="B12" s="9" t="s">
        <v>3733</v>
      </c>
      <c r="C12" s="9"/>
      <c r="D12" s="9"/>
      <c r="E12" s="9"/>
      <c r="F12" s="9" t="s">
        <v>3745</v>
      </c>
      <c r="G12" s="9" t="s">
        <v>3735</v>
      </c>
      <c r="K12" t="s">
        <v>6281</v>
      </c>
    </row>
    <row r="13" spans="2:11" x14ac:dyDescent="0.25">
      <c r="B13" s="9" t="s">
        <v>3733</v>
      </c>
      <c r="C13" s="9"/>
      <c r="D13" s="9"/>
      <c r="E13" s="9"/>
      <c r="F13" s="9" t="s">
        <v>3746</v>
      </c>
      <c r="G13" s="9" t="s">
        <v>3735</v>
      </c>
      <c r="K13" t="s">
        <v>6283</v>
      </c>
    </row>
    <row r="14" spans="2:11" x14ac:dyDescent="0.25">
      <c r="B14" s="9" t="s">
        <v>3733</v>
      </c>
      <c r="C14" s="9"/>
      <c r="D14" s="9"/>
      <c r="E14" s="9"/>
      <c r="F14" s="9" t="s">
        <v>3747</v>
      </c>
      <c r="G14" s="9" t="s">
        <v>3735</v>
      </c>
      <c r="K14" t="s">
        <v>6287</v>
      </c>
    </row>
    <row r="15" spans="2:11" x14ac:dyDescent="0.25">
      <c r="B15" s="9" t="s">
        <v>3758</v>
      </c>
      <c r="C15" s="9"/>
      <c r="D15" s="9"/>
      <c r="E15" s="9"/>
      <c r="F15" s="9" t="s">
        <v>3759</v>
      </c>
      <c r="G15" s="9" t="s">
        <v>3760</v>
      </c>
      <c r="K15" t="s">
        <v>6287</v>
      </c>
    </row>
    <row r="16" spans="2:11" x14ac:dyDescent="0.25">
      <c r="B16" s="9" t="s">
        <v>3758</v>
      </c>
      <c r="C16" s="9"/>
      <c r="D16" s="9"/>
      <c r="E16" s="9"/>
      <c r="F16" s="9" t="s">
        <v>3763</v>
      </c>
      <c r="G16" s="9" t="s">
        <v>3764</v>
      </c>
      <c r="K16" t="s">
        <v>6291</v>
      </c>
    </row>
    <row r="17" spans="2:11" x14ac:dyDescent="0.25">
      <c r="B17" s="9" t="s">
        <v>3758</v>
      </c>
      <c r="C17" s="9"/>
      <c r="D17" s="9"/>
      <c r="E17" s="9"/>
      <c r="F17" s="9" t="s">
        <v>3765</v>
      </c>
      <c r="G17" s="9" t="s">
        <v>3764</v>
      </c>
      <c r="K17" t="s">
        <v>6295</v>
      </c>
    </row>
    <row r="18" spans="2:11" x14ac:dyDescent="0.25">
      <c r="B18" s="9" t="s">
        <v>3758</v>
      </c>
      <c r="C18" s="9"/>
      <c r="D18" s="9"/>
      <c r="E18" s="9"/>
      <c r="F18" s="9" t="s">
        <v>3789</v>
      </c>
      <c r="G18" s="9" t="s">
        <v>3764</v>
      </c>
      <c r="K18" t="s">
        <v>6299</v>
      </c>
    </row>
    <row r="19" spans="2:11" x14ac:dyDescent="0.25">
      <c r="B19" s="9" t="s">
        <v>3758</v>
      </c>
      <c r="C19" s="9"/>
      <c r="D19" s="9"/>
      <c r="E19" s="9"/>
      <c r="F19" s="9" t="s">
        <v>3790</v>
      </c>
      <c r="G19" s="9" t="s">
        <v>3764</v>
      </c>
      <c r="K19" t="s">
        <v>6302</v>
      </c>
    </row>
    <row r="20" spans="2:11" x14ac:dyDescent="0.25">
      <c r="B20" s="9" t="s">
        <v>3758</v>
      </c>
      <c r="C20" s="9"/>
      <c r="D20" s="9"/>
      <c r="E20" s="9"/>
      <c r="F20" s="9" t="s">
        <v>3791</v>
      </c>
      <c r="G20" s="9" t="s">
        <v>3764</v>
      </c>
      <c r="K20" t="s">
        <v>6305</v>
      </c>
    </row>
    <row r="21" spans="2:11" x14ac:dyDescent="0.25">
      <c r="B21" s="9" t="s">
        <v>3793</v>
      </c>
      <c r="C21" s="9"/>
      <c r="D21" s="9"/>
      <c r="E21" s="9"/>
      <c r="F21" s="9" t="s">
        <v>3794</v>
      </c>
      <c r="G21" s="9" t="s">
        <v>3764</v>
      </c>
      <c r="K21" t="s">
        <v>6307</v>
      </c>
    </row>
    <row r="22" spans="2:11" x14ac:dyDescent="0.25">
      <c r="B22" s="9" t="s">
        <v>3793</v>
      </c>
      <c r="C22" s="9"/>
      <c r="D22" s="9"/>
      <c r="E22" s="9"/>
      <c r="F22" s="9" t="s">
        <v>5144</v>
      </c>
      <c r="G22" s="9" t="s">
        <v>3764</v>
      </c>
      <c r="K22" t="s">
        <v>6311</v>
      </c>
    </row>
    <row r="23" spans="2:11" x14ac:dyDescent="0.25">
      <c r="B23" s="9" t="s">
        <v>3793</v>
      </c>
      <c r="C23" s="9"/>
      <c r="D23" s="9"/>
      <c r="E23" s="9"/>
      <c r="F23" s="9" t="s">
        <v>5145</v>
      </c>
      <c r="G23" s="9" t="s">
        <v>3764</v>
      </c>
      <c r="K23" t="s">
        <v>6313</v>
      </c>
    </row>
    <row r="24" spans="2:11" x14ac:dyDescent="0.25">
      <c r="B24" s="9" t="s">
        <v>3793</v>
      </c>
      <c r="C24" s="9"/>
      <c r="D24" s="9"/>
      <c r="E24" s="9"/>
      <c r="F24" s="9" t="s">
        <v>5146</v>
      </c>
      <c r="G24" s="9" t="s">
        <v>3764</v>
      </c>
      <c r="K24" t="s">
        <v>6315</v>
      </c>
    </row>
    <row r="25" spans="2:11" x14ac:dyDescent="0.25">
      <c r="B25" s="9" t="s">
        <v>3793</v>
      </c>
      <c r="C25" s="9"/>
      <c r="D25" s="9"/>
      <c r="E25" s="9"/>
      <c r="F25" s="9" t="s">
        <v>5170</v>
      </c>
      <c r="G25" s="9" t="s">
        <v>3764</v>
      </c>
      <c r="K25" t="s">
        <v>6315</v>
      </c>
    </row>
    <row r="26" spans="2:11" x14ac:dyDescent="0.25">
      <c r="B26" s="9" t="s">
        <v>3793</v>
      </c>
      <c r="C26" s="9"/>
      <c r="D26" s="9"/>
      <c r="E26" s="9"/>
      <c r="F26" s="9" t="s">
        <v>5244</v>
      </c>
      <c r="G26" s="9" t="s">
        <v>3764</v>
      </c>
      <c r="K26" t="s">
        <v>6317</v>
      </c>
    </row>
    <row r="27" spans="2:11" x14ac:dyDescent="0.25">
      <c r="B27" s="9" t="s">
        <v>5248</v>
      </c>
      <c r="C27" s="9"/>
      <c r="D27" s="9"/>
      <c r="E27" s="9"/>
      <c r="F27" s="9" t="s">
        <v>5249</v>
      </c>
      <c r="G27" s="9" t="s">
        <v>3764</v>
      </c>
      <c r="K27" t="s">
        <v>6317</v>
      </c>
    </row>
    <row r="28" spans="2:11" x14ac:dyDescent="0.25">
      <c r="B28" s="9" t="s">
        <v>5248</v>
      </c>
      <c r="C28" s="9"/>
      <c r="D28" s="9"/>
      <c r="E28" s="9"/>
      <c r="F28" s="9" t="s">
        <v>5802</v>
      </c>
      <c r="G28" s="9" t="s">
        <v>3764</v>
      </c>
      <c r="K28" t="s">
        <v>6319</v>
      </c>
    </row>
    <row r="29" spans="2:11" x14ac:dyDescent="0.25">
      <c r="B29" s="9" t="s">
        <v>6039</v>
      </c>
      <c r="C29" s="9"/>
      <c r="D29" s="9"/>
      <c r="E29" s="9"/>
      <c r="F29" s="9" t="s">
        <v>6040</v>
      </c>
      <c r="G29" s="9" t="s">
        <v>3764</v>
      </c>
      <c r="K29" t="s">
        <v>6319</v>
      </c>
    </row>
    <row r="30" spans="2:11" x14ac:dyDescent="0.25">
      <c r="B30" s="9" t="s">
        <v>6039</v>
      </c>
      <c r="C30" s="9"/>
      <c r="D30" s="9"/>
      <c r="E30" s="9"/>
      <c r="F30" s="9" t="s">
        <v>6268</v>
      </c>
      <c r="G30" s="9" t="s">
        <v>3764</v>
      </c>
      <c r="K30" t="s">
        <v>6321</v>
      </c>
    </row>
    <row r="31" spans="2:11" x14ac:dyDescent="0.25">
      <c r="B31" s="9" t="s">
        <v>6039</v>
      </c>
      <c r="C31" s="9"/>
      <c r="D31" s="9"/>
      <c r="E31" s="9"/>
      <c r="F31" s="9" t="s">
        <v>6927</v>
      </c>
      <c r="G31" s="9" t="s">
        <v>3764</v>
      </c>
      <c r="K31" t="s">
        <v>6321</v>
      </c>
    </row>
    <row r="32" spans="2:11" x14ac:dyDescent="0.25">
      <c r="B32" s="9" t="s">
        <v>6039</v>
      </c>
      <c r="C32" s="9"/>
      <c r="D32" s="9"/>
      <c r="E32" s="9"/>
      <c r="F32" s="9" t="s">
        <v>6945</v>
      </c>
      <c r="G32" s="9" t="s">
        <v>3764</v>
      </c>
      <c r="K32" t="s">
        <v>6324</v>
      </c>
    </row>
    <row r="33" spans="2:11" x14ac:dyDescent="0.25">
      <c r="B33" s="9" t="s">
        <v>7034</v>
      </c>
      <c r="C33" s="9"/>
      <c r="D33" s="9"/>
      <c r="E33" s="9"/>
      <c r="F33" s="9" t="s">
        <v>7035</v>
      </c>
      <c r="G33" s="9" t="s">
        <v>3764</v>
      </c>
      <c r="K33" t="s">
        <v>6326</v>
      </c>
    </row>
    <row r="34" spans="2:11" x14ac:dyDescent="0.25">
      <c r="B34" s="9"/>
      <c r="C34" s="9"/>
      <c r="D34" s="9"/>
      <c r="E34" s="9"/>
      <c r="F34" s="9"/>
      <c r="G34" s="9"/>
      <c r="K34" t="s">
        <v>6328</v>
      </c>
    </row>
    <row r="35" spans="2:11" x14ac:dyDescent="0.25">
      <c r="B35" s="9"/>
      <c r="C35" s="9"/>
      <c r="D35" s="9"/>
      <c r="E35" s="9"/>
      <c r="F35" s="9"/>
      <c r="G35" s="9"/>
      <c r="K35" t="s">
        <v>6331</v>
      </c>
    </row>
    <row r="36" spans="2:11" x14ac:dyDescent="0.25">
      <c r="B36" s="9"/>
      <c r="C36" s="9"/>
      <c r="D36" s="9"/>
      <c r="E36" s="9"/>
      <c r="F36" s="9"/>
      <c r="G36" s="9"/>
      <c r="K36" t="s">
        <v>6333</v>
      </c>
    </row>
    <row r="37" spans="2:11" x14ac:dyDescent="0.25">
      <c r="B37" s="9"/>
      <c r="C37" s="9"/>
      <c r="D37" s="9"/>
      <c r="E37" s="9"/>
      <c r="F37" s="9"/>
      <c r="G37" s="9"/>
      <c r="K37" t="s">
        <v>6337</v>
      </c>
    </row>
    <row r="38" spans="2:11" x14ac:dyDescent="0.25">
      <c r="B38" s="9"/>
      <c r="C38" s="9"/>
      <c r="D38" s="9"/>
      <c r="E38" s="9"/>
      <c r="F38" s="9"/>
      <c r="G38" s="9"/>
      <c r="K38" t="s">
        <v>6340</v>
      </c>
    </row>
    <row r="39" spans="2:11" x14ac:dyDescent="0.25">
      <c r="B39" s="9"/>
      <c r="C39" s="9"/>
      <c r="D39" s="9"/>
      <c r="E39" s="9"/>
      <c r="F39" s="9"/>
      <c r="G39" s="9"/>
      <c r="K39" t="s">
        <v>6342</v>
      </c>
    </row>
    <row r="40" spans="2:11" x14ac:dyDescent="0.25">
      <c r="B40" s="9"/>
      <c r="C40" s="9"/>
      <c r="D40" s="9"/>
      <c r="E40" s="9"/>
      <c r="F40" s="9"/>
      <c r="G40" s="9"/>
      <c r="K40" t="s">
        <v>6345</v>
      </c>
    </row>
    <row r="41" spans="2:11" x14ac:dyDescent="0.25">
      <c r="B41" s="9"/>
      <c r="C41" s="9"/>
      <c r="D41" s="9"/>
      <c r="E41" s="9"/>
      <c r="F41" s="9"/>
      <c r="G41" s="9"/>
      <c r="K41" t="s">
        <v>6347</v>
      </c>
    </row>
    <row r="42" spans="2:11" x14ac:dyDescent="0.25">
      <c r="B42" s="9"/>
      <c r="C42" s="9"/>
      <c r="D42" s="9"/>
      <c r="E42" s="9"/>
      <c r="F42" s="9"/>
      <c r="G42" s="9"/>
      <c r="K42" t="s">
        <v>6350</v>
      </c>
    </row>
    <row r="43" spans="2:11" x14ac:dyDescent="0.25">
      <c r="B43" s="9"/>
      <c r="C43" s="9"/>
      <c r="D43" s="9"/>
      <c r="E43" s="9"/>
      <c r="F43" s="9"/>
      <c r="G43" s="9"/>
      <c r="K43" t="s">
        <v>6353</v>
      </c>
    </row>
    <row r="44" spans="2:11" x14ac:dyDescent="0.25">
      <c r="B44" s="9"/>
      <c r="C44" s="9"/>
      <c r="D44" s="9"/>
      <c r="E44" s="9"/>
      <c r="F44" s="9"/>
      <c r="G44" s="9"/>
      <c r="K44" t="s">
        <v>6356</v>
      </c>
    </row>
    <row r="45" spans="2:11" x14ac:dyDescent="0.25">
      <c r="B45" s="9"/>
      <c r="C45" s="9"/>
      <c r="D45" s="9"/>
      <c r="E45" s="9"/>
      <c r="F45" s="9"/>
      <c r="G45" s="9"/>
      <c r="K45" t="s">
        <v>6358</v>
      </c>
    </row>
    <row r="46" spans="2:11" x14ac:dyDescent="0.25">
      <c r="B46" s="9"/>
      <c r="C46" s="9"/>
      <c r="D46" s="9"/>
      <c r="E46" s="9"/>
      <c r="F46" s="9"/>
      <c r="G46" s="9"/>
      <c r="K46" t="s">
        <v>6360</v>
      </c>
    </row>
    <row r="47" spans="2:11" x14ac:dyDescent="0.25">
      <c r="B47" s="9"/>
      <c r="C47" s="9"/>
      <c r="D47" s="9"/>
      <c r="E47" s="9"/>
      <c r="F47" s="9"/>
      <c r="G47" s="9"/>
      <c r="K47" t="s">
        <v>6362</v>
      </c>
    </row>
    <row r="48" spans="2:11" x14ac:dyDescent="0.25">
      <c r="B48" s="9"/>
      <c r="C48" s="9"/>
      <c r="D48" s="9"/>
      <c r="E48" s="9"/>
      <c r="F48" s="9"/>
      <c r="G48" s="9"/>
      <c r="K48" t="s">
        <v>6364</v>
      </c>
    </row>
    <row r="49" spans="2:11" x14ac:dyDescent="0.25">
      <c r="B49" s="9"/>
      <c r="C49" s="9"/>
      <c r="D49" s="9"/>
      <c r="E49" s="9"/>
      <c r="F49" s="9"/>
      <c r="G49" s="9"/>
      <c r="K49" t="s">
        <v>6367</v>
      </c>
    </row>
    <row r="50" spans="2:11" x14ac:dyDescent="0.25">
      <c r="B50" s="9"/>
      <c r="C50" s="9"/>
      <c r="D50" s="9"/>
      <c r="E50" s="9"/>
      <c r="F50" s="9"/>
      <c r="G50" s="9"/>
      <c r="K50" t="s">
        <v>6370</v>
      </c>
    </row>
    <row r="51" spans="2:11" x14ac:dyDescent="0.25">
      <c r="B51" s="9"/>
      <c r="C51" s="9"/>
      <c r="D51" s="9"/>
      <c r="E51" s="9"/>
      <c r="F51" s="9"/>
      <c r="G51" s="9"/>
      <c r="K51" t="s">
        <v>6372</v>
      </c>
    </row>
    <row r="52" spans="2:11" x14ac:dyDescent="0.25">
      <c r="B52" s="9"/>
      <c r="C52" s="9"/>
      <c r="D52" s="9"/>
      <c r="E52" s="9"/>
      <c r="F52" s="9"/>
      <c r="G52" s="9"/>
      <c r="K52" t="s">
        <v>6374</v>
      </c>
    </row>
    <row r="53" spans="2:11" x14ac:dyDescent="0.25">
      <c r="B53" s="9"/>
      <c r="C53" s="9"/>
      <c r="D53" s="9"/>
      <c r="E53" s="9"/>
      <c r="F53" s="9"/>
      <c r="G53" s="9"/>
      <c r="K53" t="s">
        <v>6376</v>
      </c>
    </row>
    <row r="54" spans="2:11" x14ac:dyDescent="0.25">
      <c r="B54" s="9"/>
      <c r="C54" s="9"/>
      <c r="D54" s="9"/>
      <c r="E54" s="9"/>
      <c r="F54" s="9"/>
      <c r="G54" s="9"/>
      <c r="K54" t="s">
        <v>6378</v>
      </c>
    </row>
    <row r="55" spans="2:11" x14ac:dyDescent="0.25">
      <c r="B55" s="9"/>
      <c r="C55" s="9"/>
      <c r="D55" s="9"/>
      <c r="E55" s="9"/>
      <c r="F55" s="9"/>
      <c r="G55" s="9"/>
      <c r="K55" t="s">
        <v>6380</v>
      </c>
    </row>
    <row r="56" spans="2:11" x14ac:dyDescent="0.25">
      <c r="B56" s="9"/>
      <c r="C56" s="9"/>
      <c r="D56" s="9"/>
      <c r="E56" s="9"/>
      <c r="F56" s="9"/>
      <c r="G56" s="9"/>
      <c r="K56" t="s">
        <v>6382</v>
      </c>
    </row>
    <row r="57" spans="2:11" x14ac:dyDescent="0.25">
      <c r="B57" s="9"/>
      <c r="C57" s="9"/>
      <c r="D57" s="9"/>
      <c r="E57" s="9"/>
      <c r="F57" s="9"/>
      <c r="G57" s="9"/>
      <c r="K57" t="s">
        <v>6385</v>
      </c>
    </row>
    <row r="58" spans="2:11" x14ac:dyDescent="0.25">
      <c r="B58" s="9"/>
      <c r="C58" s="9"/>
      <c r="D58" s="9"/>
      <c r="E58" s="9"/>
      <c r="F58" s="9"/>
      <c r="G58" s="9"/>
      <c r="K58" t="s">
        <v>6387</v>
      </c>
    </row>
    <row r="59" spans="2:11" x14ac:dyDescent="0.25">
      <c r="B59" s="9"/>
      <c r="C59" s="9"/>
      <c r="D59" s="9"/>
      <c r="E59" s="9"/>
      <c r="F59" s="9"/>
      <c r="G59" s="9"/>
      <c r="K59" t="s">
        <v>6045</v>
      </c>
    </row>
    <row r="60" spans="2:11" x14ac:dyDescent="0.25">
      <c r="B60" s="9"/>
      <c r="C60" s="9"/>
      <c r="D60" s="9"/>
      <c r="E60" s="9"/>
      <c r="F60" s="9"/>
      <c r="G60" s="9"/>
      <c r="K60" t="s">
        <v>6392</v>
      </c>
    </row>
    <row r="61" spans="2:11" x14ac:dyDescent="0.25">
      <c r="B61" s="9"/>
      <c r="C61" s="9"/>
      <c r="D61" s="9"/>
      <c r="E61" s="9"/>
      <c r="F61" s="9"/>
      <c r="G61" s="9"/>
      <c r="K61" t="s">
        <v>6394</v>
      </c>
    </row>
    <row r="62" spans="2:11" x14ac:dyDescent="0.25">
      <c r="B62" s="9"/>
      <c r="C62" s="9"/>
      <c r="D62" s="9"/>
      <c r="E62" s="9"/>
      <c r="F62" s="9"/>
      <c r="G62" s="9"/>
      <c r="K62" t="s">
        <v>6396</v>
      </c>
    </row>
    <row r="63" spans="2:11" x14ac:dyDescent="0.25">
      <c r="B63" s="9"/>
      <c r="C63" s="9"/>
      <c r="D63" s="9"/>
      <c r="E63" s="9"/>
      <c r="F63" s="9"/>
      <c r="G63" s="9"/>
      <c r="K63" t="s">
        <v>6399</v>
      </c>
    </row>
    <row r="64" spans="2:11" x14ac:dyDescent="0.25">
      <c r="B64" s="9"/>
      <c r="C64" s="9"/>
      <c r="D64" s="9"/>
      <c r="E64" s="9"/>
      <c r="F64" s="9"/>
      <c r="G64" s="9"/>
      <c r="K64" t="s">
        <v>6401</v>
      </c>
    </row>
    <row r="65" spans="2:11" x14ac:dyDescent="0.25">
      <c r="B65" s="9"/>
      <c r="C65" s="9"/>
      <c r="D65" s="9"/>
      <c r="E65" s="9"/>
      <c r="F65" s="9"/>
      <c r="G65" s="9"/>
      <c r="K65" t="s">
        <v>6403</v>
      </c>
    </row>
    <row r="66" spans="2:11" x14ac:dyDescent="0.25">
      <c r="B66" s="9"/>
      <c r="C66" s="9"/>
      <c r="D66" s="9"/>
      <c r="E66" s="9"/>
      <c r="F66" s="9"/>
      <c r="G66" s="9"/>
      <c r="K66" t="s">
        <v>6947</v>
      </c>
    </row>
    <row r="67" spans="2:11" x14ac:dyDescent="0.25">
      <c r="B67" s="9"/>
      <c r="C67" s="9"/>
      <c r="D67" s="9"/>
      <c r="E67" s="9"/>
      <c r="F67" s="9"/>
      <c r="G67" s="9"/>
      <c r="K67" t="s">
        <v>6405</v>
      </c>
    </row>
    <row r="68" spans="2:11" x14ac:dyDescent="0.25">
      <c r="B68" s="9"/>
      <c r="C68" s="9"/>
      <c r="D68" s="9"/>
      <c r="E68" s="9"/>
      <c r="F68" s="9"/>
      <c r="G68" s="9"/>
      <c r="K68" t="s">
        <v>6408</v>
      </c>
    </row>
    <row r="69" spans="2:11" x14ac:dyDescent="0.25">
      <c r="B69" s="9"/>
      <c r="C69" s="9"/>
      <c r="D69" s="9"/>
      <c r="E69" s="9"/>
      <c r="F69" s="9"/>
      <c r="G69" s="9"/>
      <c r="K69" t="s">
        <v>6412</v>
      </c>
    </row>
    <row r="70" spans="2:11" x14ac:dyDescent="0.25">
      <c r="B70" s="9"/>
      <c r="C70" s="9"/>
      <c r="D70" s="9"/>
      <c r="E70" s="9"/>
      <c r="F70" s="9"/>
      <c r="G70" s="9"/>
      <c r="K70" t="s">
        <v>6416</v>
      </c>
    </row>
    <row r="71" spans="2:11" x14ac:dyDescent="0.25">
      <c r="B71" s="9"/>
      <c r="C71" s="9"/>
      <c r="D71" s="9"/>
      <c r="E71" s="9"/>
      <c r="F71" s="9"/>
      <c r="G71" s="9"/>
      <c r="K71" t="s">
        <v>6419</v>
      </c>
    </row>
    <row r="72" spans="2:11" x14ac:dyDescent="0.25">
      <c r="B72" s="9"/>
      <c r="C72" s="9"/>
      <c r="D72" s="9"/>
      <c r="E72" s="9"/>
      <c r="F72" s="9"/>
      <c r="G72" s="9"/>
      <c r="K72" t="s">
        <v>6423</v>
      </c>
    </row>
    <row r="73" spans="2:11" x14ac:dyDescent="0.25">
      <c r="B73" s="9"/>
      <c r="C73" s="9"/>
      <c r="D73" s="9"/>
      <c r="E73" s="9"/>
      <c r="F73" s="9"/>
      <c r="G73" s="9"/>
      <c r="K73" t="s">
        <v>6427</v>
      </c>
    </row>
    <row r="74" spans="2:11" x14ac:dyDescent="0.25">
      <c r="B74" s="9"/>
      <c r="C74" s="9"/>
      <c r="D74" s="9"/>
      <c r="E74" s="9"/>
      <c r="F74" s="9"/>
      <c r="G74" s="9"/>
      <c r="K74" t="s">
        <v>6429</v>
      </c>
    </row>
    <row r="75" spans="2:11" x14ac:dyDescent="0.25">
      <c r="B75" s="9"/>
      <c r="C75" s="9"/>
      <c r="D75" s="9"/>
      <c r="E75" s="9"/>
      <c r="F75" s="9"/>
      <c r="G75" s="9"/>
      <c r="K75" t="s">
        <v>6431</v>
      </c>
    </row>
    <row r="76" spans="2:11" x14ac:dyDescent="0.25">
      <c r="B76" s="9"/>
      <c r="C76" s="9"/>
      <c r="D76" s="9"/>
      <c r="E76" s="9"/>
      <c r="F76" s="9"/>
      <c r="G76" s="9"/>
      <c r="K76" t="s">
        <v>6433</v>
      </c>
    </row>
    <row r="77" spans="2:11" x14ac:dyDescent="0.25">
      <c r="B77" s="9"/>
      <c r="C77" s="9"/>
      <c r="D77" s="9"/>
      <c r="E77" s="9"/>
      <c r="F77" s="9"/>
      <c r="G77" s="9"/>
      <c r="K77" t="s">
        <v>6435</v>
      </c>
    </row>
    <row r="78" spans="2:11" x14ac:dyDescent="0.25">
      <c r="B78" s="9"/>
      <c r="C78" s="9"/>
      <c r="D78" s="9"/>
      <c r="E78" s="9"/>
      <c r="F78" s="9"/>
      <c r="G78" s="9"/>
      <c r="K78" t="s">
        <v>6437</v>
      </c>
    </row>
    <row r="79" spans="2:11" x14ac:dyDescent="0.25">
      <c r="B79" s="9"/>
      <c r="C79" s="9"/>
      <c r="D79" s="9"/>
      <c r="E79" s="9"/>
      <c r="F79" s="9"/>
      <c r="G79" s="9"/>
      <c r="K79" t="s">
        <v>6439</v>
      </c>
    </row>
    <row r="80" spans="2:11" x14ac:dyDescent="0.25">
      <c r="B80" s="9"/>
      <c r="C80" s="9"/>
      <c r="D80" s="9"/>
      <c r="E80" s="9"/>
      <c r="F80" s="9"/>
      <c r="G80" s="9"/>
      <c r="K80" t="s">
        <v>6441</v>
      </c>
    </row>
    <row r="81" spans="2:11" x14ac:dyDescent="0.25">
      <c r="B81" s="9"/>
      <c r="C81" s="9"/>
      <c r="D81" s="9"/>
      <c r="E81" s="9"/>
      <c r="F81" s="9"/>
      <c r="G81" s="9"/>
      <c r="K81" t="s">
        <v>6443</v>
      </c>
    </row>
    <row r="82" spans="2:11" x14ac:dyDescent="0.25">
      <c r="B82" s="9"/>
      <c r="C82" s="9"/>
      <c r="D82" s="9"/>
      <c r="E82" s="9"/>
      <c r="F82" s="9"/>
      <c r="G82" s="9"/>
      <c r="K82" t="s">
        <v>6445</v>
      </c>
    </row>
    <row r="83" spans="2:11" x14ac:dyDescent="0.25">
      <c r="B83" s="9"/>
      <c r="C83" s="9"/>
      <c r="D83" s="9"/>
      <c r="E83" s="9"/>
      <c r="F83" s="9"/>
      <c r="G83" s="9"/>
      <c r="K83" t="s">
        <v>6448</v>
      </c>
    </row>
    <row r="84" spans="2:11" x14ac:dyDescent="0.25">
      <c r="B84" s="9"/>
      <c r="C84" s="9"/>
      <c r="D84" s="9"/>
      <c r="E84" s="9"/>
      <c r="F84" s="9"/>
      <c r="G84" s="9"/>
      <c r="K84" t="s">
        <v>6452</v>
      </c>
    </row>
    <row r="85" spans="2:11" x14ac:dyDescent="0.25">
      <c r="B85" s="9"/>
      <c r="C85" s="9"/>
      <c r="D85" s="9"/>
      <c r="E85" s="9"/>
      <c r="F85" s="9"/>
      <c r="G85" s="9"/>
      <c r="K85" t="s">
        <v>6455</v>
      </c>
    </row>
    <row r="86" spans="2:11" x14ac:dyDescent="0.25">
      <c r="B86" s="9"/>
      <c r="C86" s="9"/>
      <c r="D86" s="9"/>
      <c r="E86" s="9"/>
      <c r="F86" s="9"/>
      <c r="G86" s="9"/>
      <c r="K86" t="s">
        <v>6457</v>
      </c>
    </row>
    <row r="87" spans="2:11" x14ac:dyDescent="0.25">
      <c r="B87" s="9"/>
      <c r="C87" s="9"/>
      <c r="D87" s="9"/>
      <c r="E87" s="9"/>
      <c r="F87" s="9"/>
      <c r="G87" s="9"/>
      <c r="K87" t="s">
        <v>6459</v>
      </c>
    </row>
    <row r="88" spans="2:11" x14ac:dyDescent="0.25">
      <c r="B88" s="9"/>
      <c r="C88" s="9"/>
      <c r="D88" s="9"/>
      <c r="E88" s="9"/>
      <c r="F88" s="9"/>
      <c r="G88" s="9"/>
      <c r="K88" t="s">
        <v>6461</v>
      </c>
    </row>
    <row r="89" spans="2:11" x14ac:dyDescent="0.25">
      <c r="B89" s="9"/>
      <c r="C89" s="9"/>
      <c r="D89" s="9"/>
      <c r="E89" s="9"/>
      <c r="F89" s="9"/>
      <c r="G89" s="9"/>
      <c r="K89" t="s">
        <v>6463</v>
      </c>
    </row>
    <row r="90" spans="2:11" x14ac:dyDescent="0.25">
      <c r="B90" s="9"/>
      <c r="C90" s="9"/>
      <c r="D90" s="9"/>
      <c r="E90" s="9"/>
      <c r="F90" s="9"/>
      <c r="G90" s="9"/>
      <c r="K90" t="s">
        <v>6465</v>
      </c>
    </row>
    <row r="91" spans="2:11" x14ac:dyDescent="0.25">
      <c r="B91" s="9"/>
      <c r="C91" s="9"/>
      <c r="D91" s="9"/>
      <c r="E91" s="9"/>
      <c r="F91" s="9"/>
      <c r="G91" s="9"/>
      <c r="K91" t="s">
        <v>6467</v>
      </c>
    </row>
    <row r="92" spans="2:11" x14ac:dyDescent="0.25">
      <c r="B92" s="9"/>
      <c r="C92" s="9"/>
      <c r="D92" s="9"/>
      <c r="E92" s="9"/>
      <c r="F92" s="9"/>
      <c r="G92" s="9"/>
      <c r="K92" t="s">
        <v>6470</v>
      </c>
    </row>
    <row r="93" spans="2:11" x14ac:dyDescent="0.25">
      <c r="B93" s="9"/>
      <c r="C93" s="9"/>
      <c r="D93" s="9"/>
      <c r="E93" s="9"/>
      <c r="F93" s="9"/>
      <c r="G93" s="9"/>
      <c r="K93" t="s">
        <v>6473</v>
      </c>
    </row>
    <row r="94" spans="2:11" x14ac:dyDescent="0.25">
      <c r="B94" s="9"/>
      <c r="C94" s="9"/>
      <c r="D94" s="9"/>
      <c r="E94" s="9"/>
      <c r="F94" s="9"/>
      <c r="G94" s="9"/>
      <c r="K94" t="s">
        <v>6475</v>
      </c>
    </row>
    <row r="95" spans="2:11" x14ac:dyDescent="0.25">
      <c r="B95" s="9"/>
      <c r="C95" s="9"/>
      <c r="D95" s="9"/>
      <c r="E95" s="9"/>
      <c r="F95" s="9"/>
      <c r="G95" s="9"/>
      <c r="K95" t="s">
        <v>6477</v>
      </c>
    </row>
    <row r="96" spans="2:11" x14ac:dyDescent="0.25">
      <c r="B96" s="9"/>
      <c r="C96" s="9"/>
      <c r="D96" s="9"/>
      <c r="E96" s="9"/>
      <c r="F96" s="9"/>
      <c r="G96" s="9"/>
      <c r="K96" t="s">
        <v>6479</v>
      </c>
    </row>
    <row r="97" spans="2:11" x14ac:dyDescent="0.25">
      <c r="B97" s="9"/>
      <c r="C97" s="9"/>
      <c r="D97" s="9"/>
      <c r="E97" s="9"/>
      <c r="F97" s="9"/>
      <c r="G97" s="9"/>
      <c r="K97" t="s">
        <v>6481</v>
      </c>
    </row>
    <row r="98" spans="2:11" x14ac:dyDescent="0.25">
      <c r="B98" s="9"/>
      <c r="C98" s="9"/>
      <c r="D98" s="9"/>
      <c r="E98" s="9"/>
      <c r="F98" s="9"/>
      <c r="G98" s="9"/>
      <c r="K98" t="s">
        <v>6483</v>
      </c>
    </row>
    <row r="99" spans="2:11" x14ac:dyDescent="0.25">
      <c r="B99" s="9"/>
      <c r="C99" s="9"/>
      <c r="D99" s="9"/>
      <c r="E99" s="9"/>
      <c r="F99" s="9"/>
      <c r="G99" s="9"/>
      <c r="K99" t="s">
        <v>6485</v>
      </c>
    </row>
    <row r="100" spans="2:11" x14ac:dyDescent="0.25">
      <c r="B100" s="9"/>
      <c r="C100" s="9"/>
      <c r="D100" s="9"/>
      <c r="E100" s="9"/>
      <c r="F100" s="9"/>
      <c r="G100" s="9"/>
      <c r="K100" t="s">
        <v>6487</v>
      </c>
    </row>
    <row r="101" spans="2:11" x14ac:dyDescent="0.25">
      <c r="B101" s="9"/>
      <c r="C101" s="9"/>
      <c r="D101" s="9"/>
      <c r="E101" s="9"/>
      <c r="F101" s="9"/>
      <c r="G101" s="9"/>
      <c r="K101" t="s">
        <v>6489</v>
      </c>
    </row>
    <row r="102" spans="2:11" x14ac:dyDescent="0.25">
      <c r="B102" s="9"/>
      <c r="C102" s="9"/>
      <c r="D102" s="9"/>
      <c r="E102" s="9"/>
      <c r="F102" s="9"/>
      <c r="G102" s="9"/>
      <c r="K102" t="s">
        <v>6046</v>
      </c>
    </row>
    <row r="103" spans="2:11" x14ac:dyDescent="0.25">
      <c r="B103" s="9"/>
      <c r="C103" s="9"/>
      <c r="D103" s="9"/>
      <c r="E103" s="9"/>
      <c r="F103" s="9"/>
      <c r="G103" s="9"/>
      <c r="K103" t="s">
        <v>6047</v>
      </c>
    </row>
    <row r="104" spans="2:11" x14ac:dyDescent="0.25">
      <c r="B104" s="9"/>
      <c r="C104" s="9"/>
      <c r="D104" s="9"/>
      <c r="E104" s="9"/>
      <c r="F104" s="9"/>
      <c r="G104" s="9"/>
      <c r="K104" t="s">
        <v>6048</v>
      </c>
    </row>
    <row r="105" spans="2:11" x14ac:dyDescent="0.25">
      <c r="B105" s="9"/>
      <c r="C105" s="9"/>
      <c r="D105" s="9"/>
      <c r="E105" s="9"/>
      <c r="F105" s="9"/>
      <c r="G105" s="9"/>
      <c r="K105" t="s">
        <v>6049</v>
      </c>
    </row>
    <row r="106" spans="2:11" x14ac:dyDescent="0.25">
      <c r="B106" s="9"/>
      <c r="C106" s="9"/>
      <c r="D106" s="9"/>
      <c r="E106" s="9"/>
      <c r="F106" s="9"/>
      <c r="G106" s="9"/>
      <c r="K106" t="s">
        <v>6050</v>
      </c>
    </row>
    <row r="107" spans="2:11" x14ac:dyDescent="0.25">
      <c r="B107" s="9"/>
      <c r="C107" s="9"/>
      <c r="D107" s="9"/>
      <c r="E107" s="9"/>
      <c r="F107" s="9"/>
      <c r="G107" s="9"/>
      <c r="K107" t="s">
        <v>6051</v>
      </c>
    </row>
    <row r="108" spans="2:11" x14ac:dyDescent="0.25">
      <c r="B108" s="9"/>
      <c r="C108" s="9"/>
      <c r="D108" s="9"/>
      <c r="E108" s="9"/>
      <c r="F108" s="9"/>
      <c r="G108" s="9"/>
      <c r="K108" t="s">
        <v>6052</v>
      </c>
    </row>
    <row r="109" spans="2:11" x14ac:dyDescent="0.25">
      <c r="B109" s="9"/>
      <c r="C109" s="9"/>
      <c r="D109" s="9"/>
      <c r="E109" s="9"/>
      <c r="F109" s="9"/>
      <c r="G109" s="9"/>
      <c r="K109" t="s">
        <v>6053</v>
      </c>
    </row>
    <row r="110" spans="2:11" x14ac:dyDescent="0.25">
      <c r="B110" s="9"/>
      <c r="C110" s="9"/>
      <c r="D110" s="9"/>
      <c r="E110" s="9"/>
      <c r="F110" s="9"/>
      <c r="G110" s="9"/>
      <c r="K110" t="s">
        <v>6054</v>
      </c>
    </row>
    <row r="111" spans="2:11" x14ac:dyDescent="0.25">
      <c r="B111" s="9"/>
      <c r="C111" s="9"/>
      <c r="D111" s="9"/>
      <c r="E111" s="9"/>
      <c r="F111" s="9"/>
      <c r="G111" s="9"/>
      <c r="K111" t="s">
        <v>6055</v>
      </c>
    </row>
    <row r="112" spans="2:11" x14ac:dyDescent="0.25">
      <c r="B112" s="9"/>
      <c r="C112" s="9"/>
      <c r="D112" s="9"/>
      <c r="E112" s="9"/>
      <c r="F112" s="9"/>
      <c r="G112" s="9"/>
      <c r="K112" t="s">
        <v>6056</v>
      </c>
    </row>
    <row r="113" spans="11:11" x14ac:dyDescent="0.25">
      <c r="K113" t="s">
        <v>6057</v>
      </c>
    </row>
    <row r="114" spans="11:11" x14ac:dyDescent="0.25">
      <c r="K114" t="s">
        <v>6058</v>
      </c>
    </row>
    <row r="115" spans="11:11" x14ac:dyDescent="0.25">
      <c r="K115" t="s">
        <v>6059</v>
      </c>
    </row>
    <row r="116" spans="11:11" x14ac:dyDescent="0.25">
      <c r="K116" t="s">
        <v>6060</v>
      </c>
    </row>
    <row r="117" spans="11:11" x14ac:dyDescent="0.25">
      <c r="K117" t="s">
        <v>6061</v>
      </c>
    </row>
    <row r="118" spans="11:11" x14ac:dyDescent="0.25">
      <c r="K118" t="s">
        <v>6062</v>
      </c>
    </row>
    <row r="119" spans="11:11" x14ac:dyDescent="0.25">
      <c r="K119" t="s">
        <v>6063</v>
      </c>
    </row>
    <row r="120" spans="11:11" x14ac:dyDescent="0.25">
      <c r="K120" t="s">
        <v>6064</v>
      </c>
    </row>
    <row r="121" spans="11:11" x14ac:dyDescent="0.25">
      <c r="K121" t="s">
        <v>6065</v>
      </c>
    </row>
    <row r="122" spans="11:11" x14ac:dyDescent="0.25">
      <c r="K122" t="s">
        <v>6066</v>
      </c>
    </row>
    <row r="123" spans="11:11" x14ac:dyDescent="0.25">
      <c r="K123" t="s">
        <v>6067</v>
      </c>
    </row>
    <row r="124" spans="11:11" x14ac:dyDescent="0.25">
      <c r="K124" t="s">
        <v>6068</v>
      </c>
    </row>
    <row r="125" spans="11:11" x14ac:dyDescent="0.25">
      <c r="K125" t="s">
        <v>6069</v>
      </c>
    </row>
    <row r="126" spans="11:11" x14ac:dyDescent="0.25">
      <c r="K126" t="s">
        <v>6070</v>
      </c>
    </row>
    <row r="127" spans="11:11" x14ac:dyDescent="0.25">
      <c r="K127" t="s">
        <v>6071</v>
      </c>
    </row>
    <row r="128" spans="11:11" x14ac:dyDescent="0.25">
      <c r="K128" t="s">
        <v>6072</v>
      </c>
    </row>
    <row r="129" spans="11:11" x14ac:dyDescent="0.25">
      <c r="K129" t="s">
        <v>6073</v>
      </c>
    </row>
    <row r="130" spans="11:11" x14ac:dyDescent="0.25">
      <c r="K130" t="s">
        <v>6949</v>
      </c>
    </row>
    <row r="131" spans="11:11" x14ac:dyDescent="0.25">
      <c r="K131" t="s">
        <v>6951</v>
      </c>
    </row>
    <row r="132" spans="11:11" x14ac:dyDescent="0.25">
      <c r="K132" t="s">
        <v>6953</v>
      </c>
    </row>
    <row r="133" spans="11:11" x14ac:dyDescent="0.25">
      <c r="K133" t="s">
        <v>6955</v>
      </c>
    </row>
    <row r="134" spans="11:11" x14ac:dyDescent="0.25">
      <c r="K134" t="s">
        <v>6957</v>
      </c>
    </row>
    <row r="135" spans="11:11" x14ac:dyDescent="0.25">
      <c r="K135" t="s">
        <v>6959</v>
      </c>
    </row>
    <row r="136" spans="11:11" x14ac:dyDescent="0.25">
      <c r="K136" t="s">
        <v>6961</v>
      </c>
    </row>
    <row r="137" spans="11:11" x14ac:dyDescent="0.25">
      <c r="K137" t="s">
        <v>6963</v>
      </c>
    </row>
    <row r="138" spans="11:11" x14ac:dyDescent="0.25">
      <c r="K138" t="s">
        <v>6965</v>
      </c>
    </row>
    <row r="139" spans="11:11" x14ac:dyDescent="0.25">
      <c r="K139" t="s">
        <v>6967</v>
      </c>
    </row>
    <row r="140" spans="11:11" x14ac:dyDescent="0.25">
      <c r="K140" t="s">
        <v>6969</v>
      </c>
    </row>
    <row r="141" spans="11:11" x14ac:dyDescent="0.25">
      <c r="K141" t="s">
        <v>6971</v>
      </c>
    </row>
    <row r="142" spans="11:11" x14ac:dyDescent="0.25">
      <c r="K142" t="s">
        <v>6973</v>
      </c>
    </row>
    <row r="143" spans="11:11" x14ac:dyDescent="0.25">
      <c r="K143" t="s">
        <v>6074</v>
      </c>
    </row>
    <row r="144" spans="11:11" x14ac:dyDescent="0.25">
      <c r="K144" t="s">
        <v>6496</v>
      </c>
    </row>
    <row r="145" spans="11:11" x14ac:dyDescent="0.25">
      <c r="K145" t="s">
        <v>6499</v>
      </c>
    </row>
    <row r="146" spans="11:11" x14ac:dyDescent="0.25">
      <c r="K146" t="s">
        <v>6501</v>
      </c>
    </row>
    <row r="147" spans="11:11" x14ac:dyDescent="0.25">
      <c r="K147" t="s">
        <v>6504</v>
      </c>
    </row>
    <row r="148" spans="11:11" x14ac:dyDescent="0.25">
      <c r="K148" t="s">
        <v>6509</v>
      </c>
    </row>
    <row r="149" spans="11:11" x14ac:dyDescent="0.25">
      <c r="K149" t="s">
        <v>6515</v>
      </c>
    </row>
    <row r="150" spans="11:11" x14ac:dyDescent="0.25">
      <c r="K150" t="s">
        <v>6075</v>
      </c>
    </row>
    <row r="151" spans="11:11" x14ac:dyDescent="0.25">
      <c r="K151" t="s">
        <v>6076</v>
      </c>
    </row>
    <row r="152" spans="11:11" x14ac:dyDescent="0.25">
      <c r="K152" t="s">
        <v>6077</v>
      </c>
    </row>
    <row r="153" spans="11:11" x14ac:dyDescent="0.25">
      <c r="K153" t="s">
        <v>6078</v>
      </c>
    </row>
    <row r="154" spans="11:11" x14ac:dyDescent="0.25">
      <c r="K154" t="s">
        <v>6079</v>
      </c>
    </row>
    <row r="155" spans="11:11" x14ac:dyDescent="0.25">
      <c r="K155" t="s">
        <v>6080</v>
      </c>
    </row>
    <row r="156" spans="11:11" x14ac:dyDescent="0.25">
      <c r="K156" t="s">
        <v>6081</v>
      </c>
    </row>
    <row r="157" spans="11:11" x14ac:dyDescent="0.25">
      <c r="K157" t="s">
        <v>6082</v>
      </c>
    </row>
    <row r="158" spans="11:11" x14ac:dyDescent="0.25">
      <c r="K158" t="s">
        <v>6083</v>
      </c>
    </row>
    <row r="159" spans="11:11" x14ac:dyDescent="0.25">
      <c r="K159" t="s">
        <v>6084</v>
      </c>
    </row>
    <row r="160" spans="11:11" x14ac:dyDescent="0.25">
      <c r="K160" t="s">
        <v>6085</v>
      </c>
    </row>
    <row r="161" spans="11:11" x14ac:dyDescent="0.25">
      <c r="K161" t="s">
        <v>6086</v>
      </c>
    </row>
    <row r="162" spans="11:11" x14ac:dyDescent="0.25">
      <c r="K162" t="s">
        <v>6087</v>
      </c>
    </row>
    <row r="163" spans="11:11" x14ac:dyDescent="0.25">
      <c r="K163" t="s">
        <v>6518</v>
      </c>
    </row>
    <row r="164" spans="11:11" x14ac:dyDescent="0.25">
      <c r="K164" t="s">
        <v>6522</v>
      </c>
    </row>
    <row r="165" spans="11:11" x14ac:dyDescent="0.25">
      <c r="K165" t="s">
        <v>6528</v>
      </c>
    </row>
    <row r="166" spans="11:11" x14ac:dyDescent="0.25">
      <c r="K166" t="s">
        <v>6532</v>
      </c>
    </row>
    <row r="167" spans="11:11" x14ac:dyDescent="0.25">
      <c r="K167" t="s">
        <v>6535</v>
      </c>
    </row>
    <row r="168" spans="11:11" x14ac:dyDescent="0.25">
      <c r="K168" t="s">
        <v>6538</v>
      </c>
    </row>
    <row r="169" spans="11:11" x14ac:dyDescent="0.25">
      <c r="K169" t="s">
        <v>6541</v>
      </c>
    </row>
    <row r="170" spans="11:11" x14ac:dyDescent="0.25">
      <c r="K170" t="s">
        <v>6545</v>
      </c>
    </row>
    <row r="171" spans="11:11" x14ac:dyDescent="0.25">
      <c r="K171" t="s">
        <v>6548</v>
      </c>
    </row>
    <row r="172" spans="11:11" x14ac:dyDescent="0.25">
      <c r="K172" t="s">
        <v>6550</v>
      </c>
    </row>
    <row r="173" spans="11:11" x14ac:dyDescent="0.25">
      <c r="K173" t="s">
        <v>6554</v>
      </c>
    </row>
    <row r="174" spans="11:11" x14ac:dyDescent="0.25">
      <c r="K174" t="s">
        <v>6558</v>
      </c>
    </row>
    <row r="175" spans="11:11" x14ac:dyDescent="0.25">
      <c r="K175" t="s">
        <v>6562</v>
      </c>
    </row>
    <row r="176" spans="11:11" x14ac:dyDescent="0.25">
      <c r="K176" t="s">
        <v>6565</v>
      </c>
    </row>
    <row r="177" spans="11:11" x14ac:dyDescent="0.25">
      <c r="K177" t="s">
        <v>6568</v>
      </c>
    </row>
    <row r="178" spans="11:11" x14ac:dyDescent="0.25">
      <c r="K178" t="s">
        <v>6572</v>
      </c>
    </row>
    <row r="179" spans="11:11" x14ac:dyDescent="0.25">
      <c r="K179" t="s">
        <v>6575</v>
      </c>
    </row>
    <row r="180" spans="11:11" x14ac:dyDescent="0.25">
      <c r="K180" t="s">
        <v>6578</v>
      </c>
    </row>
    <row r="181" spans="11:11" x14ac:dyDescent="0.25">
      <c r="K181" t="s">
        <v>6582</v>
      </c>
    </row>
    <row r="182" spans="11:11" x14ac:dyDescent="0.25">
      <c r="K182" t="s">
        <v>6585</v>
      </c>
    </row>
    <row r="183" spans="11:11" x14ac:dyDescent="0.25">
      <c r="K183" t="s">
        <v>6975</v>
      </c>
    </row>
    <row r="184" spans="11:11" x14ac:dyDescent="0.25">
      <c r="K184" t="s">
        <v>6589</v>
      </c>
    </row>
    <row r="185" spans="11:11" x14ac:dyDescent="0.25">
      <c r="K185" t="s">
        <v>6594</v>
      </c>
    </row>
    <row r="186" spans="11:11" x14ac:dyDescent="0.25">
      <c r="K186" t="s">
        <v>6598</v>
      </c>
    </row>
    <row r="187" spans="11:11" x14ac:dyDescent="0.25">
      <c r="K187" t="s">
        <v>6602</v>
      </c>
    </row>
    <row r="188" spans="11:11" x14ac:dyDescent="0.25">
      <c r="K188" t="s">
        <v>6608</v>
      </c>
    </row>
    <row r="189" spans="11:11" x14ac:dyDescent="0.25">
      <c r="K189" t="s">
        <v>6613</v>
      </c>
    </row>
    <row r="190" spans="11:11" x14ac:dyDescent="0.25">
      <c r="K190" t="s">
        <v>6619</v>
      </c>
    </row>
    <row r="191" spans="11:11" x14ac:dyDescent="0.25">
      <c r="K191" t="s">
        <v>6623</v>
      </c>
    </row>
    <row r="192" spans="11:11" x14ac:dyDescent="0.25">
      <c r="K192" t="s">
        <v>6627</v>
      </c>
    </row>
    <row r="193" spans="11:11" x14ac:dyDescent="0.25">
      <c r="K193" t="s">
        <v>6631</v>
      </c>
    </row>
    <row r="194" spans="11:11" x14ac:dyDescent="0.25">
      <c r="K194" t="s">
        <v>6637</v>
      </c>
    </row>
    <row r="195" spans="11:11" x14ac:dyDescent="0.25">
      <c r="K195" t="s">
        <v>6639</v>
      </c>
    </row>
    <row r="196" spans="11:11" x14ac:dyDescent="0.25">
      <c r="K196" t="s">
        <v>6643</v>
      </c>
    </row>
    <row r="197" spans="11:11" x14ac:dyDescent="0.25">
      <c r="K197" t="s">
        <v>6648</v>
      </c>
    </row>
    <row r="198" spans="11:11" x14ac:dyDescent="0.25">
      <c r="K198" t="s">
        <v>6651</v>
      </c>
    </row>
    <row r="199" spans="11:11" x14ac:dyDescent="0.25">
      <c r="K199" t="s">
        <v>6653</v>
      </c>
    </row>
    <row r="200" spans="11:11" x14ac:dyDescent="0.25">
      <c r="K200" t="s">
        <v>6656</v>
      </c>
    </row>
    <row r="201" spans="11:11" x14ac:dyDescent="0.25">
      <c r="K201" t="s">
        <v>6660</v>
      </c>
    </row>
    <row r="202" spans="11:11" x14ac:dyDescent="0.25">
      <c r="K202" t="s">
        <v>6664</v>
      </c>
    </row>
    <row r="203" spans="11:11" x14ac:dyDescent="0.25">
      <c r="K203" t="s">
        <v>6669</v>
      </c>
    </row>
    <row r="204" spans="11:11" x14ac:dyDescent="0.25">
      <c r="K204" t="s">
        <v>6672</v>
      </c>
    </row>
    <row r="205" spans="11:11" x14ac:dyDescent="0.25">
      <c r="K205" t="s">
        <v>6676</v>
      </c>
    </row>
    <row r="206" spans="11:11" x14ac:dyDescent="0.25">
      <c r="K206" t="s">
        <v>6679</v>
      </c>
    </row>
    <row r="207" spans="11:11" x14ac:dyDescent="0.25">
      <c r="K207" t="s">
        <v>6681</v>
      </c>
    </row>
    <row r="208" spans="11:11" x14ac:dyDescent="0.25">
      <c r="K208" t="s">
        <v>6685</v>
      </c>
    </row>
    <row r="209" spans="11:11" x14ac:dyDescent="0.25">
      <c r="K209" t="s">
        <v>6688</v>
      </c>
    </row>
    <row r="210" spans="11:11" x14ac:dyDescent="0.25">
      <c r="K210" t="s">
        <v>6692</v>
      </c>
    </row>
    <row r="211" spans="11:11" x14ac:dyDescent="0.25">
      <c r="K211" t="s">
        <v>6696</v>
      </c>
    </row>
    <row r="212" spans="11:11" x14ac:dyDescent="0.25">
      <c r="K212" t="s">
        <v>6699</v>
      </c>
    </row>
    <row r="213" spans="11:11" x14ac:dyDescent="0.25">
      <c r="K213" t="s">
        <v>6702</v>
      </c>
    </row>
    <row r="214" spans="11:11" x14ac:dyDescent="0.25">
      <c r="K214" t="s">
        <v>6704</v>
      </c>
    </row>
    <row r="215" spans="11:11" x14ac:dyDescent="0.25">
      <c r="K215" t="s">
        <v>6707</v>
      </c>
    </row>
    <row r="216" spans="11:11" x14ac:dyDescent="0.25">
      <c r="K216" t="s">
        <v>6710</v>
      </c>
    </row>
    <row r="217" spans="11:11" x14ac:dyDescent="0.25">
      <c r="K217" t="s">
        <v>6714</v>
      </c>
    </row>
    <row r="218" spans="11:11" x14ac:dyDescent="0.25">
      <c r="K218" t="s">
        <v>6718</v>
      </c>
    </row>
    <row r="219" spans="11:11" x14ac:dyDescent="0.25">
      <c r="K219" t="s">
        <v>6722</v>
      </c>
    </row>
    <row r="220" spans="11:11" x14ac:dyDescent="0.25">
      <c r="K220" t="s">
        <v>6726</v>
      </c>
    </row>
    <row r="221" spans="11:11" x14ac:dyDescent="0.25">
      <c r="K221" t="s">
        <v>6088</v>
      </c>
    </row>
    <row r="222" spans="11:11" x14ac:dyDescent="0.25">
      <c r="K222" t="s">
        <v>6089</v>
      </c>
    </row>
    <row r="223" spans="11:11" x14ac:dyDescent="0.25">
      <c r="K223" t="s">
        <v>6090</v>
      </c>
    </row>
    <row r="224" spans="11:11" x14ac:dyDescent="0.25">
      <c r="K224" t="s">
        <v>6929</v>
      </c>
    </row>
    <row r="225" spans="11:11" x14ac:dyDescent="0.25">
      <c r="K225" t="s">
        <v>6091</v>
      </c>
    </row>
    <row r="226" spans="11:11" x14ac:dyDescent="0.25">
      <c r="K226" t="s">
        <v>6932</v>
      </c>
    </row>
    <row r="227" spans="11:11" x14ac:dyDescent="0.25">
      <c r="K227" t="s">
        <v>6936</v>
      </c>
    </row>
    <row r="228" spans="11:11" x14ac:dyDescent="0.25">
      <c r="K228" t="s">
        <v>6940</v>
      </c>
    </row>
    <row r="229" spans="11:11" x14ac:dyDescent="0.25">
      <c r="K229" t="s">
        <v>6944</v>
      </c>
    </row>
    <row r="230" spans="11:11" x14ac:dyDescent="0.25">
      <c r="K230" t="s">
        <v>6092</v>
      </c>
    </row>
    <row r="231" spans="11:11" x14ac:dyDescent="0.25">
      <c r="K231" t="s">
        <v>6093</v>
      </c>
    </row>
    <row r="232" spans="11:11" x14ac:dyDescent="0.25">
      <c r="K232" t="s">
        <v>6094</v>
      </c>
    </row>
    <row r="233" spans="11:11" x14ac:dyDescent="0.25">
      <c r="K233" t="s">
        <v>6095</v>
      </c>
    </row>
    <row r="234" spans="11:11" x14ac:dyDescent="0.25">
      <c r="K234" t="s">
        <v>6096</v>
      </c>
    </row>
    <row r="235" spans="11:11" x14ac:dyDescent="0.25">
      <c r="K235" t="s">
        <v>6097</v>
      </c>
    </row>
    <row r="236" spans="11:11" x14ac:dyDescent="0.25">
      <c r="K236" t="s">
        <v>6098</v>
      </c>
    </row>
    <row r="237" spans="11:11" x14ac:dyDescent="0.25">
      <c r="K237" t="s">
        <v>6099</v>
      </c>
    </row>
    <row r="238" spans="11:11" x14ac:dyDescent="0.25">
      <c r="K238" t="s">
        <v>6100</v>
      </c>
    </row>
    <row r="239" spans="11:11" x14ac:dyDescent="0.25">
      <c r="K239" t="s">
        <v>6101</v>
      </c>
    </row>
    <row r="240" spans="11:11" x14ac:dyDescent="0.25">
      <c r="K240" t="s">
        <v>6100</v>
      </c>
    </row>
    <row r="241" spans="11:11" x14ac:dyDescent="0.25">
      <c r="K241" t="s">
        <v>6102</v>
      </c>
    </row>
    <row r="242" spans="11:11" x14ac:dyDescent="0.25">
      <c r="K242" t="s">
        <v>6103</v>
      </c>
    </row>
    <row r="243" spans="11:11" x14ac:dyDescent="0.25">
      <c r="K243" t="s">
        <v>6104</v>
      </c>
    </row>
    <row r="244" spans="11:11" x14ac:dyDescent="0.25">
      <c r="K244" t="s">
        <v>6105</v>
      </c>
    </row>
    <row r="245" spans="11:11" x14ac:dyDescent="0.25">
      <c r="K245" t="s">
        <v>6106</v>
      </c>
    </row>
    <row r="246" spans="11:11" x14ac:dyDescent="0.25">
      <c r="K246" t="s">
        <v>6107</v>
      </c>
    </row>
    <row r="247" spans="11:11" x14ac:dyDescent="0.25">
      <c r="K247" t="s">
        <v>6108</v>
      </c>
    </row>
    <row r="248" spans="11:11" x14ac:dyDescent="0.25">
      <c r="K248" t="s">
        <v>6109</v>
      </c>
    </row>
    <row r="249" spans="11:11" x14ac:dyDescent="0.25">
      <c r="K249" t="s">
        <v>6110</v>
      </c>
    </row>
    <row r="250" spans="11:11" x14ac:dyDescent="0.25">
      <c r="K250" t="s">
        <v>6111</v>
      </c>
    </row>
    <row r="251" spans="11:11" x14ac:dyDescent="0.25">
      <c r="K251" t="s">
        <v>6112</v>
      </c>
    </row>
    <row r="252" spans="11:11" x14ac:dyDescent="0.25">
      <c r="K252" t="s">
        <v>6113</v>
      </c>
    </row>
    <row r="253" spans="11:11" x14ac:dyDescent="0.25">
      <c r="K253" t="s">
        <v>6977</v>
      </c>
    </row>
    <row r="254" spans="11:11" x14ac:dyDescent="0.25">
      <c r="K254" t="s">
        <v>6979</v>
      </c>
    </row>
    <row r="255" spans="11:11" x14ac:dyDescent="0.25">
      <c r="K255" t="s">
        <v>6981</v>
      </c>
    </row>
    <row r="256" spans="11:11" x14ac:dyDescent="0.25">
      <c r="K256" t="s">
        <v>6983</v>
      </c>
    </row>
    <row r="257" spans="11:11" x14ac:dyDescent="0.25">
      <c r="K257" t="s">
        <v>6985</v>
      </c>
    </row>
    <row r="258" spans="11:11" x14ac:dyDescent="0.25">
      <c r="K258" t="s">
        <v>6987</v>
      </c>
    </row>
    <row r="259" spans="11:11" x14ac:dyDescent="0.25">
      <c r="K259" t="s">
        <v>6989</v>
      </c>
    </row>
    <row r="260" spans="11:11" x14ac:dyDescent="0.25">
      <c r="K260" t="s">
        <v>6991</v>
      </c>
    </row>
    <row r="261" spans="11:11" x14ac:dyDescent="0.25">
      <c r="K261" t="s">
        <v>6993</v>
      </c>
    </row>
    <row r="262" spans="11:11" x14ac:dyDescent="0.25">
      <c r="K262" t="s">
        <v>6995</v>
      </c>
    </row>
    <row r="263" spans="11:11" x14ac:dyDescent="0.25">
      <c r="K263" t="s">
        <v>6997</v>
      </c>
    </row>
    <row r="264" spans="11:11" x14ac:dyDescent="0.25">
      <c r="K264" t="s">
        <v>6114</v>
      </c>
    </row>
    <row r="265" spans="11:11" x14ac:dyDescent="0.25">
      <c r="K265" t="s">
        <v>6115</v>
      </c>
    </row>
    <row r="266" spans="11:11" x14ac:dyDescent="0.25">
      <c r="K266" t="s">
        <v>6116</v>
      </c>
    </row>
    <row r="267" spans="11:11" x14ac:dyDescent="0.25">
      <c r="K267" t="s">
        <v>6117</v>
      </c>
    </row>
    <row r="268" spans="11:11" x14ac:dyDescent="0.25">
      <c r="K268" t="s">
        <v>6118</v>
      </c>
    </row>
    <row r="269" spans="11:11" x14ac:dyDescent="0.25">
      <c r="K269" t="s">
        <v>6119</v>
      </c>
    </row>
    <row r="270" spans="11:11" x14ac:dyDescent="0.25">
      <c r="K270" t="s">
        <v>6120</v>
      </c>
    </row>
    <row r="271" spans="11:11" x14ac:dyDescent="0.25">
      <c r="K271" t="s">
        <v>6121</v>
      </c>
    </row>
    <row r="272" spans="11:11" x14ac:dyDescent="0.25">
      <c r="K272" t="s">
        <v>6122</v>
      </c>
    </row>
    <row r="273" spans="11:11" x14ac:dyDescent="0.25">
      <c r="K273" t="s">
        <v>6123</v>
      </c>
    </row>
    <row r="274" spans="11:11" x14ac:dyDescent="0.25">
      <c r="K274" t="s">
        <v>6124</v>
      </c>
    </row>
    <row r="275" spans="11:11" x14ac:dyDescent="0.25">
      <c r="K275" t="s">
        <v>6753</v>
      </c>
    </row>
    <row r="276" spans="11:11" x14ac:dyDescent="0.25">
      <c r="K276" t="s">
        <v>6757</v>
      </c>
    </row>
    <row r="277" spans="11:11" x14ac:dyDescent="0.25">
      <c r="K277" t="s">
        <v>6762</v>
      </c>
    </row>
    <row r="278" spans="11:11" x14ac:dyDescent="0.25">
      <c r="K278" t="s">
        <v>6765</v>
      </c>
    </row>
    <row r="279" spans="11:11" x14ac:dyDescent="0.25">
      <c r="K279" t="s">
        <v>6767</v>
      </c>
    </row>
    <row r="280" spans="11:11" x14ac:dyDescent="0.25">
      <c r="K280" t="s">
        <v>6769</v>
      </c>
    </row>
    <row r="281" spans="11:11" x14ac:dyDescent="0.25">
      <c r="K281" t="s">
        <v>6771</v>
      </c>
    </row>
    <row r="282" spans="11:11" x14ac:dyDescent="0.25">
      <c r="K282" t="s">
        <v>6773</v>
      </c>
    </row>
    <row r="283" spans="11:11" x14ac:dyDescent="0.25">
      <c r="K283" t="s">
        <v>6125</v>
      </c>
    </row>
    <row r="284" spans="11:11" x14ac:dyDescent="0.25">
      <c r="K284" t="s">
        <v>6126</v>
      </c>
    </row>
    <row r="285" spans="11:11" x14ac:dyDescent="0.25">
      <c r="K285" t="s">
        <v>6127</v>
      </c>
    </row>
    <row r="286" spans="11:11" x14ac:dyDescent="0.25">
      <c r="K286" t="s">
        <v>6128</v>
      </c>
    </row>
    <row r="287" spans="11:11" x14ac:dyDescent="0.25">
      <c r="K287" t="s">
        <v>6129</v>
      </c>
    </row>
    <row r="288" spans="11:11" x14ac:dyDescent="0.25">
      <c r="K288" t="s">
        <v>6130</v>
      </c>
    </row>
    <row r="289" spans="11:11" x14ac:dyDescent="0.25">
      <c r="K289" t="s">
        <v>6775</v>
      </c>
    </row>
    <row r="290" spans="11:11" x14ac:dyDescent="0.25">
      <c r="K290" t="s">
        <v>6777</v>
      </c>
    </row>
    <row r="291" spans="11:11" x14ac:dyDescent="0.25">
      <c r="K291" t="s">
        <v>6779</v>
      </c>
    </row>
    <row r="292" spans="11:11" x14ac:dyDescent="0.25">
      <c r="K292" t="s">
        <v>6781</v>
      </c>
    </row>
    <row r="293" spans="11:11" x14ac:dyDescent="0.25">
      <c r="K293" t="s">
        <v>6786</v>
      </c>
    </row>
    <row r="294" spans="11:11" x14ac:dyDescent="0.25">
      <c r="K294" t="s">
        <v>6792</v>
      </c>
    </row>
    <row r="295" spans="11:11" x14ac:dyDescent="0.25">
      <c r="K295" t="s">
        <v>6797</v>
      </c>
    </row>
    <row r="296" spans="11:11" x14ac:dyDescent="0.25">
      <c r="K296" t="s">
        <v>6801</v>
      </c>
    </row>
    <row r="297" spans="11:11" x14ac:dyDescent="0.25">
      <c r="K297" t="s">
        <v>6131</v>
      </c>
    </row>
    <row r="298" spans="11:11" x14ac:dyDescent="0.25">
      <c r="K298" t="s">
        <v>6132</v>
      </c>
    </row>
    <row r="299" spans="11:11" x14ac:dyDescent="0.25">
      <c r="K299" t="s">
        <v>6133</v>
      </c>
    </row>
    <row r="300" spans="11:11" x14ac:dyDescent="0.25">
      <c r="K300" t="s">
        <v>6134</v>
      </c>
    </row>
    <row r="301" spans="11:11" x14ac:dyDescent="0.25">
      <c r="K301" t="s">
        <v>6135</v>
      </c>
    </row>
    <row r="302" spans="11:11" x14ac:dyDescent="0.25">
      <c r="K302" t="s">
        <v>6136</v>
      </c>
    </row>
    <row r="303" spans="11:11" x14ac:dyDescent="0.25">
      <c r="K303" t="s">
        <v>6137</v>
      </c>
    </row>
    <row r="304" spans="11:11" x14ac:dyDescent="0.25">
      <c r="K304" t="s">
        <v>6138</v>
      </c>
    </row>
    <row r="305" spans="11:11" x14ac:dyDescent="0.25">
      <c r="K305" t="s">
        <v>6139</v>
      </c>
    </row>
    <row r="306" spans="11:11" x14ac:dyDescent="0.25">
      <c r="K306" t="s">
        <v>6140</v>
      </c>
    </row>
    <row r="307" spans="11:11" x14ac:dyDescent="0.25">
      <c r="K307" t="s">
        <v>6141</v>
      </c>
    </row>
    <row r="308" spans="11:11" x14ac:dyDescent="0.25">
      <c r="K308" t="s">
        <v>6142</v>
      </c>
    </row>
    <row r="309" spans="11:11" x14ac:dyDescent="0.25">
      <c r="K309" t="s">
        <v>6143</v>
      </c>
    </row>
    <row r="310" spans="11:11" x14ac:dyDescent="0.25">
      <c r="K310" t="s">
        <v>6144</v>
      </c>
    </row>
    <row r="311" spans="11:11" x14ac:dyDescent="0.25">
      <c r="K311" t="s">
        <v>6145</v>
      </c>
    </row>
    <row r="312" spans="11:11" x14ac:dyDescent="0.25">
      <c r="K312" t="s">
        <v>6146</v>
      </c>
    </row>
    <row r="313" spans="11:11" x14ac:dyDescent="0.25">
      <c r="K313" t="s">
        <v>6147</v>
      </c>
    </row>
    <row r="314" spans="11:11" x14ac:dyDescent="0.25">
      <c r="K314" t="s">
        <v>6148</v>
      </c>
    </row>
    <row r="315" spans="11:11" x14ac:dyDescent="0.25">
      <c r="K315" t="s">
        <v>6149</v>
      </c>
    </row>
    <row r="316" spans="11:11" x14ac:dyDescent="0.25">
      <c r="K316" t="s">
        <v>6150</v>
      </c>
    </row>
    <row r="317" spans="11:11" x14ac:dyDescent="0.25">
      <c r="K317" t="s">
        <v>6151</v>
      </c>
    </row>
    <row r="318" spans="11:11" x14ac:dyDescent="0.25">
      <c r="K318" t="s">
        <v>6152</v>
      </c>
    </row>
    <row r="319" spans="11:11" x14ac:dyDescent="0.25">
      <c r="K319" t="s">
        <v>6153</v>
      </c>
    </row>
    <row r="320" spans="11:11" x14ac:dyDescent="0.25">
      <c r="K320" t="s">
        <v>6154</v>
      </c>
    </row>
    <row r="321" spans="11:11" x14ac:dyDescent="0.25">
      <c r="K321" t="s">
        <v>6154</v>
      </c>
    </row>
    <row r="322" spans="11:11" x14ac:dyDescent="0.25">
      <c r="K322" t="s">
        <v>6155</v>
      </c>
    </row>
    <row r="323" spans="11:11" x14ac:dyDescent="0.25">
      <c r="K323" t="s">
        <v>6155</v>
      </c>
    </row>
    <row r="324" spans="11:11" x14ac:dyDescent="0.25">
      <c r="K324" t="s">
        <v>6156</v>
      </c>
    </row>
    <row r="325" spans="11:11" x14ac:dyDescent="0.25">
      <c r="K325" t="s">
        <v>6156</v>
      </c>
    </row>
    <row r="326" spans="11:11" x14ac:dyDescent="0.25">
      <c r="K326" t="s">
        <v>6157</v>
      </c>
    </row>
    <row r="327" spans="11:11" x14ac:dyDescent="0.25">
      <c r="K327" t="s">
        <v>6157</v>
      </c>
    </row>
    <row r="328" spans="11:11" x14ac:dyDescent="0.25">
      <c r="K328" t="s">
        <v>6158</v>
      </c>
    </row>
    <row r="329" spans="11:11" x14ac:dyDescent="0.25">
      <c r="K329" t="s">
        <v>6159</v>
      </c>
    </row>
    <row r="330" spans="11:11" x14ac:dyDescent="0.25">
      <c r="K330" t="s">
        <v>6160</v>
      </c>
    </row>
    <row r="331" spans="11:11" x14ac:dyDescent="0.25">
      <c r="K331" t="s">
        <v>6161</v>
      </c>
    </row>
    <row r="332" spans="11:11" x14ac:dyDescent="0.25">
      <c r="K332" t="s">
        <v>6162</v>
      </c>
    </row>
    <row r="333" spans="11:11" x14ac:dyDescent="0.25">
      <c r="K333" t="s">
        <v>6163</v>
      </c>
    </row>
    <row r="334" spans="11:11" x14ac:dyDescent="0.25">
      <c r="K334" t="s">
        <v>6164</v>
      </c>
    </row>
    <row r="335" spans="11:11" x14ac:dyDescent="0.25">
      <c r="K335" t="s">
        <v>6165</v>
      </c>
    </row>
    <row r="336" spans="11:11" x14ac:dyDescent="0.25">
      <c r="K336" t="s">
        <v>6166</v>
      </c>
    </row>
    <row r="337" spans="11:11" x14ac:dyDescent="0.25">
      <c r="K337" t="s">
        <v>6167</v>
      </c>
    </row>
    <row r="338" spans="11:11" x14ac:dyDescent="0.25">
      <c r="K338" t="s">
        <v>6168</v>
      </c>
    </row>
    <row r="339" spans="11:11" x14ac:dyDescent="0.25">
      <c r="K339" t="s">
        <v>6169</v>
      </c>
    </row>
    <row r="340" spans="11:11" x14ac:dyDescent="0.25">
      <c r="K340" t="s">
        <v>6170</v>
      </c>
    </row>
    <row r="341" spans="11:11" x14ac:dyDescent="0.25">
      <c r="K341" t="s">
        <v>6171</v>
      </c>
    </row>
    <row r="342" spans="11:11" x14ac:dyDescent="0.25">
      <c r="K342" t="s">
        <v>6172</v>
      </c>
    </row>
    <row r="343" spans="11:11" x14ac:dyDescent="0.25">
      <c r="K343" t="s">
        <v>6173</v>
      </c>
    </row>
    <row r="344" spans="11:11" x14ac:dyDescent="0.25">
      <c r="K344" t="s">
        <v>6174</v>
      </c>
    </row>
    <row r="345" spans="11:11" x14ac:dyDescent="0.25">
      <c r="K345" t="s">
        <v>6175</v>
      </c>
    </row>
    <row r="346" spans="11:11" x14ac:dyDescent="0.25">
      <c r="K346" t="s">
        <v>6176</v>
      </c>
    </row>
    <row r="347" spans="11:11" x14ac:dyDescent="0.25">
      <c r="K347" t="s">
        <v>6177</v>
      </c>
    </row>
    <row r="348" spans="11:11" x14ac:dyDescent="0.25">
      <c r="K348" t="s">
        <v>6178</v>
      </c>
    </row>
    <row r="349" spans="11:11" x14ac:dyDescent="0.25">
      <c r="K349" t="s">
        <v>6179</v>
      </c>
    </row>
    <row r="350" spans="11:11" x14ac:dyDescent="0.25">
      <c r="K350" t="s">
        <v>6180</v>
      </c>
    </row>
    <row r="351" spans="11:11" x14ac:dyDescent="0.25">
      <c r="K351" t="s">
        <v>6181</v>
      </c>
    </row>
    <row r="352" spans="11:11" x14ac:dyDescent="0.25">
      <c r="K352" t="s">
        <v>6182</v>
      </c>
    </row>
    <row r="353" spans="11:11" x14ac:dyDescent="0.25">
      <c r="K353" t="s">
        <v>6183</v>
      </c>
    </row>
    <row r="354" spans="11:11" x14ac:dyDescent="0.25">
      <c r="K354" t="s">
        <v>6184</v>
      </c>
    </row>
    <row r="355" spans="11:11" x14ac:dyDescent="0.25">
      <c r="K355" t="s">
        <v>6185</v>
      </c>
    </row>
    <row r="356" spans="11:11" x14ac:dyDescent="0.25">
      <c r="K356" t="s">
        <v>6186</v>
      </c>
    </row>
    <row r="357" spans="11:11" x14ac:dyDescent="0.25">
      <c r="K357" t="s">
        <v>6999</v>
      </c>
    </row>
    <row r="358" spans="11:11" x14ac:dyDescent="0.25">
      <c r="K358" t="s">
        <v>7001</v>
      </c>
    </row>
    <row r="359" spans="11:11" x14ac:dyDescent="0.25">
      <c r="K359" t="s">
        <v>7003</v>
      </c>
    </row>
    <row r="360" spans="11:11" x14ac:dyDescent="0.25">
      <c r="K360" t="s">
        <v>7005</v>
      </c>
    </row>
    <row r="361" spans="11:11" x14ac:dyDescent="0.25">
      <c r="K361" t="s">
        <v>6815</v>
      </c>
    </row>
    <row r="362" spans="11:11" x14ac:dyDescent="0.25">
      <c r="K362" t="s">
        <v>6819</v>
      </c>
    </row>
    <row r="363" spans="11:11" x14ac:dyDescent="0.25">
      <c r="K363" t="s">
        <v>6822</v>
      </c>
    </row>
    <row r="364" spans="11:11" x14ac:dyDescent="0.25">
      <c r="K364" t="s">
        <v>6824</v>
      </c>
    </row>
    <row r="365" spans="11:11" x14ac:dyDescent="0.25">
      <c r="K365" t="s">
        <v>6828</v>
      </c>
    </row>
    <row r="366" spans="11:11" x14ac:dyDescent="0.25">
      <c r="K366" t="s">
        <v>6830</v>
      </c>
    </row>
    <row r="367" spans="11:11" x14ac:dyDescent="0.25">
      <c r="K367" t="s">
        <v>6834</v>
      </c>
    </row>
    <row r="368" spans="11:11" x14ac:dyDescent="0.25">
      <c r="K368" t="s">
        <v>6836</v>
      </c>
    </row>
    <row r="369" spans="11:11" x14ac:dyDescent="0.25">
      <c r="K369" t="s">
        <v>6840</v>
      </c>
    </row>
    <row r="370" spans="11:11" x14ac:dyDescent="0.25">
      <c r="K370" t="s">
        <v>6842</v>
      </c>
    </row>
    <row r="371" spans="11:11" x14ac:dyDescent="0.25">
      <c r="K371" t="s">
        <v>6846</v>
      </c>
    </row>
    <row r="372" spans="11:11" x14ac:dyDescent="0.25">
      <c r="K372" t="s">
        <v>6850</v>
      </c>
    </row>
    <row r="373" spans="11:11" x14ac:dyDescent="0.25">
      <c r="K373" t="s">
        <v>6187</v>
      </c>
    </row>
    <row r="374" spans="11:11" x14ac:dyDescent="0.25">
      <c r="K374" t="s">
        <v>6188</v>
      </c>
    </row>
    <row r="375" spans="11:11" x14ac:dyDescent="0.25">
      <c r="K375" t="s">
        <v>6189</v>
      </c>
    </row>
    <row r="376" spans="11:11" x14ac:dyDescent="0.25">
      <c r="K376" t="s">
        <v>6190</v>
      </c>
    </row>
    <row r="377" spans="11:11" x14ac:dyDescent="0.25">
      <c r="K377" t="s">
        <v>6191</v>
      </c>
    </row>
    <row r="378" spans="11:11" x14ac:dyDescent="0.25">
      <c r="K378" t="s">
        <v>6192</v>
      </c>
    </row>
    <row r="379" spans="11:11" x14ac:dyDescent="0.25">
      <c r="K379" t="s">
        <v>6193</v>
      </c>
    </row>
    <row r="380" spans="11:11" x14ac:dyDescent="0.25">
      <c r="K380" t="s">
        <v>6194</v>
      </c>
    </row>
    <row r="381" spans="11:11" x14ac:dyDescent="0.25">
      <c r="K381" t="s">
        <v>6195</v>
      </c>
    </row>
    <row r="382" spans="11:11" x14ac:dyDescent="0.25">
      <c r="K382" t="s">
        <v>6196</v>
      </c>
    </row>
    <row r="383" spans="11:11" x14ac:dyDescent="0.25">
      <c r="K383" t="s">
        <v>6197</v>
      </c>
    </row>
    <row r="384" spans="11:11" x14ac:dyDescent="0.25">
      <c r="K384" t="s">
        <v>6198</v>
      </c>
    </row>
    <row r="385" spans="11:11" x14ac:dyDescent="0.25">
      <c r="K385" t="s">
        <v>6199</v>
      </c>
    </row>
    <row r="386" spans="11:11" x14ac:dyDescent="0.25">
      <c r="K386" t="s">
        <v>6853</v>
      </c>
    </row>
    <row r="387" spans="11:11" x14ac:dyDescent="0.25">
      <c r="K387" t="s">
        <v>6853</v>
      </c>
    </row>
    <row r="388" spans="11:11" x14ac:dyDescent="0.25">
      <c r="K388" t="s">
        <v>6859</v>
      </c>
    </row>
    <row r="389" spans="11:11" x14ac:dyDescent="0.25">
      <c r="K389" t="s">
        <v>6859</v>
      </c>
    </row>
    <row r="390" spans="11:11" x14ac:dyDescent="0.25">
      <c r="K390" t="s">
        <v>6862</v>
      </c>
    </row>
    <row r="391" spans="11:11" x14ac:dyDescent="0.25">
      <c r="K391" t="s">
        <v>6866</v>
      </c>
    </row>
    <row r="392" spans="11:11" x14ac:dyDescent="0.25">
      <c r="K392" t="s">
        <v>6870</v>
      </c>
    </row>
    <row r="393" spans="11:11" x14ac:dyDescent="0.25">
      <c r="K393" t="s">
        <v>6873</v>
      </c>
    </row>
    <row r="394" spans="11:11" x14ac:dyDescent="0.25">
      <c r="K394" t="s">
        <v>6877</v>
      </c>
    </row>
    <row r="395" spans="11:11" x14ac:dyDescent="0.25">
      <c r="K395" t="s">
        <v>6200</v>
      </c>
    </row>
    <row r="396" spans="11:11" x14ac:dyDescent="0.25">
      <c r="K396" t="s">
        <v>6201</v>
      </c>
    </row>
    <row r="397" spans="11:11" x14ac:dyDescent="0.25">
      <c r="K397" t="s">
        <v>6202</v>
      </c>
    </row>
    <row r="398" spans="11:11" x14ac:dyDescent="0.25">
      <c r="K398" t="s">
        <v>6203</v>
      </c>
    </row>
    <row r="399" spans="11:11" x14ac:dyDescent="0.25">
      <c r="K399" t="s">
        <v>6881</v>
      </c>
    </row>
    <row r="400" spans="11:11" x14ac:dyDescent="0.25">
      <c r="K400" t="s">
        <v>6883</v>
      </c>
    </row>
    <row r="401" spans="11:11" x14ac:dyDescent="0.25">
      <c r="K401" t="s">
        <v>6885</v>
      </c>
    </row>
    <row r="402" spans="11:11" x14ac:dyDescent="0.25">
      <c r="K402" t="s">
        <v>6888</v>
      </c>
    </row>
    <row r="403" spans="11:11" x14ac:dyDescent="0.25">
      <c r="K403" t="s">
        <v>6890</v>
      </c>
    </row>
    <row r="404" spans="11:11" x14ac:dyDescent="0.25">
      <c r="K404" t="s">
        <v>6892</v>
      </c>
    </row>
    <row r="405" spans="11:11" x14ac:dyDescent="0.25">
      <c r="K405" t="s">
        <v>6895</v>
      </c>
    </row>
    <row r="406" spans="11:11" x14ac:dyDescent="0.25">
      <c r="K406" t="s">
        <v>6899</v>
      </c>
    </row>
    <row r="407" spans="11:11" x14ac:dyDescent="0.25">
      <c r="K407" t="s">
        <v>6901</v>
      </c>
    </row>
    <row r="408" spans="11:11" x14ac:dyDescent="0.25">
      <c r="K408" t="s">
        <v>6903</v>
      </c>
    </row>
    <row r="409" spans="11:11" x14ac:dyDescent="0.25">
      <c r="K409" t="s">
        <v>6906</v>
      </c>
    </row>
    <row r="410" spans="11:11" x14ac:dyDescent="0.25">
      <c r="K410" t="s">
        <v>6204</v>
      </c>
    </row>
    <row r="411" spans="11:11" x14ac:dyDescent="0.25">
      <c r="K411" t="s">
        <v>6205</v>
      </c>
    </row>
    <row r="412" spans="11:11" x14ac:dyDescent="0.25">
      <c r="K412" t="s">
        <v>6206</v>
      </c>
    </row>
    <row r="413" spans="11:11" x14ac:dyDescent="0.25">
      <c r="K413" t="s">
        <v>6207</v>
      </c>
    </row>
    <row r="414" spans="11:11" x14ac:dyDescent="0.25">
      <c r="K414" t="s">
        <v>6208</v>
      </c>
    </row>
    <row r="415" spans="11:11" x14ac:dyDescent="0.25">
      <c r="K415" t="s">
        <v>6209</v>
      </c>
    </row>
    <row r="416" spans="11:11" x14ac:dyDescent="0.25">
      <c r="K416" t="s">
        <v>6210</v>
      </c>
    </row>
    <row r="417" spans="11:11" x14ac:dyDescent="0.25">
      <c r="K417" t="s">
        <v>6211</v>
      </c>
    </row>
    <row r="418" spans="11:11" x14ac:dyDescent="0.25">
      <c r="K418" t="s">
        <v>6212</v>
      </c>
    </row>
    <row r="419" spans="11:11" x14ac:dyDescent="0.25">
      <c r="K419" t="s">
        <v>6213</v>
      </c>
    </row>
    <row r="420" spans="11:11" x14ac:dyDescent="0.25">
      <c r="K420" t="s">
        <v>6214</v>
      </c>
    </row>
    <row r="421" spans="11:11" x14ac:dyDescent="0.25">
      <c r="K421" t="s">
        <v>6215</v>
      </c>
    </row>
    <row r="422" spans="11:11" x14ac:dyDescent="0.25">
      <c r="K422" t="s">
        <v>6216</v>
      </c>
    </row>
    <row r="423" spans="11:11" x14ac:dyDescent="0.25">
      <c r="K423" t="s">
        <v>6217</v>
      </c>
    </row>
    <row r="424" spans="11:11" x14ac:dyDescent="0.25">
      <c r="K424" t="s">
        <v>6218</v>
      </c>
    </row>
    <row r="425" spans="11:11" x14ac:dyDescent="0.25">
      <c r="K425" t="s">
        <v>6219</v>
      </c>
    </row>
    <row r="426" spans="11:11" x14ac:dyDescent="0.25">
      <c r="K426" t="s">
        <v>6220</v>
      </c>
    </row>
    <row r="427" spans="11:11" x14ac:dyDescent="0.25">
      <c r="K427" t="s">
        <v>6221</v>
      </c>
    </row>
    <row r="428" spans="11:11" x14ac:dyDescent="0.25">
      <c r="K428" t="s">
        <v>6222</v>
      </c>
    </row>
    <row r="429" spans="11:11" x14ac:dyDescent="0.25">
      <c r="K429" t="s">
        <v>6223</v>
      </c>
    </row>
    <row r="430" spans="11:11" x14ac:dyDescent="0.25">
      <c r="K430" t="s">
        <v>6224</v>
      </c>
    </row>
    <row r="431" spans="11:11" x14ac:dyDescent="0.25">
      <c r="K431" t="s">
        <v>6225</v>
      </c>
    </row>
    <row r="432" spans="11:11" x14ac:dyDescent="0.25">
      <c r="K432" t="s">
        <v>6226</v>
      </c>
    </row>
    <row r="433" spans="11:11" x14ac:dyDescent="0.25">
      <c r="K433" t="s">
        <v>6227</v>
      </c>
    </row>
    <row r="434" spans="11:11" x14ac:dyDescent="0.25">
      <c r="K434" t="s">
        <v>6228</v>
      </c>
    </row>
    <row r="435" spans="11:11" x14ac:dyDescent="0.25">
      <c r="K435" t="s">
        <v>6229</v>
      </c>
    </row>
    <row r="436" spans="11:11" x14ac:dyDescent="0.25">
      <c r="K436" t="s">
        <v>6230</v>
      </c>
    </row>
    <row r="437" spans="11:11" x14ac:dyDescent="0.25">
      <c r="K437" t="s">
        <v>6231</v>
      </c>
    </row>
    <row r="438" spans="11:11" x14ac:dyDescent="0.25">
      <c r="K438" t="s">
        <v>6232</v>
      </c>
    </row>
    <row r="439" spans="11:11" x14ac:dyDescent="0.25">
      <c r="K439" t="s">
        <v>6233</v>
      </c>
    </row>
    <row r="440" spans="11:11" x14ac:dyDescent="0.25">
      <c r="K440" t="s">
        <v>6234</v>
      </c>
    </row>
    <row r="441" spans="11:11" x14ac:dyDescent="0.25">
      <c r="K441" t="s">
        <v>6235</v>
      </c>
    </row>
    <row r="442" spans="11:11" x14ac:dyDescent="0.25">
      <c r="K442" t="s">
        <v>6236</v>
      </c>
    </row>
    <row r="443" spans="11:11" x14ac:dyDescent="0.25">
      <c r="K443" t="s">
        <v>6237</v>
      </c>
    </row>
    <row r="444" spans="11:11" x14ac:dyDescent="0.25">
      <c r="K444" t="s">
        <v>6238</v>
      </c>
    </row>
    <row r="445" spans="11:11" x14ac:dyDescent="0.25">
      <c r="K445" t="s">
        <v>6239</v>
      </c>
    </row>
    <row r="446" spans="11:11" x14ac:dyDescent="0.25">
      <c r="K446" t="s">
        <v>6240</v>
      </c>
    </row>
    <row r="447" spans="11:11" x14ac:dyDescent="0.25">
      <c r="K447" t="s">
        <v>6241</v>
      </c>
    </row>
    <row r="448" spans="11:11" x14ac:dyDescent="0.25">
      <c r="K448" t="s">
        <v>6242</v>
      </c>
    </row>
    <row r="449" spans="11:11" x14ac:dyDescent="0.25">
      <c r="K449" t="s">
        <v>6243</v>
      </c>
    </row>
    <row r="450" spans="11:11" x14ac:dyDescent="0.25">
      <c r="K450" t="s">
        <v>6244</v>
      </c>
    </row>
    <row r="451" spans="11:11" x14ac:dyDescent="0.25">
      <c r="K451" t="s">
        <v>6245</v>
      </c>
    </row>
    <row r="452" spans="11:11" x14ac:dyDescent="0.25">
      <c r="K452" t="s">
        <v>6246</v>
      </c>
    </row>
    <row r="453" spans="11:11" x14ac:dyDescent="0.25">
      <c r="K453" t="s">
        <v>6247</v>
      </c>
    </row>
    <row r="454" spans="11:11" x14ac:dyDescent="0.25">
      <c r="K454" t="s">
        <v>6248</v>
      </c>
    </row>
    <row r="455" spans="11:11" x14ac:dyDescent="0.25">
      <c r="K455" t="s">
        <v>6249</v>
      </c>
    </row>
    <row r="456" spans="11:11" x14ac:dyDescent="0.25">
      <c r="K456" t="s">
        <v>6250</v>
      </c>
    </row>
    <row r="457" spans="11:11" x14ac:dyDescent="0.25">
      <c r="K457" t="s">
        <v>6251</v>
      </c>
    </row>
    <row r="458" spans="11:11" x14ac:dyDescent="0.25">
      <c r="K458" t="s">
        <v>6252</v>
      </c>
    </row>
    <row r="459" spans="11:11" x14ac:dyDescent="0.25">
      <c r="K459" t="s">
        <v>6251</v>
      </c>
    </row>
    <row r="460" spans="11:11" x14ac:dyDescent="0.25">
      <c r="K460" t="s">
        <v>6251</v>
      </c>
    </row>
    <row r="461" spans="11:11" x14ac:dyDescent="0.25">
      <c r="K461" t="s">
        <v>6253</v>
      </c>
    </row>
    <row r="462" spans="11:11" x14ac:dyDescent="0.25">
      <c r="K462" t="s">
        <v>6254</v>
      </c>
    </row>
    <row r="463" spans="11:11" x14ac:dyDescent="0.25">
      <c r="K463" t="s">
        <v>6255</v>
      </c>
    </row>
    <row r="464" spans="11:11" x14ac:dyDescent="0.25">
      <c r="K464" t="s">
        <v>6256</v>
      </c>
    </row>
    <row r="465" spans="11:11" x14ac:dyDescent="0.25">
      <c r="K465" t="s">
        <v>6257</v>
      </c>
    </row>
    <row r="466" spans="11:11" x14ac:dyDescent="0.25">
      <c r="K466" t="s">
        <v>6258</v>
      </c>
    </row>
    <row r="467" spans="11:11" x14ac:dyDescent="0.25">
      <c r="K467" t="s">
        <v>6259</v>
      </c>
    </row>
    <row r="468" spans="11:11" x14ac:dyDescent="0.25">
      <c r="K468" t="s">
        <v>6260</v>
      </c>
    </row>
    <row r="469" spans="11:11" x14ac:dyDescent="0.25">
      <c r="K469" t="s">
        <v>6261</v>
      </c>
    </row>
    <row r="470" spans="11:11" x14ac:dyDescent="0.25">
      <c r="K470" t="s">
        <v>6262</v>
      </c>
    </row>
    <row r="471" spans="11:11" x14ac:dyDescent="0.25">
      <c r="K471" t="s">
        <v>6263</v>
      </c>
    </row>
    <row r="472" spans="11:11" x14ac:dyDescent="0.25">
      <c r="K472" t="s">
        <v>6264</v>
      </c>
    </row>
    <row r="473" spans="11:11" x14ac:dyDescent="0.25">
      <c r="K473" t="s">
        <v>6265</v>
      </c>
    </row>
    <row r="474" spans="11:11" x14ac:dyDescent="0.25">
      <c r="K474" t="s">
        <v>6266</v>
      </c>
    </row>
    <row r="475" spans="11:11" x14ac:dyDescent="0.25">
      <c r="K475" t="s">
        <v>6267</v>
      </c>
    </row>
    <row r="476" spans="11:11" x14ac:dyDescent="0.25">
      <c r="K476" t="s">
        <v>7007</v>
      </c>
    </row>
    <row r="477" spans="11:11" x14ac:dyDescent="0.25">
      <c r="K477" t="s">
        <v>7009</v>
      </c>
    </row>
    <row r="478" spans="11:11" x14ac:dyDescent="0.25">
      <c r="K478" t="s">
        <v>7011</v>
      </c>
    </row>
    <row r="479" spans="11:11" x14ac:dyDescent="0.25">
      <c r="K479" t="s">
        <v>7013</v>
      </c>
    </row>
    <row r="480" spans="11:11" x14ac:dyDescent="0.25">
      <c r="K480" t="s">
        <v>7015</v>
      </c>
    </row>
    <row r="481" spans="11:11" x14ac:dyDescent="0.25">
      <c r="K481" t="s">
        <v>7017</v>
      </c>
    </row>
    <row r="482" spans="11:11" x14ac:dyDescent="0.25">
      <c r="K482" t="s">
        <v>7019</v>
      </c>
    </row>
    <row r="483" spans="11:11" x14ac:dyDescent="0.25">
      <c r="K483" t="s">
        <v>7021</v>
      </c>
    </row>
    <row r="484" spans="11:11" x14ac:dyDescent="0.25">
      <c r="K484" t="s">
        <v>7023</v>
      </c>
    </row>
    <row r="485" spans="11:11" x14ac:dyDescent="0.25">
      <c r="K485" t="s">
        <v>7025</v>
      </c>
    </row>
    <row r="486" spans="11:11" x14ac:dyDescent="0.25">
      <c r="K486" t="s">
        <v>7027</v>
      </c>
    </row>
    <row r="487" spans="11:11" x14ac:dyDescent="0.25">
      <c r="K487" t="s">
        <v>7029</v>
      </c>
    </row>
    <row r="488" spans="11:11" x14ac:dyDescent="0.25">
      <c r="K488" t="s">
        <v>7031</v>
      </c>
    </row>
    <row r="489" spans="11:11" x14ac:dyDescent="0.25">
      <c r="K489" t="s">
        <v>7033</v>
      </c>
    </row>
    <row r="490" spans="11:11" x14ac:dyDescent="0.25">
      <c r="K490" t="s">
        <v>6915</v>
      </c>
    </row>
    <row r="491" spans="11:11" x14ac:dyDescent="0.25">
      <c r="K491" t="s">
        <v>6917</v>
      </c>
    </row>
    <row r="492" spans="11:11" x14ac:dyDescent="0.25">
      <c r="K492" t="s">
        <v>6919</v>
      </c>
    </row>
    <row r="493" spans="11:11" x14ac:dyDescent="0.25">
      <c r="K493" t="s">
        <v>6923</v>
      </c>
    </row>
    <row r="494" spans="11:11" x14ac:dyDescent="0.25">
      <c r="K494" t="s">
        <v>6925</v>
      </c>
    </row>
    <row r="495" spans="11:11" x14ac:dyDescent="0.25">
      <c r="K495" t="s">
        <v>6926</v>
      </c>
    </row>
    <row r="496" spans="11:11" x14ac:dyDescent="0.25">
      <c r="K496" t="s">
        <v>6926</v>
      </c>
    </row>
    <row r="497" spans="11:11" x14ac:dyDescent="0.25">
      <c r="K497" t="s">
        <v>6926</v>
      </c>
    </row>
    <row r="498" spans="11:11" x14ac:dyDescent="0.25">
      <c r="K498" t="s">
        <v>6926</v>
      </c>
    </row>
    <row r="499" spans="11:11" x14ac:dyDescent="0.25">
      <c r="K499" t="s">
        <v>6926</v>
      </c>
    </row>
    <row r="500" spans="11:11" x14ac:dyDescent="0.25">
      <c r="K500" t="s">
        <v>6926</v>
      </c>
    </row>
    <row r="501" spans="11:11" x14ac:dyDescent="0.25">
      <c r="K501" t="s">
        <v>6926</v>
      </c>
    </row>
    <row r="502" spans="11:11" x14ac:dyDescent="0.25">
      <c r="K502" t="s">
        <v>6926</v>
      </c>
    </row>
    <row r="503" spans="11:11" x14ac:dyDescent="0.25">
      <c r="K503" t="s">
        <v>6926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DE494"/>
  <sheetViews>
    <sheetView topLeftCell="A47" workbookViewId="0">
      <selection activeCell="A59" sqref="A59"/>
    </sheetView>
  </sheetViews>
  <sheetFormatPr defaultRowHeight="15" x14ac:dyDescent="0.25"/>
  <cols>
    <col min="1" max="1" width="18.28515625" customWidth="1"/>
    <col min="4" max="4" width="44" customWidth="1"/>
    <col min="5" max="5" width="20.140625" customWidth="1"/>
    <col min="6" max="6" width="18.28515625" customWidth="1"/>
    <col min="13" max="13" width="17.42578125" style="7" customWidth="1"/>
    <col min="14" max="14" width="16" style="7" customWidth="1"/>
    <col min="15" max="16" width="9.140625" style="7"/>
    <col min="40" max="41" width="9.140625" style="7"/>
    <col min="42" max="42" width="14.5703125" style="7" customWidth="1"/>
    <col min="48" max="49" width="9.140625" style="7"/>
    <col min="57" max="57" width="9.140625" style="7"/>
    <col min="63" max="70" width="22.42578125" customWidth="1"/>
    <col min="92" max="92" width="9.140625" style="2"/>
    <col min="94" max="94" width="9.140625" style="2"/>
    <col min="100" max="101" width="9.140625" style="7"/>
  </cols>
  <sheetData>
    <row r="1" spans="1:109" x14ac:dyDescent="0.25">
      <c r="A1" t="s">
        <v>0</v>
      </c>
      <c r="B1" t="s">
        <v>1</v>
      </c>
      <c r="C1" t="s">
        <v>2</v>
      </c>
      <c r="D1" t="s">
        <v>3</v>
      </c>
      <c r="F1" t="s">
        <v>4</v>
      </c>
      <c r="G1" t="s">
        <v>5</v>
      </c>
      <c r="H1" t="s">
        <v>6</v>
      </c>
      <c r="I1" t="s">
        <v>7</v>
      </c>
      <c r="J1" t="s">
        <v>8</v>
      </c>
      <c r="K1" t="s">
        <v>9</v>
      </c>
      <c r="L1" t="s">
        <v>10</v>
      </c>
      <c r="M1" s="7" t="s">
        <v>2234</v>
      </c>
      <c r="N1" s="7" t="s">
        <v>2915</v>
      </c>
      <c r="O1" s="7" t="s">
        <v>2916</v>
      </c>
      <c r="P1" s="7" t="s">
        <v>2917</v>
      </c>
      <c r="Q1" t="s">
        <v>3400</v>
      </c>
      <c r="R1" t="s">
        <v>3401</v>
      </c>
      <c r="S1" t="s">
        <v>3402</v>
      </c>
      <c r="T1" t="s">
        <v>3403</v>
      </c>
      <c r="U1" t="s">
        <v>3404</v>
      </c>
      <c r="V1" t="s">
        <v>3405</v>
      </c>
      <c r="W1" t="s">
        <v>3406</v>
      </c>
      <c r="X1" t="s">
        <v>3407</v>
      </c>
      <c r="Y1" t="s">
        <v>3408</v>
      </c>
      <c r="Z1" t="s">
        <v>11</v>
      </c>
      <c r="AA1" t="s">
        <v>12</v>
      </c>
      <c r="AB1" t="s">
        <v>3409</v>
      </c>
      <c r="AC1" t="s">
        <v>13</v>
      </c>
      <c r="AD1" t="s">
        <v>3410</v>
      </c>
      <c r="AE1" t="s">
        <v>14</v>
      </c>
      <c r="AF1" t="s">
        <v>15</v>
      </c>
      <c r="AG1" t="s">
        <v>16</v>
      </c>
      <c r="AH1" t="s">
        <v>17</v>
      </c>
      <c r="AI1" t="s">
        <v>3411</v>
      </c>
      <c r="AJ1" t="s">
        <v>18</v>
      </c>
      <c r="AK1" t="s">
        <v>19</v>
      </c>
      <c r="AL1" t="s">
        <v>20</v>
      </c>
      <c r="AM1" t="s">
        <v>21</v>
      </c>
      <c r="AN1" s="7" t="s">
        <v>2996</v>
      </c>
      <c r="AO1" s="7" t="s">
        <v>2997</v>
      </c>
      <c r="AP1" s="7" t="s">
        <v>2998</v>
      </c>
      <c r="AQ1" t="s">
        <v>22</v>
      </c>
      <c r="AR1" t="s">
        <v>23</v>
      </c>
      <c r="AS1" t="s">
        <v>24</v>
      </c>
      <c r="AT1" t="s">
        <v>25</v>
      </c>
      <c r="AU1" t="s">
        <v>26</v>
      </c>
      <c r="AV1" s="7" t="s">
        <v>3017</v>
      </c>
      <c r="AW1" s="7" t="s">
        <v>3018</v>
      </c>
      <c r="AX1" t="s">
        <v>3412</v>
      </c>
      <c r="AY1" t="s">
        <v>3413</v>
      </c>
      <c r="AZ1" t="s">
        <v>3414</v>
      </c>
      <c r="BA1" t="s">
        <v>27</v>
      </c>
      <c r="BB1" t="s">
        <v>3415</v>
      </c>
      <c r="BC1" t="s">
        <v>28</v>
      </c>
      <c r="BD1" t="s">
        <v>3416</v>
      </c>
      <c r="BE1" s="7" t="s">
        <v>3048</v>
      </c>
      <c r="BF1" t="s">
        <v>29</v>
      </c>
      <c r="BG1" t="s">
        <v>30</v>
      </c>
      <c r="BH1" t="s">
        <v>3417</v>
      </c>
      <c r="BI1" t="s">
        <v>3418</v>
      </c>
      <c r="BJ1" t="s">
        <v>3419</v>
      </c>
      <c r="BK1" t="s">
        <v>3420</v>
      </c>
      <c r="BL1" t="s">
        <v>3421</v>
      </c>
      <c r="BM1" t="s">
        <v>3422</v>
      </c>
      <c r="BN1" t="s">
        <v>3423</v>
      </c>
      <c r="BO1" t="s">
        <v>3424</v>
      </c>
      <c r="BP1" t="s">
        <v>3425</v>
      </c>
      <c r="BQ1" t="s">
        <v>3426</v>
      </c>
      <c r="BR1" t="s">
        <v>3427</v>
      </c>
      <c r="BS1" t="s">
        <v>3428</v>
      </c>
      <c r="BT1" t="s">
        <v>3429</v>
      </c>
      <c r="BU1" t="s">
        <v>31</v>
      </c>
      <c r="BV1" t="s">
        <v>32</v>
      </c>
      <c r="BW1" t="s">
        <v>3430</v>
      </c>
      <c r="BX1" t="s">
        <v>3431</v>
      </c>
      <c r="BY1" t="s">
        <v>3432</v>
      </c>
      <c r="BZ1" t="s">
        <v>3433</v>
      </c>
      <c r="CA1" t="s">
        <v>3434</v>
      </c>
      <c r="CB1" t="s">
        <v>3435</v>
      </c>
      <c r="CC1" t="s">
        <v>33</v>
      </c>
      <c r="CD1" t="s">
        <v>34</v>
      </c>
      <c r="CE1" t="s">
        <v>3436</v>
      </c>
      <c r="CF1" t="s">
        <v>35</v>
      </c>
      <c r="CG1" t="s">
        <v>3437</v>
      </c>
      <c r="CH1" t="s">
        <v>3438</v>
      </c>
      <c r="CI1" t="s">
        <v>3439</v>
      </c>
      <c r="CJ1" t="s">
        <v>3440</v>
      </c>
      <c r="CK1" t="s">
        <v>3441</v>
      </c>
      <c r="CL1" t="s">
        <v>3442</v>
      </c>
      <c r="CM1" t="s">
        <v>3443</v>
      </c>
      <c r="CN1" s="2" t="s">
        <v>3444</v>
      </c>
      <c r="CO1" t="s">
        <v>3445</v>
      </c>
      <c r="CP1" s="2" t="s">
        <v>3446</v>
      </c>
      <c r="CQ1" t="s">
        <v>3447</v>
      </c>
      <c r="CR1" t="s">
        <v>3448</v>
      </c>
      <c r="CS1" t="s">
        <v>3449</v>
      </c>
      <c r="CT1" t="s">
        <v>3450</v>
      </c>
      <c r="CU1" t="s">
        <v>3451</v>
      </c>
      <c r="CV1" s="7" t="s">
        <v>2232</v>
      </c>
      <c r="CW1" s="7" t="s">
        <v>2233</v>
      </c>
      <c r="CX1" t="s">
        <v>3452</v>
      </c>
      <c r="CY1" t="s">
        <v>3453</v>
      </c>
      <c r="CZ1" t="s">
        <v>3454</v>
      </c>
      <c r="DA1" t="s">
        <v>3455</v>
      </c>
      <c r="DB1" t="s">
        <v>3456</v>
      </c>
      <c r="DC1" t="s">
        <v>3457</v>
      </c>
      <c r="DD1" t="s">
        <v>3458</v>
      </c>
      <c r="DE1" t="s">
        <v>3459</v>
      </c>
    </row>
    <row r="2" spans="1:109" x14ac:dyDescent="0.25">
      <c r="A2" t="s">
        <v>36</v>
      </c>
      <c r="B2" s="3" t="s">
        <v>37</v>
      </c>
      <c r="C2" t="s">
        <v>38</v>
      </c>
      <c r="D2" t="s">
        <v>39</v>
      </c>
      <c r="E2" t="s">
        <v>2147</v>
      </c>
      <c r="F2" t="s">
        <v>40</v>
      </c>
      <c r="G2" t="s">
        <v>41</v>
      </c>
      <c r="H2">
        <v>88900</v>
      </c>
      <c r="I2" t="s">
        <v>3460</v>
      </c>
      <c r="J2" t="s">
        <v>42</v>
      </c>
      <c r="K2" t="s">
        <v>43</v>
      </c>
      <c r="L2" t="s">
        <v>44</v>
      </c>
      <c r="M2" s="7">
        <v>2</v>
      </c>
      <c r="N2" s="7">
        <v>2</v>
      </c>
      <c r="O2" s="7">
        <v>0.46500000000000002</v>
      </c>
      <c r="P2" s="7">
        <v>0.68500000000000005</v>
      </c>
      <c r="Q2">
        <v>20</v>
      </c>
      <c r="R2">
        <v>15</v>
      </c>
      <c r="U2">
        <v>1</v>
      </c>
      <c r="X2">
        <v>-10</v>
      </c>
      <c r="Y2">
        <v>43</v>
      </c>
      <c r="Z2">
        <v>-15</v>
      </c>
      <c r="AA2">
        <v>24</v>
      </c>
      <c r="AC2" t="s">
        <v>45</v>
      </c>
      <c r="AD2">
        <v>11</v>
      </c>
      <c r="AG2" t="s">
        <v>2918</v>
      </c>
      <c r="AH2" t="s">
        <v>2919</v>
      </c>
      <c r="AI2" t="s">
        <v>46</v>
      </c>
      <c r="AJ2">
        <v>220</v>
      </c>
      <c r="AK2" t="s">
        <v>47</v>
      </c>
      <c r="AL2" t="s">
        <v>48</v>
      </c>
      <c r="AM2">
        <v>220</v>
      </c>
      <c r="AN2" s="7">
        <v>6.35</v>
      </c>
      <c r="AO2" s="7">
        <v>9.52</v>
      </c>
      <c r="AP2" s="7" t="s">
        <v>2999</v>
      </c>
      <c r="AQ2" t="s">
        <v>49</v>
      </c>
      <c r="AR2" t="s">
        <v>49</v>
      </c>
      <c r="AS2" t="s">
        <v>49</v>
      </c>
      <c r="AT2" t="s">
        <v>49</v>
      </c>
      <c r="AU2" t="s">
        <v>50</v>
      </c>
      <c r="AV2" s="7" t="s">
        <v>3019</v>
      </c>
      <c r="AW2" s="7" t="s">
        <v>3020</v>
      </c>
      <c r="AX2">
        <v>16</v>
      </c>
      <c r="BE2" s="7" t="s">
        <v>3049</v>
      </c>
      <c r="BF2" t="s">
        <v>49</v>
      </c>
      <c r="BG2" t="s">
        <v>51</v>
      </c>
      <c r="BH2">
        <v>19</v>
      </c>
      <c r="BI2" t="s">
        <v>52</v>
      </c>
      <c r="BL2" s="1" t="s">
        <v>2153</v>
      </c>
      <c r="BM2" s="1"/>
      <c r="BN2" s="1"/>
      <c r="BO2" s="1"/>
      <c r="BP2" s="1"/>
      <c r="BQ2" s="1"/>
      <c r="BR2" s="1"/>
      <c r="BS2" t="s">
        <v>53</v>
      </c>
      <c r="CH2">
        <v>535</v>
      </c>
      <c r="CI2">
        <v>595</v>
      </c>
      <c r="CJ2">
        <v>663</v>
      </c>
      <c r="CK2">
        <v>790</v>
      </c>
      <c r="CL2">
        <v>293</v>
      </c>
      <c r="CM2">
        <v>395</v>
      </c>
      <c r="CN2" s="2">
        <v>21</v>
      </c>
      <c r="CO2">
        <v>25</v>
      </c>
      <c r="CP2" s="2">
        <v>270</v>
      </c>
      <c r="CQ2">
        <v>366</v>
      </c>
      <c r="CR2">
        <v>870</v>
      </c>
      <c r="CS2">
        <v>925</v>
      </c>
      <c r="CT2">
        <v>204</v>
      </c>
      <c r="CU2">
        <v>270</v>
      </c>
      <c r="CV2" s="7">
        <v>8.5</v>
      </c>
      <c r="CW2" s="7">
        <v>10.5</v>
      </c>
    </row>
    <row r="3" spans="1:109" x14ac:dyDescent="0.25">
      <c r="A3" t="s">
        <v>54</v>
      </c>
      <c r="B3" t="s">
        <v>37</v>
      </c>
      <c r="C3" t="s">
        <v>38</v>
      </c>
      <c r="D3" t="s">
        <v>55</v>
      </c>
      <c r="E3" t="s">
        <v>2147</v>
      </c>
      <c r="F3" t="s">
        <v>40</v>
      </c>
      <c r="G3" t="s">
        <v>41</v>
      </c>
      <c r="H3">
        <v>95100</v>
      </c>
      <c r="I3" t="s">
        <v>3461</v>
      </c>
      <c r="J3" t="s">
        <v>42</v>
      </c>
      <c r="K3" t="s">
        <v>43</v>
      </c>
      <c r="L3" t="s">
        <v>44</v>
      </c>
      <c r="M3" s="7">
        <v>2.5</v>
      </c>
      <c r="N3" s="7">
        <v>2.5</v>
      </c>
      <c r="O3" s="7">
        <v>0.65</v>
      </c>
      <c r="P3" s="7">
        <v>0.73</v>
      </c>
      <c r="Q3">
        <v>20</v>
      </c>
      <c r="R3">
        <v>15</v>
      </c>
      <c r="U3">
        <v>1</v>
      </c>
      <c r="X3">
        <v>-10</v>
      </c>
      <c r="Y3">
        <v>43</v>
      </c>
      <c r="Z3">
        <v>-15</v>
      </c>
      <c r="AA3">
        <v>24</v>
      </c>
      <c r="AC3" t="s">
        <v>56</v>
      </c>
      <c r="AD3">
        <v>14</v>
      </c>
      <c r="AG3" t="s">
        <v>57</v>
      </c>
      <c r="AH3" t="s">
        <v>2919</v>
      </c>
      <c r="AI3" t="s">
        <v>58</v>
      </c>
      <c r="AJ3">
        <v>220</v>
      </c>
      <c r="AK3" t="s">
        <v>59</v>
      </c>
      <c r="AL3" t="s">
        <v>48</v>
      </c>
      <c r="AM3">
        <v>220</v>
      </c>
      <c r="AN3" s="7">
        <v>6.35</v>
      </c>
      <c r="AO3" s="7">
        <v>9.52</v>
      </c>
      <c r="AP3" s="7" t="s">
        <v>2999</v>
      </c>
      <c r="AQ3" t="s">
        <v>49</v>
      </c>
      <c r="AR3" t="s">
        <v>49</v>
      </c>
      <c r="AS3" t="s">
        <v>49</v>
      </c>
      <c r="AT3" t="s">
        <v>49</v>
      </c>
      <c r="AU3" t="s">
        <v>50</v>
      </c>
      <c r="AV3" s="7" t="s">
        <v>3019</v>
      </c>
      <c r="AW3" s="7" t="s">
        <v>3020</v>
      </c>
      <c r="AX3">
        <v>16</v>
      </c>
      <c r="BE3" s="7" t="s">
        <v>3050</v>
      </c>
      <c r="BF3" t="s">
        <v>49</v>
      </c>
      <c r="BG3" t="s">
        <v>51</v>
      </c>
      <c r="BH3">
        <v>23</v>
      </c>
      <c r="BI3" t="s">
        <v>52</v>
      </c>
      <c r="BS3" t="s">
        <v>53</v>
      </c>
      <c r="CH3">
        <v>535</v>
      </c>
      <c r="CI3">
        <v>595</v>
      </c>
      <c r="CJ3">
        <v>663</v>
      </c>
      <c r="CK3">
        <v>790</v>
      </c>
      <c r="CL3">
        <v>293</v>
      </c>
      <c r="CM3">
        <v>395</v>
      </c>
      <c r="CN3" s="2">
        <v>21</v>
      </c>
      <c r="CO3">
        <v>25</v>
      </c>
      <c r="CP3" s="2">
        <v>270</v>
      </c>
      <c r="CQ3">
        <v>366</v>
      </c>
      <c r="CR3">
        <v>870</v>
      </c>
      <c r="CS3">
        <v>925</v>
      </c>
      <c r="CT3">
        <v>204</v>
      </c>
      <c r="CU3">
        <v>270</v>
      </c>
      <c r="CV3" s="7">
        <v>8.5</v>
      </c>
      <c r="CW3" s="7">
        <v>10.5</v>
      </c>
    </row>
    <row r="4" spans="1:109" x14ac:dyDescent="0.25">
      <c r="A4" t="s">
        <v>60</v>
      </c>
      <c r="B4" t="s">
        <v>37</v>
      </c>
      <c r="C4" t="s">
        <v>38</v>
      </c>
      <c r="D4" t="s">
        <v>61</v>
      </c>
      <c r="E4" t="s">
        <v>2147</v>
      </c>
      <c r="F4" t="s">
        <v>40</v>
      </c>
      <c r="G4" t="s">
        <v>41</v>
      </c>
      <c r="H4">
        <v>111200</v>
      </c>
      <c r="I4" t="s">
        <v>3462</v>
      </c>
      <c r="J4" t="s">
        <v>42</v>
      </c>
      <c r="K4" t="s">
        <v>43</v>
      </c>
      <c r="L4" t="s">
        <v>44</v>
      </c>
      <c r="M4" s="7">
        <v>3.5</v>
      </c>
      <c r="N4" s="7">
        <v>3.5</v>
      </c>
      <c r="O4" s="7">
        <v>0.97</v>
      </c>
      <c r="P4" s="7">
        <v>1.02</v>
      </c>
      <c r="Q4">
        <v>20</v>
      </c>
      <c r="R4">
        <v>15</v>
      </c>
      <c r="U4">
        <v>1</v>
      </c>
      <c r="X4">
        <v>-10</v>
      </c>
      <c r="Y4">
        <v>43</v>
      </c>
      <c r="Z4">
        <v>-15</v>
      </c>
      <c r="AA4">
        <v>24</v>
      </c>
      <c r="AC4" t="s">
        <v>62</v>
      </c>
      <c r="AD4">
        <v>19</v>
      </c>
      <c r="AG4" t="s">
        <v>57</v>
      </c>
      <c r="AH4" t="s">
        <v>63</v>
      </c>
      <c r="AI4" t="s">
        <v>64</v>
      </c>
      <c r="AJ4">
        <v>220</v>
      </c>
      <c r="AK4" t="s">
        <v>65</v>
      </c>
      <c r="AL4" t="s">
        <v>48</v>
      </c>
      <c r="AM4">
        <v>220</v>
      </c>
      <c r="AN4" s="7">
        <v>6.35</v>
      </c>
      <c r="AO4" s="7">
        <v>9.52</v>
      </c>
      <c r="AP4" s="7" t="s">
        <v>2999</v>
      </c>
      <c r="AQ4" t="s">
        <v>49</v>
      </c>
      <c r="AR4" t="s">
        <v>49</v>
      </c>
      <c r="AS4" t="s">
        <v>49</v>
      </c>
      <c r="AT4" t="s">
        <v>49</v>
      </c>
      <c r="AU4" t="s">
        <v>50</v>
      </c>
      <c r="AV4" s="7" t="s">
        <v>3019</v>
      </c>
      <c r="AW4" s="7" t="s">
        <v>3020</v>
      </c>
      <c r="AX4">
        <v>16</v>
      </c>
      <c r="BE4" s="7" t="s">
        <v>3051</v>
      </c>
      <c r="BF4" t="s">
        <v>49</v>
      </c>
      <c r="BG4" t="s">
        <v>51</v>
      </c>
      <c r="BH4">
        <v>32</v>
      </c>
      <c r="BI4" t="s">
        <v>52</v>
      </c>
      <c r="BS4" t="s">
        <v>53</v>
      </c>
      <c r="CH4">
        <v>535</v>
      </c>
      <c r="CI4">
        <v>595</v>
      </c>
      <c r="CJ4">
        <v>663</v>
      </c>
      <c r="CK4">
        <v>790</v>
      </c>
      <c r="CL4">
        <v>293</v>
      </c>
      <c r="CM4">
        <v>395</v>
      </c>
      <c r="CN4" s="2">
        <v>26</v>
      </c>
      <c r="CO4">
        <v>30</v>
      </c>
      <c r="CP4" s="2">
        <v>270</v>
      </c>
      <c r="CQ4">
        <v>366</v>
      </c>
      <c r="CR4">
        <v>870</v>
      </c>
      <c r="CS4">
        <v>925</v>
      </c>
      <c r="CT4">
        <v>204</v>
      </c>
      <c r="CU4">
        <v>270</v>
      </c>
      <c r="CV4" s="7">
        <v>8.5</v>
      </c>
      <c r="CW4" s="7">
        <v>10.5</v>
      </c>
    </row>
    <row r="5" spans="1:109" x14ac:dyDescent="0.25">
      <c r="A5" t="s">
        <v>66</v>
      </c>
      <c r="B5" t="s">
        <v>37</v>
      </c>
      <c r="C5" t="s">
        <v>38</v>
      </c>
      <c r="D5" t="s">
        <v>67</v>
      </c>
      <c r="E5" t="s">
        <v>2147</v>
      </c>
      <c r="F5" t="s">
        <v>40</v>
      </c>
      <c r="G5" t="s">
        <v>41</v>
      </c>
      <c r="H5">
        <v>143800</v>
      </c>
      <c r="I5" t="s">
        <v>3463</v>
      </c>
      <c r="J5" t="s">
        <v>42</v>
      </c>
      <c r="K5" t="s">
        <v>43</v>
      </c>
      <c r="L5" t="s">
        <v>44</v>
      </c>
      <c r="M5" s="7">
        <v>4</v>
      </c>
      <c r="N5" s="7">
        <v>4</v>
      </c>
      <c r="O5" s="7">
        <v>1.135</v>
      </c>
      <c r="P5" s="7">
        <v>1.365</v>
      </c>
      <c r="Q5">
        <v>20</v>
      </c>
      <c r="R5">
        <v>15</v>
      </c>
      <c r="U5">
        <v>1</v>
      </c>
      <c r="X5">
        <v>-10</v>
      </c>
      <c r="Y5">
        <v>43</v>
      </c>
      <c r="Z5">
        <v>-15</v>
      </c>
      <c r="AA5">
        <v>24</v>
      </c>
      <c r="AC5" t="s">
        <v>68</v>
      </c>
      <c r="AD5">
        <v>22</v>
      </c>
      <c r="AG5" t="s">
        <v>2920</v>
      </c>
      <c r="AH5" t="s">
        <v>63</v>
      </c>
      <c r="AI5" t="s">
        <v>69</v>
      </c>
      <c r="AJ5">
        <v>220</v>
      </c>
      <c r="AK5" t="s">
        <v>70</v>
      </c>
      <c r="AL5" t="s">
        <v>48</v>
      </c>
      <c r="AM5">
        <v>220</v>
      </c>
      <c r="AN5" s="7">
        <v>6.35</v>
      </c>
      <c r="AO5" s="7">
        <v>12.7</v>
      </c>
      <c r="AP5" s="7" t="s">
        <v>3000</v>
      </c>
      <c r="AQ5" t="s">
        <v>49</v>
      </c>
      <c r="AR5" t="s">
        <v>49</v>
      </c>
      <c r="AS5" t="s">
        <v>49</v>
      </c>
      <c r="AT5" t="s">
        <v>49</v>
      </c>
      <c r="AU5" t="s">
        <v>50</v>
      </c>
      <c r="AV5" s="7" t="s">
        <v>3019</v>
      </c>
      <c r="AW5" s="7" t="s">
        <v>3020</v>
      </c>
      <c r="AX5">
        <v>16</v>
      </c>
      <c r="BE5" s="7" t="s">
        <v>3052</v>
      </c>
      <c r="BF5" t="s">
        <v>49</v>
      </c>
      <c r="BG5" t="s">
        <v>51</v>
      </c>
      <c r="BH5">
        <v>38</v>
      </c>
      <c r="BI5" t="s">
        <v>52</v>
      </c>
      <c r="BS5" t="s">
        <v>71</v>
      </c>
      <c r="CH5">
        <v>540</v>
      </c>
      <c r="CI5">
        <v>648</v>
      </c>
      <c r="CJ5">
        <v>790</v>
      </c>
      <c r="CK5">
        <v>938</v>
      </c>
      <c r="CL5">
        <v>290</v>
      </c>
      <c r="CM5">
        <v>400</v>
      </c>
      <c r="CN5" s="2">
        <v>34</v>
      </c>
      <c r="CO5">
        <v>37</v>
      </c>
      <c r="CP5" s="2">
        <v>270</v>
      </c>
      <c r="CQ5">
        <v>366</v>
      </c>
      <c r="CR5">
        <v>870</v>
      </c>
      <c r="CS5">
        <v>925</v>
      </c>
      <c r="CT5">
        <v>204</v>
      </c>
      <c r="CU5">
        <v>270</v>
      </c>
      <c r="CV5" s="7">
        <v>8.5</v>
      </c>
      <c r="CW5" s="7">
        <v>10.5</v>
      </c>
    </row>
    <row r="6" spans="1:109" x14ac:dyDescent="0.25">
      <c r="A6" t="s">
        <v>72</v>
      </c>
      <c r="B6" t="s">
        <v>37</v>
      </c>
      <c r="C6" t="s">
        <v>38</v>
      </c>
      <c r="D6" t="s">
        <v>73</v>
      </c>
      <c r="E6" t="s">
        <v>2147</v>
      </c>
      <c r="F6" t="s">
        <v>74</v>
      </c>
      <c r="G6" t="s">
        <v>75</v>
      </c>
      <c r="H6">
        <v>70400</v>
      </c>
      <c r="I6" t="s">
        <v>3464</v>
      </c>
      <c r="J6" t="s">
        <v>76</v>
      </c>
      <c r="K6" t="s">
        <v>77</v>
      </c>
      <c r="L6" t="s">
        <v>44</v>
      </c>
      <c r="M6" s="7" t="s">
        <v>2235</v>
      </c>
      <c r="N6" s="7" t="s">
        <v>2412</v>
      </c>
      <c r="O6" s="7" t="s">
        <v>2413</v>
      </c>
      <c r="P6" s="7" t="s">
        <v>2414</v>
      </c>
      <c r="Q6">
        <v>20</v>
      </c>
      <c r="R6">
        <v>15</v>
      </c>
      <c r="U6">
        <v>1</v>
      </c>
      <c r="X6">
        <v>-10</v>
      </c>
      <c r="Y6">
        <v>46</v>
      </c>
      <c r="Z6">
        <v>-15</v>
      </c>
      <c r="AA6">
        <v>24</v>
      </c>
      <c r="AD6">
        <v>11</v>
      </c>
      <c r="AG6" t="s">
        <v>2921</v>
      </c>
      <c r="AH6" t="s">
        <v>63</v>
      </c>
      <c r="AN6" s="7">
        <v>6.35</v>
      </c>
      <c r="AO6" s="7">
        <v>9.52</v>
      </c>
      <c r="AP6" s="7" t="s">
        <v>3001</v>
      </c>
      <c r="AQ6" t="s">
        <v>49</v>
      </c>
      <c r="AR6" t="s">
        <v>49</v>
      </c>
      <c r="AS6" t="s">
        <v>49</v>
      </c>
      <c r="AT6" t="s">
        <v>49</v>
      </c>
      <c r="AU6" t="s">
        <v>78</v>
      </c>
      <c r="AV6" s="7" t="s">
        <v>3019</v>
      </c>
      <c r="AW6" s="7" t="s">
        <v>3020</v>
      </c>
      <c r="AX6">
        <v>16</v>
      </c>
      <c r="BE6" s="7" t="s">
        <v>3053</v>
      </c>
      <c r="BF6" t="s">
        <v>49</v>
      </c>
      <c r="BH6">
        <v>20</v>
      </c>
      <c r="BI6" t="s">
        <v>52</v>
      </c>
      <c r="BS6" t="s">
        <v>79</v>
      </c>
      <c r="CH6">
        <v>541</v>
      </c>
      <c r="CI6">
        <v>596</v>
      </c>
      <c r="CJ6">
        <v>663</v>
      </c>
      <c r="CK6">
        <v>798</v>
      </c>
      <c r="CL6">
        <v>290</v>
      </c>
      <c r="CM6">
        <v>369</v>
      </c>
      <c r="CN6" s="2">
        <v>23</v>
      </c>
      <c r="CO6">
        <v>25</v>
      </c>
      <c r="CP6" s="2">
        <v>270</v>
      </c>
      <c r="CQ6">
        <v>334</v>
      </c>
      <c r="CR6">
        <v>784</v>
      </c>
      <c r="CS6">
        <v>864</v>
      </c>
      <c r="CT6">
        <v>224</v>
      </c>
      <c r="CU6">
        <v>279</v>
      </c>
      <c r="CV6" s="7">
        <v>8</v>
      </c>
      <c r="CW6" s="7">
        <v>11</v>
      </c>
    </row>
    <row r="7" spans="1:109" x14ac:dyDescent="0.25">
      <c r="A7" t="s">
        <v>80</v>
      </c>
      <c r="B7" t="s">
        <v>37</v>
      </c>
      <c r="C7" t="s">
        <v>38</v>
      </c>
      <c r="D7" t="s">
        <v>81</v>
      </c>
      <c r="E7" t="s">
        <v>2147</v>
      </c>
      <c r="F7" t="s">
        <v>74</v>
      </c>
      <c r="G7" t="s">
        <v>75</v>
      </c>
      <c r="H7">
        <v>70400</v>
      </c>
      <c r="I7" t="s">
        <v>3464</v>
      </c>
      <c r="J7" t="s">
        <v>82</v>
      </c>
      <c r="K7" t="s">
        <v>83</v>
      </c>
      <c r="L7" t="s">
        <v>44</v>
      </c>
      <c r="M7" s="7" t="s">
        <v>2236</v>
      </c>
      <c r="N7" s="7" t="s">
        <v>2415</v>
      </c>
      <c r="O7" s="7">
        <v>0.48</v>
      </c>
      <c r="P7" s="7">
        <v>0.63</v>
      </c>
      <c r="Q7">
        <v>20</v>
      </c>
      <c r="R7">
        <v>15</v>
      </c>
      <c r="U7">
        <v>1</v>
      </c>
      <c r="X7">
        <v>-10</v>
      </c>
      <c r="Y7">
        <v>46</v>
      </c>
      <c r="Z7">
        <v>-15</v>
      </c>
      <c r="AA7">
        <v>24</v>
      </c>
      <c r="AD7">
        <v>11</v>
      </c>
      <c r="AG7" t="s">
        <v>2921</v>
      </c>
      <c r="AH7" t="s">
        <v>63</v>
      </c>
      <c r="AN7" s="7">
        <v>6.35</v>
      </c>
      <c r="AO7" s="7">
        <v>9.52</v>
      </c>
      <c r="AP7" s="7" t="s">
        <v>3002</v>
      </c>
      <c r="AQ7" t="s">
        <v>49</v>
      </c>
      <c r="AR7" t="s">
        <v>49</v>
      </c>
      <c r="AS7" t="s">
        <v>49</v>
      </c>
      <c r="AT7" t="s">
        <v>49</v>
      </c>
      <c r="AU7" t="s">
        <v>78</v>
      </c>
      <c r="AV7" s="7" t="s">
        <v>3019</v>
      </c>
      <c r="AW7" s="7" t="s">
        <v>3020</v>
      </c>
      <c r="AX7">
        <v>16</v>
      </c>
      <c r="BE7" s="7" t="s">
        <v>3054</v>
      </c>
      <c r="BF7" t="s">
        <v>49</v>
      </c>
      <c r="BH7">
        <v>19</v>
      </c>
      <c r="BI7" t="s">
        <v>52</v>
      </c>
      <c r="BS7" t="s">
        <v>79</v>
      </c>
      <c r="CH7">
        <v>541</v>
      </c>
      <c r="CI7">
        <v>596</v>
      </c>
      <c r="CJ7">
        <v>663</v>
      </c>
      <c r="CK7">
        <v>798</v>
      </c>
      <c r="CL7">
        <v>290</v>
      </c>
      <c r="CM7">
        <v>369</v>
      </c>
      <c r="CN7" s="2">
        <v>23</v>
      </c>
      <c r="CO7">
        <v>25</v>
      </c>
      <c r="CP7" s="2">
        <v>270</v>
      </c>
      <c r="CQ7">
        <v>334</v>
      </c>
      <c r="CR7">
        <v>784</v>
      </c>
      <c r="CS7">
        <v>864</v>
      </c>
      <c r="CT7">
        <v>224</v>
      </c>
      <c r="CU7">
        <v>279</v>
      </c>
      <c r="CV7" s="7">
        <v>8</v>
      </c>
      <c r="CW7" s="7">
        <v>11</v>
      </c>
    </row>
    <row r="8" spans="1:109" x14ac:dyDescent="0.25">
      <c r="A8" t="s">
        <v>84</v>
      </c>
      <c r="B8" t="s">
        <v>37</v>
      </c>
      <c r="C8" t="s">
        <v>38</v>
      </c>
      <c r="D8" t="s">
        <v>85</v>
      </c>
      <c r="E8" t="s">
        <v>2147</v>
      </c>
      <c r="F8" t="s">
        <v>74</v>
      </c>
      <c r="G8" t="s">
        <v>75</v>
      </c>
      <c r="H8">
        <v>74000</v>
      </c>
      <c r="I8" t="s">
        <v>3464</v>
      </c>
      <c r="J8" t="s">
        <v>76</v>
      </c>
      <c r="K8" t="s">
        <v>77</v>
      </c>
      <c r="L8" t="s">
        <v>44</v>
      </c>
      <c r="M8" s="7" t="s">
        <v>2237</v>
      </c>
      <c r="N8" s="7" t="s">
        <v>2416</v>
      </c>
      <c r="O8" s="7" t="s">
        <v>2417</v>
      </c>
      <c r="P8" s="7" t="s">
        <v>2418</v>
      </c>
      <c r="Q8">
        <v>20</v>
      </c>
      <c r="R8">
        <v>15</v>
      </c>
      <c r="U8">
        <v>1</v>
      </c>
      <c r="X8">
        <v>-10</v>
      </c>
      <c r="Y8">
        <v>46</v>
      </c>
      <c r="Z8">
        <v>-15</v>
      </c>
      <c r="AA8">
        <v>24</v>
      </c>
      <c r="AD8">
        <v>11</v>
      </c>
      <c r="AG8" t="s">
        <v>2921</v>
      </c>
      <c r="AH8" t="s">
        <v>63</v>
      </c>
      <c r="AN8" s="7">
        <v>6.35</v>
      </c>
      <c r="AO8" s="7">
        <v>9.52</v>
      </c>
      <c r="AP8" s="7" t="s">
        <v>3001</v>
      </c>
      <c r="AQ8" t="s">
        <v>49</v>
      </c>
      <c r="AR8" t="s">
        <v>49</v>
      </c>
      <c r="AS8" t="s">
        <v>49</v>
      </c>
      <c r="AT8" t="s">
        <v>49</v>
      </c>
      <c r="AU8" t="s">
        <v>78</v>
      </c>
      <c r="AV8" s="7" t="s">
        <v>3019</v>
      </c>
      <c r="AW8" s="7" t="s">
        <v>3020</v>
      </c>
      <c r="AX8">
        <v>16</v>
      </c>
      <c r="BE8" s="7" t="s">
        <v>3055</v>
      </c>
      <c r="BF8" t="s">
        <v>49</v>
      </c>
      <c r="BH8">
        <v>25</v>
      </c>
      <c r="BI8" t="s">
        <v>52</v>
      </c>
      <c r="BS8" t="s">
        <v>79</v>
      </c>
      <c r="CH8">
        <v>541</v>
      </c>
      <c r="CI8">
        <v>596</v>
      </c>
      <c r="CJ8">
        <v>663</v>
      </c>
      <c r="CK8">
        <v>798</v>
      </c>
      <c r="CL8">
        <v>290</v>
      </c>
      <c r="CM8">
        <v>369</v>
      </c>
      <c r="CN8" s="2">
        <v>23</v>
      </c>
      <c r="CO8">
        <v>25</v>
      </c>
      <c r="CP8" s="2">
        <v>270</v>
      </c>
      <c r="CQ8">
        <v>334</v>
      </c>
      <c r="CR8">
        <v>784</v>
      </c>
      <c r="CS8">
        <v>864</v>
      </c>
      <c r="CT8">
        <v>224</v>
      </c>
      <c r="CU8">
        <v>279</v>
      </c>
      <c r="CV8" s="7">
        <v>8</v>
      </c>
      <c r="CW8" s="7">
        <v>11</v>
      </c>
    </row>
    <row r="9" spans="1:109" x14ac:dyDescent="0.25">
      <c r="A9" t="s">
        <v>86</v>
      </c>
      <c r="B9" t="s">
        <v>37</v>
      </c>
      <c r="C9" t="s">
        <v>38</v>
      </c>
      <c r="D9" t="s">
        <v>87</v>
      </c>
      <c r="E9" t="s">
        <v>2147</v>
      </c>
      <c r="F9" t="s">
        <v>74</v>
      </c>
      <c r="G9" t="s">
        <v>41</v>
      </c>
      <c r="H9">
        <v>74000</v>
      </c>
      <c r="I9" t="s">
        <v>3464</v>
      </c>
      <c r="J9" t="s">
        <v>88</v>
      </c>
      <c r="K9" t="s">
        <v>89</v>
      </c>
      <c r="L9" t="s">
        <v>44</v>
      </c>
      <c r="M9" s="7" t="s">
        <v>2238</v>
      </c>
      <c r="N9" s="7" t="s">
        <v>2419</v>
      </c>
      <c r="O9" s="7">
        <v>0.71</v>
      </c>
      <c r="P9" s="7">
        <v>0.79</v>
      </c>
      <c r="Q9">
        <v>20</v>
      </c>
      <c r="R9">
        <v>15</v>
      </c>
      <c r="U9">
        <v>1</v>
      </c>
      <c r="X9">
        <v>-10</v>
      </c>
      <c r="Y9">
        <v>46</v>
      </c>
      <c r="Z9">
        <v>-15</v>
      </c>
      <c r="AA9">
        <v>24</v>
      </c>
      <c r="AD9">
        <v>14</v>
      </c>
      <c r="AG9" t="s">
        <v>2921</v>
      </c>
      <c r="AH9" t="s">
        <v>63</v>
      </c>
      <c r="AN9" s="7">
        <v>6.35</v>
      </c>
      <c r="AO9" s="7">
        <v>9.52</v>
      </c>
      <c r="AP9" s="7" t="s">
        <v>3002</v>
      </c>
      <c r="AQ9" t="s">
        <v>49</v>
      </c>
      <c r="AR9" t="s">
        <v>49</v>
      </c>
      <c r="AS9" t="s">
        <v>49</v>
      </c>
      <c r="AT9" t="s">
        <v>49</v>
      </c>
      <c r="AU9" t="s">
        <v>78</v>
      </c>
      <c r="AV9" s="7" t="s">
        <v>3019</v>
      </c>
      <c r="AW9" s="7" t="s">
        <v>3020</v>
      </c>
      <c r="AX9">
        <v>16</v>
      </c>
      <c r="BE9" s="7" t="s">
        <v>3056</v>
      </c>
      <c r="BF9" t="s">
        <v>49</v>
      </c>
      <c r="BH9">
        <v>24</v>
      </c>
      <c r="BI9" t="s">
        <v>52</v>
      </c>
      <c r="BS9" t="s">
        <v>79</v>
      </c>
      <c r="CH9">
        <v>541</v>
      </c>
      <c r="CI9">
        <v>596</v>
      </c>
      <c r="CJ9">
        <v>663</v>
      </c>
      <c r="CK9">
        <v>798</v>
      </c>
      <c r="CL9">
        <v>290</v>
      </c>
      <c r="CM9">
        <v>369</v>
      </c>
      <c r="CN9" s="2">
        <v>23</v>
      </c>
      <c r="CO9">
        <v>25</v>
      </c>
      <c r="CP9" s="2">
        <v>270</v>
      </c>
      <c r="CQ9">
        <v>334</v>
      </c>
      <c r="CR9">
        <v>784</v>
      </c>
      <c r="CS9">
        <v>864</v>
      </c>
      <c r="CT9">
        <v>224</v>
      </c>
      <c r="CU9">
        <v>279</v>
      </c>
      <c r="CV9" s="7">
        <v>8</v>
      </c>
      <c r="CW9" s="7">
        <v>11</v>
      </c>
    </row>
    <row r="10" spans="1:109" x14ac:dyDescent="0.25">
      <c r="A10" t="s">
        <v>90</v>
      </c>
      <c r="B10" t="s">
        <v>37</v>
      </c>
      <c r="C10" t="s">
        <v>38</v>
      </c>
      <c r="D10" t="s">
        <v>91</v>
      </c>
      <c r="E10" t="s">
        <v>2147</v>
      </c>
      <c r="F10" t="s">
        <v>74</v>
      </c>
      <c r="G10" t="s">
        <v>75</v>
      </c>
      <c r="H10">
        <v>84400</v>
      </c>
      <c r="I10" t="s">
        <v>3464</v>
      </c>
      <c r="J10" t="s">
        <v>76</v>
      </c>
      <c r="K10" t="s">
        <v>77</v>
      </c>
      <c r="L10" t="s">
        <v>44</v>
      </c>
      <c r="M10" s="7" t="s">
        <v>2239</v>
      </c>
      <c r="N10" s="7" t="s">
        <v>2420</v>
      </c>
      <c r="O10" s="7" t="s">
        <v>2421</v>
      </c>
      <c r="P10" s="7" t="s">
        <v>2422</v>
      </c>
      <c r="Q10">
        <v>20</v>
      </c>
      <c r="R10">
        <v>15</v>
      </c>
      <c r="U10">
        <v>1</v>
      </c>
      <c r="X10">
        <v>-10</v>
      </c>
      <c r="Y10">
        <v>46</v>
      </c>
      <c r="Z10">
        <v>-15</v>
      </c>
      <c r="AA10">
        <v>24</v>
      </c>
      <c r="AD10">
        <v>11</v>
      </c>
      <c r="AG10" t="s">
        <v>2922</v>
      </c>
      <c r="AH10" t="s">
        <v>2919</v>
      </c>
      <c r="AN10" s="7">
        <v>6.35</v>
      </c>
      <c r="AO10" s="7">
        <v>9.52</v>
      </c>
      <c r="AP10" s="7" t="s">
        <v>3001</v>
      </c>
      <c r="AQ10" t="s">
        <v>49</v>
      </c>
      <c r="AR10" t="s">
        <v>49</v>
      </c>
      <c r="AS10" t="s">
        <v>49</v>
      </c>
      <c r="AT10" t="s">
        <v>49</v>
      </c>
      <c r="AU10" t="s">
        <v>78</v>
      </c>
      <c r="AV10" s="7" t="s">
        <v>3019</v>
      </c>
      <c r="AW10" s="7" t="s">
        <v>3020</v>
      </c>
      <c r="AX10">
        <v>16</v>
      </c>
      <c r="BE10" s="7" t="s">
        <v>3057</v>
      </c>
      <c r="BF10" t="s">
        <v>49</v>
      </c>
      <c r="BH10">
        <v>34</v>
      </c>
      <c r="BI10" t="s">
        <v>52</v>
      </c>
      <c r="BS10" t="s">
        <v>92</v>
      </c>
      <c r="CH10">
        <v>541</v>
      </c>
      <c r="CI10">
        <v>596</v>
      </c>
      <c r="CJ10">
        <v>663</v>
      </c>
      <c r="CK10">
        <v>798</v>
      </c>
      <c r="CL10">
        <v>290</v>
      </c>
      <c r="CM10">
        <v>369</v>
      </c>
      <c r="CN10" s="2">
        <v>25</v>
      </c>
      <c r="CO10">
        <v>27</v>
      </c>
      <c r="CP10" s="2">
        <v>270</v>
      </c>
      <c r="CQ10">
        <v>334</v>
      </c>
      <c r="CR10">
        <v>784</v>
      </c>
      <c r="CS10">
        <v>864</v>
      </c>
      <c r="CT10">
        <v>224</v>
      </c>
      <c r="CU10">
        <v>279</v>
      </c>
      <c r="CV10" s="7">
        <v>8</v>
      </c>
      <c r="CW10" s="7">
        <v>11</v>
      </c>
    </row>
    <row r="11" spans="1:109" x14ac:dyDescent="0.25">
      <c r="A11" t="s">
        <v>93</v>
      </c>
      <c r="B11" t="s">
        <v>37</v>
      </c>
      <c r="C11" t="s">
        <v>38</v>
      </c>
      <c r="D11" t="s">
        <v>94</v>
      </c>
      <c r="E11" t="s">
        <v>2147</v>
      </c>
      <c r="F11" t="s">
        <v>74</v>
      </c>
      <c r="G11" t="s">
        <v>41</v>
      </c>
      <c r="H11">
        <v>84400</v>
      </c>
      <c r="I11" t="s">
        <v>3464</v>
      </c>
      <c r="J11" t="s">
        <v>95</v>
      </c>
      <c r="K11" t="s">
        <v>96</v>
      </c>
      <c r="L11" t="s">
        <v>44</v>
      </c>
      <c r="M11" s="7" t="s">
        <v>2240</v>
      </c>
      <c r="N11" s="7" t="s">
        <v>2423</v>
      </c>
      <c r="O11" s="7">
        <v>1</v>
      </c>
      <c r="P11" s="7">
        <v>1.1399999999999999</v>
      </c>
      <c r="Q11">
        <v>20</v>
      </c>
      <c r="R11">
        <v>15</v>
      </c>
      <c r="U11">
        <v>1</v>
      </c>
      <c r="X11">
        <v>-10</v>
      </c>
      <c r="Y11">
        <v>46</v>
      </c>
      <c r="Z11">
        <v>-15</v>
      </c>
      <c r="AA11">
        <v>24</v>
      </c>
      <c r="AD11">
        <v>19</v>
      </c>
      <c r="AG11" t="s">
        <v>2922</v>
      </c>
      <c r="AH11" t="s">
        <v>2919</v>
      </c>
      <c r="AN11" s="7">
        <v>6.35</v>
      </c>
      <c r="AO11" s="7">
        <v>9.52</v>
      </c>
      <c r="AP11" s="7" t="s">
        <v>3002</v>
      </c>
      <c r="AQ11" t="s">
        <v>49</v>
      </c>
      <c r="AR11" t="s">
        <v>49</v>
      </c>
      <c r="AS11" t="s">
        <v>49</v>
      </c>
      <c r="AT11" t="s">
        <v>49</v>
      </c>
      <c r="AU11" t="s">
        <v>78</v>
      </c>
      <c r="AV11" s="7" t="s">
        <v>3019</v>
      </c>
      <c r="AW11" s="7" t="s">
        <v>3020</v>
      </c>
      <c r="AX11">
        <v>16</v>
      </c>
      <c r="BE11" s="7" t="s">
        <v>3058</v>
      </c>
      <c r="BF11" t="s">
        <v>49</v>
      </c>
      <c r="BH11">
        <v>32</v>
      </c>
      <c r="BI11" t="s">
        <v>52</v>
      </c>
      <c r="BS11" t="s">
        <v>92</v>
      </c>
      <c r="CH11">
        <v>541</v>
      </c>
      <c r="CI11">
        <v>596</v>
      </c>
      <c r="CJ11">
        <v>663</v>
      </c>
      <c r="CK11">
        <v>798</v>
      </c>
      <c r="CL11">
        <v>290</v>
      </c>
      <c r="CM11">
        <v>369</v>
      </c>
      <c r="CN11" s="2">
        <v>25</v>
      </c>
      <c r="CO11">
        <v>27</v>
      </c>
      <c r="CP11" s="2">
        <v>270</v>
      </c>
      <c r="CQ11">
        <v>334</v>
      </c>
      <c r="CR11">
        <v>784</v>
      </c>
      <c r="CS11">
        <v>864</v>
      </c>
      <c r="CT11">
        <v>224</v>
      </c>
      <c r="CU11">
        <v>279</v>
      </c>
      <c r="CV11" s="7">
        <v>8</v>
      </c>
      <c r="CW11" s="7">
        <v>11</v>
      </c>
    </row>
    <row r="12" spans="1:109" x14ac:dyDescent="0.25">
      <c r="A12" t="s">
        <v>97</v>
      </c>
      <c r="B12" t="s">
        <v>37</v>
      </c>
      <c r="C12" t="s">
        <v>38</v>
      </c>
      <c r="D12" t="s">
        <v>98</v>
      </c>
      <c r="E12" t="s">
        <v>2147</v>
      </c>
      <c r="F12" t="s">
        <v>74</v>
      </c>
      <c r="G12" t="s">
        <v>75</v>
      </c>
      <c r="H12">
        <v>150900</v>
      </c>
      <c r="I12" t="s">
        <v>3465</v>
      </c>
      <c r="J12" t="s">
        <v>99</v>
      </c>
      <c r="K12" t="s">
        <v>100</v>
      </c>
      <c r="L12" t="s">
        <v>44</v>
      </c>
      <c r="M12" s="7" t="s">
        <v>2241</v>
      </c>
      <c r="N12" s="7" t="s">
        <v>2424</v>
      </c>
      <c r="O12" s="7" t="s">
        <v>2425</v>
      </c>
      <c r="P12" s="7" t="s">
        <v>2426</v>
      </c>
      <c r="Q12">
        <v>25</v>
      </c>
      <c r="R12">
        <v>20</v>
      </c>
      <c r="U12">
        <v>1</v>
      </c>
      <c r="X12">
        <v>-10</v>
      </c>
      <c r="Y12">
        <v>46</v>
      </c>
      <c r="Z12">
        <v>-15</v>
      </c>
      <c r="AA12">
        <v>24</v>
      </c>
      <c r="AD12">
        <v>29</v>
      </c>
      <c r="AG12" t="s">
        <v>2923</v>
      </c>
      <c r="AH12" t="s">
        <v>2924</v>
      </c>
      <c r="AN12" s="7">
        <v>6.35</v>
      </c>
      <c r="AO12" s="7">
        <v>9.52</v>
      </c>
      <c r="AP12" s="7" t="s">
        <v>3003</v>
      </c>
      <c r="AQ12" t="s">
        <v>49</v>
      </c>
      <c r="AR12" t="s">
        <v>49</v>
      </c>
      <c r="AS12" t="s">
        <v>49</v>
      </c>
      <c r="AT12" t="s">
        <v>49</v>
      </c>
      <c r="AU12" t="s">
        <v>78</v>
      </c>
      <c r="AV12" s="7" t="s">
        <v>3019</v>
      </c>
      <c r="AW12" s="7" t="s">
        <v>3020</v>
      </c>
      <c r="AX12">
        <v>16</v>
      </c>
      <c r="BE12" s="7" t="s">
        <v>3059</v>
      </c>
      <c r="BF12" t="s">
        <v>49</v>
      </c>
      <c r="BH12">
        <v>52</v>
      </c>
      <c r="BI12" t="s">
        <v>52</v>
      </c>
      <c r="BS12" t="s">
        <v>101</v>
      </c>
      <c r="CH12">
        <v>542</v>
      </c>
      <c r="CI12">
        <v>602</v>
      </c>
      <c r="CJ12">
        <v>799</v>
      </c>
      <c r="CK12">
        <v>940</v>
      </c>
      <c r="CL12">
        <v>290</v>
      </c>
      <c r="CM12">
        <v>375</v>
      </c>
      <c r="CN12" s="2">
        <v>33</v>
      </c>
      <c r="CO12">
        <v>37</v>
      </c>
      <c r="CP12" s="2">
        <v>293</v>
      </c>
      <c r="CQ12">
        <v>375</v>
      </c>
      <c r="CR12">
        <v>790</v>
      </c>
      <c r="CS12">
        <v>840</v>
      </c>
      <c r="CT12">
        <v>249</v>
      </c>
      <c r="CU12">
        <v>320</v>
      </c>
      <c r="CV12" s="7">
        <v>9.5</v>
      </c>
      <c r="CW12" s="7">
        <v>12</v>
      </c>
    </row>
    <row r="13" spans="1:109" x14ac:dyDescent="0.25">
      <c r="A13" t="s">
        <v>102</v>
      </c>
      <c r="B13" t="s">
        <v>37</v>
      </c>
      <c r="C13" t="s">
        <v>38</v>
      </c>
      <c r="D13" t="s">
        <v>103</v>
      </c>
      <c r="E13" t="s">
        <v>2147</v>
      </c>
      <c r="F13" t="s">
        <v>74</v>
      </c>
      <c r="G13" t="s">
        <v>75</v>
      </c>
      <c r="H13">
        <v>150900</v>
      </c>
      <c r="I13" t="s">
        <v>3465</v>
      </c>
      <c r="J13" t="s">
        <v>104</v>
      </c>
      <c r="K13" t="s">
        <v>105</v>
      </c>
      <c r="L13" t="s">
        <v>44</v>
      </c>
      <c r="M13" s="7" t="s">
        <v>2242</v>
      </c>
      <c r="N13" s="7" t="s">
        <v>2424</v>
      </c>
      <c r="O13" s="7" t="s">
        <v>2425</v>
      </c>
      <c r="P13" s="7" t="s">
        <v>2426</v>
      </c>
      <c r="Q13">
        <v>25</v>
      </c>
      <c r="R13">
        <v>20</v>
      </c>
      <c r="U13">
        <v>1</v>
      </c>
      <c r="X13">
        <v>-10</v>
      </c>
      <c r="Y13">
        <v>46</v>
      </c>
      <c r="Z13">
        <v>-15</v>
      </c>
      <c r="AA13">
        <v>24</v>
      </c>
      <c r="AD13">
        <v>29</v>
      </c>
      <c r="AG13" t="s">
        <v>2923</v>
      </c>
      <c r="AH13" t="s">
        <v>2924</v>
      </c>
      <c r="AN13" s="7">
        <v>6.35</v>
      </c>
      <c r="AO13" s="7">
        <v>9.52</v>
      </c>
      <c r="AP13" s="7" t="s">
        <v>3003</v>
      </c>
      <c r="AQ13" t="s">
        <v>49</v>
      </c>
      <c r="AR13" t="s">
        <v>49</v>
      </c>
      <c r="AS13" t="s">
        <v>49</v>
      </c>
      <c r="AT13" t="s">
        <v>49</v>
      </c>
      <c r="AU13" t="s">
        <v>78</v>
      </c>
      <c r="AV13" s="7" t="s">
        <v>3019</v>
      </c>
      <c r="AW13" s="7" t="s">
        <v>3020</v>
      </c>
      <c r="AX13">
        <v>16</v>
      </c>
      <c r="BE13" s="7" t="s">
        <v>3059</v>
      </c>
      <c r="BF13" t="s">
        <v>49</v>
      </c>
      <c r="BH13">
        <v>52</v>
      </c>
      <c r="BI13" t="s">
        <v>52</v>
      </c>
      <c r="BS13" t="s">
        <v>101</v>
      </c>
      <c r="CH13">
        <v>542</v>
      </c>
      <c r="CI13">
        <v>602</v>
      </c>
      <c r="CJ13">
        <v>799</v>
      </c>
      <c r="CK13">
        <v>940</v>
      </c>
      <c r="CL13">
        <v>290</v>
      </c>
      <c r="CM13">
        <v>375</v>
      </c>
      <c r="CN13" s="2">
        <v>33</v>
      </c>
      <c r="CO13">
        <v>36</v>
      </c>
      <c r="CP13" s="2">
        <v>293</v>
      </c>
      <c r="CQ13">
        <v>375</v>
      </c>
      <c r="CR13">
        <v>790</v>
      </c>
      <c r="CS13">
        <v>840</v>
      </c>
      <c r="CT13">
        <v>249</v>
      </c>
      <c r="CU13">
        <v>320</v>
      </c>
      <c r="CV13" s="7">
        <v>9.5</v>
      </c>
      <c r="CW13" s="7">
        <v>12</v>
      </c>
    </row>
    <row r="14" spans="1:109" x14ac:dyDescent="0.25">
      <c r="A14" t="s">
        <v>106</v>
      </c>
      <c r="B14" t="s">
        <v>37</v>
      </c>
      <c r="C14" t="s">
        <v>38</v>
      </c>
      <c r="D14" t="s">
        <v>107</v>
      </c>
      <c r="E14" t="s">
        <v>2147</v>
      </c>
      <c r="F14" t="s">
        <v>74</v>
      </c>
      <c r="G14" t="s">
        <v>75</v>
      </c>
      <c r="H14">
        <v>185100</v>
      </c>
      <c r="I14" t="s">
        <v>3465</v>
      </c>
      <c r="J14" t="s">
        <v>108</v>
      </c>
      <c r="K14" t="s">
        <v>109</v>
      </c>
      <c r="L14" t="s">
        <v>44</v>
      </c>
      <c r="M14" s="7" t="s">
        <v>2243</v>
      </c>
      <c r="N14" s="7" t="s">
        <v>2427</v>
      </c>
      <c r="O14" s="7" t="s">
        <v>2428</v>
      </c>
      <c r="P14" s="7" t="s">
        <v>2429</v>
      </c>
      <c r="Q14">
        <v>30</v>
      </c>
      <c r="R14">
        <v>25</v>
      </c>
      <c r="U14">
        <v>1</v>
      </c>
      <c r="X14">
        <v>-10</v>
      </c>
      <c r="Y14">
        <v>46</v>
      </c>
      <c r="Z14">
        <v>-15</v>
      </c>
      <c r="AA14">
        <v>24</v>
      </c>
      <c r="AD14">
        <v>40</v>
      </c>
      <c r="AG14" t="s">
        <v>2925</v>
      </c>
      <c r="AH14" t="s">
        <v>63</v>
      </c>
      <c r="AN14" s="7">
        <v>6.35</v>
      </c>
      <c r="AO14" s="7">
        <v>12.7</v>
      </c>
      <c r="AP14" s="7" t="s">
        <v>3003</v>
      </c>
      <c r="AQ14" t="s">
        <v>49</v>
      </c>
      <c r="AR14" t="s">
        <v>49</v>
      </c>
      <c r="AS14" t="s">
        <v>49</v>
      </c>
      <c r="AT14" t="s">
        <v>49</v>
      </c>
      <c r="AU14" t="s">
        <v>78</v>
      </c>
      <c r="AV14" s="7" t="s">
        <v>3019</v>
      </c>
      <c r="AW14" s="7" t="s">
        <v>3020</v>
      </c>
      <c r="AX14">
        <v>20</v>
      </c>
      <c r="BE14" s="7" t="s">
        <v>3060</v>
      </c>
      <c r="BF14" t="s">
        <v>49</v>
      </c>
      <c r="BH14">
        <v>71</v>
      </c>
      <c r="BI14" t="s">
        <v>52</v>
      </c>
      <c r="BS14" t="s">
        <v>110</v>
      </c>
      <c r="CH14">
        <v>632</v>
      </c>
      <c r="CI14">
        <v>692</v>
      </c>
      <c r="CJ14">
        <v>799</v>
      </c>
      <c r="CK14">
        <v>940</v>
      </c>
      <c r="CL14">
        <v>290</v>
      </c>
      <c r="CM14">
        <v>375</v>
      </c>
      <c r="CN14" s="2">
        <v>38</v>
      </c>
      <c r="CO14">
        <v>42</v>
      </c>
      <c r="CP14" s="2">
        <v>293</v>
      </c>
      <c r="CQ14">
        <v>375</v>
      </c>
      <c r="CR14">
        <v>790</v>
      </c>
      <c r="CS14">
        <v>840</v>
      </c>
      <c r="CT14">
        <v>249</v>
      </c>
      <c r="CU14">
        <v>320</v>
      </c>
      <c r="CV14" s="7">
        <v>10</v>
      </c>
      <c r="CW14" s="7">
        <v>12.5</v>
      </c>
    </row>
    <row r="15" spans="1:109" x14ac:dyDescent="0.25">
      <c r="A15" t="s">
        <v>111</v>
      </c>
      <c r="B15" t="s">
        <v>37</v>
      </c>
      <c r="C15" t="s">
        <v>38</v>
      </c>
      <c r="D15" t="s">
        <v>112</v>
      </c>
      <c r="E15" t="s">
        <v>2147</v>
      </c>
      <c r="F15" t="s">
        <v>74</v>
      </c>
      <c r="G15" t="s">
        <v>75</v>
      </c>
      <c r="H15">
        <v>185100</v>
      </c>
      <c r="I15" t="s">
        <v>3465</v>
      </c>
      <c r="J15" t="s">
        <v>113</v>
      </c>
      <c r="K15" t="s">
        <v>114</v>
      </c>
      <c r="L15" t="s">
        <v>44</v>
      </c>
      <c r="M15" s="7" t="s">
        <v>2243</v>
      </c>
      <c r="N15" s="7" t="s">
        <v>2427</v>
      </c>
      <c r="O15" s="7" t="s">
        <v>2428</v>
      </c>
      <c r="P15" s="7" t="s">
        <v>2429</v>
      </c>
      <c r="Q15">
        <v>30</v>
      </c>
      <c r="R15">
        <v>25</v>
      </c>
      <c r="U15">
        <v>1</v>
      </c>
      <c r="X15">
        <v>-10</v>
      </c>
      <c r="Y15">
        <v>46</v>
      </c>
      <c r="Z15">
        <v>-15</v>
      </c>
      <c r="AA15">
        <v>24</v>
      </c>
      <c r="AD15">
        <v>40</v>
      </c>
      <c r="AG15" t="s">
        <v>2925</v>
      </c>
      <c r="AH15" t="s">
        <v>63</v>
      </c>
      <c r="AN15" s="7">
        <v>6.35</v>
      </c>
      <c r="AO15" s="7">
        <v>12.7</v>
      </c>
      <c r="AP15" s="7" t="s">
        <v>3003</v>
      </c>
      <c r="AQ15" t="s">
        <v>49</v>
      </c>
      <c r="AR15" t="s">
        <v>49</v>
      </c>
      <c r="AS15" t="s">
        <v>49</v>
      </c>
      <c r="AT15" t="s">
        <v>49</v>
      </c>
      <c r="AU15" t="s">
        <v>78</v>
      </c>
      <c r="AV15" s="7" t="s">
        <v>3019</v>
      </c>
      <c r="AW15" s="7" t="s">
        <v>3020</v>
      </c>
      <c r="AX15">
        <v>20</v>
      </c>
      <c r="BE15" s="7" t="s">
        <v>3060</v>
      </c>
      <c r="BF15" t="s">
        <v>49</v>
      </c>
      <c r="BH15">
        <v>71</v>
      </c>
      <c r="BI15" t="s">
        <v>52</v>
      </c>
      <c r="BS15" t="s">
        <v>110</v>
      </c>
      <c r="CH15">
        <v>632</v>
      </c>
      <c r="CI15">
        <v>692</v>
      </c>
      <c r="CJ15">
        <v>799</v>
      </c>
      <c r="CK15">
        <v>940</v>
      </c>
      <c r="CL15">
        <v>290</v>
      </c>
      <c r="CM15">
        <v>375</v>
      </c>
      <c r="CN15" s="2">
        <v>38</v>
      </c>
      <c r="CO15">
        <v>42</v>
      </c>
      <c r="CP15" s="2">
        <v>293</v>
      </c>
      <c r="CQ15">
        <v>375</v>
      </c>
      <c r="CR15">
        <v>790</v>
      </c>
      <c r="CS15">
        <v>840</v>
      </c>
      <c r="CT15">
        <v>249</v>
      </c>
      <c r="CU15">
        <v>320</v>
      </c>
      <c r="CV15" s="7">
        <v>10</v>
      </c>
      <c r="CW15" s="7">
        <v>12.5</v>
      </c>
    </row>
    <row r="16" spans="1:109" x14ac:dyDescent="0.25">
      <c r="A16" t="s">
        <v>115</v>
      </c>
      <c r="B16" t="s">
        <v>37</v>
      </c>
      <c r="C16" t="s">
        <v>38</v>
      </c>
      <c r="D16" t="s">
        <v>116</v>
      </c>
      <c r="E16" t="s">
        <v>2147</v>
      </c>
      <c r="F16" t="s">
        <v>117</v>
      </c>
      <c r="G16" t="s">
        <v>75</v>
      </c>
      <c r="H16">
        <v>88900</v>
      </c>
      <c r="I16" t="s">
        <v>3466</v>
      </c>
      <c r="J16" t="s">
        <v>118</v>
      </c>
      <c r="K16" t="s">
        <v>119</v>
      </c>
      <c r="L16" t="s">
        <v>44</v>
      </c>
      <c r="M16" s="7">
        <v>2</v>
      </c>
      <c r="N16" s="7">
        <v>2</v>
      </c>
      <c r="O16" s="7" t="s">
        <v>2430</v>
      </c>
      <c r="P16" s="7" t="s">
        <v>2431</v>
      </c>
      <c r="Q16">
        <v>20</v>
      </c>
      <c r="R16">
        <v>15</v>
      </c>
      <c r="X16">
        <v>-10</v>
      </c>
      <c r="Y16">
        <v>46</v>
      </c>
      <c r="Z16">
        <v>-15</v>
      </c>
      <c r="AA16">
        <v>24</v>
      </c>
      <c r="AD16">
        <v>12</v>
      </c>
      <c r="AG16" t="s">
        <v>2926</v>
      </c>
      <c r="AH16" t="s">
        <v>2919</v>
      </c>
      <c r="AN16" s="7">
        <v>6.35</v>
      </c>
      <c r="AO16" s="7">
        <v>9.52</v>
      </c>
      <c r="AP16" s="7" t="s">
        <v>3004</v>
      </c>
      <c r="AQ16" t="s">
        <v>49</v>
      </c>
      <c r="AR16" t="s">
        <v>49</v>
      </c>
      <c r="AS16" t="s">
        <v>49</v>
      </c>
      <c r="AT16" t="s">
        <v>49</v>
      </c>
      <c r="AU16" t="s">
        <v>78</v>
      </c>
      <c r="AV16" s="7" t="s">
        <v>3019</v>
      </c>
      <c r="AW16" s="7" t="s">
        <v>3020</v>
      </c>
      <c r="AX16">
        <v>16</v>
      </c>
      <c r="BE16" s="7" t="s">
        <v>3061</v>
      </c>
      <c r="BF16" t="s">
        <v>49</v>
      </c>
      <c r="BH16">
        <v>20</v>
      </c>
      <c r="BI16" t="s">
        <v>120</v>
      </c>
      <c r="BS16" t="s">
        <v>121</v>
      </c>
      <c r="CH16">
        <v>541</v>
      </c>
      <c r="CI16">
        <v>602</v>
      </c>
      <c r="CJ16">
        <v>663</v>
      </c>
      <c r="CK16">
        <v>804</v>
      </c>
      <c r="CL16">
        <v>290</v>
      </c>
      <c r="CM16">
        <v>375</v>
      </c>
      <c r="CN16" s="2">
        <v>22</v>
      </c>
      <c r="CO16">
        <v>25</v>
      </c>
      <c r="CP16" s="2">
        <v>270</v>
      </c>
      <c r="CQ16">
        <v>277</v>
      </c>
      <c r="CR16">
        <v>834</v>
      </c>
      <c r="CS16">
        <v>914</v>
      </c>
      <c r="CT16">
        <v>222</v>
      </c>
      <c r="CU16">
        <v>332</v>
      </c>
      <c r="CV16" s="7">
        <v>10</v>
      </c>
      <c r="CW16" s="7">
        <v>12.5</v>
      </c>
    </row>
    <row r="17" spans="1:101" x14ac:dyDescent="0.25">
      <c r="A17" t="s">
        <v>122</v>
      </c>
      <c r="B17" t="s">
        <v>37</v>
      </c>
      <c r="C17" t="s">
        <v>38</v>
      </c>
      <c r="D17" t="s">
        <v>123</v>
      </c>
      <c r="E17" t="s">
        <v>2147</v>
      </c>
      <c r="F17" t="s">
        <v>117</v>
      </c>
      <c r="G17" t="s">
        <v>75</v>
      </c>
      <c r="H17">
        <v>95100</v>
      </c>
      <c r="I17" t="s">
        <v>3466</v>
      </c>
      <c r="J17" t="s">
        <v>118</v>
      </c>
      <c r="K17" t="s">
        <v>119</v>
      </c>
      <c r="L17" t="s">
        <v>44</v>
      </c>
      <c r="M17" s="7">
        <v>2.5</v>
      </c>
      <c r="N17" s="7">
        <v>2.5</v>
      </c>
      <c r="O17" s="7" t="s">
        <v>2432</v>
      </c>
      <c r="P17" s="7" t="s">
        <v>2433</v>
      </c>
      <c r="Q17">
        <v>20</v>
      </c>
      <c r="R17">
        <v>15</v>
      </c>
      <c r="X17">
        <v>-10</v>
      </c>
      <c r="Y17">
        <v>46</v>
      </c>
      <c r="Z17">
        <v>-15</v>
      </c>
      <c r="AA17">
        <v>24</v>
      </c>
      <c r="AD17">
        <v>15</v>
      </c>
      <c r="AG17" t="s">
        <v>2926</v>
      </c>
      <c r="AH17" t="s">
        <v>2919</v>
      </c>
      <c r="AN17" s="7">
        <v>6.35</v>
      </c>
      <c r="AO17" s="7">
        <v>9.52</v>
      </c>
      <c r="AP17" s="7" t="s">
        <v>3004</v>
      </c>
      <c r="AQ17" t="s">
        <v>49</v>
      </c>
      <c r="AR17" t="s">
        <v>49</v>
      </c>
      <c r="AS17" t="s">
        <v>49</v>
      </c>
      <c r="AT17" t="s">
        <v>49</v>
      </c>
      <c r="AU17" t="s">
        <v>78</v>
      </c>
      <c r="AV17" s="7" t="s">
        <v>3019</v>
      </c>
      <c r="AW17" s="7" t="s">
        <v>3020</v>
      </c>
      <c r="AX17">
        <v>16</v>
      </c>
      <c r="BE17" s="7" t="s">
        <v>3062</v>
      </c>
      <c r="BF17" t="s">
        <v>49</v>
      </c>
      <c r="BH17">
        <v>25</v>
      </c>
      <c r="BI17" t="s">
        <v>120</v>
      </c>
      <c r="BS17" t="s">
        <v>124</v>
      </c>
      <c r="CH17">
        <v>541</v>
      </c>
      <c r="CI17">
        <v>602</v>
      </c>
      <c r="CJ17">
        <v>663</v>
      </c>
      <c r="CK17">
        <v>804</v>
      </c>
      <c r="CL17">
        <v>290</v>
      </c>
      <c r="CM17">
        <v>375</v>
      </c>
      <c r="CN17" s="2">
        <v>22</v>
      </c>
      <c r="CO17">
        <v>25</v>
      </c>
      <c r="CP17" s="2">
        <v>270</v>
      </c>
      <c r="CQ17">
        <v>277</v>
      </c>
      <c r="CR17">
        <v>834</v>
      </c>
      <c r="CS17">
        <v>914</v>
      </c>
      <c r="CT17">
        <v>222</v>
      </c>
      <c r="CU17">
        <v>332</v>
      </c>
      <c r="CV17" s="7">
        <v>10</v>
      </c>
      <c r="CW17" s="7">
        <v>12.5</v>
      </c>
    </row>
    <row r="18" spans="1:101" x14ac:dyDescent="0.25">
      <c r="A18" t="s">
        <v>125</v>
      </c>
      <c r="B18" t="s">
        <v>37</v>
      </c>
      <c r="C18" t="s">
        <v>38</v>
      </c>
      <c r="D18" t="s">
        <v>126</v>
      </c>
      <c r="E18" t="s">
        <v>2147</v>
      </c>
      <c r="F18" t="s">
        <v>117</v>
      </c>
      <c r="G18" t="s">
        <v>75</v>
      </c>
      <c r="H18">
        <v>111200</v>
      </c>
      <c r="I18" t="s">
        <v>3466</v>
      </c>
      <c r="J18" t="s">
        <v>118</v>
      </c>
      <c r="K18" t="s">
        <v>119</v>
      </c>
      <c r="L18" t="s">
        <v>44</v>
      </c>
      <c r="M18" s="7">
        <v>3.5</v>
      </c>
      <c r="N18" s="7">
        <v>3.5</v>
      </c>
      <c r="O18" s="7" t="s">
        <v>2434</v>
      </c>
      <c r="P18" s="7" t="s">
        <v>2435</v>
      </c>
      <c r="Q18">
        <v>20</v>
      </c>
      <c r="R18">
        <v>15</v>
      </c>
      <c r="X18">
        <v>-10</v>
      </c>
      <c r="Y18">
        <v>46</v>
      </c>
      <c r="Z18">
        <v>-15</v>
      </c>
      <c r="AA18">
        <v>24</v>
      </c>
      <c r="AD18">
        <v>21</v>
      </c>
      <c r="AG18" t="s">
        <v>2927</v>
      </c>
      <c r="AH18" t="s">
        <v>2928</v>
      </c>
      <c r="AN18" s="7">
        <v>6.35</v>
      </c>
      <c r="AO18" s="7">
        <v>9.52</v>
      </c>
      <c r="AP18" s="7" t="s">
        <v>3004</v>
      </c>
      <c r="AQ18" t="s">
        <v>49</v>
      </c>
      <c r="AR18" t="s">
        <v>49</v>
      </c>
      <c r="AS18" t="s">
        <v>49</v>
      </c>
      <c r="AT18" t="s">
        <v>49</v>
      </c>
      <c r="AU18" t="s">
        <v>78</v>
      </c>
      <c r="AV18" s="7" t="s">
        <v>3019</v>
      </c>
      <c r="AW18" s="7" t="s">
        <v>3020</v>
      </c>
      <c r="AX18">
        <v>16</v>
      </c>
      <c r="BE18" s="7" t="s">
        <v>3063</v>
      </c>
      <c r="BF18" t="s">
        <v>49</v>
      </c>
      <c r="BH18">
        <v>34</v>
      </c>
      <c r="BI18" t="s">
        <v>120</v>
      </c>
      <c r="BS18" t="s">
        <v>127</v>
      </c>
      <c r="CH18">
        <v>541</v>
      </c>
      <c r="CI18">
        <v>602</v>
      </c>
      <c r="CJ18">
        <v>663</v>
      </c>
      <c r="CK18">
        <v>804</v>
      </c>
      <c r="CL18">
        <v>290</v>
      </c>
      <c r="CM18">
        <v>375</v>
      </c>
      <c r="CN18" s="2">
        <v>24</v>
      </c>
      <c r="CO18">
        <v>27</v>
      </c>
      <c r="CP18" s="2">
        <v>270</v>
      </c>
      <c r="CQ18">
        <v>277</v>
      </c>
      <c r="CR18">
        <v>834</v>
      </c>
      <c r="CS18">
        <v>914</v>
      </c>
      <c r="CT18">
        <v>222</v>
      </c>
      <c r="CU18">
        <v>332</v>
      </c>
      <c r="CV18" s="7">
        <v>10</v>
      </c>
      <c r="CW18" s="7">
        <v>12.5</v>
      </c>
    </row>
    <row r="19" spans="1:101" x14ac:dyDescent="0.25">
      <c r="A19" t="s">
        <v>128</v>
      </c>
      <c r="B19" t="s">
        <v>37</v>
      </c>
      <c r="C19" t="s">
        <v>38</v>
      </c>
      <c r="D19" t="s">
        <v>129</v>
      </c>
      <c r="E19" t="s">
        <v>2147</v>
      </c>
      <c r="F19" t="s">
        <v>117</v>
      </c>
      <c r="G19" t="s">
        <v>75</v>
      </c>
      <c r="H19">
        <v>143800</v>
      </c>
      <c r="I19" t="s">
        <v>3466</v>
      </c>
      <c r="J19" t="s">
        <v>118</v>
      </c>
      <c r="K19" t="s">
        <v>119</v>
      </c>
      <c r="L19" t="s">
        <v>44</v>
      </c>
      <c r="M19" s="7">
        <v>4</v>
      </c>
      <c r="N19" s="7">
        <v>4</v>
      </c>
      <c r="O19" s="7" t="s">
        <v>2436</v>
      </c>
      <c r="P19" s="7" t="s">
        <v>2437</v>
      </c>
      <c r="Q19">
        <v>20</v>
      </c>
      <c r="R19">
        <v>15</v>
      </c>
      <c r="X19">
        <v>-10</v>
      </c>
      <c r="Y19">
        <v>46</v>
      </c>
      <c r="Z19">
        <v>-15</v>
      </c>
      <c r="AA19">
        <v>24</v>
      </c>
      <c r="AD19">
        <v>24</v>
      </c>
      <c r="AG19" t="s">
        <v>2920</v>
      </c>
      <c r="AH19" t="s">
        <v>2919</v>
      </c>
      <c r="AN19" s="7">
        <v>6.35</v>
      </c>
      <c r="AO19" s="7">
        <v>9.52</v>
      </c>
      <c r="AP19" s="7" t="s">
        <v>3004</v>
      </c>
      <c r="AQ19" t="s">
        <v>49</v>
      </c>
      <c r="AR19" t="s">
        <v>49</v>
      </c>
      <c r="AS19" t="s">
        <v>49</v>
      </c>
      <c r="AT19" t="s">
        <v>49</v>
      </c>
      <c r="AU19" t="s">
        <v>78</v>
      </c>
      <c r="AV19" s="7" t="s">
        <v>3019</v>
      </c>
      <c r="AW19" s="7" t="s">
        <v>3020</v>
      </c>
      <c r="AX19">
        <v>16</v>
      </c>
      <c r="BE19" s="7" t="s">
        <v>3064</v>
      </c>
      <c r="BF19" t="s">
        <v>49</v>
      </c>
      <c r="BH19">
        <v>42</v>
      </c>
      <c r="BI19" t="s">
        <v>120</v>
      </c>
      <c r="BS19" t="s">
        <v>130</v>
      </c>
      <c r="CH19">
        <v>542</v>
      </c>
      <c r="CI19">
        <v>602</v>
      </c>
      <c r="CJ19">
        <v>799</v>
      </c>
      <c r="CK19">
        <v>940</v>
      </c>
      <c r="CL19">
        <v>290</v>
      </c>
      <c r="CM19">
        <v>375</v>
      </c>
      <c r="CN19" s="2">
        <v>31</v>
      </c>
      <c r="CO19">
        <v>35</v>
      </c>
      <c r="CP19" s="2">
        <v>270</v>
      </c>
      <c r="CQ19">
        <v>277</v>
      </c>
      <c r="CR19">
        <v>834</v>
      </c>
      <c r="CS19">
        <v>914</v>
      </c>
      <c r="CT19">
        <v>222</v>
      </c>
      <c r="CU19">
        <v>332</v>
      </c>
      <c r="CV19" s="7">
        <v>10</v>
      </c>
      <c r="CW19" s="7">
        <v>13</v>
      </c>
    </row>
    <row r="20" spans="1:101" x14ac:dyDescent="0.25">
      <c r="A20" t="s">
        <v>131</v>
      </c>
      <c r="B20" t="s">
        <v>37</v>
      </c>
      <c r="C20" t="s">
        <v>38</v>
      </c>
      <c r="D20" t="s">
        <v>132</v>
      </c>
      <c r="E20" t="s">
        <v>2147</v>
      </c>
      <c r="F20" t="s">
        <v>117</v>
      </c>
      <c r="G20" t="s">
        <v>41</v>
      </c>
      <c r="H20">
        <v>184800</v>
      </c>
      <c r="I20" t="s">
        <v>3467</v>
      </c>
      <c r="J20" t="s">
        <v>118</v>
      </c>
      <c r="K20" t="s">
        <v>119</v>
      </c>
      <c r="L20" t="s">
        <v>44</v>
      </c>
      <c r="M20" s="7" t="s">
        <v>2244</v>
      </c>
      <c r="N20" s="7" t="s">
        <v>2438</v>
      </c>
      <c r="O20" s="7" t="s">
        <v>2439</v>
      </c>
      <c r="P20" s="7" t="s">
        <v>2440</v>
      </c>
      <c r="Q20">
        <v>25</v>
      </c>
      <c r="R20">
        <v>20</v>
      </c>
      <c r="U20">
        <v>1</v>
      </c>
      <c r="X20">
        <v>-10</v>
      </c>
      <c r="Y20">
        <v>46</v>
      </c>
      <c r="Z20">
        <v>-15</v>
      </c>
      <c r="AA20">
        <v>24</v>
      </c>
      <c r="AD20">
        <v>29</v>
      </c>
      <c r="AG20" t="s">
        <v>2929</v>
      </c>
      <c r="AH20" t="s">
        <v>2930</v>
      </c>
      <c r="AN20" s="7">
        <v>6.35</v>
      </c>
      <c r="AO20" s="7">
        <v>12.7</v>
      </c>
      <c r="AP20" s="7" t="s">
        <v>3005</v>
      </c>
      <c r="AQ20" t="s">
        <v>49</v>
      </c>
      <c r="AR20" t="s">
        <v>49</v>
      </c>
      <c r="AS20" t="s">
        <v>49</v>
      </c>
      <c r="AT20" t="s">
        <v>49</v>
      </c>
      <c r="AU20" t="s">
        <v>78</v>
      </c>
      <c r="AV20" s="7" t="s">
        <v>3021</v>
      </c>
      <c r="AW20" s="7" t="s">
        <v>3020</v>
      </c>
      <c r="AX20">
        <v>16</v>
      </c>
      <c r="BE20" s="7" t="s">
        <v>3065</v>
      </c>
      <c r="BF20" t="s">
        <v>49</v>
      </c>
      <c r="BH20">
        <v>52</v>
      </c>
      <c r="BI20" t="s">
        <v>52</v>
      </c>
      <c r="BS20" t="s">
        <v>133</v>
      </c>
      <c r="CH20">
        <v>632</v>
      </c>
      <c r="CI20">
        <v>692</v>
      </c>
      <c r="CJ20">
        <v>799</v>
      </c>
      <c r="CK20">
        <v>940</v>
      </c>
      <c r="CL20">
        <v>290</v>
      </c>
      <c r="CM20">
        <v>375</v>
      </c>
      <c r="CN20" s="2">
        <v>36</v>
      </c>
      <c r="CO20">
        <v>40</v>
      </c>
      <c r="CP20" s="2">
        <v>280</v>
      </c>
      <c r="CQ20">
        <v>346</v>
      </c>
      <c r="CR20">
        <v>980</v>
      </c>
      <c r="CS20">
        <v>1078</v>
      </c>
      <c r="CT20">
        <v>240</v>
      </c>
      <c r="CU20">
        <v>322</v>
      </c>
      <c r="CV20" s="7">
        <v>12.5</v>
      </c>
      <c r="CW20" s="7">
        <v>18</v>
      </c>
    </row>
    <row r="21" spans="1:101" x14ac:dyDescent="0.25">
      <c r="A21" t="s">
        <v>134</v>
      </c>
      <c r="B21" t="s">
        <v>37</v>
      </c>
      <c r="C21" t="s">
        <v>38</v>
      </c>
      <c r="D21" t="s">
        <v>135</v>
      </c>
      <c r="E21" t="s">
        <v>2147</v>
      </c>
      <c r="F21" t="s">
        <v>117</v>
      </c>
      <c r="G21" t="s">
        <v>41</v>
      </c>
      <c r="H21">
        <v>184800</v>
      </c>
      <c r="I21" t="s">
        <v>3468</v>
      </c>
      <c r="J21" t="s">
        <v>118</v>
      </c>
      <c r="K21" t="s">
        <v>119</v>
      </c>
      <c r="L21" t="s">
        <v>44</v>
      </c>
      <c r="M21" s="7">
        <v>5</v>
      </c>
      <c r="N21" s="7">
        <v>5</v>
      </c>
      <c r="O21" s="7" t="s">
        <v>2439</v>
      </c>
      <c r="P21" s="7" t="s">
        <v>2440</v>
      </c>
      <c r="Q21">
        <v>25</v>
      </c>
      <c r="R21">
        <v>20</v>
      </c>
      <c r="X21">
        <v>-10</v>
      </c>
      <c r="Y21">
        <v>46</v>
      </c>
      <c r="Z21">
        <v>-15</v>
      </c>
      <c r="AA21">
        <v>24</v>
      </c>
      <c r="AG21" t="s">
        <v>2929</v>
      </c>
      <c r="AH21" t="s">
        <v>2930</v>
      </c>
      <c r="AN21" s="7">
        <v>6.35</v>
      </c>
      <c r="AO21" s="7">
        <v>12.7</v>
      </c>
      <c r="AP21" s="7" t="s">
        <v>3003</v>
      </c>
      <c r="AQ21" t="s">
        <v>49</v>
      </c>
      <c r="AR21" t="s">
        <v>49</v>
      </c>
      <c r="AS21" t="s">
        <v>49</v>
      </c>
      <c r="AT21" t="s">
        <v>49</v>
      </c>
      <c r="AU21" t="s">
        <v>78</v>
      </c>
      <c r="AV21" s="7" t="s">
        <v>3021</v>
      </c>
      <c r="AW21" s="7" t="s">
        <v>3020</v>
      </c>
      <c r="AX21">
        <v>16</v>
      </c>
      <c r="BE21" s="7" t="s">
        <v>3065</v>
      </c>
      <c r="BF21" t="s">
        <v>49</v>
      </c>
      <c r="BH21">
        <v>52</v>
      </c>
      <c r="BI21" t="s">
        <v>52</v>
      </c>
      <c r="BS21" t="s">
        <v>133</v>
      </c>
      <c r="CH21">
        <v>632</v>
      </c>
      <c r="CI21">
        <v>692</v>
      </c>
      <c r="CJ21">
        <v>799</v>
      </c>
      <c r="CK21">
        <v>940</v>
      </c>
      <c r="CL21">
        <v>290</v>
      </c>
      <c r="CM21">
        <v>375</v>
      </c>
      <c r="CN21" s="2">
        <v>36</v>
      </c>
      <c r="CO21">
        <v>40</v>
      </c>
      <c r="CP21" s="2">
        <v>280</v>
      </c>
      <c r="CQ21">
        <v>322</v>
      </c>
      <c r="CR21">
        <v>980</v>
      </c>
      <c r="CS21">
        <v>1078</v>
      </c>
      <c r="CT21">
        <v>240</v>
      </c>
      <c r="CU21">
        <v>346</v>
      </c>
      <c r="CV21" s="7">
        <v>12.5</v>
      </c>
      <c r="CW21" s="7">
        <v>18</v>
      </c>
    </row>
    <row r="22" spans="1:101" x14ac:dyDescent="0.25">
      <c r="A22" t="s">
        <v>136</v>
      </c>
      <c r="B22" t="s">
        <v>37</v>
      </c>
      <c r="C22" t="s">
        <v>38</v>
      </c>
      <c r="D22" t="s">
        <v>137</v>
      </c>
      <c r="E22" t="s">
        <v>2147</v>
      </c>
      <c r="F22" t="s">
        <v>117</v>
      </c>
      <c r="G22" t="s">
        <v>41</v>
      </c>
      <c r="H22">
        <v>220300</v>
      </c>
      <c r="I22" t="s">
        <v>3467</v>
      </c>
      <c r="J22" t="s">
        <v>118</v>
      </c>
      <c r="K22" t="s">
        <v>119</v>
      </c>
      <c r="L22" t="s">
        <v>44</v>
      </c>
      <c r="M22" s="7" t="s">
        <v>2245</v>
      </c>
      <c r="N22" s="7" t="s">
        <v>2441</v>
      </c>
      <c r="O22" s="7" t="s">
        <v>2442</v>
      </c>
      <c r="P22" s="7" t="s">
        <v>2443</v>
      </c>
      <c r="Q22">
        <v>30</v>
      </c>
      <c r="R22">
        <v>25</v>
      </c>
      <c r="U22">
        <v>1</v>
      </c>
      <c r="X22">
        <v>-10</v>
      </c>
      <c r="Y22">
        <v>46</v>
      </c>
      <c r="Z22">
        <v>-15</v>
      </c>
      <c r="AA22">
        <v>24</v>
      </c>
      <c r="AD22">
        <v>40</v>
      </c>
      <c r="AG22" t="s">
        <v>2931</v>
      </c>
      <c r="AH22" t="s">
        <v>2932</v>
      </c>
      <c r="AN22" s="7">
        <v>6.35</v>
      </c>
      <c r="AO22" s="7">
        <v>12.7</v>
      </c>
      <c r="AP22" s="7" t="s">
        <v>3005</v>
      </c>
      <c r="AQ22" t="s">
        <v>49</v>
      </c>
      <c r="AR22" t="s">
        <v>49</v>
      </c>
      <c r="AS22" t="s">
        <v>49</v>
      </c>
      <c r="AT22" t="s">
        <v>49</v>
      </c>
      <c r="AU22" t="s">
        <v>78</v>
      </c>
      <c r="AV22" s="7" t="s">
        <v>3021</v>
      </c>
      <c r="AW22" s="7" t="s">
        <v>3020</v>
      </c>
      <c r="AX22">
        <v>20</v>
      </c>
      <c r="BE22" s="7" t="s">
        <v>3066</v>
      </c>
      <c r="BF22" t="s">
        <v>49</v>
      </c>
      <c r="BH22">
        <v>71</v>
      </c>
      <c r="BI22" t="s">
        <v>52</v>
      </c>
      <c r="BS22" t="s">
        <v>138</v>
      </c>
      <c r="CH22">
        <v>716</v>
      </c>
      <c r="CI22">
        <v>776</v>
      </c>
      <c r="CJ22">
        <v>820</v>
      </c>
      <c r="CK22">
        <v>961</v>
      </c>
      <c r="CL22">
        <v>315</v>
      </c>
      <c r="CM22">
        <v>450</v>
      </c>
      <c r="CN22" s="2">
        <v>42</v>
      </c>
      <c r="CO22">
        <v>46</v>
      </c>
      <c r="CP22" s="2">
        <v>280</v>
      </c>
      <c r="CQ22">
        <v>346</v>
      </c>
      <c r="CR22">
        <v>980</v>
      </c>
      <c r="CS22">
        <v>1078</v>
      </c>
      <c r="CT22">
        <v>240</v>
      </c>
      <c r="CU22">
        <v>322</v>
      </c>
      <c r="CV22" s="7">
        <v>12.5</v>
      </c>
      <c r="CW22" s="7">
        <v>18</v>
      </c>
    </row>
    <row r="23" spans="1:101" x14ac:dyDescent="0.25">
      <c r="A23" t="s">
        <v>139</v>
      </c>
      <c r="B23" t="s">
        <v>37</v>
      </c>
      <c r="C23" t="s">
        <v>38</v>
      </c>
      <c r="D23" t="s">
        <v>140</v>
      </c>
      <c r="E23" t="s">
        <v>2147</v>
      </c>
      <c r="F23" t="s">
        <v>117</v>
      </c>
      <c r="G23" t="s">
        <v>41</v>
      </c>
      <c r="H23">
        <v>220300</v>
      </c>
      <c r="I23" t="s">
        <v>3468</v>
      </c>
      <c r="J23" t="s">
        <v>118</v>
      </c>
      <c r="K23" t="s">
        <v>119</v>
      </c>
      <c r="L23" t="s">
        <v>44</v>
      </c>
      <c r="M23" s="7">
        <v>7</v>
      </c>
      <c r="N23" s="7">
        <v>7</v>
      </c>
      <c r="O23" s="7" t="s">
        <v>2442</v>
      </c>
      <c r="P23" s="7" t="s">
        <v>2443</v>
      </c>
      <c r="Q23">
        <v>30</v>
      </c>
      <c r="R23">
        <v>25</v>
      </c>
      <c r="X23">
        <v>-10</v>
      </c>
      <c r="Y23">
        <v>46</v>
      </c>
      <c r="Z23">
        <v>-15</v>
      </c>
      <c r="AA23">
        <v>24</v>
      </c>
      <c r="AG23" t="s">
        <v>2931</v>
      </c>
      <c r="AH23" t="s">
        <v>2932</v>
      </c>
      <c r="AN23" s="7">
        <v>6.35</v>
      </c>
      <c r="AO23" s="7">
        <v>12.7</v>
      </c>
      <c r="AP23" s="7" t="s">
        <v>3003</v>
      </c>
      <c r="AQ23" t="s">
        <v>49</v>
      </c>
      <c r="AR23" t="s">
        <v>49</v>
      </c>
      <c r="AS23" t="s">
        <v>49</v>
      </c>
      <c r="AT23" t="s">
        <v>49</v>
      </c>
      <c r="AU23" t="s">
        <v>78</v>
      </c>
      <c r="AV23" s="7" t="s">
        <v>3021</v>
      </c>
      <c r="AW23" s="7" t="s">
        <v>3020</v>
      </c>
      <c r="AX23">
        <v>20</v>
      </c>
      <c r="BE23" s="7" t="s">
        <v>3066</v>
      </c>
      <c r="BF23" t="s">
        <v>49</v>
      </c>
      <c r="BH23">
        <v>71</v>
      </c>
      <c r="BI23" t="s">
        <v>52</v>
      </c>
      <c r="BS23" t="s">
        <v>138</v>
      </c>
      <c r="CH23">
        <v>716</v>
      </c>
      <c r="CI23">
        <v>776</v>
      </c>
      <c r="CJ23">
        <v>820</v>
      </c>
      <c r="CK23">
        <v>961</v>
      </c>
      <c r="CL23">
        <v>315</v>
      </c>
      <c r="CM23">
        <v>450</v>
      </c>
      <c r="CN23" s="2">
        <v>42</v>
      </c>
      <c r="CO23">
        <v>46</v>
      </c>
      <c r="CP23" s="2">
        <v>280</v>
      </c>
      <c r="CQ23">
        <v>322</v>
      </c>
      <c r="CR23">
        <v>980</v>
      </c>
      <c r="CS23">
        <v>1078</v>
      </c>
      <c r="CT23">
        <v>240</v>
      </c>
      <c r="CU23">
        <v>346</v>
      </c>
      <c r="CV23" s="7">
        <v>12.5</v>
      </c>
      <c r="CW23" s="7">
        <v>18</v>
      </c>
    </row>
    <row r="24" spans="1:101" x14ac:dyDescent="0.25">
      <c r="A24" t="s">
        <v>141</v>
      </c>
      <c r="B24" t="s">
        <v>37</v>
      </c>
      <c r="C24" t="s">
        <v>38</v>
      </c>
      <c r="D24" t="s">
        <v>142</v>
      </c>
      <c r="E24" t="s">
        <v>2147</v>
      </c>
      <c r="F24" t="s">
        <v>143</v>
      </c>
      <c r="G24" t="s">
        <v>75</v>
      </c>
      <c r="H24">
        <v>104400</v>
      </c>
      <c r="I24" t="s">
        <v>3469</v>
      </c>
      <c r="J24" t="s">
        <v>144</v>
      </c>
      <c r="K24" t="s">
        <v>145</v>
      </c>
      <c r="L24" t="s">
        <v>44</v>
      </c>
      <c r="M24" s="7">
        <v>2</v>
      </c>
      <c r="N24" s="7">
        <v>2</v>
      </c>
      <c r="O24" s="7" t="s">
        <v>2430</v>
      </c>
      <c r="P24" s="7" t="s">
        <v>2431</v>
      </c>
      <c r="Q24">
        <v>20</v>
      </c>
      <c r="R24">
        <v>15</v>
      </c>
      <c r="U24">
        <v>1</v>
      </c>
      <c r="X24">
        <v>-10</v>
      </c>
      <c r="Y24">
        <v>46</v>
      </c>
      <c r="Z24">
        <v>-15</v>
      </c>
      <c r="AA24">
        <v>24</v>
      </c>
      <c r="AD24">
        <v>11</v>
      </c>
      <c r="AG24" t="s">
        <v>2926</v>
      </c>
      <c r="AH24" t="s">
        <v>2919</v>
      </c>
      <c r="AN24" s="7">
        <v>6.35</v>
      </c>
      <c r="AO24" s="7">
        <v>9.52</v>
      </c>
      <c r="AP24" s="7" t="s">
        <v>3006</v>
      </c>
      <c r="AQ24" t="s">
        <v>49</v>
      </c>
      <c r="AR24" t="s">
        <v>49</v>
      </c>
      <c r="AS24" t="s">
        <v>49</v>
      </c>
      <c r="AT24" t="s">
        <v>49</v>
      </c>
      <c r="AU24" t="s">
        <v>78</v>
      </c>
      <c r="AV24" s="7" t="s">
        <v>3019</v>
      </c>
      <c r="AW24" s="7" t="s">
        <v>3020</v>
      </c>
      <c r="AX24">
        <v>16</v>
      </c>
      <c r="BE24" s="7" t="s">
        <v>3061</v>
      </c>
      <c r="BF24" t="s">
        <v>49</v>
      </c>
      <c r="BH24">
        <v>20</v>
      </c>
      <c r="BI24" t="s">
        <v>52</v>
      </c>
      <c r="BS24" t="s">
        <v>121</v>
      </c>
      <c r="CH24">
        <v>541</v>
      </c>
      <c r="CI24">
        <v>602</v>
      </c>
      <c r="CJ24">
        <v>663</v>
      </c>
      <c r="CK24">
        <v>804</v>
      </c>
      <c r="CL24">
        <v>290</v>
      </c>
      <c r="CM24">
        <v>375</v>
      </c>
      <c r="CN24" s="2">
        <v>23</v>
      </c>
      <c r="CO24">
        <v>26</v>
      </c>
      <c r="CP24" s="2">
        <v>295</v>
      </c>
      <c r="CQ24">
        <v>357</v>
      </c>
      <c r="CR24">
        <v>950</v>
      </c>
      <c r="CS24">
        <v>1027</v>
      </c>
      <c r="CT24">
        <v>230</v>
      </c>
      <c r="CU24">
        <v>284</v>
      </c>
      <c r="CV24" s="7">
        <v>11</v>
      </c>
      <c r="CW24" s="7">
        <v>14.5</v>
      </c>
    </row>
    <row r="25" spans="1:101" x14ac:dyDescent="0.25">
      <c r="A25" t="s">
        <v>146</v>
      </c>
      <c r="B25" t="s">
        <v>37</v>
      </c>
      <c r="C25" t="s">
        <v>38</v>
      </c>
      <c r="D25" t="s">
        <v>147</v>
      </c>
      <c r="E25" t="s">
        <v>2147</v>
      </c>
      <c r="F25" t="s">
        <v>143</v>
      </c>
      <c r="G25" t="s">
        <v>75</v>
      </c>
      <c r="H25">
        <v>103100</v>
      </c>
      <c r="I25" t="s">
        <v>3469</v>
      </c>
      <c r="J25" t="s">
        <v>148</v>
      </c>
      <c r="K25" t="s">
        <v>149</v>
      </c>
      <c r="L25" t="s">
        <v>44</v>
      </c>
      <c r="M25" s="7">
        <v>2</v>
      </c>
      <c r="N25" s="7">
        <v>2</v>
      </c>
      <c r="O25" s="7" t="s">
        <v>2430</v>
      </c>
      <c r="P25" s="7" t="s">
        <v>2431</v>
      </c>
      <c r="Q25">
        <v>20</v>
      </c>
      <c r="R25">
        <v>15</v>
      </c>
      <c r="U25">
        <v>1</v>
      </c>
      <c r="X25">
        <v>-10</v>
      </c>
      <c r="Y25">
        <v>46</v>
      </c>
      <c r="Z25">
        <v>-15</v>
      </c>
      <c r="AA25">
        <v>24</v>
      </c>
      <c r="AD25">
        <v>11</v>
      </c>
      <c r="AG25" t="s">
        <v>2926</v>
      </c>
      <c r="AH25" t="s">
        <v>2919</v>
      </c>
      <c r="AN25" s="7">
        <v>6.35</v>
      </c>
      <c r="AO25" s="7">
        <v>9.52</v>
      </c>
      <c r="AP25" s="7" t="s">
        <v>3006</v>
      </c>
      <c r="AQ25" t="s">
        <v>49</v>
      </c>
      <c r="AR25" t="s">
        <v>49</v>
      </c>
      <c r="AS25" t="s">
        <v>49</v>
      </c>
      <c r="AT25" t="s">
        <v>49</v>
      </c>
      <c r="AU25" t="s">
        <v>78</v>
      </c>
      <c r="AV25" s="7" t="s">
        <v>3019</v>
      </c>
      <c r="AW25" s="7" t="s">
        <v>3020</v>
      </c>
      <c r="AX25">
        <v>16</v>
      </c>
      <c r="BE25" s="7" t="s">
        <v>3061</v>
      </c>
      <c r="BF25" t="s">
        <v>49</v>
      </c>
      <c r="BH25">
        <v>20</v>
      </c>
      <c r="BI25" t="s">
        <v>52</v>
      </c>
      <c r="BS25" t="s">
        <v>121</v>
      </c>
      <c r="CH25">
        <v>541</v>
      </c>
      <c r="CI25">
        <v>602</v>
      </c>
      <c r="CJ25">
        <v>663</v>
      </c>
      <c r="CK25">
        <v>804</v>
      </c>
      <c r="CL25">
        <v>290</v>
      </c>
      <c r="CM25">
        <v>375</v>
      </c>
      <c r="CN25" s="2">
        <v>23</v>
      </c>
      <c r="CO25">
        <v>26</v>
      </c>
      <c r="CP25" s="2">
        <v>295</v>
      </c>
      <c r="CQ25">
        <v>357</v>
      </c>
      <c r="CR25">
        <v>950</v>
      </c>
      <c r="CS25">
        <v>1027</v>
      </c>
      <c r="CT25">
        <v>230</v>
      </c>
      <c r="CU25">
        <v>284</v>
      </c>
      <c r="CV25" s="7">
        <v>11</v>
      </c>
      <c r="CW25" s="7">
        <v>14.5</v>
      </c>
    </row>
    <row r="26" spans="1:101" x14ac:dyDescent="0.25">
      <c r="A26" t="s">
        <v>150</v>
      </c>
      <c r="B26" t="s">
        <v>37</v>
      </c>
      <c r="C26" t="s">
        <v>38</v>
      </c>
      <c r="D26" t="s">
        <v>151</v>
      </c>
      <c r="E26" t="s">
        <v>2147</v>
      </c>
      <c r="F26" t="s">
        <v>143</v>
      </c>
      <c r="G26" t="s">
        <v>75</v>
      </c>
      <c r="H26">
        <v>112300</v>
      </c>
      <c r="I26" t="s">
        <v>3469</v>
      </c>
      <c r="J26" t="s">
        <v>152</v>
      </c>
      <c r="K26" t="s">
        <v>153</v>
      </c>
      <c r="L26" t="s">
        <v>44</v>
      </c>
      <c r="M26" s="7">
        <v>2.5</v>
      </c>
      <c r="N26" s="7">
        <v>2.5</v>
      </c>
      <c r="O26" s="7" t="s">
        <v>2432</v>
      </c>
      <c r="P26" s="7" t="s">
        <v>2433</v>
      </c>
      <c r="Q26">
        <v>20</v>
      </c>
      <c r="R26">
        <v>15</v>
      </c>
      <c r="U26">
        <v>1</v>
      </c>
      <c r="X26">
        <v>-10</v>
      </c>
      <c r="Y26">
        <v>46</v>
      </c>
      <c r="Z26">
        <v>-15</v>
      </c>
      <c r="AA26">
        <v>24</v>
      </c>
      <c r="AD26">
        <v>14</v>
      </c>
      <c r="AG26" t="s">
        <v>2926</v>
      </c>
      <c r="AH26" t="s">
        <v>2919</v>
      </c>
      <c r="AN26" s="7">
        <v>6.35</v>
      </c>
      <c r="AO26" s="7">
        <v>9.52</v>
      </c>
      <c r="AP26" s="7" t="s">
        <v>3006</v>
      </c>
      <c r="AQ26" t="s">
        <v>49</v>
      </c>
      <c r="AR26" t="s">
        <v>49</v>
      </c>
      <c r="AS26" t="s">
        <v>49</v>
      </c>
      <c r="AT26" t="s">
        <v>49</v>
      </c>
      <c r="AU26" t="s">
        <v>78</v>
      </c>
      <c r="AV26" s="7" t="s">
        <v>3019</v>
      </c>
      <c r="AW26" s="7" t="s">
        <v>3020</v>
      </c>
      <c r="AX26">
        <v>16</v>
      </c>
      <c r="BE26" s="7" t="s">
        <v>3062</v>
      </c>
      <c r="BF26" t="s">
        <v>49</v>
      </c>
      <c r="BH26">
        <v>25</v>
      </c>
      <c r="BI26" t="s">
        <v>52</v>
      </c>
      <c r="BS26" t="s">
        <v>124</v>
      </c>
      <c r="CH26">
        <v>541</v>
      </c>
      <c r="CI26">
        <v>602</v>
      </c>
      <c r="CJ26">
        <v>663</v>
      </c>
      <c r="CK26">
        <v>804</v>
      </c>
      <c r="CL26">
        <v>290</v>
      </c>
      <c r="CM26">
        <v>375</v>
      </c>
      <c r="CN26" s="2">
        <v>23</v>
      </c>
      <c r="CO26">
        <v>26</v>
      </c>
      <c r="CP26" s="2">
        <v>295</v>
      </c>
      <c r="CQ26">
        <v>357</v>
      </c>
      <c r="CR26">
        <v>950</v>
      </c>
      <c r="CS26">
        <v>1027</v>
      </c>
      <c r="CT26">
        <v>230</v>
      </c>
      <c r="CU26">
        <v>284</v>
      </c>
      <c r="CV26" s="7">
        <v>11</v>
      </c>
      <c r="CW26" s="7">
        <v>14.5</v>
      </c>
    </row>
    <row r="27" spans="1:101" x14ac:dyDescent="0.25">
      <c r="A27" t="s">
        <v>154</v>
      </c>
      <c r="B27" t="s">
        <v>37</v>
      </c>
      <c r="C27" t="s">
        <v>38</v>
      </c>
      <c r="D27" t="s">
        <v>155</v>
      </c>
      <c r="E27" t="s">
        <v>2147</v>
      </c>
      <c r="F27" t="s">
        <v>143</v>
      </c>
      <c r="G27" t="s">
        <v>75</v>
      </c>
      <c r="H27">
        <v>111000</v>
      </c>
      <c r="I27" t="s">
        <v>3469</v>
      </c>
      <c r="J27" t="s">
        <v>156</v>
      </c>
      <c r="K27" t="s">
        <v>157</v>
      </c>
      <c r="L27" t="s">
        <v>44</v>
      </c>
      <c r="M27" s="7">
        <v>2.5</v>
      </c>
      <c r="N27" s="7">
        <v>2.5</v>
      </c>
      <c r="O27" s="7" t="s">
        <v>2432</v>
      </c>
      <c r="P27" s="7" t="s">
        <v>2433</v>
      </c>
      <c r="Q27">
        <v>20</v>
      </c>
      <c r="R27">
        <v>15</v>
      </c>
      <c r="U27">
        <v>1</v>
      </c>
      <c r="X27">
        <v>-10</v>
      </c>
      <c r="Y27">
        <v>46</v>
      </c>
      <c r="Z27">
        <v>-15</v>
      </c>
      <c r="AA27">
        <v>24</v>
      </c>
      <c r="AD27">
        <v>14</v>
      </c>
      <c r="AG27" t="s">
        <v>2926</v>
      </c>
      <c r="AH27" t="s">
        <v>2919</v>
      </c>
      <c r="AN27" s="7">
        <v>6.35</v>
      </c>
      <c r="AO27" s="7">
        <v>9.52</v>
      </c>
      <c r="AP27" s="7" t="s">
        <v>3006</v>
      </c>
      <c r="AQ27" t="s">
        <v>49</v>
      </c>
      <c r="AR27" t="s">
        <v>49</v>
      </c>
      <c r="AS27" t="s">
        <v>49</v>
      </c>
      <c r="AT27" t="s">
        <v>49</v>
      </c>
      <c r="AU27" t="s">
        <v>78</v>
      </c>
      <c r="AV27" s="7" t="s">
        <v>3019</v>
      </c>
      <c r="AW27" s="7" t="s">
        <v>3020</v>
      </c>
      <c r="AX27">
        <v>16</v>
      </c>
      <c r="BE27" s="7" t="s">
        <v>3062</v>
      </c>
      <c r="BF27" t="s">
        <v>49</v>
      </c>
      <c r="BH27">
        <v>25</v>
      </c>
      <c r="BI27" t="s">
        <v>52</v>
      </c>
      <c r="BS27" t="s">
        <v>124</v>
      </c>
      <c r="CH27">
        <v>541</v>
      </c>
      <c r="CI27">
        <v>602</v>
      </c>
      <c r="CJ27">
        <v>663</v>
      </c>
      <c r="CK27">
        <v>804</v>
      </c>
      <c r="CL27">
        <v>290</v>
      </c>
      <c r="CM27">
        <v>375</v>
      </c>
      <c r="CN27" s="2">
        <v>23</v>
      </c>
      <c r="CO27">
        <v>26</v>
      </c>
      <c r="CP27" s="2">
        <v>295</v>
      </c>
      <c r="CQ27">
        <v>357</v>
      </c>
      <c r="CR27">
        <v>950</v>
      </c>
      <c r="CS27">
        <v>1027</v>
      </c>
      <c r="CT27">
        <v>230</v>
      </c>
      <c r="CU27">
        <v>284</v>
      </c>
      <c r="CV27" s="7">
        <v>11</v>
      </c>
      <c r="CW27" s="7">
        <v>14.5</v>
      </c>
    </row>
    <row r="28" spans="1:101" x14ac:dyDescent="0.25">
      <c r="A28" t="s">
        <v>158</v>
      </c>
      <c r="B28" t="s">
        <v>37</v>
      </c>
      <c r="C28" t="s">
        <v>38</v>
      </c>
      <c r="D28" t="s">
        <v>159</v>
      </c>
      <c r="E28" t="s">
        <v>2147</v>
      </c>
      <c r="F28" t="s">
        <v>143</v>
      </c>
      <c r="G28" t="s">
        <v>75</v>
      </c>
      <c r="H28">
        <v>133000</v>
      </c>
      <c r="I28" t="s">
        <v>3469</v>
      </c>
      <c r="J28" t="s">
        <v>160</v>
      </c>
      <c r="K28" t="s">
        <v>161</v>
      </c>
      <c r="L28" t="s">
        <v>44</v>
      </c>
      <c r="M28" s="7">
        <v>3.5</v>
      </c>
      <c r="N28" s="7">
        <v>3.5</v>
      </c>
      <c r="O28" s="7" t="s">
        <v>2434</v>
      </c>
      <c r="P28" s="7" t="s">
        <v>2435</v>
      </c>
      <c r="Q28">
        <v>20</v>
      </c>
      <c r="R28">
        <v>15</v>
      </c>
      <c r="U28">
        <v>1</v>
      </c>
      <c r="X28">
        <v>-10</v>
      </c>
      <c r="Y28">
        <v>46</v>
      </c>
      <c r="Z28">
        <v>-15</v>
      </c>
      <c r="AA28">
        <v>24</v>
      </c>
      <c r="AD28">
        <v>19</v>
      </c>
      <c r="AG28" t="s">
        <v>2927</v>
      </c>
      <c r="AH28" t="s">
        <v>2928</v>
      </c>
      <c r="AN28" s="7">
        <v>6.35</v>
      </c>
      <c r="AO28" s="7">
        <v>9.52</v>
      </c>
      <c r="AP28" s="7" t="s">
        <v>3006</v>
      </c>
      <c r="AQ28" t="s">
        <v>49</v>
      </c>
      <c r="AR28" t="s">
        <v>49</v>
      </c>
      <c r="AS28" t="s">
        <v>49</v>
      </c>
      <c r="AT28" t="s">
        <v>49</v>
      </c>
      <c r="AU28" t="s">
        <v>78</v>
      </c>
      <c r="AV28" s="7" t="s">
        <v>3019</v>
      </c>
      <c r="AW28" s="7" t="s">
        <v>3020</v>
      </c>
      <c r="AX28">
        <v>16</v>
      </c>
      <c r="BE28" s="7" t="s">
        <v>3063</v>
      </c>
      <c r="BF28" t="s">
        <v>49</v>
      </c>
      <c r="BH28">
        <v>34</v>
      </c>
      <c r="BI28" t="s">
        <v>52</v>
      </c>
      <c r="BS28" t="s">
        <v>127</v>
      </c>
      <c r="CH28">
        <v>541</v>
      </c>
      <c r="CI28">
        <v>602</v>
      </c>
      <c r="CJ28">
        <v>663</v>
      </c>
      <c r="CK28">
        <v>804</v>
      </c>
      <c r="CL28">
        <v>290</v>
      </c>
      <c r="CM28">
        <v>375</v>
      </c>
      <c r="CN28" s="2">
        <v>25</v>
      </c>
      <c r="CO28">
        <v>29</v>
      </c>
      <c r="CP28" s="2">
        <v>295</v>
      </c>
      <c r="CQ28">
        <v>357</v>
      </c>
      <c r="CR28">
        <v>950</v>
      </c>
      <c r="CS28">
        <v>1027</v>
      </c>
      <c r="CT28">
        <v>230</v>
      </c>
      <c r="CU28">
        <v>284</v>
      </c>
      <c r="CV28" s="7">
        <v>11</v>
      </c>
      <c r="CW28" s="7">
        <v>14.5</v>
      </c>
    </row>
    <row r="29" spans="1:101" x14ac:dyDescent="0.25">
      <c r="A29" t="s">
        <v>162</v>
      </c>
      <c r="B29" t="s">
        <v>37</v>
      </c>
      <c r="C29" t="s">
        <v>38</v>
      </c>
      <c r="D29" t="s">
        <v>163</v>
      </c>
      <c r="E29" t="s">
        <v>2147</v>
      </c>
      <c r="F29" t="s">
        <v>143</v>
      </c>
      <c r="G29" t="s">
        <v>75</v>
      </c>
      <c r="H29">
        <v>131300</v>
      </c>
      <c r="I29" t="s">
        <v>3469</v>
      </c>
      <c r="J29" t="s">
        <v>164</v>
      </c>
      <c r="K29" t="s">
        <v>165</v>
      </c>
      <c r="L29" t="s">
        <v>44</v>
      </c>
      <c r="M29" s="7">
        <v>3.5</v>
      </c>
      <c r="N29" s="7">
        <v>3.5</v>
      </c>
      <c r="O29" s="7" t="s">
        <v>2434</v>
      </c>
      <c r="P29" s="7" t="s">
        <v>2435</v>
      </c>
      <c r="Q29">
        <v>20</v>
      </c>
      <c r="R29">
        <v>15</v>
      </c>
      <c r="U29">
        <v>1</v>
      </c>
      <c r="X29">
        <v>-10</v>
      </c>
      <c r="Y29">
        <v>46</v>
      </c>
      <c r="Z29">
        <v>-15</v>
      </c>
      <c r="AA29">
        <v>24</v>
      </c>
      <c r="AD29">
        <v>19</v>
      </c>
      <c r="AG29" t="s">
        <v>2927</v>
      </c>
      <c r="AH29" t="s">
        <v>2928</v>
      </c>
      <c r="AN29" s="7">
        <v>6.35</v>
      </c>
      <c r="AO29" s="7">
        <v>9.52</v>
      </c>
      <c r="AP29" s="7" t="s">
        <v>3006</v>
      </c>
      <c r="AQ29" t="s">
        <v>49</v>
      </c>
      <c r="AR29" t="s">
        <v>49</v>
      </c>
      <c r="AS29" t="s">
        <v>49</v>
      </c>
      <c r="AT29" t="s">
        <v>49</v>
      </c>
      <c r="AU29" t="s">
        <v>78</v>
      </c>
      <c r="AV29" s="7" t="s">
        <v>3019</v>
      </c>
      <c r="AW29" s="7" t="s">
        <v>3020</v>
      </c>
      <c r="AX29">
        <v>16</v>
      </c>
      <c r="BE29" s="7" t="s">
        <v>3063</v>
      </c>
      <c r="BF29" t="s">
        <v>49</v>
      </c>
      <c r="BH29">
        <v>34</v>
      </c>
      <c r="BI29" t="s">
        <v>52</v>
      </c>
      <c r="BS29" t="s">
        <v>127</v>
      </c>
      <c r="CH29">
        <v>541</v>
      </c>
      <c r="CI29">
        <v>602</v>
      </c>
      <c r="CJ29">
        <v>663</v>
      </c>
      <c r="CK29">
        <v>804</v>
      </c>
      <c r="CL29">
        <v>290</v>
      </c>
      <c r="CM29">
        <v>375</v>
      </c>
      <c r="CN29" s="2">
        <v>25</v>
      </c>
      <c r="CO29">
        <v>29</v>
      </c>
      <c r="CP29" s="2">
        <v>295</v>
      </c>
      <c r="CQ29">
        <v>357</v>
      </c>
      <c r="CR29">
        <v>950</v>
      </c>
      <c r="CS29">
        <v>1027</v>
      </c>
      <c r="CT29">
        <v>230</v>
      </c>
      <c r="CU29">
        <v>284</v>
      </c>
      <c r="CV29" s="7">
        <v>11</v>
      </c>
      <c r="CW29" s="7">
        <v>14.5</v>
      </c>
    </row>
    <row r="30" spans="1:101" x14ac:dyDescent="0.25">
      <c r="A30" t="s">
        <v>166</v>
      </c>
      <c r="B30" t="s">
        <v>37</v>
      </c>
      <c r="C30" t="s">
        <v>38</v>
      </c>
      <c r="D30" t="s">
        <v>167</v>
      </c>
      <c r="E30" t="s">
        <v>2147</v>
      </c>
      <c r="F30" t="s">
        <v>143</v>
      </c>
      <c r="G30" t="s">
        <v>75</v>
      </c>
      <c r="H30">
        <v>173400</v>
      </c>
      <c r="I30" t="s">
        <v>3469</v>
      </c>
      <c r="J30" t="s">
        <v>168</v>
      </c>
      <c r="K30" t="s">
        <v>169</v>
      </c>
      <c r="L30" t="s">
        <v>44</v>
      </c>
      <c r="M30" s="7">
        <v>4</v>
      </c>
      <c r="N30" s="7">
        <v>4</v>
      </c>
      <c r="O30" s="7" t="s">
        <v>2436</v>
      </c>
      <c r="P30" s="7" t="s">
        <v>2437</v>
      </c>
      <c r="Q30">
        <v>20</v>
      </c>
      <c r="R30">
        <v>15</v>
      </c>
      <c r="U30">
        <v>1</v>
      </c>
      <c r="X30">
        <v>-10</v>
      </c>
      <c r="Y30">
        <v>46</v>
      </c>
      <c r="Z30">
        <v>-15</v>
      </c>
      <c r="AA30">
        <v>24</v>
      </c>
      <c r="AD30">
        <v>24</v>
      </c>
      <c r="AG30" t="s">
        <v>2920</v>
      </c>
      <c r="AH30" t="s">
        <v>2919</v>
      </c>
      <c r="AN30" s="7">
        <v>6.35</v>
      </c>
      <c r="AO30" s="7">
        <v>9.52</v>
      </c>
      <c r="AP30" s="7" t="s">
        <v>3006</v>
      </c>
      <c r="AQ30" t="s">
        <v>49</v>
      </c>
      <c r="AR30" t="s">
        <v>49</v>
      </c>
      <c r="AS30" t="s">
        <v>49</v>
      </c>
      <c r="AT30" t="s">
        <v>49</v>
      </c>
      <c r="AU30" t="s">
        <v>78</v>
      </c>
      <c r="AV30" s="7" t="s">
        <v>3019</v>
      </c>
      <c r="AW30" s="7" t="s">
        <v>3020</v>
      </c>
      <c r="AX30">
        <v>16</v>
      </c>
      <c r="BE30" s="7" t="s">
        <v>3064</v>
      </c>
      <c r="BF30" t="s">
        <v>49</v>
      </c>
      <c r="BH30">
        <v>42</v>
      </c>
      <c r="BI30" t="s">
        <v>52</v>
      </c>
      <c r="BS30" t="s">
        <v>130</v>
      </c>
      <c r="CH30">
        <v>542</v>
      </c>
      <c r="CI30">
        <v>602</v>
      </c>
      <c r="CJ30">
        <v>799</v>
      </c>
      <c r="CK30">
        <v>940</v>
      </c>
      <c r="CL30">
        <v>290</v>
      </c>
      <c r="CM30">
        <v>375</v>
      </c>
      <c r="CN30" s="2">
        <v>31</v>
      </c>
      <c r="CO30">
        <v>35</v>
      </c>
      <c r="CP30" s="2">
        <v>295</v>
      </c>
      <c r="CQ30">
        <v>357</v>
      </c>
      <c r="CR30">
        <v>950</v>
      </c>
      <c r="CS30">
        <v>1027</v>
      </c>
      <c r="CT30">
        <v>230</v>
      </c>
      <c r="CU30">
        <v>284</v>
      </c>
      <c r="CV30" s="7">
        <v>11.5</v>
      </c>
      <c r="CW30" s="7">
        <v>15</v>
      </c>
    </row>
    <row r="31" spans="1:101" x14ac:dyDescent="0.25">
      <c r="A31" t="s">
        <v>170</v>
      </c>
      <c r="B31" t="s">
        <v>37</v>
      </c>
      <c r="C31" t="s">
        <v>38</v>
      </c>
      <c r="D31" t="s">
        <v>171</v>
      </c>
      <c r="E31" t="s">
        <v>2147</v>
      </c>
      <c r="F31" t="s">
        <v>143</v>
      </c>
      <c r="G31" t="s">
        <v>75</v>
      </c>
      <c r="H31">
        <v>171700</v>
      </c>
      <c r="I31" t="s">
        <v>3469</v>
      </c>
      <c r="J31" t="s">
        <v>172</v>
      </c>
      <c r="K31" t="s">
        <v>173</v>
      </c>
      <c r="L31" t="s">
        <v>44</v>
      </c>
      <c r="M31" s="7">
        <v>4</v>
      </c>
      <c r="N31" s="7">
        <v>4</v>
      </c>
      <c r="O31" s="7" t="s">
        <v>2436</v>
      </c>
      <c r="P31" s="7" t="s">
        <v>2437</v>
      </c>
      <c r="Q31">
        <v>20</v>
      </c>
      <c r="R31">
        <v>15</v>
      </c>
      <c r="U31">
        <v>1</v>
      </c>
      <c r="X31">
        <v>-10</v>
      </c>
      <c r="Y31">
        <v>46</v>
      </c>
      <c r="Z31">
        <v>-15</v>
      </c>
      <c r="AA31">
        <v>24</v>
      </c>
      <c r="AD31">
        <v>24</v>
      </c>
      <c r="AG31" t="s">
        <v>2920</v>
      </c>
      <c r="AH31" t="s">
        <v>2919</v>
      </c>
      <c r="AN31" s="7">
        <v>6.35</v>
      </c>
      <c r="AO31" s="7">
        <v>9.52</v>
      </c>
      <c r="AP31" s="7" t="s">
        <v>3006</v>
      </c>
      <c r="AQ31" t="s">
        <v>49</v>
      </c>
      <c r="AR31" t="s">
        <v>49</v>
      </c>
      <c r="AS31" t="s">
        <v>49</v>
      </c>
      <c r="AT31" t="s">
        <v>49</v>
      </c>
      <c r="AU31" t="s">
        <v>78</v>
      </c>
      <c r="AV31" s="7" t="s">
        <v>3019</v>
      </c>
      <c r="AW31" s="7" t="s">
        <v>3020</v>
      </c>
      <c r="AX31">
        <v>16</v>
      </c>
      <c r="BE31" s="7" t="s">
        <v>3064</v>
      </c>
      <c r="BF31" t="s">
        <v>49</v>
      </c>
      <c r="BH31">
        <v>42</v>
      </c>
      <c r="BI31" t="s">
        <v>52</v>
      </c>
      <c r="BS31" t="s">
        <v>130</v>
      </c>
      <c r="CH31">
        <v>542</v>
      </c>
      <c r="CI31">
        <v>602</v>
      </c>
      <c r="CJ31">
        <v>799</v>
      </c>
      <c r="CK31">
        <v>940</v>
      </c>
      <c r="CL31">
        <v>290</v>
      </c>
      <c r="CM31">
        <v>375</v>
      </c>
      <c r="CN31" s="2">
        <v>31</v>
      </c>
      <c r="CO31">
        <v>35</v>
      </c>
      <c r="CP31" s="2">
        <v>295</v>
      </c>
      <c r="CQ31">
        <v>357</v>
      </c>
      <c r="CR31">
        <v>950</v>
      </c>
      <c r="CS31">
        <v>1027</v>
      </c>
      <c r="CT31">
        <v>230</v>
      </c>
      <c r="CU31">
        <v>284</v>
      </c>
      <c r="CV31" s="7">
        <v>11.5</v>
      </c>
      <c r="CW31" s="7">
        <v>15</v>
      </c>
    </row>
    <row r="32" spans="1:101" x14ac:dyDescent="0.25">
      <c r="A32" t="s">
        <v>174</v>
      </c>
      <c r="B32" t="s">
        <v>37</v>
      </c>
      <c r="C32" t="s">
        <v>38</v>
      </c>
      <c r="D32" t="s">
        <v>175</v>
      </c>
      <c r="E32" t="s">
        <v>2147</v>
      </c>
      <c r="F32" t="s">
        <v>176</v>
      </c>
      <c r="G32" t="s">
        <v>75</v>
      </c>
      <c r="H32">
        <v>259100</v>
      </c>
      <c r="I32" t="s">
        <v>3470</v>
      </c>
      <c r="J32" t="s">
        <v>177</v>
      </c>
      <c r="K32" t="s">
        <v>178</v>
      </c>
      <c r="L32" t="s">
        <v>44</v>
      </c>
      <c r="M32" s="7" t="s">
        <v>2246</v>
      </c>
      <c r="N32" s="7" t="s">
        <v>2444</v>
      </c>
      <c r="O32" s="7">
        <v>0.46</v>
      </c>
      <c r="P32" s="7">
        <v>0.63</v>
      </c>
      <c r="Q32">
        <v>15</v>
      </c>
      <c r="R32">
        <v>10</v>
      </c>
      <c r="U32">
        <v>1</v>
      </c>
      <c r="X32">
        <v>-10</v>
      </c>
      <c r="Y32">
        <v>43</v>
      </c>
      <c r="Z32">
        <v>-15</v>
      </c>
      <c r="AA32">
        <v>24</v>
      </c>
      <c r="AC32" t="s">
        <v>179</v>
      </c>
      <c r="AD32">
        <v>14</v>
      </c>
      <c r="AG32" t="s">
        <v>2933</v>
      </c>
      <c r="AH32" t="s">
        <v>2934</v>
      </c>
      <c r="AI32" t="s">
        <v>180</v>
      </c>
      <c r="AJ32">
        <v>220</v>
      </c>
      <c r="AK32" t="s">
        <v>181</v>
      </c>
      <c r="AM32">
        <v>220</v>
      </c>
      <c r="AN32" s="7">
        <v>6.35</v>
      </c>
      <c r="AO32" s="7">
        <v>9.52</v>
      </c>
      <c r="AP32" s="7" t="s">
        <v>3003</v>
      </c>
      <c r="AQ32" t="s">
        <v>49</v>
      </c>
      <c r="AR32" t="s">
        <v>49</v>
      </c>
      <c r="AS32" t="s">
        <v>49</v>
      </c>
      <c r="AT32" t="s">
        <v>49</v>
      </c>
      <c r="AU32" t="s">
        <v>78</v>
      </c>
      <c r="AV32" s="7" t="s">
        <v>3021</v>
      </c>
      <c r="AW32" s="7" t="s">
        <v>3020</v>
      </c>
      <c r="AX32">
        <v>16</v>
      </c>
      <c r="BE32" s="7" t="s">
        <v>3067</v>
      </c>
      <c r="BF32" t="s">
        <v>49</v>
      </c>
      <c r="BG32" t="s">
        <v>182</v>
      </c>
      <c r="BH32">
        <v>25</v>
      </c>
      <c r="BI32" t="s">
        <v>52</v>
      </c>
      <c r="BS32" t="s">
        <v>183</v>
      </c>
      <c r="CH32">
        <v>704</v>
      </c>
      <c r="CI32">
        <v>786</v>
      </c>
      <c r="CJ32">
        <v>820</v>
      </c>
      <c r="CK32">
        <v>965</v>
      </c>
      <c r="CL32">
        <v>315</v>
      </c>
      <c r="CM32">
        <v>426</v>
      </c>
      <c r="CN32" s="2">
        <v>41</v>
      </c>
      <c r="CO32">
        <v>46</v>
      </c>
      <c r="CP32" s="2">
        <v>293</v>
      </c>
      <c r="CQ32">
        <v>376</v>
      </c>
      <c r="CR32">
        <v>786</v>
      </c>
      <c r="CS32">
        <v>877</v>
      </c>
      <c r="CT32">
        <v>378</v>
      </c>
      <c r="CU32">
        <v>454</v>
      </c>
      <c r="CV32" s="7">
        <v>20</v>
      </c>
      <c r="CW32" s="7">
        <v>24</v>
      </c>
    </row>
    <row r="33" spans="1:101" x14ac:dyDescent="0.25">
      <c r="A33" t="s">
        <v>184</v>
      </c>
      <c r="B33" t="s">
        <v>37</v>
      </c>
      <c r="C33" t="s">
        <v>38</v>
      </c>
      <c r="D33" t="s">
        <v>185</v>
      </c>
      <c r="E33" t="s">
        <v>2147</v>
      </c>
      <c r="F33" t="s">
        <v>176</v>
      </c>
      <c r="G33" t="s">
        <v>75</v>
      </c>
      <c r="H33">
        <v>288500</v>
      </c>
      <c r="I33" t="s">
        <v>3471</v>
      </c>
      <c r="J33" t="s">
        <v>186</v>
      </c>
      <c r="K33" t="s">
        <v>187</v>
      </c>
      <c r="L33" t="s">
        <v>44</v>
      </c>
      <c r="M33" s="7" t="s">
        <v>2247</v>
      </c>
      <c r="N33" s="7" t="s">
        <v>2445</v>
      </c>
      <c r="O33" s="7">
        <v>0.67</v>
      </c>
      <c r="P33" s="7">
        <v>1.02</v>
      </c>
      <c r="Q33">
        <v>15</v>
      </c>
      <c r="R33">
        <v>10</v>
      </c>
      <c r="U33">
        <v>1</v>
      </c>
      <c r="X33">
        <v>-10</v>
      </c>
      <c r="Y33">
        <v>43</v>
      </c>
      <c r="Z33">
        <v>-15</v>
      </c>
      <c r="AA33">
        <v>24</v>
      </c>
      <c r="AC33" t="s">
        <v>188</v>
      </c>
      <c r="AD33">
        <v>19</v>
      </c>
      <c r="AG33" t="s">
        <v>2933</v>
      </c>
      <c r="AH33" t="s">
        <v>2934</v>
      </c>
      <c r="AI33" t="s">
        <v>189</v>
      </c>
      <c r="AJ33">
        <v>220</v>
      </c>
      <c r="AK33" t="s">
        <v>190</v>
      </c>
      <c r="AM33">
        <v>220</v>
      </c>
      <c r="AN33" s="7">
        <v>6.35</v>
      </c>
      <c r="AO33" s="7">
        <v>9.52</v>
      </c>
      <c r="AP33" s="7" t="s">
        <v>3003</v>
      </c>
      <c r="AQ33" t="s">
        <v>49</v>
      </c>
      <c r="AR33" t="s">
        <v>49</v>
      </c>
      <c r="AS33" t="s">
        <v>49</v>
      </c>
      <c r="AT33" t="s">
        <v>49</v>
      </c>
      <c r="AU33" t="s">
        <v>78</v>
      </c>
      <c r="AV33" s="7" t="s">
        <v>191</v>
      </c>
      <c r="AW33" s="7" t="s">
        <v>3020</v>
      </c>
      <c r="AX33">
        <v>20</v>
      </c>
      <c r="BE33" s="7" t="s">
        <v>3068</v>
      </c>
      <c r="BF33" t="s">
        <v>49</v>
      </c>
      <c r="BG33" t="s">
        <v>182</v>
      </c>
      <c r="BH33">
        <v>34</v>
      </c>
      <c r="BI33" t="s">
        <v>52</v>
      </c>
      <c r="BS33" t="s">
        <v>183</v>
      </c>
      <c r="CH33">
        <v>704</v>
      </c>
      <c r="CI33">
        <v>786</v>
      </c>
      <c r="CJ33">
        <v>820</v>
      </c>
      <c r="CK33">
        <v>965</v>
      </c>
      <c r="CL33">
        <v>315</v>
      </c>
      <c r="CM33">
        <v>426</v>
      </c>
      <c r="CN33" s="2">
        <v>41</v>
      </c>
      <c r="CO33">
        <v>46</v>
      </c>
      <c r="CP33" s="2">
        <v>293</v>
      </c>
      <c r="CQ33">
        <v>376</v>
      </c>
      <c r="CR33">
        <v>786</v>
      </c>
      <c r="CS33">
        <v>877</v>
      </c>
      <c r="CT33">
        <v>378</v>
      </c>
      <c r="CU33">
        <v>454</v>
      </c>
      <c r="CV33" s="7">
        <v>20</v>
      </c>
      <c r="CW33" s="7">
        <v>24</v>
      </c>
    </row>
    <row r="34" spans="1:101" x14ac:dyDescent="0.25">
      <c r="A34" t="s">
        <v>192</v>
      </c>
      <c r="B34" t="s">
        <v>37</v>
      </c>
      <c r="C34" t="s">
        <v>38</v>
      </c>
      <c r="D34" t="s">
        <v>193</v>
      </c>
      <c r="E34" t="s">
        <v>2147</v>
      </c>
      <c r="F34" t="s">
        <v>194</v>
      </c>
      <c r="G34" t="s">
        <v>75</v>
      </c>
      <c r="H34">
        <v>184800</v>
      </c>
      <c r="I34" t="s">
        <v>3472</v>
      </c>
      <c r="J34" t="s">
        <v>195</v>
      </c>
      <c r="K34" t="s">
        <v>196</v>
      </c>
      <c r="L34" t="s">
        <v>44</v>
      </c>
      <c r="M34" s="7" t="s">
        <v>2248</v>
      </c>
      <c r="N34" s="7" t="s">
        <v>2446</v>
      </c>
      <c r="O34" s="7">
        <v>1.52</v>
      </c>
      <c r="P34" s="7">
        <v>1.71</v>
      </c>
      <c r="Q34">
        <v>25</v>
      </c>
      <c r="R34">
        <v>20</v>
      </c>
      <c r="U34">
        <v>1</v>
      </c>
      <c r="X34">
        <v>-10</v>
      </c>
      <c r="Y34">
        <v>46</v>
      </c>
      <c r="Z34">
        <v>-15</v>
      </c>
      <c r="AA34">
        <v>24</v>
      </c>
      <c r="AC34" t="s">
        <v>197</v>
      </c>
      <c r="AD34">
        <v>29</v>
      </c>
      <c r="AG34" t="s">
        <v>2935</v>
      </c>
      <c r="AH34" t="s">
        <v>2936</v>
      </c>
      <c r="AI34" t="s">
        <v>198</v>
      </c>
      <c r="AJ34">
        <v>220</v>
      </c>
      <c r="AK34" t="s">
        <v>199</v>
      </c>
      <c r="AL34" t="s">
        <v>200</v>
      </c>
      <c r="AM34">
        <v>220</v>
      </c>
      <c r="AN34" s="7">
        <v>6.35</v>
      </c>
      <c r="AO34" s="7">
        <v>12.7</v>
      </c>
      <c r="AP34" s="7" t="s">
        <v>3007</v>
      </c>
      <c r="AQ34" t="s">
        <v>49</v>
      </c>
      <c r="AR34" t="s">
        <v>49</v>
      </c>
      <c r="AS34" t="s">
        <v>49</v>
      </c>
      <c r="AT34" t="s">
        <v>49</v>
      </c>
      <c r="AU34" t="s">
        <v>50</v>
      </c>
      <c r="AV34" s="7" t="s">
        <v>191</v>
      </c>
      <c r="AW34" s="7" t="s">
        <v>3020</v>
      </c>
      <c r="AX34">
        <v>20</v>
      </c>
      <c r="BE34" s="7" t="s">
        <v>3069</v>
      </c>
      <c r="BF34" t="s">
        <v>49</v>
      </c>
      <c r="BG34" t="s">
        <v>51</v>
      </c>
      <c r="BH34">
        <v>49</v>
      </c>
      <c r="BI34" t="s">
        <v>52</v>
      </c>
      <c r="BS34" t="s">
        <v>201</v>
      </c>
      <c r="CH34">
        <v>620</v>
      </c>
      <c r="CI34">
        <v>712</v>
      </c>
      <c r="CJ34">
        <v>790</v>
      </c>
      <c r="CK34">
        <v>935</v>
      </c>
      <c r="CL34">
        <v>290</v>
      </c>
      <c r="CM34">
        <v>400</v>
      </c>
      <c r="CN34" s="2">
        <v>41</v>
      </c>
      <c r="CO34">
        <v>45</v>
      </c>
      <c r="CP34" s="2">
        <v>320</v>
      </c>
      <c r="CQ34">
        <v>420</v>
      </c>
      <c r="CR34">
        <v>998</v>
      </c>
      <c r="CS34">
        <v>1090</v>
      </c>
      <c r="CT34">
        <v>238</v>
      </c>
      <c r="CU34">
        <v>329</v>
      </c>
      <c r="CV34" s="7">
        <v>14</v>
      </c>
      <c r="CW34" s="7">
        <v>18</v>
      </c>
    </row>
    <row r="35" spans="1:101" x14ac:dyDescent="0.25">
      <c r="A35" t="s">
        <v>202</v>
      </c>
      <c r="B35" t="s">
        <v>37</v>
      </c>
      <c r="C35" t="s">
        <v>38</v>
      </c>
      <c r="D35" t="s">
        <v>203</v>
      </c>
      <c r="E35" t="s">
        <v>2147</v>
      </c>
      <c r="F35" t="s">
        <v>194</v>
      </c>
      <c r="G35" t="s">
        <v>75</v>
      </c>
      <c r="H35">
        <v>302500</v>
      </c>
      <c r="I35" t="s">
        <v>3473</v>
      </c>
      <c r="J35" t="s">
        <v>204</v>
      </c>
      <c r="K35" t="s">
        <v>205</v>
      </c>
      <c r="L35" t="s">
        <v>44</v>
      </c>
      <c r="M35" s="7" t="s">
        <v>2249</v>
      </c>
      <c r="N35" s="7" t="s">
        <v>2447</v>
      </c>
      <c r="O35" s="7">
        <v>2.4900000000000002</v>
      </c>
      <c r="P35" s="7">
        <v>2.44</v>
      </c>
      <c r="Q35">
        <v>50</v>
      </c>
      <c r="R35">
        <v>30</v>
      </c>
      <c r="U35">
        <v>1</v>
      </c>
      <c r="X35">
        <v>-10</v>
      </c>
      <c r="Y35">
        <v>46</v>
      </c>
      <c r="Z35">
        <v>-15</v>
      </c>
      <c r="AA35">
        <v>24</v>
      </c>
      <c r="AC35" t="s">
        <v>206</v>
      </c>
      <c r="AD35">
        <v>45</v>
      </c>
      <c r="AG35" t="s">
        <v>2937</v>
      </c>
      <c r="AH35" t="s">
        <v>2938</v>
      </c>
      <c r="AI35" t="s">
        <v>207</v>
      </c>
      <c r="AJ35">
        <v>220</v>
      </c>
      <c r="AK35" t="s">
        <v>208</v>
      </c>
      <c r="AL35" t="s">
        <v>200</v>
      </c>
      <c r="AM35">
        <v>220</v>
      </c>
      <c r="AN35" s="7">
        <v>9.52</v>
      </c>
      <c r="AO35" s="7">
        <v>15.88</v>
      </c>
      <c r="AP35" s="7" t="s">
        <v>3007</v>
      </c>
      <c r="AQ35" t="s">
        <v>49</v>
      </c>
      <c r="AR35" t="s">
        <v>49</v>
      </c>
      <c r="AS35" t="s">
        <v>49</v>
      </c>
      <c r="AT35" t="s">
        <v>49</v>
      </c>
      <c r="AU35" t="s">
        <v>50</v>
      </c>
      <c r="AV35" s="7" t="s">
        <v>191</v>
      </c>
      <c r="AW35" s="7" t="s">
        <v>3020</v>
      </c>
      <c r="AX35">
        <v>30</v>
      </c>
      <c r="BE35" s="7" t="s">
        <v>3070</v>
      </c>
      <c r="BF35" t="s">
        <v>49</v>
      </c>
      <c r="BG35" t="s">
        <v>209</v>
      </c>
      <c r="BH35">
        <v>76</v>
      </c>
      <c r="BI35" t="s">
        <v>52</v>
      </c>
      <c r="BS35" t="s">
        <v>210</v>
      </c>
      <c r="CH35">
        <v>830</v>
      </c>
      <c r="CI35">
        <v>1000</v>
      </c>
      <c r="CJ35">
        <v>900</v>
      </c>
      <c r="CK35">
        <v>1050</v>
      </c>
      <c r="CL35">
        <v>330</v>
      </c>
      <c r="CM35">
        <v>445</v>
      </c>
      <c r="CN35" s="2">
        <v>61</v>
      </c>
      <c r="CO35">
        <v>69</v>
      </c>
      <c r="CP35" s="2">
        <v>320</v>
      </c>
      <c r="CQ35">
        <v>420</v>
      </c>
      <c r="CR35">
        <v>998</v>
      </c>
      <c r="CS35">
        <v>1090</v>
      </c>
      <c r="CT35">
        <v>238</v>
      </c>
      <c r="CU35">
        <v>329</v>
      </c>
      <c r="CV35" s="7">
        <v>14</v>
      </c>
      <c r="CW35" s="7">
        <v>18</v>
      </c>
    </row>
    <row r="36" spans="1:101" x14ac:dyDescent="0.25">
      <c r="A36" t="s">
        <v>213</v>
      </c>
      <c r="B36" t="s">
        <v>37</v>
      </c>
      <c r="C36" t="s">
        <v>214</v>
      </c>
      <c r="D36" t="s">
        <v>215</v>
      </c>
      <c r="E36" t="s">
        <v>2147</v>
      </c>
      <c r="F36" t="s">
        <v>216</v>
      </c>
      <c r="G36" t="s">
        <v>41</v>
      </c>
      <c r="H36">
        <v>382800</v>
      </c>
      <c r="I36" t="s">
        <v>3474</v>
      </c>
      <c r="J36" t="s">
        <v>217</v>
      </c>
      <c r="K36" t="s">
        <v>218</v>
      </c>
      <c r="L36" t="s">
        <v>44</v>
      </c>
      <c r="M36" s="7" t="s">
        <v>2250</v>
      </c>
      <c r="N36" s="7" t="s">
        <v>2448</v>
      </c>
      <c r="O36" s="7">
        <v>2.33</v>
      </c>
      <c r="P36" s="7">
        <v>2.2000000000000002</v>
      </c>
      <c r="Q36">
        <v>50</v>
      </c>
      <c r="R36">
        <v>30</v>
      </c>
      <c r="X36">
        <v>-15</v>
      </c>
      <c r="Y36">
        <v>46</v>
      </c>
      <c r="Z36">
        <v>-15</v>
      </c>
      <c r="AA36">
        <v>24</v>
      </c>
      <c r="AC36" t="s">
        <v>219</v>
      </c>
      <c r="AD36">
        <v>65</v>
      </c>
      <c r="AG36" t="s">
        <v>2939</v>
      </c>
      <c r="AH36" t="s">
        <v>2940</v>
      </c>
      <c r="AI36" t="s">
        <v>220</v>
      </c>
      <c r="AJ36">
        <v>220</v>
      </c>
      <c r="AK36" t="s">
        <v>221</v>
      </c>
      <c r="AL36" t="s">
        <v>200</v>
      </c>
      <c r="AM36">
        <v>220</v>
      </c>
      <c r="AN36" s="7">
        <v>9.52</v>
      </c>
      <c r="AO36" s="7">
        <v>15.88</v>
      </c>
      <c r="AP36" s="7" t="s">
        <v>3003</v>
      </c>
      <c r="AQ36" t="s">
        <v>49</v>
      </c>
      <c r="AR36" t="s">
        <v>49</v>
      </c>
      <c r="AS36" t="s">
        <v>49</v>
      </c>
      <c r="AT36" t="s">
        <v>49</v>
      </c>
      <c r="AU36" t="s">
        <v>78</v>
      </c>
      <c r="AV36" s="7" t="s">
        <v>191</v>
      </c>
      <c r="AW36" s="7" t="s">
        <v>3020</v>
      </c>
      <c r="AX36">
        <v>25</v>
      </c>
      <c r="BE36" s="7" t="s">
        <v>3071</v>
      </c>
      <c r="BF36" t="s">
        <v>49</v>
      </c>
      <c r="BG36" t="s">
        <v>51</v>
      </c>
      <c r="BH36">
        <v>80</v>
      </c>
      <c r="BI36" t="s">
        <v>52</v>
      </c>
      <c r="BS36" t="s">
        <v>222</v>
      </c>
      <c r="CH36">
        <v>788</v>
      </c>
      <c r="CI36">
        <v>966</v>
      </c>
      <c r="CJ36">
        <v>940</v>
      </c>
      <c r="CK36">
        <v>1027</v>
      </c>
      <c r="CL36">
        <v>320</v>
      </c>
      <c r="CM36">
        <v>445</v>
      </c>
      <c r="CN36" s="2">
        <v>52</v>
      </c>
      <c r="CO36">
        <v>60</v>
      </c>
      <c r="CP36" s="2">
        <v>340</v>
      </c>
      <c r="CQ36">
        <v>405</v>
      </c>
      <c r="CR36">
        <v>1150</v>
      </c>
      <c r="CS36">
        <v>1270</v>
      </c>
      <c r="CT36">
        <v>280</v>
      </c>
      <c r="CU36">
        <v>450</v>
      </c>
      <c r="CV36" s="7">
        <v>18.5</v>
      </c>
      <c r="CW36" s="7">
        <v>24.5</v>
      </c>
    </row>
    <row r="37" spans="1:101" x14ac:dyDescent="0.25">
      <c r="A37" t="s">
        <v>223</v>
      </c>
      <c r="B37" t="s">
        <v>37</v>
      </c>
      <c r="C37" t="s">
        <v>214</v>
      </c>
      <c r="D37" t="s">
        <v>224</v>
      </c>
      <c r="E37" t="s">
        <v>2147</v>
      </c>
      <c r="F37" t="s">
        <v>216</v>
      </c>
      <c r="G37" t="s">
        <v>41</v>
      </c>
      <c r="H37">
        <v>477900</v>
      </c>
      <c r="I37" t="s">
        <v>3475</v>
      </c>
      <c r="J37" t="s">
        <v>217</v>
      </c>
      <c r="K37" t="s">
        <v>218</v>
      </c>
      <c r="L37" t="s">
        <v>44</v>
      </c>
      <c r="M37" s="7" t="s">
        <v>2251</v>
      </c>
      <c r="N37" s="7" t="s">
        <v>2449</v>
      </c>
      <c r="O37" s="7">
        <v>3.16</v>
      </c>
      <c r="P37" s="7">
        <v>2.73</v>
      </c>
      <c r="Q37">
        <v>50</v>
      </c>
      <c r="R37">
        <v>30</v>
      </c>
      <c r="X37">
        <v>-15</v>
      </c>
      <c r="Y37">
        <v>46</v>
      </c>
      <c r="Z37">
        <v>-15</v>
      </c>
      <c r="AA37">
        <v>24</v>
      </c>
      <c r="AC37" t="s">
        <v>225</v>
      </c>
      <c r="AD37">
        <v>65</v>
      </c>
      <c r="AG37" t="s">
        <v>2941</v>
      </c>
      <c r="AH37" t="s">
        <v>2942</v>
      </c>
      <c r="AI37" t="s">
        <v>226</v>
      </c>
      <c r="AJ37">
        <v>220</v>
      </c>
      <c r="AK37" t="s">
        <v>227</v>
      </c>
      <c r="AL37" t="s">
        <v>200</v>
      </c>
      <c r="AM37">
        <v>220</v>
      </c>
      <c r="AN37" s="7">
        <v>9.52</v>
      </c>
      <c r="AO37" s="7">
        <v>15.88</v>
      </c>
      <c r="AP37" s="7" t="s">
        <v>3003</v>
      </c>
      <c r="AQ37" t="s">
        <v>49</v>
      </c>
      <c r="AR37" t="s">
        <v>49</v>
      </c>
      <c r="AS37" t="s">
        <v>49</v>
      </c>
      <c r="AT37" t="s">
        <v>49</v>
      </c>
      <c r="AU37" t="s">
        <v>78</v>
      </c>
      <c r="AV37" s="7" t="s">
        <v>191</v>
      </c>
      <c r="AW37" s="7" t="s">
        <v>3020</v>
      </c>
      <c r="AX37">
        <v>25</v>
      </c>
      <c r="BE37" s="7" t="s">
        <v>3072</v>
      </c>
      <c r="BF37" t="s">
        <v>49</v>
      </c>
      <c r="BG37" t="s">
        <v>51</v>
      </c>
      <c r="BH37">
        <v>94</v>
      </c>
      <c r="BI37" t="s">
        <v>52</v>
      </c>
      <c r="BS37" t="s">
        <v>222</v>
      </c>
      <c r="CH37">
        <v>788</v>
      </c>
      <c r="CI37">
        <v>966</v>
      </c>
      <c r="CJ37">
        <v>940</v>
      </c>
      <c r="CK37">
        <v>1027</v>
      </c>
      <c r="CL37">
        <v>320</v>
      </c>
      <c r="CM37">
        <v>445</v>
      </c>
      <c r="CN37" s="2">
        <v>52</v>
      </c>
      <c r="CO37">
        <v>60</v>
      </c>
      <c r="CP37" s="2">
        <v>340</v>
      </c>
      <c r="CQ37">
        <v>405</v>
      </c>
      <c r="CR37">
        <v>1150</v>
      </c>
      <c r="CS37">
        <v>1270</v>
      </c>
      <c r="CT37">
        <v>280</v>
      </c>
      <c r="CU37">
        <v>450</v>
      </c>
      <c r="CV37" s="7">
        <v>18.5</v>
      </c>
      <c r="CW37" s="7">
        <v>24.5</v>
      </c>
    </row>
    <row r="38" spans="1:101" x14ac:dyDescent="0.25">
      <c r="A38" t="s">
        <v>232</v>
      </c>
      <c r="B38" t="s">
        <v>37</v>
      </c>
      <c r="C38" t="s">
        <v>214</v>
      </c>
      <c r="D38" t="s">
        <v>233</v>
      </c>
      <c r="E38" t="s">
        <v>2148</v>
      </c>
      <c r="F38" t="s">
        <v>234</v>
      </c>
      <c r="G38" t="s">
        <v>41</v>
      </c>
      <c r="H38">
        <v>454100</v>
      </c>
      <c r="I38" t="s">
        <v>3476</v>
      </c>
      <c r="J38" t="s">
        <v>235</v>
      </c>
      <c r="K38" t="s">
        <v>236</v>
      </c>
      <c r="L38" t="s">
        <v>44</v>
      </c>
      <c r="M38" s="7" t="s">
        <v>2252</v>
      </c>
      <c r="N38" s="7" t="s">
        <v>2450</v>
      </c>
      <c r="O38" s="7">
        <v>4.16</v>
      </c>
      <c r="P38" s="7">
        <v>3.61</v>
      </c>
      <c r="Q38">
        <v>50</v>
      </c>
      <c r="R38">
        <v>30</v>
      </c>
      <c r="X38">
        <v>-15</v>
      </c>
      <c r="Y38">
        <v>46</v>
      </c>
      <c r="Z38">
        <v>-15</v>
      </c>
      <c r="AA38">
        <v>24</v>
      </c>
      <c r="AE38" t="s">
        <v>3477</v>
      </c>
      <c r="AF38" t="s">
        <v>3478</v>
      </c>
      <c r="AN38" s="7">
        <v>9.52</v>
      </c>
      <c r="AO38" s="7">
        <v>15.88</v>
      </c>
      <c r="AP38" s="7">
        <v>25.4</v>
      </c>
      <c r="AQ38" t="s">
        <v>49</v>
      </c>
      <c r="AR38" t="s">
        <v>49</v>
      </c>
      <c r="AS38" t="s">
        <v>49</v>
      </c>
      <c r="AT38" t="s">
        <v>49</v>
      </c>
      <c r="AU38" t="s">
        <v>78</v>
      </c>
      <c r="AV38" s="7" t="s">
        <v>191</v>
      </c>
      <c r="AW38" s="7" t="s">
        <v>3020</v>
      </c>
      <c r="AX38">
        <v>32</v>
      </c>
      <c r="BB38" t="s">
        <v>237</v>
      </c>
      <c r="BE38" s="7" t="s">
        <v>3073</v>
      </c>
      <c r="BF38" t="s">
        <v>49</v>
      </c>
      <c r="BH38">
        <v>121</v>
      </c>
      <c r="BI38" t="s">
        <v>120</v>
      </c>
      <c r="BS38" t="s">
        <v>238</v>
      </c>
      <c r="CH38">
        <v>988</v>
      </c>
      <c r="CI38">
        <v>1176</v>
      </c>
      <c r="CJ38">
        <v>940</v>
      </c>
      <c r="CK38">
        <v>1027</v>
      </c>
      <c r="CL38">
        <v>320</v>
      </c>
      <c r="CM38">
        <v>445</v>
      </c>
      <c r="CN38" s="2">
        <v>67</v>
      </c>
      <c r="CO38">
        <v>75</v>
      </c>
      <c r="CP38" s="2">
        <v>400</v>
      </c>
      <c r="CQ38">
        <v>460</v>
      </c>
      <c r="CR38">
        <v>1050</v>
      </c>
      <c r="CS38">
        <v>1230</v>
      </c>
      <c r="CT38">
        <v>500</v>
      </c>
      <c r="CU38">
        <v>640</v>
      </c>
      <c r="CV38" s="7">
        <v>46</v>
      </c>
      <c r="CW38" s="7">
        <v>51</v>
      </c>
    </row>
    <row r="39" spans="1:101" x14ac:dyDescent="0.25">
      <c r="A39" t="s">
        <v>239</v>
      </c>
      <c r="B39" t="s">
        <v>37</v>
      </c>
      <c r="C39" t="s">
        <v>214</v>
      </c>
      <c r="D39" t="s">
        <v>240</v>
      </c>
      <c r="E39" t="s">
        <v>2148</v>
      </c>
      <c r="F39" t="s">
        <v>234</v>
      </c>
      <c r="G39" t="s">
        <v>41</v>
      </c>
      <c r="H39">
        <v>499100</v>
      </c>
      <c r="I39" t="s">
        <v>3476</v>
      </c>
      <c r="J39" t="s">
        <v>235</v>
      </c>
      <c r="K39" t="s">
        <v>236</v>
      </c>
      <c r="L39" t="s">
        <v>44</v>
      </c>
      <c r="M39" s="7" t="s">
        <v>2252</v>
      </c>
      <c r="N39" s="7" t="s">
        <v>2450</v>
      </c>
      <c r="O39" s="7">
        <v>4.16</v>
      </c>
      <c r="P39" s="7">
        <v>3.61</v>
      </c>
      <c r="Q39">
        <v>50</v>
      </c>
      <c r="R39">
        <v>30</v>
      </c>
      <c r="X39">
        <v>-15</v>
      </c>
      <c r="Y39">
        <v>46</v>
      </c>
      <c r="Z39">
        <v>-15</v>
      </c>
      <c r="AA39">
        <v>24</v>
      </c>
      <c r="AE39" t="s">
        <v>3477</v>
      </c>
      <c r="AF39" t="s">
        <v>3478</v>
      </c>
      <c r="AN39" s="7">
        <v>9.52</v>
      </c>
      <c r="AO39" s="7">
        <v>15.88</v>
      </c>
      <c r="AP39" s="7">
        <v>32</v>
      </c>
      <c r="AQ39" t="s">
        <v>49</v>
      </c>
      <c r="AR39" t="s">
        <v>49</v>
      </c>
      <c r="AS39" t="s">
        <v>49</v>
      </c>
      <c r="AT39" t="s">
        <v>49</v>
      </c>
      <c r="AU39" t="s">
        <v>78</v>
      </c>
      <c r="AV39" s="7" t="s">
        <v>3022</v>
      </c>
      <c r="AW39" s="7" t="s">
        <v>3020</v>
      </c>
      <c r="AX39">
        <v>16</v>
      </c>
      <c r="BB39" t="s">
        <v>237</v>
      </c>
      <c r="BE39" s="7" t="s">
        <v>3074</v>
      </c>
      <c r="BF39" t="s">
        <v>49</v>
      </c>
      <c r="BH39">
        <v>121</v>
      </c>
      <c r="BI39" t="s">
        <v>241</v>
      </c>
      <c r="BS39" t="s">
        <v>238</v>
      </c>
      <c r="CH39">
        <v>998</v>
      </c>
      <c r="CI39">
        <v>1176</v>
      </c>
      <c r="CJ39">
        <v>940</v>
      </c>
      <c r="CK39">
        <v>1027</v>
      </c>
      <c r="CL39">
        <v>320</v>
      </c>
      <c r="CM39">
        <v>445</v>
      </c>
      <c r="CN39" s="2">
        <v>67</v>
      </c>
      <c r="CO39">
        <v>77</v>
      </c>
      <c r="CP39" s="2">
        <v>400</v>
      </c>
      <c r="CQ39">
        <v>460</v>
      </c>
      <c r="CR39">
        <v>1050</v>
      </c>
      <c r="CS39">
        <v>1230</v>
      </c>
      <c r="CT39">
        <v>500</v>
      </c>
      <c r="CU39">
        <v>640</v>
      </c>
      <c r="CV39" s="7">
        <v>46</v>
      </c>
      <c r="CW39" s="7">
        <v>51</v>
      </c>
    </row>
    <row r="40" spans="1:101" x14ac:dyDescent="0.25">
      <c r="A40" t="s">
        <v>242</v>
      </c>
      <c r="B40" t="s">
        <v>37</v>
      </c>
      <c r="C40" t="s">
        <v>214</v>
      </c>
      <c r="D40" t="s">
        <v>243</v>
      </c>
      <c r="E40" t="s">
        <v>2148</v>
      </c>
      <c r="F40" t="s">
        <v>234</v>
      </c>
      <c r="G40" t="s">
        <v>41</v>
      </c>
      <c r="H40">
        <v>600500</v>
      </c>
      <c r="I40" t="s">
        <v>3476</v>
      </c>
      <c r="J40" t="s">
        <v>235</v>
      </c>
      <c r="K40" t="s">
        <v>236</v>
      </c>
      <c r="L40" t="s">
        <v>44</v>
      </c>
      <c r="M40" s="7" t="s">
        <v>2253</v>
      </c>
      <c r="N40" s="7" t="s">
        <v>2451</v>
      </c>
      <c r="O40" s="7">
        <v>4.7699999999999996</v>
      </c>
      <c r="P40" s="7">
        <v>4.18</v>
      </c>
      <c r="Q40">
        <v>50</v>
      </c>
      <c r="R40">
        <v>30</v>
      </c>
      <c r="X40">
        <v>-15</v>
      </c>
      <c r="Y40">
        <v>46</v>
      </c>
      <c r="Z40">
        <v>-15</v>
      </c>
      <c r="AA40">
        <v>24</v>
      </c>
      <c r="AE40" t="s">
        <v>3479</v>
      </c>
      <c r="AF40" t="s">
        <v>3480</v>
      </c>
      <c r="AN40" s="7">
        <v>9.52</v>
      </c>
      <c r="AO40" s="7">
        <v>15.88</v>
      </c>
      <c r="AP40" s="7">
        <v>25.4</v>
      </c>
      <c r="AQ40" t="s">
        <v>49</v>
      </c>
      <c r="AR40" t="s">
        <v>49</v>
      </c>
      <c r="AS40" t="s">
        <v>49</v>
      </c>
      <c r="AT40" t="s">
        <v>49</v>
      </c>
      <c r="AU40" t="s">
        <v>78</v>
      </c>
      <c r="AV40" s="7" t="s">
        <v>191</v>
      </c>
      <c r="AW40" s="7" t="s">
        <v>3020</v>
      </c>
      <c r="AX40">
        <v>32</v>
      </c>
      <c r="BB40" t="s">
        <v>237</v>
      </c>
      <c r="BE40" s="7" t="s">
        <v>3075</v>
      </c>
      <c r="BF40" t="s">
        <v>49</v>
      </c>
      <c r="BH40">
        <v>134</v>
      </c>
      <c r="BI40" t="s">
        <v>120</v>
      </c>
      <c r="BS40" t="s">
        <v>238</v>
      </c>
      <c r="CH40">
        <v>998</v>
      </c>
      <c r="CI40">
        <v>1176</v>
      </c>
      <c r="CJ40">
        <v>940</v>
      </c>
      <c r="CK40">
        <v>1027</v>
      </c>
      <c r="CL40">
        <v>320</v>
      </c>
      <c r="CM40">
        <v>445</v>
      </c>
      <c r="CN40" s="2">
        <v>67</v>
      </c>
      <c r="CO40">
        <v>75</v>
      </c>
      <c r="CP40" s="2">
        <v>400</v>
      </c>
      <c r="CQ40">
        <v>460</v>
      </c>
      <c r="CR40">
        <v>1050</v>
      </c>
      <c r="CS40">
        <v>1230</v>
      </c>
      <c r="CT40">
        <v>500</v>
      </c>
      <c r="CU40">
        <v>640</v>
      </c>
      <c r="CV40" s="7">
        <v>46</v>
      </c>
      <c r="CW40" s="7">
        <v>51</v>
      </c>
    </row>
    <row r="41" spans="1:101" x14ac:dyDescent="0.25">
      <c r="A41" t="s">
        <v>244</v>
      </c>
      <c r="B41" t="s">
        <v>37</v>
      </c>
      <c r="C41" t="s">
        <v>214</v>
      </c>
      <c r="D41" t="s">
        <v>245</v>
      </c>
      <c r="E41" t="s">
        <v>2148</v>
      </c>
      <c r="F41" t="s">
        <v>234</v>
      </c>
      <c r="G41" t="s">
        <v>41</v>
      </c>
      <c r="H41">
        <v>649500</v>
      </c>
      <c r="I41" t="s">
        <v>3476</v>
      </c>
      <c r="J41" t="s">
        <v>235</v>
      </c>
      <c r="K41" t="s">
        <v>236</v>
      </c>
      <c r="L41" t="s">
        <v>44</v>
      </c>
      <c r="M41" s="7" t="s">
        <v>2253</v>
      </c>
      <c r="N41" s="7" t="s">
        <v>2451</v>
      </c>
      <c r="O41" s="7">
        <v>4.7699999999999996</v>
      </c>
      <c r="P41" s="7">
        <v>4.18</v>
      </c>
      <c r="Q41">
        <v>50</v>
      </c>
      <c r="R41">
        <v>30</v>
      </c>
      <c r="X41">
        <v>-15</v>
      </c>
      <c r="Y41">
        <v>46</v>
      </c>
      <c r="Z41">
        <v>-15</v>
      </c>
      <c r="AA41">
        <v>24</v>
      </c>
      <c r="AE41" t="s">
        <v>3479</v>
      </c>
      <c r="AF41" t="s">
        <v>3480</v>
      </c>
      <c r="AN41" s="7">
        <v>9.52</v>
      </c>
      <c r="AO41" s="7">
        <v>15.88</v>
      </c>
      <c r="AP41" s="7">
        <v>32</v>
      </c>
      <c r="AQ41" t="s">
        <v>49</v>
      </c>
      <c r="AR41" t="s">
        <v>49</v>
      </c>
      <c r="AS41" t="s">
        <v>49</v>
      </c>
      <c r="AT41" t="s">
        <v>49</v>
      </c>
      <c r="AU41" t="s">
        <v>78</v>
      </c>
      <c r="AV41" s="7" t="s">
        <v>3022</v>
      </c>
      <c r="AW41" s="7" t="s">
        <v>3020</v>
      </c>
      <c r="AX41">
        <v>16</v>
      </c>
      <c r="BB41" t="s">
        <v>237</v>
      </c>
      <c r="BE41" s="7" t="s">
        <v>3076</v>
      </c>
      <c r="BF41" t="s">
        <v>49</v>
      </c>
      <c r="BH41">
        <v>134</v>
      </c>
      <c r="BI41" t="s">
        <v>241</v>
      </c>
      <c r="BS41" t="s">
        <v>238</v>
      </c>
      <c r="CH41">
        <v>998</v>
      </c>
      <c r="CI41">
        <v>1176</v>
      </c>
      <c r="CJ41">
        <v>940</v>
      </c>
      <c r="CK41">
        <v>1027</v>
      </c>
      <c r="CL41">
        <v>320</v>
      </c>
      <c r="CM41">
        <v>445</v>
      </c>
      <c r="CN41" s="2">
        <v>67</v>
      </c>
      <c r="CO41">
        <v>77</v>
      </c>
      <c r="CP41" s="2">
        <v>400</v>
      </c>
      <c r="CQ41">
        <v>460</v>
      </c>
      <c r="CR41">
        <v>1050</v>
      </c>
      <c r="CS41">
        <v>1230</v>
      </c>
      <c r="CT41">
        <v>500</v>
      </c>
      <c r="CU41">
        <v>640</v>
      </c>
      <c r="CV41" s="7">
        <v>46</v>
      </c>
      <c r="CW41" s="7">
        <v>51</v>
      </c>
    </row>
    <row r="42" spans="1:101" x14ac:dyDescent="0.25">
      <c r="A42" t="s">
        <v>246</v>
      </c>
      <c r="B42" t="s">
        <v>37</v>
      </c>
      <c r="C42" t="s">
        <v>214</v>
      </c>
      <c r="D42" t="s">
        <v>247</v>
      </c>
      <c r="E42" t="s">
        <v>2148</v>
      </c>
      <c r="F42" t="s">
        <v>248</v>
      </c>
      <c r="G42" t="s">
        <v>41</v>
      </c>
      <c r="H42">
        <v>290900</v>
      </c>
      <c r="I42" t="s">
        <v>3481</v>
      </c>
      <c r="J42" t="s">
        <v>249</v>
      </c>
      <c r="K42" t="s">
        <v>250</v>
      </c>
      <c r="L42" t="s">
        <v>44</v>
      </c>
      <c r="M42" s="7" t="s">
        <v>2254</v>
      </c>
      <c r="N42" s="7" t="s">
        <v>2452</v>
      </c>
      <c r="O42" s="7">
        <v>2.19</v>
      </c>
      <c r="P42" s="7">
        <v>2</v>
      </c>
      <c r="Q42">
        <v>25</v>
      </c>
      <c r="R42">
        <v>20</v>
      </c>
      <c r="X42">
        <v>-10</v>
      </c>
      <c r="Y42">
        <v>46</v>
      </c>
      <c r="Z42">
        <v>-15</v>
      </c>
      <c r="AA42">
        <v>24</v>
      </c>
      <c r="AG42" t="s">
        <v>2943</v>
      </c>
      <c r="AH42" t="s">
        <v>2944</v>
      </c>
      <c r="AN42" s="7">
        <v>6.35</v>
      </c>
      <c r="AO42" s="7">
        <v>12.7</v>
      </c>
      <c r="AP42" s="7" t="s">
        <v>3008</v>
      </c>
      <c r="AQ42" t="s">
        <v>49</v>
      </c>
      <c r="AR42" t="s">
        <v>49</v>
      </c>
      <c r="AS42" t="s">
        <v>49</v>
      </c>
      <c r="AT42" t="s">
        <v>49</v>
      </c>
      <c r="AU42" t="s">
        <v>78</v>
      </c>
      <c r="AV42" s="7" t="s">
        <v>3021</v>
      </c>
      <c r="AW42" s="7" t="s">
        <v>3020</v>
      </c>
      <c r="AX42">
        <v>20</v>
      </c>
      <c r="BB42" t="s">
        <v>251</v>
      </c>
      <c r="BC42">
        <v>35</v>
      </c>
      <c r="BE42" s="7" t="s">
        <v>3077</v>
      </c>
      <c r="BF42" t="s">
        <v>49</v>
      </c>
      <c r="BH42">
        <v>68</v>
      </c>
      <c r="BI42" t="s">
        <v>52</v>
      </c>
      <c r="BS42" t="s">
        <v>252</v>
      </c>
      <c r="CH42">
        <v>632</v>
      </c>
      <c r="CI42">
        <v>692</v>
      </c>
      <c r="CJ42">
        <v>799</v>
      </c>
      <c r="CK42">
        <v>940</v>
      </c>
      <c r="CL42">
        <v>290</v>
      </c>
      <c r="CM42">
        <v>375</v>
      </c>
      <c r="CN42" s="2">
        <v>38</v>
      </c>
      <c r="CO42">
        <v>42</v>
      </c>
      <c r="CP42" s="2">
        <v>270</v>
      </c>
      <c r="CQ42">
        <v>300</v>
      </c>
      <c r="CR42">
        <v>1135</v>
      </c>
      <c r="CS42">
        <v>1320</v>
      </c>
      <c r="CT42">
        <v>700</v>
      </c>
      <c r="CU42">
        <v>790</v>
      </c>
      <c r="CV42" s="7">
        <v>35</v>
      </c>
      <c r="CW42" s="7">
        <v>43</v>
      </c>
    </row>
    <row r="43" spans="1:101" x14ac:dyDescent="0.25">
      <c r="A43" t="s">
        <v>253</v>
      </c>
      <c r="B43" t="s">
        <v>37</v>
      </c>
      <c r="C43" t="s">
        <v>214</v>
      </c>
      <c r="D43" t="s">
        <v>254</v>
      </c>
      <c r="E43" t="s">
        <v>2148</v>
      </c>
      <c r="F43" t="s">
        <v>248</v>
      </c>
      <c r="G43" t="s">
        <v>41</v>
      </c>
      <c r="H43">
        <v>346100</v>
      </c>
      <c r="I43" t="s">
        <v>3481</v>
      </c>
      <c r="J43" t="s">
        <v>249</v>
      </c>
      <c r="K43" t="s">
        <v>250</v>
      </c>
      <c r="L43" t="s">
        <v>44</v>
      </c>
      <c r="M43" s="7" t="s">
        <v>2255</v>
      </c>
      <c r="N43" s="7" t="s">
        <v>2453</v>
      </c>
      <c r="O43" s="7">
        <v>2.78</v>
      </c>
      <c r="P43" s="7">
        <v>2.77</v>
      </c>
      <c r="Q43">
        <v>30</v>
      </c>
      <c r="R43">
        <v>30</v>
      </c>
      <c r="X43">
        <v>-10</v>
      </c>
      <c r="Y43">
        <v>46</v>
      </c>
      <c r="Z43">
        <v>-15</v>
      </c>
      <c r="AA43">
        <v>24</v>
      </c>
      <c r="AG43" t="s">
        <v>2945</v>
      </c>
      <c r="AH43" t="s">
        <v>2944</v>
      </c>
      <c r="AN43" s="7">
        <v>9.52</v>
      </c>
      <c r="AO43" s="7">
        <v>15.88</v>
      </c>
      <c r="AP43" s="7" t="s">
        <v>3008</v>
      </c>
      <c r="AQ43" t="s">
        <v>49</v>
      </c>
      <c r="AR43" t="s">
        <v>49</v>
      </c>
      <c r="AS43" t="s">
        <v>49</v>
      </c>
      <c r="AT43" t="s">
        <v>49</v>
      </c>
      <c r="AU43" t="s">
        <v>78</v>
      </c>
      <c r="AV43" s="7" t="s">
        <v>191</v>
      </c>
      <c r="AW43" s="7" t="s">
        <v>3020</v>
      </c>
      <c r="AX43">
        <v>25</v>
      </c>
      <c r="BB43" t="s">
        <v>251</v>
      </c>
      <c r="BC43">
        <v>47</v>
      </c>
      <c r="BE43" s="7" t="s">
        <v>3078</v>
      </c>
      <c r="BF43" t="s">
        <v>49</v>
      </c>
      <c r="BH43">
        <v>85</v>
      </c>
      <c r="BI43" t="s">
        <v>52</v>
      </c>
      <c r="BS43" t="s">
        <v>255</v>
      </c>
      <c r="CH43">
        <v>788</v>
      </c>
      <c r="CI43">
        <v>966</v>
      </c>
      <c r="CJ43">
        <v>940</v>
      </c>
      <c r="CK43">
        <v>1027</v>
      </c>
      <c r="CL43">
        <v>320</v>
      </c>
      <c r="CM43">
        <v>445</v>
      </c>
      <c r="CN43" s="2">
        <v>52</v>
      </c>
      <c r="CO43">
        <v>61</v>
      </c>
      <c r="CP43" s="2">
        <v>270</v>
      </c>
      <c r="CQ43">
        <v>300</v>
      </c>
      <c r="CR43">
        <v>1135</v>
      </c>
      <c r="CS43">
        <v>1320</v>
      </c>
      <c r="CT43">
        <v>700</v>
      </c>
      <c r="CU43">
        <v>790</v>
      </c>
      <c r="CV43" s="7">
        <v>38</v>
      </c>
      <c r="CW43" s="7">
        <v>45</v>
      </c>
    </row>
    <row r="44" spans="1:101" x14ac:dyDescent="0.25">
      <c r="A44" t="s">
        <v>256</v>
      </c>
      <c r="B44" t="s">
        <v>37</v>
      </c>
      <c r="C44" t="s">
        <v>214</v>
      </c>
      <c r="D44" t="s">
        <v>257</v>
      </c>
      <c r="E44" t="s">
        <v>2148</v>
      </c>
      <c r="F44" t="s">
        <v>248</v>
      </c>
      <c r="G44" t="s">
        <v>41</v>
      </c>
      <c r="H44">
        <v>369900</v>
      </c>
      <c r="I44" t="s">
        <v>3481</v>
      </c>
      <c r="J44" t="s">
        <v>249</v>
      </c>
      <c r="K44" t="s">
        <v>250</v>
      </c>
      <c r="L44" t="s">
        <v>44</v>
      </c>
      <c r="M44" s="7" t="s">
        <v>2256</v>
      </c>
      <c r="N44" s="7" t="s">
        <v>2454</v>
      </c>
      <c r="O44" s="7">
        <v>3.13</v>
      </c>
      <c r="P44" s="7">
        <v>3.03</v>
      </c>
      <c r="Q44">
        <v>30</v>
      </c>
      <c r="R44">
        <v>30</v>
      </c>
      <c r="X44">
        <v>-10</v>
      </c>
      <c r="Y44">
        <v>46</v>
      </c>
      <c r="Z44">
        <v>-15</v>
      </c>
      <c r="AA44">
        <v>24</v>
      </c>
      <c r="AG44" t="s">
        <v>2946</v>
      </c>
      <c r="AH44" t="s">
        <v>2944</v>
      </c>
      <c r="AN44" s="7">
        <v>9.52</v>
      </c>
      <c r="AO44" s="7">
        <v>15.88</v>
      </c>
      <c r="AP44" s="7" t="s">
        <v>3008</v>
      </c>
      <c r="AQ44" t="s">
        <v>49</v>
      </c>
      <c r="AR44" t="s">
        <v>49</v>
      </c>
      <c r="AS44" t="s">
        <v>49</v>
      </c>
      <c r="AT44" t="s">
        <v>49</v>
      </c>
      <c r="AU44" t="s">
        <v>78</v>
      </c>
      <c r="AV44" s="7" t="s">
        <v>191</v>
      </c>
      <c r="AW44" s="7" t="s">
        <v>3020</v>
      </c>
      <c r="AX44">
        <v>25</v>
      </c>
      <c r="BB44" t="s">
        <v>251</v>
      </c>
      <c r="BC44">
        <v>47</v>
      </c>
      <c r="BE44" s="7" t="s">
        <v>3079</v>
      </c>
      <c r="BF44" t="s">
        <v>49</v>
      </c>
      <c r="BH44">
        <v>95</v>
      </c>
      <c r="BI44" t="s">
        <v>52</v>
      </c>
      <c r="BS44" t="s">
        <v>255</v>
      </c>
      <c r="CH44">
        <v>788</v>
      </c>
      <c r="CI44">
        <v>966</v>
      </c>
      <c r="CJ44">
        <v>940</v>
      </c>
      <c r="CK44">
        <v>1027</v>
      </c>
      <c r="CL44">
        <v>320</v>
      </c>
      <c r="CM44">
        <v>445</v>
      </c>
      <c r="CN44" s="2">
        <v>52</v>
      </c>
      <c r="CO44">
        <v>61</v>
      </c>
      <c r="CP44" s="2">
        <v>270</v>
      </c>
      <c r="CQ44">
        <v>300</v>
      </c>
      <c r="CR44">
        <v>1135</v>
      </c>
      <c r="CS44">
        <v>1320</v>
      </c>
      <c r="CT44">
        <v>700</v>
      </c>
      <c r="CU44">
        <v>790</v>
      </c>
      <c r="CV44" s="7">
        <v>38</v>
      </c>
      <c r="CW44" s="7">
        <v>45</v>
      </c>
    </row>
    <row r="45" spans="1:101" x14ac:dyDescent="0.25">
      <c r="A45" t="s">
        <v>258</v>
      </c>
      <c r="B45" t="s">
        <v>37</v>
      </c>
      <c r="C45" t="s">
        <v>214</v>
      </c>
      <c r="D45" t="s">
        <v>259</v>
      </c>
      <c r="E45" t="s">
        <v>2148</v>
      </c>
      <c r="F45" t="s">
        <v>248</v>
      </c>
      <c r="G45" t="s">
        <v>41</v>
      </c>
      <c r="H45">
        <v>400400</v>
      </c>
      <c r="I45" t="s">
        <v>3481</v>
      </c>
      <c r="J45" t="s">
        <v>249</v>
      </c>
      <c r="K45" t="s">
        <v>250</v>
      </c>
      <c r="L45" t="s">
        <v>44</v>
      </c>
      <c r="M45" s="7" t="s">
        <v>2256</v>
      </c>
      <c r="N45" s="7" t="s">
        <v>2454</v>
      </c>
      <c r="O45" s="7">
        <v>3.13</v>
      </c>
      <c r="P45" s="7">
        <v>3.03</v>
      </c>
      <c r="Q45">
        <v>30</v>
      </c>
      <c r="R45">
        <v>30</v>
      </c>
      <c r="X45">
        <v>-10</v>
      </c>
      <c r="Y45">
        <v>46</v>
      </c>
      <c r="Z45">
        <v>-15</v>
      </c>
      <c r="AA45">
        <v>24</v>
      </c>
      <c r="AG45" t="s">
        <v>2946</v>
      </c>
      <c r="AH45" t="s">
        <v>2944</v>
      </c>
      <c r="AN45" s="7">
        <v>9.52</v>
      </c>
      <c r="AO45" s="7">
        <v>15.88</v>
      </c>
      <c r="AP45" s="7" t="s">
        <v>3008</v>
      </c>
      <c r="AQ45" t="s">
        <v>49</v>
      </c>
      <c r="AR45" t="s">
        <v>49</v>
      </c>
      <c r="AS45" t="s">
        <v>49</v>
      </c>
      <c r="AT45" t="s">
        <v>49</v>
      </c>
      <c r="AU45" t="s">
        <v>78</v>
      </c>
      <c r="AV45" s="7" t="s">
        <v>3022</v>
      </c>
      <c r="AW45" s="7" t="s">
        <v>3020</v>
      </c>
      <c r="AX45">
        <v>16</v>
      </c>
      <c r="BB45" t="s">
        <v>251</v>
      </c>
      <c r="BC45">
        <v>47</v>
      </c>
      <c r="BE45" s="7" t="s">
        <v>3080</v>
      </c>
      <c r="BF45" t="s">
        <v>49</v>
      </c>
      <c r="BH45">
        <v>95</v>
      </c>
      <c r="BI45" t="s">
        <v>260</v>
      </c>
      <c r="BS45" t="s">
        <v>255</v>
      </c>
      <c r="CH45">
        <v>788</v>
      </c>
      <c r="CI45">
        <v>966</v>
      </c>
      <c r="CJ45">
        <v>940</v>
      </c>
      <c r="CK45">
        <v>1027</v>
      </c>
      <c r="CL45">
        <v>320</v>
      </c>
      <c r="CM45">
        <v>445</v>
      </c>
      <c r="CN45" s="2">
        <v>53</v>
      </c>
      <c r="CO45">
        <v>62</v>
      </c>
      <c r="CP45" s="2">
        <v>270</v>
      </c>
      <c r="CQ45">
        <v>300</v>
      </c>
      <c r="CR45">
        <v>1135</v>
      </c>
      <c r="CS45">
        <v>1320</v>
      </c>
      <c r="CT45">
        <v>700</v>
      </c>
      <c r="CU45">
        <v>790</v>
      </c>
      <c r="CV45" s="7">
        <v>38</v>
      </c>
      <c r="CW45" s="7">
        <v>45</v>
      </c>
    </row>
    <row r="46" spans="1:101" x14ac:dyDescent="0.25">
      <c r="A46" t="s">
        <v>261</v>
      </c>
      <c r="B46" t="s">
        <v>37</v>
      </c>
      <c r="C46" t="s">
        <v>214</v>
      </c>
      <c r="D46" t="s">
        <v>262</v>
      </c>
      <c r="E46" t="s">
        <v>2148</v>
      </c>
      <c r="F46" t="s">
        <v>248</v>
      </c>
      <c r="G46" t="s">
        <v>41</v>
      </c>
      <c r="H46">
        <v>391400</v>
      </c>
      <c r="I46" t="s">
        <v>3481</v>
      </c>
      <c r="J46" t="s">
        <v>249</v>
      </c>
      <c r="K46" t="s">
        <v>250</v>
      </c>
      <c r="L46" t="s">
        <v>44</v>
      </c>
      <c r="M46" s="7" t="s">
        <v>2257</v>
      </c>
      <c r="N46" s="7" t="s">
        <v>2455</v>
      </c>
      <c r="O46" s="7">
        <v>4.84</v>
      </c>
      <c r="P46" s="7">
        <v>4.18</v>
      </c>
      <c r="Q46">
        <v>30</v>
      </c>
      <c r="R46">
        <v>30</v>
      </c>
      <c r="X46">
        <v>-10</v>
      </c>
      <c r="Y46">
        <v>46</v>
      </c>
      <c r="Z46">
        <v>-15</v>
      </c>
      <c r="AA46">
        <v>24</v>
      </c>
      <c r="AE46" t="s">
        <v>3482</v>
      </c>
      <c r="AF46" t="s">
        <v>3483</v>
      </c>
      <c r="AN46" s="7">
        <v>9.52</v>
      </c>
      <c r="AO46" s="7">
        <v>15.88</v>
      </c>
      <c r="AP46" s="7" t="s">
        <v>3008</v>
      </c>
      <c r="AQ46" t="s">
        <v>49</v>
      </c>
      <c r="AR46" t="s">
        <v>49</v>
      </c>
      <c r="AS46" t="s">
        <v>49</v>
      </c>
      <c r="AT46" t="s">
        <v>49</v>
      </c>
      <c r="AU46" t="s">
        <v>78</v>
      </c>
      <c r="AV46" s="7" t="s">
        <v>191</v>
      </c>
      <c r="AW46" s="7" t="s">
        <v>3020</v>
      </c>
      <c r="AX46">
        <v>32</v>
      </c>
      <c r="BB46" t="s">
        <v>251</v>
      </c>
      <c r="BC46">
        <v>60</v>
      </c>
      <c r="BE46" s="7" t="s">
        <v>3081</v>
      </c>
      <c r="BF46" t="s">
        <v>49</v>
      </c>
      <c r="BH46">
        <v>121</v>
      </c>
      <c r="BI46" t="s">
        <v>52</v>
      </c>
      <c r="BS46" t="s">
        <v>263</v>
      </c>
      <c r="CH46">
        <v>998</v>
      </c>
      <c r="CI46">
        <v>1176</v>
      </c>
      <c r="CJ46">
        <v>940</v>
      </c>
      <c r="CK46">
        <v>1027</v>
      </c>
      <c r="CL46">
        <v>320</v>
      </c>
      <c r="CM46">
        <v>445</v>
      </c>
      <c r="CN46" s="2">
        <v>61</v>
      </c>
      <c r="CO46">
        <v>71</v>
      </c>
      <c r="CP46" s="2">
        <v>270</v>
      </c>
      <c r="CQ46">
        <v>300</v>
      </c>
      <c r="CR46">
        <v>1135</v>
      </c>
      <c r="CS46">
        <v>1320</v>
      </c>
      <c r="CT46">
        <v>700</v>
      </c>
      <c r="CU46">
        <v>790</v>
      </c>
      <c r="CV46" s="7">
        <v>39</v>
      </c>
      <c r="CW46" s="7">
        <v>47</v>
      </c>
    </row>
    <row r="47" spans="1:101" x14ac:dyDescent="0.25">
      <c r="A47" t="s">
        <v>264</v>
      </c>
      <c r="B47" t="s">
        <v>37</v>
      </c>
      <c r="C47" t="s">
        <v>214</v>
      </c>
      <c r="D47" t="s">
        <v>265</v>
      </c>
      <c r="E47" t="s">
        <v>2148</v>
      </c>
      <c r="F47" t="s">
        <v>248</v>
      </c>
      <c r="G47" t="s">
        <v>41</v>
      </c>
      <c r="H47">
        <v>425500</v>
      </c>
      <c r="I47" t="s">
        <v>3481</v>
      </c>
      <c r="J47" t="s">
        <v>249</v>
      </c>
      <c r="K47" t="s">
        <v>250</v>
      </c>
      <c r="L47" t="s">
        <v>44</v>
      </c>
      <c r="M47" s="7" t="s">
        <v>2257</v>
      </c>
      <c r="N47" s="7" t="s">
        <v>2455</v>
      </c>
      <c r="O47" s="7">
        <v>4.84</v>
      </c>
      <c r="P47" s="7">
        <v>4.18</v>
      </c>
      <c r="Q47">
        <v>30</v>
      </c>
      <c r="R47">
        <v>30</v>
      </c>
      <c r="X47">
        <v>-10</v>
      </c>
      <c r="Y47">
        <v>46</v>
      </c>
      <c r="Z47">
        <v>-15</v>
      </c>
      <c r="AA47">
        <v>24</v>
      </c>
      <c r="AE47" t="s">
        <v>3482</v>
      </c>
      <c r="AF47" t="s">
        <v>3483</v>
      </c>
      <c r="AN47" s="7">
        <v>9.52</v>
      </c>
      <c r="AO47" s="7">
        <v>15.88</v>
      </c>
      <c r="AP47" s="7" t="s">
        <v>3008</v>
      </c>
      <c r="AQ47" t="s">
        <v>49</v>
      </c>
      <c r="AR47" t="s">
        <v>49</v>
      </c>
      <c r="AS47" t="s">
        <v>49</v>
      </c>
      <c r="AT47" t="s">
        <v>49</v>
      </c>
      <c r="AU47" t="s">
        <v>78</v>
      </c>
      <c r="AV47" s="7" t="s">
        <v>3022</v>
      </c>
      <c r="AW47" s="7" t="s">
        <v>3020</v>
      </c>
      <c r="AX47">
        <v>16</v>
      </c>
      <c r="BB47" t="s">
        <v>251</v>
      </c>
      <c r="BC47">
        <v>60</v>
      </c>
      <c r="BE47" s="7" t="s">
        <v>3082</v>
      </c>
      <c r="BF47" t="s">
        <v>49</v>
      </c>
      <c r="BH47">
        <v>121</v>
      </c>
      <c r="BI47" t="s">
        <v>260</v>
      </c>
      <c r="BS47" t="s">
        <v>263</v>
      </c>
      <c r="CH47">
        <v>998</v>
      </c>
      <c r="CI47">
        <v>1176</v>
      </c>
      <c r="CJ47">
        <v>940</v>
      </c>
      <c r="CK47">
        <v>1027</v>
      </c>
      <c r="CL47">
        <v>320</v>
      </c>
      <c r="CM47">
        <v>445</v>
      </c>
      <c r="CN47" s="2">
        <v>62</v>
      </c>
      <c r="CO47">
        <v>72</v>
      </c>
      <c r="CP47" s="2">
        <v>270</v>
      </c>
      <c r="CQ47">
        <v>300</v>
      </c>
      <c r="CR47">
        <v>1135</v>
      </c>
      <c r="CS47">
        <v>1320</v>
      </c>
      <c r="CT47">
        <v>700</v>
      </c>
      <c r="CU47">
        <v>790</v>
      </c>
      <c r="CV47" s="7">
        <v>39</v>
      </c>
      <c r="CW47" s="7">
        <v>47</v>
      </c>
    </row>
    <row r="48" spans="1:101" x14ac:dyDescent="0.25">
      <c r="A48" t="s">
        <v>266</v>
      </c>
      <c r="B48" t="s">
        <v>37</v>
      </c>
      <c r="C48" t="s">
        <v>214</v>
      </c>
      <c r="D48" t="s">
        <v>267</v>
      </c>
      <c r="E48" t="s">
        <v>2148</v>
      </c>
      <c r="F48" t="s">
        <v>268</v>
      </c>
      <c r="G48" t="s">
        <v>41</v>
      </c>
      <c r="H48">
        <v>212500</v>
      </c>
      <c r="I48" t="s">
        <v>3484</v>
      </c>
      <c r="J48" t="s">
        <v>269</v>
      </c>
      <c r="K48" t="s">
        <v>270</v>
      </c>
      <c r="L48" t="s">
        <v>44</v>
      </c>
      <c r="M48" s="7" t="s">
        <v>2258</v>
      </c>
      <c r="N48" s="7" t="s">
        <v>2456</v>
      </c>
      <c r="O48" s="7">
        <v>0.87</v>
      </c>
      <c r="P48" s="7">
        <v>1</v>
      </c>
      <c r="Q48">
        <v>25</v>
      </c>
      <c r="R48">
        <v>20</v>
      </c>
      <c r="X48">
        <v>-15</v>
      </c>
      <c r="Y48">
        <v>46</v>
      </c>
      <c r="Z48">
        <v>-15</v>
      </c>
      <c r="AA48">
        <v>24</v>
      </c>
      <c r="AG48" t="s">
        <v>2922</v>
      </c>
      <c r="AH48" t="s">
        <v>2919</v>
      </c>
      <c r="AN48" s="7">
        <v>6.35</v>
      </c>
      <c r="AO48" s="7">
        <v>9.52</v>
      </c>
      <c r="AP48" s="7">
        <v>32</v>
      </c>
      <c r="AQ48" t="s">
        <v>49</v>
      </c>
      <c r="AR48" t="s">
        <v>49</v>
      </c>
      <c r="AS48" t="s">
        <v>49</v>
      </c>
      <c r="AT48" t="s">
        <v>49</v>
      </c>
      <c r="AU48" t="s">
        <v>78</v>
      </c>
      <c r="AV48" s="7" t="s">
        <v>3019</v>
      </c>
      <c r="AW48" s="7" t="s">
        <v>3020</v>
      </c>
      <c r="AX48">
        <v>16</v>
      </c>
      <c r="BB48" t="s">
        <v>271</v>
      </c>
      <c r="BC48">
        <v>35</v>
      </c>
      <c r="BE48" s="7" t="s">
        <v>3083</v>
      </c>
      <c r="BF48" t="s">
        <v>49</v>
      </c>
      <c r="BH48">
        <v>35</v>
      </c>
      <c r="BI48" t="s">
        <v>120</v>
      </c>
      <c r="BS48" t="s">
        <v>272</v>
      </c>
      <c r="CH48">
        <v>542</v>
      </c>
      <c r="CI48">
        <v>602</v>
      </c>
      <c r="CJ48">
        <v>799</v>
      </c>
      <c r="CK48">
        <v>940</v>
      </c>
      <c r="CL48">
        <v>290</v>
      </c>
      <c r="CM48">
        <v>375</v>
      </c>
      <c r="CN48" s="2">
        <v>33</v>
      </c>
      <c r="CO48">
        <v>37</v>
      </c>
      <c r="CP48" s="2">
        <v>300</v>
      </c>
      <c r="CQ48">
        <v>400</v>
      </c>
      <c r="CR48">
        <v>700</v>
      </c>
      <c r="CS48">
        <v>938</v>
      </c>
      <c r="CT48">
        <v>700</v>
      </c>
      <c r="CU48">
        <v>875</v>
      </c>
      <c r="CV48" s="7">
        <v>27</v>
      </c>
      <c r="CW48" s="7">
        <v>34</v>
      </c>
    </row>
    <row r="49" spans="1:101" x14ac:dyDescent="0.25">
      <c r="A49" t="s">
        <v>273</v>
      </c>
      <c r="B49" t="s">
        <v>37</v>
      </c>
      <c r="C49" t="s">
        <v>214</v>
      </c>
      <c r="D49" t="s">
        <v>274</v>
      </c>
      <c r="E49" t="s">
        <v>2148</v>
      </c>
      <c r="F49" t="s">
        <v>268</v>
      </c>
      <c r="G49" t="s">
        <v>41</v>
      </c>
      <c r="H49">
        <v>244100</v>
      </c>
      <c r="I49" t="s">
        <v>3484</v>
      </c>
      <c r="J49" t="s">
        <v>269</v>
      </c>
      <c r="K49" t="s">
        <v>270</v>
      </c>
      <c r="L49" t="s">
        <v>44</v>
      </c>
      <c r="M49" s="7" t="s">
        <v>2259</v>
      </c>
      <c r="N49" s="7" t="s">
        <v>2457</v>
      </c>
      <c r="O49" s="7">
        <v>1.17</v>
      </c>
      <c r="P49" s="7">
        <v>1.25</v>
      </c>
      <c r="Q49">
        <v>25</v>
      </c>
      <c r="R49">
        <v>20</v>
      </c>
      <c r="X49">
        <v>-15</v>
      </c>
      <c r="Y49">
        <v>46</v>
      </c>
      <c r="Z49">
        <v>-15</v>
      </c>
      <c r="AA49">
        <v>24</v>
      </c>
      <c r="AG49" t="s">
        <v>2947</v>
      </c>
      <c r="AH49" t="s">
        <v>63</v>
      </c>
      <c r="AN49" s="7">
        <v>6.35</v>
      </c>
      <c r="AO49" s="7">
        <v>9.52</v>
      </c>
      <c r="AP49" s="7">
        <v>32</v>
      </c>
      <c r="AQ49" t="s">
        <v>49</v>
      </c>
      <c r="AR49" t="s">
        <v>49</v>
      </c>
      <c r="AS49" t="s">
        <v>49</v>
      </c>
      <c r="AT49" t="s">
        <v>49</v>
      </c>
      <c r="AU49" t="s">
        <v>78</v>
      </c>
      <c r="AV49" s="7" t="s">
        <v>3019</v>
      </c>
      <c r="AW49" s="7" t="s">
        <v>3020</v>
      </c>
      <c r="AX49">
        <v>16</v>
      </c>
      <c r="BB49" t="s">
        <v>271</v>
      </c>
      <c r="BC49">
        <v>35</v>
      </c>
      <c r="BE49" s="7" t="s">
        <v>3084</v>
      </c>
      <c r="BF49" t="s">
        <v>49</v>
      </c>
      <c r="BH49">
        <v>43</v>
      </c>
      <c r="BI49" t="s">
        <v>120</v>
      </c>
      <c r="BS49" t="s">
        <v>275</v>
      </c>
      <c r="CH49">
        <v>542</v>
      </c>
      <c r="CI49">
        <v>602</v>
      </c>
      <c r="CJ49">
        <v>799</v>
      </c>
      <c r="CK49">
        <v>940</v>
      </c>
      <c r="CL49">
        <v>290</v>
      </c>
      <c r="CM49">
        <v>375</v>
      </c>
      <c r="CN49" s="2">
        <v>33</v>
      </c>
      <c r="CO49">
        <v>37</v>
      </c>
      <c r="CP49" s="2">
        <v>300</v>
      </c>
      <c r="CQ49">
        <v>400</v>
      </c>
      <c r="CR49">
        <v>700</v>
      </c>
      <c r="CS49">
        <v>938</v>
      </c>
      <c r="CT49">
        <v>700</v>
      </c>
      <c r="CU49">
        <v>875</v>
      </c>
      <c r="CV49" s="7">
        <v>27</v>
      </c>
      <c r="CW49" s="7">
        <v>34</v>
      </c>
    </row>
    <row r="50" spans="1:101" x14ac:dyDescent="0.25">
      <c r="A50" t="s">
        <v>276</v>
      </c>
      <c r="B50" t="s">
        <v>37</v>
      </c>
      <c r="C50" t="s">
        <v>214</v>
      </c>
      <c r="D50" t="s">
        <v>277</v>
      </c>
      <c r="E50" t="s">
        <v>2148</v>
      </c>
      <c r="F50" t="s">
        <v>268</v>
      </c>
      <c r="G50" t="s">
        <v>41</v>
      </c>
      <c r="H50">
        <v>264700</v>
      </c>
      <c r="I50" t="s">
        <v>3484</v>
      </c>
      <c r="J50" t="s">
        <v>269</v>
      </c>
      <c r="K50" t="s">
        <v>270</v>
      </c>
      <c r="L50" t="s">
        <v>44</v>
      </c>
      <c r="M50" s="7" t="s">
        <v>2260</v>
      </c>
      <c r="N50" s="7" t="s">
        <v>2458</v>
      </c>
      <c r="O50" s="7">
        <v>1.36</v>
      </c>
      <c r="P50" s="7">
        <v>1.56</v>
      </c>
      <c r="Q50">
        <v>30</v>
      </c>
      <c r="R50">
        <v>20</v>
      </c>
      <c r="X50">
        <v>-15</v>
      </c>
      <c r="Y50">
        <v>46</v>
      </c>
      <c r="Z50">
        <v>-15</v>
      </c>
      <c r="AA50">
        <v>24</v>
      </c>
      <c r="AG50" t="s">
        <v>2948</v>
      </c>
      <c r="AH50" t="s">
        <v>2919</v>
      </c>
      <c r="AN50" s="7">
        <v>6.35</v>
      </c>
      <c r="AO50" s="7">
        <v>12.7</v>
      </c>
      <c r="AP50" s="7">
        <v>32</v>
      </c>
      <c r="AQ50" t="s">
        <v>49</v>
      </c>
      <c r="AR50" t="s">
        <v>49</v>
      </c>
      <c r="AS50" t="s">
        <v>49</v>
      </c>
      <c r="AT50" t="s">
        <v>49</v>
      </c>
      <c r="AU50" t="s">
        <v>78</v>
      </c>
      <c r="AV50" s="7" t="s">
        <v>3019</v>
      </c>
      <c r="AW50" s="7" t="s">
        <v>3020</v>
      </c>
      <c r="AX50">
        <v>16</v>
      </c>
      <c r="BB50" t="s">
        <v>271</v>
      </c>
      <c r="BC50">
        <v>35</v>
      </c>
      <c r="BE50" s="7" t="s">
        <v>3085</v>
      </c>
      <c r="BF50" t="s">
        <v>49</v>
      </c>
      <c r="BH50">
        <v>52</v>
      </c>
      <c r="BI50" t="s">
        <v>120</v>
      </c>
      <c r="BS50" t="s">
        <v>278</v>
      </c>
      <c r="CH50">
        <v>632</v>
      </c>
      <c r="CI50">
        <v>692</v>
      </c>
      <c r="CJ50">
        <v>799</v>
      </c>
      <c r="CK50">
        <v>940</v>
      </c>
      <c r="CL50">
        <v>290</v>
      </c>
      <c r="CM50">
        <v>375</v>
      </c>
      <c r="CN50" s="2">
        <v>36</v>
      </c>
      <c r="CO50">
        <v>40</v>
      </c>
      <c r="CP50" s="2">
        <v>300</v>
      </c>
      <c r="CQ50">
        <v>400</v>
      </c>
      <c r="CR50">
        <v>1000</v>
      </c>
      <c r="CS50">
        <v>1238</v>
      </c>
      <c r="CT50">
        <v>700</v>
      </c>
      <c r="CU50">
        <v>875</v>
      </c>
      <c r="CV50" s="7">
        <v>35</v>
      </c>
      <c r="CW50" s="7">
        <v>44</v>
      </c>
    </row>
    <row r="51" spans="1:101" x14ac:dyDescent="0.25">
      <c r="A51" t="s">
        <v>279</v>
      </c>
      <c r="B51" t="s">
        <v>37</v>
      </c>
      <c r="C51" t="s">
        <v>214</v>
      </c>
      <c r="D51" t="s">
        <v>280</v>
      </c>
      <c r="E51" t="s">
        <v>2148</v>
      </c>
      <c r="F51" t="s">
        <v>268</v>
      </c>
      <c r="G51" t="s">
        <v>41</v>
      </c>
      <c r="H51">
        <v>324200</v>
      </c>
      <c r="I51" t="s">
        <v>3484</v>
      </c>
      <c r="J51" t="s">
        <v>269</v>
      </c>
      <c r="K51" t="s">
        <v>270</v>
      </c>
      <c r="L51" t="s">
        <v>44</v>
      </c>
      <c r="M51" s="7" t="s">
        <v>2261</v>
      </c>
      <c r="N51" s="7" t="s">
        <v>2459</v>
      </c>
      <c r="O51" s="7">
        <v>1.89</v>
      </c>
      <c r="P51" s="7">
        <v>1.85</v>
      </c>
      <c r="Q51">
        <v>30</v>
      </c>
      <c r="R51">
        <v>25</v>
      </c>
      <c r="X51">
        <v>-15</v>
      </c>
      <c r="Y51">
        <v>46</v>
      </c>
      <c r="Z51">
        <v>-15</v>
      </c>
      <c r="AA51">
        <v>24</v>
      </c>
      <c r="AG51" t="s">
        <v>2948</v>
      </c>
      <c r="AH51" t="s">
        <v>2919</v>
      </c>
      <c r="AN51" s="7">
        <v>6.35</v>
      </c>
      <c r="AO51" s="7">
        <v>12.7</v>
      </c>
      <c r="AP51" s="7">
        <v>32</v>
      </c>
      <c r="AQ51" t="s">
        <v>49</v>
      </c>
      <c r="AR51" t="s">
        <v>49</v>
      </c>
      <c r="AS51" t="s">
        <v>49</v>
      </c>
      <c r="AT51" t="s">
        <v>49</v>
      </c>
      <c r="AU51" t="s">
        <v>78</v>
      </c>
      <c r="AV51" s="7" t="s">
        <v>3021</v>
      </c>
      <c r="AW51" s="7" t="s">
        <v>3020</v>
      </c>
      <c r="AX51">
        <v>20</v>
      </c>
      <c r="BB51" t="s">
        <v>271</v>
      </c>
      <c r="BC51">
        <v>35</v>
      </c>
      <c r="BE51" s="7" t="s">
        <v>3086</v>
      </c>
      <c r="BF51" t="s">
        <v>49</v>
      </c>
      <c r="BH51">
        <v>68</v>
      </c>
      <c r="BI51" t="s">
        <v>120</v>
      </c>
      <c r="BS51" t="s">
        <v>281</v>
      </c>
      <c r="CH51">
        <v>716</v>
      </c>
      <c r="CI51">
        <v>776</v>
      </c>
      <c r="CJ51">
        <v>820</v>
      </c>
      <c r="CK51">
        <v>961</v>
      </c>
      <c r="CL51">
        <v>315</v>
      </c>
      <c r="CM51">
        <v>450</v>
      </c>
      <c r="CN51" s="2">
        <v>42</v>
      </c>
      <c r="CO51">
        <v>48</v>
      </c>
      <c r="CP51" s="2">
        <v>300</v>
      </c>
      <c r="CQ51">
        <v>400</v>
      </c>
      <c r="CR51">
        <v>1000</v>
      </c>
      <c r="CS51">
        <v>1238</v>
      </c>
      <c r="CT51">
        <v>700</v>
      </c>
      <c r="CU51">
        <v>875</v>
      </c>
      <c r="CV51" s="7">
        <v>36</v>
      </c>
      <c r="CW51" s="7">
        <v>43</v>
      </c>
    </row>
    <row r="52" spans="1:101" x14ac:dyDescent="0.25">
      <c r="A52" t="s">
        <v>282</v>
      </c>
      <c r="B52" t="s">
        <v>37</v>
      </c>
      <c r="C52" t="s">
        <v>214</v>
      </c>
      <c r="D52" t="s">
        <v>283</v>
      </c>
      <c r="E52" t="s">
        <v>2148</v>
      </c>
      <c r="F52" t="s">
        <v>268</v>
      </c>
      <c r="G52" t="s">
        <v>41</v>
      </c>
      <c r="H52">
        <v>408700</v>
      </c>
      <c r="I52" t="s">
        <v>3484</v>
      </c>
      <c r="J52" t="s">
        <v>269</v>
      </c>
      <c r="K52" t="s">
        <v>270</v>
      </c>
      <c r="L52" t="s">
        <v>44</v>
      </c>
      <c r="M52" s="7" t="s">
        <v>2262</v>
      </c>
      <c r="N52" s="7" t="s">
        <v>2460</v>
      </c>
      <c r="O52" s="7">
        <v>2.65</v>
      </c>
      <c r="P52" s="7">
        <v>2.63</v>
      </c>
      <c r="Q52">
        <v>50</v>
      </c>
      <c r="R52">
        <v>30</v>
      </c>
      <c r="X52">
        <v>-15</v>
      </c>
      <c r="Y52">
        <v>46</v>
      </c>
      <c r="Z52">
        <v>-15</v>
      </c>
      <c r="AA52">
        <v>24</v>
      </c>
      <c r="AG52" t="s">
        <v>2949</v>
      </c>
      <c r="AH52" t="s">
        <v>63</v>
      </c>
      <c r="AN52" s="7">
        <v>9.52</v>
      </c>
      <c r="AO52" s="7">
        <v>15.88</v>
      </c>
      <c r="AP52" s="7">
        <v>32</v>
      </c>
      <c r="AQ52" t="s">
        <v>49</v>
      </c>
      <c r="AR52" t="s">
        <v>49</v>
      </c>
      <c r="AS52" t="s">
        <v>49</v>
      </c>
      <c r="AT52" t="s">
        <v>49</v>
      </c>
      <c r="AU52" t="s">
        <v>78</v>
      </c>
      <c r="AV52" s="7" t="s">
        <v>191</v>
      </c>
      <c r="AW52" s="7" t="s">
        <v>3020</v>
      </c>
      <c r="AX52">
        <v>25</v>
      </c>
      <c r="BB52" t="s">
        <v>271</v>
      </c>
      <c r="BC52">
        <v>47</v>
      </c>
      <c r="BE52" s="7" t="s">
        <v>3087</v>
      </c>
      <c r="BF52" t="s">
        <v>49</v>
      </c>
      <c r="BH52">
        <v>85</v>
      </c>
      <c r="BI52" t="s">
        <v>120</v>
      </c>
      <c r="BS52" t="s">
        <v>284</v>
      </c>
      <c r="CH52">
        <v>788</v>
      </c>
      <c r="CI52">
        <v>966</v>
      </c>
      <c r="CJ52">
        <v>940</v>
      </c>
      <c r="CK52">
        <v>1027</v>
      </c>
      <c r="CL52">
        <v>320</v>
      </c>
      <c r="CM52">
        <v>445</v>
      </c>
      <c r="CN52" s="2">
        <v>52</v>
      </c>
      <c r="CO52">
        <v>60</v>
      </c>
      <c r="CP52" s="2">
        <v>300</v>
      </c>
      <c r="CQ52">
        <v>400</v>
      </c>
      <c r="CR52">
        <v>1000</v>
      </c>
      <c r="CS52">
        <v>1238</v>
      </c>
      <c r="CT52">
        <v>700</v>
      </c>
      <c r="CU52">
        <v>875</v>
      </c>
      <c r="CV52" s="7">
        <v>36</v>
      </c>
      <c r="CW52" s="7">
        <v>44</v>
      </c>
    </row>
    <row r="53" spans="1:101" x14ac:dyDescent="0.25">
      <c r="A53" t="s">
        <v>285</v>
      </c>
      <c r="B53" t="s">
        <v>37</v>
      </c>
      <c r="C53" t="s">
        <v>214</v>
      </c>
      <c r="D53" t="s">
        <v>286</v>
      </c>
      <c r="E53" t="s">
        <v>2148</v>
      </c>
      <c r="F53" t="s">
        <v>268</v>
      </c>
      <c r="G53" t="s">
        <v>41</v>
      </c>
      <c r="H53">
        <v>438600</v>
      </c>
      <c r="I53" t="s">
        <v>3484</v>
      </c>
      <c r="J53" t="s">
        <v>269</v>
      </c>
      <c r="K53" t="s">
        <v>270</v>
      </c>
      <c r="L53" t="s">
        <v>44</v>
      </c>
      <c r="M53" s="7" t="s">
        <v>2263</v>
      </c>
      <c r="N53" s="7" t="s">
        <v>2461</v>
      </c>
      <c r="O53" s="7">
        <v>2.86</v>
      </c>
      <c r="P53" s="7">
        <v>2.48</v>
      </c>
      <c r="Q53">
        <v>50</v>
      </c>
      <c r="R53">
        <v>30</v>
      </c>
      <c r="X53">
        <v>-15</v>
      </c>
      <c r="Y53">
        <v>46</v>
      </c>
      <c r="Z53">
        <v>-15</v>
      </c>
      <c r="AA53">
        <v>24</v>
      </c>
      <c r="AG53" t="s">
        <v>2950</v>
      </c>
      <c r="AH53" t="s">
        <v>2951</v>
      </c>
      <c r="AN53" s="7">
        <v>9.52</v>
      </c>
      <c r="AO53" s="7">
        <v>15.88</v>
      </c>
      <c r="AP53" s="7">
        <v>32</v>
      </c>
      <c r="AQ53" t="s">
        <v>49</v>
      </c>
      <c r="AR53" t="s">
        <v>49</v>
      </c>
      <c r="AS53" t="s">
        <v>49</v>
      </c>
      <c r="AT53" t="s">
        <v>49</v>
      </c>
      <c r="AU53" t="s">
        <v>78</v>
      </c>
      <c r="AV53" s="7" t="s">
        <v>191</v>
      </c>
      <c r="AW53" s="7" t="s">
        <v>3020</v>
      </c>
      <c r="AX53">
        <v>25</v>
      </c>
      <c r="BB53" t="s">
        <v>271</v>
      </c>
      <c r="BC53">
        <v>47</v>
      </c>
      <c r="BE53" s="7" t="s">
        <v>3088</v>
      </c>
      <c r="BF53" t="s">
        <v>49</v>
      </c>
      <c r="BH53">
        <v>95</v>
      </c>
      <c r="BI53" t="s">
        <v>120</v>
      </c>
      <c r="BS53" t="s">
        <v>287</v>
      </c>
      <c r="CH53">
        <v>788</v>
      </c>
      <c r="CI53">
        <v>966</v>
      </c>
      <c r="CJ53">
        <v>940</v>
      </c>
      <c r="CK53">
        <v>1027</v>
      </c>
      <c r="CL53">
        <v>320</v>
      </c>
      <c r="CM53">
        <v>445</v>
      </c>
      <c r="CN53" s="2">
        <v>52</v>
      </c>
      <c r="CO53">
        <v>60</v>
      </c>
      <c r="CP53" s="2">
        <v>300</v>
      </c>
      <c r="CQ53">
        <v>400</v>
      </c>
      <c r="CR53">
        <v>1400</v>
      </c>
      <c r="CS53">
        <v>1638</v>
      </c>
      <c r="CT53">
        <v>700</v>
      </c>
      <c r="CU53">
        <v>875</v>
      </c>
      <c r="CV53" s="7">
        <v>46</v>
      </c>
      <c r="CW53" s="7">
        <v>56</v>
      </c>
    </row>
    <row r="54" spans="1:101" x14ac:dyDescent="0.25">
      <c r="A54" t="s">
        <v>288</v>
      </c>
      <c r="B54" t="s">
        <v>37</v>
      </c>
      <c r="C54" t="s">
        <v>214</v>
      </c>
      <c r="D54" t="s">
        <v>289</v>
      </c>
      <c r="E54" t="s">
        <v>2148</v>
      </c>
      <c r="F54" t="s">
        <v>268</v>
      </c>
      <c r="G54" t="s">
        <v>41</v>
      </c>
      <c r="H54">
        <v>481400</v>
      </c>
      <c r="I54" t="s">
        <v>3484</v>
      </c>
      <c r="J54" t="s">
        <v>269</v>
      </c>
      <c r="K54" t="s">
        <v>270</v>
      </c>
      <c r="L54" t="s">
        <v>44</v>
      </c>
      <c r="M54" s="7" t="s">
        <v>2252</v>
      </c>
      <c r="N54" s="7" t="s">
        <v>2462</v>
      </c>
      <c r="O54" s="7">
        <v>3.53</v>
      </c>
      <c r="P54" s="7">
        <v>3.37</v>
      </c>
      <c r="Q54">
        <v>50</v>
      </c>
      <c r="R54">
        <v>30</v>
      </c>
      <c r="X54">
        <v>-15</v>
      </c>
      <c r="Y54">
        <v>46</v>
      </c>
      <c r="Z54">
        <v>-15</v>
      </c>
      <c r="AA54">
        <v>24</v>
      </c>
      <c r="AE54" t="s">
        <v>3485</v>
      </c>
      <c r="AF54" t="s">
        <v>3486</v>
      </c>
      <c r="AN54" s="7">
        <v>9.52</v>
      </c>
      <c r="AO54" s="7">
        <v>15.88</v>
      </c>
      <c r="AP54" s="7">
        <v>32</v>
      </c>
      <c r="AQ54" t="s">
        <v>49</v>
      </c>
      <c r="AR54" t="s">
        <v>49</v>
      </c>
      <c r="AS54" t="s">
        <v>49</v>
      </c>
      <c r="AT54" t="s">
        <v>49</v>
      </c>
      <c r="AU54" t="s">
        <v>78</v>
      </c>
      <c r="AV54" s="7" t="s">
        <v>191</v>
      </c>
      <c r="AW54" s="7" t="s">
        <v>3020</v>
      </c>
      <c r="AX54">
        <v>32</v>
      </c>
      <c r="BB54" t="s">
        <v>271</v>
      </c>
      <c r="BC54">
        <v>60</v>
      </c>
      <c r="BE54" s="7" t="s">
        <v>3089</v>
      </c>
      <c r="BF54" t="s">
        <v>49</v>
      </c>
      <c r="BH54">
        <v>121</v>
      </c>
      <c r="BI54" t="s">
        <v>120</v>
      </c>
      <c r="BS54" t="s">
        <v>290</v>
      </c>
      <c r="CH54">
        <v>988</v>
      </c>
      <c r="CI54">
        <v>1176</v>
      </c>
      <c r="CJ54">
        <v>940</v>
      </c>
      <c r="CK54">
        <v>1027</v>
      </c>
      <c r="CL54">
        <v>320</v>
      </c>
      <c r="CM54">
        <v>445</v>
      </c>
      <c r="CN54" s="2">
        <v>67</v>
      </c>
      <c r="CO54">
        <v>75</v>
      </c>
      <c r="CP54" s="2">
        <v>300</v>
      </c>
      <c r="CQ54">
        <v>400</v>
      </c>
      <c r="CR54">
        <v>1400</v>
      </c>
      <c r="CS54">
        <v>1638</v>
      </c>
      <c r="CT54">
        <v>700</v>
      </c>
      <c r="CU54">
        <v>875</v>
      </c>
      <c r="CV54" s="7">
        <v>46</v>
      </c>
      <c r="CW54" s="7">
        <v>56</v>
      </c>
    </row>
    <row r="55" spans="1:101" x14ac:dyDescent="0.25">
      <c r="A55" t="s">
        <v>291</v>
      </c>
      <c r="B55" t="s">
        <v>37</v>
      </c>
      <c r="C55" t="s">
        <v>214</v>
      </c>
      <c r="D55" t="s">
        <v>292</v>
      </c>
      <c r="E55" t="s">
        <v>2148</v>
      </c>
      <c r="F55" t="s">
        <v>268</v>
      </c>
      <c r="G55" t="s">
        <v>41</v>
      </c>
      <c r="H55">
        <v>544600</v>
      </c>
      <c r="I55" t="s">
        <v>3484</v>
      </c>
      <c r="J55" t="s">
        <v>269</v>
      </c>
      <c r="K55" t="s">
        <v>270</v>
      </c>
      <c r="L55" t="s">
        <v>44</v>
      </c>
      <c r="M55" s="7" t="s">
        <v>2264</v>
      </c>
      <c r="N55" s="7" t="s">
        <v>2463</v>
      </c>
      <c r="O55" s="7">
        <v>4.42</v>
      </c>
      <c r="P55" s="7">
        <v>3.89</v>
      </c>
      <c r="Q55">
        <v>50</v>
      </c>
      <c r="R55">
        <v>30</v>
      </c>
      <c r="X55">
        <v>-15</v>
      </c>
      <c r="Y55">
        <v>46</v>
      </c>
      <c r="Z55">
        <v>-15</v>
      </c>
      <c r="AA55">
        <v>24</v>
      </c>
      <c r="AE55" t="s">
        <v>3487</v>
      </c>
      <c r="AF55" t="s">
        <v>3488</v>
      </c>
      <c r="AN55" s="7">
        <v>9.52</v>
      </c>
      <c r="AO55" s="7">
        <v>15.88</v>
      </c>
      <c r="AP55" s="7">
        <v>32</v>
      </c>
      <c r="AQ55" t="s">
        <v>49</v>
      </c>
      <c r="AR55" t="s">
        <v>49</v>
      </c>
      <c r="AS55" t="s">
        <v>49</v>
      </c>
      <c r="AT55" t="s">
        <v>49</v>
      </c>
      <c r="AU55" t="s">
        <v>78</v>
      </c>
      <c r="AV55" s="7" t="s">
        <v>191</v>
      </c>
      <c r="AW55" s="7" t="s">
        <v>3020</v>
      </c>
      <c r="AX55">
        <v>32</v>
      </c>
      <c r="BB55" t="s">
        <v>271</v>
      </c>
      <c r="BC55">
        <v>60</v>
      </c>
      <c r="BE55" s="7" t="s">
        <v>3090</v>
      </c>
      <c r="BF55" t="s">
        <v>49</v>
      </c>
      <c r="BH55">
        <v>134</v>
      </c>
      <c r="BI55" t="s">
        <v>120</v>
      </c>
      <c r="BS55" t="s">
        <v>290</v>
      </c>
      <c r="CH55">
        <v>998</v>
      </c>
      <c r="CI55">
        <v>1176</v>
      </c>
      <c r="CJ55">
        <v>940</v>
      </c>
      <c r="CK55">
        <v>1027</v>
      </c>
      <c r="CL55">
        <v>320</v>
      </c>
      <c r="CM55">
        <v>445</v>
      </c>
      <c r="CN55" s="2">
        <v>67</v>
      </c>
      <c r="CO55">
        <v>75</v>
      </c>
      <c r="CP55" s="2">
        <v>300</v>
      </c>
      <c r="CQ55">
        <v>400</v>
      </c>
      <c r="CR55">
        <v>1400</v>
      </c>
      <c r="CS55">
        <v>1638</v>
      </c>
      <c r="CT55">
        <v>700</v>
      </c>
      <c r="CU55">
        <v>875</v>
      </c>
      <c r="CV55" s="7">
        <v>46</v>
      </c>
      <c r="CW55" s="7">
        <v>56</v>
      </c>
    </row>
    <row r="56" spans="1:101" x14ac:dyDescent="0.25">
      <c r="A56" t="s">
        <v>293</v>
      </c>
      <c r="B56" t="s">
        <v>37</v>
      </c>
      <c r="C56" t="s">
        <v>214</v>
      </c>
      <c r="D56" t="s">
        <v>294</v>
      </c>
      <c r="E56" t="s">
        <v>2148</v>
      </c>
      <c r="F56" t="s">
        <v>295</v>
      </c>
      <c r="G56" t="s">
        <v>41</v>
      </c>
      <c r="H56">
        <v>507700</v>
      </c>
      <c r="I56" t="s">
        <v>3489</v>
      </c>
      <c r="J56" t="s">
        <v>296</v>
      </c>
      <c r="K56" t="s">
        <v>297</v>
      </c>
      <c r="L56" t="s">
        <v>44</v>
      </c>
      <c r="M56" s="7" t="s">
        <v>2265</v>
      </c>
      <c r="N56" s="7" t="s">
        <v>2464</v>
      </c>
      <c r="O56" s="7" t="s">
        <v>2465</v>
      </c>
      <c r="P56" s="7" t="s">
        <v>2466</v>
      </c>
      <c r="Q56">
        <v>75</v>
      </c>
      <c r="R56">
        <v>30</v>
      </c>
      <c r="U56">
        <v>1</v>
      </c>
      <c r="X56">
        <v>-15</v>
      </c>
      <c r="Y56">
        <v>46</v>
      </c>
      <c r="Z56">
        <v>-15</v>
      </c>
      <c r="AA56">
        <v>24</v>
      </c>
      <c r="AC56" t="s">
        <v>298</v>
      </c>
      <c r="AD56">
        <v>90</v>
      </c>
      <c r="AE56" t="s">
        <v>3490</v>
      </c>
      <c r="AF56" t="s">
        <v>3491</v>
      </c>
      <c r="AI56" t="s">
        <v>299</v>
      </c>
      <c r="AJ56">
        <v>220</v>
      </c>
      <c r="AK56" t="s">
        <v>300</v>
      </c>
      <c r="AL56" t="s">
        <v>301</v>
      </c>
      <c r="AM56">
        <v>380</v>
      </c>
      <c r="AN56" s="7">
        <v>9.52</v>
      </c>
      <c r="AO56" s="7">
        <v>15.88</v>
      </c>
      <c r="AP56" s="7" t="s">
        <v>3009</v>
      </c>
      <c r="AQ56" t="s">
        <v>49</v>
      </c>
      <c r="AR56" t="s">
        <v>49</v>
      </c>
      <c r="AS56" t="s">
        <v>49</v>
      </c>
      <c r="AT56" t="s">
        <v>49</v>
      </c>
      <c r="AU56" t="s">
        <v>50</v>
      </c>
      <c r="AV56" s="7" t="s">
        <v>3022</v>
      </c>
      <c r="AW56" s="7" t="s">
        <v>3020</v>
      </c>
      <c r="AX56">
        <v>16</v>
      </c>
      <c r="BE56" s="7" t="s">
        <v>3091</v>
      </c>
      <c r="BF56" t="s">
        <v>49</v>
      </c>
      <c r="BH56">
        <v>130</v>
      </c>
      <c r="BI56" t="s">
        <v>260</v>
      </c>
      <c r="BS56" t="s">
        <v>238</v>
      </c>
      <c r="CH56">
        <v>1290</v>
      </c>
      <c r="CI56">
        <v>1460</v>
      </c>
      <c r="CJ56">
        <v>900</v>
      </c>
      <c r="CK56">
        <v>1050</v>
      </c>
      <c r="CL56">
        <v>330</v>
      </c>
      <c r="CM56">
        <v>445</v>
      </c>
      <c r="CN56" s="2">
        <v>104</v>
      </c>
      <c r="CO56">
        <v>114</v>
      </c>
      <c r="CP56" s="2">
        <v>400</v>
      </c>
      <c r="CQ56">
        <v>460</v>
      </c>
      <c r="CR56">
        <v>1050</v>
      </c>
      <c r="CS56">
        <v>1230</v>
      </c>
      <c r="CT56">
        <v>500</v>
      </c>
      <c r="CU56">
        <v>640</v>
      </c>
      <c r="CV56" s="7">
        <v>46</v>
      </c>
      <c r="CW56" s="7">
        <v>51</v>
      </c>
    </row>
    <row r="57" spans="1:101" x14ac:dyDescent="0.25">
      <c r="A57" t="s">
        <v>302</v>
      </c>
      <c r="B57" t="s">
        <v>37</v>
      </c>
      <c r="C57" t="s">
        <v>214</v>
      </c>
      <c r="D57" t="s">
        <v>303</v>
      </c>
      <c r="E57" t="s">
        <v>2148</v>
      </c>
      <c r="F57" t="s">
        <v>295</v>
      </c>
      <c r="G57" t="s">
        <v>41</v>
      </c>
      <c r="H57">
        <v>477700</v>
      </c>
      <c r="I57" t="s">
        <v>3489</v>
      </c>
      <c r="J57" t="s">
        <v>304</v>
      </c>
      <c r="K57" t="s">
        <v>305</v>
      </c>
      <c r="L57" t="s">
        <v>44</v>
      </c>
      <c r="M57" s="7" t="s">
        <v>2266</v>
      </c>
      <c r="N57" s="7" t="s">
        <v>2467</v>
      </c>
      <c r="O57" s="7" t="s">
        <v>2468</v>
      </c>
      <c r="P57" s="7" t="s">
        <v>2469</v>
      </c>
      <c r="Q57">
        <v>50</v>
      </c>
      <c r="R57">
        <v>30</v>
      </c>
      <c r="U57">
        <v>1</v>
      </c>
      <c r="X57">
        <v>-15</v>
      </c>
      <c r="Y57">
        <v>46</v>
      </c>
      <c r="Z57">
        <v>-15</v>
      </c>
      <c r="AA57">
        <v>24</v>
      </c>
      <c r="AC57" t="s">
        <v>306</v>
      </c>
      <c r="AD57">
        <v>90</v>
      </c>
      <c r="AE57" t="s">
        <v>3477</v>
      </c>
      <c r="AF57" t="s">
        <v>3492</v>
      </c>
      <c r="AI57" t="s">
        <v>299</v>
      </c>
      <c r="AJ57">
        <v>220</v>
      </c>
      <c r="AK57" t="s">
        <v>307</v>
      </c>
      <c r="AL57" t="s">
        <v>200</v>
      </c>
      <c r="AM57">
        <v>220</v>
      </c>
      <c r="AN57" s="7">
        <v>9.52</v>
      </c>
      <c r="AO57" s="7">
        <v>15.88</v>
      </c>
      <c r="AP57" s="7" t="s">
        <v>3009</v>
      </c>
      <c r="AQ57" t="s">
        <v>49</v>
      </c>
      <c r="AR57" t="s">
        <v>49</v>
      </c>
      <c r="AS57" t="s">
        <v>49</v>
      </c>
      <c r="AT57" t="s">
        <v>49</v>
      </c>
      <c r="AU57" t="s">
        <v>50</v>
      </c>
      <c r="AV57" s="7" t="s">
        <v>308</v>
      </c>
      <c r="AW57" s="7" t="s">
        <v>3020</v>
      </c>
      <c r="AX57">
        <v>32</v>
      </c>
      <c r="BE57" s="7" t="s">
        <v>3092</v>
      </c>
      <c r="BF57" t="s">
        <v>49</v>
      </c>
      <c r="BH57">
        <v>130</v>
      </c>
      <c r="BI57" t="s">
        <v>120</v>
      </c>
      <c r="BS57" t="s">
        <v>238</v>
      </c>
      <c r="CH57">
        <v>1290</v>
      </c>
      <c r="CI57">
        <v>1460</v>
      </c>
      <c r="CJ57">
        <v>900</v>
      </c>
      <c r="CK57">
        <v>1050</v>
      </c>
      <c r="CL57">
        <v>330</v>
      </c>
      <c r="CM57">
        <v>445</v>
      </c>
      <c r="CN57" s="2">
        <v>86</v>
      </c>
      <c r="CO57">
        <v>95</v>
      </c>
      <c r="CP57" s="2">
        <v>400</v>
      </c>
      <c r="CQ57">
        <v>460</v>
      </c>
      <c r="CR57">
        <v>1050</v>
      </c>
      <c r="CS57">
        <v>1230</v>
      </c>
      <c r="CT57">
        <v>500</v>
      </c>
      <c r="CU57">
        <v>640</v>
      </c>
      <c r="CV57" s="7">
        <v>46</v>
      </c>
      <c r="CW57" s="7">
        <v>51</v>
      </c>
    </row>
    <row r="58" spans="1:101" x14ac:dyDescent="0.25">
      <c r="A58" t="s">
        <v>309</v>
      </c>
      <c r="B58" t="s">
        <v>37</v>
      </c>
      <c r="C58" t="s">
        <v>214</v>
      </c>
      <c r="D58" t="s">
        <v>310</v>
      </c>
      <c r="E58" t="s">
        <v>2148</v>
      </c>
      <c r="F58" t="s">
        <v>295</v>
      </c>
      <c r="G58" t="s">
        <v>41</v>
      </c>
      <c r="H58">
        <v>664100</v>
      </c>
      <c r="I58" t="s">
        <v>3489</v>
      </c>
      <c r="J58" t="s">
        <v>311</v>
      </c>
      <c r="K58" t="s">
        <v>312</v>
      </c>
      <c r="L58" t="s">
        <v>44</v>
      </c>
      <c r="M58" s="7" t="s">
        <v>2267</v>
      </c>
      <c r="N58" s="7" t="s">
        <v>2470</v>
      </c>
      <c r="O58" s="7" t="s">
        <v>2471</v>
      </c>
      <c r="P58" s="7" t="s">
        <v>2472</v>
      </c>
      <c r="Q58">
        <v>75</v>
      </c>
      <c r="R58">
        <v>30</v>
      </c>
      <c r="U58">
        <v>1</v>
      </c>
      <c r="X58">
        <v>-15</v>
      </c>
      <c r="Y58">
        <v>46</v>
      </c>
      <c r="Z58">
        <v>-15</v>
      </c>
      <c r="AA58">
        <v>24</v>
      </c>
      <c r="AC58" t="s">
        <v>313</v>
      </c>
      <c r="AD58">
        <v>100</v>
      </c>
      <c r="AE58" t="s">
        <v>3493</v>
      </c>
      <c r="AF58" t="s">
        <v>3494</v>
      </c>
      <c r="AI58" t="s">
        <v>314</v>
      </c>
      <c r="AJ58">
        <v>220</v>
      </c>
      <c r="AK58" t="s">
        <v>315</v>
      </c>
      <c r="AL58" t="s">
        <v>301</v>
      </c>
      <c r="AM58">
        <v>380</v>
      </c>
      <c r="AN58" s="7">
        <v>9.52</v>
      </c>
      <c r="AO58" s="7">
        <v>15.88</v>
      </c>
      <c r="AP58" s="7" t="s">
        <v>3009</v>
      </c>
      <c r="AQ58" t="s">
        <v>49</v>
      </c>
      <c r="AR58" t="s">
        <v>49</v>
      </c>
      <c r="AS58" t="s">
        <v>49</v>
      </c>
      <c r="AT58" t="s">
        <v>49</v>
      </c>
      <c r="AU58" t="s">
        <v>50</v>
      </c>
      <c r="AV58" s="7" t="s">
        <v>3022</v>
      </c>
      <c r="AW58" s="7" t="s">
        <v>3020</v>
      </c>
      <c r="AX58">
        <v>16</v>
      </c>
      <c r="BE58" s="7" t="s">
        <v>3093</v>
      </c>
      <c r="BF58" t="s">
        <v>49</v>
      </c>
      <c r="BH58">
        <v>140</v>
      </c>
      <c r="BI58" t="s">
        <v>260</v>
      </c>
      <c r="BS58" t="s">
        <v>238</v>
      </c>
      <c r="CH58">
        <v>1290</v>
      </c>
      <c r="CI58">
        <v>1460</v>
      </c>
      <c r="CJ58">
        <v>900</v>
      </c>
      <c r="CK58">
        <v>1050</v>
      </c>
      <c r="CL58">
        <v>330</v>
      </c>
      <c r="CM58">
        <v>445</v>
      </c>
      <c r="CN58" s="2">
        <v>104</v>
      </c>
      <c r="CO58">
        <v>114</v>
      </c>
      <c r="CP58" s="2">
        <v>400</v>
      </c>
      <c r="CQ58">
        <v>460</v>
      </c>
      <c r="CR58">
        <v>1050</v>
      </c>
      <c r="CS58">
        <v>1230</v>
      </c>
      <c r="CT58">
        <v>500</v>
      </c>
      <c r="CU58">
        <v>640</v>
      </c>
      <c r="CV58" s="7">
        <v>46</v>
      </c>
      <c r="CW58" s="7">
        <v>51</v>
      </c>
    </row>
    <row r="59" spans="1:101" x14ac:dyDescent="0.25">
      <c r="A59" t="s">
        <v>316</v>
      </c>
      <c r="B59" t="s">
        <v>37</v>
      </c>
      <c r="C59" t="s">
        <v>214</v>
      </c>
      <c r="D59" t="s">
        <v>317</v>
      </c>
      <c r="E59" t="s">
        <v>2148</v>
      </c>
      <c r="F59" t="s">
        <v>295</v>
      </c>
      <c r="G59" t="s">
        <v>75</v>
      </c>
      <c r="H59">
        <v>628400</v>
      </c>
      <c r="I59" t="s">
        <v>3489</v>
      </c>
      <c r="J59" t="s">
        <v>318</v>
      </c>
      <c r="K59" t="s">
        <v>319</v>
      </c>
      <c r="L59" t="s">
        <v>44</v>
      </c>
      <c r="AQ59" t="s">
        <v>49</v>
      </c>
      <c r="AR59" t="s">
        <v>49</v>
      </c>
      <c r="AS59" t="s">
        <v>49</v>
      </c>
      <c r="AT59" t="s">
        <v>49</v>
      </c>
      <c r="BF59" t="s">
        <v>49</v>
      </c>
      <c r="CH59">
        <v>1290</v>
      </c>
      <c r="CI59">
        <v>1460</v>
      </c>
      <c r="CJ59">
        <v>900</v>
      </c>
      <c r="CK59">
        <v>1050</v>
      </c>
      <c r="CL59">
        <v>330</v>
      </c>
      <c r="CM59">
        <v>445</v>
      </c>
      <c r="CN59" s="2">
        <v>86</v>
      </c>
      <c r="CO59">
        <v>95</v>
      </c>
      <c r="CP59" s="2">
        <v>400</v>
      </c>
      <c r="CQ59">
        <v>460</v>
      </c>
      <c r="CR59">
        <v>1050</v>
      </c>
      <c r="CS59">
        <v>1230</v>
      </c>
      <c r="CT59">
        <v>500</v>
      </c>
      <c r="CU59">
        <v>640</v>
      </c>
      <c r="CV59" s="7">
        <v>46</v>
      </c>
      <c r="CW59" s="7">
        <v>51</v>
      </c>
    </row>
    <row r="60" spans="1:101" x14ac:dyDescent="0.25">
      <c r="A60" t="s">
        <v>320</v>
      </c>
      <c r="B60" t="s">
        <v>37</v>
      </c>
      <c r="C60" t="s">
        <v>214</v>
      </c>
      <c r="D60" t="s">
        <v>321</v>
      </c>
      <c r="E60" t="s">
        <v>2148</v>
      </c>
      <c r="F60" t="s">
        <v>295</v>
      </c>
      <c r="G60" t="s">
        <v>41</v>
      </c>
      <c r="H60">
        <v>692400</v>
      </c>
      <c r="I60" t="s">
        <v>3489</v>
      </c>
      <c r="J60" t="s">
        <v>322</v>
      </c>
      <c r="K60" t="s">
        <v>323</v>
      </c>
      <c r="L60" t="s">
        <v>44</v>
      </c>
      <c r="M60" s="7" t="s">
        <v>2268</v>
      </c>
      <c r="N60" s="7" t="s">
        <v>2473</v>
      </c>
      <c r="O60" s="7" t="s">
        <v>2474</v>
      </c>
      <c r="P60" s="7" t="s">
        <v>2475</v>
      </c>
      <c r="Q60">
        <v>75</v>
      </c>
      <c r="R60">
        <v>30</v>
      </c>
      <c r="U60">
        <v>1</v>
      </c>
      <c r="X60">
        <v>-15</v>
      </c>
      <c r="Y60">
        <v>46</v>
      </c>
      <c r="Z60">
        <v>-15</v>
      </c>
      <c r="AA60">
        <v>24</v>
      </c>
      <c r="AC60" t="s">
        <v>324</v>
      </c>
      <c r="AD60">
        <v>115</v>
      </c>
      <c r="AE60" t="s">
        <v>3495</v>
      </c>
      <c r="AF60" t="s">
        <v>3496</v>
      </c>
      <c r="AI60" t="s">
        <v>325</v>
      </c>
      <c r="AJ60">
        <v>220</v>
      </c>
      <c r="AK60" t="s">
        <v>326</v>
      </c>
      <c r="AL60" t="s">
        <v>301</v>
      </c>
      <c r="AM60">
        <v>380</v>
      </c>
      <c r="AN60" s="7">
        <v>9.52</v>
      </c>
      <c r="AO60" s="7">
        <v>15.88</v>
      </c>
      <c r="AP60" s="7" t="s">
        <v>3009</v>
      </c>
      <c r="AQ60" t="s">
        <v>49</v>
      </c>
      <c r="AR60" t="s">
        <v>49</v>
      </c>
      <c r="AS60" t="s">
        <v>49</v>
      </c>
      <c r="AT60" t="s">
        <v>49</v>
      </c>
      <c r="AU60" t="s">
        <v>50</v>
      </c>
      <c r="AV60" s="7" t="s">
        <v>3022</v>
      </c>
      <c r="AW60" s="7" t="s">
        <v>3020</v>
      </c>
      <c r="AX60">
        <v>16</v>
      </c>
      <c r="BE60" s="7" t="s">
        <v>3094</v>
      </c>
      <c r="BF60" t="s">
        <v>49</v>
      </c>
      <c r="BH60">
        <v>150</v>
      </c>
      <c r="BI60" t="s">
        <v>260</v>
      </c>
      <c r="BS60" t="s">
        <v>327</v>
      </c>
      <c r="CH60">
        <v>1290</v>
      </c>
      <c r="CI60">
        <v>1460</v>
      </c>
      <c r="CJ60">
        <v>900</v>
      </c>
      <c r="CK60">
        <v>1050</v>
      </c>
      <c r="CL60">
        <v>330</v>
      </c>
      <c r="CM60">
        <v>445</v>
      </c>
      <c r="CN60" s="2">
        <v>104</v>
      </c>
      <c r="CO60">
        <v>114</v>
      </c>
      <c r="CP60" s="2">
        <v>425</v>
      </c>
      <c r="CQ60">
        <v>490</v>
      </c>
      <c r="CR60">
        <v>1250</v>
      </c>
      <c r="CS60">
        <v>1440</v>
      </c>
      <c r="CT60">
        <v>490</v>
      </c>
      <c r="CU60">
        <v>655</v>
      </c>
      <c r="CV60" s="7">
        <v>54</v>
      </c>
      <c r="CW60" s="7">
        <v>61</v>
      </c>
    </row>
    <row r="61" spans="1:101" x14ac:dyDescent="0.25">
      <c r="A61" t="s">
        <v>328</v>
      </c>
      <c r="B61" t="s">
        <v>37</v>
      </c>
      <c r="C61" t="s">
        <v>214</v>
      </c>
      <c r="D61" t="s">
        <v>329</v>
      </c>
      <c r="E61" t="s">
        <v>2148</v>
      </c>
      <c r="F61" t="s">
        <v>295</v>
      </c>
      <c r="G61" t="s">
        <v>75</v>
      </c>
      <c r="H61">
        <v>809400</v>
      </c>
      <c r="I61" t="s">
        <v>3489</v>
      </c>
      <c r="J61" t="s">
        <v>318</v>
      </c>
      <c r="K61" t="s">
        <v>319</v>
      </c>
      <c r="L61" t="s">
        <v>44</v>
      </c>
      <c r="M61" s="7" t="s">
        <v>2269</v>
      </c>
      <c r="N61" s="7" t="s">
        <v>2476</v>
      </c>
      <c r="O61" s="7">
        <v>5.99</v>
      </c>
      <c r="P61" s="7">
        <v>6.12</v>
      </c>
      <c r="Q61">
        <v>100</v>
      </c>
      <c r="R61">
        <v>30</v>
      </c>
      <c r="U61">
        <v>1</v>
      </c>
      <c r="X61">
        <v>-15</v>
      </c>
      <c r="Y61">
        <v>46</v>
      </c>
      <c r="Z61">
        <v>-20</v>
      </c>
      <c r="AA61">
        <v>24</v>
      </c>
      <c r="AD61">
        <v>130</v>
      </c>
      <c r="AE61" t="s">
        <v>3497</v>
      </c>
      <c r="AF61" t="s">
        <v>3498</v>
      </c>
      <c r="AN61" s="7">
        <v>12.7</v>
      </c>
      <c r="AO61" s="7">
        <v>25.4</v>
      </c>
      <c r="AP61" s="7" t="s">
        <v>3010</v>
      </c>
      <c r="AQ61" t="s">
        <v>49</v>
      </c>
      <c r="AR61" t="s">
        <v>49</v>
      </c>
      <c r="AS61" t="s">
        <v>49</v>
      </c>
      <c r="AT61" t="s">
        <v>49</v>
      </c>
      <c r="AU61" t="s">
        <v>50</v>
      </c>
      <c r="AV61" s="7" t="s">
        <v>330</v>
      </c>
      <c r="AW61" s="7" t="s">
        <v>3020</v>
      </c>
      <c r="AX61">
        <v>30</v>
      </c>
      <c r="BE61" s="7" t="s">
        <v>3095</v>
      </c>
      <c r="BF61" t="s">
        <v>49</v>
      </c>
      <c r="BH61">
        <v>180</v>
      </c>
      <c r="BI61" t="s">
        <v>260</v>
      </c>
      <c r="BS61" t="s">
        <v>331</v>
      </c>
      <c r="CH61">
        <v>1428</v>
      </c>
      <c r="CI61">
        <v>1557</v>
      </c>
      <c r="CJ61">
        <v>1080</v>
      </c>
      <c r="CK61">
        <v>1174</v>
      </c>
      <c r="CL61">
        <v>480</v>
      </c>
      <c r="CM61">
        <v>600</v>
      </c>
      <c r="CN61" s="2">
        <v>163</v>
      </c>
      <c r="CO61">
        <v>181</v>
      </c>
      <c r="CP61" s="2">
        <v>360</v>
      </c>
      <c r="CQ61">
        <v>460</v>
      </c>
      <c r="CR61">
        <v>1400</v>
      </c>
      <c r="CS61">
        <v>1640</v>
      </c>
      <c r="CT61">
        <v>850</v>
      </c>
      <c r="CU61">
        <v>1030</v>
      </c>
      <c r="CV61" s="7">
        <v>69</v>
      </c>
      <c r="CW61" s="7">
        <v>80</v>
      </c>
    </row>
    <row r="62" spans="1:101" x14ac:dyDescent="0.25">
      <c r="A62" t="s">
        <v>332</v>
      </c>
      <c r="B62" t="s">
        <v>37</v>
      </c>
      <c r="C62" t="s">
        <v>214</v>
      </c>
      <c r="D62" t="s">
        <v>333</v>
      </c>
      <c r="E62" t="s">
        <v>2148</v>
      </c>
      <c r="F62" t="s">
        <v>295</v>
      </c>
      <c r="G62" t="s">
        <v>75</v>
      </c>
      <c r="H62">
        <v>856100</v>
      </c>
      <c r="I62" t="s">
        <v>3489</v>
      </c>
      <c r="J62" t="s">
        <v>318</v>
      </c>
      <c r="K62" t="s">
        <v>319</v>
      </c>
      <c r="L62" t="s">
        <v>44</v>
      </c>
      <c r="M62" s="7" t="s">
        <v>2270</v>
      </c>
      <c r="N62" s="7" t="s">
        <v>2477</v>
      </c>
      <c r="O62" s="7">
        <v>7.24</v>
      </c>
      <c r="P62" s="7">
        <v>7.65</v>
      </c>
      <c r="Q62">
        <v>100</v>
      </c>
      <c r="R62">
        <v>30</v>
      </c>
      <c r="U62">
        <v>1</v>
      </c>
      <c r="X62">
        <v>-15</v>
      </c>
      <c r="Y62">
        <v>46</v>
      </c>
      <c r="Z62">
        <v>-20</v>
      </c>
      <c r="AA62">
        <v>24</v>
      </c>
      <c r="AD62">
        <v>150</v>
      </c>
      <c r="AE62" t="s">
        <v>3499</v>
      </c>
      <c r="AF62" t="s">
        <v>3500</v>
      </c>
      <c r="AN62" s="7">
        <v>12.7</v>
      </c>
      <c r="AO62" s="7">
        <v>25.4</v>
      </c>
      <c r="AP62" s="7" t="s">
        <v>3010</v>
      </c>
      <c r="AQ62" t="s">
        <v>49</v>
      </c>
      <c r="AR62" t="s">
        <v>49</v>
      </c>
      <c r="AS62" t="s">
        <v>49</v>
      </c>
      <c r="AT62" t="s">
        <v>49</v>
      </c>
      <c r="AU62" t="s">
        <v>50</v>
      </c>
      <c r="AV62" s="7" t="s">
        <v>330</v>
      </c>
      <c r="AW62" s="7" t="s">
        <v>3020</v>
      </c>
      <c r="AX62">
        <v>30</v>
      </c>
      <c r="BE62" s="7" t="s">
        <v>3096</v>
      </c>
      <c r="BF62" t="s">
        <v>49</v>
      </c>
      <c r="BH62">
        <v>210</v>
      </c>
      <c r="BI62" t="s">
        <v>260</v>
      </c>
      <c r="BS62" t="s">
        <v>334</v>
      </c>
      <c r="CH62">
        <v>1428</v>
      </c>
      <c r="CI62">
        <v>1557</v>
      </c>
      <c r="CJ62">
        <v>1080</v>
      </c>
      <c r="CK62">
        <v>1174</v>
      </c>
      <c r="CL62">
        <v>480</v>
      </c>
      <c r="CM62">
        <v>600</v>
      </c>
      <c r="CN62" s="2">
        <v>172</v>
      </c>
      <c r="CO62">
        <v>190</v>
      </c>
      <c r="CP62" s="2">
        <v>360</v>
      </c>
      <c r="CQ62">
        <v>460</v>
      </c>
      <c r="CR62">
        <v>1400</v>
      </c>
      <c r="CS62">
        <v>1640</v>
      </c>
      <c r="CT62">
        <v>850</v>
      </c>
      <c r="CU62">
        <v>1030</v>
      </c>
      <c r="CV62" s="7">
        <v>80</v>
      </c>
      <c r="CW62" s="7">
        <v>91</v>
      </c>
    </row>
    <row r="63" spans="1:101" x14ac:dyDescent="0.25">
      <c r="A63" t="s">
        <v>335</v>
      </c>
      <c r="B63" t="s">
        <v>37</v>
      </c>
      <c r="C63" t="s">
        <v>214</v>
      </c>
      <c r="D63" t="s">
        <v>336</v>
      </c>
      <c r="E63" t="s">
        <v>2148</v>
      </c>
      <c r="F63" t="s">
        <v>337</v>
      </c>
      <c r="G63" t="s">
        <v>41</v>
      </c>
      <c r="H63">
        <v>140200</v>
      </c>
      <c r="I63" t="s">
        <v>3501</v>
      </c>
      <c r="J63" t="s">
        <v>338</v>
      </c>
      <c r="K63" t="s">
        <v>339</v>
      </c>
      <c r="L63" t="s">
        <v>44</v>
      </c>
      <c r="M63" s="7" t="s">
        <v>2271</v>
      </c>
      <c r="N63" s="7" t="s">
        <v>2478</v>
      </c>
      <c r="O63" s="7">
        <v>0.69</v>
      </c>
      <c r="P63" s="7">
        <v>0.88</v>
      </c>
      <c r="Q63">
        <v>15</v>
      </c>
      <c r="R63">
        <v>15</v>
      </c>
      <c r="X63">
        <v>-10</v>
      </c>
      <c r="Y63">
        <v>46</v>
      </c>
      <c r="Z63">
        <v>-15</v>
      </c>
      <c r="AA63">
        <v>24</v>
      </c>
      <c r="AG63" t="s">
        <v>2943</v>
      </c>
      <c r="AH63" t="s">
        <v>2938</v>
      </c>
      <c r="AN63" s="7">
        <v>6.35</v>
      </c>
      <c r="AO63" s="7">
        <v>9.52</v>
      </c>
      <c r="AP63" s="7" t="s">
        <v>231</v>
      </c>
      <c r="AQ63" t="s">
        <v>49</v>
      </c>
      <c r="AR63" t="s">
        <v>49</v>
      </c>
      <c r="AS63" t="s">
        <v>49</v>
      </c>
      <c r="AT63" t="s">
        <v>49</v>
      </c>
      <c r="AU63" t="s">
        <v>78</v>
      </c>
      <c r="AV63" s="7" t="s">
        <v>3019</v>
      </c>
      <c r="AW63" s="7" t="s">
        <v>3020</v>
      </c>
      <c r="AX63">
        <v>10</v>
      </c>
      <c r="BB63" t="s">
        <v>340</v>
      </c>
      <c r="BC63">
        <v>25</v>
      </c>
      <c r="BE63" s="7" t="s">
        <v>3097</v>
      </c>
      <c r="BF63" t="s">
        <v>49</v>
      </c>
      <c r="BH63">
        <v>25</v>
      </c>
      <c r="BI63" t="s">
        <v>52</v>
      </c>
      <c r="BS63" t="s">
        <v>341</v>
      </c>
      <c r="CH63">
        <v>541</v>
      </c>
      <c r="CI63">
        <v>602</v>
      </c>
      <c r="CJ63">
        <v>663</v>
      </c>
      <c r="CK63">
        <v>804</v>
      </c>
      <c r="CL63">
        <v>290</v>
      </c>
      <c r="CM63">
        <v>375</v>
      </c>
      <c r="CN63" s="2">
        <v>23</v>
      </c>
      <c r="CO63">
        <v>27</v>
      </c>
      <c r="CP63" s="2">
        <v>198</v>
      </c>
      <c r="CQ63">
        <v>276</v>
      </c>
      <c r="CR63">
        <v>700</v>
      </c>
      <c r="CS63">
        <v>968</v>
      </c>
      <c r="CT63">
        <v>620</v>
      </c>
      <c r="CU63">
        <v>772</v>
      </c>
      <c r="CV63" s="7">
        <v>17</v>
      </c>
      <c r="CW63" s="7">
        <v>22</v>
      </c>
    </row>
    <row r="64" spans="1:101" x14ac:dyDescent="0.25">
      <c r="A64" t="s">
        <v>342</v>
      </c>
      <c r="B64" t="s">
        <v>37</v>
      </c>
      <c r="C64" t="s">
        <v>214</v>
      </c>
      <c r="D64" t="s">
        <v>343</v>
      </c>
      <c r="E64" t="s">
        <v>2148</v>
      </c>
      <c r="F64" t="s">
        <v>337</v>
      </c>
      <c r="G64" t="s">
        <v>41</v>
      </c>
      <c r="H64">
        <v>145400</v>
      </c>
      <c r="I64" t="s">
        <v>3501</v>
      </c>
      <c r="J64" t="s">
        <v>338</v>
      </c>
      <c r="K64" t="s">
        <v>339</v>
      </c>
      <c r="L64" t="s">
        <v>44</v>
      </c>
      <c r="M64" s="7" t="s">
        <v>2272</v>
      </c>
      <c r="N64" s="7" t="s">
        <v>2479</v>
      </c>
      <c r="O64" s="7">
        <v>1.0900000000000001</v>
      </c>
      <c r="P64" s="7">
        <v>1.17</v>
      </c>
      <c r="Q64">
        <v>15</v>
      </c>
      <c r="R64">
        <v>15</v>
      </c>
      <c r="X64">
        <v>-10</v>
      </c>
      <c r="Y64">
        <v>46</v>
      </c>
      <c r="Z64">
        <v>-15</v>
      </c>
      <c r="AA64">
        <v>24</v>
      </c>
      <c r="AG64" t="s">
        <v>2945</v>
      </c>
      <c r="AH64" t="s">
        <v>2938</v>
      </c>
      <c r="AN64" s="7">
        <v>6.35</v>
      </c>
      <c r="AO64" s="7">
        <v>9.52</v>
      </c>
      <c r="AP64" s="7" t="s">
        <v>231</v>
      </c>
      <c r="AQ64" t="s">
        <v>49</v>
      </c>
      <c r="AR64" t="s">
        <v>49</v>
      </c>
      <c r="AS64" t="s">
        <v>49</v>
      </c>
      <c r="AT64" t="s">
        <v>49</v>
      </c>
      <c r="AU64" t="s">
        <v>78</v>
      </c>
      <c r="AV64" s="7" t="s">
        <v>3019</v>
      </c>
      <c r="AW64" s="7" t="s">
        <v>3020</v>
      </c>
      <c r="AX64">
        <v>10</v>
      </c>
      <c r="BB64" t="s">
        <v>340</v>
      </c>
      <c r="BC64">
        <v>25</v>
      </c>
      <c r="BE64" s="7" t="s">
        <v>3098</v>
      </c>
      <c r="BF64" t="s">
        <v>49</v>
      </c>
      <c r="BH64">
        <v>35</v>
      </c>
      <c r="BI64" t="s">
        <v>52</v>
      </c>
      <c r="BS64" t="s">
        <v>344</v>
      </c>
      <c r="CH64">
        <v>541</v>
      </c>
      <c r="CI64">
        <v>602</v>
      </c>
      <c r="CJ64">
        <v>663</v>
      </c>
      <c r="CK64">
        <v>804</v>
      </c>
      <c r="CL64">
        <v>290</v>
      </c>
      <c r="CM64">
        <v>375</v>
      </c>
      <c r="CN64" s="2">
        <v>25</v>
      </c>
      <c r="CO64">
        <v>29</v>
      </c>
      <c r="CP64" s="2">
        <v>198</v>
      </c>
      <c r="CQ64">
        <v>276</v>
      </c>
      <c r="CR64">
        <v>700</v>
      </c>
      <c r="CS64">
        <v>968</v>
      </c>
      <c r="CT64">
        <v>620</v>
      </c>
      <c r="CU64">
        <v>772</v>
      </c>
      <c r="CV64" s="7">
        <v>17</v>
      </c>
      <c r="CW64" s="7">
        <v>22</v>
      </c>
    </row>
    <row r="65" spans="1:101" x14ac:dyDescent="0.25">
      <c r="A65" t="s">
        <v>345</v>
      </c>
      <c r="B65" t="s">
        <v>37</v>
      </c>
      <c r="C65" t="s">
        <v>214</v>
      </c>
      <c r="D65" t="s">
        <v>346</v>
      </c>
      <c r="E65" t="s">
        <v>2148</v>
      </c>
      <c r="F65" t="s">
        <v>337</v>
      </c>
      <c r="G65" t="s">
        <v>41</v>
      </c>
      <c r="H65">
        <v>162600</v>
      </c>
      <c r="I65" t="s">
        <v>3501</v>
      </c>
      <c r="J65" t="s">
        <v>338</v>
      </c>
      <c r="K65" t="s">
        <v>339</v>
      </c>
      <c r="L65" t="s">
        <v>44</v>
      </c>
      <c r="M65" s="7" t="s">
        <v>2273</v>
      </c>
      <c r="N65" s="7" t="s">
        <v>2480</v>
      </c>
      <c r="O65" s="7">
        <v>1.37</v>
      </c>
      <c r="P65" s="7">
        <v>1.42</v>
      </c>
      <c r="Q65">
        <v>20</v>
      </c>
      <c r="R65">
        <v>15</v>
      </c>
      <c r="X65">
        <v>-10</v>
      </c>
      <c r="Y65">
        <v>46</v>
      </c>
      <c r="Z65">
        <v>-15</v>
      </c>
      <c r="AA65">
        <v>24</v>
      </c>
      <c r="AG65" t="s">
        <v>2946</v>
      </c>
      <c r="AH65" t="s">
        <v>2938</v>
      </c>
      <c r="AN65" s="7">
        <v>6.35</v>
      </c>
      <c r="AO65" s="7">
        <v>9.52</v>
      </c>
      <c r="AP65" s="7" t="s">
        <v>231</v>
      </c>
      <c r="AQ65" t="s">
        <v>49</v>
      </c>
      <c r="AR65" t="s">
        <v>49</v>
      </c>
      <c r="AS65" t="s">
        <v>49</v>
      </c>
      <c r="AT65" t="s">
        <v>49</v>
      </c>
      <c r="AU65" t="s">
        <v>78</v>
      </c>
      <c r="AV65" s="7" t="s">
        <v>3019</v>
      </c>
      <c r="AW65" s="7" t="s">
        <v>3020</v>
      </c>
      <c r="AX65">
        <v>16</v>
      </c>
      <c r="BB65" t="s">
        <v>340</v>
      </c>
      <c r="BC65">
        <v>25</v>
      </c>
      <c r="BE65" s="7" t="s">
        <v>3099</v>
      </c>
      <c r="BF65" t="s">
        <v>49</v>
      </c>
      <c r="BH65">
        <v>43</v>
      </c>
      <c r="BI65" t="s">
        <v>52</v>
      </c>
      <c r="BS65" t="s">
        <v>347</v>
      </c>
      <c r="CH65">
        <v>542</v>
      </c>
      <c r="CI65">
        <v>602</v>
      </c>
      <c r="CJ65">
        <v>799</v>
      </c>
      <c r="CK65">
        <v>940</v>
      </c>
      <c r="CL65">
        <v>290</v>
      </c>
      <c r="CM65">
        <v>375</v>
      </c>
      <c r="CN65" s="2">
        <v>32</v>
      </c>
      <c r="CO65">
        <v>36</v>
      </c>
      <c r="CP65" s="2">
        <v>198</v>
      </c>
      <c r="CQ65">
        <v>276</v>
      </c>
      <c r="CR65">
        <v>700</v>
      </c>
      <c r="CS65">
        <v>968</v>
      </c>
      <c r="CT65">
        <v>620</v>
      </c>
      <c r="CU65">
        <v>772</v>
      </c>
      <c r="CV65" s="7">
        <v>17</v>
      </c>
      <c r="CW65" s="7">
        <v>22</v>
      </c>
    </row>
    <row r="66" spans="1:101" x14ac:dyDescent="0.25">
      <c r="A66" t="s">
        <v>348</v>
      </c>
      <c r="B66" t="s">
        <v>37</v>
      </c>
      <c r="C66" t="s">
        <v>214</v>
      </c>
      <c r="D66" t="s">
        <v>349</v>
      </c>
      <c r="E66" t="s">
        <v>2148</v>
      </c>
      <c r="F66" t="s">
        <v>337</v>
      </c>
      <c r="G66" t="s">
        <v>41</v>
      </c>
      <c r="H66">
        <v>181400</v>
      </c>
      <c r="I66" t="s">
        <v>3501</v>
      </c>
      <c r="J66" t="s">
        <v>338</v>
      </c>
      <c r="K66" t="s">
        <v>339</v>
      </c>
      <c r="L66" t="s">
        <v>44</v>
      </c>
      <c r="M66" s="7" t="s">
        <v>2274</v>
      </c>
      <c r="N66" s="7" t="s">
        <v>2481</v>
      </c>
      <c r="O66" s="7">
        <v>1.66</v>
      </c>
      <c r="P66" s="7">
        <v>1.71</v>
      </c>
      <c r="Q66">
        <v>20</v>
      </c>
      <c r="R66">
        <v>15</v>
      </c>
      <c r="X66">
        <v>-10</v>
      </c>
      <c r="Y66">
        <v>46</v>
      </c>
      <c r="Z66">
        <v>-15</v>
      </c>
      <c r="AA66">
        <v>24</v>
      </c>
      <c r="AG66" t="s">
        <v>2945</v>
      </c>
      <c r="AH66" t="s">
        <v>2938</v>
      </c>
      <c r="AN66" s="7">
        <v>6.35</v>
      </c>
      <c r="AO66" s="7">
        <v>12.7</v>
      </c>
      <c r="AP66" s="7" t="s">
        <v>231</v>
      </c>
      <c r="AQ66" t="s">
        <v>49</v>
      </c>
      <c r="AR66" t="s">
        <v>49</v>
      </c>
      <c r="AS66" t="s">
        <v>49</v>
      </c>
      <c r="AT66" t="s">
        <v>49</v>
      </c>
      <c r="AU66" t="s">
        <v>78</v>
      </c>
      <c r="AV66" s="7" t="s">
        <v>3019</v>
      </c>
      <c r="AW66" s="7" t="s">
        <v>3020</v>
      </c>
      <c r="AX66">
        <v>16</v>
      </c>
      <c r="BB66" t="s">
        <v>340</v>
      </c>
      <c r="BC66">
        <v>25</v>
      </c>
      <c r="BE66" s="7" t="s">
        <v>3100</v>
      </c>
      <c r="BF66" t="s">
        <v>49</v>
      </c>
      <c r="BH66">
        <v>52</v>
      </c>
      <c r="BI66" t="s">
        <v>52</v>
      </c>
      <c r="BS66" t="s">
        <v>350</v>
      </c>
      <c r="CH66">
        <v>542</v>
      </c>
      <c r="CI66">
        <v>602</v>
      </c>
      <c r="CJ66">
        <v>799</v>
      </c>
      <c r="CK66">
        <v>940</v>
      </c>
      <c r="CL66">
        <v>290</v>
      </c>
      <c r="CM66">
        <v>375</v>
      </c>
      <c r="CN66" s="2">
        <v>33</v>
      </c>
      <c r="CO66">
        <v>36</v>
      </c>
      <c r="CP66" s="2">
        <v>198</v>
      </c>
      <c r="CQ66">
        <v>276</v>
      </c>
      <c r="CR66">
        <v>900</v>
      </c>
      <c r="CS66">
        <v>1168</v>
      </c>
      <c r="CT66">
        <v>620</v>
      </c>
      <c r="CU66">
        <v>772</v>
      </c>
      <c r="CV66" s="7">
        <v>20</v>
      </c>
      <c r="CW66" s="7">
        <v>26</v>
      </c>
    </row>
    <row r="67" spans="1:101" x14ac:dyDescent="0.25">
      <c r="A67" t="s">
        <v>351</v>
      </c>
      <c r="B67" t="s">
        <v>37</v>
      </c>
      <c r="C67" t="s">
        <v>214</v>
      </c>
      <c r="D67" t="s">
        <v>352</v>
      </c>
      <c r="E67" t="s">
        <v>2149</v>
      </c>
      <c r="F67" t="s">
        <v>353</v>
      </c>
      <c r="G67" t="s">
        <v>41</v>
      </c>
      <c r="H67">
        <v>386800</v>
      </c>
      <c r="I67" t="s">
        <v>3502</v>
      </c>
      <c r="J67" t="s">
        <v>354</v>
      </c>
      <c r="K67" t="s">
        <v>355</v>
      </c>
      <c r="L67" t="s">
        <v>44</v>
      </c>
      <c r="M67" s="7" t="s">
        <v>2275</v>
      </c>
      <c r="N67" s="7" t="s">
        <v>2482</v>
      </c>
      <c r="O67" s="7" t="s">
        <v>2483</v>
      </c>
      <c r="P67" s="7" t="s">
        <v>2484</v>
      </c>
      <c r="Q67">
        <v>50</v>
      </c>
      <c r="R67">
        <v>30</v>
      </c>
      <c r="U67">
        <v>1</v>
      </c>
      <c r="X67">
        <v>-15</v>
      </c>
      <c r="Y67">
        <v>46</v>
      </c>
      <c r="Z67">
        <v>-15</v>
      </c>
      <c r="AA67">
        <v>24</v>
      </c>
      <c r="AC67" t="s">
        <v>356</v>
      </c>
      <c r="AD67">
        <v>65</v>
      </c>
      <c r="AG67" t="s">
        <v>2948</v>
      </c>
      <c r="AH67" t="s">
        <v>2924</v>
      </c>
      <c r="AI67" t="s">
        <v>357</v>
      </c>
      <c r="AJ67">
        <v>220</v>
      </c>
      <c r="AK67" t="s">
        <v>358</v>
      </c>
      <c r="AL67" t="s">
        <v>200</v>
      </c>
      <c r="AM67">
        <v>220</v>
      </c>
      <c r="AN67" s="7">
        <v>9.52</v>
      </c>
      <c r="AO67" s="7">
        <v>15.88</v>
      </c>
      <c r="AP67" s="7" t="s">
        <v>3011</v>
      </c>
      <c r="AQ67" t="s">
        <v>49</v>
      </c>
      <c r="AR67" t="s">
        <v>49</v>
      </c>
      <c r="AS67" t="s">
        <v>49</v>
      </c>
      <c r="AT67" t="s">
        <v>49</v>
      </c>
      <c r="AU67" t="s">
        <v>50</v>
      </c>
      <c r="AV67" s="7" t="s">
        <v>191</v>
      </c>
      <c r="AW67" s="7" t="s">
        <v>3020</v>
      </c>
      <c r="AX67">
        <v>25</v>
      </c>
      <c r="BA67" t="s">
        <v>359</v>
      </c>
      <c r="BE67" s="7" t="s">
        <v>3101</v>
      </c>
      <c r="BF67" t="s">
        <v>49</v>
      </c>
      <c r="BG67" t="s">
        <v>51</v>
      </c>
      <c r="BH67">
        <v>90</v>
      </c>
      <c r="BI67" t="s">
        <v>120</v>
      </c>
      <c r="BS67" t="s">
        <v>360</v>
      </c>
      <c r="CH67">
        <v>830</v>
      </c>
      <c r="CI67">
        <v>1000</v>
      </c>
      <c r="CJ67">
        <v>900</v>
      </c>
      <c r="CK67">
        <v>1050</v>
      </c>
      <c r="CL67">
        <v>330</v>
      </c>
      <c r="CM67">
        <v>445</v>
      </c>
      <c r="CN67" s="2">
        <v>61</v>
      </c>
      <c r="CO67">
        <v>69</v>
      </c>
      <c r="CP67" s="2">
        <v>50</v>
      </c>
      <c r="CQ67">
        <v>115</v>
      </c>
      <c r="CR67">
        <v>950</v>
      </c>
      <c r="CS67">
        <v>1020</v>
      </c>
      <c r="CT67">
        <v>950</v>
      </c>
      <c r="CU67">
        <v>1000</v>
      </c>
      <c r="CV67" s="7">
        <v>5.5</v>
      </c>
      <c r="CW67" s="7">
        <v>8.5</v>
      </c>
    </row>
    <row r="68" spans="1:101" x14ac:dyDescent="0.25">
      <c r="A68" t="s">
        <v>361</v>
      </c>
      <c r="B68" t="s">
        <v>37</v>
      </c>
      <c r="C68" t="s">
        <v>214</v>
      </c>
      <c r="D68" t="s">
        <v>362</v>
      </c>
      <c r="E68" t="s">
        <v>2149</v>
      </c>
      <c r="F68" t="s">
        <v>353</v>
      </c>
      <c r="G68" t="s">
        <v>41</v>
      </c>
      <c r="H68">
        <v>474300</v>
      </c>
      <c r="I68" t="s">
        <v>3502</v>
      </c>
      <c r="J68" t="s">
        <v>363</v>
      </c>
      <c r="K68" t="s">
        <v>364</v>
      </c>
      <c r="L68" t="s">
        <v>44</v>
      </c>
      <c r="M68" s="7" t="s">
        <v>2276</v>
      </c>
      <c r="N68" s="7" t="s">
        <v>2485</v>
      </c>
      <c r="O68" s="7" t="s">
        <v>2486</v>
      </c>
      <c r="P68" s="7" t="s">
        <v>2487</v>
      </c>
      <c r="Q68">
        <v>75</v>
      </c>
      <c r="R68">
        <v>30</v>
      </c>
      <c r="U68">
        <v>1</v>
      </c>
      <c r="X68">
        <v>-15</v>
      </c>
      <c r="Y68">
        <v>46</v>
      </c>
      <c r="Z68">
        <v>-15</v>
      </c>
      <c r="AA68">
        <v>24</v>
      </c>
      <c r="AC68" t="s">
        <v>365</v>
      </c>
      <c r="AD68">
        <v>80</v>
      </c>
      <c r="AG68" t="s">
        <v>2948</v>
      </c>
      <c r="AH68" t="s">
        <v>2924</v>
      </c>
      <c r="AI68" t="s">
        <v>366</v>
      </c>
      <c r="AJ68">
        <v>220</v>
      </c>
      <c r="AK68" t="s">
        <v>367</v>
      </c>
      <c r="AL68" t="s">
        <v>301</v>
      </c>
      <c r="AM68">
        <v>380</v>
      </c>
      <c r="AN68" s="7">
        <v>9.52</v>
      </c>
      <c r="AO68" s="7">
        <v>15.88</v>
      </c>
      <c r="AP68" s="7" t="s">
        <v>3011</v>
      </c>
      <c r="AQ68" t="s">
        <v>49</v>
      </c>
      <c r="AR68" t="s">
        <v>49</v>
      </c>
      <c r="AS68" t="s">
        <v>49</v>
      </c>
      <c r="AT68" t="s">
        <v>49</v>
      </c>
      <c r="AU68" t="s">
        <v>50</v>
      </c>
      <c r="AV68" s="7" t="s">
        <v>3022</v>
      </c>
      <c r="AW68" s="7" t="s">
        <v>3020</v>
      </c>
      <c r="AX68">
        <v>16</v>
      </c>
      <c r="BA68" t="s">
        <v>359</v>
      </c>
      <c r="BE68" s="7" t="s">
        <v>3102</v>
      </c>
      <c r="BF68" t="s">
        <v>49</v>
      </c>
      <c r="BG68" t="s">
        <v>51</v>
      </c>
      <c r="BH68">
        <v>100</v>
      </c>
      <c r="BI68" t="s">
        <v>260</v>
      </c>
      <c r="BS68" t="s">
        <v>368</v>
      </c>
      <c r="CH68">
        <v>1290</v>
      </c>
      <c r="CI68">
        <v>1460</v>
      </c>
      <c r="CJ68">
        <v>900</v>
      </c>
      <c r="CK68">
        <v>1050</v>
      </c>
      <c r="CL68">
        <v>330</v>
      </c>
      <c r="CM68">
        <v>445</v>
      </c>
      <c r="CN68" s="2">
        <v>104</v>
      </c>
      <c r="CO68">
        <v>114</v>
      </c>
      <c r="CP68" s="2">
        <v>50</v>
      </c>
      <c r="CQ68">
        <v>115</v>
      </c>
      <c r="CR68">
        <v>950</v>
      </c>
      <c r="CS68">
        <v>1020</v>
      </c>
      <c r="CT68">
        <v>950</v>
      </c>
      <c r="CU68">
        <v>1000</v>
      </c>
      <c r="CV68" s="7">
        <v>5.5</v>
      </c>
      <c r="CW68" s="7">
        <v>8.5</v>
      </c>
    </row>
    <row r="69" spans="1:101" x14ac:dyDescent="0.25">
      <c r="A69" t="s">
        <v>369</v>
      </c>
      <c r="B69" t="s">
        <v>37</v>
      </c>
      <c r="C69" t="s">
        <v>214</v>
      </c>
      <c r="D69" t="s">
        <v>370</v>
      </c>
      <c r="E69" t="s">
        <v>2149</v>
      </c>
      <c r="F69" t="s">
        <v>353</v>
      </c>
      <c r="G69" t="s">
        <v>41</v>
      </c>
      <c r="H69">
        <v>441800</v>
      </c>
      <c r="I69" t="s">
        <v>3502</v>
      </c>
      <c r="J69" t="s">
        <v>371</v>
      </c>
      <c r="K69" t="s">
        <v>372</v>
      </c>
      <c r="L69" t="s">
        <v>44</v>
      </c>
      <c r="M69" s="7" t="s">
        <v>2277</v>
      </c>
      <c r="N69" s="7" t="s">
        <v>2488</v>
      </c>
      <c r="O69" s="7" t="s">
        <v>2489</v>
      </c>
      <c r="P69" s="7" t="s">
        <v>2490</v>
      </c>
      <c r="Q69">
        <v>50</v>
      </c>
      <c r="R69">
        <v>30</v>
      </c>
      <c r="U69">
        <v>1</v>
      </c>
      <c r="X69">
        <v>-15</v>
      </c>
      <c r="Y69">
        <v>46</v>
      </c>
      <c r="Z69">
        <v>-15</v>
      </c>
      <c r="AA69">
        <v>24</v>
      </c>
      <c r="AC69" t="s">
        <v>373</v>
      </c>
      <c r="AD69">
        <v>80</v>
      </c>
      <c r="AG69" t="s">
        <v>2922</v>
      </c>
      <c r="AH69" t="s">
        <v>2951</v>
      </c>
      <c r="AI69" t="s">
        <v>374</v>
      </c>
      <c r="AJ69">
        <v>220</v>
      </c>
      <c r="AK69" t="s">
        <v>375</v>
      </c>
      <c r="AL69" t="s">
        <v>200</v>
      </c>
      <c r="AM69">
        <v>220</v>
      </c>
      <c r="AN69" s="7">
        <v>9.52</v>
      </c>
      <c r="AO69" s="7">
        <v>15.88</v>
      </c>
      <c r="AP69" s="7" t="s">
        <v>3011</v>
      </c>
      <c r="AQ69" t="s">
        <v>49</v>
      </c>
      <c r="AR69" t="s">
        <v>49</v>
      </c>
      <c r="AS69" t="s">
        <v>49</v>
      </c>
      <c r="AT69" t="s">
        <v>49</v>
      </c>
      <c r="AU69" t="s">
        <v>50</v>
      </c>
      <c r="AV69" s="7" t="s">
        <v>191</v>
      </c>
      <c r="AW69" s="7" t="s">
        <v>3020</v>
      </c>
      <c r="AX69">
        <v>25</v>
      </c>
      <c r="BA69" t="s">
        <v>359</v>
      </c>
      <c r="BE69" s="7" t="s">
        <v>3103</v>
      </c>
      <c r="BF69" t="s">
        <v>49</v>
      </c>
      <c r="BG69" t="s">
        <v>51</v>
      </c>
      <c r="BH69">
        <v>100</v>
      </c>
      <c r="BI69" t="s">
        <v>120</v>
      </c>
      <c r="BS69" t="s">
        <v>376</v>
      </c>
      <c r="CH69">
        <v>830</v>
      </c>
      <c r="CI69">
        <v>1000</v>
      </c>
      <c r="CJ69">
        <v>900</v>
      </c>
      <c r="CK69">
        <v>1050</v>
      </c>
      <c r="CL69">
        <v>330</v>
      </c>
      <c r="CM69">
        <v>445</v>
      </c>
      <c r="CN69" s="2">
        <v>61</v>
      </c>
      <c r="CO69">
        <v>69</v>
      </c>
      <c r="CP69" s="2">
        <v>50</v>
      </c>
      <c r="CQ69">
        <v>115</v>
      </c>
      <c r="CR69">
        <v>950</v>
      </c>
      <c r="CS69">
        <v>1020</v>
      </c>
      <c r="CT69">
        <v>950</v>
      </c>
      <c r="CU69">
        <v>1000</v>
      </c>
      <c r="CV69" s="7">
        <v>5.5</v>
      </c>
      <c r="CW69" s="7">
        <v>8.5</v>
      </c>
    </row>
    <row r="70" spans="1:101" x14ac:dyDescent="0.25">
      <c r="A70" t="s">
        <v>377</v>
      </c>
      <c r="B70" t="s">
        <v>37</v>
      </c>
      <c r="C70" t="s">
        <v>214</v>
      </c>
      <c r="D70" t="s">
        <v>378</v>
      </c>
      <c r="E70" t="s">
        <v>2149</v>
      </c>
      <c r="F70" t="s">
        <v>353</v>
      </c>
      <c r="G70" t="s">
        <v>41</v>
      </c>
      <c r="H70">
        <v>521600</v>
      </c>
      <c r="I70" t="s">
        <v>3502</v>
      </c>
      <c r="J70" t="s">
        <v>379</v>
      </c>
      <c r="K70" t="s">
        <v>380</v>
      </c>
      <c r="L70" t="s">
        <v>44</v>
      </c>
      <c r="M70" s="7" t="s">
        <v>2265</v>
      </c>
      <c r="N70" s="7" t="s">
        <v>2464</v>
      </c>
      <c r="O70" s="7" t="s">
        <v>2491</v>
      </c>
      <c r="P70" s="7" t="s">
        <v>2492</v>
      </c>
      <c r="Q70">
        <v>75</v>
      </c>
      <c r="R70">
        <v>30</v>
      </c>
      <c r="U70">
        <v>1</v>
      </c>
      <c r="X70">
        <v>-15</v>
      </c>
      <c r="Y70">
        <v>46</v>
      </c>
      <c r="Z70">
        <v>-15</v>
      </c>
      <c r="AA70">
        <v>24</v>
      </c>
      <c r="AC70" t="s">
        <v>381</v>
      </c>
      <c r="AD70">
        <v>90</v>
      </c>
      <c r="AE70" t="s">
        <v>624</v>
      </c>
      <c r="AF70" t="s">
        <v>625</v>
      </c>
      <c r="AI70" t="s">
        <v>382</v>
      </c>
      <c r="AJ70">
        <v>220</v>
      </c>
      <c r="AK70" t="s">
        <v>300</v>
      </c>
      <c r="AL70" t="s">
        <v>301</v>
      </c>
      <c r="AM70">
        <v>380</v>
      </c>
      <c r="AN70" s="7">
        <v>9.52</v>
      </c>
      <c r="AO70" s="7">
        <v>15.88</v>
      </c>
      <c r="AP70" s="7" t="s">
        <v>3011</v>
      </c>
      <c r="AQ70" t="s">
        <v>49</v>
      </c>
      <c r="AR70" t="s">
        <v>49</v>
      </c>
      <c r="AS70" t="s">
        <v>49</v>
      </c>
      <c r="AT70" t="s">
        <v>49</v>
      </c>
      <c r="AU70" t="s">
        <v>50</v>
      </c>
      <c r="AV70" s="7" t="s">
        <v>3022</v>
      </c>
      <c r="AW70" s="7" t="s">
        <v>3020</v>
      </c>
      <c r="AX70">
        <v>16</v>
      </c>
      <c r="BA70" t="s">
        <v>359</v>
      </c>
      <c r="BE70" s="7" t="s">
        <v>3104</v>
      </c>
      <c r="BF70" t="s">
        <v>49</v>
      </c>
      <c r="BH70">
        <v>130</v>
      </c>
      <c r="BI70" t="s">
        <v>260</v>
      </c>
      <c r="BS70" t="s">
        <v>383</v>
      </c>
      <c r="CH70">
        <v>1290</v>
      </c>
      <c r="CI70">
        <v>1460</v>
      </c>
      <c r="CJ70">
        <v>900</v>
      </c>
      <c r="CK70">
        <v>1050</v>
      </c>
      <c r="CL70">
        <v>330</v>
      </c>
      <c r="CM70">
        <v>445</v>
      </c>
      <c r="CN70" s="2">
        <v>104</v>
      </c>
      <c r="CO70">
        <v>114</v>
      </c>
      <c r="CP70" s="2">
        <v>50</v>
      </c>
      <c r="CQ70">
        <v>115</v>
      </c>
      <c r="CR70">
        <v>950</v>
      </c>
      <c r="CS70">
        <v>1020</v>
      </c>
      <c r="CT70">
        <v>950</v>
      </c>
      <c r="CU70">
        <v>1000</v>
      </c>
      <c r="CV70" s="7">
        <v>5.5</v>
      </c>
      <c r="CW70" s="7">
        <v>8.5</v>
      </c>
    </row>
    <row r="71" spans="1:101" x14ac:dyDescent="0.25">
      <c r="A71" t="s">
        <v>384</v>
      </c>
      <c r="B71" t="s">
        <v>37</v>
      </c>
      <c r="C71" t="s">
        <v>214</v>
      </c>
      <c r="D71" t="s">
        <v>385</v>
      </c>
      <c r="E71" t="s">
        <v>2149</v>
      </c>
      <c r="F71" t="s">
        <v>353</v>
      </c>
      <c r="G71" t="s">
        <v>41</v>
      </c>
      <c r="H71">
        <v>491600</v>
      </c>
      <c r="I71" t="s">
        <v>3502</v>
      </c>
      <c r="J71" t="s">
        <v>386</v>
      </c>
      <c r="K71" t="s">
        <v>387</v>
      </c>
      <c r="L71" t="s">
        <v>44</v>
      </c>
      <c r="M71" s="7" t="s">
        <v>2278</v>
      </c>
      <c r="N71" s="7" t="s">
        <v>2493</v>
      </c>
      <c r="O71" s="7" t="s">
        <v>2494</v>
      </c>
      <c r="P71" s="7" t="s">
        <v>2495</v>
      </c>
      <c r="Q71">
        <v>50</v>
      </c>
      <c r="R71">
        <v>30</v>
      </c>
      <c r="U71">
        <v>1</v>
      </c>
      <c r="X71">
        <v>-15</v>
      </c>
      <c r="Y71">
        <v>46</v>
      </c>
      <c r="Z71">
        <v>-15</v>
      </c>
      <c r="AA71">
        <v>24</v>
      </c>
      <c r="AC71" t="s">
        <v>388</v>
      </c>
      <c r="AD71">
        <v>90</v>
      </c>
      <c r="AE71" t="s">
        <v>3503</v>
      </c>
      <c r="AF71" t="s">
        <v>3480</v>
      </c>
      <c r="AI71" t="s">
        <v>382</v>
      </c>
      <c r="AJ71">
        <v>220</v>
      </c>
      <c r="AK71" t="s">
        <v>307</v>
      </c>
      <c r="AL71" t="s">
        <v>200</v>
      </c>
      <c r="AM71">
        <v>220</v>
      </c>
      <c r="AN71" s="7">
        <v>9.52</v>
      </c>
      <c r="AO71" s="7">
        <v>15.88</v>
      </c>
      <c r="AP71" s="7" t="s">
        <v>3011</v>
      </c>
      <c r="AQ71" t="s">
        <v>49</v>
      </c>
      <c r="AR71" t="s">
        <v>49</v>
      </c>
      <c r="AS71" t="s">
        <v>49</v>
      </c>
      <c r="AT71" t="s">
        <v>49</v>
      </c>
      <c r="AU71" t="s">
        <v>50</v>
      </c>
      <c r="AV71" s="7" t="s">
        <v>308</v>
      </c>
      <c r="AW71" s="7" t="s">
        <v>3020</v>
      </c>
      <c r="AX71">
        <v>32</v>
      </c>
      <c r="BA71" t="s">
        <v>359</v>
      </c>
      <c r="BE71" s="7" t="s">
        <v>3105</v>
      </c>
      <c r="BF71" t="s">
        <v>49</v>
      </c>
      <c r="BH71">
        <v>130</v>
      </c>
      <c r="BI71" t="s">
        <v>120</v>
      </c>
      <c r="BS71" t="s">
        <v>383</v>
      </c>
      <c r="CH71">
        <v>1290</v>
      </c>
      <c r="CI71">
        <v>1460</v>
      </c>
      <c r="CJ71">
        <v>900</v>
      </c>
      <c r="CK71">
        <v>1050</v>
      </c>
      <c r="CL71">
        <v>330</v>
      </c>
      <c r="CM71">
        <v>445</v>
      </c>
      <c r="CN71" s="2">
        <v>86</v>
      </c>
      <c r="CO71">
        <v>95</v>
      </c>
      <c r="CP71" s="2">
        <v>50</v>
      </c>
      <c r="CQ71">
        <v>115</v>
      </c>
      <c r="CR71">
        <v>950</v>
      </c>
      <c r="CS71">
        <v>1020</v>
      </c>
      <c r="CT71">
        <v>950</v>
      </c>
      <c r="CU71">
        <v>1000</v>
      </c>
      <c r="CV71" s="7">
        <v>5.5</v>
      </c>
      <c r="CW71" s="7">
        <v>8.5</v>
      </c>
    </row>
    <row r="72" spans="1:101" x14ac:dyDescent="0.25">
      <c r="A72" t="s">
        <v>389</v>
      </c>
      <c r="B72" t="s">
        <v>37</v>
      </c>
      <c r="C72" t="s">
        <v>214</v>
      </c>
      <c r="D72" t="s">
        <v>390</v>
      </c>
      <c r="E72" t="s">
        <v>2149</v>
      </c>
      <c r="F72" t="s">
        <v>353</v>
      </c>
      <c r="G72" t="s">
        <v>41</v>
      </c>
      <c r="H72">
        <v>588500</v>
      </c>
      <c r="I72" t="s">
        <v>3502</v>
      </c>
      <c r="J72" t="s">
        <v>391</v>
      </c>
      <c r="K72" t="s">
        <v>392</v>
      </c>
      <c r="L72" t="s">
        <v>44</v>
      </c>
      <c r="M72" s="7" t="s">
        <v>2267</v>
      </c>
      <c r="N72" s="7" t="s">
        <v>2470</v>
      </c>
      <c r="O72" s="7" t="s">
        <v>2496</v>
      </c>
      <c r="P72" s="7" t="s">
        <v>2497</v>
      </c>
      <c r="Q72">
        <v>75</v>
      </c>
      <c r="R72">
        <v>30</v>
      </c>
      <c r="U72">
        <v>1</v>
      </c>
      <c r="X72">
        <v>-15</v>
      </c>
      <c r="Y72">
        <v>46</v>
      </c>
      <c r="Z72">
        <v>-15</v>
      </c>
      <c r="AA72">
        <v>24</v>
      </c>
      <c r="AC72" t="s">
        <v>393</v>
      </c>
      <c r="AD72">
        <v>100</v>
      </c>
      <c r="AE72" t="s">
        <v>3504</v>
      </c>
      <c r="AF72" t="s">
        <v>3505</v>
      </c>
      <c r="AI72" t="s">
        <v>394</v>
      </c>
      <c r="AJ72">
        <v>220</v>
      </c>
      <c r="AK72" t="s">
        <v>315</v>
      </c>
      <c r="AL72" t="s">
        <v>301</v>
      </c>
      <c r="AM72">
        <v>380</v>
      </c>
      <c r="AN72" s="7">
        <v>9.52</v>
      </c>
      <c r="AO72" s="7">
        <v>15.88</v>
      </c>
      <c r="AP72" s="7" t="s">
        <v>3011</v>
      </c>
      <c r="AQ72" t="s">
        <v>49</v>
      </c>
      <c r="AR72" t="s">
        <v>49</v>
      </c>
      <c r="AS72" t="s">
        <v>49</v>
      </c>
      <c r="AT72" t="s">
        <v>49</v>
      </c>
      <c r="AU72" t="s">
        <v>50</v>
      </c>
      <c r="AV72" s="7" t="s">
        <v>3022</v>
      </c>
      <c r="AW72" s="7" t="s">
        <v>3020</v>
      </c>
      <c r="AX72">
        <v>16</v>
      </c>
      <c r="BA72" t="s">
        <v>359</v>
      </c>
      <c r="BE72" s="7" t="s">
        <v>3106</v>
      </c>
      <c r="BF72" t="s">
        <v>49</v>
      </c>
      <c r="BH72">
        <v>140</v>
      </c>
      <c r="BI72" t="s">
        <v>260</v>
      </c>
      <c r="BS72" t="s">
        <v>395</v>
      </c>
      <c r="CH72">
        <v>1290</v>
      </c>
      <c r="CI72">
        <v>1460</v>
      </c>
      <c r="CJ72">
        <v>900</v>
      </c>
      <c r="CK72">
        <v>1050</v>
      </c>
      <c r="CL72">
        <v>330</v>
      </c>
      <c r="CM72">
        <v>445</v>
      </c>
      <c r="CN72" s="2">
        <v>104</v>
      </c>
      <c r="CO72">
        <v>114</v>
      </c>
      <c r="CP72" s="2">
        <v>50</v>
      </c>
      <c r="CQ72">
        <v>115</v>
      </c>
      <c r="CR72">
        <v>950</v>
      </c>
      <c r="CS72">
        <v>1020</v>
      </c>
      <c r="CT72">
        <v>950</v>
      </c>
      <c r="CU72">
        <v>1000</v>
      </c>
      <c r="CV72" s="7">
        <v>5.5</v>
      </c>
      <c r="CW72" s="7">
        <v>8.5</v>
      </c>
    </row>
    <row r="73" spans="1:101" x14ac:dyDescent="0.25">
      <c r="A73" t="s">
        <v>396</v>
      </c>
      <c r="B73" t="s">
        <v>37</v>
      </c>
      <c r="C73" t="s">
        <v>214</v>
      </c>
      <c r="D73" t="s">
        <v>397</v>
      </c>
      <c r="E73" t="s">
        <v>2149</v>
      </c>
      <c r="F73" t="s">
        <v>353</v>
      </c>
      <c r="G73" t="s">
        <v>41</v>
      </c>
      <c r="H73">
        <v>552800</v>
      </c>
      <c r="I73" t="s">
        <v>3502</v>
      </c>
      <c r="J73" t="s">
        <v>398</v>
      </c>
      <c r="K73" t="s">
        <v>399</v>
      </c>
      <c r="L73" t="s">
        <v>44</v>
      </c>
      <c r="M73" s="7" t="s">
        <v>2279</v>
      </c>
      <c r="N73" s="7" t="s">
        <v>2498</v>
      </c>
      <c r="O73" s="7" t="s">
        <v>2499</v>
      </c>
      <c r="P73" s="7" t="s">
        <v>2500</v>
      </c>
      <c r="Q73">
        <v>50</v>
      </c>
      <c r="R73">
        <v>30</v>
      </c>
      <c r="U73">
        <v>1</v>
      </c>
      <c r="X73">
        <v>-15</v>
      </c>
      <c r="Y73">
        <v>46</v>
      </c>
      <c r="Z73">
        <v>-15</v>
      </c>
      <c r="AA73">
        <v>24</v>
      </c>
      <c r="AC73" t="s">
        <v>400</v>
      </c>
      <c r="AD73">
        <v>100</v>
      </c>
      <c r="AE73" t="s">
        <v>3493</v>
      </c>
      <c r="AF73" t="s">
        <v>3506</v>
      </c>
      <c r="AI73" t="s">
        <v>394</v>
      </c>
      <c r="AJ73">
        <v>220</v>
      </c>
      <c r="AK73" t="s">
        <v>401</v>
      </c>
      <c r="AL73" t="s">
        <v>200</v>
      </c>
      <c r="AM73">
        <v>220</v>
      </c>
      <c r="AN73" s="7">
        <v>9.52</v>
      </c>
      <c r="AO73" s="7">
        <v>15.88</v>
      </c>
      <c r="AP73" s="7" t="s">
        <v>3011</v>
      </c>
      <c r="AQ73" t="s">
        <v>49</v>
      </c>
      <c r="AR73" t="s">
        <v>49</v>
      </c>
      <c r="AS73" t="s">
        <v>49</v>
      </c>
      <c r="AT73" t="s">
        <v>49</v>
      </c>
      <c r="AU73" t="s">
        <v>50</v>
      </c>
      <c r="AV73" s="7" t="s">
        <v>308</v>
      </c>
      <c r="AW73" s="7" t="s">
        <v>3020</v>
      </c>
      <c r="AX73">
        <v>32</v>
      </c>
      <c r="BA73" t="s">
        <v>359</v>
      </c>
      <c r="BE73" s="7" t="s">
        <v>3107</v>
      </c>
      <c r="BF73" t="s">
        <v>49</v>
      </c>
      <c r="BH73">
        <v>140</v>
      </c>
      <c r="BI73" t="s">
        <v>120</v>
      </c>
      <c r="BS73" t="s">
        <v>395</v>
      </c>
      <c r="CH73">
        <v>1290</v>
      </c>
      <c r="CI73">
        <v>1460</v>
      </c>
      <c r="CJ73">
        <v>900</v>
      </c>
      <c r="CK73">
        <v>1050</v>
      </c>
      <c r="CL73">
        <v>330</v>
      </c>
      <c r="CM73">
        <v>445</v>
      </c>
      <c r="CN73" s="2">
        <v>86</v>
      </c>
      <c r="CO73">
        <v>95</v>
      </c>
      <c r="CP73" s="2">
        <v>50</v>
      </c>
      <c r="CQ73">
        <v>115</v>
      </c>
      <c r="CR73">
        <v>950</v>
      </c>
      <c r="CS73">
        <v>1020</v>
      </c>
      <c r="CT73">
        <v>950</v>
      </c>
      <c r="CU73">
        <v>1000</v>
      </c>
      <c r="CV73" s="7">
        <v>5.5</v>
      </c>
      <c r="CW73" s="7">
        <v>8.5</v>
      </c>
    </row>
    <row r="74" spans="1:101" x14ac:dyDescent="0.25">
      <c r="A74" t="s">
        <v>402</v>
      </c>
      <c r="B74" t="s">
        <v>37</v>
      </c>
      <c r="C74" t="s">
        <v>214</v>
      </c>
      <c r="D74" t="s">
        <v>403</v>
      </c>
      <c r="E74" t="s">
        <v>2149</v>
      </c>
      <c r="F74" t="s">
        <v>404</v>
      </c>
      <c r="G74" t="s">
        <v>41</v>
      </c>
      <c r="H74">
        <v>289100</v>
      </c>
      <c r="I74" t="s">
        <v>3507</v>
      </c>
      <c r="J74" t="s">
        <v>405</v>
      </c>
      <c r="K74" t="s">
        <v>406</v>
      </c>
      <c r="L74" t="s">
        <v>44</v>
      </c>
      <c r="M74" s="7" t="s">
        <v>2274</v>
      </c>
      <c r="N74" s="7" t="s">
        <v>2481</v>
      </c>
      <c r="O74" s="7">
        <v>1.6</v>
      </c>
      <c r="P74" s="7">
        <v>1.66</v>
      </c>
      <c r="Q74">
        <v>20</v>
      </c>
      <c r="R74">
        <v>15</v>
      </c>
      <c r="X74">
        <v>-10</v>
      </c>
      <c r="Y74">
        <v>46</v>
      </c>
      <c r="Z74">
        <v>-15</v>
      </c>
      <c r="AA74">
        <v>24</v>
      </c>
      <c r="AG74" t="s">
        <v>2947</v>
      </c>
      <c r="AH74" t="s">
        <v>2919</v>
      </c>
      <c r="AN74" s="7">
        <v>6.35</v>
      </c>
      <c r="AO74" s="7">
        <v>12.7</v>
      </c>
      <c r="AP74" s="7" t="s">
        <v>231</v>
      </c>
      <c r="AQ74" t="s">
        <v>49</v>
      </c>
      <c r="AR74" t="s">
        <v>49</v>
      </c>
      <c r="AS74" t="s">
        <v>49</v>
      </c>
      <c r="AT74" t="s">
        <v>49</v>
      </c>
      <c r="AU74" t="s">
        <v>78</v>
      </c>
      <c r="AV74" s="7" t="s">
        <v>3019</v>
      </c>
      <c r="AW74" s="7" t="s">
        <v>3020</v>
      </c>
      <c r="AX74">
        <v>16</v>
      </c>
      <c r="BE74" s="7" t="s">
        <v>3108</v>
      </c>
      <c r="BF74" t="s">
        <v>49</v>
      </c>
      <c r="BH74">
        <v>52</v>
      </c>
      <c r="BI74" t="s">
        <v>52</v>
      </c>
      <c r="BS74" t="s">
        <v>407</v>
      </c>
      <c r="CH74">
        <v>542</v>
      </c>
      <c r="CI74">
        <v>602</v>
      </c>
      <c r="CJ74">
        <v>799</v>
      </c>
      <c r="CK74">
        <v>940</v>
      </c>
      <c r="CL74">
        <v>290</v>
      </c>
      <c r="CM74">
        <v>375</v>
      </c>
      <c r="CN74" s="2">
        <v>33</v>
      </c>
      <c r="CO74">
        <v>36</v>
      </c>
      <c r="CP74" s="2">
        <v>53</v>
      </c>
      <c r="CQ74">
        <v>110</v>
      </c>
      <c r="CR74">
        <v>950</v>
      </c>
      <c r="CS74">
        <v>1000</v>
      </c>
      <c r="CT74">
        <v>950</v>
      </c>
      <c r="CU74">
        <v>1010</v>
      </c>
      <c r="CV74" s="7">
        <v>10.5</v>
      </c>
      <c r="CW74" s="7">
        <v>10.5</v>
      </c>
    </row>
    <row r="75" spans="1:101" x14ac:dyDescent="0.25">
      <c r="A75" t="s">
        <v>408</v>
      </c>
      <c r="B75" t="s">
        <v>37</v>
      </c>
      <c r="C75" t="s">
        <v>214</v>
      </c>
      <c r="D75" t="s">
        <v>409</v>
      </c>
      <c r="E75" t="s">
        <v>2149</v>
      </c>
      <c r="F75" t="s">
        <v>404</v>
      </c>
      <c r="G75" t="s">
        <v>41</v>
      </c>
      <c r="H75">
        <v>352400</v>
      </c>
      <c r="I75" t="s">
        <v>3507</v>
      </c>
      <c r="J75" t="s">
        <v>405</v>
      </c>
      <c r="K75" t="s">
        <v>406</v>
      </c>
      <c r="L75" t="s">
        <v>44</v>
      </c>
      <c r="M75" s="7" t="s">
        <v>2254</v>
      </c>
      <c r="N75" s="7" t="s">
        <v>2452</v>
      </c>
      <c r="O75" s="7">
        <v>2.12</v>
      </c>
      <c r="P75" s="7">
        <v>1.97</v>
      </c>
      <c r="Q75">
        <v>25</v>
      </c>
      <c r="R75">
        <v>20</v>
      </c>
      <c r="X75">
        <v>-10</v>
      </c>
      <c r="Y75">
        <v>46</v>
      </c>
      <c r="Z75">
        <v>-15</v>
      </c>
      <c r="AA75">
        <v>24</v>
      </c>
      <c r="AG75" t="s">
        <v>2950</v>
      </c>
      <c r="AH75" t="s">
        <v>63</v>
      </c>
      <c r="AN75" s="7">
        <v>6.35</v>
      </c>
      <c r="AO75" s="7">
        <v>12.7</v>
      </c>
      <c r="AP75" s="7" t="s">
        <v>231</v>
      </c>
      <c r="AQ75" t="s">
        <v>49</v>
      </c>
      <c r="AR75" t="s">
        <v>49</v>
      </c>
      <c r="AS75" t="s">
        <v>49</v>
      </c>
      <c r="AT75" t="s">
        <v>49</v>
      </c>
      <c r="AU75" t="s">
        <v>78</v>
      </c>
      <c r="AV75" s="7" t="s">
        <v>3021</v>
      </c>
      <c r="AW75" s="7" t="s">
        <v>3020</v>
      </c>
      <c r="AX75">
        <v>20</v>
      </c>
      <c r="BE75" s="7" t="s">
        <v>3109</v>
      </c>
      <c r="BF75" t="s">
        <v>49</v>
      </c>
      <c r="BH75">
        <v>68</v>
      </c>
      <c r="BI75" t="s">
        <v>52</v>
      </c>
      <c r="BS75" t="s">
        <v>410</v>
      </c>
      <c r="CH75">
        <v>632</v>
      </c>
      <c r="CI75">
        <v>692</v>
      </c>
      <c r="CJ75">
        <v>799</v>
      </c>
      <c r="CK75">
        <v>940</v>
      </c>
      <c r="CL75">
        <v>290</v>
      </c>
      <c r="CM75">
        <v>375</v>
      </c>
      <c r="CN75" s="2">
        <v>38</v>
      </c>
      <c r="CO75">
        <v>42</v>
      </c>
      <c r="CP75" s="2">
        <v>53</v>
      </c>
      <c r="CQ75">
        <v>110</v>
      </c>
      <c r="CR75">
        <v>950</v>
      </c>
      <c r="CS75">
        <v>1000</v>
      </c>
      <c r="CT75">
        <v>950</v>
      </c>
      <c r="CU75">
        <v>1010</v>
      </c>
      <c r="CV75" s="7">
        <v>10.5</v>
      </c>
      <c r="CW75" s="7">
        <v>10.5</v>
      </c>
    </row>
    <row r="76" spans="1:101" x14ac:dyDescent="0.25">
      <c r="A76" t="s">
        <v>411</v>
      </c>
      <c r="B76" t="s">
        <v>37</v>
      </c>
      <c r="C76" t="s">
        <v>214</v>
      </c>
      <c r="D76" t="s">
        <v>412</v>
      </c>
      <c r="E76" t="s">
        <v>2149</v>
      </c>
      <c r="F76" t="s">
        <v>404</v>
      </c>
      <c r="G76" t="s">
        <v>41</v>
      </c>
      <c r="H76">
        <v>395300</v>
      </c>
      <c r="I76" t="s">
        <v>3507</v>
      </c>
      <c r="J76" t="s">
        <v>405</v>
      </c>
      <c r="K76" t="s">
        <v>406</v>
      </c>
      <c r="L76" t="s">
        <v>44</v>
      </c>
      <c r="M76" s="7" t="s">
        <v>2255</v>
      </c>
      <c r="N76" s="7" t="s">
        <v>2453</v>
      </c>
      <c r="O76" s="7">
        <v>2.56</v>
      </c>
      <c r="P76" s="7">
        <v>2.64</v>
      </c>
      <c r="Q76">
        <v>30</v>
      </c>
      <c r="R76">
        <v>30</v>
      </c>
      <c r="X76">
        <v>-10</v>
      </c>
      <c r="Y76">
        <v>46</v>
      </c>
      <c r="Z76">
        <v>-15</v>
      </c>
      <c r="AA76">
        <v>24</v>
      </c>
      <c r="AG76" t="s">
        <v>2950</v>
      </c>
      <c r="AH76" t="s">
        <v>63</v>
      </c>
      <c r="AN76" s="7">
        <v>9.52</v>
      </c>
      <c r="AO76" s="7">
        <v>15.88</v>
      </c>
      <c r="AP76" s="7" t="s">
        <v>231</v>
      </c>
      <c r="AQ76" t="s">
        <v>49</v>
      </c>
      <c r="AR76" t="s">
        <v>49</v>
      </c>
      <c r="AS76" t="s">
        <v>49</v>
      </c>
      <c r="AT76" t="s">
        <v>49</v>
      </c>
      <c r="AU76" t="s">
        <v>78</v>
      </c>
      <c r="AV76" s="7" t="s">
        <v>191</v>
      </c>
      <c r="AW76" s="7" t="s">
        <v>3020</v>
      </c>
      <c r="AX76">
        <v>25</v>
      </c>
      <c r="BE76" s="7" t="s">
        <v>3110</v>
      </c>
      <c r="BF76" t="s">
        <v>49</v>
      </c>
      <c r="BH76">
        <v>85</v>
      </c>
      <c r="BI76" t="s">
        <v>52</v>
      </c>
      <c r="BS76" t="s">
        <v>413</v>
      </c>
      <c r="CH76">
        <v>788</v>
      </c>
      <c r="CI76">
        <v>966</v>
      </c>
      <c r="CJ76">
        <v>940</v>
      </c>
      <c r="CK76">
        <v>1027</v>
      </c>
      <c r="CL76">
        <v>320</v>
      </c>
      <c r="CM76">
        <v>445</v>
      </c>
      <c r="CN76" s="2">
        <v>52</v>
      </c>
      <c r="CO76">
        <v>61</v>
      </c>
      <c r="CP76" s="2">
        <v>53</v>
      </c>
      <c r="CQ76">
        <v>110</v>
      </c>
      <c r="CR76">
        <v>950</v>
      </c>
      <c r="CS76">
        <v>1000</v>
      </c>
      <c r="CT76">
        <v>950</v>
      </c>
      <c r="CU76">
        <v>1010</v>
      </c>
      <c r="CV76" s="7">
        <v>10.5</v>
      </c>
      <c r="CW76" s="7">
        <v>10.5</v>
      </c>
    </row>
    <row r="77" spans="1:101" x14ac:dyDescent="0.25">
      <c r="A77" t="s">
        <v>414</v>
      </c>
      <c r="B77" t="s">
        <v>37</v>
      </c>
      <c r="C77" t="s">
        <v>214</v>
      </c>
      <c r="D77" t="s">
        <v>415</v>
      </c>
      <c r="E77" t="s">
        <v>2149</v>
      </c>
      <c r="F77" t="s">
        <v>404</v>
      </c>
      <c r="G77" t="s">
        <v>41</v>
      </c>
      <c r="H77">
        <v>421000</v>
      </c>
      <c r="I77" t="s">
        <v>3507</v>
      </c>
      <c r="J77" t="s">
        <v>405</v>
      </c>
      <c r="K77" t="s">
        <v>406</v>
      </c>
      <c r="L77" t="s">
        <v>44</v>
      </c>
      <c r="M77" s="7" t="s">
        <v>2256</v>
      </c>
      <c r="N77" s="7" t="s">
        <v>2454</v>
      </c>
      <c r="O77" s="7">
        <v>3.06</v>
      </c>
      <c r="P77" s="7">
        <v>2.58</v>
      </c>
      <c r="Q77">
        <v>30</v>
      </c>
      <c r="R77">
        <v>30</v>
      </c>
      <c r="X77">
        <v>-10</v>
      </c>
      <c r="Y77">
        <v>46</v>
      </c>
      <c r="Z77">
        <v>-15</v>
      </c>
      <c r="AA77">
        <v>24</v>
      </c>
      <c r="AG77" t="s">
        <v>2950</v>
      </c>
      <c r="AH77" t="s">
        <v>63</v>
      </c>
      <c r="AN77" s="7">
        <v>9.52</v>
      </c>
      <c r="AO77" s="7">
        <v>15.88</v>
      </c>
      <c r="AP77" s="7" t="s">
        <v>231</v>
      </c>
      <c r="AQ77" t="s">
        <v>49</v>
      </c>
      <c r="AR77" t="s">
        <v>49</v>
      </c>
      <c r="AS77" t="s">
        <v>49</v>
      </c>
      <c r="AT77" t="s">
        <v>49</v>
      </c>
      <c r="AU77" t="s">
        <v>78</v>
      </c>
      <c r="AV77" s="7" t="s">
        <v>191</v>
      </c>
      <c r="AW77" s="7" t="s">
        <v>3020</v>
      </c>
      <c r="AX77">
        <v>25</v>
      </c>
      <c r="BE77" s="7" t="s">
        <v>3111</v>
      </c>
      <c r="BF77" t="s">
        <v>49</v>
      </c>
      <c r="BH77">
        <v>95</v>
      </c>
      <c r="BI77" t="s">
        <v>52</v>
      </c>
      <c r="BS77" t="s">
        <v>416</v>
      </c>
      <c r="CH77">
        <v>788</v>
      </c>
      <c r="CI77">
        <v>966</v>
      </c>
      <c r="CJ77">
        <v>940</v>
      </c>
      <c r="CK77">
        <v>1027</v>
      </c>
      <c r="CL77">
        <v>320</v>
      </c>
      <c r="CM77">
        <v>445</v>
      </c>
      <c r="CN77" s="2">
        <v>52</v>
      </c>
      <c r="CO77">
        <v>61</v>
      </c>
      <c r="CP77" s="2">
        <v>53</v>
      </c>
      <c r="CQ77">
        <v>110</v>
      </c>
      <c r="CR77">
        <v>950</v>
      </c>
      <c r="CS77">
        <v>1000</v>
      </c>
      <c r="CT77">
        <v>950</v>
      </c>
      <c r="CU77">
        <v>1010</v>
      </c>
      <c r="CV77" s="7">
        <v>10.5</v>
      </c>
      <c r="CW77" s="7">
        <v>10.5</v>
      </c>
    </row>
    <row r="78" spans="1:101" x14ac:dyDescent="0.25">
      <c r="A78" t="s">
        <v>417</v>
      </c>
      <c r="B78" t="s">
        <v>37</v>
      </c>
      <c r="C78" t="s">
        <v>214</v>
      </c>
      <c r="D78" t="s">
        <v>418</v>
      </c>
      <c r="E78" t="s">
        <v>2149</v>
      </c>
      <c r="F78" t="s">
        <v>404</v>
      </c>
      <c r="G78" t="s">
        <v>41</v>
      </c>
      <c r="H78">
        <v>451500</v>
      </c>
      <c r="I78" t="s">
        <v>3507</v>
      </c>
      <c r="J78" t="s">
        <v>405</v>
      </c>
      <c r="K78" t="s">
        <v>406</v>
      </c>
      <c r="L78" t="s">
        <v>44</v>
      </c>
      <c r="M78" s="7" t="s">
        <v>2256</v>
      </c>
      <c r="N78" s="7" t="s">
        <v>2454</v>
      </c>
      <c r="O78" s="7">
        <v>3.06</v>
      </c>
      <c r="P78" s="7">
        <v>2.58</v>
      </c>
      <c r="Q78">
        <v>30</v>
      </c>
      <c r="R78">
        <v>30</v>
      </c>
      <c r="X78">
        <v>-10</v>
      </c>
      <c r="Y78">
        <v>46</v>
      </c>
      <c r="Z78">
        <v>-15</v>
      </c>
      <c r="AA78">
        <v>24</v>
      </c>
      <c r="AG78" t="s">
        <v>2950</v>
      </c>
      <c r="AH78" t="s">
        <v>63</v>
      </c>
      <c r="AN78" s="7">
        <v>9.52</v>
      </c>
      <c r="AO78" s="7">
        <v>15.88</v>
      </c>
      <c r="AP78" s="7" t="s">
        <v>231</v>
      </c>
      <c r="AQ78" t="s">
        <v>49</v>
      </c>
      <c r="AR78" t="s">
        <v>49</v>
      </c>
      <c r="AS78" t="s">
        <v>49</v>
      </c>
      <c r="AT78" t="s">
        <v>49</v>
      </c>
      <c r="AU78" t="s">
        <v>78</v>
      </c>
      <c r="AV78" s="7" t="s">
        <v>3022</v>
      </c>
      <c r="AW78" s="7" t="s">
        <v>3020</v>
      </c>
      <c r="AX78">
        <v>16</v>
      </c>
      <c r="BE78" s="7" t="s">
        <v>3112</v>
      </c>
      <c r="BF78" t="s">
        <v>49</v>
      </c>
      <c r="BH78">
        <v>95</v>
      </c>
      <c r="BI78" t="s">
        <v>260</v>
      </c>
      <c r="BS78" t="s">
        <v>416</v>
      </c>
      <c r="CH78">
        <v>788</v>
      </c>
      <c r="CI78">
        <v>966</v>
      </c>
      <c r="CJ78">
        <v>940</v>
      </c>
      <c r="CK78">
        <v>1027</v>
      </c>
      <c r="CL78">
        <v>320</v>
      </c>
      <c r="CM78">
        <v>445</v>
      </c>
      <c r="CN78" s="2">
        <v>53</v>
      </c>
      <c r="CO78">
        <v>62</v>
      </c>
      <c r="CP78" s="2">
        <v>53</v>
      </c>
      <c r="CQ78">
        <v>110</v>
      </c>
      <c r="CR78">
        <v>950</v>
      </c>
      <c r="CS78">
        <v>1000</v>
      </c>
      <c r="CT78">
        <v>950</v>
      </c>
      <c r="CU78">
        <v>1010</v>
      </c>
      <c r="CV78" s="7">
        <v>10.5</v>
      </c>
      <c r="CW78" s="7">
        <v>10.5</v>
      </c>
    </row>
    <row r="79" spans="1:101" x14ac:dyDescent="0.25">
      <c r="A79" t="s">
        <v>419</v>
      </c>
      <c r="B79" t="s">
        <v>37</v>
      </c>
      <c r="C79" t="s">
        <v>214</v>
      </c>
      <c r="D79" t="s">
        <v>420</v>
      </c>
      <c r="E79" t="s">
        <v>2149</v>
      </c>
      <c r="F79" t="s">
        <v>404</v>
      </c>
      <c r="G79" t="s">
        <v>41</v>
      </c>
      <c r="H79">
        <v>446800</v>
      </c>
      <c r="I79" t="s">
        <v>3507</v>
      </c>
      <c r="J79" t="s">
        <v>405</v>
      </c>
      <c r="K79" t="s">
        <v>406</v>
      </c>
      <c r="L79" t="s">
        <v>44</v>
      </c>
      <c r="M79" s="7" t="s">
        <v>2257</v>
      </c>
      <c r="N79" s="7" t="s">
        <v>2455</v>
      </c>
      <c r="O79" s="7">
        <v>4.32</v>
      </c>
      <c r="P79" s="7">
        <v>3.77</v>
      </c>
      <c r="Q79">
        <v>30</v>
      </c>
      <c r="R79">
        <v>30</v>
      </c>
      <c r="X79">
        <v>-10</v>
      </c>
      <c r="Y79">
        <v>46</v>
      </c>
      <c r="Z79">
        <v>-15</v>
      </c>
      <c r="AA79">
        <v>24</v>
      </c>
      <c r="AE79" t="s">
        <v>3508</v>
      </c>
      <c r="AF79" t="s">
        <v>3509</v>
      </c>
      <c r="AN79" s="7">
        <v>9.52</v>
      </c>
      <c r="AO79" s="7">
        <v>15.88</v>
      </c>
      <c r="AP79" s="7" t="s">
        <v>231</v>
      </c>
      <c r="AQ79" t="s">
        <v>49</v>
      </c>
      <c r="AR79" t="s">
        <v>49</v>
      </c>
      <c r="AS79" t="s">
        <v>49</v>
      </c>
      <c r="AT79" t="s">
        <v>49</v>
      </c>
      <c r="AU79" t="s">
        <v>78</v>
      </c>
      <c r="AV79" s="7" t="s">
        <v>191</v>
      </c>
      <c r="AW79" s="7" t="s">
        <v>3020</v>
      </c>
      <c r="AX79">
        <v>32</v>
      </c>
      <c r="BE79" s="7" t="s">
        <v>3113</v>
      </c>
      <c r="BF79" t="s">
        <v>49</v>
      </c>
      <c r="BH79">
        <v>121</v>
      </c>
      <c r="BI79" t="s">
        <v>52</v>
      </c>
      <c r="BS79" t="s">
        <v>421</v>
      </c>
      <c r="CH79">
        <v>998</v>
      </c>
      <c r="CI79">
        <v>1176</v>
      </c>
      <c r="CJ79">
        <v>940</v>
      </c>
      <c r="CK79">
        <v>1027</v>
      </c>
      <c r="CL79">
        <v>320</v>
      </c>
      <c r="CM79">
        <v>445</v>
      </c>
      <c r="CN79" s="2">
        <v>61</v>
      </c>
      <c r="CO79">
        <v>71</v>
      </c>
      <c r="CP79" s="2">
        <v>53</v>
      </c>
      <c r="CQ79">
        <v>110</v>
      </c>
      <c r="CR79">
        <v>950</v>
      </c>
      <c r="CS79">
        <v>1000</v>
      </c>
      <c r="CT79">
        <v>950</v>
      </c>
      <c r="CU79">
        <v>1010</v>
      </c>
      <c r="CV79" s="7">
        <v>10.5</v>
      </c>
      <c r="CW79" s="7">
        <v>10.5</v>
      </c>
    </row>
    <row r="80" spans="1:101" x14ac:dyDescent="0.25">
      <c r="A80" t="s">
        <v>422</v>
      </c>
      <c r="B80" t="s">
        <v>37</v>
      </c>
      <c r="C80" t="s">
        <v>214</v>
      </c>
      <c r="D80" t="s">
        <v>423</v>
      </c>
      <c r="E80" t="s">
        <v>2149</v>
      </c>
      <c r="F80" t="s">
        <v>404</v>
      </c>
      <c r="G80" t="s">
        <v>41</v>
      </c>
      <c r="H80">
        <v>480900</v>
      </c>
      <c r="I80" t="s">
        <v>3507</v>
      </c>
      <c r="J80" t="s">
        <v>405</v>
      </c>
      <c r="K80" t="s">
        <v>406</v>
      </c>
      <c r="L80" t="s">
        <v>44</v>
      </c>
      <c r="M80" s="7" t="s">
        <v>2257</v>
      </c>
      <c r="N80" s="7" t="s">
        <v>2455</v>
      </c>
      <c r="O80" s="7">
        <v>4.32</v>
      </c>
      <c r="P80" s="7">
        <v>3.77</v>
      </c>
      <c r="Q80">
        <v>30</v>
      </c>
      <c r="R80">
        <v>30</v>
      </c>
      <c r="X80">
        <v>-10</v>
      </c>
      <c r="Y80">
        <v>46</v>
      </c>
      <c r="Z80">
        <v>-15</v>
      </c>
      <c r="AA80">
        <v>24</v>
      </c>
      <c r="AE80" t="s">
        <v>3508</v>
      </c>
      <c r="AF80" t="s">
        <v>3509</v>
      </c>
      <c r="AN80" s="7">
        <v>9.52</v>
      </c>
      <c r="AO80" s="7">
        <v>15.88</v>
      </c>
      <c r="AP80" s="7" t="s">
        <v>231</v>
      </c>
      <c r="AQ80" t="s">
        <v>49</v>
      </c>
      <c r="AR80" t="s">
        <v>49</v>
      </c>
      <c r="AS80" t="s">
        <v>49</v>
      </c>
      <c r="AT80" t="s">
        <v>49</v>
      </c>
      <c r="AU80" t="s">
        <v>78</v>
      </c>
      <c r="AV80" s="7" t="s">
        <v>3022</v>
      </c>
      <c r="AW80" s="7" t="s">
        <v>3020</v>
      </c>
      <c r="AX80">
        <v>16</v>
      </c>
      <c r="BE80" s="7" t="s">
        <v>3114</v>
      </c>
      <c r="BF80" t="s">
        <v>49</v>
      </c>
      <c r="BH80">
        <v>121</v>
      </c>
      <c r="BI80" t="s">
        <v>260</v>
      </c>
      <c r="BS80" t="s">
        <v>421</v>
      </c>
      <c r="CH80">
        <v>998</v>
      </c>
      <c r="CI80">
        <v>1176</v>
      </c>
      <c r="CJ80">
        <v>940</v>
      </c>
      <c r="CK80">
        <v>1027</v>
      </c>
      <c r="CL80">
        <v>320</v>
      </c>
      <c r="CM80">
        <v>445</v>
      </c>
      <c r="CN80" s="2">
        <v>62</v>
      </c>
      <c r="CO80">
        <v>72</v>
      </c>
      <c r="CP80" s="2">
        <v>53</v>
      </c>
      <c r="CQ80">
        <v>110</v>
      </c>
      <c r="CR80">
        <v>950</v>
      </c>
      <c r="CS80">
        <v>1000</v>
      </c>
      <c r="CT80">
        <v>950</v>
      </c>
      <c r="CU80">
        <v>1010</v>
      </c>
      <c r="CV80" s="7">
        <v>10.5</v>
      </c>
      <c r="CW80" s="7">
        <v>10.5</v>
      </c>
    </row>
    <row r="81" spans="1:101" x14ac:dyDescent="0.25">
      <c r="A81" t="s">
        <v>424</v>
      </c>
      <c r="B81" t="s">
        <v>37</v>
      </c>
      <c r="C81" t="s">
        <v>214</v>
      </c>
      <c r="D81" t="s">
        <v>425</v>
      </c>
      <c r="E81" t="s">
        <v>2149</v>
      </c>
      <c r="F81" t="s">
        <v>404</v>
      </c>
      <c r="G81" t="s">
        <v>41</v>
      </c>
      <c r="H81">
        <v>531300</v>
      </c>
      <c r="I81" t="s">
        <v>3507</v>
      </c>
      <c r="J81" t="s">
        <v>405</v>
      </c>
      <c r="K81" t="s">
        <v>406</v>
      </c>
      <c r="L81" t="s">
        <v>44</v>
      </c>
      <c r="M81" s="7" t="s">
        <v>2280</v>
      </c>
      <c r="N81" s="7" t="s">
        <v>2501</v>
      </c>
      <c r="O81" s="7">
        <v>4.87</v>
      </c>
      <c r="P81" s="7">
        <v>4.8600000000000003</v>
      </c>
      <c r="Q81">
        <v>30</v>
      </c>
      <c r="R81">
        <v>30</v>
      </c>
      <c r="X81">
        <v>-10</v>
      </c>
      <c r="Y81">
        <v>46</v>
      </c>
      <c r="Z81">
        <v>-15</v>
      </c>
      <c r="AA81">
        <v>24</v>
      </c>
      <c r="AE81" t="s">
        <v>3510</v>
      </c>
      <c r="AF81" t="s">
        <v>3511</v>
      </c>
      <c r="AN81" s="7">
        <v>9.52</v>
      </c>
      <c r="AO81" s="7">
        <v>15.88</v>
      </c>
      <c r="AP81" s="7" t="s">
        <v>231</v>
      </c>
      <c r="AQ81" t="s">
        <v>49</v>
      </c>
      <c r="AR81" t="s">
        <v>49</v>
      </c>
      <c r="AS81" t="s">
        <v>49</v>
      </c>
      <c r="AT81" t="s">
        <v>49</v>
      </c>
      <c r="AU81" t="s">
        <v>78</v>
      </c>
      <c r="AV81" s="7" t="s">
        <v>191</v>
      </c>
      <c r="AW81" s="7" t="s">
        <v>3020</v>
      </c>
      <c r="AX81">
        <v>32</v>
      </c>
      <c r="BE81" s="7" t="s">
        <v>3115</v>
      </c>
      <c r="BF81" t="s">
        <v>49</v>
      </c>
      <c r="BH81">
        <v>134</v>
      </c>
      <c r="BI81" t="s">
        <v>52</v>
      </c>
      <c r="BS81" t="s">
        <v>426</v>
      </c>
      <c r="CH81">
        <v>998</v>
      </c>
      <c r="CI81">
        <v>1176</v>
      </c>
      <c r="CJ81">
        <v>940</v>
      </c>
      <c r="CK81">
        <v>1027</v>
      </c>
      <c r="CL81">
        <v>320</v>
      </c>
      <c r="CM81">
        <v>445</v>
      </c>
      <c r="CN81" s="2">
        <v>63</v>
      </c>
      <c r="CO81">
        <v>72</v>
      </c>
      <c r="CP81" s="2">
        <v>53</v>
      </c>
      <c r="CQ81">
        <v>110</v>
      </c>
      <c r="CR81">
        <v>950</v>
      </c>
      <c r="CS81">
        <v>1000</v>
      </c>
      <c r="CT81">
        <v>950</v>
      </c>
      <c r="CU81">
        <v>1010</v>
      </c>
      <c r="CV81" s="7">
        <v>10.5</v>
      </c>
      <c r="CW81" s="7">
        <v>10.5</v>
      </c>
    </row>
    <row r="82" spans="1:101" x14ac:dyDescent="0.25">
      <c r="A82" t="s">
        <v>427</v>
      </c>
      <c r="B82" t="s">
        <v>37</v>
      </c>
      <c r="C82" t="s">
        <v>214</v>
      </c>
      <c r="D82" t="s">
        <v>428</v>
      </c>
      <c r="E82" t="s">
        <v>2149</v>
      </c>
      <c r="F82" t="s">
        <v>404</v>
      </c>
      <c r="G82" t="s">
        <v>41</v>
      </c>
      <c r="H82">
        <v>568200</v>
      </c>
      <c r="I82" t="s">
        <v>3507</v>
      </c>
      <c r="J82" t="s">
        <v>405</v>
      </c>
      <c r="K82" t="s">
        <v>406</v>
      </c>
      <c r="L82" t="s">
        <v>44</v>
      </c>
      <c r="M82" s="7" t="s">
        <v>2280</v>
      </c>
      <c r="N82" s="7" t="s">
        <v>2501</v>
      </c>
      <c r="O82" s="7">
        <v>4.87</v>
      </c>
      <c r="P82" s="7">
        <v>4.8600000000000003</v>
      </c>
      <c r="Q82">
        <v>30</v>
      </c>
      <c r="R82">
        <v>30</v>
      </c>
      <c r="X82">
        <v>-10</v>
      </c>
      <c r="Y82">
        <v>46</v>
      </c>
      <c r="Z82">
        <v>-15</v>
      </c>
      <c r="AA82">
        <v>24</v>
      </c>
      <c r="AE82" t="s">
        <v>3510</v>
      </c>
      <c r="AF82" t="s">
        <v>3511</v>
      </c>
      <c r="AN82" s="7">
        <v>9.52</v>
      </c>
      <c r="AO82" s="7">
        <v>15.88</v>
      </c>
      <c r="AP82" s="7" t="s">
        <v>231</v>
      </c>
      <c r="AQ82" t="s">
        <v>49</v>
      </c>
      <c r="AR82" t="s">
        <v>49</v>
      </c>
      <c r="AS82" t="s">
        <v>49</v>
      </c>
      <c r="AT82" t="s">
        <v>49</v>
      </c>
      <c r="AU82" t="s">
        <v>78</v>
      </c>
      <c r="AV82" s="7" t="s">
        <v>3022</v>
      </c>
      <c r="AW82" s="7" t="s">
        <v>3020</v>
      </c>
      <c r="AX82">
        <v>16</v>
      </c>
      <c r="BE82" s="7" t="s">
        <v>3116</v>
      </c>
      <c r="BF82" t="s">
        <v>49</v>
      </c>
      <c r="BH82">
        <v>134</v>
      </c>
      <c r="BI82" t="s">
        <v>260</v>
      </c>
      <c r="BS82" t="s">
        <v>426</v>
      </c>
      <c r="CH82">
        <v>998</v>
      </c>
      <c r="CI82">
        <v>1176</v>
      </c>
      <c r="CJ82">
        <v>940</v>
      </c>
      <c r="CK82">
        <v>1027</v>
      </c>
      <c r="CL82">
        <v>320</v>
      </c>
      <c r="CM82">
        <v>445</v>
      </c>
      <c r="CN82" s="2">
        <v>63</v>
      </c>
      <c r="CO82">
        <v>73</v>
      </c>
      <c r="CP82" s="2">
        <v>53</v>
      </c>
      <c r="CQ82">
        <v>110</v>
      </c>
      <c r="CR82">
        <v>950</v>
      </c>
      <c r="CS82">
        <v>1000</v>
      </c>
      <c r="CT82">
        <v>950</v>
      </c>
      <c r="CU82">
        <v>1010</v>
      </c>
      <c r="CV82" s="7">
        <v>10.5</v>
      </c>
      <c r="CW82" s="7">
        <v>10.5</v>
      </c>
    </row>
    <row r="83" spans="1:101" x14ac:dyDescent="0.25">
      <c r="A83" t="s">
        <v>429</v>
      </c>
      <c r="B83" t="s">
        <v>37</v>
      </c>
      <c r="C83" t="s">
        <v>214</v>
      </c>
      <c r="D83" t="s">
        <v>430</v>
      </c>
      <c r="E83" t="s">
        <v>2149</v>
      </c>
      <c r="F83" t="s">
        <v>431</v>
      </c>
      <c r="G83" t="s">
        <v>41</v>
      </c>
      <c r="H83">
        <v>192500</v>
      </c>
      <c r="I83" t="s">
        <v>3512</v>
      </c>
      <c r="J83" t="s">
        <v>432</v>
      </c>
      <c r="K83" t="s">
        <v>433</v>
      </c>
      <c r="L83" t="s">
        <v>44</v>
      </c>
      <c r="M83" s="7" t="s">
        <v>2281</v>
      </c>
      <c r="N83" s="7" t="s">
        <v>2502</v>
      </c>
      <c r="O83" s="7" t="s">
        <v>2503</v>
      </c>
      <c r="P83" s="7" t="s">
        <v>2504</v>
      </c>
      <c r="Q83">
        <v>25</v>
      </c>
      <c r="R83">
        <v>15</v>
      </c>
      <c r="U83">
        <v>1</v>
      </c>
      <c r="X83">
        <v>-10</v>
      </c>
      <c r="Y83">
        <v>46</v>
      </c>
      <c r="Z83">
        <v>-15</v>
      </c>
      <c r="AA83">
        <v>24</v>
      </c>
      <c r="AC83" t="s">
        <v>434</v>
      </c>
      <c r="AD83">
        <v>25</v>
      </c>
      <c r="AG83" t="s">
        <v>2947</v>
      </c>
      <c r="AH83" t="s">
        <v>2919</v>
      </c>
      <c r="AI83" t="s">
        <v>435</v>
      </c>
      <c r="AJ83">
        <v>220</v>
      </c>
      <c r="AK83" t="s">
        <v>436</v>
      </c>
      <c r="AL83" t="s">
        <v>301</v>
      </c>
      <c r="AM83">
        <v>220</v>
      </c>
      <c r="AN83" s="7">
        <v>6.35</v>
      </c>
      <c r="AO83" s="7">
        <v>9.52</v>
      </c>
      <c r="AP83" s="7" t="s">
        <v>3011</v>
      </c>
      <c r="AQ83" t="s">
        <v>49</v>
      </c>
      <c r="AR83" t="s">
        <v>49</v>
      </c>
      <c r="AS83" t="s">
        <v>49</v>
      </c>
      <c r="AT83" t="s">
        <v>49</v>
      </c>
      <c r="AU83" t="s">
        <v>50</v>
      </c>
      <c r="AV83" s="7" t="s">
        <v>3021</v>
      </c>
      <c r="AW83" s="7" t="s">
        <v>3020</v>
      </c>
      <c r="AX83">
        <v>16</v>
      </c>
      <c r="BA83" t="s">
        <v>437</v>
      </c>
      <c r="BE83" s="7" t="s">
        <v>3117</v>
      </c>
      <c r="BF83" t="s">
        <v>49</v>
      </c>
      <c r="BG83" t="s">
        <v>51</v>
      </c>
      <c r="BH83">
        <v>37</v>
      </c>
      <c r="BI83" t="s">
        <v>120</v>
      </c>
      <c r="BS83" t="s">
        <v>438</v>
      </c>
      <c r="CH83">
        <v>578</v>
      </c>
      <c r="CI83">
        <v>648</v>
      </c>
      <c r="CJ83">
        <v>790</v>
      </c>
      <c r="CK83">
        <v>910</v>
      </c>
      <c r="CL83">
        <v>300</v>
      </c>
      <c r="CM83">
        <v>380</v>
      </c>
      <c r="CN83" s="2">
        <v>40</v>
      </c>
      <c r="CO83">
        <v>44</v>
      </c>
      <c r="CP83" s="2">
        <v>50</v>
      </c>
      <c r="CQ83">
        <v>120</v>
      </c>
      <c r="CR83">
        <v>700</v>
      </c>
      <c r="CS83">
        <v>755</v>
      </c>
      <c r="CT83">
        <v>700</v>
      </c>
      <c r="CU83">
        <v>765</v>
      </c>
      <c r="CV83" s="7">
        <v>4.5</v>
      </c>
      <c r="CW83" s="7">
        <v>4.5</v>
      </c>
    </row>
    <row r="84" spans="1:101" x14ac:dyDescent="0.25">
      <c r="A84" t="s">
        <v>439</v>
      </c>
      <c r="B84" t="s">
        <v>37</v>
      </c>
      <c r="C84" t="s">
        <v>214</v>
      </c>
      <c r="D84" t="s">
        <v>440</v>
      </c>
      <c r="E84" t="s">
        <v>2149</v>
      </c>
      <c r="F84" t="s">
        <v>431</v>
      </c>
      <c r="G84" t="s">
        <v>41</v>
      </c>
      <c r="H84">
        <v>211700</v>
      </c>
      <c r="I84" t="s">
        <v>3512</v>
      </c>
      <c r="J84" t="s">
        <v>441</v>
      </c>
      <c r="K84" t="s">
        <v>442</v>
      </c>
      <c r="L84" t="s">
        <v>44</v>
      </c>
      <c r="M84" s="7" t="s">
        <v>2282</v>
      </c>
      <c r="N84" s="7" t="s">
        <v>2505</v>
      </c>
      <c r="O84" s="7" t="s">
        <v>2506</v>
      </c>
      <c r="P84" s="7" t="s">
        <v>2507</v>
      </c>
      <c r="Q84">
        <v>25</v>
      </c>
      <c r="R84">
        <v>15</v>
      </c>
      <c r="U84">
        <v>1</v>
      </c>
      <c r="X84">
        <v>-10</v>
      </c>
      <c r="Y84">
        <v>46</v>
      </c>
      <c r="Z84">
        <v>-15</v>
      </c>
      <c r="AA84">
        <v>24</v>
      </c>
      <c r="AC84" t="s">
        <v>443</v>
      </c>
      <c r="AD84">
        <v>30</v>
      </c>
      <c r="AG84" t="s">
        <v>2952</v>
      </c>
      <c r="AH84" t="s">
        <v>2928</v>
      </c>
      <c r="AI84" t="s">
        <v>444</v>
      </c>
      <c r="AJ84">
        <v>220</v>
      </c>
      <c r="AK84" t="s">
        <v>445</v>
      </c>
      <c r="AL84" t="s">
        <v>301</v>
      </c>
      <c r="AM84">
        <v>220</v>
      </c>
      <c r="AN84" s="7">
        <v>6.35</v>
      </c>
      <c r="AO84" s="7">
        <v>12.7</v>
      </c>
      <c r="AP84" s="7" t="s">
        <v>3011</v>
      </c>
      <c r="AQ84" t="s">
        <v>49</v>
      </c>
      <c r="AR84" t="s">
        <v>49</v>
      </c>
      <c r="AS84" t="s">
        <v>49</v>
      </c>
      <c r="AT84" t="s">
        <v>49</v>
      </c>
      <c r="AU84" t="s">
        <v>50</v>
      </c>
      <c r="AV84" s="7" t="s">
        <v>3021</v>
      </c>
      <c r="AW84" s="7" t="s">
        <v>3020</v>
      </c>
      <c r="AX84">
        <v>16</v>
      </c>
      <c r="BA84" t="s">
        <v>437</v>
      </c>
      <c r="BE84" s="7" t="s">
        <v>3118</v>
      </c>
      <c r="BF84" t="s">
        <v>49</v>
      </c>
      <c r="BG84" t="s">
        <v>51</v>
      </c>
      <c r="BH84">
        <v>45</v>
      </c>
      <c r="BI84" t="s">
        <v>120</v>
      </c>
      <c r="BS84" t="s">
        <v>438</v>
      </c>
      <c r="CH84">
        <v>578</v>
      </c>
      <c r="CI84">
        <v>648</v>
      </c>
      <c r="CJ84">
        <v>790</v>
      </c>
      <c r="CK84">
        <v>910</v>
      </c>
      <c r="CL84">
        <v>300</v>
      </c>
      <c r="CM84">
        <v>380</v>
      </c>
      <c r="CN84" s="2">
        <v>40</v>
      </c>
      <c r="CO84">
        <v>44</v>
      </c>
      <c r="CP84" s="2">
        <v>50</v>
      </c>
      <c r="CQ84">
        <v>120</v>
      </c>
      <c r="CR84">
        <v>700</v>
      </c>
      <c r="CS84">
        <v>755</v>
      </c>
      <c r="CT84">
        <v>700</v>
      </c>
      <c r="CU84">
        <v>765</v>
      </c>
      <c r="CV84" s="7">
        <v>4.5</v>
      </c>
      <c r="CW84" s="7">
        <v>4.5</v>
      </c>
    </row>
    <row r="85" spans="1:101" x14ac:dyDescent="0.25">
      <c r="A85" t="s">
        <v>446</v>
      </c>
      <c r="B85" t="s">
        <v>37</v>
      </c>
      <c r="C85" t="s">
        <v>214</v>
      </c>
      <c r="D85" t="s">
        <v>447</v>
      </c>
      <c r="E85" t="s">
        <v>2149</v>
      </c>
      <c r="F85" t="s">
        <v>431</v>
      </c>
      <c r="G85" t="s">
        <v>41</v>
      </c>
      <c r="H85">
        <v>229300</v>
      </c>
      <c r="I85" t="s">
        <v>3512</v>
      </c>
      <c r="J85" t="s">
        <v>448</v>
      </c>
      <c r="K85" t="s">
        <v>449</v>
      </c>
      <c r="L85" t="s">
        <v>44</v>
      </c>
      <c r="M85" s="7" t="s">
        <v>2283</v>
      </c>
      <c r="N85" s="7" t="s">
        <v>2508</v>
      </c>
      <c r="O85" s="7" t="s">
        <v>2509</v>
      </c>
      <c r="P85" s="7" t="s">
        <v>2510</v>
      </c>
      <c r="Q85">
        <v>25</v>
      </c>
      <c r="R85">
        <v>15</v>
      </c>
      <c r="U85">
        <v>1</v>
      </c>
      <c r="X85">
        <v>-10</v>
      </c>
      <c r="Y85">
        <v>46</v>
      </c>
      <c r="Z85">
        <v>-15</v>
      </c>
      <c r="AA85">
        <v>24</v>
      </c>
      <c r="AD85">
        <v>29</v>
      </c>
      <c r="AG85" t="s">
        <v>2947</v>
      </c>
      <c r="AH85" t="s">
        <v>2951</v>
      </c>
      <c r="AL85" t="s">
        <v>301</v>
      </c>
      <c r="AN85" s="7">
        <v>6.35</v>
      </c>
      <c r="AO85" s="7">
        <v>12.7</v>
      </c>
      <c r="AP85" s="7" t="s">
        <v>3011</v>
      </c>
      <c r="AQ85" t="s">
        <v>49</v>
      </c>
      <c r="AR85" t="s">
        <v>49</v>
      </c>
      <c r="AS85" t="s">
        <v>49</v>
      </c>
      <c r="AT85" t="s">
        <v>49</v>
      </c>
      <c r="AU85" t="s">
        <v>50</v>
      </c>
      <c r="AV85" s="7" t="s">
        <v>3021</v>
      </c>
      <c r="AW85" s="7" t="s">
        <v>3020</v>
      </c>
      <c r="AX85">
        <v>20</v>
      </c>
      <c r="BE85" s="7" t="s">
        <v>3119</v>
      </c>
      <c r="BF85" t="s">
        <v>49</v>
      </c>
      <c r="BG85" t="s">
        <v>51</v>
      </c>
      <c r="BH85">
        <v>49</v>
      </c>
      <c r="BI85" t="s">
        <v>120</v>
      </c>
      <c r="BS85" t="s">
        <v>450</v>
      </c>
      <c r="CH85">
        <v>632</v>
      </c>
      <c r="CI85">
        <v>692</v>
      </c>
      <c r="CJ85">
        <v>799</v>
      </c>
      <c r="CK85">
        <v>940</v>
      </c>
      <c r="CL85">
        <v>290</v>
      </c>
      <c r="CM85">
        <v>375</v>
      </c>
      <c r="CN85" s="2">
        <v>36</v>
      </c>
      <c r="CO85">
        <v>40</v>
      </c>
      <c r="CP85" s="2">
        <v>50</v>
      </c>
      <c r="CQ85">
        <v>120</v>
      </c>
      <c r="CR85">
        <v>700</v>
      </c>
      <c r="CS85">
        <v>755</v>
      </c>
      <c r="CT85">
        <v>700</v>
      </c>
      <c r="CU85">
        <v>765</v>
      </c>
      <c r="CV85" s="7">
        <v>4.5</v>
      </c>
      <c r="CW85" s="7">
        <v>4.5</v>
      </c>
    </row>
    <row r="86" spans="1:101" x14ac:dyDescent="0.25">
      <c r="A86" t="s">
        <v>451</v>
      </c>
      <c r="B86" t="s">
        <v>37</v>
      </c>
      <c r="C86" t="s">
        <v>214</v>
      </c>
      <c r="D86" t="s">
        <v>452</v>
      </c>
      <c r="E86" t="s">
        <v>2149</v>
      </c>
      <c r="F86" t="s">
        <v>431</v>
      </c>
      <c r="G86" t="s">
        <v>41</v>
      </c>
      <c r="H86">
        <v>245700</v>
      </c>
      <c r="I86" t="s">
        <v>3512</v>
      </c>
      <c r="J86" t="s">
        <v>453</v>
      </c>
      <c r="K86" t="s">
        <v>454</v>
      </c>
      <c r="L86" t="s">
        <v>44</v>
      </c>
      <c r="M86" s="7" t="s">
        <v>2284</v>
      </c>
      <c r="N86" s="7" t="s">
        <v>2511</v>
      </c>
      <c r="O86" s="7" t="s">
        <v>2512</v>
      </c>
      <c r="P86" s="7" t="s">
        <v>2513</v>
      </c>
      <c r="Q86">
        <v>30</v>
      </c>
      <c r="R86">
        <v>20</v>
      </c>
      <c r="U86">
        <v>1</v>
      </c>
      <c r="X86">
        <v>-10</v>
      </c>
      <c r="Y86">
        <v>46</v>
      </c>
      <c r="Z86">
        <v>-15</v>
      </c>
      <c r="AA86">
        <v>24</v>
      </c>
      <c r="AD86">
        <v>38</v>
      </c>
      <c r="AG86" t="s">
        <v>2946</v>
      </c>
      <c r="AH86" t="s">
        <v>2944</v>
      </c>
      <c r="AL86" t="s">
        <v>301</v>
      </c>
      <c r="AN86" s="7">
        <v>6.35</v>
      </c>
      <c r="AO86" s="7">
        <v>15.88</v>
      </c>
      <c r="AP86" s="7" t="s">
        <v>3011</v>
      </c>
      <c r="AQ86" t="s">
        <v>49</v>
      </c>
      <c r="AR86" t="s">
        <v>49</v>
      </c>
      <c r="AS86" t="s">
        <v>49</v>
      </c>
      <c r="AT86" t="s">
        <v>49</v>
      </c>
      <c r="AU86" t="s">
        <v>50</v>
      </c>
      <c r="AV86" s="7" t="s">
        <v>191</v>
      </c>
      <c r="AW86" s="7" t="s">
        <v>3020</v>
      </c>
      <c r="AX86">
        <v>25</v>
      </c>
      <c r="BE86" s="7" t="s">
        <v>3120</v>
      </c>
      <c r="BF86" t="s">
        <v>49</v>
      </c>
      <c r="BG86" t="s">
        <v>209</v>
      </c>
      <c r="BH86">
        <v>64</v>
      </c>
      <c r="BI86" t="s">
        <v>120</v>
      </c>
      <c r="BS86" t="s">
        <v>455</v>
      </c>
      <c r="CH86">
        <v>716</v>
      </c>
      <c r="CI86">
        <v>776</v>
      </c>
      <c r="CJ86">
        <v>820</v>
      </c>
      <c r="CK86">
        <v>961</v>
      </c>
      <c r="CL86">
        <v>315</v>
      </c>
      <c r="CM86">
        <v>450</v>
      </c>
      <c r="CN86" s="2">
        <v>42</v>
      </c>
      <c r="CO86">
        <v>47</v>
      </c>
      <c r="CP86" s="2">
        <v>50</v>
      </c>
      <c r="CQ86">
        <v>120</v>
      </c>
      <c r="CR86">
        <v>700</v>
      </c>
      <c r="CS86">
        <v>755</v>
      </c>
      <c r="CT86">
        <v>700</v>
      </c>
      <c r="CU86">
        <v>765</v>
      </c>
      <c r="CV86" s="7">
        <v>4.5</v>
      </c>
      <c r="CW86" s="7">
        <v>4.5</v>
      </c>
    </row>
    <row r="87" spans="1:101" x14ac:dyDescent="0.25">
      <c r="A87" t="s">
        <v>456</v>
      </c>
      <c r="B87" t="s">
        <v>37</v>
      </c>
      <c r="C87" t="s">
        <v>214</v>
      </c>
      <c r="D87" t="s">
        <v>457</v>
      </c>
      <c r="E87" t="s">
        <v>2149</v>
      </c>
      <c r="F87" t="s">
        <v>458</v>
      </c>
      <c r="G87" t="s">
        <v>41</v>
      </c>
      <c r="H87">
        <v>149400</v>
      </c>
      <c r="I87" t="s">
        <v>459</v>
      </c>
      <c r="J87" t="s">
        <v>460</v>
      </c>
      <c r="K87" t="s">
        <v>461</v>
      </c>
      <c r="L87" t="s">
        <v>44</v>
      </c>
      <c r="M87" s="7" t="s">
        <v>2272</v>
      </c>
      <c r="N87" s="7" t="s">
        <v>2479</v>
      </c>
      <c r="O87" s="7">
        <v>1.0900000000000001</v>
      </c>
      <c r="P87" s="7">
        <v>1.17</v>
      </c>
      <c r="Q87">
        <v>15</v>
      </c>
      <c r="R87">
        <v>15</v>
      </c>
      <c r="X87">
        <v>-10</v>
      </c>
      <c r="Y87">
        <v>46</v>
      </c>
      <c r="Z87">
        <v>-15</v>
      </c>
      <c r="AA87">
        <v>24</v>
      </c>
      <c r="AG87" t="s">
        <v>2950</v>
      </c>
      <c r="AH87" t="s">
        <v>63</v>
      </c>
      <c r="AN87" s="7">
        <v>6.35</v>
      </c>
      <c r="AO87" s="7">
        <v>9.52</v>
      </c>
      <c r="AP87" s="7" t="s">
        <v>231</v>
      </c>
      <c r="AQ87" t="s">
        <v>49</v>
      </c>
      <c r="AR87" t="s">
        <v>49</v>
      </c>
      <c r="AS87" t="s">
        <v>49</v>
      </c>
      <c r="AT87" t="s">
        <v>49</v>
      </c>
      <c r="AU87" t="s">
        <v>78</v>
      </c>
      <c r="AV87" s="7" t="s">
        <v>3019</v>
      </c>
      <c r="AW87" s="7" t="s">
        <v>3020</v>
      </c>
      <c r="AX87">
        <v>10</v>
      </c>
      <c r="BE87" s="7" t="s">
        <v>3121</v>
      </c>
      <c r="BF87" t="s">
        <v>49</v>
      </c>
      <c r="BH87">
        <v>35</v>
      </c>
      <c r="BI87" t="s">
        <v>52</v>
      </c>
      <c r="BS87" t="s">
        <v>438</v>
      </c>
      <c r="CH87">
        <v>541</v>
      </c>
      <c r="CI87">
        <v>602</v>
      </c>
      <c r="CJ87">
        <v>663</v>
      </c>
      <c r="CK87">
        <v>804</v>
      </c>
      <c r="CL87">
        <v>290</v>
      </c>
      <c r="CM87">
        <v>375</v>
      </c>
      <c r="CN87" s="2">
        <v>25</v>
      </c>
      <c r="CO87">
        <v>29</v>
      </c>
    </row>
    <row r="88" spans="1:101" x14ac:dyDescent="0.25">
      <c r="A88" t="s">
        <v>462</v>
      </c>
      <c r="B88" t="s">
        <v>37</v>
      </c>
      <c r="C88" t="s">
        <v>214</v>
      </c>
      <c r="D88" t="s">
        <v>463</v>
      </c>
      <c r="E88" t="s">
        <v>2149</v>
      </c>
      <c r="F88" t="s">
        <v>458</v>
      </c>
      <c r="G88" t="s">
        <v>41</v>
      </c>
      <c r="H88">
        <v>166700</v>
      </c>
      <c r="I88" t="s">
        <v>459</v>
      </c>
      <c r="J88" t="s">
        <v>460</v>
      </c>
      <c r="K88" t="s">
        <v>461</v>
      </c>
      <c r="L88" t="s">
        <v>44</v>
      </c>
      <c r="M88" s="7" t="s">
        <v>2273</v>
      </c>
      <c r="N88" s="7" t="s">
        <v>2480</v>
      </c>
      <c r="O88" s="7">
        <v>1.37</v>
      </c>
      <c r="P88" s="7">
        <v>1.42</v>
      </c>
      <c r="Q88">
        <v>20</v>
      </c>
      <c r="R88">
        <v>15</v>
      </c>
      <c r="X88">
        <v>-10</v>
      </c>
      <c r="Y88">
        <v>46</v>
      </c>
      <c r="Z88">
        <v>-15</v>
      </c>
      <c r="AA88">
        <v>24</v>
      </c>
      <c r="AG88" t="s">
        <v>2950</v>
      </c>
      <c r="AH88" t="s">
        <v>63</v>
      </c>
      <c r="AN88" s="7">
        <v>6.35</v>
      </c>
      <c r="AO88" s="7">
        <v>9.52</v>
      </c>
      <c r="AP88" s="7" t="s">
        <v>231</v>
      </c>
      <c r="AQ88" t="s">
        <v>49</v>
      </c>
      <c r="AR88" t="s">
        <v>49</v>
      </c>
      <c r="AS88" t="s">
        <v>49</v>
      </c>
      <c r="AT88" t="s">
        <v>49</v>
      </c>
      <c r="AU88" t="s">
        <v>78</v>
      </c>
      <c r="AV88" s="7" t="s">
        <v>3019</v>
      </c>
      <c r="AW88" s="7" t="s">
        <v>3020</v>
      </c>
      <c r="AX88">
        <v>16</v>
      </c>
      <c r="BE88" s="7" t="s">
        <v>3122</v>
      </c>
      <c r="BF88" t="s">
        <v>49</v>
      </c>
      <c r="BH88">
        <v>43</v>
      </c>
      <c r="BI88" t="s">
        <v>52</v>
      </c>
      <c r="BS88" t="s">
        <v>464</v>
      </c>
      <c r="CH88">
        <v>542</v>
      </c>
      <c r="CI88">
        <v>602</v>
      </c>
      <c r="CJ88">
        <v>799</v>
      </c>
      <c r="CK88">
        <v>940</v>
      </c>
      <c r="CL88">
        <v>290</v>
      </c>
      <c r="CM88">
        <v>375</v>
      </c>
      <c r="CN88" s="2">
        <v>32</v>
      </c>
      <c r="CO88">
        <v>36</v>
      </c>
    </row>
    <row r="89" spans="1:101" x14ac:dyDescent="0.25">
      <c r="A89" t="s">
        <v>465</v>
      </c>
      <c r="B89" t="s">
        <v>37</v>
      </c>
      <c r="C89" t="s">
        <v>214</v>
      </c>
      <c r="D89" t="s">
        <v>466</v>
      </c>
      <c r="E89" t="s">
        <v>2149</v>
      </c>
      <c r="F89" t="s">
        <v>458</v>
      </c>
      <c r="G89" t="s">
        <v>41</v>
      </c>
      <c r="H89">
        <v>178400</v>
      </c>
      <c r="I89" t="s">
        <v>459</v>
      </c>
      <c r="J89" t="s">
        <v>460</v>
      </c>
      <c r="K89" t="s">
        <v>461</v>
      </c>
      <c r="L89" t="s">
        <v>44</v>
      </c>
      <c r="M89" s="7" t="s">
        <v>2274</v>
      </c>
      <c r="N89" s="7" t="s">
        <v>2481</v>
      </c>
      <c r="O89" s="7">
        <v>1.69</v>
      </c>
      <c r="P89" s="7">
        <v>1.72</v>
      </c>
      <c r="Q89">
        <v>20</v>
      </c>
      <c r="R89">
        <v>15</v>
      </c>
      <c r="X89">
        <v>-10</v>
      </c>
      <c r="Y89">
        <v>46</v>
      </c>
      <c r="Z89">
        <v>-15</v>
      </c>
      <c r="AA89">
        <v>24</v>
      </c>
      <c r="AG89" t="s">
        <v>2950</v>
      </c>
      <c r="AH89" t="s">
        <v>2944</v>
      </c>
      <c r="AN89" s="7">
        <v>6.35</v>
      </c>
      <c r="AO89" s="7">
        <v>12.7</v>
      </c>
      <c r="AP89" s="7" t="s">
        <v>231</v>
      </c>
      <c r="AQ89" t="s">
        <v>49</v>
      </c>
      <c r="AR89" t="s">
        <v>49</v>
      </c>
      <c r="AS89" t="s">
        <v>49</v>
      </c>
      <c r="AT89" t="s">
        <v>49</v>
      </c>
      <c r="AU89" t="s">
        <v>78</v>
      </c>
      <c r="AV89" s="7" t="s">
        <v>3019</v>
      </c>
      <c r="AW89" s="7" t="s">
        <v>3020</v>
      </c>
      <c r="AX89">
        <v>16</v>
      </c>
      <c r="BE89" s="7" t="s">
        <v>3123</v>
      </c>
      <c r="BF89" t="s">
        <v>49</v>
      </c>
      <c r="BH89">
        <v>52</v>
      </c>
      <c r="BI89" t="s">
        <v>52</v>
      </c>
      <c r="BS89" t="s">
        <v>450</v>
      </c>
      <c r="CH89">
        <v>542</v>
      </c>
      <c r="CI89">
        <v>602</v>
      </c>
      <c r="CJ89">
        <v>799</v>
      </c>
      <c r="CK89">
        <v>940</v>
      </c>
      <c r="CL89">
        <v>290</v>
      </c>
      <c r="CM89">
        <v>375</v>
      </c>
      <c r="CN89" s="2">
        <v>33</v>
      </c>
      <c r="CO89">
        <v>36</v>
      </c>
    </row>
    <row r="90" spans="1:101" x14ac:dyDescent="0.25">
      <c r="A90" t="s">
        <v>467</v>
      </c>
      <c r="B90" t="s">
        <v>37</v>
      </c>
      <c r="C90" t="s">
        <v>214</v>
      </c>
      <c r="D90" t="s">
        <v>468</v>
      </c>
      <c r="E90" t="s">
        <v>2149</v>
      </c>
      <c r="F90" t="s">
        <v>458</v>
      </c>
      <c r="G90" t="s">
        <v>41</v>
      </c>
      <c r="H90">
        <v>241800</v>
      </c>
      <c r="I90" t="s">
        <v>459</v>
      </c>
      <c r="J90" t="s">
        <v>460</v>
      </c>
      <c r="K90" t="s">
        <v>461</v>
      </c>
      <c r="L90" t="s">
        <v>44</v>
      </c>
      <c r="M90" s="7" t="s">
        <v>2254</v>
      </c>
      <c r="N90" s="7" t="s">
        <v>2452</v>
      </c>
      <c r="O90" s="7">
        <v>2.2599999999999998</v>
      </c>
      <c r="P90" s="7">
        <v>2.08</v>
      </c>
      <c r="Q90">
        <v>25</v>
      </c>
      <c r="R90">
        <v>20</v>
      </c>
      <c r="X90">
        <v>-10</v>
      </c>
      <c r="Y90">
        <v>46</v>
      </c>
      <c r="Z90">
        <v>-15</v>
      </c>
      <c r="AA90">
        <v>24</v>
      </c>
      <c r="AG90" t="s">
        <v>2943</v>
      </c>
      <c r="AH90" t="s">
        <v>2938</v>
      </c>
      <c r="AN90" s="7">
        <v>6.35</v>
      </c>
      <c r="AO90" s="7">
        <v>12.7</v>
      </c>
      <c r="AP90" s="7" t="s">
        <v>231</v>
      </c>
      <c r="AQ90" t="s">
        <v>49</v>
      </c>
      <c r="AR90" t="s">
        <v>49</v>
      </c>
      <c r="AS90" t="s">
        <v>49</v>
      </c>
      <c r="AT90" t="s">
        <v>49</v>
      </c>
      <c r="AU90" t="s">
        <v>78</v>
      </c>
      <c r="AV90" s="7" t="s">
        <v>3021</v>
      </c>
      <c r="AW90" s="7" t="s">
        <v>3020</v>
      </c>
      <c r="AX90">
        <v>20</v>
      </c>
      <c r="BE90" s="7" t="s">
        <v>3124</v>
      </c>
      <c r="BF90" t="s">
        <v>49</v>
      </c>
      <c r="BH90">
        <v>68</v>
      </c>
      <c r="BI90" t="s">
        <v>52</v>
      </c>
      <c r="BS90" t="s">
        <v>455</v>
      </c>
      <c r="CH90">
        <v>632</v>
      </c>
      <c r="CI90">
        <v>692</v>
      </c>
      <c r="CJ90">
        <v>799</v>
      </c>
      <c r="CK90">
        <v>940</v>
      </c>
      <c r="CL90">
        <v>290</v>
      </c>
      <c r="CM90">
        <v>375</v>
      </c>
      <c r="CN90" s="2">
        <v>38</v>
      </c>
      <c r="CO90">
        <v>42</v>
      </c>
    </row>
    <row r="91" spans="1:101" x14ac:dyDescent="0.25">
      <c r="A91" t="s">
        <v>469</v>
      </c>
      <c r="B91" t="s">
        <v>37</v>
      </c>
      <c r="C91" t="s">
        <v>214</v>
      </c>
      <c r="D91" t="s">
        <v>470</v>
      </c>
      <c r="E91" t="s">
        <v>2150</v>
      </c>
      <c r="F91" t="s">
        <v>471</v>
      </c>
      <c r="G91" t="s">
        <v>41</v>
      </c>
      <c r="H91">
        <v>212200</v>
      </c>
      <c r="I91" t="s">
        <v>3513</v>
      </c>
      <c r="J91" t="s">
        <v>472</v>
      </c>
      <c r="K91" t="s">
        <v>473</v>
      </c>
      <c r="L91" t="s">
        <v>44</v>
      </c>
      <c r="M91" s="7" t="s">
        <v>2285</v>
      </c>
      <c r="N91" s="7" t="s">
        <v>2514</v>
      </c>
      <c r="O91" s="7">
        <v>0.53</v>
      </c>
      <c r="P91" s="7">
        <v>0.81</v>
      </c>
      <c r="Q91">
        <v>20</v>
      </c>
      <c r="R91">
        <v>15</v>
      </c>
      <c r="X91">
        <v>-10</v>
      </c>
      <c r="Y91">
        <v>46</v>
      </c>
      <c r="Z91">
        <v>-15</v>
      </c>
      <c r="AA91">
        <v>24</v>
      </c>
      <c r="AG91" t="s">
        <v>2933</v>
      </c>
      <c r="AH91" t="s">
        <v>2924</v>
      </c>
      <c r="AN91" s="7">
        <v>6.35</v>
      </c>
      <c r="AO91" s="7">
        <v>9.52</v>
      </c>
      <c r="AP91" s="7" t="s">
        <v>3003</v>
      </c>
      <c r="AQ91" t="s">
        <v>49</v>
      </c>
      <c r="AR91" t="s">
        <v>49</v>
      </c>
      <c r="AS91" t="s">
        <v>49</v>
      </c>
      <c r="AT91" t="s">
        <v>49</v>
      </c>
      <c r="AU91" t="s">
        <v>78</v>
      </c>
      <c r="AV91" s="7" t="s">
        <v>3019</v>
      </c>
      <c r="AW91" s="7" t="s">
        <v>3020</v>
      </c>
      <c r="AX91">
        <v>10</v>
      </c>
      <c r="BE91" s="7" t="s">
        <v>3125</v>
      </c>
      <c r="BF91" t="s">
        <v>49</v>
      </c>
      <c r="BH91">
        <v>25</v>
      </c>
      <c r="BI91" t="s">
        <v>52</v>
      </c>
      <c r="BS91" t="s">
        <v>474</v>
      </c>
      <c r="CH91">
        <v>542</v>
      </c>
      <c r="CI91">
        <v>602</v>
      </c>
      <c r="CJ91">
        <v>799</v>
      </c>
      <c r="CK91">
        <v>940</v>
      </c>
      <c r="CL91">
        <v>290</v>
      </c>
      <c r="CM91">
        <v>375</v>
      </c>
      <c r="CN91" s="2">
        <v>31</v>
      </c>
      <c r="CO91">
        <v>35</v>
      </c>
      <c r="CP91" s="2">
        <v>600</v>
      </c>
      <c r="CQ91">
        <v>700</v>
      </c>
      <c r="CR91">
        <v>740</v>
      </c>
      <c r="CS91">
        <v>820</v>
      </c>
      <c r="CT91">
        <v>200</v>
      </c>
      <c r="CU91">
        <v>310</v>
      </c>
      <c r="CV91" s="7">
        <v>14</v>
      </c>
      <c r="CW91" s="7">
        <v>18</v>
      </c>
    </row>
    <row r="92" spans="1:101" x14ac:dyDescent="0.25">
      <c r="A92" t="s">
        <v>475</v>
      </c>
      <c r="B92" t="s">
        <v>37</v>
      </c>
      <c r="C92" t="s">
        <v>214</v>
      </c>
      <c r="D92" t="s">
        <v>476</v>
      </c>
      <c r="E92" t="s">
        <v>2150</v>
      </c>
      <c r="F92" t="s">
        <v>471</v>
      </c>
      <c r="G92" t="s">
        <v>41</v>
      </c>
      <c r="H92">
        <v>233800</v>
      </c>
      <c r="I92" t="s">
        <v>3513</v>
      </c>
      <c r="J92" t="s">
        <v>472</v>
      </c>
      <c r="K92" t="s">
        <v>473</v>
      </c>
      <c r="L92" t="s">
        <v>44</v>
      </c>
      <c r="M92" s="7" t="s">
        <v>2286</v>
      </c>
      <c r="N92" s="7" t="s">
        <v>2515</v>
      </c>
      <c r="O92" s="7">
        <v>0.88</v>
      </c>
      <c r="P92" s="7">
        <v>1.22</v>
      </c>
      <c r="Q92">
        <v>20</v>
      </c>
      <c r="R92">
        <v>15</v>
      </c>
      <c r="X92">
        <v>-10</v>
      </c>
      <c r="Y92">
        <v>46</v>
      </c>
      <c r="Z92">
        <v>-15</v>
      </c>
      <c r="AA92">
        <v>24</v>
      </c>
      <c r="AG92" t="s">
        <v>2953</v>
      </c>
      <c r="AH92" t="s">
        <v>2919</v>
      </c>
      <c r="AN92" s="7">
        <v>6.35</v>
      </c>
      <c r="AO92" s="7">
        <v>9.52</v>
      </c>
      <c r="AP92" s="7" t="s">
        <v>3003</v>
      </c>
      <c r="AQ92" t="s">
        <v>49</v>
      </c>
      <c r="AR92" t="s">
        <v>49</v>
      </c>
      <c r="AS92" t="s">
        <v>49</v>
      </c>
      <c r="AT92" t="s">
        <v>49</v>
      </c>
      <c r="AU92" t="s">
        <v>78</v>
      </c>
      <c r="AV92" s="7" t="s">
        <v>3019</v>
      </c>
      <c r="AW92" s="7" t="s">
        <v>3020</v>
      </c>
      <c r="AX92">
        <v>10</v>
      </c>
      <c r="BE92" s="7" t="s">
        <v>3126</v>
      </c>
      <c r="BF92" t="s">
        <v>49</v>
      </c>
      <c r="BH92">
        <v>35</v>
      </c>
      <c r="BI92" t="s">
        <v>52</v>
      </c>
      <c r="BS92" t="s">
        <v>474</v>
      </c>
      <c r="CH92">
        <v>542</v>
      </c>
      <c r="CI92">
        <v>602</v>
      </c>
      <c r="CJ92">
        <v>799</v>
      </c>
      <c r="CK92">
        <v>940</v>
      </c>
      <c r="CL92">
        <v>290</v>
      </c>
      <c r="CM92">
        <v>375</v>
      </c>
      <c r="CN92" s="2">
        <v>31</v>
      </c>
      <c r="CO92">
        <v>35</v>
      </c>
      <c r="CP92" s="2">
        <v>600</v>
      </c>
      <c r="CQ92">
        <v>700</v>
      </c>
      <c r="CR92">
        <v>740</v>
      </c>
      <c r="CS92">
        <v>820</v>
      </c>
      <c r="CT92">
        <v>200</v>
      </c>
      <c r="CU92">
        <v>310</v>
      </c>
      <c r="CV92" s="7">
        <v>14</v>
      </c>
      <c r="CW92" s="7">
        <v>18</v>
      </c>
    </row>
    <row r="93" spans="1:101" x14ac:dyDescent="0.25">
      <c r="A93" t="s">
        <v>477</v>
      </c>
      <c r="B93" t="s">
        <v>37</v>
      </c>
      <c r="C93" t="s">
        <v>214</v>
      </c>
      <c r="D93" t="s">
        <v>478</v>
      </c>
      <c r="E93" t="s">
        <v>2150</v>
      </c>
      <c r="F93" t="s">
        <v>471</v>
      </c>
      <c r="G93" t="s">
        <v>41</v>
      </c>
      <c r="H93">
        <v>254600</v>
      </c>
      <c r="I93" t="s">
        <v>3513</v>
      </c>
      <c r="J93" t="s">
        <v>472</v>
      </c>
      <c r="K93" t="s">
        <v>473</v>
      </c>
      <c r="L93" t="s">
        <v>44</v>
      </c>
      <c r="M93" s="7" t="s">
        <v>2287</v>
      </c>
      <c r="N93" s="7" t="s">
        <v>2516</v>
      </c>
      <c r="O93" s="7">
        <v>1.06</v>
      </c>
      <c r="P93" s="7">
        <v>1.41</v>
      </c>
      <c r="Q93">
        <v>20</v>
      </c>
      <c r="R93">
        <v>15</v>
      </c>
      <c r="X93">
        <v>-10</v>
      </c>
      <c r="Y93">
        <v>46</v>
      </c>
      <c r="Z93">
        <v>-15</v>
      </c>
      <c r="AA93">
        <v>24</v>
      </c>
      <c r="AG93" t="s">
        <v>2954</v>
      </c>
      <c r="AH93" t="s">
        <v>63</v>
      </c>
      <c r="AN93" s="7">
        <v>6.35</v>
      </c>
      <c r="AO93" s="7">
        <v>9.52</v>
      </c>
      <c r="AP93" s="7" t="s">
        <v>3003</v>
      </c>
      <c r="AQ93" t="s">
        <v>49</v>
      </c>
      <c r="AR93" t="s">
        <v>49</v>
      </c>
      <c r="AS93" t="s">
        <v>49</v>
      </c>
      <c r="AT93" t="s">
        <v>49</v>
      </c>
      <c r="AU93" t="s">
        <v>78</v>
      </c>
      <c r="AV93" s="7" t="s">
        <v>3019</v>
      </c>
      <c r="AW93" s="7" t="s">
        <v>3020</v>
      </c>
      <c r="AX93">
        <v>16</v>
      </c>
      <c r="BE93" s="7" t="s">
        <v>3127</v>
      </c>
      <c r="BF93" t="s">
        <v>49</v>
      </c>
      <c r="BH93">
        <v>42</v>
      </c>
      <c r="BI93" t="s">
        <v>52</v>
      </c>
      <c r="BS93" t="s">
        <v>479</v>
      </c>
      <c r="CH93">
        <v>632</v>
      </c>
      <c r="CI93">
        <v>692</v>
      </c>
      <c r="CJ93">
        <v>799</v>
      </c>
      <c r="CK93">
        <v>940</v>
      </c>
      <c r="CL93">
        <v>290</v>
      </c>
      <c r="CM93">
        <v>375</v>
      </c>
      <c r="CN93" s="2">
        <v>38</v>
      </c>
      <c r="CO93">
        <v>42</v>
      </c>
      <c r="CP93" s="2">
        <v>600</v>
      </c>
      <c r="CQ93">
        <v>700</v>
      </c>
      <c r="CR93">
        <v>740</v>
      </c>
      <c r="CS93">
        <v>820</v>
      </c>
      <c r="CT93">
        <v>200</v>
      </c>
      <c r="CU93">
        <v>310</v>
      </c>
      <c r="CV93" s="7">
        <v>14</v>
      </c>
      <c r="CW93" s="7">
        <v>18</v>
      </c>
    </row>
    <row r="94" spans="1:101" x14ac:dyDescent="0.25">
      <c r="A94" t="s">
        <v>480</v>
      </c>
      <c r="B94" t="s">
        <v>37</v>
      </c>
      <c r="C94" t="s">
        <v>214</v>
      </c>
      <c r="D94" t="s">
        <v>481</v>
      </c>
      <c r="E94" t="s">
        <v>2150</v>
      </c>
      <c r="F94" t="s">
        <v>482</v>
      </c>
      <c r="G94" t="s">
        <v>41</v>
      </c>
      <c r="H94">
        <v>170500</v>
      </c>
      <c r="I94" t="s">
        <v>3514</v>
      </c>
      <c r="J94" t="s">
        <v>483</v>
      </c>
      <c r="K94" t="s">
        <v>484</v>
      </c>
      <c r="L94" t="s">
        <v>44</v>
      </c>
      <c r="M94" s="7" t="s">
        <v>2274</v>
      </c>
      <c r="N94" s="7" t="s">
        <v>2481</v>
      </c>
      <c r="O94" s="7">
        <v>1.66</v>
      </c>
      <c r="P94" s="7">
        <v>1.71</v>
      </c>
      <c r="Q94">
        <v>20</v>
      </c>
      <c r="R94">
        <v>15</v>
      </c>
      <c r="X94">
        <v>-10</v>
      </c>
      <c r="Y94">
        <v>46</v>
      </c>
      <c r="Z94">
        <v>-15</v>
      </c>
      <c r="AA94">
        <v>24</v>
      </c>
      <c r="AG94" t="s">
        <v>2945</v>
      </c>
      <c r="AH94" t="s">
        <v>2938</v>
      </c>
      <c r="AN94" s="7">
        <v>6.35</v>
      </c>
      <c r="AO94" s="7">
        <v>12.7</v>
      </c>
      <c r="AP94" s="7" t="s">
        <v>231</v>
      </c>
      <c r="AQ94" t="s">
        <v>49</v>
      </c>
      <c r="AR94" t="s">
        <v>49</v>
      </c>
      <c r="AS94" t="s">
        <v>49</v>
      </c>
      <c r="AT94" t="s">
        <v>49</v>
      </c>
      <c r="AU94" t="s">
        <v>78</v>
      </c>
      <c r="AV94" s="7" t="s">
        <v>3019</v>
      </c>
      <c r="AW94" s="7" t="s">
        <v>3020</v>
      </c>
      <c r="AX94">
        <v>16</v>
      </c>
      <c r="BE94" s="7" t="s">
        <v>3128</v>
      </c>
      <c r="BF94" t="s">
        <v>49</v>
      </c>
      <c r="BH94">
        <v>52</v>
      </c>
      <c r="BI94" t="s">
        <v>52</v>
      </c>
      <c r="BS94" t="s">
        <v>485</v>
      </c>
      <c r="CH94">
        <v>542</v>
      </c>
      <c r="CI94">
        <v>602</v>
      </c>
      <c r="CJ94">
        <v>799</v>
      </c>
      <c r="CK94">
        <v>940</v>
      </c>
      <c r="CL94">
        <v>290</v>
      </c>
      <c r="CM94">
        <v>375</v>
      </c>
      <c r="CN94" s="2">
        <v>33</v>
      </c>
      <c r="CO94">
        <v>36</v>
      </c>
      <c r="CP94" s="2">
        <v>235</v>
      </c>
      <c r="CQ94">
        <v>330</v>
      </c>
      <c r="CR94">
        <v>1080</v>
      </c>
      <c r="CS94">
        <v>1165</v>
      </c>
      <c r="CT94">
        <v>705</v>
      </c>
      <c r="CU94">
        <v>825</v>
      </c>
      <c r="CV94" s="7">
        <v>24</v>
      </c>
      <c r="CW94" s="7">
        <v>33</v>
      </c>
    </row>
    <row r="95" spans="1:101" x14ac:dyDescent="0.25">
      <c r="A95" t="s">
        <v>486</v>
      </c>
      <c r="B95" t="s">
        <v>37</v>
      </c>
      <c r="C95" t="s">
        <v>214</v>
      </c>
      <c r="D95" t="s">
        <v>487</v>
      </c>
      <c r="E95" t="s">
        <v>2150</v>
      </c>
      <c r="F95" t="s">
        <v>482</v>
      </c>
      <c r="G95" t="s">
        <v>41</v>
      </c>
      <c r="H95">
        <v>247200</v>
      </c>
      <c r="I95" t="s">
        <v>3514</v>
      </c>
      <c r="J95" t="s">
        <v>483</v>
      </c>
      <c r="K95" t="s">
        <v>484</v>
      </c>
      <c r="L95" t="s">
        <v>44</v>
      </c>
      <c r="M95" s="7" t="s">
        <v>2254</v>
      </c>
      <c r="N95" s="7" t="s">
        <v>2452</v>
      </c>
      <c r="O95" s="7">
        <v>2.19</v>
      </c>
      <c r="P95" s="7">
        <v>2</v>
      </c>
      <c r="Q95">
        <v>25</v>
      </c>
      <c r="R95">
        <v>20</v>
      </c>
      <c r="X95">
        <v>-10</v>
      </c>
      <c r="Y95">
        <v>46</v>
      </c>
      <c r="Z95">
        <v>-15</v>
      </c>
      <c r="AA95">
        <v>24</v>
      </c>
      <c r="AG95" t="s">
        <v>488</v>
      </c>
      <c r="AH95" t="s">
        <v>2944</v>
      </c>
      <c r="AN95" s="7">
        <v>6.35</v>
      </c>
      <c r="AO95" s="7">
        <v>12.7</v>
      </c>
      <c r="AP95" s="7" t="s">
        <v>231</v>
      </c>
      <c r="AQ95" t="s">
        <v>49</v>
      </c>
      <c r="AR95" t="s">
        <v>49</v>
      </c>
      <c r="AS95" t="s">
        <v>49</v>
      </c>
      <c r="AT95" t="s">
        <v>49</v>
      </c>
      <c r="AU95" t="s">
        <v>78</v>
      </c>
      <c r="AV95" s="7" t="s">
        <v>3019</v>
      </c>
      <c r="AW95" s="7" t="s">
        <v>3020</v>
      </c>
      <c r="AX95">
        <v>20</v>
      </c>
      <c r="BE95" s="7" t="s">
        <v>3077</v>
      </c>
      <c r="BF95" t="s">
        <v>49</v>
      </c>
      <c r="BH95">
        <v>68</v>
      </c>
      <c r="BI95" t="s">
        <v>52</v>
      </c>
      <c r="BS95" t="s">
        <v>489</v>
      </c>
      <c r="CH95">
        <v>632</v>
      </c>
      <c r="CI95">
        <v>692</v>
      </c>
      <c r="CJ95">
        <v>799</v>
      </c>
      <c r="CK95">
        <v>940</v>
      </c>
      <c r="CL95">
        <v>290</v>
      </c>
      <c r="CM95">
        <v>375</v>
      </c>
      <c r="CN95" s="2">
        <v>38</v>
      </c>
      <c r="CO95">
        <v>42</v>
      </c>
      <c r="CP95" s="2">
        <v>235</v>
      </c>
      <c r="CQ95">
        <v>330</v>
      </c>
      <c r="CR95">
        <v>1390</v>
      </c>
      <c r="CS95">
        <v>1475</v>
      </c>
      <c r="CT95">
        <v>705</v>
      </c>
      <c r="CU95">
        <v>825</v>
      </c>
      <c r="CV95" s="7">
        <v>31</v>
      </c>
      <c r="CW95" s="7">
        <v>41</v>
      </c>
    </row>
    <row r="96" spans="1:101" x14ac:dyDescent="0.25">
      <c r="A96" t="s">
        <v>490</v>
      </c>
      <c r="B96" t="s">
        <v>37</v>
      </c>
      <c r="C96" t="s">
        <v>214</v>
      </c>
      <c r="D96" t="s">
        <v>491</v>
      </c>
      <c r="E96" t="s">
        <v>2150</v>
      </c>
      <c r="F96" t="s">
        <v>482</v>
      </c>
      <c r="G96" t="s">
        <v>41</v>
      </c>
      <c r="H96">
        <v>308500</v>
      </c>
      <c r="I96" t="s">
        <v>3514</v>
      </c>
      <c r="J96" t="s">
        <v>483</v>
      </c>
      <c r="K96" t="s">
        <v>484</v>
      </c>
      <c r="L96" t="s">
        <v>44</v>
      </c>
      <c r="M96" s="7" t="s">
        <v>2255</v>
      </c>
      <c r="N96" s="7" t="s">
        <v>2453</v>
      </c>
      <c r="O96" s="7">
        <v>2.78</v>
      </c>
      <c r="P96" s="7">
        <v>2.86</v>
      </c>
      <c r="Q96">
        <v>30</v>
      </c>
      <c r="R96">
        <v>30</v>
      </c>
      <c r="X96">
        <v>-10</v>
      </c>
      <c r="Y96">
        <v>46</v>
      </c>
      <c r="Z96">
        <v>-15</v>
      </c>
      <c r="AA96">
        <v>24</v>
      </c>
      <c r="AG96" t="s">
        <v>2945</v>
      </c>
      <c r="AH96" t="s">
        <v>2944</v>
      </c>
      <c r="AN96" s="7">
        <v>9.52</v>
      </c>
      <c r="AO96" s="7">
        <v>15.88</v>
      </c>
      <c r="AP96" s="7" t="s">
        <v>231</v>
      </c>
      <c r="AQ96" t="s">
        <v>49</v>
      </c>
      <c r="AR96" t="s">
        <v>49</v>
      </c>
      <c r="AS96" t="s">
        <v>49</v>
      </c>
      <c r="AT96" t="s">
        <v>49</v>
      </c>
      <c r="AU96" t="s">
        <v>78</v>
      </c>
      <c r="AV96" s="7" t="s">
        <v>191</v>
      </c>
      <c r="AW96" s="7" t="s">
        <v>3020</v>
      </c>
      <c r="AX96">
        <v>25</v>
      </c>
      <c r="BE96" s="7" t="s">
        <v>3129</v>
      </c>
      <c r="BF96" t="s">
        <v>49</v>
      </c>
      <c r="BH96">
        <v>85</v>
      </c>
      <c r="BI96" t="s">
        <v>52</v>
      </c>
      <c r="BS96" t="s">
        <v>492</v>
      </c>
      <c r="CH96">
        <v>788</v>
      </c>
      <c r="CI96">
        <v>966</v>
      </c>
      <c r="CJ96">
        <v>940</v>
      </c>
      <c r="CK96">
        <v>1027</v>
      </c>
      <c r="CL96">
        <v>320</v>
      </c>
      <c r="CM96">
        <v>445</v>
      </c>
      <c r="CN96" s="2">
        <v>52</v>
      </c>
      <c r="CO96">
        <v>61</v>
      </c>
      <c r="CP96" s="2">
        <v>235</v>
      </c>
      <c r="CQ96">
        <v>330</v>
      </c>
      <c r="CR96">
        <v>1390</v>
      </c>
      <c r="CS96">
        <v>1475</v>
      </c>
      <c r="CT96">
        <v>705</v>
      </c>
      <c r="CU96">
        <v>825</v>
      </c>
      <c r="CV96" s="7">
        <v>31</v>
      </c>
      <c r="CW96" s="7">
        <v>41</v>
      </c>
    </row>
    <row r="97" spans="1:101" x14ac:dyDescent="0.25">
      <c r="A97" t="s">
        <v>493</v>
      </c>
      <c r="B97" t="s">
        <v>37</v>
      </c>
      <c r="C97" t="s">
        <v>214</v>
      </c>
      <c r="D97" t="s">
        <v>494</v>
      </c>
      <c r="E97" t="s">
        <v>2150</v>
      </c>
      <c r="F97" t="s">
        <v>482</v>
      </c>
      <c r="G97" t="s">
        <v>41</v>
      </c>
      <c r="H97">
        <v>349100</v>
      </c>
      <c r="I97" t="s">
        <v>3514</v>
      </c>
      <c r="J97" t="s">
        <v>483</v>
      </c>
      <c r="K97" t="s">
        <v>484</v>
      </c>
      <c r="L97" t="s">
        <v>44</v>
      </c>
      <c r="M97" s="7" t="s">
        <v>2256</v>
      </c>
      <c r="N97" s="7" t="s">
        <v>2454</v>
      </c>
      <c r="O97" s="7">
        <v>3.13</v>
      </c>
      <c r="P97" s="7">
        <v>3.03</v>
      </c>
      <c r="Q97">
        <v>30</v>
      </c>
      <c r="R97">
        <v>30</v>
      </c>
      <c r="X97">
        <v>-10</v>
      </c>
      <c r="Y97">
        <v>46</v>
      </c>
      <c r="Z97">
        <v>-15</v>
      </c>
      <c r="AA97">
        <v>24</v>
      </c>
      <c r="AG97" t="s">
        <v>2946</v>
      </c>
      <c r="AH97" t="s">
        <v>2944</v>
      </c>
      <c r="AN97" s="7">
        <v>9.52</v>
      </c>
      <c r="AO97" s="7">
        <v>15.88</v>
      </c>
      <c r="AP97" s="7" t="s">
        <v>231</v>
      </c>
      <c r="AQ97" t="s">
        <v>49</v>
      </c>
      <c r="AR97" t="s">
        <v>49</v>
      </c>
      <c r="AS97" t="s">
        <v>49</v>
      </c>
      <c r="AT97" t="s">
        <v>49</v>
      </c>
      <c r="AU97" t="s">
        <v>78</v>
      </c>
      <c r="AV97" s="7" t="s">
        <v>191</v>
      </c>
      <c r="AW97" s="7" t="s">
        <v>3020</v>
      </c>
      <c r="AX97">
        <v>25</v>
      </c>
      <c r="BE97" s="7" t="s">
        <v>3130</v>
      </c>
      <c r="BF97" t="s">
        <v>49</v>
      </c>
      <c r="BH97">
        <v>95</v>
      </c>
      <c r="BI97" t="s">
        <v>52</v>
      </c>
      <c r="BS97" t="s">
        <v>495</v>
      </c>
      <c r="CH97">
        <v>788</v>
      </c>
      <c r="CI97">
        <v>966</v>
      </c>
      <c r="CJ97">
        <v>940</v>
      </c>
      <c r="CK97">
        <v>1027</v>
      </c>
      <c r="CL97">
        <v>320</v>
      </c>
      <c r="CM97">
        <v>445</v>
      </c>
      <c r="CN97" s="2">
        <v>52</v>
      </c>
      <c r="CO97">
        <v>61</v>
      </c>
      <c r="CP97" s="2">
        <v>235</v>
      </c>
      <c r="CQ97">
        <v>330</v>
      </c>
      <c r="CR97">
        <v>1700</v>
      </c>
      <c r="CS97">
        <v>1785</v>
      </c>
      <c r="CT97">
        <v>705</v>
      </c>
      <c r="CU97">
        <v>825</v>
      </c>
      <c r="CV97" s="7">
        <v>38</v>
      </c>
      <c r="CW97" s="7">
        <v>48</v>
      </c>
    </row>
    <row r="98" spans="1:101" x14ac:dyDescent="0.25">
      <c r="A98" t="s">
        <v>496</v>
      </c>
      <c r="B98" t="s">
        <v>37</v>
      </c>
      <c r="C98" t="s">
        <v>214</v>
      </c>
      <c r="D98" t="s">
        <v>497</v>
      </c>
      <c r="E98" t="s">
        <v>2150</v>
      </c>
      <c r="F98" t="s">
        <v>482</v>
      </c>
      <c r="G98" t="s">
        <v>41</v>
      </c>
      <c r="H98">
        <v>379600</v>
      </c>
      <c r="I98" t="s">
        <v>3514</v>
      </c>
      <c r="J98" t="s">
        <v>483</v>
      </c>
      <c r="K98" t="s">
        <v>484</v>
      </c>
      <c r="L98" t="s">
        <v>44</v>
      </c>
      <c r="M98" s="7" t="s">
        <v>2256</v>
      </c>
      <c r="N98" s="7" t="s">
        <v>2454</v>
      </c>
      <c r="O98" s="7">
        <v>3.13</v>
      </c>
      <c r="P98" s="7">
        <v>3.03</v>
      </c>
      <c r="Q98">
        <v>30</v>
      </c>
      <c r="R98">
        <v>30</v>
      </c>
      <c r="X98">
        <v>-10</v>
      </c>
      <c r="Y98">
        <v>46</v>
      </c>
      <c r="Z98">
        <v>-15</v>
      </c>
      <c r="AA98">
        <v>24</v>
      </c>
      <c r="AG98" t="s">
        <v>2946</v>
      </c>
      <c r="AH98" t="s">
        <v>2944</v>
      </c>
      <c r="AN98" s="7">
        <v>9.52</v>
      </c>
      <c r="AO98" s="7">
        <v>15.88</v>
      </c>
      <c r="AP98" s="7" t="s">
        <v>231</v>
      </c>
      <c r="AQ98" t="s">
        <v>49</v>
      </c>
      <c r="AR98" t="s">
        <v>49</v>
      </c>
      <c r="AS98" t="s">
        <v>49</v>
      </c>
      <c r="AT98" t="s">
        <v>49</v>
      </c>
      <c r="AU98" t="s">
        <v>78</v>
      </c>
      <c r="AV98" s="7" t="s">
        <v>3022</v>
      </c>
      <c r="AW98" s="7" t="s">
        <v>3020</v>
      </c>
      <c r="AX98">
        <v>16</v>
      </c>
      <c r="BE98" s="7" t="s">
        <v>3131</v>
      </c>
      <c r="BF98" t="s">
        <v>49</v>
      </c>
      <c r="BH98">
        <v>95</v>
      </c>
      <c r="BI98" t="s">
        <v>260</v>
      </c>
      <c r="BS98" t="s">
        <v>495</v>
      </c>
      <c r="CH98">
        <v>788</v>
      </c>
      <c r="CI98">
        <v>966</v>
      </c>
      <c r="CJ98">
        <v>940</v>
      </c>
      <c r="CK98">
        <v>1027</v>
      </c>
      <c r="CL98">
        <v>320</v>
      </c>
      <c r="CM98">
        <v>445</v>
      </c>
      <c r="CN98" s="2">
        <v>53</v>
      </c>
      <c r="CO98">
        <v>62</v>
      </c>
      <c r="CP98" s="2">
        <v>235</v>
      </c>
      <c r="CQ98">
        <v>330</v>
      </c>
      <c r="CR98">
        <v>1700</v>
      </c>
      <c r="CS98">
        <v>1785</v>
      </c>
      <c r="CT98">
        <v>705</v>
      </c>
      <c r="CU98">
        <v>825</v>
      </c>
      <c r="CV98" s="7">
        <v>38</v>
      </c>
      <c r="CW98" s="7">
        <v>48</v>
      </c>
    </row>
    <row r="99" spans="1:101" x14ac:dyDescent="0.25">
      <c r="A99" t="s">
        <v>498</v>
      </c>
      <c r="B99" t="s">
        <v>37</v>
      </c>
      <c r="C99" t="s">
        <v>214</v>
      </c>
      <c r="D99" t="s">
        <v>499</v>
      </c>
      <c r="E99" t="s">
        <v>2150</v>
      </c>
      <c r="F99" t="s">
        <v>482</v>
      </c>
      <c r="G99" t="s">
        <v>41</v>
      </c>
      <c r="H99">
        <v>395100</v>
      </c>
      <c r="I99" t="s">
        <v>3514</v>
      </c>
      <c r="J99" t="s">
        <v>483</v>
      </c>
      <c r="K99" t="s">
        <v>484</v>
      </c>
      <c r="L99" t="s">
        <v>44</v>
      </c>
      <c r="M99" s="7" t="s">
        <v>2257</v>
      </c>
      <c r="N99" s="7" t="s">
        <v>2455</v>
      </c>
      <c r="O99" s="7">
        <v>4.84</v>
      </c>
      <c r="P99" s="7">
        <v>4.18</v>
      </c>
      <c r="Q99">
        <v>30</v>
      </c>
      <c r="R99">
        <v>30</v>
      </c>
      <c r="X99">
        <v>-10</v>
      </c>
      <c r="Y99">
        <v>46</v>
      </c>
      <c r="Z99">
        <v>-15</v>
      </c>
      <c r="AA99">
        <v>24</v>
      </c>
      <c r="AE99" t="s">
        <v>3515</v>
      </c>
      <c r="AF99" t="s">
        <v>3483</v>
      </c>
      <c r="AN99" s="7">
        <v>9.52</v>
      </c>
      <c r="AO99" s="7">
        <v>15.88</v>
      </c>
      <c r="AP99" s="7" t="s">
        <v>231</v>
      </c>
      <c r="AQ99" t="s">
        <v>49</v>
      </c>
      <c r="AR99" t="s">
        <v>49</v>
      </c>
      <c r="AS99" t="s">
        <v>49</v>
      </c>
      <c r="AT99" t="s">
        <v>49</v>
      </c>
      <c r="AU99" t="s">
        <v>78</v>
      </c>
      <c r="AV99" s="7" t="s">
        <v>191</v>
      </c>
      <c r="AW99" s="7" t="s">
        <v>3020</v>
      </c>
      <c r="AX99">
        <v>32</v>
      </c>
      <c r="BE99" s="7" t="s">
        <v>3132</v>
      </c>
      <c r="BF99" t="s">
        <v>49</v>
      </c>
      <c r="BH99">
        <v>121</v>
      </c>
      <c r="BI99" t="s">
        <v>52</v>
      </c>
      <c r="BS99" t="s">
        <v>500</v>
      </c>
      <c r="CH99">
        <v>998</v>
      </c>
      <c r="CI99">
        <v>1176</v>
      </c>
      <c r="CJ99">
        <v>940</v>
      </c>
      <c r="CK99">
        <v>1027</v>
      </c>
      <c r="CL99">
        <v>320</v>
      </c>
      <c r="CM99">
        <v>445</v>
      </c>
      <c r="CN99" s="2">
        <v>61</v>
      </c>
      <c r="CO99">
        <v>71</v>
      </c>
      <c r="CP99" s="2">
        <v>235</v>
      </c>
      <c r="CQ99">
        <v>330</v>
      </c>
      <c r="CR99">
        <v>1700</v>
      </c>
      <c r="CS99">
        <v>1785</v>
      </c>
      <c r="CT99">
        <v>705</v>
      </c>
      <c r="CU99">
        <v>825</v>
      </c>
      <c r="CV99" s="7">
        <v>38</v>
      </c>
      <c r="CW99" s="7">
        <v>48</v>
      </c>
    </row>
    <row r="100" spans="1:101" x14ac:dyDescent="0.25">
      <c r="A100" t="s">
        <v>501</v>
      </c>
      <c r="B100" t="s">
        <v>37</v>
      </c>
      <c r="C100" t="s">
        <v>214</v>
      </c>
      <c r="D100" t="s">
        <v>502</v>
      </c>
      <c r="E100" t="s">
        <v>2150</v>
      </c>
      <c r="F100" t="s">
        <v>482</v>
      </c>
      <c r="G100" t="s">
        <v>41</v>
      </c>
      <c r="H100">
        <v>429200</v>
      </c>
      <c r="I100" t="s">
        <v>3514</v>
      </c>
      <c r="J100" t="s">
        <v>483</v>
      </c>
      <c r="K100" t="s">
        <v>484</v>
      </c>
      <c r="L100" t="s">
        <v>44</v>
      </c>
      <c r="M100" s="7" t="s">
        <v>2257</v>
      </c>
      <c r="N100" s="7" t="s">
        <v>2455</v>
      </c>
      <c r="O100" s="7">
        <v>4.84</v>
      </c>
      <c r="P100" s="7">
        <v>4.18</v>
      </c>
      <c r="Q100">
        <v>30</v>
      </c>
      <c r="R100">
        <v>30</v>
      </c>
      <c r="X100">
        <v>-10</v>
      </c>
      <c r="Y100">
        <v>46</v>
      </c>
      <c r="Z100">
        <v>-15</v>
      </c>
      <c r="AA100">
        <v>24</v>
      </c>
      <c r="AE100" t="s">
        <v>3482</v>
      </c>
      <c r="AF100" t="s">
        <v>3483</v>
      </c>
      <c r="AN100" s="7">
        <v>9.52</v>
      </c>
      <c r="AO100" s="7">
        <v>15.88</v>
      </c>
      <c r="AP100" s="7" t="s">
        <v>231</v>
      </c>
      <c r="AQ100" t="s">
        <v>49</v>
      </c>
      <c r="AR100" t="s">
        <v>49</v>
      </c>
      <c r="AS100" t="s">
        <v>49</v>
      </c>
      <c r="AT100" t="s">
        <v>49</v>
      </c>
      <c r="AU100" t="s">
        <v>78</v>
      </c>
      <c r="AV100" s="7" t="s">
        <v>3022</v>
      </c>
      <c r="AW100" s="7" t="s">
        <v>3020</v>
      </c>
      <c r="AX100">
        <v>16</v>
      </c>
      <c r="BE100" s="7" t="s">
        <v>3133</v>
      </c>
      <c r="BF100" t="s">
        <v>49</v>
      </c>
      <c r="BH100">
        <v>121</v>
      </c>
      <c r="BI100" t="s">
        <v>260</v>
      </c>
      <c r="BS100" t="s">
        <v>500</v>
      </c>
      <c r="CH100">
        <v>998</v>
      </c>
      <c r="CI100">
        <v>1176</v>
      </c>
      <c r="CJ100">
        <v>940</v>
      </c>
      <c r="CK100">
        <v>1027</v>
      </c>
      <c r="CL100">
        <v>320</v>
      </c>
      <c r="CM100">
        <v>445</v>
      </c>
      <c r="CN100" s="2">
        <v>62</v>
      </c>
      <c r="CO100">
        <v>72</v>
      </c>
      <c r="CP100" s="2">
        <v>235</v>
      </c>
      <c r="CQ100">
        <v>330</v>
      </c>
      <c r="CR100">
        <v>1700</v>
      </c>
      <c r="CS100">
        <v>1785</v>
      </c>
      <c r="CT100">
        <v>705</v>
      </c>
      <c r="CU100">
        <v>825</v>
      </c>
      <c r="CV100" s="7">
        <v>38</v>
      </c>
      <c r="CW100" s="7">
        <v>48</v>
      </c>
    </row>
    <row r="101" spans="1:101" x14ac:dyDescent="0.25">
      <c r="B101" t="s">
        <v>37</v>
      </c>
      <c r="C101" t="s">
        <v>214</v>
      </c>
      <c r="D101" t="s">
        <v>503</v>
      </c>
      <c r="E101" t="s">
        <v>2150</v>
      </c>
      <c r="F101" t="s">
        <v>482</v>
      </c>
      <c r="G101" t="s">
        <v>41</v>
      </c>
      <c r="H101">
        <v>423100</v>
      </c>
      <c r="I101" t="s">
        <v>3514</v>
      </c>
      <c r="J101" t="s">
        <v>483</v>
      </c>
      <c r="K101" t="s">
        <v>484</v>
      </c>
      <c r="L101" t="s">
        <v>44</v>
      </c>
      <c r="M101" s="7" t="s">
        <v>2257</v>
      </c>
      <c r="N101" s="7" t="s">
        <v>2455</v>
      </c>
      <c r="O101" s="7">
        <v>4.84</v>
      </c>
      <c r="P101" s="7">
        <v>4.18</v>
      </c>
      <c r="Q101">
        <v>30</v>
      </c>
      <c r="R101">
        <v>30</v>
      </c>
      <c r="X101">
        <v>-10</v>
      </c>
      <c r="Y101">
        <v>46</v>
      </c>
      <c r="Z101">
        <v>-15</v>
      </c>
      <c r="AA101">
        <v>24</v>
      </c>
      <c r="AE101" t="s">
        <v>3515</v>
      </c>
      <c r="AF101" t="s">
        <v>3483</v>
      </c>
      <c r="AN101" s="7">
        <v>9.52</v>
      </c>
      <c r="AO101" s="7">
        <v>15.88</v>
      </c>
      <c r="AQ101" t="s">
        <v>49</v>
      </c>
      <c r="AR101" t="s">
        <v>49</v>
      </c>
      <c r="AS101" t="s">
        <v>49</v>
      </c>
      <c r="AT101" t="s">
        <v>49</v>
      </c>
      <c r="AU101" t="s">
        <v>78</v>
      </c>
      <c r="AV101" s="7" t="s">
        <v>191</v>
      </c>
      <c r="AW101" s="7" t="s">
        <v>3020</v>
      </c>
      <c r="AX101">
        <v>32</v>
      </c>
      <c r="BE101" s="7" t="s">
        <v>3132</v>
      </c>
      <c r="BF101" t="s">
        <v>49</v>
      </c>
      <c r="BI101" t="s">
        <v>52</v>
      </c>
      <c r="BS101" t="s">
        <v>504</v>
      </c>
      <c r="CH101">
        <v>998</v>
      </c>
      <c r="CI101">
        <v>1176</v>
      </c>
      <c r="CJ101">
        <v>940</v>
      </c>
      <c r="CK101">
        <v>1027</v>
      </c>
      <c r="CL101">
        <v>320</v>
      </c>
      <c r="CM101">
        <v>445</v>
      </c>
      <c r="CN101" s="2">
        <v>63</v>
      </c>
      <c r="CO101">
        <v>72</v>
      </c>
      <c r="CP101" s="2">
        <v>235</v>
      </c>
      <c r="CQ101">
        <v>330</v>
      </c>
      <c r="CR101">
        <v>1700</v>
      </c>
      <c r="CS101">
        <v>1785</v>
      </c>
      <c r="CT101">
        <v>705</v>
      </c>
      <c r="CU101">
        <v>825</v>
      </c>
      <c r="CV101" s="7">
        <v>38</v>
      </c>
      <c r="CW101" s="7">
        <v>48</v>
      </c>
    </row>
    <row r="102" spans="1:101" x14ac:dyDescent="0.25">
      <c r="A102" t="s">
        <v>505</v>
      </c>
      <c r="B102" t="s">
        <v>37</v>
      </c>
      <c r="C102" t="s">
        <v>214</v>
      </c>
      <c r="D102" t="s">
        <v>506</v>
      </c>
      <c r="E102" t="s">
        <v>2150</v>
      </c>
      <c r="F102" t="s">
        <v>482</v>
      </c>
      <c r="G102" t="s">
        <v>41</v>
      </c>
      <c r="H102">
        <v>460000</v>
      </c>
      <c r="I102" t="s">
        <v>3514</v>
      </c>
      <c r="J102" t="s">
        <v>483</v>
      </c>
      <c r="K102" t="s">
        <v>484</v>
      </c>
      <c r="L102" t="s">
        <v>44</v>
      </c>
      <c r="X102">
        <v>-10</v>
      </c>
      <c r="Y102">
        <v>46</v>
      </c>
      <c r="Z102">
        <v>-15</v>
      </c>
      <c r="AA102">
        <v>24</v>
      </c>
      <c r="AP102" s="7" t="s">
        <v>231</v>
      </c>
      <c r="AQ102" t="s">
        <v>49</v>
      </c>
      <c r="AR102" t="s">
        <v>49</v>
      </c>
      <c r="AS102" t="s">
        <v>49</v>
      </c>
      <c r="AT102" t="s">
        <v>49</v>
      </c>
      <c r="AU102" t="s">
        <v>78</v>
      </c>
      <c r="BF102" t="s">
        <v>49</v>
      </c>
      <c r="BI102" t="s">
        <v>260</v>
      </c>
      <c r="CH102">
        <v>998</v>
      </c>
      <c r="CI102">
        <v>1176</v>
      </c>
      <c r="CJ102">
        <v>940</v>
      </c>
      <c r="CK102">
        <v>1027</v>
      </c>
      <c r="CL102">
        <v>320</v>
      </c>
      <c r="CM102">
        <v>445</v>
      </c>
      <c r="CN102" s="2">
        <v>63</v>
      </c>
      <c r="CO102">
        <v>73</v>
      </c>
      <c r="CP102" s="2">
        <v>235</v>
      </c>
      <c r="CQ102">
        <v>330</v>
      </c>
      <c r="CR102">
        <v>1700</v>
      </c>
      <c r="CS102">
        <v>1785</v>
      </c>
      <c r="CT102">
        <v>705</v>
      </c>
      <c r="CU102">
        <v>825</v>
      </c>
      <c r="CV102" s="7">
        <v>38</v>
      </c>
      <c r="CW102" s="7">
        <v>48</v>
      </c>
    </row>
    <row r="103" spans="1:101" x14ac:dyDescent="0.25">
      <c r="A103" t="s">
        <v>507</v>
      </c>
      <c r="B103" t="s">
        <v>37</v>
      </c>
      <c r="C103" t="s">
        <v>214</v>
      </c>
      <c r="D103" t="s">
        <v>508</v>
      </c>
      <c r="E103" t="s">
        <v>2151</v>
      </c>
      <c r="F103" t="s">
        <v>509</v>
      </c>
      <c r="G103" t="s">
        <v>75</v>
      </c>
      <c r="H103">
        <v>241700</v>
      </c>
      <c r="I103" t="s">
        <v>510</v>
      </c>
      <c r="J103" t="s">
        <v>511</v>
      </c>
      <c r="K103" t="s">
        <v>230</v>
      </c>
      <c r="L103" t="s">
        <v>44</v>
      </c>
      <c r="M103" s="7">
        <v>10</v>
      </c>
      <c r="N103" s="7">
        <v>11.2</v>
      </c>
      <c r="O103" s="7">
        <v>2.84</v>
      </c>
      <c r="P103" s="7">
        <v>2.87</v>
      </c>
      <c r="Q103">
        <v>75</v>
      </c>
      <c r="R103">
        <v>30</v>
      </c>
      <c r="U103" t="s">
        <v>512</v>
      </c>
      <c r="V103">
        <v>51</v>
      </c>
      <c r="W103">
        <v>53</v>
      </c>
      <c r="X103">
        <v>-15</v>
      </c>
      <c r="Y103">
        <v>46</v>
      </c>
      <c r="Z103">
        <v>-15</v>
      </c>
      <c r="AA103">
        <v>24</v>
      </c>
      <c r="AG103">
        <v>6.5</v>
      </c>
      <c r="AH103">
        <v>4.3</v>
      </c>
      <c r="AK103" t="s">
        <v>367</v>
      </c>
      <c r="AL103" t="s">
        <v>301</v>
      </c>
      <c r="AM103">
        <v>380</v>
      </c>
      <c r="AN103" s="7">
        <v>9.52</v>
      </c>
      <c r="AO103" s="7">
        <v>15.88</v>
      </c>
      <c r="AQ103" t="s">
        <v>49</v>
      </c>
      <c r="AR103" t="s">
        <v>49</v>
      </c>
      <c r="AS103" t="s">
        <v>49</v>
      </c>
      <c r="AT103" t="s">
        <v>49</v>
      </c>
      <c r="AU103" t="s">
        <v>50</v>
      </c>
      <c r="AV103" s="7" t="s">
        <v>3022</v>
      </c>
      <c r="AW103" s="7" t="s">
        <v>3020</v>
      </c>
      <c r="AX103">
        <v>16</v>
      </c>
      <c r="BE103" s="7" t="s">
        <v>3134</v>
      </c>
      <c r="BF103" t="s">
        <v>49</v>
      </c>
      <c r="BG103" t="s">
        <v>51</v>
      </c>
      <c r="BI103" t="s">
        <v>260</v>
      </c>
      <c r="BK103">
        <v>1290</v>
      </c>
      <c r="BL103">
        <v>900</v>
      </c>
      <c r="BM103">
        <v>330</v>
      </c>
      <c r="BN103">
        <v>104</v>
      </c>
      <c r="BO103">
        <v>114</v>
      </c>
      <c r="BP103">
        <v>1460</v>
      </c>
      <c r="BQ103">
        <v>1050</v>
      </c>
      <c r="BR103">
        <v>445</v>
      </c>
    </row>
    <row r="104" spans="1:101" x14ac:dyDescent="0.25">
      <c r="A104" t="s">
        <v>513</v>
      </c>
      <c r="B104" t="s">
        <v>37</v>
      </c>
      <c r="C104" t="s">
        <v>214</v>
      </c>
      <c r="D104" t="s">
        <v>514</v>
      </c>
      <c r="E104" t="s">
        <v>2151</v>
      </c>
      <c r="F104" t="s">
        <v>509</v>
      </c>
      <c r="G104" t="s">
        <v>75</v>
      </c>
      <c r="H104">
        <v>329000</v>
      </c>
      <c r="I104" t="s">
        <v>510</v>
      </c>
      <c r="J104" t="s">
        <v>515</v>
      </c>
      <c r="K104" t="s">
        <v>230</v>
      </c>
      <c r="L104" t="s">
        <v>44</v>
      </c>
      <c r="M104" s="7">
        <v>14</v>
      </c>
      <c r="N104" s="7">
        <v>16</v>
      </c>
      <c r="O104" s="7">
        <v>4.6500000000000004</v>
      </c>
      <c r="P104" s="7">
        <v>4.37</v>
      </c>
      <c r="Q104">
        <v>75</v>
      </c>
      <c r="R104">
        <v>30</v>
      </c>
      <c r="U104" t="s">
        <v>516</v>
      </c>
      <c r="V104">
        <v>55</v>
      </c>
      <c r="W104">
        <v>56</v>
      </c>
      <c r="X104">
        <v>-15</v>
      </c>
      <c r="Y104">
        <v>46</v>
      </c>
      <c r="Z104">
        <v>-15</v>
      </c>
      <c r="AA104">
        <v>24</v>
      </c>
      <c r="AL104" t="s">
        <v>301</v>
      </c>
      <c r="AN104" s="7">
        <v>9.52</v>
      </c>
      <c r="AO104" s="7">
        <v>15.88</v>
      </c>
      <c r="AQ104" t="s">
        <v>49</v>
      </c>
      <c r="AR104" t="s">
        <v>49</v>
      </c>
      <c r="AS104" t="s">
        <v>49</v>
      </c>
      <c r="AT104" t="s">
        <v>49</v>
      </c>
      <c r="AU104" t="s">
        <v>50</v>
      </c>
      <c r="AV104" s="7" t="s">
        <v>3022</v>
      </c>
      <c r="AW104" s="7" t="s">
        <v>3020</v>
      </c>
      <c r="AX104">
        <v>16</v>
      </c>
      <c r="BE104" s="7" t="s">
        <v>3093</v>
      </c>
      <c r="BF104" t="s">
        <v>49</v>
      </c>
      <c r="BI104" t="s">
        <v>260</v>
      </c>
      <c r="BK104">
        <v>1290</v>
      </c>
      <c r="BL104">
        <v>900</v>
      </c>
      <c r="BM104">
        <v>330</v>
      </c>
      <c r="BN104">
        <v>104</v>
      </c>
      <c r="BO104">
        <v>114</v>
      </c>
      <c r="BP104">
        <v>1460</v>
      </c>
      <c r="BQ104">
        <v>1050</v>
      </c>
      <c r="BR104">
        <v>445</v>
      </c>
    </row>
    <row r="105" spans="1:101" x14ac:dyDescent="0.25">
      <c r="A105" t="s">
        <v>517</v>
      </c>
      <c r="B105" t="s">
        <v>37</v>
      </c>
      <c r="C105" t="s">
        <v>214</v>
      </c>
      <c r="D105" t="s">
        <v>518</v>
      </c>
      <c r="E105" t="s">
        <v>2151</v>
      </c>
      <c r="F105" t="s">
        <v>519</v>
      </c>
      <c r="G105" t="s">
        <v>75</v>
      </c>
      <c r="H105">
        <v>414100</v>
      </c>
      <c r="J105" t="s">
        <v>520</v>
      </c>
      <c r="K105" t="s">
        <v>230</v>
      </c>
      <c r="L105" t="s">
        <v>44</v>
      </c>
      <c r="M105" s="7">
        <v>19</v>
      </c>
      <c r="N105" s="7">
        <v>22.4</v>
      </c>
      <c r="O105" s="7">
        <v>5.99</v>
      </c>
      <c r="P105" s="7">
        <v>6.12</v>
      </c>
      <c r="Q105">
        <v>100</v>
      </c>
      <c r="R105">
        <v>30</v>
      </c>
      <c r="U105">
        <v>1</v>
      </c>
      <c r="V105">
        <v>55</v>
      </c>
      <c r="W105">
        <v>55</v>
      </c>
      <c r="X105">
        <v>-15</v>
      </c>
      <c r="Y105">
        <v>46</v>
      </c>
      <c r="Z105">
        <v>-20</v>
      </c>
      <c r="AA105">
        <v>24</v>
      </c>
      <c r="AN105" s="7">
        <v>12.7</v>
      </c>
      <c r="AO105" s="7">
        <v>25.4</v>
      </c>
      <c r="AP105" s="7" t="s">
        <v>3010</v>
      </c>
      <c r="AQ105" t="s">
        <v>49</v>
      </c>
      <c r="AR105" t="s">
        <v>49</v>
      </c>
      <c r="AS105" t="s">
        <v>49</v>
      </c>
      <c r="AT105" t="s">
        <v>49</v>
      </c>
      <c r="AU105" t="s">
        <v>50</v>
      </c>
      <c r="AV105" s="7" t="s">
        <v>521</v>
      </c>
      <c r="AW105" s="7" t="s">
        <v>3020</v>
      </c>
      <c r="AX105">
        <v>30</v>
      </c>
      <c r="BE105" s="7" t="s">
        <v>3135</v>
      </c>
      <c r="BF105" t="s">
        <v>49</v>
      </c>
      <c r="BI105" t="s">
        <v>260</v>
      </c>
      <c r="BK105">
        <v>1428</v>
      </c>
      <c r="BL105">
        <v>1080</v>
      </c>
      <c r="BM105">
        <v>480</v>
      </c>
      <c r="BN105">
        <v>163</v>
      </c>
      <c r="BO105">
        <v>181</v>
      </c>
      <c r="BP105">
        <v>1557</v>
      </c>
      <c r="BQ105">
        <v>1174</v>
      </c>
      <c r="BR105">
        <v>600</v>
      </c>
    </row>
    <row r="106" spans="1:101" x14ac:dyDescent="0.25">
      <c r="A106" t="s">
        <v>522</v>
      </c>
      <c r="B106" t="s">
        <v>37</v>
      </c>
      <c r="C106" t="s">
        <v>214</v>
      </c>
      <c r="D106" t="s">
        <v>523</v>
      </c>
      <c r="E106" t="s">
        <v>2151</v>
      </c>
      <c r="F106" t="s">
        <v>519</v>
      </c>
      <c r="G106" t="s">
        <v>75</v>
      </c>
      <c r="H106">
        <v>438100</v>
      </c>
      <c r="J106" t="s">
        <v>524</v>
      </c>
      <c r="K106" t="s">
        <v>230</v>
      </c>
      <c r="L106" t="s">
        <v>44</v>
      </c>
      <c r="M106" s="7">
        <v>22</v>
      </c>
      <c r="N106" s="7">
        <v>27</v>
      </c>
      <c r="O106" s="7">
        <v>7.24</v>
      </c>
      <c r="P106" s="7">
        <v>7.65</v>
      </c>
      <c r="Q106">
        <v>100</v>
      </c>
      <c r="R106">
        <v>30</v>
      </c>
      <c r="U106">
        <v>1</v>
      </c>
      <c r="V106">
        <v>57</v>
      </c>
      <c r="W106">
        <v>57</v>
      </c>
      <c r="X106">
        <v>-15</v>
      </c>
      <c r="Y106">
        <v>46</v>
      </c>
      <c r="Z106">
        <v>-20</v>
      </c>
      <c r="AA106">
        <v>24</v>
      </c>
      <c r="AN106" s="7">
        <v>12.7</v>
      </c>
      <c r="AO106" s="7">
        <v>25.4</v>
      </c>
      <c r="AP106" s="7" t="s">
        <v>3010</v>
      </c>
      <c r="AQ106" t="s">
        <v>49</v>
      </c>
      <c r="AR106" t="s">
        <v>49</v>
      </c>
      <c r="AS106" t="s">
        <v>49</v>
      </c>
      <c r="AT106" t="s">
        <v>49</v>
      </c>
      <c r="AU106" t="s">
        <v>50</v>
      </c>
      <c r="AV106" s="7" t="s">
        <v>521</v>
      </c>
      <c r="AW106" s="7" t="s">
        <v>3020</v>
      </c>
      <c r="AX106">
        <v>30</v>
      </c>
      <c r="BE106" s="7" t="s">
        <v>3136</v>
      </c>
      <c r="BF106" t="s">
        <v>49</v>
      </c>
      <c r="BI106" t="s">
        <v>260</v>
      </c>
      <c r="BK106">
        <v>1428</v>
      </c>
      <c r="BL106">
        <v>1080</v>
      </c>
      <c r="BM106">
        <v>480</v>
      </c>
      <c r="BN106">
        <v>172</v>
      </c>
      <c r="BO106">
        <v>190</v>
      </c>
      <c r="BP106">
        <v>1557</v>
      </c>
      <c r="BQ106">
        <v>1174</v>
      </c>
      <c r="BR106">
        <v>600</v>
      </c>
    </row>
    <row r="107" spans="1:101" x14ac:dyDescent="0.25">
      <c r="A107" t="s">
        <v>525</v>
      </c>
      <c r="B107" t="s">
        <v>37</v>
      </c>
      <c r="C107" t="s">
        <v>526</v>
      </c>
      <c r="D107" t="s">
        <v>527</v>
      </c>
      <c r="E107" t="s">
        <v>2148</v>
      </c>
      <c r="F107" t="s">
        <v>528</v>
      </c>
      <c r="G107" t="s">
        <v>41</v>
      </c>
      <c r="H107">
        <v>162100</v>
      </c>
      <c r="I107" t="s">
        <v>3516</v>
      </c>
      <c r="J107" t="s">
        <v>529</v>
      </c>
      <c r="K107" t="s">
        <v>530</v>
      </c>
      <c r="L107" t="s">
        <v>44</v>
      </c>
      <c r="M107" s="7">
        <v>6.8</v>
      </c>
      <c r="N107" s="7">
        <v>8</v>
      </c>
      <c r="O107" s="7">
        <v>2.21</v>
      </c>
      <c r="P107" s="7">
        <v>2.2599999999999998</v>
      </c>
      <c r="Q107">
        <v>30</v>
      </c>
      <c r="R107">
        <v>20</v>
      </c>
      <c r="S107">
        <v>25</v>
      </c>
      <c r="T107">
        <v>31</v>
      </c>
      <c r="AD107">
        <v>38</v>
      </c>
      <c r="AG107">
        <v>6.2</v>
      </c>
      <c r="AH107">
        <v>4</v>
      </c>
      <c r="AI107" t="s">
        <v>531</v>
      </c>
      <c r="AJ107">
        <v>220</v>
      </c>
      <c r="AN107" s="7">
        <v>6.35</v>
      </c>
      <c r="AO107" s="7">
        <v>15.88</v>
      </c>
      <c r="AP107" s="7" t="s">
        <v>3012</v>
      </c>
      <c r="AQ107" t="s">
        <v>49</v>
      </c>
      <c r="AR107" t="s">
        <v>49</v>
      </c>
      <c r="AS107" t="s">
        <v>49</v>
      </c>
      <c r="AT107" t="s">
        <v>49</v>
      </c>
      <c r="AU107" t="s">
        <v>50</v>
      </c>
      <c r="AV107" s="7" t="s">
        <v>3021</v>
      </c>
      <c r="AW107" s="7" t="s">
        <v>3020</v>
      </c>
      <c r="AX107">
        <v>20</v>
      </c>
      <c r="BE107" s="7" t="s">
        <v>3120</v>
      </c>
      <c r="BF107" t="s">
        <v>49</v>
      </c>
      <c r="BG107" t="s">
        <v>51</v>
      </c>
      <c r="BH107">
        <v>64</v>
      </c>
      <c r="BI107" t="s">
        <v>52</v>
      </c>
      <c r="BK107">
        <v>270</v>
      </c>
      <c r="BL107">
        <v>1135</v>
      </c>
      <c r="BM107">
        <v>700</v>
      </c>
      <c r="BN107">
        <v>38</v>
      </c>
      <c r="BO107">
        <v>44</v>
      </c>
      <c r="BP107">
        <v>300</v>
      </c>
      <c r="BQ107">
        <v>1320</v>
      </c>
      <c r="BR107">
        <v>790</v>
      </c>
    </row>
    <row r="108" spans="1:101" x14ac:dyDescent="0.25">
      <c r="A108" t="s">
        <v>532</v>
      </c>
      <c r="B108" t="s">
        <v>37</v>
      </c>
      <c r="C108" t="s">
        <v>526</v>
      </c>
      <c r="D108" t="s">
        <v>533</v>
      </c>
      <c r="E108" t="s">
        <v>2148</v>
      </c>
      <c r="F108" t="s">
        <v>528</v>
      </c>
      <c r="G108" t="s">
        <v>75</v>
      </c>
      <c r="H108">
        <v>132000</v>
      </c>
      <c r="I108" t="s">
        <v>3516</v>
      </c>
      <c r="J108" t="s">
        <v>534</v>
      </c>
      <c r="K108" t="s">
        <v>535</v>
      </c>
      <c r="L108" t="s">
        <v>44</v>
      </c>
      <c r="M108" s="7">
        <v>6.25</v>
      </c>
      <c r="N108" s="7">
        <v>7</v>
      </c>
      <c r="O108" s="7">
        <v>0.106</v>
      </c>
      <c r="P108" s="7">
        <v>0.11</v>
      </c>
      <c r="S108">
        <v>25</v>
      </c>
      <c r="T108">
        <v>31</v>
      </c>
      <c r="AD108">
        <v>35</v>
      </c>
      <c r="AI108" t="s">
        <v>536</v>
      </c>
      <c r="AN108" s="7">
        <v>6.35</v>
      </c>
      <c r="AO108" s="7">
        <v>15.88</v>
      </c>
      <c r="AP108" s="7" t="s">
        <v>3008</v>
      </c>
      <c r="AQ108" t="s">
        <v>49</v>
      </c>
      <c r="AR108" t="s">
        <v>49</v>
      </c>
      <c r="AS108" t="s">
        <v>49</v>
      </c>
      <c r="AT108" t="s">
        <v>49</v>
      </c>
      <c r="AU108" t="s">
        <v>50</v>
      </c>
      <c r="AW108" s="7" t="s">
        <v>3020</v>
      </c>
      <c r="BB108" t="s">
        <v>251</v>
      </c>
      <c r="BE108" s="7">
        <v>0.48</v>
      </c>
      <c r="BF108" t="s">
        <v>49</v>
      </c>
      <c r="BH108">
        <v>60</v>
      </c>
      <c r="BI108" t="s">
        <v>120</v>
      </c>
      <c r="BK108">
        <v>270</v>
      </c>
      <c r="BL108">
        <v>1135</v>
      </c>
      <c r="BM108">
        <v>700</v>
      </c>
      <c r="BN108">
        <v>38</v>
      </c>
      <c r="BO108">
        <v>44</v>
      </c>
      <c r="BP108">
        <v>300</v>
      </c>
      <c r="BQ108">
        <v>1320</v>
      </c>
      <c r="BR108">
        <v>790</v>
      </c>
    </row>
    <row r="109" spans="1:101" x14ac:dyDescent="0.25">
      <c r="A109" t="s">
        <v>537</v>
      </c>
      <c r="B109" t="s">
        <v>37</v>
      </c>
      <c r="C109" t="s">
        <v>526</v>
      </c>
      <c r="D109" t="s">
        <v>538</v>
      </c>
      <c r="E109" t="s">
        <v>2148</v>
      </c>
      <c r="F109" t="s">
        <v>228</v>
      </c>
      <c r="G109" t="s">
        <v>75</v>
      </c>
      <c r="H109">
        <v>84800</v>
      </c>
      <c r="I109" t="s">
        <v>3501</v>
      </c>
      <c r="J109" t="s">
        <v>229</v>
      </c>
      <c r="K109" t="s">
        <v>230</v>
      </c>
      <c r="L109" t="s">
        <v>44</v>
      </c>
      <c r="M109" s="7">
        <v>2</v>
      </c>
      <c r="O109" s="7">
        <v>3.3000000000000002E-2</v>
      </c>
      <c r="P109" s="7">
        <v>3.3000000000000002E-2</v>
      </c>
      <c r="AN109" s="7">
        <v>6.35</v>
      </c>
      <c r="AO109" s="7">
        <v>9.52</v>
      </c>
      <c r="AP109" s="7" t="s">
        <v>231</v>
      </c>
      <c r="AQ109" t="s">
        <v>49</v>
      </c>
      <c r="AR109" t="s">
        <v>49</v>
      </c>
      <c r="AS109" t="s">
        <v>49</v>
      </c>
      <c r="AT109" t="s">
        <v>49</v>
      </c>
      <c r="AU109" t="s">
        <v>78</v>
      </c>
      <c r="AW109" s="7" t="s">
        <v>3020</v>
      </c>
      <c r="BB109" t="s">
        <v>539</v>
      </c>
      <c r="BE109" s="7">
        <v>0.33</v>
      </c>
      <c r="BF109" t="s">
        <v>49</v>
      </c>
      <c r="BI109" t="s">
        <v>52</v>
      </c>
      <c r="BK109">
        <v>198</v>
      </c>
      <c r="BL109">
        <v>700</v>
      </c>
      <c r="BM109">
        <v>620</v>
      </c>
      <c r="BN109">
        <v>16</v>
      </c>
      <c r="BO109">
        <v>21</v>
      </c>
      <c r="BP109">
        <v>276</v>
      </c>
      <c r="BQ109">
        <v>968</v>
      </c>
      <c r="BR109">
        <v>772</v>
      </c>
      <c r="BS109" t="s">
        <v>540</v>
      </c>
    </row>
    <row r="110" spans="1:101" x14ac:dyDescent="0.25">
      <c r="A110" t="s">
        <v>541</v>
      </c>
      <c r="B110" t="s">
        <v>37</v>
      </c>
      <c r="C110" t="s">
        <v>526</v>
      </c>
      <c r="D110" t="s">
        <v>542</v>
      </c>
      <c r="E110" t="s">
        <v>2148</v>
      </c>
      <c r="F110" t="s">
        <v>543</v>
      </c>
      <c r="G110" t="s">
        <v>75</v>
      </c>
      <c r="H110">
        <v>80800</v>
      </c>
      <c r="I110" t="s">
        <v>3517</v>
      </c>
      <c r="J110" t="s">
        <v>544</v>
      </c>
      <c r="K110" t="s">
        <v>545</v>
      </c>
      <c r="L110" t="s">
        <v>44</v>
      </c>
      <c r="M110" s="7">
        <v>2</v>
      </c>
      <c r="N110" s="7">
        <v>2</v>
      </c>
      <c r="O110" s="7">
        <v>3.3000000000000002E-2</v>
      </c>
      <c r="P110" s="7">
        <v>3.3000000000000002E-2</v>
      </c>
      <c r="AD110">
        <v>11</v>
      </c>
      <c r="AN110" s="7">
        <v>6.35</v>
      </c>
      <c r="AO110" s="7">
        <v>9.52</v>
      </c>
      <c r="AP110" s="7" t="s">
        <v>231</v>
      </c>
      <c r="AQ110" t="s">
        <v>49</v>
      </c>
      <c r="AR110" t="s">
        <v>49</v>
      </c>
      <c r="AS110" t="s">
        <v>49</v>
      </c>
      <c r="AT110" t="s">
        <v>49</v>
      </c>
      <c r="AU110" t="s">
        <v>50</v>
      </c>
      <c r="AW110" s="7" t="s">
        <v>3020</v>
      </c>
      <c r="BB110" t="s">
        <v>539</v>
      </c>
      <c r="BC110">
        <v>25</v>
      </c>
      <c r="BE110" s="7">
        <v>0.33</v>
      </c>
      <c r="BF110" t="s">
        <v>49</v>
      </c>
      <c r="BH110">
        <v>19</v>
      </c>
      <c r="BI110" t="s">
        <v>120</v>
      </c>
      <c r="BK110">
        <v>198</v>
      </c>
      <c r="BL110">
        <v>700</v>
      </c>
      <c r="BM110">
        <v>620</v>
      </c>
      <c r="BN110">
        <v>17</v>
      </c>
      <c r="BO110">
        <v>24</v>
      </c>
      <c r="BP110">
        <v>276</v>
      </c>
      <c r="BQ110">
        <v>968</v>
      </c>
      <c r="BR110">
        <v>772</v>
      </c>
      <c r="BS110" t="s">
        <v>540</v>
      </c>
    </row>
    <row r="111" spans="1:101" x14ac:dyDescent="0.25">
      <c r="A111" t="s">
        <v>546</v>
      </c>
      <c r="B111" t="s">
        <v>37</v>
      </c>
      <c r="C111" t="s">
        <v>526</v>
      </c>
      <c r="D111" t="s">
        <v>547</v>
      </c>
      <c r="E111" t="s">
        <v>2148</v>
      </c>
      <c r="F111" t="s">
        <v>543</v>
      </c>
      <c r="G111" t="s">
        <v>75</v>
      </c>
      <c r="H111">
        <v>83200</v>
      </c>
      <c r="I111" t="s">
        <v>3517</v>
      </c>
      <c r="J111" t="s">
        <v>548</v>
      </c>
      <c r="K111" t="s">
        <v>549</v>
      </c>
      <c r="L111" t="s">
        <v>44</v>
      </c>
      <c r="M111" s="7">
        <v>2.5</v>
      </c>
      <c r="N111" s="7">
        <v>2.5</v>
      </c>
      <c r="O111" s="7">
        <v>4.9000000000000002E-2</v>
      </c>
      <c r="P111" s="7">
        <v>4.9000000000000002E-2</v>
      </c>
      <c r="AD111">
        <v>14</v>
      </c>
      <c r="AN111" s="7">
        <v>6.35</v>
      </c>
      <c r="AO111" s="7">
        <v>9.52</v>
      </c>
      <c r="AP111" s="7" t="s">
        <v>231</v>
      </c>
      <c r="AQ111" t="s">
        <v>49</v>
      </c>
      <c r="AR111" t="s">
        <v>49</v>
      </c>
      <c r="AS111" t="s">
        <v>49</v>
      </c>
      <c r="AT111" t="s">
        <v>49</v>
      </c>
      <c r="AU111" t="s">
        <v>50</v>
      </c>
      <c r="AW111" s="7" t="s">
        <v>3020</v>
      </c>
      <c r="BB111" t="s">
        <v>539</v>
      </c>
      <c r="BC111">
        <v>25</v>
      </c>
      <c r="BE111" s="7">
        <v>0.3</v>
      </c>
      <c r="BF111" t="s">
        <v>49</v>
      </c>
      <c r="BH111">
        <v>23</v>
      </c>
      <c r="BI111" t="s">
        <v>52</v>
      </c>
      <c r="BK111">
        <v>198</v>
      </c>
      <c r="BL111">
        <v>700</v>
      </c>
      <c r="BM111">
        <v>620</v>
      </c>
      <c r="BN111">
        <v>19</v>
      </c>
      <c r="BO111">
        <v>26</v>
      </c>
      <c r="BP111">
        <v>276</v>
      </c>
      <c r="BQ111">
        <v>968</v>
      </c>
      <c r="BR111">
        <v>772</v>
      </c>
      <c r="BS111" t="s">
        <v>550</v>
      </c>
    </row>
    <row r="112" spans="1:101" x14ac:dyDescent="0.25">
      <c r="A112" t="s">
        <v>551</v>
      </c>
      <c r="B112" t="s">
        <v>37</v>
      </c>
      <c r="C112" t="s">
        <v>526</v>
      </c>
      <c r="D112" t="s">
        <v>552</v>
      </c>
      <c r="E112" t="s">
        <v>2148</v>
      </c>
      <c r="F112" t="s">
        <v>543</v>
      </c>
      <c r="G112" t="s">
        <v>75</v>
      </c>
      <c r="H112">
        <v>98600</v>
      </c>
      <c r="I112" t="s">
        <v>3517</v>
      </c>
      <c r="J112" t="s">
        <v>553</v>
      </c>
      <c r="K112" t="s">
        <v>554</v>
      </c>
      <c r="L112" t="s">
        <v>44</v>
      </c>
      <c r="M112" s="7">
        <v>3.5</v>
      </c>
      <c r="N112" s="7">
        <v>3.5</v>
      </c>
      <c r="O112" s="7">
        <v>5.8000000000000003E-2</v>
      </c>
      <c r="P112" s="7">
        <v>5.8000000000000003E-2</v>
      </c>
      <c r="Q112">
        <v>25</v>
      </c>
      <c r="R112">
        <v>15</v>
      </c>
      <c r="S112">
        <v>26</v>
      </c>
      <c r="T112">
        <v>29</v>
      </c>
      <c r="X112">
        <v>-10</v>
      </c>
      <c r="Y112">
        <v>46</v>
      </c>
      <c r="Z112">
        <v>-15</v>
      </c>
      <c r="AA112">
        <v>24</v>
      </c>
      <c r="AD112">
        <v>20</v>
      </c>
      <c r="AG112">
        <v>5.9</v>
      </c>
      <c r="AH112">
        <v>4</v>
      </c>
      <c r="AI112" t="s">
        <v>555</v>
      </c>
      <c r="AJ112">
        <v>220</v>
      </c>
      <c r="AN112" s="7">
        <v>6.35</v>
      </c>
      <c r="AO112" s="7">
        <v>9.52</v>
      </c>
      <c r="AP112" s="7" t="s">
        <v>231</v>
      </c>
      <c r="AQ112" t="s">
        <v>49</v>
      </c>
      <c r="AR112" t="s">
        <v>49</v>
      </c>
      <c r="AS112" t="s">
        <v>49</v>
      </c>
      <c r="AT112" t="s">
        <v>49</v>
      </c>
      <c r="AU112" t="s">
        <v>50</v>
      </c>
      <c r="AV112" s="7" t="s">
        <v>3019</v>
      </c>
      <c r="AW112" s="7" t="s">
        <v>3020</v>
      </c>
      <c r="AX112">
        <v>16</v>
      </c>
      <c r="BE112" s="7">
        <v>0.35</v>
      </c>
      <c r="BF112" t="s">
        <v>49</v>
      </c>
      <c r="BG112" t="s">
        <v>209</v>
      </c>
      <c r="BH112">
        <v>33</v>
      </c>
      <c r="BI112" t="s">
        <v>52</v>
      </c>
      <c r="BK112">
        <v>198</v>
      </c>
      <c r="BL112">
        <v>700</v>
      </c>
      <c r="BM112">
        <v>620</v>
      </c>
      <c r="BN112">
        <v>19</v>
      </c>
      <c r="BO112">
        <v>23</v>
      </c>
      <c r="BP112">
        <v>276</v>
      </c>
      <c r="BQ112">
        <v>968</v>
      </c>
      <c r="BR112">
        <v>772</v>
      </c>
    </row>
    <row r="113" spans="1:71" x14ac:dyDescent="0.25">
      <c r="A113" t="s">
        <v>556</v>
      </c>
      <c r="B113" t="s">
        <v>37</v>
      </c>
      <c r="C113" t="s">
        <v>526</v>
      </c>
      <c r="D113" t="s">
        <v>557</v>
      </c>
      <c r="E113" t="s">
        <v>2148</v>
      </c>
      <c r="F113" t="s">
        <v>543</v>
      </c>
      <c r="G113" t="s">
        <v>75</v>
      </c>
      <c r="H113">
        <v>114700</v>
      </c>
      <c r="I113" t="s">
        <v>3517</v>
      </c>
      <c r="J113" t="s">
        <v>558</v>
      </c>
      <c r="K113" t="s">
        <v>559</v>
      </c>
      <c r="L113" t="s">
        <v>44</v>
      </c>
      <c r="M113" s="7">
        <v>4</v>
      </c>
      <c r="N113" s="7">
        <v>4</v>
      </c>
      <c r="O113" s="7">
        <v>7.5999999999999998E-2</v>
      </c>
      <c r="P113" s="7">
        <v>7.5999999999999998E-2</v>
      </c>
      <c r="Q113">
        <v>25</v>
      </c>
      <c r="R113">
        <v>15</v>
      </c>
      <c r="S113">
        <v>26</v>
      </c>
      <c r="T113">
        <v>32</v>
      </c>
      <c r="AD113">
        <v>24</v>
      </c>
      <c r="AG113">
        <v>5.8</v>
      </c>
      <c r="AH113">
        <v>3.9</v>
      </c>
      <c r="AN113" s="7">
        <v>6.35</v>
      </c>
      <c r="AO113" s="7">
        <v>12.7</v>
      </c>
      <c r="AP113" s="7" t="s">
        <v>231</v>
      </c>
      <c r="AQ113" t="s">
        <v>49</v>
      </c>
      <c r="AR113" t="s">
        <v>49</v>
      </c>
      <c r="AS113" t="s">
        <v>49</v>
      </c>
      <c r="AT113" t="s">
        <v>49</v>
      </c>
      <c r="AV113" s="7" t="s">
        <v>3019</v>
      </c>
      <c r="AW113" s="7" t="s">
        <v>3020</v>
      </c>
      <c r="AX113">
        <v>16</v>
      </c>
      <c r="BE113" s="7">
        <v>0.51</v>
      </c>
      <c r="BF113" t="s">
        <v>49</v>
      </c>
      <c r="BG113" t="s">
        <v>209</v>
      </c>
      <c r="BH113">
        <v>40</v>
      </c>
      <c r="BI113" t="s">
        <v>52</v>
      </c>
      <c r="BK113">
        <v>198</v>
      </c>
      <c r="BL113">
        <v>700</v>
      </c>
      <c r="BM113">
        <v>620</v>
      </c>
      <c r="BN113">
        <v>19</v>
      </c>
      <c r="BO113">
        <v>23</v>
      </c>
      <c r="BP113">
        <v>276</v>
      </c>
      <c r="BQ113">
        <v>968</v>
      </c>
      <c r="BR113">
        <v>772</v>
      </c>
    </row>
    <row r="114" spans="1:71" x14ac:dyDescent="0.25">
      <c r="A114" t="s">
        <v>560</v>
      </c>
      <c r="B114" t="s">
        <v>37</v>
      </c>
      <c r="C114" t="s">
        <v>526</v>
      </c>
      <c r="D114" t="s">
        <v>561</v>
      </c>
      <c r="E114" t="s">
        <v>2148</v>
      </c>
      <c r="F114" t="s">
        <v>543</v>
      </c>
      <c r="G114" t="s">
        <v>75</v>
      </c>
      <c r="H114">
        <v>115000</v>
      </c>
      <c r="I114" t="s">
        <v>3517</v>
      </c>
      <c r="J114" t="s">
        <v>562</v>
      </c>
      <c r="K114" t="s">
        <v>563</v>
      </c>
      <c r="L114" t="s">
        <v>44</v>
      </c>
      <c r="M114" s="7">
        <v>5</v>
      </c>
      <c r="N114" s="7">
        <v>5</v>
      </c>
      <c r="O114" s="7">
        <v>7.2999999999999995E-2</v>
      </c>
      <c r="P114" s="7">
        <v>7.2999999999999995E-2</v>
      </c>
      <c r="Q114">
        <v>25</v>
      </c>
      <c r="R114">
        <v>15</v>
      </c>
      <c r="S114">
        <v>29</v>
      </c>
      <c r="T114">
        <v>32</v>
      </c>
      <c r="AD114">
        <v>29</v>
      </c>
      <c r="AG114">
        <v>6.2</v>
      </c>
      <c r="AH114">
        <v>4.0999999999999996</v>
      </c>
      <c r="AN114" s="7">
        <v>6.35</v>
      </c>
      <c r="AO114" s="7">
        <v>12.7</v>
      </c>
      <c r="AP114" s="7" t="s">
        <v>231</v>
      </c>
      <c r="AQ114" t="s">
        <v>49</v>
      </c>
      <c r="AR114" t="s">
        <v>49</v>
      </c>
      <c r="AS114" t="s">
        <v>49</v>
      </c>
      <c r="AT114" t="s">
        <v>49</v>
      </c>
      <c r="AV114" s="7" t="s">
        <v>3019</v>
      </c>
      <c r="AW114" s="7" t="s">
        <v>3020</v>
      </c>
      <c r="AX114">
        <v>20</v>
      </c>
      <c r="BE114" s="7">
        <v>0.44</v>
      </c>
      <c r="BF114" t="s">
        <v>49</v>
      </c>
      <c r="BG114" t="s">
        <v>51</v>
      </c>
      <c r="BH114">
        <v>49</v>
      </c>
      <c r="BI114" t="s">
        <v>52</v>
      </c>
      <c r="BK114">
        <v>198</v>
      </c>
      <c r="BL114">
        <v>900</v>
      </c>
      <c r="BM114">
        <v>620</v>
      </c>
      <c r="BN114">
        <v>23</v>
      </c>
      <c r="BO114">
        <v>27</v>
      </c>
      <c r="BP114">
        <v>276</v>
      </c>
      <c r="BQ114">
        <v>1168</v>
      </c>
      <c r="BR114">
        <v>772</v>
      </c>
    </row>
    <row r="115" spans="1:71" x14ac:dyDescent="0.25">
      <c r="A115" t="s">
        <v>564</v>
      </c>
      <c r="B115" t="s">
        <v>37</v>
      </c>
      <c r="C115" t="s">
        <v>526</v>
      </c>
      <c r="D115" t="s">
        <v>565</v>
      </c>
      <c r="E115" t="s">
        <v>2149</v>
      </c>
      <c r="F115" t="s">
        <v>566</v>
      </c>
      <c r="G115" t="s">
        <v>41</v>
      </c>
      <c r="H115">
        <v>79400</v>
      </c>
      <c r="I115" t="s">
        <v>567</v>
      </c>
      <c r="J115" t="s">
        <v>568</v>
      </c>
      <c r="K115" t="s">
        <v>230</v>
      </c>
      <c r="L115" t="s">
        <v>44</v>
      </c>
      <c r="M115" s="7">
        <v>2</v>
      </c>
      <c r="N115" s="7">
        <v>2</v>
      </c>
      <c r="O115" s="7">
        <v>1.7999999999999999E-2</v>
      </c>
      <c r="P115" s="7">
        <v>1.7999999999999999E-2</v>
      </c>
      <c r="AD115">
        <v>12</v>
      </c>
      <c r="AN115" s="7">
        <v>6.35</v>
      </c>
      <c r="AO115" s="7">
        <v>9.52</v>
      </c>
      <c r="AP115" s="7" t="s">
        <v>231</v>
      </c>
      <c r="AQ115" t="s">
        <v>49</v>
      </c>
      <c r="AR115" t="s">
        <v>49</v>
      </c>
      <c r="AS115" t="s">
        <v>49</v>
      </c>
      <c r="AT115" t="s">
        <v>49</v>
      </c>
      <c r="AU115" t="s">
        <v>78</v>
      </c>
      <c r="AW115" s="7" t="s">
        <v>3020</v>
      </c>
      <c r="BE115" s="7">
        <v>0.15</v>
      </c>
      <c r="BF115" t="s">
        <v>49</v>
      </c>
      <c r="BH115">
        <v>20</v>
      </c>
      <c r="BI115" t="s">
        <v>52</v>
      </c>
      <c r="BS115" t="s">
        <v>569</v>
      </c>
    </row>
    <row r="116" spans="1:71" x14ac:dyDescent="0.25">
      <c r="A116" t="s">
        <v>570</v>
      </c>
      <c r="B116" t="s">
        <v>37</v>
      </c>
      <c r="C116" t="s">
        <v>526</v>
      </c>
      <c r="D116" t="s">
        <v>571</v>
      </c>
      <c r="E116" t="s">
        <v>2149</v>
      </c>
      <c r="F116" t="s">
        <v>566</v>
      </c>
      <c r="G116" t="s">
        <v>41</v>
      </c>
      <c r="H116">
        <v>80300</v>
      </c>
      <c r="I116" t="s">
        <v>567</v>
      </c>
      <c r="J116" t="s">
        <v>568</v>
      </c>
      <c r="K116" t="s">
        <v>230</v>
      </c>
      <c r="L116" t="s">
        <v>44</v>
      </c>
      <c r="M116" s="7">
        <v>2.5</v>
      </c>
      <c r="N116" s="7">
        <v>2.5</v>
      </c>
      <c r="O116" s="7">
        <v>1.7999999999999999E-2</v>
      </c>
      <c r="P116" s="7">
        <v>1.7999999999999999E-2</v>
      </c>
      <c r="AD116">
        <v>15</v>
      </c>
      <c r="AN116" s="7">
        <v>6.35</v>
      </c>
      <c r="AO116" s="7">
        <v>9.52</v>
      </c>
      <c r="AP116" s="7" t="s">
        <v>231</v>
      </c>
      <c r="AQ116" t="s">
        <v>49</v>
      </c>
      <c r="AR116" t="s">
        <v>49</v>
      </c>
      <c r="AS116" t="s">
        <v>49</v>
      </c>
      <c r="AT116" t="s">
        <v>49</v>
      </c>
      <c r="AU116" t="s">
        <v>78</v>
      </c>
      <c r="AW116" s="7" t="s">
        <v>3020</v>
      </c>
      <c r="BE116" s="7">
        <v>0.15</v>
      </c>
      <c r="BF116" t="s">
        <v>49</v>
      </c>
      <c r="BH116">
        <v>25</v>
      </c>
      <c r="BI116" t="s">
        <v>52</v>
      </c>
      <c r="BS116" t="s">
        <v>569</v>
      </c>
    </row>
    <row r="117" spans="1:71" x14ac:dyDescent="0.25">
      <c r="A117" t="s">
        <v>572</v>
      </c>
      <c r="B117" t="s">
        <v>37</v>
      </c>
      <c r="C117" t="s">
        <v>526</v>
      </c>
      <c r="D117" t="s">
        <v>573</v>
      </c>
      <c r="E117" t="s">
        <v>2149</v>
      </c>
      <c r="F117" t="s">
        <v>566</v>
      </c>
      <c r="G117" t="s">
        <v>41</v>
      </c>
      <c r="H117">
        <v>82400</v>
      </c>
      <c r="I117" t="s">
        <v>567</v>
      </c>
      <c r="J117" t="s">
        <v>568</v>
      </c>
      <c r="K117" t="s">
        <v>230</v>
      </c>
      <c r="L117" t="s">
        <v>44</v>
      </c>
      <c r="M117" s="7">
        <v>3.5</v>
      </c>
      <c r="N117" s="7">
        <v>3.5</v>
      </c>
      <c r="O117" s="7">
        <v>2.3E-2</v>
      </c>
      <c r="P117" s="7">
        <v>2.3E-2</v>
      </c>
      <c r="Q117">
        <v>15</v>
      </c>
      <c r="R117">
        <v>15</v>
      </c>
      <c r="S117">
        <v>28</v>
      </c>
      <c r="T117">
        <v>37</v>
      </c>
      <c r="AD117">
        <v>21</v>
      </c>
      <c r="AG117">
        <v>6.1</v>
      </c>
      <c r="AH117">
        <v>4</v>
      </c>
      <c r="AN117" s="7">
        <v>6.35</v>
      </c>
      <c r="AO117" s="7">
        <v>9.52</v>
      </c>
      <c r="AP117" s="7" t="s">
        <v>231</v>
      </c>
      <c r="AQ117" t="s">
        <v>49</v>
      </c>
      <c r="AR117" t="s">
        <v>49</v>
      </c>
      <c r="AS117" t="s">
        <v>49</v>
      </c>
      <c r="AT117" t="s">
        <v>49</v>
      </c>
      <c r="AV117" s="7" t="s">
        <v>3019</v>
      </c>
      <c r="AW117" s="7" t="s">
        <v>3020</v>
      </c>
      <c r="AX117">
        <v>10</v>
      </c>
      <c r="BE117" s="7">
        <v>0.19</v>
      </c>
      <c r="BF117" t="s">
        <v>49</v>
      </c>
      <c r="BH117">
        <v>35</v>
      </c>
      <c r="BI117" t="s">
        <v>52</v>
      </c>
    </row>
    <row r="118" spans="1:71" x14ac:dyDescent="0.25">
      <c r="A118" t="s">
        <v>574</v>
      </c>
      <c r="B118" t="s">
        <v>37</v>
      </c>
      <c r="C118" t="s">
        <v>526</v>
      </c>
      <c r="D118" t="s">
        <v>575</v>
      </c>
      <c r="E118" t="s">
        <v>2149</v>
      </c>
      <c r="F118" t="s">
        <v>566</v>
      </c>
      <c r="G118" t="s">
        <v>41</v>
      </c>
      <c r="H118">
        <v>88000</v>
      </c>
      <c r="I118" t="s">
        <v>567</v>
      </c>
      <c r="J118" t="s">
        <v>568</v>
      </c>
      <c r="K118" t="s">
        <v>230</v>
      </c>
      <c r="L118" t="s">
        <v>44</v>
      </c>
      <c r="M118" s="7">
        <v>4</v>
      </c>
      <c r="N118" s="7">
        <v>4</v>
      </c>
      <c r="O118" s="7">
        <v>2.8000000000000001E-2</v>
      </c>
      <c r="P118" s="7">
        <v>2.8000000000000001E-2</v>
      </c>
      <c r="Q118">
        <v>20</v>
      </c>
      <c r="R118">
        <v>15</v>
      </c>
      <c r="S118">
        <v>29</v>
      </c>
      <c r="T118">
        <v>38</v>
      </c>
      <c r="AD118">
        <v>24</v>
      </c>
      <c r="AG118">
        <v>6.1</v>
      </c>
      <c r="AH118">
        <v>4</v>
      </c>
      <c r="AN118" s="7">
        <v>6.35</v>
      </c>
      <c r="AO118" s="7">
        <v>9.52</v>
      </c>
      <c r="AP118" s="7" t="s">
        <v>231</v>
      </c>
      <c r="AQ118" t="s">
        <v>49</v>
      </c>
      <c r="AR118" t="s">
        <v>49</v>
      </c>
      <c r="AS118" t="s">
        <v>49</v>
      </c>
      <c r="AT118" t="s">
        <v>49</v>
      </c>
      <c r="AV118" s="7" t="s">
        <v>3019</v>
      </c>
      <c r="AW118" s="7" t="s">
        <v>3020</v>
      </c>
      <c r="AX118">
        <v>16</v>
      </c>
      <c r="BE118" s="7">
        <v>0.22</v>
      </c>
      <c r="BF118" t="s">
        <v>49</v>
      </c>
      <c r="BH118">
        <v>43</v>
      </c>
      <c r="BI118" t="s">
        <v>52</v>
      </c>
    </row>
    <row r="119" spans="1:71" x14ac:dyDescent="0.25">
      <c r="A119" t="s">
        <v>576</v>
      </c>
      <c r="B119" t="s">
        <v>37</v>
      </c>
      <c r="C119" t="s">
        <v>526</v>
      </c>
      <c r="D119" t="s">
        <v>577</v>
      </c>
      <c r="E119" t="s">
        <v>2149</v>
      </c>
      <c r="F119" t="s">
        <v>566</v>
      </c>
      <c r="G119" t="s">
        <v>41</v>
      </c>
      <c r="H119">
        <v>88000</v>
      </c>
      <c r="I119" t="s">
        <v>567</v>
      </c>
      <c r="J119" t="s">
        <v>568</v>
      </c>
      <c r="K119" t="s">
        <v>230</v>
      </c>
      <c r="L119" t="s">
        <v>44</v>
      </c>
      <c r="M119" s="7">
        <v>5</v>
      </c>
      <c r="N119" s="7">
        <v>5</v>
      </c>
      <c r="O119" s="7">
        <v>3.9E-2</v>
      </c>
      <c r="P119" s="7">
        <v>3.9E-2</v>
      </c>
      <c r="Q119">
        <v>20</v>
      </c>
      <c r="R119">
        <v>15</v>
      </c>
      <c r="S119">
        <v>29</v>
      </c>
      <c r="T119">
        <v>38</v>
      </c>
      <c r="AG119">
        <v>6.1</v>
      </c>
      <c r="AH119">
        <v>3.9</v>
      </c>
      <c r="AN119" s="7">
        <v>6.35</v>
      </c>
      <c r="AO119" s="7">
        <v>12.7</v>
      </c>
      <c r="AP119" s="7" t="s">
        <v>231</v>
      </c>
      <c r="AQ119" t="s">
        <v>49</v>
      </c>
      <c r="AR119" t="s">
        <v>49</v>
      </c>
      <c r="AS119" t="s">
        <v>49</v>
      </c>
      <c r="AT119" t="s">
        <v>49</v>
      </c>
      <c r="AV119" s="7" t="s">
        <v>3019</v>
      </c>
      <c r="AW119" s="7" t="s">
        <v>3020</v>
      </c>
      <c r="AX119">
        <v>16</v>
      </c>
      <c r="BE119" s="7">
        <v>0.3</v>
      </c>
      <c r="BF119" t="s">
        <v>49</v>
      </c>
      <c r="BH119">
        <v>52</v>
      </c>
      <c r="BI119" t="s">
        <v>52</v>
      </c>
    </row>
    <row r="120" spans="1:71" x14ac:dyDescent="0.25">
      <c r="A120" t="s">
        <v>578</v>
      </c>
      <c r="B120" t="s">
        <v>37</v>
      </c>
      <c r="C120" t="s">
        <v>526</v>
      </c>
      <c r="D120" t="s">
        <v>579</v>
      </c>
      <c r="E120" t="s">
        <v>2149</v>
      </c>
      <c r="F120" t="s">
        <v>580</v>
      </c>
      <c r="G120" t="s">
        <v>75</v>
      </c>
      <c r="H120">
        <v>98300</v>
      </c>
      <c r="I120" t="s">
        <v>3518</v>
      </c>
      <c r="J120" t="s">
        <v>581</v>
      </c>
      <c r="K120" t="s">
        <v>582</v>
      </c>
      <c r="L120" t="s">
        <v>44</v>
      </c>
      <c r="M120" s="7">
        <v>2</v>
      </c>
      <c r="N120" s="7">
        <v>2</v>
      </c>
      <c r="O120" s="7">
        <v>1.7999999999999999E-2</v>
      </c>
      <c r="P120" s="7">
        <v>1.7999999999999999E-2</v>
      </c>
      <c r="AD120">
        <v>11</v>
      </c>
      <c r="AN120" s="7">
        <v>6.35</v>
      </c>
      <c r="AO120" s="7">
        <v>9.52</v>
      </c>
      <c r="AP120" s="7" t="s">
        <v>231</v>
      </c>
      <c r="AQ120" t="s">
        <v>49</v>
      </c>
      <c r="AR120" t="s">
        <v>49</v>
      </c>
      <c r="AS120" t="s">
        <v>49</v>
      </c>
      <c r="AT120" t="s">
        <v>49</v>
      </c>
      <c r="AU120" t="s">
        <v>50</v>
      </c>
      <c r="AW120" s="7" t="s">
        <v>3020</v>
      </c>
      <c r="BE120" s="7">
        <v>0.15</v>
      </c>
      <c r="BF120" t="s">
        <v>49</v>
      </c>
      <c r="BH120">
        <v>19</v>
      </c>
      <c r="BI120" t="s">
        <v>120</v>
      </c>
      <c r="BK120">
        <v>245</v>
      </c>
      <c r="BL120">
        <v>570</v>
      </c>
      <c r="BM120">
        <v>570</v>
      </c>
      <c r="BN120">
        <v>15</v>
      </c>
      <c r="BO120">
        <v>18</v>
      </c>
      <c r="BP120">
        <v>265</v>
      </c>
      <c r="BQ120">
        <v>730</v>
      </c>
      <c r="BR120">
        <v>625</v>
      </c>
      <c r="BS120" t="s">
        <v>583</v>
      </c>
    </row>
    <row r="121" spans="1:71" x14ac:dyDescent="0.25">
      <c r="A121" t="s">
        <v>584</v>
      </c>
      <c r="B121" t="s">
        <v>37</v>
      </c>
      <c r="C121" t="s">
        <v>526</v>
      </c>
      <c r="D121" t="s">
        <v>585</v>
      </c>
      <c r="E121" t="s">
        <v>2149</v>
      </c>
      <c r="F121" t="s">
        <v>580</v>
      </c>
      <c r="G121" t="s">
        <v>75</v>
      </c>
      <c r="H121">
        <v>170500</v>
      </c>
      <c r="I121" t="s">
        <v>3518</v>
      </c>
      <c r="J121" t="s">
        <v>586</v>
      </c>
      <c r="K121" t="s">
        <v>587</v>
      </c>
      <c r="L121" t="s">
        <v>44</v>
      </c>
      <c r="M121" s="7">
        <v>5.5</v>
      </c>
      <c r="N121" s="7">
        <v>5.5</v>
      </c>
      <c r="O121" s="7">
        <v>5.5</v>
      </c>
      <c r="P121" s="7">
        <v>5.5</v>
      </c>
      <c r="S121">
        <v>30</v>
      </c>
      <c r="T121">
        <v>49</v>
      </c>
      <c r="AD121">
        <v>31</v>
      </c>
      <c r="AN121" s="7">
        <v>6.35</v>
      </c>
      <c r="AO121" s="7">
        <v>15.88</v>
      </c>
      <c r="AP121" s="7" t="s">
        <v>3013</v>
      </c>
      <c r="AQ121" t="s">
        <v>49</v>
      </c>
      <c r="AR121" t="s">
        <v>49</v>
      </c>
      <c r="AS121" t="s">
        <v>49</v>
      </c>
      <c r="AT121" t="s">
        <v>49</v>
      </c>
      <c r="AW121" s="7" t="s">
        <v>3020</v>
      </c>
      <c r="BE121" s="7">
        <v>0.19</v>
      </c>
      <c r="BF121" t="s">
        <v>49</v>
      </c>
      <c r="BH121">
        <v>52</v>
      </c>
      <c r="BI121" t="s">
        <v>52</v>
      </c>
      <c r="BK121">
        <v>245</v>
      </c>
      <c r="BL121">
        <v>570</v>
      </c>
      <c r="BM121">
        <v>570</v>
      </c>
      <c r="BN121">
        <v>16</v>
      </c>
      <c r="BO121">
        <v>19</v>
      </c>
      <c r="BP121">
        <v>265</v>
      </c>
      <c r="BQ121">
        <v>730</v>
      </c>
      <c r="BR121">
        <v>625</v>
      </c>
    </row>
    <row r="122" spans="1:71" x14ac:dyDescent="0.25">
      <c r="A122" t="s">
        <v>588</v>
      </c>
      <c r="B122" t="s">
        <v>37</v>
      </c>
      <c r="C122" t="s">
        <v>526</v>
      </c>
      <c r="D122" t="s">
        <v>589</v>
      </c>
      <c r="E122" t="s">
        <v>2150</v>
      </c>
      <c r="F122" t="s">
        <v>590</v>
      </c>
      <c r="G122" t="s">
        <v>75</v>
      </c>
      <c r="H122">
        <v>113000</v>
      </c>
      <c r="I122" t="s">
        <v>3519</v>
      </c>
      <c r="J122" t="s">
        <v>591</v>
      </c>
      <c r="K122" t="s">
        <v>592</v>
      </c>
      <c r="L122" t="s">
        <v>44</v>
      </c>
      <c r="M122" s="7">
        <v>4</v>
      </c>
      <c r="N122" s="7">
        <v>4</v>
      </c>
      <c r="O122" s="7">
        <v>2.5999999999999999E-2</v>
      </c>
      <c r="P122" s="7">
        <v>2.5999999999999999E-2</v>
      </c>
      <c r="S122">
        <v>29</v>
      </c>
      <c r="T122">
        <v>39</v>
      </c>
      <c r="AD122">
        <v>22</v>
      </c>
      <c r="AN122" s="7">
        <v>6.35</v>
      </c>
      <c r="AO122" s="7">
        <v>12.7</v>
      </c>
      <c r="AP122" s="7" t="s">
        <v>231</v>
      </c>
      <c r="AQ122" t="s">
        <v>49</v>
      </c>
      <c r="AR122" t="s">
        <v>49</v>
      </c>
      <c r="AS122" t="s">
        <v>49</v>
      </c>
      <c r="AT122" t="s">
        <v>49</v>
      </c>
      <c r="AW122" s="7" t="s">
        <v>3020</v>
      </c>
      <c r="BE122" s="7">
        <v>0.21</v>
      </c>
      <c r="BF122" t="s">
        <v>49</v>
      </c>
      <c r="BH122">
        <v>38</v>
      </c>
      <c r="BI122" t="s">
        <v>52</v>
      </c>
      <c r="BK122">
        <v>655</v>
      </c>
      <c r="BL122">
        <v>990</v>
      </c>
      <c r="BM122">
        <v>199</v>
      </c>
      <c r="BN122">
        <v>27</v>
      </c>
      <c r="BO122">
        <v>36</v>
      </c>
      <c r="BP122">
        <v>790</v>
      </c>
      <c r="BQ122">
        <v>1150</v>
      </c>
      <c r="BR122">
        <v>320</v>
      </c>
    </row>
    <row r="123" spans="1:71" x14ac:dyDescent="0.25">
      <c r="A123" t="s">
        <v>593</v>
      </c>
      <c r="B123" t="s">
        <v>37</v>
      </c>
      <c r="C123" t="s">
        <v>526</v>
      </c>
      <c r="D123" t="s">
        <v>594</v>
      </c>
      <c r="E123" t="s">
        <v>2150</v>
      </c>
      <c r="F123" t="s">
        <v>590</v>
      </c>
      <c r="G123" t="s">
        <v>75</v>
      </c>
      <c r="H123">
        <v>109800</v>
      </c>
      <c r="I123" t="s">
        <v>3519</v>
      </c>
      <c r="J123" t="s">
        <v>595</v>
      </c>
      <c r="K123" t="s">
        <v>596</v>
      </c>
      <c r="L123" t="s">
        <v>44</v>
      </c>
      <c r="M123" s="7">
        <v>5</v>
      </c>
      <c r="N123" s="7">
        <v>5</v>
      </c>
      <c r="O123" s="7">
        <v>4.7E-2</v>
      </c>
      <c r="P123" s="7">
        <v>4.7E-2</v>
      </c>
      <c r="Q123">
        <v>25</v>
      </c>
      <c r="R123">
        <v>15</v>
      </c>
      <c r="S123">
        <v>32</v>
      </c>
      <c r="T123">
        <v>44</v>
      </c>
      <c r="AD123">
        <v>29</v>
      </c>
      <c r="AG123">
        <v>6.1</v>
      </c>
      <c r="AH123">
        <v>4</v>
      </c>
      <c r="AN123" s="7">
        <v>6.35</v>
      </c>
      <c r="AO123" s="7">
        <v>12.7</v>
      </c>
      <c r="AP123" s="7" t="s">
        <v>231</v>
      </c>
      <c r="AQ123" t="s">
        <v>49</v>
      </c>
      <c r="AR123" t="s">
        <v>49</v>
      </c>
      <c r="AS123" t="s">
        <v>49</v>
      </c>
      <c r="AT123" t="s">
        <v>49</v>
      </c>
      <c r="AV123" s="7" t="s">
        <v>3021</v>
      </c>
      <c r="AW123" s="7" t="s">
        <v>3020</v>
      </c>
      <c r="AX123">
        <v>20</v>
      </c>
      <c r="BE123" s="7">
        <v>0.36</v>
      </c>
      <c r="BF123" t="s">
        <v>49</v>
      </c>
      <c r="BG123" t="s">
        <v>51</v>
      </c>
      <c r="BH123">
        <v>49</v>
      </c>
      <c r="BI123" t="s">
        <v>52</v>
      </c>
      <c r="BK123">
        <v>199</v>
      </c>
      <c r="BL123">
        <v>990</v>
      </c>
      <c r="BM123">
        <v>655</v>
      </c>
      <c r="BN123">
        <v>27</v>
      </c>
      <c r="BO123">
        <v>36</v>
      </c>
      <c r="BP123">
        <v>320</v>
      </c>
      <c r="BQ123">
        <v>1150</v>
      </c>
      <c r="BR123">
        <v>790</v>
      </c>
    </row>
    <row r="124" spans="1:71" x14ac:dyDescent="0.25">
      <c r="A124" t="s">
        <v>597</v>
      </c>
      <c r="B124" t="s">
        <v>37</v>
      </c>
      <c r="C124" t="s">
        <v>526</v>
      </c>
      <c r="D124" t="s">
        <v>598</v>
      </c>
      <c r="E124" t="s">
        <v>2150</v>
      </c>
      <c r="F124" t="s">
        <v>590</v>
      </c>
      <c r="G124" t="s">
        <v>75</v>
      </c>
      <c r="H124">
        <v>145700</v>
      </c>
      <c r="I124" t="s">
        <v>3519</v>
      </c>
      <c r="J124" t="s">
        <v>599</v>
      </c>
      <c r="K124" t="s">
        <v>600</v>
      </c>
      <c r="L124" t="s">
        <v>44</v>
      </c>
      <c r="M124" s="7">
        <v>6.25</v>
      </c>
      <c r="N124" s="7">
        <v>7</v>
      </c>
      <c r="O124" s="7">
        <v>0.08</v>
      </c>
      <c r="P124" s="7">
        <v>0.08</v>
      </c>
      <c r="S124">
        <v>35</v>
      </c>
      <c r="T124">
        <v>49</v>
      </c>
      <c r="AD124">
        <v>35</v>
      </c>
      <c r="AG124">
        <v>6</v>
      </c>
      <c r="AH124">
        <v>4</v>
      </c>
      <c r="AN124" s="7">
        <v>6.35</v>
      </c>
      <c r="AO124" s="7">
        <v>15.88</v>
      </c>
      <c r="AP124" s="7" t="s">
        <v>231</v>
      </c>
      <c r="AQ124" t="s">
        <v>49</v>
      </c>
      <c r="AR124" t="s">
        <v>49</v>
      </c>
      <c r="AS124" t="s">
        <v>49</v>
      </c>
      <c r="AT124" t="s">
        <v>49</v>
      </c>
      <c r="AW124" s="7" t="s">
        <v>3020</v>
      </c>
      <c r="BE124" s="7">
        <v>0.36</v>
      </c>
      <c r="BF124" t="s">
        <v>49</v>
      </c>
      <c r="BG124" t="s">
        <v>209</v>
      </c>
      <c r="BH124">
        <v>60</v>
      </c>
      <c r="BI124" t="s">
        <v>52</v>
      </c>
      <c r="BK124">
        <v>199</v>
      </c>
      <c r="BL124">
        <v>655</v>
      </c>
      <c r="BM124">
        <v>990</v>
      </c>
      <c r="BN124">
        <v>27</v>
      </c>
      <c r="BO124">
        <v>27</v>
      </c>
      <c r="BP124">
        <v>199</v>
      </c>
      <c r="BQ124">
        <v>655</v>
      </c>
      <c r="BR124">
        <v>990</v>
      </c>
    </row>
    <row r="125" spans="1:71" x14ac:dyDescent="0.25">
      <c r="A125" t="s">
        <v>601</v>
      </c>
      <c r="B125" t="s">
        <v>37</v>
      </c>
      <c r="C125" t="s">
        <v>526</v>
      </c>
      <c r="D125" t="s">
        <v>602</v>
      </c>
      <c r="E125" t="s">
        <v>2150</v>
      </c>
      <c r="F125" t="s">
        <v>590</v>
      </c>
      <c r="G125" t="s">
        <v>41</v>
      </c>
      <c r="H125">
        <v>150700</v>
      </c>
      <c r="I125" t="s">
        <v>3519</v>
      </c>
      <c r="J125" t="s">
        <v>603</v>
      </c>
      <c r="K125" t="s">
        <v>604</v>
      </c>
      <c r="L125" t="s">
        <v>44</v>
      </c>
      <c r="M125" s="7">
        <v>6.8</v>
      </c>
      <c r="N125" s="7">
        <v>8</v>
      </c>
      <c r="O125" s="7">
        <v>2.21</v>
      </c>
      <c r="P125" s="7">
        <v>2.2599999999999998</v>
      </c>
      <c r="Q125">
        <v>30</v>
      </c>
      <c r="R125">
        <v>20</v>
      </c>
      <c r="S125">
        <v>35</v>
      </c>
      <c r="T125">
        <v>49</v>
      </c>
      <c r="AD125">
        <v>38</v>
      </c>
      <c r="AG125">
        <v>5.6</v>
      </c>
      <c r="AH125">
        <v>3.9</v>
      </c>
      <c r="AN125" s="7">
        <v>6.35</v>
      </c>
      <c r="AO125" s="7">
        <v>15.88</v>
      </c>
      <c r="AP125" s="7" t="s">
        <v>3011</v>
      </c>
      <c r="AQ125" t="s">
        <v>49</v>
      </c>
      <c r="AR125" t="s">
        <v>49</v>
      </c>
      <c r="AS125" t="s">
        <v>49</v>
      </c>
      <c r="AT125" t="s">
        <v>49</v>
      </c>
      <c r="AV125" s="7" t="s">
        <v>3021</v>
      </c>
      <c r="AW125" s="7" t="s">
        <v>3020</v>
      </c>
      <c r="AX125">
        <v>20</v>
      </c>
      <c r="BE125" s="7" t="s">
        <v>3120</v>
      </c>
      <c r="BF125" t="s">
        <v>49</v>
      </c>
      <c r="BG125" t="s">
        <v>209</v>
      </c>
      <c r="BH125">
        <v>64</v>
      </c>
      <c r="BI125" t="s">
        <v>52</v>
      </c>
      <c r="BK125">
        <v>199</v>
      </c>
      <c r="BL125">
        <v>990</v>
      </c>
      <c r="BM125">
        <v>655</v>
      </c>
      <c r="BN125">
        <v>27</v>
      </c>
      <c r="BO125">
        <v>36</v>
      </c>
      <c r="BP125">
        <v>320</v>
      </c>
      <c r="BQ125">
        <v>1150</v>
      </c>
      <c r="BR125">
        <v>790</v>
      </c>
    </row>
    <row r="126" spans="1:71" x14ac:dyDescent="0.25">
      <c r="A126" t="s">
        <v>605</v>
      </c>
      <c r="B126" t="s">
        <v>37</v>
      </c>
      <c r="C126" t="s">
        <v>526</v>
      </c>
      <c r="D126" t="s">
        <v>606</v>
      </c>
      <c r="E126" t="s">
        <v>2150</v>
      </c>
      <c r="F126" t="s">
        <v>607</v>
      </c>
      <c r="G126" t="s">
        <v>75</v>
      </c>
      <c r="H126">
        <v>98500</v>
      </c>
      <c r="I126" t="s">
        <v>3520</v>
      </c>
      <c r="J126" t="s">
        <v>608</v>
      </c>
      <c r="K126" t="s">
        <v>609</v>
      </c>
      <c r="L126" t="s">
        <v>44</v>
      </c>
      <c r="M126" s="7">
        <v>2.5</v>
      </c>
      <c r="N126" s="7">
        <v>2.5</v>
      </c>
      <c r="O126" s="7">
        <v>1.6E-2</v>
      </c>
      <c r="P126" s="7">
        <v>1.6E-2</v>
      </c>
      <c r="S126">
        <v>22</v>
      </c>
      <c r="T126">
        <v>39</v>
      </c>
      <c r="AD126">
        <v>14</v>
      </c>
      <c r="AI126" t="s">
        <v>610</v>
      </c>
      <c r="AJ126">
        <v>220</v>
      </c>
      <c r="AN126" s="7">
        <v>6.35</v>
      </c>
      <c r="AO126" s="7">
        <v>9.52</v>
      </c>
      <c r="AP126" s="7" t="s">
        <v>3014</v>
      </c>
      <c r="AQ126" t="s">
        <v>49</v>
      </c>
      <c r="AR126" t="s">
        <v>49</v>
      </c>
      <c r="AS126" t="s">
        <v>49</v>
      </c>
      <c r="AT126" t="s">
        <v>49</v>
      </c>
      <c r="AU126" t="s">
        <v>50</v>
      </c>
      <c r="AW126" s="7" t="s">
        <v>3020</v>
      </c>
      <c r="BE126" s="7">
        <v>0.15</v>
      </c>
      <c r="BF126" t="s">
        <v>49</v>
      </c>
      <c r="BH126">
        <v>23</v>
      </c>
      <c r="BI126" t="s">
        <v>120</v>
      </c>
      <c r="BK126">
        <v>600</v>
      </c>
      <c r="BL126">
        <v>740</v>
      </c>
      <c r="BM126">
        <v>200</v>
      </c>
      <c r="BN126">
        <v>14</v>
      </c>
      <c r="BO126">
        <v>17</v>
      </c>
      <c r="BP126">
        <v>700</v>
      </c>
      <c r="BQ126">
        <v>820</v>
      </c>
      <c r="BR126">
        <v>310</v>
      </c>
    </row>
    <row r="127" spans="1:71" x14ac:dyDescent="0.25">
      <c r="A127" t="s">
        <v>611</v>
      </c>
      <c r="B127" t="s">
        <v>37</v>
      </c>
      <c r="C127" t="s">
        <v>526</v>
      </c>
      <c r="D127" t="s">
        <v>612</v>
      </c>
      <c r="E127" t="s">
        <v>2150</v>
      </c>
      <c r="F127" t="s">
        <v>607</v>
      </c>
      <c r="G127" t="s">
        <v>75</v>
      </c>
      <c r="H127">
        <v>108700</v>
      </c>
      <c r="I127" t="s">
        <v>3520</v>
      </c>
      <c r="J127" t="s">
        <v>613</v>
      </c>
      <c r="K127" t="s">
        <v>614</v>
      </c>
      <c r="L127" t="s">
        <v>44</v>
      </c>
      <c r="M127" s="7">
        <v>3.5</v>
      </c>
      <c r="N127" s="7">
        <v>3.5</v>
      </c>
      <c r="O127" s="7">
        <v>0.02</v>
      </c>
      <c r="P127" s="7">
        <v>0.02</v>
      </c>
      <c r="S127">
        <v>22</v>
      </c>
      <c r="T127">
        <v>42</v>
      </c>
      <c r="AD127">
        <v>20</v>
      </c>
      <c r="AI127" t="s">
        <v>615</v>
      </c>
      <c r="AJ127">
        <v>220</v>
      </c>
      <c r="AN127" s="7">
        <v>6.35</v>
      </c>
      <c r="AO127" s="7">
        <v>9.52</v>
      </c>
      <c r="AP127" s="7" t="s">
        <v>3014</v>
      </c>
      <c r="AQ127" t="s">
        <v>49</v>
      </c>
      <c r="AR127" t="s">
        <v>49</v>
      </c>
      <c r="AS127" t="s">
        <v>49</v>
      </c>
      <c r="AT127" t="s">
        <v>49</v>
      </c>
      <c r="AU127" t="s">
        <v>50</v>
      </c>
      <c r="AW127" s="7" t="s">
        <v>3020</v>
      </c>
      <c r="BE127" s="7">
        <v>0.18</v>
      </c>
      <c r="BF127" t="s">
        <v>49</v>
      </c>
      <c r="BH127">
        <v>33</v>
      </c>
      <c r="BI127" t="s">
        <v>120</v>
      </c>
      <c r="BK127">
        <v>600</v>
      </c>
      <c r="BL127">
        <v>740</v>
      </c>
      <c r="BM127">
        <v>200</v>
      </c>
      <c r="BN127">
        <v>14</v>
      </c>
      <c r="BO127">
        <v>17</v>
      </c>
      <c r="BP127">
        <v>700</v>
      </c>
      <c r="BQ127">
        <v>820</v>
      </c>
      <c r="BR127">
        <v>310</v>
      </c>
    </row>
    <row r="128" spans="1:71" x14ac:dyDescent="0.25">
      <c r="A128" t="s">
        <v>616</v>
      </c>
      <c r="B128" t="s">
        <v>37</v>
      </c>
      <c r="C128" t="s">
        <v>526</v>
      </c>
      <c r="D128" t="s">
        <v>617</v>
      </c>
      <c r="E128" t="s">
        <v>2150</v>
      </c>
      <c r="F128" t="s">
        <v>607</v>
      </c>
      <c r="G128" t="s">
        <v>75</v>
      </c>
      <c r="H128">
        <v>118800</v>
      </c>
      <c r="I128" t="s">
        <v>3520</v>
      </c>
      <c r="J128" t="s">
        <v>618</v>
      </c>
      <c r="K128" t="s">
        <v>619</v>
      </c>
      <c r="L128" t="s">
        <v>44</v>
      </c>
      <c r="M128" s="7">
        <v>4</v>
      </c>
      <c r="N128" s="7">
        <v>4</v>
      </c>
      <c r="O128" s="7">
        <v>2.3E-2</v>
      </c>
      <c r="P128" s="7">
        <v>2.3E-2</v>
      </c>
      <c r="S128">
        <v>22</v>
      </c>
      <c r="T128">
        <v>44</v>
      </c>
      <c r="AD128">
        <v>22</v>
      </c>
      <c r="AI128" t="s">
        <v>620</v>
      </c>
      <c r="AJ128">
        <v>220</v>
      </c>
      <c r="AN128" s="7">
        <v>6.35</v>
      </c>
      <c r="AO128" s="7">
        <v>12.7</v>
      </c>
      <c r="AP128" s="7" t="s">
        <v>3014</v>
      </c>
      <c r="AQ128" t="s">
        <v>49</v>
      </c>
      <c r="AR128" t="s">
        <v>49</v>
      </c>
      <c r="AS128" t="s">
        <v>49</v>
      </c>
      <c r="AT128" t="s">
        <v>49</v>
      </c>
      <c r="AU128" t="s">
        <v>50</v>
      </c>
      <c r="AW128" s="7" t="s">
        <v>3020</v>
      </c>
      <c r="BE128" s="7">
        <v>0.2</v>
      </c>
      <c r="BF128" t="s">
        <v>49</v>
      </c>
      <c r="BH128">
        <v>38</v>
      </c>
      <c r="BI128" t="s">
        <v>52</v>
      </c>
      <c r="BK128">
        <v>600</v>
      </c>
      <c r="BL128">
        <v>740</v>
      </c>
      <c r="BM128">
        <v>200</v>
      </c>
      <c r="BN128">
        <v>14</v>
      </c>
      <c r="BO128">
        <v>17</v>
      </c>
      <c r="BP128">
        <v>700</v>
      </c>
      <c r="BQ128">
        <v>820</v>
      </c>
      <c r="BR128">
        <v>310</v>
      </c>
    </row>
    <row r="129" spans="1:101" x14ac:dyDescent="0.25">
      <c r="A129" t="s">
        <v>621</v>
      </c>
      <c r="B129" t="s">
        <v>37</v>
      </c>
      <c r="C129" t="s">
        <v>526</v>
      </c>
      <c r="D129" t="s">
        <v>622</v>
      </c>
      <c r="E129" t="s">
        <v>2151</v>
      </c>
      <c r="F129" t="s">
        <v>509</v>
      </c>
      <c r="G129" t="s">
        <v>75</v>
      </c>
      <c r="H129">
        <v>293000</v>
      </c>
      <c r="I129" t="s">
        <v>510</v>
      </c>
      <c r="J129" t="s">
        <v>623</v>
      </c>
      <c r="K129" t="s">
        <v>230</v>
      </c>
      <c r="L129" t="s">
        <v>44</v>
      </c>
      <c r="M129" s="7">
        <v>12.5</v>
      </c>
      <c r="N129" s="7">
        <v>14</v>
      </c>
      <c r="O129" s="7">
        <v>4.0599999999999996</v>
      </c>
      <c r="P129" s="7">
        <v>3.67</v>
      </c>
      <c r="Q129">
        <v>75</v>
      </c>
      <c r="R129">
        <v>30</v>
      </c>
      <c r="U129" t="s">
        <v>512</v>
      </c>
      <c r="V129">
        <v>54</v>
      </c>
      <c r="W129">
        <v>54</v>
      </c>
      <c r="X129">
        <v>-15</v>
      </c>
      <c r="Y129">
        <v>46</v>
      </c>
      <c r="Z129">
        <v>-15</v>
      </c>
      <c r="AA129">
        <v>24</v>
      </c>
      <c r="AE129" t="s">
        <v>624</v>
      </c>
      <c r="AF129" t="s">
        <v>625</v>
      </c>
      <c r="AK129" t="s">
        <v>300</v>
      </c>
      <c r="AL129" t="s">
        <v>301</v>
      </c>
      <c r="AM129">
        <v>380</v>
      </c>
      <c r="AN129" s="7">
        <v>9.52</v>
      </c>
      <c r="AO129" s="7">
        <v>15.88</v>
      </c>
      <c r="AQ129" t="s">
        <v>49</v>
      </c>
      <c r="AR129" t="s">
        <v>49</v>
      </c>
      <c r="AS129" t="s">
        <v>49</v>
      </c>
      <c r="AT129" t="s">
        <v>49</v>
      </c>
      <c r="AU129" t="s">
        <v>50</v>
      </c>
      <c r="AV129" s="7" t="s">
        <v>3022</v>
      </c>
      <c r="AW129" s="7" t="s">
        <v>3020</v>
      </c>
      <c r="AX129">
        <v>16</v>
      </c>
      <c r="BE129" s="7" t="s">
        <v>3137</v>
      </c>
      <c r="BF129" t="s">
        <v>49</v>
      </c>
      <c r="BI129" t="s">
        <v>260</v>
      </c>
      <c r="BK129">
        <v>1290</v>
      </c>
      <c r="BL129">
        <v>900</v>
      </c>
      <c r="BM129">
        <v>330</v>
      </c>
      <c r="BN129">
        <v>104</v>
      </c>
      <c r="BO129">
        <v>114</v>
      </c>
      <c r="BP129">
        <v>1460</v>
      </c>
      <c r="BQ129">
        <v>1050</v>
      </c>
      <c r="BR129">
        <v>445</v>
      </c>
    </row>
    <row r="130" spans="1:101" x14ac:dyDescent="0.25">
      <c r="A130" t="s">
        <v>626</v>
      </c>
      <c r="B130" t="s">
        <v>37</v>
      </c>
      <c r="C130" t="s">
        <v>526</v>
      </c>
      <c r="D130" t="s">
        <v>627</v>
      </c>
      <c r="E130" t="s">
        <v>2151</v>
      </c>
      <c r="F130" t="s">
        <v>3521</v>
      </c>
      <c r="G130" t="s">
        <v>75</v>
      </c>
      <c r="H130">
        <v>138700</v>
      </c>
      <c r="I130" t="s">
        <v>3522</v>
      </c>
      <c r="J130" t="s">
        <v>628</v>
      </c>
      <c r="K130" t="s">
        <v>230</v>
      </c>
      <c r="L130" t="s">
        <v>44</v>
      </c>
      <c r="M130" s="8" t="s">
        <v>3752</v>
      </c>
      <c r="N130" s="7" t="s">
        <v>2517</v>
      </c>
      <c r="O130" s="7">
        <v>0.97</v>
      </c>
      <c r="P130" s="7">
        <v>0.95</v>
      </c>
      <c r="Q130">
        <v>30</v>
      </c>
      <c r="R130">
        <v>15</v>
      </c>
      <c r="U130">
        <v>2</v>
      </c>
      <c r="X130">
        <v>-10</v>
      </c>
      <c r="Y130">
        <v>46</v>
      </c>
      <c r="Z130">
        <v>-15</v>
      </c>
      <c r="AA130">
        <v>24</v>
      </c>
      <c r="AG130" t="s">
        <v>2955</v>
      </c>
      <c r="AH130" t="s">
        <v>2956</v>
      </c>
      <c r="AN130" s="7" t="s">
        <v>2874</v>
      </c>
      <c r="AO130" s="7" t="s">
        <v>2875</v>
      </c>
      <c r="AQ130" t="s">
        <v>49</v>
      </c>
      <c r="AR130" t="s">
        <v>49</v>
      </c>
      <c r="AS130" t="s">
        <v>49</v>
      </c>
      <c r="AT130" t="s">
        <v>49</v>
      </c>
      <c r="AU130" t="s">
        <v>78</v>
      </c>
      <c r="AV130" s="7" t="s">
        <v>3019</v>
      </c>
      <c r="AW130" s="7" t="s">
        <v>3020</v>
      </c>
      <c r="AX130">
        <v>16</v>
      </c>
      <c r="AY130">
        <v>20</v>
      </c>
      <c r="AZ130">
        <v>10</v>
      </c>
      <c r="BE130" s="7" t="s">
        <v>3138</v>
      </c>
      <c r="BF130" t="s">
        <v>49</v>
      </c>
      <c r="BI130" t="s">
        <v>52</v>
      </c>
      <c r="BK130">
        <v>542</v>
      </c>
      <c r="BL130">
        <v>799</v>
      </c>
      <c r="BM130">
        <v>290</v>
      </c>
      <c r="BN130">
        <v>33</v>
      </c>
      <c r="BO130">
        <v>37</v>
      </c>
      <c r="BP130">
        <v>602</v>
      </c>
      <c r="BQ130">
        <v>940</v>
      </c>
      <c r="BR130">
        <v>375</v>
      </c>
    </row>
    <row r="131" spans="1:101" x14ac:dyDescent="0.25">
      <c r="A131" t="s">
        <v>629</v>
      </c>
      <c r="B131" t="s">
        <v>37</v>
      </c>
      <c r="C131" t="s">
        <v>526</v>
      </c>
      <c r="D131" t="s">
        <v>630</v>
      </c>
      <c r="E131" t="s">
        <v>2151</v>
      </c>
      <c r="F131" t="s">
        <v>3521</v>
      </c>
      <c r="G131" t="s">
        <v>75</v>
      </c>
      <c r="H131">
        <v>181400</v>
      </c>
      <c r="I131" t="s">
        <v>3522</v>
      </c>
      <c r="J131" t="s">
        <v>628</v>
      </c>
      <c r="K131" t="s">
        <v>230</v>
      </c>
      <c r="L131" t="s">
        <v>44</v>
      </c>
      <c r="M131" s="8" t="s">
        <v>3753</v>
      </c>
      <c r="N131" s="7" t="s">
        <v>2518</v>
      </c>
      <c r="O131" s="7">
        <v>1.24</v>
      </c>
      <c r="P131" s="7">
        <v>1.22</v>
      </c>
      <c r="Q131">
        <v>30</v>
      </c>
      <c r="R131">
        <v>15</v>
      </c>
      <c r="U131">
        <v>2</v>
      </c>
      <c r="X131">
        <v>-10</v>
      </c>
      <c r="Y131">
        <v>46</v>
      </c>
      <c r="Z131">
        <v>-15</v>
      </c>
      <c r="AA131">
        <v>24</v>
      </c>
      <c r="AG131" t="s">
        <v>2957</v>
      </c>
      <c r="AH131" t="s">
        <v>2956</v>
      </c>
      <c r="AN131" s="7" t="s">
        <v>2874</v>
      </c>
      <c r="AO131" s="7" t="s">
        <v>2875</v>
      </c>
      <c r="AQ131" t="s">
        <v>49</v>
      </c>
      <c r="AR131" t="s">
        <v>49</v>
      </c>
      <c r="AS131" t="s">
        <v>49</v>
      </c>
      <c r="AT131" t="s">
        <v>49</v>
      </c>
      <c r="AU131" t="s">
        <v>78</v>
      </c>
      <c r="AV131" s="7" t="s">
        <v>3019</v>
      </c>
      <c r="AW131" s="7" t="s">
        <v>3020</v>
      </c>
      <c r="AX131">
        <v>16</v>
      </c>
      <c r="AY131">
        <v>20</v>
      </c>
      <c r="AZ131">
        <v>10</v>
      </c>
      <c r="BE131" s="7" t="s">
        <v>3139</v>
      </c>
      <c r="BF131" t="s">
        <v>49</v>
      </c>
      <c r="BI131" t="s">
        <v>52</v>
      </c>
      <c r="BK131">
        <v>632</v>
      </c>
      <c r="BL131">
        <v>799</v>
      </c>
      <c r="BM131">
        <v>290</v>
      </c>
      <c r="BN131">
        <v>37</v>
      </c>
      <c r="BO131">
        <v>41</v>
      </c>
      <c r="BP131">
        <v>692</v>
      </c>
      <c r="BQ131">
        <v>940</v>
      </c>
      <c r="BR131">
        <v>375</v>
      </c>
    </row>
    <row r="132" spans="1:101" x14ac:dyDescent="0.25">
      <c r="A132" t="s">
        <v>631</v>
      </c>
      <c r="B132" t="s">
        <v>37</v>
      </c>
      <c r="C132" t="s">
        <v>526</v>
      </c>
      <c r="D132" t="s">
        <v>632</v>
      </c>
      <c r="E132" t="s">
        <v>2151</v>
      </c>
      <c r="F132" t="s">
        <v>3521</v>
      </c>
      <c r="G132" t="s">
        <v>75</v>
      </c>
      <c r="H132">
        <v>199200</v>
      </c>
      <c r="I132" t="s">
        <v>3522</v>
      </c>
      <c r="J132" t="s">
        <v>628</v>
      </c>
      <c r="K132" t="s">
        <v>230</v>
      </c>
      <c r="L132" t="s">
        <v>44</v>
      </c>
      <c r="M132" s="8" t="s">
        <v>3754</v>
      </c>
      <c r="N132" s="7" t="s">
        <v>2519</v>
      </c>
      <c r="O132" s="7">
        <v>1.1299999999999999</v>
      </c>
      <c r="P132" s="7">
        <v>1.39</v>
      </c>
      <c r="Q132">
        <v>50</v>
      </c>
      <c r="R132">
        <v>15</v>
      </c>
      <c r="U132">
        <v>3</v>
      </c>
      <c r="X132">
        <v>-10</v>
      </c>
      <c r="Y132">
        <v>46</v>
      </c>
      <c r="Z132">
        <v>-15</v>
      </c>
      <c r="AA132">
        <v>24</v>
      </c>
      <c r="AG132" t="s">
        <v>2957</v>
      </c>
      <c r="AH132" t="s">
        <v>2956</v>
      </c>
      <c r="AN132" s="7" t="s">
        <v>2876</v>
      </c>
      <c r="AO132" s="7" t="s">
        <v>2877</v>
      </c>
      <c r="AQ132" t="s">
        <v>49</v>
      </c>
      <c r="AR132" t="s">
        <v>49</v>
      </c>
      <c r="AS132" t="s">
        <v>49</v>
      </c>
      <c r="AT132" t="s">
        <v>49</v>
      </c>
      <c r="AU132" t="s">
        <v>78</v>
      </c>
      <c r="AV132" s="7" t="s">
        <v>3021</v>
      </c>
      <c r="AW132" s="7" t="s">
        <v>3020</v>
      </c>
      <c r="AX132">
        <v>16</v>
      </c>
      <c r="AY132">
        <v>25</v>
      </c>
      <c r="AZ132">
        <v>10</v>
      </c>
      <c r="BE132" s="7" t="s">
        <v>3140</v>
      </c>
      <c r="BF132" t="s">
        <v>49</v>
      </c>
      <c r="BI132" t="s">
        <v>52</v>
      </c>
      <c r="BK132">
        <v>716</v>
      </c>
      <c r="BL132">
        <v>820</v>
      </c>
      <c r="BM132">
        <v>315</v>
      </c>
      <c r="BN132">
        <v>46</v>
      </c>
      <c r="BO132">
        <v>55</v>
      </c>
      <c r="BP132">
        <v>890</v>
      </c>
      <c r="BQ132">
        <v>1027</v>
      </c>
      <c r="BR132">
        <v>415</v>
      </c>
    </row>
    <row r="133" spans="1:101" x14ac:dyDescent="0.25">
      <c r="A133" t="s">
        <v>633</v>
      </c>
      <c r="B133" t="s">
        <v>37</v>
      </c>
      <c r="C133" t="s">
        <v>526</v>
      </c>
      <c r="D133" t="s">
        <v>634</v>
      </c>
      <c r="E133" t="s">
        <v>2151</v>
      </c>
      <c r="F133" t="s">
        <v>3521</v>
      </c>
      <c r="G133" t="s">
        <v>75</v>
      </c>
      <c r="H133">
        <v>232400</v>
      </c>
      <c r="I133" t="s">
        <v>3522</v>
      </c>
      <c r="J133" t="s">
        <v>628</v>
      </c>
      <c r="K133" t="s">
        <v>230</v>
      </c>
      <c r="L133" t="s">
        <v>44</v>
      </c>
      <c r="M133" s="8" t="s">
        <v>3755</v>
      </c>
      <c r="N133" s="7" t="s">
        <v>2520</v>
      </c>
      <c r="O133" s="7">
        <v>1.74</v>
      </c>
      <c r="P133" s="7">
        <v>1.82</v>
      </c>
      <c r="Q133">
        <v>50</v>
      </c>
      <c r="R133">
        <v>15</v>
      </c>
      <c r="U133">
        <v>3</v>
      </c>
      <c r="X133">
        <v>-10</v>
      </c>
      <c r="Y133">
        <v>46</v>
      </c>
      <c r="Z133">
        <v>-15</v>
      </c>
      <c r="AA133">
        <v>24</v>
      </c>
      <c r="AG133" t="s">
        <v>2933</v>
      </c>
      <c r="AH133" t="s">
        <v>2958</v>
      </c>
      <c r="AN133" s="7" t="s">
        <v>2876</v>
      </c>
      <c r="AO133" s="7" t="s">
        <v>2878</v>
      </c>
      <c r="AQ133" t="s">
        <v>49</v>
      </c>
      <c r="AR133" t="s">
        <v>49</v>
      </c>
      <c r="AS133" t="s">
        <v>49</v>
      </c>
      <c r="AT133" t="s">
        <v>49</v>
      </c>
      <c r="AU133" t="s">
        <v>78</v>
      </c>
      <c r="AV133" s="7" t="s">
        <v>3021</v>
      </c>
      <c r="AW133" s="7" t="s">
        <v>3020</v>
      </c>
      <c r="AX133">
        <v>20</v>
      </c>
      <c r="AY133">
        <v>25</v>
      </c>
      <c r="AZ133">
        <v>10</v>
      </c>
      <c r="BE133" s="7" t="s">
        <v>3141</v>
      </c>
      <c r="BF133" t="s">
        <v>49</v>
      </c>
      <c r="BI133" t="s">
        <v>52</v>
      </c>
      <c r="BK133">
        <v>716</v>
      </c>
      <c r="BL133">
        <v>820</v>
      </c>
      <c r="BM133">
        <v>315</v>
      </c>
      <c r="BN133">
        <v>46</v>
      </c>
      <c r="BO133">
        <v>55</v>
      </c>
      <c r="BP133">
        <v>890</v>
      </c>
      <c r="BQ133">
        <v>1027</v>
      </c>
      <c r="BR133">
        <v>415</v>
      </c>
    </row>
    <row r="134" spans="1:101" x14ac:dyDescent="0.25">
      <c r="A134" t="s">
        <v>635</v>
      </c>
      <c r="B134" t="s">
        <v>37</v>
      </c>
      <c r="C134" t="s">
        <v>526</v>
      </c>
      <c r="D134" t="s">
        <v>636</v>
      </c>
      <c r="E134" t="s">
        <v>2151</v>
      </c>
      <c r="F134" t="s">
        <v>3521</v>
      </c>
      <c r="G134" t="s">
        <v>75</v>
      </c>
      <c r="H134">
        <v>317900</v>
      </c>
      <c r="I134" t="s">
        <v>3522</v>
      </c>
      <c r="J134" t="s">
        <v>628</v>
      </c>
      <c r="K134" t="s">
        <v>230</v>
      </c>
      <c r="L134" t="s">
        <v>44</v>
      </c>
      <c r="M134" s="8" t="s">
        <v>3756</v>
      </c>
      <c r="N134" s="7" t="s">
        <v>2521</v>
      </c>
      <c r="O134" s="7">
        <v>2.0499999999999998</v>
      </c>
      <c r="P134" s="7">
        <v>2.11</v>
      </c>
      <c r="Q134">
        <v>70</v>
      </c>
      <c r="R134">
        <v>15</v>
      </c>
      <c r="U134">
        <v>4</v>
      </c>
      <c r="X134">
        <v>-10</v>
      </c>
      <c r="Y134">
        <v>46</v>
      </c>
      <c r="Z134">
        <v>-15</v>
      </c>
      <c r="AA134">
        <v>24</v>
      </c>
      <c r="AG134" t="s">
        <v>2933</v>
      </c>
      <c r="AH134" t="s">
        <v>2958</v>
      </c>
      <c r="AN134" s="7" t="s">
        <v>2879</v>
      </c>
      <c r="AO134" s="7" t="s">
        <v>2880</v>
      </c>
      <c r="AQ134" t="s">
        <v>49</v>
      </c>
      <c r="AR134" t="s">
        <v>49</v>
      </c>
      <c r="AS134" t="s">
        <v>49</v>
      </c>
      <c r="AT134" t="s">
        <v>49</v>
      </c>
      <c r="AU134" t="s">
        <v>78</v>
      </c>
      <c r="AV134" s="7" t="s">
        <v>3021</v>
      </c>
      <c r="AW134" s="7" t="s">
        <v>3020</v>
      </c>
      <c r="AX134">
        <v>25</v>
      </c>
      <c r="AY134">
        <v>25</v>
      </c>
      <c r="AZ134">
        <v>10</v>
      </c>
      <c r="BE134" s="7" t="s">
        <v>3142</v>
      </c>
      <c r="BF134" t="s">
        <v>49</v>
      </c>
      <c r="BI134" t="s">
        <v>52</v>
      </c>
      <c r="BK134">
        <v>884</v>
      </c>
      <c r="BL134">
        <v>820</v>
      </c>
      <c r="BM134">
        <v>315</v>
      </c>
      <c r="BN134">
        <v>55</v>
      </c>
      <c r="BO134">
        <v>64</v>
      </c>
      <c r="BP134">
        <v>1058</v>
      </c>
      <c r="BQ134">
        <v>1027</v>
      </c>
      <c r="BR134">
        <v>445</v>
      </c>
    </row>
    <row r="135" spans="1:101" x14ac:dyDescent="0.25">
      <c r="A135" t="s">
        <v>637</v>
      </c>
      <c r="B135" t="s">
        <v>37</v>
      </c>
      <c r="C135" t="s">
        <v>526</v>
      </c>
      <c r="D135" t="s">
        <v>638</v>
      </c>
      <c r="E135" t="s">
        <v>2151</v>
      </c>
      <c r="F135" t="s">
        <v>3521</v>
      </c>
      <c r="G135" t="s">
        <v>75</v>
      </c>
      <c r="H135">
        <v>348500</v>
      </c>
      <c r="I135" t="s">
        <v>3522</v>
      </c>
      <c r="J135" t="s">
        <v>628</v>
      </c>
      <c r="K135" t="s">
        <v>230</v>
      </c>
      <c r="L135" t="s">
        <v>44</v>
      </c>
      <c r="M135" s="8" t="s">
        <v>3757</v>
      </c>
      <c r="N135" s="7" t="s">
        <v>2522</v>
      </c>
      <c r="O135" s="7">
        <v>2.5</v>
      </c>
      <c r="P135" s="7">
        <v>2.36</v>
      </c>
      <c r="Q135">
        <v>75</v>
      </c>
      <c r="R135">
        <v>15</v>
      </c>
      <c r="U135">
        <v>5</v>
      </c>
      <c r="X135">
        <v>-10</v>
      </c>
      <c r="Y135">
        <v>24</v>
      </c>
      <c r="Z135">
        <v>-15</v>
      </c>
      <c r="AA135">
        <v>24</v>
      </c>
      <c r="AG135" t="s">
        <v>2933</v>
      </c>
      <c r="AH135" t="s">
        <v>2958</v>
      </c>
      <c r="AN135" s="7" t="s">
        <v>2881</v>
      </c>
      <c r="AO135" s="7" t="s">
        <v>2882</v>
      </c>
      <c r="AQ135" t="s">
        <v>49</v>
      </c>
      <c r="AR135" t="s">
        <v>49</v>
      </c>
      <c r="AS135" t="s">
        <v>49</v>
      </c>
      <c r="AT135" t="s">
        <v>49</v>
      </c>
      <c r="AU135" t="s">
        <v>78</v>
      </c>
      <c r="AV135" s="7" t="s">
        <v>3021</v>
      </c>
      <c r="AW135" s="7" t="s">
        <v>3020</v>
      </c>
      <c r="AX135">
        <v>25</v>
      </c>
      <c r="AY135">
        <v>25</v>
      </c>
      <c r="AZ135">
        <v>10</v>
      </c>
      <c r="BE135" s="7" t="s">
        <v>3143</v>
      </c>
      <c r="BF135" t="s">
        <v>49</v>
      </c>
      <c r="BI135" t="s">
        <v>52</v>
      </c>
      <c r="BK135">
        <v>884</v>
      </c>
      <c r="BL135">
        <v>820</v>
      </c>
      <c r="BM135">
        <v>315</v>
      </c>
      <c r="BN135">
        <v>59</v>
      </c>
      <c r="BO135">
        <v>69</v>
      </c>
      <c r="BP135">
        <v>1058</v>
      </c>
      <c r="BQ135">
        <v>1027</v>
      </c>
      <c r="BR135">
        <v>445</v>
      </c>
    </row>
    <row r="136" spans="1:101" x14ac:dyDescent="0.25">
      <c r="A136" t="s">
        <v>639</v>
      </c>
      <c r="B136" t="s">
        <v>37</v>
      </c>
      <c r="C136" t="s">
        <v>526</v>
      </c>
      <c r="D136" t="s">
        <v>640</v>
      </c>
      <c r="E136" t="s">
        <v>2151</v>
      </c>
      <c r="F136" t="s">
        <v>3523</v>
      </c>
      <c r="G136" t="s">
        <v>41</v>
      </c>
      <c r="H136">
        <v>138700</v>
      </c>
      <c r="I136" t="s">
        <v>3524</v>
      </c>
      <c r="J136" t="s">
        <v>641</v>
      </c>
      <c r="K136" t="s">
        <v>230</v>
      </c>
      <c r="L136" t="s">
        <v>44</v>
      </c>
      <c r="M136" s="8" t="s">
        <v>2288</v>
      </c>
      <c r="N136" s="7" t="s">
        <v>2523</v>
      </c>
      <c r="O136" s="7">
        <v>1.0900000000000001</v>
      </c>
      <c r="P136" s="7">
        <v>1.03</v>
      </c>
      <c r="Q136">
        <v>30</v>
      </c>
      <c r="R136">
        <v>15</v>
      </c>
      <c r="U136">
        <v>2</v>
      </c>
      <c r="X136">
        <v>10</v>
      </c>
      <c r="Y136">
        <v>46</v>
      </c>
      <c r="Z136">
        <v>-15</v>
      </c>
      <c r="AA136">
        <v>24</v>
      </c>
      <c r="AG136" t="s">
        <v>2959</v>
      </c>
      <c r="AH136" t="s">
        <v>2960</v>
      </c>
      <c r="AK136" t="s">
        <v>642</v>
      </c>
      <c r="AL136" t="s">
        <v>301</v>
      </c>
      <c r="AM136">
        <v>220</v>
      </c>
      <c r="AN136" s="7" t="s">
        <v>2883</v>
      </c>
      <c r="AO136" s="7" t="s">
        <v>2884</v>
      </c>
      <c r="AP136" s="7" t="s">
        <v>3015</v>
      </c>
      <c r="AQ136" t="s">
        <v>49</v>
      </c>
      <c r="AR136" t="s">
        <v>49</v>
      </c>
      <c r="AS136" t="s">
        <v>49</v>
      </c>
      <c r="AT136" t="s">
        <v>49</v>
      </c>
      <c r="AU136" t="s">
        <v>643</v>
      </c>
      <c r="AV136" s="7" t="s">
        <v>3021</v>
      </c>
      <c r="AW136" s="7" t="s">
        <v>3020</v>
      </c>
      <c r="AX136">
        <v>16</v>
      </c>
      <c r="AY136">
        <v>20</v>
      </c>
      <c r="AZ136">
        <v>10</v>
      </c>
      <c r="BE136" s="7" t="s">
        <v>3144</v>
      </c>
      <c r="BF136" t="s">
        <v>49</v>
      </c>
      <c r="BG136" t="s">
        <v>51</v>
      </c>
      <c r="BI136" t="s">
        <v>120</v>
      </c>
      <c r="BK136">
        <v>540</v>
      </c>
      <c r="BL136">
        <v>790</v>
      </c>
      <c r="BM136">
        <v>290</v>
      </c>
      <c r="BN136">
        <v>37</v>
      </c>
      <c r="BO136">
        <v>41</v>
      </c>
      <c r="BP136">
        <v>648</v>
      </c>
      <c r="BQ136">
        <v>910</v>
      </c>
      <c r="BR136">
        <v>380</v>
      </c>
    </row>
    <row r="137" spans="1:101" x14ac:dyDescent="0.25">
      <c r="A137" t="s">
        <v>644</v>
      </c>
      <c r="B137" t="s">
        <v>37</v>
      </c>
      <c r="C137" t="s">
        <v>526</v>
      </c>
      <c r="D137" t="s">
        <v>645</v>
      </c>
      <c r="E137" t="s">
        <v>2151</v>
      </c>
      <c r="F137" t="s">
        <v>3523</v>
      </c>
      <c r="G137" t="s">
        <v>41</v>
      </c>
      <c r="H137">
        <v>181400</v>
      </c>
      <c r="I137" t="s">
        <v>3524</v>
      </c>
      <c r="J137" t="s">
        <v>646</v>
      </c>
      <c r="K137" t="s">
        <v>230</v>
      </c>
      <c r="L137" t="s">
        <v>44</v>
      </c>
      <c r="M137" s="8" t="s">
        <v>2289</v>
      </c>
      <c r="N137" s="7" t="s">
        <v>2524</v>
      </c>
      <c r="O137" s="7">
        <v>1.56</v>
      </c>
      <c r="P137" s="7">
        <v>1.41</v>
      </c>
      <c r="Q137">
        <v>30</v>
      </c>
      <c r="R137">
        <v>15</v>
      </c>
      <c r="U137">
        <v>2</v>
      </c>
      <c r="X137">
        <v>10</v>
      </c>
      <c r="Y137">
        <v>46</v>
      </c>
      <c r="Z137">
        <v>-15</v>
      </c>
      <c r="AA137">
        <v>24</v>
      </c>
      <c r="AG137" t="s">
        <v>2961</v>
      </c>
      <c r="AH137" t="s">
        <v>2960</v>
      </c>
      <c r="AK137" t="s">
        <v>647</v>
      </c>
      <c r="AL137" t="s">
        <v>200</v>
      </c>
      <c r="AM137">
        <v>220</v>
      </c>
      <c r="AN137" s="7" t="s">
        <v>2883</v>
      </c>
      <c r="AO137" s="7" t="s">
        <v>2884</v>
      </c>
      <c r="AP137" s="7" t="s">
        <v>3015</v>
      </c>
      <c r="AQ137" t="s">
        <v>49</v>
      </c>
      <c r="AR137" t="s">
        <v>49</v>
      </c>
      <c r="AS137" t="s">
        <v>49</v>
      </c>
      <c r="AT137" t="s">
        <v>49</v>
      </c>
      <c r="AU137" t="s">
        <v>643</v>
      </c>
      <c r="AV137" s="7" t="s">
        <v>3021</v>
      </c>
      <c r="AW137" s="7" t="s">
        <v>3020</v>
      </c>
      <c r="AX137">
        <v>20</v>
      </c>
      <c r="AY137">
        <v>20</v>
      </c>
      <c r="AZ137">
        <v>10</v>
      </c>
      <c r="BE137" s="7" t="s">
        <v>3145</v>
      </c>
      <c r="BF137" t="s">
        <v>49</v>
      </c>
      <c r="BG137" t="s">
        <v>51</v>
      </c>
      <c r="BI137" t="s">
        <v>120</v>
      </c>
      <c r="BK137">
        <v>540</v>
      </c>
      <c r="BL137">
        <v>790</v>
      </c>
      <c r="BM137">
        <v>290</v>
      </c>
      <c r="BN137">
        <v>38</v>
      </c>
      <c r="BO137">
        <v>42</v>
      </c>
      <c r="BP137">
        <v>648</v>
      </c>
      <c r="BQ137">
        <v>910</v>
      </c>
      <c r="BR137">
        <v>380</v>
      </c>
    </row>
    <row r="138" spans="1:101" x14ac:dyDescent="0.25">
      <c r="A138" t="s">
        <v>648</v>
      </c>
      <c r="B138" t="s">
        <v>37</v>
      </c>
      <c r="C138" t="s">
        <v>526</v>
      </c>
      <c r="D138" t="s">
        <v>649</v>
      </c>
      <c r="E138" t="s">
        <v>2151</v>
      </c>
      <c r="F138" t="s">
        <v>3523</v>
      </c>
      <c r="G138" t="s">
        <v>41</v>
      </c>
      <c r="H138">
        <v>199200</v>
      </c>
      <c r="I138" t="s">
        <v>3524</v>
      </c>
      <c r="J138" t="s">
        <v>650</v>
      </c>
      <c r="K138" t="s">
        <v>230</v>
      </c>
      <c r="L138" t="s">
        <v>44</v>
      </c>
      <c r="M138" s="8" t="s">
        <v>2290</v>
      </c>
      <c r="N138" s="7" t="s">
        <v>2525</v>
      </c>
      <c r="O138" s="7">
        <v>1.35</v>
      </c>
      <c r="P138" s="7">
        <v>1.62</v>
      </c>
      <c r="Q138">
        <v>50</v>
      </c>
      <c r="R138">
        <v>15</v>
      </c>
      <c r="U138">
        <v>3</v>
      </c>
      <c r="X138">
        <v>-10</v>
      </c>
      <c r="Y138">
        <v>46</v>
      </c>
      <c r="Z138">
        <v>-15</v>
      </c>
      <c r="AA138">
        <v>24</v>
      </c>
      <c r="AG138" t="s">
        <v>2962</v>
      </c>
      <c r="AH138" t="s">
        <v>2963</v>
      </c>
      <c r="AK138" t="s">
        <v>651</v>
      </c>
      <c r="AL138" t="s">
        <v>301</v>
      </c>
      <c r="AM138">
        <v>220</v>
      </c>
      <c r="AN138" s="7" t="s">
        <v>2885</v>
      </c>
      <c r="AO138" s="7" t="s">
        <v>2886</v>
      </c>
      <c r="AP138" s="7" t="s">
        <v>3015</v>
      </c>
      <c r="AQ138" t="s">
        <v>49</v>
      </c>
      <c r="AR138" t="s">
        <v>49</v>
      </c>
      <c r="AS138" t="s">
        <v>49</v>
      </c>
      <c r="AT138" t="s">
        <v>49</v>
      </c>
      <c r="AU138" t="s">
        <v>643</v>
      </c>
      <c r="AV138" s="7" t="s">
        <v>3021</v>
      </c>
      <c r="AW138" s="7" t="s">
        <v>3020</v>
      </c>
      <c r="AX138">
        <v>25</v>
      </c>
      <c r="AY138">
        <v>25</v>
      </c>
      <c r="AZ138">
        <v>10</v>
      </c>
      <c r="BE138" s="7" t="s">
        <v>3146</v>
      </c>
      <c r="BF138" t="s">
        <v>49</v>
      </c>
      <c r="BG138" t="s">
        <v>51</v>
      </c>
      <c r="BI138" t="s">
        <v>120</v>
      </c>
      <c r="BK138">
        <v>700</v>
      </c>
      <c r="BL138">
        <v>900</v>
      </c>
      <c r="BM138">
        <v>330</v>
      </c>
      <c r="BN138">
        <v>55</v>
      </c>
      <c r="BO138">
        <v>63</v>
      </c>
      <c r="BP138">
        <v>865</v>
      </c>
      <c r="BQ138">
        <v>1050</v>
      </c>
      <c r="BR138">
        <v>445</v>
      </c>
    </row>
    <row r="139" spans="1:101" x14ac:dyDescent="0.25">
      <c r="A139" t="s">
        <v>652</v>
      </c>
      <c r="B139" t="s">
        <v>37</v>
      </c>
      <c r="C139" t="s">
        <v>526</v>
      </c>
      <c r="D139" t="s">
        <v>653</v>
      </c>
      <c r="E139" t="s">
        <v>2151</v>
      </c>
      <c r="F139" t="s">
        <v>3523</v>
      </c>
      <c r="G139" t="s">
        <v>41</v>
      </c>
      <c r="H139">
        <v>232400</v>
      </c>
      <c r="I139" t="s">
        <v>3524</v>
      </c>
      <c r="J139" t="s">
        <v>654</v>
      </c>
      <c r="K139" t="s">
        <v>230</v>
      </c>
      <c r="L139" t="s">
        <v>44</v>
      </c>
      <c r="M139" s="8" t="s">
        <v>2291</v>
      </c>
      <c r="N139" s="7" t="s">
        <v>2526</v>
      </c>
      <c r="O139" s="7">
        <v>1.94</v>
      </c>
      <c r="P139" s="7">
        <v>2</v>
      </c>
      <c r="Q139">
        <v>50</v>
      </c>
      <c r="R139">
        <v>15</v>
      </c>
      <c r="U139">
        <v>3</v>
      </c>
      <c r="X139">
        <v>-10</v>
      </c>
      <c r="Y139">
        <v>46</v>
      </c>
      <c r="Z139">
        <v>-15</v>
      </c>
      <c r="AA139">
        <v>24</v>
      </c>
      <c r="AG139" t="s">
        <v>2964</v>
      </c>
      <c r="AH139" t="s">
        <v>2965</v>
      </c>
      <c r="AK139" t="s">
        <v>655</v>
      </c>
      <c r="AL139" t="s">
        <v>301</v>
      </c>
      <c r="AM139">
        <v>220</v>
      </c>
      <c r="AN139" s="7" t="s">
        <v>2885</v>
      </c>
      <c r="AO139" s="7" t="s">
        <v>2887</v>
      </c>
      <c r="AP139" s="7" t="s">
        <v>3015</v>
      </c>
      <c r="AQ139" t="s">
        <v>49</v>
      </c>
      <c r="AR139" t="s">
        <v>49</v>
      </c>
      <c r="AS139" t="s">
        <v>49</v>
      </c>
      <c r="AT139" t="s">
        <v>49</v>
      </c>
      <c r="AU139" t="s">
        <v>643</v>
      </c>
      <c r="AV139" s="7" t="s">
        <v>191</v>
      </c>
      <c r="AW139" s="7" t="s">
        <v>3020</v>
      </c>
      <c r="AX139">
        <v>25</v>
      </c>
      <c r="AY139">
        <v>25</v>
      </c>
      <c r="AZ139">
        <v>10</v>
      </c>
      <c r="BE139" s="7" t="s">
        <v>3147</v>
      </c>
      <c r="BF139" t="s">
        <v>49</v>
      </c>
      <c r="BG139" t="s">
        <v>51</v>
      </c>
      <c r="BI139" t="s">
        <v>120</v>
      </c>
      <c r="BK139">
        <v>700</v>
      </c>
      <c r="BL139">
        <v>900</v>
      </c>
      <c r="BM139">
        <v>330</v>
      </c>
      <c r="BN139">
        <v>55</v>
      </c>
      <c r="BO139">
        <v>63</v>
      </c>
      <c r="BP139">
        <v>865</v>
      </c>
      <c r="BQ139">
        <v>1050</v>
      </c>
      <c r="BR139">
        <v>445</v>
      </c>
    </row>
    <row r="140" spans="1:101" x14ac:dyDescent="0.25">
      <c r="A140" t="s">
        <v>656</v>
      </c>
      <c r="B140" t="s">
        <v>37</v>
      </c>
      <c r="C140" t="s">
        <v>526</v>
      </c>
      <c r="D140" t="s">
        <v>657</v>
      </c>
      <c r="E140" t="s">
        <v>2151</v>
      </c>
      <c r="F140" t="s">
        <v>3523</v>
      </c>
      <c r="G140" t="s">
        <v>41</v>
      </c>
      <c r="H140">
        <v>317900</v>
      </c>
      <c r="I140" t="s">
        <v>3524</v>
      </c>
      <c r="J140" t="s">
        <v>658</v>
      </c>
      <c r="K140" t="s">
        <v>230</v>
      </c>
      <c r="L140" t="s">
        <v>44</v>
      </c>
      <c r="M140" s="8" t="s">
        <v>2292</v>
      </c>
      <c r="N140" s="7" t="s">
        <v>2527</v>
      </c>
      <c r="O140" s="7">
        <v>2.2200000000000002</v>
      </c>
      <c r="P140" s="7">
        <v>2.4</v>
      </c>
      <c r="Q140">
        <v>70</v>
      </c>
      <c r="R140">
        <v>15</v>
      </c>
      <c r="U140">
        <v>4</v>
      </c>
      <c r="X140">
        <v>-10</v>
      </c>
      <c r="Y140">
        <v>46</v>
      </c>
      <c r="Z140">
        <v>-10</v>
      </c>
      <c r="AA140">
        <v>24</v>
      </c>
      <c r="AG140" t="s">
        <v>2966</v>
      </c>
      <c r="AH140" t="s">
        <v>659</v>
      </c>
      <c r="AK140" t="s">
        <v>660</v>
      </c>
      <c r="AL140" t="s">
        <v>661</v>
      </c>
      <c r="AM140">
        <v>220</v>
      </c>
      <c r="AN140" s="7" t="s">
        <v>2888</v>
      </c>
      <c r="AO140" s="7" t="s">
        <v>2889</v>
      </c>
      <c r="AP140" s="7" t="s">
        <v>3016</v>
      </c>
      <c r="AQ140" t="s">
        <v>49</v>
      </c>
      <c r="AR140" t="s">
        <v>49</v>
      </c>
      <c r="AS140" t="s">
        <v>49</v>
      </c>
      <c r="AT140" t="s">
        <v>49</v>
      </c>
      <c r="AU140" t="s">
        <v>643</v>
      </c>
      <c r="AV140" s="7" t="s">
        <v>191</v>
      </c>
      <c r="AW140" s="7" t="s">
        <v>3020</v>
      </c>
      <c r="AX140">
        <v>25</v>
      </c>
      <c r="AY140">
        <v>25</v>
      </c>
      <c r="AZ140">
        <v>10</v>
      </c>
      <c r="BE140" s="7" t="s">
        <v>3148</v>
      </c>
      <c r="BF140" t="s">
        <v>49</v>
      </c>
      <c r="BG140" t="s">
        <v>51</v>
      </c>
      <c r="BI140" t="s">
        <v>120</v>
      </c>
      <c r="BK140">
        <v>830</v>
      </c>
      <c r="BL140">
        <v>900</v>
      </c>
      <c r="BM140">
        <v>330</v>
      </c>
      <c r="BN140">
        <v>68</v>
      </c>
      <c r="BO140">
        <v>76</v>
      </c>
      <c r="BP140">
        <v>1000</v>
      </c>
      <c r="BQ140">
        <v>1050</v>
      </c>
      <c r="BR140">
        <v>445</v>
      </c>
    </row>
    <row r="141" spans="1:101" x14ac:dyDescent="0.25">
      <c r="A141" t="s">
        <v>662</v>
      </c>
      <c r="B141" t="s">
        <v>37</v>
      </c>
      <c r="C141" t="s">
        <v>526</v>
      </c>
      <c r="D141" t="s">
        <v>663</v>
      </c>
      <c r="E141" t="s">
        <v>2151</v>
      </c>
      <c r="F141" t="s">
        <v>3523</v>
      </c>
      <c r="G141" t="s">
        <v>41</v>
      </c>
      <c r="H141">
        <v>348500</v>
      </c>
      <c r="I141" t="s">
        <v>3524</v>
      </c>
      <c r="J141" t="s">
        <v>664</v>
      </c>
      <c r="K141" t="s">
        <v>230</v>
      </c>
      <c r="L141" t="s">
        <v>44</v>
      </c>
      <c r="M141" s="8" t="s">
        <v>2293</v>
      </c>
      <c r="N141" s="7" t="s">
        <v>2528</v>
      </c>
      <c r="O141" s="7">
        <v>2.44</v>
      </c>
      <c r="P141" s="7">
        <v>2.79</v>
      </c>
      <c r="Q141">
        <v>80</v>
      </c>
      <c r="R141">
        <v>15</v>
      </c>
      <c r="U141">
        <v>5</v>
      </c>
      <c r="X141">
        <v>-10</v>
      </c>
      <c r="Y141">
        <v>46</v>
      </c>
      <c r="Z141">
        <v>-15</v>
      </c>
      <c r="AA141">
        <v>24</v>
      </c>
      <c r="AG141" t="s">
        <v>665</v>
      </c>
      <c r="AH141" t="s">
        <v>2967</v>
      </c>
      <c r="AK141" t="s">
        <v>666</v>
      </c>
      <c r="AL141" t="s">
        <v>200</v>
      </c>
      <c r="AM141">
        <v>220</v>
      </c>
      <c r="AN141" s="7" t="s">
        <v>2890</v>
      </c>
      <c r="AO141" s="7" t="s">
        <v>2891</v>
      </c>
      <c r="AP141" s="7" t="s">
        <v>3015</v>
      </c>
      <c r="AQ141" t="s">
        <v>49</v>
      </c>
      <c r="AR141" t="s">
        <v>49</v>
      </c>
      <c r="AS141" t="s">
        <v>49</v>
      </c>
      <c r="AT141" t="s">
        <v>49</v>
      </c>
      <c r="AU141" t="s">
        <v>643</v>
      </c>
      <c r="AV141" s="7" t="s">
        <v>191</v>
      </c>
      <c r="AW141" s="7" t="s">
        <v>3020</v>
      </c>
      <c r="AX141">
        <v>25</v>
      </c>
      <c r="AY141">
        <v>25</v>
      </c>
      <c r="AZ141">
        <v>10</v>
      </c>
      <c r="BE141" s="7" t="s">
        <v>3149</v>
      </c>
      <c r="BF141" t="s">
        <v>49</v>
      </c>
      <c r="BG141" t="s">
        <v>51</v>
      </c>
      <c r="BI141" t="s">
        <v>120</v>
      </c>
      <c r="BK141">
        <v>998</v>
      </c>
      <c r="BL141">
        <v>970</v>
      </c>
      <c r="BM141">
        <v>370</v>
      </c>
      <c r="BN141">
        <v>94</v>
      </c>
      <c r="BO141">
        <v>104</v>
      </c>
      <c r="BP141">
        <v>1162</v>
      </c>
      <c r="BQ141">
        <v>1150</v>
      </c>
      <c r="BR141">
        <v>478</v>
      </c>
    </row>
    <row r="142" spans="1:101" x14ac:dyDescent="0.25">
      <c r="A142" t="s">
        <v>667</v>
      </c>
      <c r="B142" t="s">
        <v>37</v>
      </c>
      <c r="C142" t="s">
        <v>526</v>
      </c>
      <c r="D142" t="s">
        <v>668</v>
      </c>
      <c r="E142" t="s">
        <v>2151</v>
      </c>
      <c r="F142" t="s">
        <v>3523</v>
      </c>
      <c r="G142" t="s">
        <v>75</v>
      </c>
      <c r="H142">
        <v>385700</v>
      </c>
      <c r="I142" t="s">
        <v>3524</v>
      </c>
      <c r="J142" t="s">
        <v>669</v>
      </c>
      <c r="K142" t="s">
        <v>230</v>
      </c>
      <c r="L142" t="s">
        <v>44</v>
      </c>
      <c r="M142" s="8" t="s">
        <v>3751</v>
      </c>
      <c r="N142" s="7" t="s">
        <v>2529</v>
      </c>
      <c r="O142" s="7">
        <v>3.57</v>
      </c>
      <c r="P142" s="7">
        <v>3.37</v>
      </c>
      <c r="Q142">
        <v>80</v>
      </c>
      <c r="R142">
        <v>15</v>
      </c>
      <c r="U142">
        <v>6</v>
      </c>
      <c r="X142">
        <v>-10</v>
      </c>
      <c r="Y142">
        <v>46</v>
      </c>
      <c r="Z142">
        <v>-15</v>
      </c>
      <c r="AA142">
        <v>24</v>
      </c>
      <c r="AE142" t="s">
        <v>3525</v>
      </c>
      <c r="AF142" t="s">
        <v>670</v>
      </c>
      <c r="AK142" t="s">
        <v>671</v>
      </c>
      <c r="AL142" t="s">
        <v>200</v>
      </c>
      <c r="AM142">
        <v>230</v>
      </c>
      <c r="AN142" s="7" t="s">
        <v>2892</v>
      </c>
      <c r="AO142" s="7" t="s">
        <v>2893</v>
      </c>
      <c r="AP142" s="7" t="s">
        <v>3015</v>
      </c>
      <c r="AQ142" t="s">
        <v>49</v>
      </c>
      <c r="AR142" t="s">
        <v>49</v>
      </c>
      <c r="AS142" t="s">
        <v>49</v>
      </c>
      <c r="AT142" t="s">
        <v>49</v>
      </c>
      <c r="AU142" t="s">
        <v>643</v>
      </c>
      <c r="AV142" s="7" t="s">
        <v>191</v>
      </c>
      <c r="AW142" s="7" t="s">
        <v>3020</v>
      </c>
      <c r="AX142">
        <v>25</v>
      </c>
      <c r="AY142">
        <v>25</v>
      </c>
      <c r="AZ142">
        <v>10</v>
      </c>
      <c r="BE142" s="7" t="s">
        <v>3150</v>
      </c>
      <c r="BF142" t="s">
        <v>49</v>
      </c>
      <c r="BI142" t="s">
        <v>52</v>
      </c>
      <c r="BK142">
        <v>998</v>
      </c>
      <c r="BL142">
        <v>970</v>
      </c>
      <c r="BM142">
        <v>370</v>
      </c>
      <c r="BN142">
        <v>94</v>
      </c>
      <c r="BO142">
        <v>105</v>
      </c>
      <c r="BP142">
        <v>1162</v>
      </c>
      <c r="BQ142">
        <v>1150</v>
      </c>
      <c r="BR142">
        <v>478</v>
      </c>
    </row>
    <row r="143" spans="1:101" x14ac:dyDescent="0.25">
      <c r="A143" t="s">
        <v>672</v>
      </c>
      <c r="B143" t="s">
        <v>37</v>
      </c>
      <c r="C143" t="s">
        <v>526</v>
      </c>
      <c r="D143" t="s">
        <v>673</v>
      </c>
      <c r="E143" t="s">
        <v>2151</v>
      </c>
      <c r="F143" t="s">
        <v>674</v>
      </c>
      <c r="G143" t="s">
        <v>75</v>
      </c>
      <c r="H143">
        <v>391000</v>
      </c>
      <c r="I143" t="s">
        <v>3526</v>
      </c>
      <c r="J143" t="s">
        <v>675</v>
      </c>
      <c r="K143" t="s">
        <v>230</v>
      </c>
      <c r="L143" t="s">
        <v>44</v>
      </c>
      <c r="M143" s="7">
        <v>14</v>
      </c>
      <c r="N143" s="7">
        <v>16</v>
      </c>
      <c r="O143" s="7">
        <v>5.2</v>
      </c>
      <c r="P143" s="7">
        <v>5.16</v>
      </c>
      <c r="Q143">
        <v>115</v>
      </c>
      <c r="R143">
        <v>30</v>
      </c>
      <c r="U143">
        <v>8</v>
      </c>
      <c r="X143">
        <v>-5</v>
      </c>
      <c r="Y143">
        <v>46</v>
      </c>
      <c r="Z143">
        <v>-15</v>
      </c>
      <c r="AA143">
        <v>24</v>
      </c>
      <c r="AE143" t="s">
        <v>3527</v>
      </c>
      <c r="AF143" t="s">
        <v>3528</v>
      </c>
      <c r="AK143" t="s">
        <v>676</v>
      </c>
      <c r="AL143" t="s">
        <v>677</v>
      </c>
      <c r="AM143">
        <v>220</v>
      </c>
      <c r="AN143" s="7">
        <v>9.52</v>
      </c>
      <c r="AO143" s="7">
        <v>15.88</v>
      </c>
      <c r="AP143" s="7" t="s">
        <v>3015</v>
      </c>
      <c r="AQ143" t="s">
        <v>49</v>
      </c>
      <c r="AR143" t="s">
        <v>49</v>
      </c>
      <c r="AS143" t="s">
        <v>49</v>
      </c>
      <c r="AT143" t="s">
        <v>49</v>
      </c>
      <c r="AU143" t="s">
        <v>643</v>
      </c>
      <c r="AV143" s="7" t="s">
        <v>308</v>
      </c>
      <c r="AW143" s="7" t="s">
        <v>3020</v>
      </c>
      <c r="AX143">
        <v>32</v>
      </c>
      <c r="AY143">
        <v>15</v>
      </c>
      <c r="AZ143">
        <v>15</v>
      </c>
      <c r="BE143" s="7" t="s">
        <v>3151</v>
      </c>
      <c r="BF143" t="s">
        <v>49</v>
      </c>
      <c r="BI143" t="s">
        <v>120</v>
      </c>
      <c r="BK143">
        <v>914</v>
      </c>
      <c r="BL143">
        <v>970</v>
      </c>
      <c r="BM143">
        <v>370</v>
      </c>
      <c r="BN143">
        <v>98</v>
      </c>
      <c r="BO143">
        <v>106</v>
      </c>
      <c r="BP143">
        <v>1048</v>
      </c>
      <c r="BQ143">
        <v>1064</v>
      </c>
      <c r="BR143">
        <v>479</v>
      </c>
    </row>
    <row r="144" spans="1:101" x14ac:dyDescent="0.25">
      <c r="A144" t="s">
        <v>679</v>
      </c>
      <c r="B144" t="s">
        <v>678</v>
      </c>
      <c r="C144" t="s">
        <v>38</v>
      </c>
      <c r="D144" t="s">
        <v>680</v>
      </c>
      <c r="E144" t="s">
        <v>2147</v>
      </c>
      <c r="F144" t="s">
        <v>681</v>
      </c>
      <c r="G144" t="s">
        <v>75</v>
      </c>
      <c r="H144">
        <v>39800</v>
      </c>
      <c r="I144" t="s">
        <v>3529</v>
      </c>
      <c r="J144" t="s">
        <v>682</v>
      </c>
      <c r="K144" t="s">
        <v>683</v>
      </c>
      <c r="L144" t="s">
        <v>44</v>
      </c>
      <c r="M144" s="7" t="s">
        <v>2294</v>
      </c>
      <c r="N144" s="7" t="s">
        <v>2530</v>
      </c>
      <c r="O144" s="7" t="s">
        <v>2531</v>
      </c>
      <c r="P144" s="7" t="s">
        <v>2532</v>
      </c>
      <c r="Q144">
        <v>25</v>
      </c>
      <c r="R144">
        <v>10</v>
      </c>
      <c r="U144">
        <v>1</v>
      </c>
      <c r="Y144">
        <v>50</v>
      </c>
      <c r="Z144">
        <v>-15</v>
      </c>
      <c r="AA144">
        <v>30</v>
      </c>
      <c r="AD144">
        <v>12</v>
      </c>
      <c r="AE144" t="s">
        <v>3504</v>
      </c>
      <c r="AF144" t="s">
        <v>3505</v>
      </c>
      <c r="AL144" t="s">
        <v>684</v>
      </c>
      <c r="AN144" s="7">
        <v>6.35</v>
      </c>
      <c r="AO144" s="7">
        <v>9.52</v>
      </c>
      <c r="AP144" s="7">
        <v>16</v>
      </c>
      <c r="AQ144" t="s">
        <v>49</v>
      </c>
      <c r="AR144" t="s">
        <v>49</v>
      </c>
      <c r="AS144" t="s">
        <v>49</v>
      </c>
      <c r="AT144" t="s">
        <v>49</v>
      </c>
      <c r="AU144" t="s">
        <v>50</v>
      </c>
      <c r="AV144" s="7" t="s">
        <v>3019</v>
      </c>
      <c r="AW144" s="7" t="s">
        <v>3020</v>
      </c>
      <c r="AX144">
        <v>16</v>
      </c>
      <c r="BE144" s="7" t="s">
        <v>3152</v>
      </c>
      <c r="BF144" t="s">
        <v>49</v>
      </c>
      <c r="BH144">
        <v>21</v>
      </c>
      <c r="BI144" t="s">
        <v>120</v>
      </c>
      <c r="BS144" t="s">
        <v>3530</v>
      </c>
      <c r="CH144">
        <v>434</v>
      </c>
      <c r="CI144">
        <v>505</v>
      </c>
      <c r="CJ144">
        <v>681</v>
      </c>
      <c r="CK144">
        <v>795</v>
      </c>
      <c r="CL144">
        <v>285</v>
      </c>
      <c r="CM144">
        <v>345</v>
      </c>
      <c r="CN144" s="2">
        <v>20.9</v>
      </c>
      <c r="CO144">
        <v>22.9</v>
      </c>
      <c r="CP144" s="2">
        <v>285</v>
      </c>
      <c r="CQ144">
        <v>365</v>
      </c>
      <c r="CR144">
        <v>715</v>
      </c>
      <c r="CS144">
        <v>780</v>
      </c>
      <c r="CT144">
        <v>194</v>
      </c>
      <c r="CU144">
        <v>270</v>
      </c>
      <c r="CV144" s="7">
        <v>7.7</v>
      </c>
      <c r="CW144" s="7">
        <v>9.8000000000000007</v>
      </c>
    </row>
    <row r="145" spans="1:101" x14ac:dyDescent="0.25">
      <c r="A145" t="s">
        <v>685</v>
      </c>
      <c r="B145" t="s">
        <v>678</v>
      </c>
      <c r="C145" t="s">
        <v>38</v>
      </c>
      <c r="D145" t="s">
        <v>686</v>
      </c>
      <c r="E145" t="s">
        <v>2147</v>
      </c>
      <c r="F145" t="s">
        <v>681</v>
      </c>
      <c r="G145" t="s">
        <v>75</v>
      </c>
      <c r="H145">
        <v>39800</v>
      </c>
      <c r="I145" t="s">
        <v>3531</v>
      </c>
      <c r="J145" t="s">
        <v>687</v>
      </c>
      <c r="K145" t="s">
        <v>688</v>
      </c>
      <c r="L145" t="s">
        <v>44</v>
      </c>
      <c r="M145" s="7" t="s">
        <v>2295</v>
      </c>
      <c r="N145" s="7" t="s">
        <v>2533</v>
      </c>
      <c r="O145" s="7" t="s">
        <v>2534</v>
      </c>
      <c r="P145" s="7" t="s">
        <v>2535</v>
      </c>
      <c r="Q145">
        <v>25</v>
      </c>
      <c r="R145">
        <v>10</v>
      </c>
      <c r="U145">
        <v>1</v>
      </c>
      <c r="Y145">
        <v>50</v>
      </c>
      <c r="Z145">
        <v>-15</v>
      </c>
      <c r="AA145">
        <v>24</v>
      </c>
      <c r="AD145">
        <v>10</v>
      </c>
      <c r="AE145" t="s">
        <v>3504</v>
      </c>
      <c r="AF145" t="s">
        <v>3505</v>
      </c>
      <c r="AL145" t="s">
        <v>684</v>
      </c>
      <c r="AN145" s="7">
        <v>6.35</v>
      </c>
      <c r="AO145" s="7">
        <v>9.52</v>
      </c>
      <c r="AP145" s="7">
        <v>16</v>
      </c>
      <c r="AQ145" t="s">
        <v>49</v>
      </c>
      <c r="AR145" t="s">
        <v>49</v>
      </c>
      <c r="AS145" t="s">
        <v>49</v>
      </c>
      <c r="AT145" t="s">
        <v>49</v>
      </c>
      <c r="AU145" t="s">
        <v>50</v>
      </c>
      <c r="AV145" s="7" t="s">
        <v>3019</v>
      </c>
      <c r="AW145" s="7" t="s">
        <v>3020</v>
      </c>
      <c r="AX145">
        <v>16</v>
      </c>
      <c r="BE145" s="7" t="s">
        <v>3153</v>
      </c>
      <c r="BF145" t="s">
        <v>49</v>
      </c>
      <c r="BH145">
        <v>21</v>
      </c>
      <c r="BI145" t="s">
        <v>120</v>
      </c>
      <c r="BS145" t="s">
        <v>3532</v>
      </c>
      <c r="CH145">
        <v>495</v>
      </c>
      <c r="CI145">
        <v>540</v>
      </c>
      <c r="CJ145">
        <v>720</v>
      </c>
      <c r="CK145">
        <v>835</v>
      </c>
      <c r="CL145">
        <v>270</v>
      </c>
      <c r="CM145">
        <v>300</v>
      </c>
      <c r="CN145" s="2">
        <v>22.8</v>
      </c>
      <c r="CO145">
        <v>24.8</v>
      </c>
      <c r="CP145" s="2">
        <v>285</v>
      </c>
      <c r="CQ145">
        <v>365</v>
      </c>
      <c r="CR145">
        <v>715</v>
      </c>
      <c r="CS145">
        <v>780</v>
      </c>
      <c r="CT145">
        <v>194</v>
      </c>
      <c r="CU145">
        <v>270</v>
      </c>
      <c r="CV145" s="7">
        <v>7.5</v>
      </c>
      <c r="CW145" s="7">
        <v>9.5</v>
      </c>
    </row>
    <row r="146" spans="1:101" x14ac:dyDescent="0.25">
      <c r="A146" t="s">
        <v>689</v>
      </c>
      <c r="B146" t="s">
        <v>678</v>
      </c>
      <c r="C146" t="s">
        <v>38</v>
      </c>
      <c r="D146" t="s">
        <v>690</v>
      </c>
      <c r="E146" t="s">
        <v>2147</v>
      </c>
      <c r="F146" t="s">
        <v>681</v>
      </c>
      <c r="G146" t="s">
        <v>75</v>
      </c>
      <c r="H146">
        <v>41100</v>
      </c>
      <c r="I146" t="s">
        <v>3533</v>
      </c>
      <c r="J146" t="s">
        <v>682</v>
      </c>
      <c r="K146" t="s">
        <v>683</v>
      </c>
      <c r="L146" t="s">
        <v>44</v>
      </c>
      <c r="M146" s="7" t="s">
        <v>2296</v>
      </c>
      <c r="N146" s="7" t="s">
        <v>2536</v>
      </c>
      <c r="O146" s="7" t="s">
        <v>2531</v>
      </c>
      <c r="P146" s="7" t="s">
        <v>2532</v>
      </c>
      <c r="Q146">
        <v>25</v>
      </c>
      <c r="R146">
        <v>10</v>
      </c>
      <c r="U146">
        <v>1</v>
      </c>
      <c r="Y146">
        <v>50</v>
      </c>
      <c r="Z146">
        <v>-15</v>
      </c>
      <c r="AA146">
        <v>30</v>
      </c>
      <c r="AD146">
        <v>12</v>
      </c>
      <c r="AE146" t="s">
        <v>3504</v>
      </c>
      <c r="AF146" t="s">
        <v>3505</v>
      </c>
      <c r="AL146" t="s">
        <v>684</v>
      </c>
      <c r="AN146" s="7">
        <v>6.35</v>
      </c>
      <c r="AO146" s="7">
        <v>9.52</v>
      </c>
      <c r="AP146" s="7">
        <v>16</v>
      </c>
      <c r="AQ146" t="s">
        <v>49</v>
      </c>
      <c r="AR146" t="s">
        <v>49</v>
      </c>
      <c r="AS146" t="s">
        <v>49</v>
      </c>
      <c r="AT146" t="s">
        <v>49</v>
      </c>
      <c r="AU146" t="s">
        <v>50</v>
      </c>
      <c r="AV146" s="7" t="s">
        <v>3019</v>
      </c>
      <c r="AW146" s="7" t="s">
        <v>3020</v>
      </c>
      <c r="AX146">
        <v>16</v>
      </c>
      <c r="BE146" s="7" t="s">
        <v>3152</v>
      </c>
      <c r="BF146" t="s">
        <v>49</v>
      </c>
      <c r="BH146">
        <v>26</v>
      </c>
      <c r="BI146" t="s">
        <v>120</v>
      </c>
      <c r="BS146" t="s">
        <v>3530</v>
      </c>
      <c r="CH146">
        <v>434</v>
      </c>
      <c r="CI146">
        <v>505</v>
      </c>
      <c r="CJ146">
        <v>681</v>
      </c>
      <c r="CK146">
        <v>795</v>
      </c>
      <c r="CL146">
        <v>285</v>
      </c>
      <c r="CM146">
        <v>345</v>
      </c>
      <c r="CN146" s="2">
        <v>20.9</v>
      </c>
      <c r="CO146">
        <v>22.9</v>
      </c>
      <c r="CP146" s="2">
        <v>285</v>
      </c>
      <c r="CQ146">
        <v>365</v>
      </c>
      <c r="CR146">
        <v>715</v>
      </c>
      <c r="CS146">
        <v>780</v>
      </c>
      <c r="CT146">
        <v>194</v>
      </c>
      <c r="CU146">
        <v>270</v>
      </c>
      <c r="CV146" s="7">
        <v>7.7</v>
      </c>
      <c r="CW146" s="7">
        <v>9.8000000000000007</v>
      </c>
    </row>
    <row r="147" spans="1:101" x14ac:dyDescent="0.25">
      <c r="A147" t="s">
        <v>691</v>
      </c>
      <c r="B147" t="s">
        <v>678</v>
      </c>
      <c r="C147" t="s">
        <v>38</v>
      </c>
      <c r="D147" t="s">
        <v>692</v>
      </c>
      <c r="E147" t="s">
        <v>2147</v>
      </c>
      <c r="F147" t="s">
        <v>681</v>
      </c>
      <c r="G147" t="s">
        <v>75</v>
      </c>
      <c r="H147">
        <v>41100</v>
      </c>
      <c r="I147" t="s">
        <v>3531</v>
      </c>
      <c r="J147" t="s">
        <v>693</v>
      </c>
      <c r="K147" t="s">
        <v>694</v>
      </c>
      <c r="L147" t="s">
        <v>44</v>
      </c>
      <c r="M147" s="7" t="s">
        <v>2296</v>
      </c>
      <c r="N147" s="7" t="s">
        <v>2537</v>
      </c>
      <c r="O147" s="7" t="s">
        <v>2531</v>
      </c>
      <c r="P147" s="7" t="s">
        <v>2538</v>
      </c>
      <c r="Q147">
        <v>25</v>
      </c>
      <c r="R147">
        <v>10</v>
      </c>
      <c r="U147">
        <v>1</v>
      </c>
      <c r="Y147">
        <v>50</v>
      </c>
      <c r="Z147">
        <v>-15</v>
      </c>
      <c r="AA147">
        <v>24</v>
      </c>
      <c r="AD147">
        <v>12</v>
      </c>
      <c r="AE147" t="s">
        <v>3504</v>
      </c>
      <c r="AF147" t="s">
        <v>3505</v>
      </c>
      <c r="AL147" t="s">
        <v>684</v>
      </c>
      <c r="AN147" s="7">
        <v>6.35</v>
      </c>
      <c r="AO147" s="7">
        <v>9.52</v>
      </c>
      <c r="AP147" s="7">
        <v>16</v>
      </c>
      <c r="AQ147" t="s">
        <v>49</v>
      </c>
      <c r="AR147" t="s">
        <v>49</v>
      </c>
      <c r="AS147" t="s">
        <v>49</v>
      </c>
      <c r="AT147" t="s">
        <v>49</v>
      </c>
      <c r="AU147" t="s">
        <v>50</v>
      </c>
      <c r="AV147" s="7" t="s">
        <v>3019</v>
      </c>
      <c r="AW147" s="7" t="s">
        <v>3020</v>
      </c>
      <c r="AX147">
        <v>16</v>
      </c>
      <c r="BE147" s="7" t="s">
        <v>3154</v>
      </c>
      <c r="BF147" t="s">
        <v>49</v>
      </c>
      <c r="BH147">
        <v>26</v>
      </c>
      <c r="BI147" t="s">
        <v>120</v>
      </c>
      <c r="BS147" t="s">
        <v>3532</v>
      </c>
      <c r="CH147">
        <v>495</v>
      </c>
      <c r="CI147">
        <v>540</v>
      </c>
      <c r="CJ147">
        <v>720</v>
      </c>
      <c r="CK147">
        <v>835</v>
      </c>
      <c r="CL147">
        <v>270</v>
      </c>
      <c r="CM147">
        <v>300</v>
      </c>
      <c r="CN147" s="2">
        <v>22.8</v>
      </c>
      <c r="CO147">
        <v>24.8</v>
      </c>
      <c r="CP147" s="2">
        <v>285</v>
      </c>
      <c r="CQ147">
        <v>365</v>
      </c>
      <c r="CR147">
        <v>715</v>
      </c>
      <c r="CS147">
        <v>780</v>
      </c>
      <c r="CT147">
        <v>194</v>
      </c>
      <c r="CU147">
        <v>270</v>
      </c>
      <c r="CV147" s="7">
        <v>7.5</v>
      </c>
      <c r="CW147" s="7">
        <v>9.5</v>
      </c>
    </row>
    <row r="148" spans="1:101" x14ac:dyDescent="0.25">
      <c r="A148" t="s">
        <v>695</v>
      </c>
      <c r="B148" t="s">
        <v>678</v>
      </c>
      <c r="C148" t="s">
        <v>38</v>
      </c>
      <c r="D148" t="s">
        <v>696</v>
      </c>
      <c r="E148" t="s">
        <v>2147</v>
      </c>
      <c r="F148" t="s">
        <v>681</v>
      </c>
      <c r="G148" t="s">
        <v>41</v>
      </c>
      <c r="H148">
        <v>47300</v>
      </c>
      <c r="I148" t="s">
        <v>3534</v>
      </c>
      <c r="J148" t="s">
        <v>682</v>
      </c>
      <c r="K148" t="s">
        <v>683</v>
      </c>
      <c r="L148" t="s">
        <v>44</v>
      </c>
      <c r="M148" s="7" t="s">
        <v>2297</v>
      </c>
      <c r="N148" s="7" t="s">
        <v>2539</v>
      </c>
      <c r="O148" s="7" t="s">
        <v>2540</v>
      </c>
      <c r="P148" s="7" t="s">
        <v>2541</v>
      </c>
      <c r="Q148">
        <v>25</v>
      </c>
      <c r="R148">
        <v>10</v>
      </c>
      <c r="U148">
        <v>1</v>
      </c>
      <c r="Y148">
        <v>50</v>
      </c>
      <c r="Z148">
        <v>-15</v>
      </c>
      <c r="AA148">
        <v>30</v>
      </c>
      <c r="AD148">
        <v>15</v>
      </c>
      <c r="AE148" t="s">
        <v>3504</v>
      </c>
      <c r="AF148" t="s">
        <v>3505</v>
      </c>
      <c r="AL148" t="s">
        <v>684</v>
      </c>
      <c r="AN148" s="7">
        <v>6.35</v>
      </c>
      <c r="AO148" s="7">
        <v>9.52</v>
      </c>
      <c r="AP148" s="7">
        <v>16</v>
      </c>
      <c r="AQ148" t="s">
        <v>49</v>
      </c>
      <c r="AR148" t="s">
        <v>49</v>
      </c>
      <c r="AS148" t="s">
        <v>49</v>
      </c>
      <c r="AT148" t="s">
        <v>49</v>
      </c>
      <c r="AU148" t="s">
        <v>50</v>
      </c>
      <c r="AV148" s="7" t="s">
        <v>3019</v>
      </c>
      <c r="AW148" s="7" t="s">
        <v>3020</v>
      </c>
      <c r="AX148">
        <v>16</v>
      </c>
      <c r="BE148" s="7" t="s">
        <v>3155</v>
      </c>
      <c r="BF148" t="s">
        <v>49</v>
      </c>
      <c r="BH148">
        <v>32</v>
      </c>
      <c r="BI148" t="s">
        <v>120</v>
      </c>
      <c r="BS148" t="s">
        <v>3535</v>
      </c>
      <c r="CH148">
        <v>550</v>
      </c>
      <c r="CI148">
        <v>615</v>
      </c>
      <c r="CJ148">
        <v>700</v>
      </c>
      <c r="CK148">
        <v>815</v>
      </c>
      <c r="CL148">
        <v>275</v>
      </c>
      <c r="CM148">
        <v>325</v>
      </c>
      <c r="CN148" s="2">
        <v>22.7</v>
      </c>
      <c r="CO148">
        <v>25.1</v>
      </c>
      <c r="CP148" s="2">
        <v>285</v>
      </c>
      <c r="CQ148">
        <v>360</v>
      </c>
      <c r="CR148">
        <v>715</v>
      </c>
      <c r="CS148">
        <v>780</v>
      </c>
      <c r="CT148">
        <v>194</v>
      </c>
      <c r="CU148">
        <v>270</v>
      </c>
      <c r="CV148" s="7">
        <v>7.7</v>
      </c>
      <c r="CW148" s="7">
        <v>9.8000000000000007</v>
      </c>
    </row>
    <row r="149" spans="1:101" x14ac:dyDescent="0.25">
      <c r="A149" t="s">
        <v>697</v>
      </c>
      <c r="B149" t="s">
        <v>678</v>
      </c>
      <c r="C149" t="s">
        <v>38</v>
      </c>
      <c r="D149" t="s">
        <v>698</v>
      </c>
      <c r="E149" t="s">
        <v>2147</v>
      </c>
      <c r="F149" t="s">
        <v>681</v>
      </c>
      <c r="G149" t="s">
        <v>75</v>
      </c>
      <c r="H149">
        <v>47300</v>
      </c>
      <c r="I149" t="s">
        <v>3536</v>
      </c>
      <c r="J149" t="s">
        <v>682</v>
      </c>
      <c r="K149" t="s">
        <v>683</v>
      </c>
      <c r="L149" t="s">
        <v>44</v>
      </c>
      <c r="M149" s="7" t="s">
        <v>2298</v>
      </c>
      <c r="N149" s="7" t="s">
        <v>2542</v>
      </c>
      <c r="O149" s="7" t="s">
        <v>2543</v>
      </c>
      <c r="P149" s="7" t="s">
        <v>2544</v>
      </c>
      <c r="Q149">
        <v>25</v>
      </c>
      <c r="R149">
        <v>10</v>
      </c>
      <c r="U149">
        <v>1</v>
      </c>
      <c r="Y149">
        <v>50</v>
      </c>
      <c r="Z149">
        <v>-15</v>
      </c>
      <c r="AA149">
        <v>30</v>
      </c>
      <c r="AD149">
        <v>15</v>
      </c>
      <c r="AE149" t="s">
        <v>3504</v>
      </c>
      <c r="AF149" t="s">
        <v>3505</v>
      </c>
      <c r="AL149" t="s">
        <v>684</v>
      </c>
      <c r="AN149" s="7">
        <v>6.35</v>
      </c>
      <c r="AO149" s="7">
        <v>9.52</v>
      </c>
      <c r="AP149" s="7">
        <v>16</v>
      </c>
      <c r="AQ149" t="s">
        <v>49</v>
      </c>
      <c r="AR149" t="s">
        <v>49</v>
      </c>
      <c r="AS149" t="s">
        <v>49</v>
      </c>
      <c r="AT149" t="s">
        <v>49</v>
      </c>
      <c r="AU149" t="s">
        <v>50</v>
      </c>
      <c r="AV149" s="7" t="s">
        <v>3019</v>
      </c>
      <c r="AW149" s="7" t="s">
        <v>3020</v>
      </c>
      <c r="AX149">
        <v>16</v>
      </c>
      <c r="BE149" s="7" t="s">
        <v>3156</v>
      </c>
      <c r="BF149" t="s">
        <v>49</v>
      </c>
      <c r="BH149">
        <v>34</v>
      </c>
      <c r="BI149" t="s">
        <v>120</v>
      </c>
      <c r="BS149" t="s">
        <v>3537</v>
      </c>
      <c r="CH149">
        <v>495</v>
      </c>
      <c r="CI149">
        <v>540</v>
      </c>
      <c r="CJ149">
        <v>720</v>
      </c>
      <c r="CK149">
        <v>835</v>
      </c>
      <c r="CL149">
        <v>270</v>
      </c>
      <c r="CM149">
        <v>300</v>
      </c>
      <c r="CN149" s="2">
        <v>23.5</v>
      </c>
      <c r="CO149">
        <v>25.3</v>
      </c>
      <c r="CP149" s="2">
        <v>285</v>
      </c>
      <c r="CQ149">
        <v>365</v>
      </c>
      <c r="CR149">
        <v>715</v>
      </c>
      <c r="CS149">
        <v>780</v>
      </c>
      <c r="CT149">
        <v>194</v>
      </c>
      <c r="CU149">
        <v>270</v>
      </c>
      <c r="CV149" s="7">
        <v>7.7</v>
      </c>
      <c r="CW149" s="7">
        <v>9.8000000000000007</v>
      </c>
    </row>
    <row r="150" spans="1:101" x14ac:dyDescent="0.25">
      <c r="A150" t="s">
        <v>699</v>
      </c>
      <c r="B150" t="s">
        <v>678</v>
      </c>
      <c r="C150" t="s">
        <v>38</v>
      </c>
      <c r="D150" t="s">
        <v>700</v>
      </c>
      <c r="E150" t="s">
        <v>2147</v>
      </c>
      <c r="F150" t="s">
        <v>701</v>
      </c>
      <c r="G150" t="s">
        <v>75</v>
      </c>
      <c r="H150">
        <v>26400</v>
      </c>
      <c r="I150" t="s">
        <v>3538</v>
      </c>
      <c r="J150" t="s">
        <v>702</v>
      </c>
      <c r="K150" t="s">
        <v>703</v>
      </c>
      <c r="L150" t="s">
        <v>49</v>
      </c>
      <c r="M150" s="7">
        <v>2.2000000000000002</v>
      </c>
      <c r="N150" s="7">
        <v>2.34</v>
      </c>
      <c r="O150" s="7">
        <v>0.68500000000000005</v>
      </c>
      <c r="P150" s="7">
        <v>0.64900000000000002</v>
      </c>
      <c r="Q150">
        <v>20</v>
      </c>
      <c r="R150">
        <v>8</v>
      </c>
      <c r="U150">
        <v>1</v>
      </c>
      <c r="X150">
        <v>18</v>
      </c>
      <c r="Y150">
        <v>43</v>
      </c>
      <c r="Z150">
        <v>-7</v>
      </c>
      <c r="AA150">
        <v>24</v>
      </c>
      <c r="AD150">
        <v>10</v>
      </c>
      <c r="AE150" t="s">
        <v>3504</v>
      </c>
      <c r="AF150" t="s">
        <v>3505</v>
      </c>
      <c r="AL150" t="s">
        <v>684</v>
      </c>
      <c r="AN150" s="7">
        <v>6.35</v>
      </c>
      <c r="AO150" s="7">
        <v>9.52</v>
      </c>
      <c r="AP150" s="7">
        <v>17</v>
      </c>
      <c r="AQ150" t="s">
        <v>49</v>
      </c>
      <c r="AR150" t="s">
        <v>49</v>
      </c>
      <c r="AS150" t="s">
        <v>49</v>
      </c>
      <c r="AT150" t="s">
        <v>49</v>
      </c>
      <c r="AU150" t="s">
        <v>50</v>
      </c>
      <c r="AV150" s="7" t="s">
        <v>3019</v>
      </c>
      <c r="AW150" s="7" t="s">
        <v>3023</v>
      </c>
      <c r="AX150">
        <v>16</v>
      </c>
      <c r="BE150" s="7" t="s">
        <v>3157</v>
      </c>
      <c r="BF150" t="s">
        <v>49</v>
      </c>
      <c r="BH150">
        <v>22</v>
      </c>
      <c r="BI150" t="s">
        <v>120</v>
      </c>
      <c r="BS150" t="s">
        <v>3539</v>
      </c>
      <c r="CH150">
        <v>550</v>
      </c>
      <c r="CI150">
        <v>625</v>
      </c>
      <c r="CJ150">
        <v>700</v>
      </c>
      <c r="CK150">
        <v>815</v>
      </c>
      <c r="CL150">
        <v>275</v>
      </c>
      <c r="CM150">
        <v>325</v>
      </c>
      <c r="CN150" s="2">
        <v>23.9</v>
      </c>
      <c r="CO150">
        <v>26.2</v>
      </c>
      <c r="CP150" s="2">
        <v>290</v>
      </c>
      <c r="CQ150">
        <v>375</v>
      </c>
      <c r="CR150">
        <v>722</v>
      </c>
      <c r="CS150">
        <v>790</v>
      </c>
      <c r="CT150">
        <v>187</v>
      </c>
      <c r="CU150">
        <v>270</v>
      </c>
      <c r="CV150" s="7">
        <v>8.3000000000000007</v>
      </c>
      <c r="CW150" s="7">
        <v>10.6</v>
      </c>
    </row>
    <row r="151" spans="1:101" x14ac:dyDescent="0.25">
      <c r="A151" t="s">
        <v>704</v>
      </c>
      <c r="B151" t="s">
        <v>678</v>
      </c>
      <c r="C151" t="s">
        <v>38</v>
      </c>
      <c r="D151" t="s">
        <v>705</v>
      </c>
      <c r="E151" t="s">
        <v>2147</v>
      </c>
      <c r="F151" t="s">
        <v>701</v>
      </c>
      <c r="G151" t="s">
        <v>75</v>
      </c>
      <c r="H151">
        <v>26400</v>
      </c>
      <c r="I151" t="s">
        <v>3540</v>
      </c>
      <c r="J151" t="s">
        <v>706</v>
      </c>
      <c r="K151" t="s">
        <v>707</v>
      </c>
      <c r="L151" t="s">
        <v>49</v>
      </c>
      <c r="M151" s="7">
        <v>2.2799999999999998</v>
      </c>
      <c r="N151" s="7">
        <v>2.2799999999999998</v>
      </c>
      <c r="O151" s="7">
        <v>0.69299999999999995</v>
      </c>
      <c r="P151" s="7">
        <v>0.61699999999999999</v>
      </c>
      <c r="Q151">
        <v>20</v>
      </c>
      <c r="R151">
        <v>8</v>
      </c>
      <c r="U151">
        <v>1</v>
      </c>
      <c r="X151">
        <v>18</v>
      </c>
      <c r="Y151">
        <v>43</v>
      </c>
      <c r="Z151">
        <v>-7</v>
      </c>
      <c r="AA151">
        <v>24</v>
      </c>
      <c r="AE151" t="s">
        <v>3504</v>
      </c>
      <c r="AF151" t="s">
        <v>3505</v>
      </c>
      <c r="AL151" t="s">
        <v>684</v>
      </c>
      <c r="AN151" s="7">
        <v>6.35</v>
      </c>
      <c r="AO151" s="7">
        <v>9.52</v>
      </c>
      <c r="AP151" s="7">
        <v>17</v>
      </c>
      <c r="AQ151" t="s">
        <v>49</v>
      </c>
      <c r="AR151" t="s">
        <v>49</v>
      </c>
      <c r="AS151" t="s">
        <v>49</v>
      </c>
      <c r="AT151" t="s">
        <v>49</v>
      </c>
      <c r="AU151" t="s">
        <v>50</v>
      </c>
      <c r="AV151" s="7" t="s">
        <v>3019</v>
      </c>
      <c r="AW151" s="7" t="s">
        <v>3024</v>
      </c>
      <c r="AX151">
        <v>16</v>
      </c>
      <c r="BE151" s="7" t="s">
        <v>3158</v>
      </c>
      <c r="BF151" t="s">
        <v>49</v>
      </c>
      <c r="BH151">
        <v>23</v>
      </c>
      <c r="BI151" t="s">
        <v>120</v>
      </c>
      <c r="BS151" t="s">
        <v>3541</v>
      </c>
      <c r="CH151">
        <v>495</v>
      </c>
      <c r="CI151">
        <v>540</v>
      </c>
      <c r="CJ151">
        <v>720</v>
      </c>
      <c r="CK151">
        <v>835</v>
      </c>
      <c r="CL151">
        <v>270</v>
      </c>
      <c r="CM151">
        <v>300</v>
      </c>
      <c r="CN151" s="2">
        <v>24.6</v>
      </c>
      <c r="CO151">
        <v>26.5</v>
      </c>
      <c r="CP151" s="2">
        <v>290</v>
      </c>
      <c r="CQ151">
        <v>375</v>
      </c>
      <c r="CR151">
        <v>722</v>
      </c>
      <c r="CS151">
        <v>790</v>
      </c>
      <c r="CT151">
        <v>187</v>
      </c>
      <c r="CU151">
        <v>270</v>
      </c>
      <c r="CV151" s="7">
        <v>8.1</v>
      </c>
      <c r="CW151" s="7">
        <v>10.4</v>
      </c>
    </row>
    <row r="152" spans="1:101" x14ac:dyDescent="0.25">
      <c r="A152" t="s">
        <v>708</v>
      </c>
      <c r="B152" t="s">
        <v>678</v>
      </c>
      <c r="C152" t="s">
        <v>38</v>
      </c>
      <c r="D152" t="s">
        <v>709</v>
      </c>
      <c r="E152" t="s">
        <v>2147</v>
      </c>
      <c r="F152" t="s">
        <v>701</v>
      </c>
      <c r="G152" t="s">
        <v>75</v>
      </c>
      <c r="H152">
        <v>30300</v>
      </c>
      <c r="I152" t="s">
        <v>3542</v>
      </c>
      <c r="J152" t="s">
        <v>710</v>
      </c>
      <c r="K152" t="s">
        <v>711</v>
      </c>
      <c r="L152" t="s">
        <v>49</v>
      </c>
      <c r="M152" s="7">
        <v>2.64</v>
      </c>
      <c r="N152" s="7">
        <v>2.81</v>
      </c>
      <c r="O152" s="7">
        <v>0.82099999999999995</v>
      </c>
      <c r="P152" s="7">
        <v>0.77100000000000002</v>
      </c>
      <c r="Q152">
        <v>20</v>
      </c>
      <c r="R152">
        <v>8</v>
      </c>
      <c r="U152">
        <v>1</v>
      </c>
      <c r="X152">
        <v>18</v>
      </c>
      <c r="Y152">
        <v>43</v>
      </c>
      <c r="Z152">
        <v>-7</v>
      </c>
      <c r="AA152">
        <v>24</v>
      </c>
      <c r="AE152" t="s">
        <v>3504</v>
      </c>
      <c r="AF152" t="s">
        <v>3505</v>
      </c>
      <c r="AL152" t="s">
        <v>684</v>
      </c>
      <c r="AN152" s="7">
        <v>6.35</v>
      </c>
      <c r="AO152" s="7">
        <v>9.52</v>
      </c>
      <c r="AP152" s="7">
        <v>17</v>
      </c>
      <c r="AQ152" t="s">
        <v>49</v>
      </c>
      <c r="AR152" t="s">
        <v>49</v>
      </c>
      <c r="AS152" t="s">
        <v>49</v>
      </c>
      <c r="AT152" t="s">
        <v>49</v>
      </c>
      <c r="AU152" t="s">
        <v>50</v>
      </c>
      <c r="AV152" s="7" t="s">
        <v>3019</v>
      </c>
      <c r="AW152" s="7" t="s">
        <v>3025</v>
      </c>
      <c r="AX152">
        <v>16</v>
      </c>
      <c r="BE152" s="7" t="s">
        <v>3159</v>
      </c>
      <c r="BF152" t="s">
        <v>49</v>
      </c>
      <c r="BH152">
        <v>26</v>
      </c>
      <c r="BI152" t="s">
        <v>120</v>
      </c>
      <c r="BS152" t="s">
        <v>3543</v>
      </c>
      <c r="CH152">
        <v>495</v>
      </c>
      <c r="CI152">
        <v>540</v>
      </c>
      <c r="CJ152">
        <v>720</v>
      </c>
      <c r="CK152">
        <v>835</v>
      </c>
      <c r="CL152">
        <v>270</v>
      </c>
      <c r="CM152">
        <v>300</v>
      </c>
      <c r="CN152" s="2">
        <v>24.9</v>
      </c>
      <c r="CO152">
        <v>26.6</v>
      </c>
      <c r="CP152" s="2">
        <v>290</v>
      </c>
      <c r="CQ152">
        <v>375</v>
      </c>
      <c r="CR152">
        <v>722</v>
      </c>
      <c r="CS152">
        <v>790</v>
      </c>
      <c r="CT152">
        <v>187</v>
      </c>
      <c r="CU152">
        <v>270</v>
      </c>
      <c r="CV152" s="7">
        <v>8.1999999999999993</v>
      </c>
      <c r="CW152" s="7">
        <v>10.199999999999999</v>
      </c>
    </row>
    <row r="153" spans="1:101" x14ac:dyDescent="0.25">
      <c r="A153" t="s">
        <v>712</v>
      </c>
      <c r="B153" t="s">
        <v>678</v>
      </c>
      <c r="C153" t="s">
        <v>38</v>
      </c>
      <c r="D153" t="s">
        <v>713</v>
      </c>
      <c r="E153" t="s">
        <v>2147</v>
      </c>
      <c r="F153" t="s">
        <v>701</v>
      </c>
      <c r="G153" t="s">
        <v>75</v>
      </c>
      <c r="H153">
        <v>37100</v>
      </c>
      <c r="I153" t="s">
        <v>3544</v>
      </c>
      <c r="J153" t="s">
        <v>702</v>
      </c>
      <c r="K153" t="s">
        <v>714</v>
      </c>
      <c r="L153" t="s">
        <v>49</v>
      </c>
      <c r="M153" s="7">
        <v>3.52</v>
      </c>
      <c r="N153" s="7">
        <v>3.81</v>
      </c>
      <c r="O153" s="7">
        <v>1.0960000000000001</v>
      </c>
      <c r="P153" s="7">
        <v>1.0549999999999999</v>
      </c>
      <c r="Q153">
        <v>20</v>
      </c>
      <c r="R153">
        <v>8</v>
      </c>
      <c r="U153">
        <v>1</v>
      </c>
      <c r="X153">
        <v>18</v>
      </c>
      <c r="Y153">
        <v>43</v>
      </c>
      <c r="Z153">
        <v>-7</v>
      </c>
      <c r="AA153">
        <v>24</v>
      </c>
      <c r="AC153" t="s">
        <v>715</v>
      </c>
      <c r="AD153">
        <v>16</v>
      </c>
      <c r="AE153" t="s">
        <v>3504</v>
      </c>
      <c r="AF153" t="s">
        <v>3505</v>
      </c>
      <c r="AI153" t="s">
        <v>716</v>
      </c>
      <c r="AJ153">
        <v>220</v>
      </c>
      <c r="AK153" t="s">
        <v>717</v>
      </c>
      <c r="AL153" t="s">
        <v>684</v>
      </c>
      <c r="AM153">
        <v>220</v>
      </c>
      <c r="AN153" s="7">
        <v>6.35</v>
      </c>
      <c r="AO153" s="7">
        <v>12.7</v>
      </c>
      <c r="AP153" s="7">
        <v>17</v>
      </c>
      <c r="AQ153" t="s">
        <v>44</v>
      </c>
      <c r="AR153" t="s">
        <v>49</v>
      </c>
      <c r="AS153" t="s">
        <v>49</v>
      </c>
      <c r="AT153" t="s">
        <v>49</v>
      </c>
      <c r="AU153" t="s">
        <v>50</v>
      </c>
      <c r="AV153" s="7" t="s">
        <v>3019</v>
      </c>
      <c r="AW153" s="7" t="s">
        <v>3025</v>
      </c>
      <c r="AX153">
        <v>16</v>
      </c>
      <c r="BE153" s="7" t="s">
        <v>3160</v>
      </c>
      <c r="BF153" t="s">
        <v>49</v>
      </c>
      <c r="BH153">
        <v>35</v>
      </c>
      <c r="BI153" t="s">
        <v>120</v>
      </c>
      <c r="BS153" t="s">
        <v>3545</v>
      </c>
      <c r="CH153">
        <v>555</v>
      </c>
      <c r="CI153">
        <v>595</v>
      </c>
      <c r="CJ153">
        <v>770</v>
      </c>
      <c r="CK153">
        <v>900</v>
      </c>
      <c r="CL153">
        <v>300</v>
      </c>
      <c r="CM153">
        <v>345</v>
      </c>
      <c r="CN153" s="2">
        <v>31.2</v>
      </c>
      <c r="CO153">
        <v>33.5</v>
      </c>
      <c r="CP153" s="2">
        <v>297</v>
      </c>
      <c r="CQ153">
        <v>380</v>
      </c>
      <c r="CR153">
        <v>802</v>
      </c>
      <c r="CS153">
        <v>875</v>
      </c>
      <c r="CT153">
        <v>189</v>
      </c>
      <c r="CU153">
        <v>285</v>
      </c>
      <c r="CV153" s="7">
        <v>8.8000000000000007</v>
      </c>
      <c r="CW153" s="7">
        <v>11</v>
      </c>
    </row>
    <row r="154" spans="1:101" x14ac:dyDescent="0.25">
      <c r="A154" t="s">
        <v>718</v>
      </c>
      <c r="B154" t="s">
        <v>678</v>
      </c>
      <c r="C154" t="s">
        <v>38</v>
      </c>
      <c r="D154" t="s">
        <v>719</v>
      </c>
      <c r="E154" t="s">
        <v>2147</v>
      </c>
      <c r="F154" t="s">
        <v>701</v>
      </c>
      <c r="G154" t="s">
        <v>75</v>
      </c>
      <c r="H154">
        <v>55900</v>
      </c>
      <c r="I154" t="s">
        <v>3546</v>
      </c>
      <c r="J154" t="s">
        <v>702</v>
      </c>
      <c r="K154" t="s">
        <v>720</v>
      </c>
      <c r="L154" t="s">
        <v>49</v>
      </c>
      <c r="M154" s="7">
        <v>5.28</v>
      </c>
      <c r="N154" s="7">
        <v>5.42</v>
      </c>
      <c r="O154" s="7">
        <v>1.6439999999999999</v>
      </c>
      <c r="P154" s="7">
        <v>1.502</v>
      </c>
      <c r="Q154">
        <v>25</v>
      </c>
      <c r="R154">
        <v>10</v>
      </c>
      <c r="U154">
        <v>1</v>
      </c>
      <c r="X154">
        <v>18</v>
      </c>
      <c r="Y154">
        <v>43</v>
      </c>
      <c r="Z154">
        <v>-7</v>
      </c>
      <c r="AA154">
        <v>24</v>
      </c>
      <c r="AC154" t="s">
        <v>721</v>
      </c>
      <c r="AD154">
        <v>24</v>
      </c>
      <c r="AE154" t="s">
        <v>3504</v>
      </c>
      <c r="AF154" t="s">
        <v>3505</v>
      </c>
      <c r="AI154" t="s">
        <v>722</v>
      </c>
      <c r="AJ154">
        <v>220</v>
      </c>
      <c r="AK154" t="s">
        <v>723</v>
      </c>
      <c r="AL154" t="s">
        <v>684</v>
      </c>
      <c r="AM154">
        <v>220</v>
      </c>
      <c r="AN154" s="7">
        <v>6.35</v>
      </c>
      <c r="AO154" s="7">
        <v>12.7</v>
      </c>
      <c r="AP154" s="7">
        <v>17</v>
      </c>
      <c r="AQ154" t="s">
        <v>44</v>
      </c>
      <c r="AR154" t="s">
        <v>49</v>
      </c>
      <c r="AS154" t="s">
        <v>49</v>
      </c>
      <c r="AT154" t="s">
        <v>49</v>
      </c>
      <c r="AU154" t="s">
        <v>50</v>
      </c>
      <c r="AV154" s="7" t="s">
        <v>3019</v>
      </c>
      <c r="AW154" s="7" t="s">
        <v>3025</v>
      </c>
      <c r="AX154">
        <v>16</v>
      </c>
      <c r="BE154" s="7" t="s">
        <v>3161</v>
      </c>
      <c r="BF154" t="s">
        <v>49</v>
      </c>
      <c r="BH154">
        <v>53</v>
      </c>
      <c r="BI154" t="s">
        <v>120</v>
      </c>
      <c r="BS154" t="s">
        <v>3547</v>
      </c>
      <c r="CH154">
        <v>555</v>
      </c>
      <c r="CI154">
        <v>625</v>
      </c>
      <c r="CJ154">
        <v>770</v>
      </c>
      <c r="CK154">
        <v>900</v>
      </c>
      <c r="CL154">
        <v>300</v>
      </c>
      <c r="CM154">
        <v>348</v>
      </c>
      <c r="CN154" s="2">
        <v>37.700000000000003</v>
      </c>
      <c r="CO154">
        <v>40</v>
      </c>
      <c r="CP154" s="2">
        <v>319</v>
      </c>
      <c r="CQ154">
        <v>410</v>
      </c>
      <c r="CR154">
        <v>965</v>
      </c>
      <c r="CS154">
        <v>1045</v>
      </c>
      <c r="CT154">
        <v>215</v>
      </c>
      <c r="CU154">
        <v>305</v>
      </c>
      <c r="CV154" s="7">
        <v>11.6</v>
      </c>
      <c r="CW154" s="7">
        <v>14.8</v>
      </c>
    </row>
    <row r="155" spans="1:101" x14ac:dyDescent="0.25">
      <c r="A155" t="s">
        <v>724</v>
      </c>
      <c r="B155" t="s">
        <v>678</v>
      </c>
      <c r="C155" t="s">
        <v>38</v>
      </c>
      <c r="D155" t="s">
        <v>725</v>
      </c>
      <c r="E155" t="s">
        <v>2147</v>
      </c>
      <c r="F155" t="s">
        <v>701</v>
      </c>
      <c r="G155" t="s">
        <v>75</v>
      </c>
      <c r="H155">
        <v>73500</v>
      </c>
      <c r="I155" t="s">
        <v>3548</v>
      </c>
      <c r="J155" t="s">
        <v>702</v>
      </c>
      <c r="K155" t="s">
        <v>726</v>
      </c>
      <c r="L155" t="s">
        <v>49</v>
      </c>
      <c r="M155" s="7">
        <v>7.03</v>
      </c>
      <c r="N155" s="7">
        <v>7.62</v>
      </c>
      <c r="O155" s="7">
        <v>2.5030000000000001</v>
      </c>
      <c r="P155" s="7">
        <v>2.3740000000000001</v>
      </c>
      <c r="Q155">
        <v>25</v>
      </c>
      <c r="R155">
        <v>10</v>
      </c>
      <c r="U155">
        <v>1</v>
      </c>
      <c r="X155">
        <v>18</v>
      </c>
      <c r="Y155">
        <v>43</v>
      </c>
      <c r="Z155">
        <v>-7</v>
      </c>
      <c r="AA155">
        <v>24</v>
      </c>
      <c r="AC155" t="s">
        <v>727</v>
      </c>
      <c r="AD155">
        <v>32</v>
      </c>
      <c r="AE155" t="s">
        <v>3479</v>
      </c>
      <c r="AF155" t="s">
        <v>3549</v>
      </c>
      <c r="AI155" t="s">
        <v>728</v>
      </c>
      <c r="AJ155">
        <v>220</v>
      </c>
      <c r="AK155" t="s">
        <v>729</v>
      </c>
      <c r="AL155" t="s">
        <v>684</v>
      </c>
      <c r="AM155">
        <v>22</v>
      </c>
      <c r="AN155" s="7">
        <v>9.52</v>
      </c>
      <c r="AO155" s="7">
        <v>15.9</v>
      </c>
      <c r="AP155" s="7">
        <v>17</v>
      </c>
      <c r="AQ155" t="s">
        <v>44</v>
      </c>
      <c r="AR155" t="s">
        <v>49</v>
      </c>
      <c r="AS155" t="s">
        <v>49</v>
      </c>
      <c r="AT155" t="s">
        <v>49</v>
      </c>
      <c r="AU155" t="s">
        <v>50</v>
      </c>
      <c r="AV155" s="7" t="s">
        <v>3021</v>
      </c>
      <c r="AW155" s="7" t="s">
        <v>3026</v>
      </c>
      <c r="AX155">
        <v>20</v>
      </c>
      <c r="BE155" s="7" t="s">
        <v>3162</v>
      </c>
      <c r="BF155" t="s">
        <v>49</v>
      </c>
      <c r="BH155">
        <v>70</v>
      </c>
      <c r="BI155" t="s">
        <v>120</v>
      </c>
      <c r="BS155" t="s">
        <v>730</v>
      </c>
      <c r="CH155">
        <v>702</v>
      </c>
      <c r="CI155">
        <v>775</v>
      </c>
      <c r="CJ155">
        <v>845</v>
      </c>
      <c r="CK155">
        <v>965</v>
      </c>
      <c r="CL155">
        <v>363</v>
      </c>
      <c r="CM155">
        <v>395</v>
      </c>
      <c r="CN155" s="2">
        <v>50.6</v>
      </c>
      <c r="CO155">
        <v>53.8</v>
      </c>
      <c r="CP155" s="2">
        <v>335</v>
      </c>
      <c r="CQ155">
        <v>415</v>
      </c>
      <c r="CR155">
        <v>1080</v>
      </c>
      <c r="CS155">
        <v>1155</v>
      </c>
      <c r="CT155">
        <v>226</v>
      </c>
      <c r="CU155">
        <v>320</v>
      </c>
      <c r="CV155" s="7">
        <v>14</v>
      </c>
      <c r="CW155" s="7">
        <v>17.5</v>
      </c>
    </row>
    <row r="156" spans="1:101" x14ac:dyDescent="0.25">
      <c r="A156" t="s">
        <v>731</v>
      </c>
      <c r="B156" t="s">
        <v>678</v>
      </c>
      <c r="C156" t="s">
        <v>38</v>
      </c>
      <c r="D156" t="s">
        <v>732</v>
      </c>
      <c r="E156" t="s">
        <v>2147</v>
      </c>
      <c r="F156" t="s">
        <v>701</v>
      </c>
      <c r="G156" t="s">
        <v>41</v>
      </c>
      <c r="H156">
        <v>103700</v>
      </c>
      <c r="I156" t="s">
        <v>3548</v>
      </c>
      <c r="J156" t="s">
        <v>702</v>
      </c>
      <c r="K156" t="s">
        <v>733</v>
      </c>
      <c r="L156" t="s">
        <v>49</v>
      </c>
      <c r="M156" s="7">
        <v>8.2100000000000009</v>
      </c>
      <c r="N156" s="7">
        <v>8.5</v>
      </c>
      <c r="O156" s="7">
        <v>2.556</v>
      </c>
      <c r="P156" s="7">
        <v>2.3540000000000001</v>
      </c>
      <c r="Q156">
        <v>25</v>
      </c>
      <c r="R156">
        <v>10</v>
      </c>
      <c r="U156">
        <v>1</v>
      </c>
      <c r="X156">
        <v>18</v>
      </c>
      <c r="Y156">
        <v>54</v>
      </c>
      <c r="Z156">
        <v>-7</v>
      </c>
      <c r="AA156">
        <v>24</v>
      </c>
      <c r="AC156" t="s">
        <v>734</v>
      </c>
      <c r="AD156">
        <v>36</v>
      </c>
      <c r="AE156" t="s">
        <v>3504</v>
      </c>
      <c r="AF156" t="s">
        <v>3505</v>
      </c>
      <c r="AI156" t="s">
        <v>735</v>
      </c>
      <c r="AJ156">
        <v>220</v>
      </c>
      <c r="AK156" t="s">
        <v>736</v>
      </c>
      <c r="AL156" t="s">
        <v>684</v>
      </c>
      <c r="AM156">
        <v>220</v>
      </c>
      <c r="AN156" s="7">
        <v>9.52</v>
      </c>
      <c r="AO156" s="7">
        <v>15.9</v>
      </c>
      <c r="AP156" s="7">
        <v>17</v>
      </c>
      <c r="AQ156" t="s">
        <v>44</v>
      </c>
      <c r="AR156" t="s">
        <v>49</v>
      </c>
      <c r="AS156" t="s">
        <v>49</v>
      </c>
      <c r="AT156" t="s">
        <v>49</v>
      </c>
      <c r="AU156" t="s">
        <v>50</v>
      </c>
      <c r="AV156" s="7" t="s">
        <v>3021</v>
      </c>
      <c r="AW156" s="7" t="s">
        <v>3026</v>
      </c>
      <c r="AX156">
        <v>20</v>
      </c>
      <c r="BE156" s="7" t="s">
        <v>3163</v>
      </c>
      <c r="BF156" t="s">
        <v>49</v>
      </c>
      <c r="BH156">
        <v>82</v>
      </c>
      <c r="BI156" t="s">
        <v>120</v>
      </c>
      <c r="BS156" t="s">
        <v>737</v>
      </c>
      <c r="CH156">
        <v>810</v>
      </c>
      <c r="CI156">
        <v>885</v>
      </c>
      <c r="CJ156">
        <v>946</v>
      </c>
      <c r="CK156">
        <v>1090</v>
      </c>
      <c r="CL156">
        <v>410</v>
      </c>
      <c r="CM156">
        <v>500</v>
      </c>
      <c r="CN156" s="2">
        <v>62.5</v>
      </c>
      <c r="CO156">
        <v>68.5</v>
      </c>
      <c r="CP156" s="2">
        <v>362</v>
      </c>
      <c r="CQ156">
        <v>450</v>
      </c>
      <c r="CR156">
        <v>1259</v>
      </c>
      <c r="CS156">
        <v>1340</v>
      </c>
      <c r="CT156">
        <v>282</v>
      </c>
      <c r="CU156">
        <v>385</v>
      </c>
      <c r="CV156" s="7">
        <v>20.100000000000001</v>
      </c>
      <c r="CW156" s="7">
        <v>25.9</v>
      </c>
    </row>
    <row r="157" spans="1:101" x14ac:dyDescent="0.25">
      <c r="A157" t="s">
        <v>738</v>
      </c>
      <c r="B157" t="s">
        <v>678</v>
      </c>
      <c r="C157" t="s">
        <v>38</v>
      </c>
      <c r="D157" t="s">
        <v>739</v>
      </c>
      <c r="E157" t="s">
        <v>2147</v>
      </c>
      <c r="F157" t="s">
        <v>701</v>
      </c>
      <c r="G157" t="s">
        <v>41</v>
      </c>
      <c r="H157">
        <v>139800</v>
      </c>
      <c r="I157" t="s">
        <v>3550</v>
      </c>
      <c r="J157" t="s">
        <v>702</v>
      </c>
      <c r="K157" t="s">
        <v>740</v>
      </c>
      <c r="L157" t="s">
        <v>49</v>
      </c>
      <c r="M157" s="7">
        <v>9.9600000000000009</v>
      </c>
      <c r="N157" s="7">
        <v>10.84</v>
      </c>
      <c r="O157" s="7">
        <v>3.1040000000000001</v>
      </c>
      <c r="P157" s="7">
        <v>3.08</v>
      </c>
      <c r="Q157">
        <v>25</v>
      </c>
      <c r="R157">
        <v>10</v>
      </c>
      <c r="U157">
        <v>1</v>
      </c>
      <c r="X157">
        <v>18</v>
      </c>
      <c r="Y157">
        <v>43</v>
      </c>
      <c r="Z157">
        <v>-7</v>
      </c>
      <c r="AA157">
        <v>24</v>
      </c>
      <c r="AC157" t="s">
        <v>741</v>
      </c>
      <c r="AD157">
        <v>45</v>
      </c>
      <c r="AE157" t="s">
        <v>3504</v>
      </c>
      <c r="AF157" t="s">
        <v>3551</v>
      </c>
      <c r="AI157" t="s">
        <v>742</v>
      </c>
      <c r="AJ157">
        <v>220</v>
      </c>
      <c r="AK157" t="s">
        <v>743</v>
      </c>
      <c r="AL157" t="s">
        <v>684</v>
      </c>
      <c r="AM157" t="s">
        <v>744</v>
      </c>
      <c r="AN157" s="7">
        <v>9.52</v>
      </c>
      <c r="AO157" s="7">
        <v>15.9</v>
      </c>
      <c r="AP157" s="7">
        <v>17</v>
      </c>
      <c r="AQ157" t="s">
        <v>44</v>
      </c>
      <c r="AR157" t="s">
        <v>49</v>
      </c>
      <c r="AS157" t="s">
        <v>49</v>
      </c>
      <c r="AT157" t="s">
        <v>49</v>
      </c>
      <c r="AU157" t="s">
        <v>50</v>
      </c>
      <c r="AV157" s="7" t="s">
        <v>191</v>
      </c>
      <c r="AW157" s="7" t="s">
        <v>3026</v>
      </c>
      <c r="AX157">
        <v>25</v>
      </c>
      <c r="BE157" s="7" t="s">
        <v>3164</v>
      </c>
      <c r="BF157" t="s">
        <v>49</v>
      </c>
      <c r="BH157">
        <v>100</v>
      </c>
      <c r="BI157" t="s">
        <v>120</v>
      </c>
      <c r="BS157" t="s">
        <v>745</v>
      </c>
      <c r="CH157">
        <v>810</v>
      </c>
      <c r="CI157">
        <v>885</v>
      </c>
      <c r="CJ157">
        <v>946</v>
      </c>
      <c r="CK157">
        <v>1090</v>
      </c>
      <c r="CL157">
        <v>410</v>
      </c>
      <c r="CM157">
        <v>500</v>
      </c>
      <c r="CN157" s="2">
        <v>70</v>
      </c>
      <c r="CO157">
        <v>76.5</v>
      </c>
      <c r="CP157" s="2">
        <v>362</v>
      </c>
      <c r="CQ157">
        <v>450</v>
      </c>
      <c r="CR157">
        <v>1260</v>
      </c>
      <c r="CS157">
        <v>1340</v>
      </c>
      <c r="CT157">
        <v>283</v>
      </c>
      <c r="CU157">
        <v>385</v>
      </c>
      <c r="CV157" s="7">
        <v>21.8</v>
      </c>
      <c r="CW157" s="7">
        <v>27.6</v>
      </c>
    </row>
    <row r="158" spans="1:101" x14ac:dyDescent="0.25">
      <c r="A158" t="s">
        <v>746</v>
      </c>
      <c r="B158" t="s">
        <v>678</v>
      </c>
      <c r="C158" t="s">
        <v>38</v>
      </c>
      <c r="D158" t="s">
        <v>747</v>
      </c>
      <c r="E158" t="s">
        <v>2147</v>
      </c>
      <c r="F158" t="s">
        <v>748</v>
      </c>
      <c r="G158" t="s">
        <v>41</v>
      </c>
      <c r="H158">
        <v>26400</v>
      </c>
      <c r="J158" t="s">
        <v>749</v>
      </c>
      <c r="K158" t="s">
        <v>750</v>
      </c>
      <c r="L158" t="s">
        <v>49</v>
      </c>
      <c r="M158" s="7">
        <v>2.0499999999999998</v>
      </c>
      <c r="N158" s="7">
        <v>2.34</v>
      </c>
      <c r="O158" s="7">
        <v>0.63900000000000001</v>
      </c>
      <c r="P158" s="7">
        <v>0.64900000000000002</v>
      </c>
      <c r="Q158">
        <v>20</v>
      </c>
      <c r="R158">
        <v>8</v>
      </c>
      <c r="X158">
        <v>18</v>
      </c>
      <c r="Y158">
        <v>43</v>
      </c>
      <c r="Z158">
        <v>-7</v>
      </c>
      <c r="AA158">
        <v>24</v>
      </c>
      <c r="AE158" t="s">
        <v>3504</v>
      </c>
      <c r="AF158" t="s">
        <v>3505</v>
      </c>
      <c r="AL158" t="s">
        <v>684</v>
      </c>
      <c r="AN158" s="7">
        <v>6.35</v>
      </c>
      <c r="AO158" s="7">
        <v>9.52</v>
      </c>
      <c r="AP158" s="7">
        <v>16</v>
      </c>
      <c r="AQ158" t="s">
        <v>49</v>
      </c>
      <c r="AR158" t="s">
        <v>49</v>
      </c>
      <c r="AS158" t="s">
        <v>49</v>
      </c>
      <c r="AT158" t="s">
        <v>49</v>
      </c>
      <c r="AU158" t="s">
        <v>78</v>
      </c>
      <c r="AV158" s="7" t="s">
        <v>3019</v>
      </c>
      <c r="AW158" s="7" t="s">
        <v>3023</v>
      </c>
      <c r="AX158">
        <v>16</v>
      </c>
      <c r="BE158" s="7" t="s">
        <v>3165</v>
      </c>
      <c r="BF158" t="s">
        <v>49</v>
      </c>
      <c r="BH158">
        <v>14</v>
      </c>
      <c r="BI158" t="s">
        <v>120</v>
      </c>
      <c r="BS158" t="s">
        <v>3552</v>
      </c>
      <c r="CH158">
        <v>495</v>
      </c>
      <c r="CI158">
        <v>540</v>
      </c>
      <c r="CJ158">
        <v>720</v>
      </c>
      <c r="CK158">
        <v>835</v>
      </c>
      <c r="CL158">
        <v>270</v>
      </c>
      <c r="CM158">
        <v>300</v>
      </c>
      <c r="CN158" s="2">
        <v>23.9</v>
      </c>
      <c r="CO158">
        <v>25.6</v>
      </c>
      <c r="CP158" s="2">
        <v>290</v>
      </c>
      <c r="CQ158">
        <v>375</v>
      </c>
      <c r="CR158">
        <v>722</v>
      </c>
      <c r="CS158">
        <v>790</v>
      </c>
      <c r="CT158">
        <v>187</v>
      </c>
      <c r="CU158">
        <v>270</v>
      </c>
      <c r="CV158" s="7">
        <v>8.1</v>
      </c>
      <c r="CW158" s="7">
        <v>10.4</v>
      </c>
    </row>
    <row r="159" spans="1:101" x14ac:dyDescent="0.25">
      <c r="A159" t="s">
        <v>751</v>
      </c>
      <c r="B159" t="s">
        <v>678</v>
      </c>
      <c r="C159" t="s">
        <v>38</v>
      </c>
      <c r="D159" t="s">
        <v>752</v>
      </c>
      <c r="E159" t="s">
        <v>2147</v>
      </c>
      <c r="F159" t="s">
        <v>748</v>
      </c>
      <c r="G159" t="s">
        <v>41</v>
      </c>
      <c r="H159">
        <v>30300</v>
      </c>
      <c r="J159" t="s">
        <v>753</v>
      </c>
      <c r="K159" t="s">
        <v>754</v>
      </c>
      <c r="L159" t="s">
        <v>49</v>
      </c>
      <c r="M159" s="7">
        <v>2.64</v>
      </c>
      <c r="N159" s="7">
        <v>2.64</v>
      </c>
      <c r="O159" s="7">
        <v>0.82099999999999995</v>
      </c>
      <c r="P159" s="7">
        <v>0.73</v>
      </c>
      <c r="Q159">
        <v>20</v>
      </c>
      <c r="R159">
        <v>8</v>
      </c>
      <c r="X159">
        <v>18</v>
      </c>
      <c r="Y159">
        <v>43</v>
      </c>
      <c r="Z159">
        <v>-7</v>
      </c>
      <c r="AA159">
        <v>24</v>
      </c>
      <c r="AE159" t="s">
        <v>3504</v>
      </c>
      <c r="AF159" t="s">
        <v>3505</v>
      </c>
      <c r="AL159" t="s">
        <v>684</v>
      </c>
      <c r="AN159" s="7">
        <v>6.35</v>
      </c>
      <c r="AO159" s="7">
        <v>9.52</v>
      </c>
      <c r="AP159" s="7">
        <v>16</v>
      </c>
      <c r="AQ159" t="s">
        <v>49</v>
      </c>
      <c r="AR159" t="s">
        <v>49</v>
      </c>
      <c r="AS159" t="s">
        <v>49</v>
      </c>
      <c r="AT159" t="s">
        <v>49</v>
      </c>
      <c r="AU159" t="s">
        <v>78</v>
      </c>
      <c r="AV159" s="7" t="s">
        <v>3019</v>
      </c>
      <c r="AW159" s="7" t="s">
        <v>3023</v>
      </c>
      <c r="AX159">
        <v>16</v>
      </c>
      <c r="BE159" s="7" t="s">
        <v>3166</v>
      </c>
      <c r="BF159" t="s">
        <v>49</v>
      </c>
      <c r="BH159">
        <v>18</v>
      </c>
      <c r="BI159" t="s">
        <v>120</v>
      </c>
      <c r="BS159" t="s">
        <v>3552</v>
      </c>
      <c r="CH159">
        <v>495</v>
      </c>
      <c r="CI159">
        <v>540</v>
      </c>
      <c r="CJ159">
        <v>720</v>
      </c>
      <c r="CK159">
        <v>835</v>
      </c>
      <c r="CL159">
        <v>270</v>
      </c>
      <c r="CM159">
        <v>300</v>
      </c>
      <c r="CN159" s="2">
        <v>24.2</v>
      </c>
      <c r="CO159">
        <v>26</v>
      </c>
      <c r="CP159" s="2">
        <v>290</v>
      </c>
      <c r="CQ159">
        <v>375</v>
      </c>
      <c r="CR159">
        <v>722</v>
      </c>
      <c r="CS159">
        <v>790</v>
      </c>
      <c r="CT159">
        <v>187</v>
      </c>
      <c r="CU159">
        <v>270</v>
      </c>
      <c r="CV159" s="7">
        <v>8.1</v>
      </c>
      <c r="CW159" s="7">
        <v>10.4</v>
      </c>
    </row>
    <row r="160" spans="1:101" x14ac:dyDescent="0.25">
      <c r="A160" t="s">
        <v>755</v>
      </c>
      <c r="B160" t="s">
        <v>678</v>
      </c>
      <c r="C160" t="s">
        <v>38</v>
      </c>
      <c r="D160" t="s">
        <v>756</v>
      </c>
      <c r="E160" t="s">
        <v>2147</v>
      </c>
      <c r="F160" t="s">
        <v>748</v>
      </c>
      <c r="G160" t="s">
        <v>41</v>
      </c>
      <c r="H160">
        <v>37100</v>
      </c>
      <c r="J160" t="s">
        <v>757</v>
      </c>
      <c r="K160" t="s">
        <v>758</v>
      </c>
      <c r="L160" t="s">
        <v>49</v>
      </c>
      <c r="M160" s="7">
        <v>3.52</v>
      </c>
      <c r="N160" s="7">
        <v>3.66</v>
      </c>
      <c r="O160" s="7">
        <v>1.095</v>
      </c>
      <c r="P160" s="7">
        <v>1.0149999999999999</v>
      </c>
      <c r="Q160">
        <v>20</v>
      </c>
      <c r="R160">
        <v>8</v>
      </c>
      <c r="X160">
        <v>18</v>
      </c>
      <c r="Y160">
        <v>43</v>
      </c>
      <c r="Z160">
        <v>-7</v>
      </c>
      <c r="AA160">
        <v>24</v>
      </c>
      <c r="AE160" t="s">
        <v>3504</v>
      </c>
      <c r="AF160" t="s">
        <v>3505</v>
      </c>
      <c r="AL160" t="s">
        <v>684</v>
      </c>
      <c r="AN160" s="7">
        <v>6.35</v>
      </c>
      <c r="AO160" s="7">
        <v>12.7</v>
      </c>
      <c r="AP160" s="7">
        <v>16</v>
      </c>
      <c r="AQ160" t="s">
        <v>49</v>
      </c>
      <c r="AR160" t="s">
        <v>49</v>
      </c>
      <c r="AS160" t="s">
        <v>49</v>
      </c>
      <c r="AT160" t="s">
        <v>49</v>
      </c>
      <c r="AU160" t="s">
        <v>78</v>
      </c>
      <c r="AV160" s="7" t="s">
        <v>3019</v>
      </c>
      <c r="AW160" s="7" t="s">
        <v>3023</v>
      </c>
      <c r="AX160">
        <v>16</v>
      </c>
      <c r="BE160" s="7" t="s">
        <v>3167</v>
      </c>
      <c r="BF160" t="s">
        <v>49</v>
      </c>
      <c r="BH160">
        <v>23</v>
      </c>
      <c r="BI160" t="s">
        <v>120</v>
      </c>
      <c r="BS160" t="s">
        <v>3553</v>
      </c>
      <c r="CH160">
        <v>495</v>
      </c>
      <c r="CI160">
        <v>540</v>
      </c>
      <c r="CJ160">
        <v>720</v>
      </c>
      <c r="CK160">
        <v>835</v>
      </c>
      <c r="CL160">
        <v>270</v>
      </c>
      <c r="CM160">
        <v>300</v>
      </c>
      <c r="CN160" s="2">
        <v>26</v>
      </c>
      <c r="CO160">
        <v>27.7</v>
      </c>
      <c r="CP160" s="2">
        <v>297</v>
      </c>
      <c r="CQ160">
        <v>380</v>
      </c>
      <c r="CR160">
        <v>802</v>
      </c>
      <c r="CS160">
        <v>875</v>
      </c>
      <c r="CT160">
        <v>189</v>
      </c>
      <c r="CU160">
        <v>285</v>
      </c>
      <c r="CV160" s="7">
        <v>9</v>
      </c>
      <c r="CW160" s="7">
        <v>11.4</v>
      </c>
    </row>
    <row r="161" spans="1:101" x14ac:dyDescent="0.25">
      <c r="A161" t="s">
        <v>759</v>
      </c>
      <c r="B161" t="s">
        <v>678</v>
      </c>
      <c r="C161" t="s">
        <v>38</v>
      </c>
      <c r="D161" t="s">
        <v>760</v>
      </c>
      <c r="E161" t="s">
        <v>2147</v>
      </c>
      <c r="F161" t="s">
        <v>748</v>
      </c>
      <c r="G161" t="s">
        <v>41</v>
      </c>
      <c r="H161">
        <v>55900</v>
      </c>
      <c r="J161" t="s">
        <v>761</v>
      </c>
      <c r="K161" t="s">
        <v>762</v>
      </c>
      <c r="L161" t="s">
        <v>49</v>
      </c>
      <c r="M161" s="7">
        <v>5.28</v>
      </c>
      <c r="N161" s="7">
        <v>5.57</v>
      </c>
      <c r="O161" s="7">
        <v>1.643</v>
      </c>
      <c r="P161" s="7">
        <v>1.542</v>
      </c>
      <c r="Q161">
        <v>25</v>
      </c>
      <c r="R161">
        <v>10</v>
      </c>
      <c r="X161">
        <v>18</v>
      </c>
      <c r="Y161">
        <v>43</v>
      </c>
      <c r="Z161">
        <v>-7</v>
      </c>
      <c r="AA161">
        <v>24</v>
      </c>
      <c r="AE161" t="s">
        <v>3504</v>
      </c>
      <c r="AF161" t="s">
        <v>3505</v>
      </c>
      <c r="AL161" t="s">
        <v>684</v>
      </c>
      <c r="AN161" s="7">
        <v>6.35</v>
      </c>
      <c r="AO161" s="7">
        <v>12.7</v>
      </c>
      <c r="AP161" s="7">
        <v>16</v>
      </c>
      <c r="AQ161" t="s">
        <v>49</v>
      </c>
      <c r="AR161" t="s">
        <v>49</v>
      </c>
      <c r="AS161" t="s">
        <v>49</v>
      </c>
      <c r="AT161" t="s">
        <v>49</v>
      </c>
      <c r="AU161" t="s">
        <v>78</v>
      </c>
      <c r="AV161" s="7" t="s">
        <v>3021</v>
      </c>
      <c r="AW161" s="7" t="s">
        <v>3022</v>
      </c>
      <c r="AX161">
        <v>16</v>
      </c>
      <c r="BE161" s="7" t="s">
        <v>3168</v>
      </c>
      <c r="BF161" t="s">
        <v>49</v>
      </c>
      <c r="BH161">
        <v>35</v>
      </c>
      <c r="BI161" t="s">
        <v>120</v>
      </c>
      <c r="BS161" t="s">
        <v>3554</v>
      </c>
      <c r="CH161">
        <v>555</v>
      </c>
      <c r="CI161">
        <v>610</v>
      </c>
      <c r="CJ161">
        <v>765</v>
      </c>
      <c r="CK161">
        <v>887</v>
      </c>
      <c r="CL161">
        <v>303</v>
      </c>
      <c r="CM161">
        <v>337</v>
      </c>
      <c r="CN161" s="2">
        <v>34.5</v>
      </c>
      <c r="CO161">
        <v>37</v>
      </c>
      <c r="CP161" s="2">
        <v>319</v>
      </c>
      <c r="CQ161">
        <v>410</v>
      </c>
      <c r="CR161">
        <v>965</v>
      </c>
      <c r="CS161">
        <v>1045</v>
      </c>
      <c r="CT161">
        <v>215</v>
      </c>
      <c r="CU161">
        <v>305</v>
      </c>
      <c r="CV161" s="7">
        <v>12.1</v>
      </c>
      <c r="CW161" s="7">
        <v>15.3</v>
      </c>
    </row>
    <row r="162" spans="1:101" x14ac:dyDescent="0.25">
      <c r="A162" t="s">
        <v>763</v>
      </c>
      <c r="B162" t="s">
        <v>678</v>
      </c>
      <c r="C162" t="s">
        <v>38</v>
      </c>
      <c r="D162" t="s">
        <v>764</v>
      </c>
      <c r="E162" t="s">
        <v>2147</v>
      </c>
      <c r="F162" t="s">
        <v>748</v>
      </c>
      <c r="G162" t="s">
        <v>41</v>
      </c>
      <c r="H162">
        <v>73500</v>
      </c>
      <c r="J162" t="s">
        <v>765</v>
      </c>
      <c r="K162" t="s">
        <v>766</v>
      </c>
      <c r="L162" t="s">
        <v>49</v>
      </c>
      <c r="M162" s="7">
        <v>7.03</v>
      </c>
      <c r="N162" s="7">
        <v>7.33</v>
      </c>
      <c r="O162" s="7">
        <v>2.1909999999999998</v>
      </c>
      <c r="P162" s="7">
        <v>2.0299999999999998</v>
      </c>
      <c r="Q162">
        <v>25</v>
      </c>
      <c r="R162">
        <v>10</v>
      </c>
      <c r="X162">
        <v>18</v>
      </c>
      <c r="Y162">
        <v>43</v>
      </c>
      <c r="Z162">
        <v>-7</v>
      </c>
      <c r="AA162">
        <v>24</v>
      </c>
      <c r="AE162" t="s">
        <v>3504</v>
      </c>
      <c r="AF162" t="s">
        <v>3505</v>
      </c>
      <c r="AL162" t="s">
        <v>684</v>
      </c>
      <c r="AN162" s="7">
        <v>9.52</v>
      </c>
      <c r="AO162" s="7">
        <v>15.9</v>
      </c>
      <c r="AP162" s="7">
        <v>16</v>
      </c>
      <c r="AQ162" t="s">
        <v>49</v>
      </c>
      <c r="AR162" t="s">
        <v>49</v>
      </c>
      <c r="AS162" t="s">
        <v>49</v>
      </c>
      <c r="AT162" t="s">
        <v>49</v>
      </c>
      <c r="AU162" t="s">
        <v>78</v>
      </c>
      <c r="AV162" s="7" t="s">
        <v>3021</v>
      </c>
      <c r="AW162" s="7" t="s">
        <v>3022</v>
      </c>
      <c r="AX162">
        <v>20</v>
      </c>
      <c r="BE162" s="7" t="s">
        <v>3169</v>
      </c>
      <c r="BF162" t="s">
        <v>49</v>
      </c>
      <c r="BH162">
        <v>47</v>
      </c>
      <c r="BI162" t="s">
        <v>120</v>
      </c>
      <c r="BS162" t="s">
        <v>3555</v>
      </c>
      <c r="CH162">
        <v>673</v>
      </c>
      <c r="CI162">
        <v>740</v>
      </c>
      <c r="CJ162">
        <v>890</v>
      </c>
      <c r="CK162">
        <v>995</v>
      </c>
      <c r="CL162">
        <v>342</v>
      </c>
      <c r="CM162">
        <v>398</v>
      </c>
      <c r="CN162" s="2">
        <v>47.9</v>
      </c>
      <c r="CO162">
        <v>50.9</v>
      </c>
      <c r="CP162" s="2">
        <v>335</v>
      </c>
      <c r="CQ162">
        <v>320</v>
      </c>
      <c r="CR162">
        <v>1080</v>
      </c>
      <c r="CS162">
        <v>1155</v>
      </c>
      <c r="CT162">
        <v>226</v>
      </c>
      <c r="CU162">
        <v>415</v>
      </c>
      <c r="CV162" s="7">
        <v>15</v>
      </c>
      <c r="CW162" s="7">
        <v>18.600000000000001</v>
      </c>
    </row>
    <row r="163" spans="1:101" x14ac:dyDescent="0.25">
      <c r="A163" t="s">
        <v>767</v>
      </c>
      <c r="B163" t="s">
        <v>678</v>
      </c>
      <c r="C163" t="s">
        <v>38</v>
      </c>
      <c r="D163" t="s">
        <v>768</v>
      </c>
      <c r="E163" t="s">
        <v>2147</v>
      </c>
      <c r="F163" t="s">
        <v>769</v>
      </c>
      <c r="G163" t="s">
        <v>41</v>
      </c>
      <c r="H163">
        <v>53200</v>
      </c>
      <c r="I163" t="s">
        <v>3556</v>
      </c>
      <c r="J163" t="s">
        <v>770</v>
      </c>
      <c r="K163" t="s">
        <v>771</v>
      </c>
      <c r="L163" t="s">
        <v>44</v>
      </c>
      <c r="M163" s="7" t="s">
        <v>2299</v>
      </c>
      <c r="N163" s="7" t="s">
        <v>2545</v>
      </c>
      <c r="O163" s="7" t="s">
        <v>2546</v>
      </c>
      <c r="P163" s="7" t="s">
        <v>2547</v>
      </c>
      <c r="Q163">
        <v>25</v>
      </c>
      <c r="R163">
        <v>10</v>
      </c>
      <c r="X163">
        <v>-15</v>
      </c>
      <c r="Y163">
        <v>50</v>
      </c>
      <c r="Z163">
        <v>-15</v>
      </c>
      <c r="AA163">
        <v>30</v>
      </c>
      <c r="AG163" t="s">
        <v>2948</v>
      </c>
      <c r="AH163" t="s">
        <v>63</v>
      </c>
      <c r="AL163" t="s">
        <v>684</v>
      </c>
      <c r="AN163" s="7">
        <v>6.35</v>
      </c>
      <c r="AO163" s="7">
        <v>9.52</v>
      </c>
      <c r="AP163" s="7">
        <v>16</v>
      </c>
      <c r="AQ163" t="s">
        <v>49</v>
      </c>
      <c r="AR163" t="s">
        <v>49</v>
      </c>
      <c r="AS163" t="s">
        <v>49</v>
      </c>
      <c r="AT163" t="s">
        <v>49</v>
      </c>
      <c r="AU163" t="s">
        <v>50</v>
      </c>
      <c r="AV163" s="7" t="s">
        <v>3019</v>
      </c>
      <c r="AW163" s="7" t="s">
        <v>3023</v>
      </c>
      <c r="AX163">
        <v>16</v>
      </c>
      <c r="BE163" s="7" t="s">
        <v>3170</v>
      </c>
      <c r="BF163" t="s">
        <v>49</v>
      </c>
      <c r="BH163">
        <v>26</v>
      </c>
      <c r="BI163" t="s">
        <v>120</v>
      </c>
      <c r="BS163" t="s">
        <v>772</v>
      </c>
      <c r="CH163">
        <v>554</v>
      </c>
      <c r="CI163">
        <v>625</v>
      </c>
      <c r="CJ163">
        <v>800</v>
      </c>
      <c r="CK163">
        <v>920</v>
      </c>
      <c r="CL163">
        <v>333</v>
      </c>
      <c r="CM163">
        <v>390</v>
      </c>
      <c r="CN163" s="2">
        <v>29.1</v>
      </c>
      <c r="CO163">
        <v>31.9</v>
      </c>
      <c r="CP163" s="2">
        <v>297</v>
      </c>
      <c r="CQ163">
        <v>375</v>
      </c>
      <c r="CR163">
        <v>802</v>
      </c>
      <c r="CS163">
        <v>875</v>
      </c>
      <c r="CT163">
        <v>189</v>
      </c>
      <c r="CU163">
        <v>285</v>
      </c>
      <c r="CV163" s="7">
        <v>8.1999999999999993</v>
      </c>
      <c r="CW163" s="7">
        <v>10.7</v>
      </c>
    </row>
    <row r="164" spans="1:101" x14ac:dyDescent="0.25">
      <c r="A164" t="s">
        <v>773</v>
      </c>
      <c r="B164" t="s">
        <v>678</v>
      </c>
      <c r="C164" t="s">
        <v>38</v>
      </c>
      <c r="D164" t="s">
        <v>774</v>
      </c>
      <c r="E164" t="s">
        <v>2147</v>
      </c>
      <c r="F164" t="s">
        <v>769</v>
      </c>
      <c r="G164" t="s">
        <v>41</v>
      </c>
      <c r="H164">
        <v>61200</v>
      </c>
      <c r="I164" t="s">
        <v>3557</v>
      </c>
      <c r="J164" t="s">
        <v>775</v>
      </c>
      <c r="K164" t="s">
        <v>776</v>
      </c>
      <c r="L164" t="s">
        <v>44</v>
      </c>
      <c r="M164" s="7" t="s">
        <v>2300</v>
      </c>
      <c r="N164" s="7" t="s">
        <v>2548</v>
      </c>
      <c r="O164" s="7" t="s">
        <v>2549</v>
      </c>
      <c r="P164" s="7" t="s">
        <v>2550</v>
      </c>
      <c r="Q164">
        <v>25</v>
      </c>
      <c r="R164">
        <v>10</v>
      </c>
      <c r="U164">
        <v>1</v>
      </c>
      <c r="X164">
        <v>-15</v>
      </c>
      <c r="Y164">
        <v>50</v>
      </c>
      <c r="Z164">
        <v>-15</v>
      </c>
      <c r="AA164">
        <v>30</v>
      </c>
      <c r="AC164" t="s">
        <v>777</v>
      </c>
      <c r="AD164">
        <v>16</v>
      </c>
      <c r="AG164" t="s">
        <v>2948</v>
      </c>
      <c r="AH164" t="s">
        <v>63</v>
      </c>
      <c r="AI164" t="s">
        <v>778</v>
      </c>
      <c r="AJ164">
        <v>220</v>
      </c>
      <c r="AK164" t="s">
        <v>779</v>
      </c>
      <c r="AL164" t="s">
        <v>684</v>
      </c>
      <c r="AM164">
        <v>220</v>
      </c>
      <c r="AN164" s="7">
        <v>6.35</v>
      </c>
      <c r="AO164" s="7">
        <v>9.52</v>
      </c>
      <c r="AP164" s="7">
        <v>16</v>
      </c>
      <c r="AQ164" t="s">
        <v>49</v>
      </c>
      <c r="AR164" t="s">
        <v>49</v>
      </c>
      <c r="AS164" t="s">
        <v>49</v>
      </c>
      <c r="AT164" t="s">
        <v>49</v>
      </c>
      <c r="AU164" t="s">
        <v>50</v>
      </c>
      <c r="AV164" s="7" t="s">
        <v>3019</v>
      </c>
      <c r="AW164" s="7" t="s">
        <v>3023</v>
      </c>
      <c r="AX164">
        <v>16</v>
      </c>
      <c r="BE164" s="7" t="s">
        <v>3171</v>
      </c>
      <c r="BF164" t="s">
        <v>49</v>
      </c>
      <c r="BG164" t="s">
        <v>212</v>
      </c>
      <c r="BH164">
        <v>35</v>
      </c>
      <c r="BI164" t="s">
        <v>120</v>
      </c>
      <c r="BS164" t="s">
        <v>772</v>
      </c>
      <c r="CH164">
        <v>554</v>
      </c>
      <c r="CI164">
        <v>625</v>
      </c>
      <c r="CJ164">
        <v>800</v>
      </c>
      <c r="CK164">
        <v>920</v>
      </c>
      <c r="CL164">
        <v>333</v>
      </c>
      <c r="CM164">
        <v>390</v>
      </c>
      <c r="CN164" s="2">
        <v>29.1</v>
      </c>
      <c r="CO164">
        <v>31.9</v>
      </c>
      <c r="CP164" s="2">
        <v>297</v>
      </c>
      <c r="CQ164">
        <v>375</v>
      </c>
      <c r="CR164">
        <v>802</v>
      </c>
      <c r="CS164">
        <v>875</v>
      </c>
      <c r="CT164">
        <v>189</v>
      </c>
      <c r="CU164">
        <v>285</v>
      </c>
      <c r="CV164" s="7">
        <v>8.1999999999999993</v>
      </c>
      <c r="CW164" s="7">
        <v>10.7</v>
      </c>
    </row>
    <row r="165" spans="1:101" x14ac:dyDescent="0.25">
      <c r="A165" t="s">
        <v>780</v>
      </c>
      <c r="B165" t="s">
        <v>678</v>
      </c>
      <c r="C165" t="s">
        <v>38</v>
      </c>
      <c r="D165" t="s">
        <v>781</v>
      </c>
      <c r="E165" t="s">
        <v>2147</v>
      </c>
      <c r="F165" t="s">
        <v>782</v>
      </c>
      <c r="G165" t="s">
        <v>41</v>
      </c>
      <c r="H165">
        <v>39300</v>
      </c>
      <c r="I165" t="s">
        <v>3558</v>
      </c>
      <c r="J165" t="s">
        <v>783</v>
      </c>
      <c r="K165" t="s">
        <v>784</v>
      </c>
      <c r="L165" t="s">
        <v>44</v>
      </c>
      <c r="M165" s="7" t="s">
        <v>2301</v>
      </c>
      <c r="N165" s="7" t="s">
        <v>2551</v>
      </c>
      <c r="O165" s="7" t="s">
        <v>2552</v>
      </c>
      <c r="P165" s="7" t="s">
        <v>2553</v>
      </c>
      <c r="Q165">
        <v>15</v>
      </c>
      <c r="R165">
        <v>10</v>
      </c>
      <c r="X165">
        <v>-15</v>
      </c>
      <c r="Y165">
        <v>43</v>
      </c>
      <c r="Z165">
        <v>-15</v>
      </c>
      <c r="AA165">
        <v>24</v>
      </c>
      <c r="AE165" t="s">
        <v>2981</v>
      </c>
      <c r="AF165" t="s">
        <v>3559</v>
      </c>
      <c r="AL165" t="s">
        <v>785</v>
      </c>
      <c r="AN165" s="7">
        <v>6.35</v>
      </c>
      <c r="AO165" s="7">
        <v>9.52</v>
      </c>
      <c r="AP165" s="7">
        <v>17</v>
      </c>
      <c r="AQ165" t="s">
        <v>49</v>
      </c>
      <c r="AR165" t="s">
        <v>49</v>
      </c>
      <c r="AS165" t="s">
        <v>49</v>
      </c>
      <c r="AT165" t="s">
        <v>49</v>
      </c>
      <c r="AU165" t="s">
        <v>78</v>
      </c>
      <c r="AV165" s="7" t="s">
        <v>3019</v>
      </c>
      <c r="AW165" s="7" t="s">
        <v>3020</v>
      </c>
      <c r="AX165">
        <v>10</v>
      </c>
      <c r="BE165" s="7" t="s">
        <v>3172</v>
      </c>
      <c r="BF165" t="s">
        <v>49</v>
      </c>
      <c r="BH165">
        <v>27</v>
      </c>
      <c r="BI165" t="s">
        <v>120</v>
      </c>
      <c r="BS165" t="s">
        <v>786</v>
      </c>
      <c r="CH165">
        <v>450</v>
      </c>
      <c r="CI165">
        <v>500</v>
      </c>
      <c r="CJ165">
        <v>710</v>
      </c>
      <c r="CK165">
        <v>761</v>
      </c>
      <c r="CL165">
        <v>293</v>
      </c>
      <c r="CM165">
        <v>327</v>
      </c>
      <c r="CN165" s="2">
        <v>21</v>
      </c>
      <c r="CO165">
        <v>23</v>
      </c>
      <c r="CP165" s="2">
        <v>270</v>
      </c>
      <c r="CQ165">
        <v>334</v>
      </c>
      <c r="CR165">
        <v>713</v>
      </c>
      <c r="CS165">
        <v>760</v>
      </c>
      <c r="CT165">
        <v>195</v>
      </c>
      <c r="CU165">
        <v>259</v>
      </c>
      <c r="CV165" s="7">
        <v>8.1</v>
      </c>
      <c r="CW165" s="7">
        <v>9.6</v>
      </c>
    </row>
    <row r="166" spans="1:101" x14ac:dyDescent="0.25">
      <c r="A166" t="s">
        <v>787</v>
      </c>
      <c r="B166" t="s">
        <v>678</v>
      </c>
      <c r="C166" t="s">
        <v>38</v>
      </c>
      <c r="D166" t="s">
        <v>788</v>
      </c>
      <c r="E166" t="s">
        <v>2147</v>
      </c>
      <c r="F166" t="s">
        <v>782</v>
      </c>
      <c r="G166" t="s">
        <v>41</v>
      </c>
      <c r="H166">
        <v>44600</v>
      </c>
      <c r="I166" t="s">
        <v>3558</v>
      </c>
      <c r="J166" t="s">
        <v>783</v>
      </c>
      <c r="K166" t="s">
        <v>784</v>
      </c>
      <c r="L166" t="s">
        <v>44</v>
      </c>
      <c r="M166" s="7" t="s">
        <v>2272</v>
      </c>
      <c r="N166" s="7" t="s">
        <v>2286</v>
      </c>
      <c r="O166" s="7" t="s">
        <v>2554</v>
      </c>
      <c r="P166" s="7" t="s">
        <v>2555</v>
      </c>
      <c r="Q166">
        <v>15</v>
      </c>
      <c r="R166">
        <v>10</v>
      </c>
      <c r="X166">
        <v>-15</v>
      </c>
      <c r="Y166">
        <v>43</v>
      </c>
      <c r="Z166">
        <v>-15</v>
      </c>
      <c r="AA166">
        <v>24</v>
      </c>
      <c r="AE166" t="s">
        <v>3560</v>
      </c>
      <c r="AF166" t="s">
        <v>3491</v>
      </c>
      <c r="AL166" t="s">
        <v>785</v>
      </c>
      <c r="AN166" s="7">
        <v>6.35</v>
      </c>
      <c r="AO166" s="7">
        <v>9.52</v>
      </c>
      <c r="AP166" s="7">
        <v>17</v>
      </c>
      <c r="AQ166" t="s">
        <v>49</v>
      </c>
      <c r="AR166" t="s">
        <v>49</v>
      </c>
      <c r="AS166" t="s">
        <v>49</v>
      </c>
      <c r="AT166" t="s">
        <v>49</v>
      </c>
      <c r="AU166" t="s">
        <v>78</v>
      </c>
      <c r="AV166" s="7" t="s">
        <v>3019</v>
      </c>
      <c r="AW166" s="7" t="s">
        <v>3020</v>
      </c>
      <c r="AX166">
        <v>10</v>
      </c>
      <c r="BE166" s="7" t="s">
        <v>3173</v>
      </c>
      <c r="BF166" t="s">
        <v>49</v>
      </c>
      <c r="BH166">
        <v>35</v>
      </c>
      <c r="BI166" t="s">
        <v>120</v>
      </c>
      <c r="BS166" t="s">
        <v>789</v>
      </c>
      <c r="CH166">
        <v>550</v>
      </c>
      <c r="CI166">
        <v>590</v>
      </c>
      <c r="CJ166">
        <v>732</v>
      </c>
      <c r="CK166">
        <v>791</v>
      </c>
      <c r="CL166">
        <v>330</v>
      </c>
      <c r="CM166">
        <v>373</v>
      </c>
      <c r="CN166" s="2">
        <v>25.5</v>
      </c>
      <c r="CO166">
        <v>28</v>
      </c>
      <c r="CP166" s="2">
        <v>275</v>
      </c>
      <c r="CQ166">
        <v>339</v>
      </c>
      <c r="CR166">
        <v>790</v>
      </c>
      <c r="CS166">
        <v>850</v>
      </c>
      <c r="CT166">
        <v>200</v>
      </c>
      <c r="CU166">
        <v>262</v>
      </c>
      <c r="CV166" s="7">
        <v>9</v>
      </c>
      <c r="CW166" s="7">
        <v>11</v>
      </c>
    </row>
    <row r="167" spans="1:101" x14ac:dyDescent="0.25">
      <c r="A167" t="s">
        <v>790</v>
      </c>
      <c r="B167" t="s">
        <v>678</v>
      </c>
      <c r="C167" t="s">
        <v>38</v>
      </c>
      <c r="D167" t="s">
        <v>791</v>
      </c>
      <c r="E167" t="s">
        <v>2147</v>
      </c>
      <c r="F167" t="s">
        <v>782</v>
      </c>
      <c r="G167" t="s">
        <v>41</v>
      </c>
      <c r="H167">
        <v>66700</v>
      </c>
      <c r="I167" t="s">
        <v>3558</v>
      </c>
      <c r="J167" t="s">
        <v>783</v>
      </c>
      <c r="K167" t="s">
        <v>784</v>
      </c>
      <c r="L167" t="s">
        <v>44</v>
      </c>
      <c r="M167" s="7" t="s">
        <v>2302</v>
      </c>
      <c r="N167" s="7" t="s">
        <v>2556</v>
      </c>
      <c r="O167" s="7" t="s">
        <v>2557</v>
      </c>
      <c r="P167" s="7" t="s">
        <v>2558</v>
      </c>
      <c r="Q167">
        <v>25</v>
      </c>
      <c r="R167">
        <v>10</v>
      </c>
      <c r="X167">
        <v>-15</v>
      </c>
      <c r="Y167">
        <v>43</v>
      </c>
      <c r="Z167">
        <v>-15</v>
      </c>
      <c r="AA167">
        <v>24</v>
      </c>
      <c r="AE167" t="s">
        <v>2981</v>
      </c>
      <c r="AF167" t="s">
        <v>3561</v>
      </c>
      <c r="AL167" t="s">
        <v>785</v>
      </c>
      <c r="AN167" s="7">
        <v>6.35</v>
      </c>
      <c r="AO167" s="7">
        <v>9.52</v>
      </c>
      <c r="AP167" s="7">
        <v>17</v>
      </c>
      <c r="AQ167" t="s">
        <v>49</v>
      </c>
      <c r="AR167" t="s">
        <v>49</v>
      </c>
      <c r="AS167" t="s">
        <v>49</v>
      </c>
      <c r="AT167" t="s">
        <v>49</v>
      </c>
      <c r="AU167" t="s">
        <v>78</v>
      </c>
      <c r="AV167" s="7" t="s">
        <v>3021</v>
      </c>
      <c r="AW167" s="7" t="s">
        <v>3020</v>
      </c>
      <c r="AX167">
        <v>16</v>
      </c>
      <c r="BE167" s="7" t="s">
        <v>3174</v>
      </c>
      <c r="BF167" t="s">
        <v>49</v>
      </c>
      <c r="BH167">
        <v>46</v>
      </c>
      <c r="BI167" t="s">
        <v>120</v>
      </c>
      <c r="BS167" t="s">
        <v>792</v>
      </c>
      <c r="CH167">
        <v>550</v>
      </c>
      <c r="CI167">
        <v>590</v>
      </c>
      <c r="CJ167">
        <v>732</v>
      </c>
      <c r="CK167">
        <v>791</v>
      </c>
      <c r="CL167">
        <v>330</v>
      </c>
      <c r="CM167">
        <v>373</v>
      </c>
      <c r="CN167" s="2">
        <v>26.5</v>
      </c>
      <c r="CO167">
        <v>29</v>
      </c>
      <c r="CP167" s="2">
        <v>300</v>
      </c>
      <c r="CQ167">
        <v>370</v>
      </c>
      <c r="CR167">
        <v>970</v>
      </c>
      <c r="CS167">
        <v>1020</v>
      </c>
      <c r="CT167">
        <v>224</v>
      </c>
      <c r="CU167">
        <v>294</v>
      </c>
      <c r="CV167" s="7">
        <v>13.5</v>
      </c>
      <c r="CW167" s="7">
        <v>16</v>
      </c>
    </row>
    <row r="168" spans="1:101" x14ac:dyDescent="0.25">
      <c r="A168" t="s">
        <v>793</v>
      </c>
      <c r="B168" t="s">
        <v>678</v>
      </c>
      <c r="C168" t="s">
        <v>38</v>
      </c>
      <c r="D168" t="s">
        <v>794</v>
      </c>
      <c r="E168" t="s">
        <v>2147</v>
      </c>
      <c r="F168" t="s">
        <v>782</v>
      </c>
      <c r="G168" t="s">
        <v>41</v>
      </c>
      <c r="H168">
        <v>85600</v>
      </c>
      <c r="I168" t="s">
        <v>3558</v>
      </c>
      <c r="J168" t="s">
        <v>783</v>
      </c>
      <c r="K168" t="s">
        <v>784</v>
      </c>
      <c r="L168" t="s">
        <v>44</v>
      </c>
      <c r="M168" s="7" t="s">
        <v>2303</v>
      </c>
      <c r="N168" s="7" t="s">
        <v>2559</v>
      </c>
      <c r="O168" s="7" t="s">
        <v>2560</v>
      </c>
      <c r="P168" s="7" t="s">
        <v>2561</v>
      </c>
      <c r="Q168">
        <v>25</v>
      </c>
      <c r="R168">
        <v>10</v>
      </c>
      <c r="X168">
        <v>-15</v>
      </c>
      <c r="Y168">
        <v>43</v>
      </c>
      <c r="Z168">
        <v>-15</v>
      </c>
      <c r="AA168">
        <v>24</v>
      </c>
      <c r="AE168" t="s">
        <v>3504</v>
      </c>
      <c r="AF168" t="s">
        <v>3559</v>
      </c>
      <c r="AL168" t="s">
        <v>785</v>
      </c>
      <c r="AN168" s="7">
        <v>6.35</v>
      </c>
      <c r="AO168" s="7">
        <v>12.7</v>
      </c>
      <c r="AP168" s="7">
        <v>17</v>
      </c>
      <c r="AQ168" t="s">
        <v>49</v>
      </c>
      <c r="AR168" t="s">
        <v>49</v>
      </c>
      <c r="AS168" t="s">
        <v>49</v>
      </c>
      <c r="AT168" t="s">
        <v>49</v>
      </c>
      <c r="AU168" t="s">
        <v>78</v>
      </c>
      <c r="AV168" s="7" t="s">
        <v>3021</v>
      </c>
      <c r="AW168" s="7" t="s">
        <v>3020</v>
      </c>
      <c r="AX168">
        <v>20</v>
      </c>
      <c r="BE168" s="7" t="s">
        <v>3175</v>
      </c>
      <c r="BF168" t="s">
        <v>49</v>
      </c>
      <c r="BH168">
        <v>61</v>
      </c>
      <c r="BI168" t="s">
        <v>120</v>
      </c>
      <c r="BS168" t="s">
        <v>795</v>
      </c>
      <c r="CH168">
        <v>555</v>
      </c>
      <c r="CI168">
        <v>591</v>
      </c>
      <c r="CJ168">
        <v>873</v>
      </c>
      <c r="CK168">
        <v>948</v>
      </c>
      <c r="CL168">
        <v>376</v>
      </c>
      <c r="CM168">
        <v>428</v>
      </c>
      <c r="CN168" s="2">
        <v>35</v>
      </c>
      <c r="CO168">
        <v>38</v>
      </c>
      <c r="CP168" s="2">
        <v>300</v>
      </c>
      <c r="CQ168">
        <v>370</v>
      </c>
      <c r="CR168">
        <v>970</v>
      </c>
      <c r="CS168">
        <v>1020</v>
      </c>
      <c r="CT168">
        <v>224</v>
      </c>
      <c r="CU168">
        <v>294</v>
      </c>
      <c r="CV168" s="7">
        <v>13.5</v>
      </c>
      <c r="CW168" s="7">
        <v>16</v>
      </c>
    </row>
    <row r="169" spans="1:101" x14ac:dyDescent="0.25">
      <c r="A169" t="s">
        <v>796</v>
      </c>
      <c r="B169" t="s">
        <v>678</v>
      </c>
      <c r="C169" t="s">
        <v>38</v>
      </c>
      <c r="D169" t="s">
        <v>797</v>
      </c>
      <c r="E169" t="s">
        <v>2147</v>
      </c>
      <c r="F169" t="s">
        <v>798</v>
      </c>
      <c r="G169" t="s">
        <v>75</v>
      </c>
      <c r="H169">
        <v>43100</v>
      </c>
      <c r="I169" t="s">
        <v>3562</v>
      </c>
      <c r="J169" t="s">
        <v>799</v>
      </c>
      <c r="K169" t="s">
        <v>800</v>
      </c>
      <c r="L169" t="s">
        <v>44</v>
      </c>
      <c r="M169" s="7" t="s">
        <v>2304</v>
      </c>
      <c r="N169" s="7" t="s">
        <v>2562</v>
      </c>
      <c r="O169" s="7" t="s">
        <v>2563</v>
      </c>
      <c r="P169" s="7" t="s">
        <v>2564</v>
      </c>
      <c r="Q169">
        <v>25</v>
      </c>
      <c r="R169">
        <v>10</v>
      </c>
      <c r="X169">
        <v>-15</v>
      </c>
      <c r="Y169">
        <v>50</v>
      </c>
      <c r="Z169">
        <v>-15</v>
      </c>
      <c r="AA169">
        <v>24</v>
      </c>
      <c r="AG169" t="s">
        <v>2947</v>
      </c>
      <c r="AH169" t="s">
        <v>63</v>
      </c>
      <c r="AL169" t="s">
        <v>684</v>
      </c>
      <c r="AN169" s="7">
        <v>6.35</v>
      </c>
      <c r="AO169" s="7">
        <v>9.52</v>
      </c>
      <c r="AP169" s="7">
        <v>16</v>
      </c>
      <c r="AQ169" t="s">
        <v>49</v>
      </c>
      <c r="AR169" t="s">
        <v>49</v>
      </c>
      <c r="AS169" t="s">
        <v>49</v>
      </c>
      <c r="AT169" t="s">
        <v>49</v>
      </c>
      <c r="AU169" t="s">
        <v>78</v>
      </c>
      <c r="AV169" s="7" t="s">
        <v>3019</v>
      </c>
      <c r="AW169" s="7" t="s">
        <v>3023</v>
      </c>
      <c r="AX169">
        <v>16</v>
      </c>
      <c r="BE169" s="7" t="s">
        <v>3176</v>
      </c>
      <c r="BF169" t="s">
        <v>49</v>
      </c>
      <c r="BH169">
        <v>26</v>
      </c>
      <c r="BI169" t="s">
        <v>120</v>
      </c>
      <c r="BS169" t="s">
        <v>3563</v>
      </c>
      <c r="CH169">
        <v>495</v>
      </c>
      <c r="CI169">
        <v>540</v>
      </c>
      <c r="CJ169">
        <v>720</v>
      </c>
      <c r="CK169">
        <v>835</v>
      </c>
      <c r="CL169">
        <v>462</v>
      </c>
      <c r="CM169">
        <v>300</v>
      </c>
      <c r="CN169" s="2">
        <v>23.5</v>
      </c>
      <c r="CO169">
        <v>25.4</v>
      </c>
      <c r="CP169" s="2">
        <v>291</v>
      </c>
      <c r="CQ169">
        <v>375</v>
      </c>
      <c r="CR169">
        <v>726</v>
      </c>
      <c r="CS169">
        <v>790</v>
      </c>
      <c r="CT169">
        <v>210</v>
      </c>
      <c r="CU169">
        <v>270</v>
      </c>
      <c r="CV169" s="7">
        <v>7.8</v>
      </c>
      <c r="CW169" s="7">
        <v>10.1</v>
      </c>
    </row>
    <row r="170" spans="1:101" x14ac:dyDescent="0.25">
      <c r="A170" t="s">
        <v>801</v>
      </c>
      <c r="B170" t="s">
        <v>678</v>
      </c>
      <c r="C170" t="s">
        <v>38</v>
      </c>
      <c r="D170" t="s">
        <v>802</v>
      </c>
      <c r="E170" t="s">
        <v>2147</v>
      </c>
      <c r="F170" t="s">
        <v>798</v>
      </c>
      <c r="G170" t="s">
        <v>75</v>
      </c>
      <c r="H170">
        <v>48400</v>
      </c>
      <c r="I170" t="s">
        <v>3562</v>
      </c>
      <c r="J170" t="s">
        <v>799</v>
      </c>
      <c r="K170" t="s">
        <v>800</v>
      </c>
      <c r="L170" t="s">
        <v>44</v>
      </c>
      <c r="M170" s="7" t="s">
        <v>2305</v>
      </c>
      <c r="N170" s="7" t="s">
        <v>2565</v>
      </c>
      <c r="O170" s="7" t="s">
        <v>2566</v>
      </c>
      <c r="P170" s="7" t="s">
        <v>2567</v>
      </c>
      <c r="Q170">
        <v>25</v>
      </c>
      <c r="R170">
        <v>10</v>
      </c>
      <c r="X170">
        <v>-15</v>
      </c>
      <c r="Y170">
        <v>50</v>
      </c>
      <c r="Z170">
        <v>-15</v>
      </c>
      <c r="AA170">
        <v>24</v>
      </c>
      <c r="AG170" t="s">
        <v>2950</v>
      </c>
      <c r="AH170" t="s">
        <v>63</v>
      </c>
      <c r="AL170" t="s">
        <v>684</v>
      </c>
      <c r="AN170" s="7">
        <v>6.35</v>
      </c>
      <c r="AO170" s="7">
        <v>9.52</v>
      </c>
      <c r="AP170" s="7">
        <v>16</v>
      </c>
      <c r="AQ170" t="s">
        <v>49</v>
      </c>
      <c r="AR170" t="s">
        <v>49</v>
      </c>
      <c r="AS170" t="s">
        <v>49</v>
      </c>
      <c r="AT170" t="s">
        <v>49</v>
      </c>
      <c r="AU170" t="s">
        <v>78</v>
      </c>
      <c r="AV170" s="7" t="s">
        <v>3019</v>
      </c>
      <c r="AW170" s="7" t="s">
        <v>3023</v>
      </c>
      <c r="AX170">
        <v>16</v>
      </c>
      <c r="BE170" s="7" t="s">
        <v>3177</v>
      </c>
      <c r="BF170" t="s">
        <v>49</v>
      </c>
      <c r="BH170">
        <v>35</v>
      </c>
      <c r="BI170" t="s">
        <v>120</v>
      </c>
      <c r="BS170" t="s">
        <v>3564</v>
      </c>
      <c r="CH170">
        <v>495</v>
      </c>
      <c r="CI170">
        <v>540</v>
      </c>
      <c r="CJ170">
        <v>720</v>
      </c>
      <c r="CK170">
        <v>835</v>
      </c>
      <c r="CL170">
        <v>270</v>
      </c>
      <c r="CM170">
        <v>300</v>
      </c>
      <c r="CN170" s="2">
        <v>23.7</v>
      </c>
      <c r="CO170">
        <v>25.5</v>
      </c>
      <c r="CP170" s="2">
        <v>295</v>
      </c>
      <c r="CQ170">
        <v>290</v>
      </c>
      <c r="CR170">
        <v>835</v>
      </c>
      <c r="CS170">
        <v>905</v>
      </c>
      <c r="CT170">
        <v>208</v>
      </c>
      <c r="CU170">
        <v>355</v>
      </c>
      <c r="CV170" s="7">
        <v>8.4</v>
      </c>
      <c r="CW170" s="7">
        <v>11</v>
      </c>
    </row>
    <row r="171" spans="1:101" x14ac:dyDescent="0.25">
      <c r="A171" t="s">
        <v>803</v>
      </c>
      <c r="B171" t="s">
        <v>678</v>
      </c>
      <c r="C171" t="s">
        <v>38</v>
      </c>
      <c r="D171" t="s">
        <v>804</v>
      </c>
      <c r="E171" t="s">
        <v>2147</v>
      </c>
      <c r="F171" t="s">
        <v>798</v>
      </c>
      <c r="G171" t="s">
        <v>75</v>
      </c>
      <c r="H171">
        <v>75700</v>
      </c>
      <c r="I171" t="s">
        <v>3562</v>
      </c>
      <c r="J171" t="s">
        <v>799</v>
      </c>
      <c r="K171" t="s">
        <v>800</v>
      </c>
      <c r="L171" t="s">
        <v>44</v>
      </c>
      <c r="M171" s="7" t="s">
        <v>2306</v>
      </c>
      <c r="N171" s="7" t="s">
        <v>2568</v>
      </c>
      <c r="O171" s="7" t="s">
        <v>2569</v>
      </c>
      <c r="P171" s="7" t="s">
        <v>2570</v>
      </c>
      <c r="Q171">
        <v>30</v>
      </c>
      <c r="R171">
        <v>20</v>
      </c>
      <c r="X171">
        <v>-15</v>
      </c>
      <c r="Y171">
        <v>50</v>
      </c>
      <c r="Z171">
        <v>-15</v>
      </c>
      <c r="AA171">
        <v>24</v>
      </c>
      <c r="AG171" t="s">
        <v>57</v>
      </c>
      <c r="AH171" t="s">
        <v>63</v>
      </c>
      <c r="AL171" t="s">
        <v>684</v>
      </c>
      <c r="AN171" s="7">
        <v>6.35</v>
      </c>
      <c r="AO171" s="7">
        <v>12.7</v>
      </c>
      <c r="AP171" s="7">
        <v>16</v>
      </c>
      <c r="AQ171" t="s">
        <v>49</v>
      </c>
      <c r="AR171" t="s">
        <v>49</v>
      </c>
      <c r="AS171" t="s">
        <v>49</v>
      </c>
      <c r="AT171" t="s">
        <v>49</v>
      </c>
      <c r="AU171" t="s">
        <v>78</v>
      </c>
      <c r="AV171" s="7" t="s">
        <v>3019</v>
      </c>
      <c r="AW171" s="7" t="s">
        <v>3023</v>
      </c>
      <c r="AX171">
        <v>16</v>
      </c>
      <c r="BE171" s="7" t="s">
        <v>3178</v>
      </c>
      <c r="BF171" t="s">
        <v>49</v>
      </c>
      <c r="BH171">
        <v>53</v>
      </c>
      <c r="BI171" t="s">
        <v>120</v>
      </c>
      <c r="BS171" t="s">
        <v>805</v>
      </c>
      <c r="CH171">
        <v>554</v>
      </c>
      <c r="CI171">
        <v>615</v>
      </c>
      <c r="CJ171">
        <v>874</v>
      </c>
      <c r="CK171">
        <v>915</v>
      </c>
      <c r="CL171">
        <v>330</v>
      </c>
      <c r="CM171">
        <v>370</v>
      </c>
      <c r="CN171" s="2">
        <v>33.5</v>
      </c>
      <c r="CO171">
        <v>36.1</v>
      </c>
      <c r="CP171" s="2">
        <v>320</v>
      </c>
      <c r="CQ171">
        <v>405</v>
      </c>
      <c r="CR171">
        <v>969</v>
      </c>
      <c r="CS171">
        <v>1045</v>
      </c>
      <c r="CT171">
        <v>241</v>
      </c>
      <c r="CU171">
        <v>315</v>
      </c>
      <c r="CV171" s="7">
        <v>11.2</v>
      </c>
      <c r="CW171" s="7">
        <v>14.6</v>
      </c>
    </row>
    <row r="172" spans="1:101" x14ac:dyDescent="0.25">
      <c r="A172" t="s">
        <v>806</v>
      </c>
      <c r="B172" t="s">
        <v>678</v>
      </c>
      <c r="C172" t="s">
        <v>38</v>
      </c>
      <c r="D172" t="s">
        <v>807</v>
      </c>
      <c r="E172" t="s">
        <v>2147</v>
      </c>
      <c r="F172" t="s">
        <v>798</v>
      </c>
      <c r="G172" t="s">
        <v>75</v>
      </c>
      <c r="H172">
        <v>95900</v>
      </c>
      <c r="I172" t="s">
        <v>3562</v>
      </c>
      <c r="J172" t="s">
        <v>799</v>
      </c>
      <c r="K172" t="s">
        <v>800</v>
      </c>
      <c r="L172" t="s">
        <v>44</v>
      </c>
      <c r="M172" s="7" t="s">
        <v>2307</v>
      </c>
      <c r="N172" s="7" t="s">
        <v>2571</v>
      </c>
      <c r="O172" s="7" t="s">
        <v>2572</v>
      </c>
      <c r="P172" s="7" t="s">
        <v>2573</v>
      </c>
      <c r="Q172">
        <v>50</v>
      </c>
      <c r="R172">
        <v>25</v>
      </c>
      <c r="X172">
        <v>-15</v>
      </c>
      <c r="Y172">
        <v>50</v>
      </c>
      <c r="Z172">
        <v>-15</v>
      </c>
      <c r="AA172">
        <v>24</v>
      </c>
      <c r="AG172" t="s">
        <v>2952</v>
      </c>
      <c r="AH172" t="s">
        <v>63</v>
      </c>
      <c r="AL172" t="s">
        <v>684</v>
      </c>
      <c r="AN172" s="7">
        <v>9.52</v>
      </c>
      <c r="AO172" s="7">
        <v>15.9</v>
      </c>
      <c r="AP172" s="7">
        <v>16</v>
      </c>
      <c r="AQ172" t="s">
        <v>49</v>
      </c>
      <c r="AR172" t="s">
        <v>49</v>
      </c>
      <c r="AS172" t="s">
        <v>49</v>
      </c>
      <c r="AT172" t="s">
        <v>49</v>
      </c>
      <c r="AU172" t="s">
        <v>78</v>
      </c>
      <c r="AV172" s="7" t="s">
        <v>3021</v>
      </c>
      <c r="AW172" s="7" t="s">
        <v>3022</v>
      </c>
      <c r="AX172">
        <v>25</v>
      </c>
      <c r="BE172" s="7" t="s">
        <v>3179</v>
      </c>
      <c r="BF172" t="s">
        <v>49</v>
      </c>
      <c r="BH172">
        <v>70</v>
      </c>
      <c r="BI172" t="s">
        <v>120</v>
      </c>
      <c r="BS172" t="s">
        <v>3565</v>
      </c>
      <c r="CH172">
        <v>673</v>
      </c>
      <c r="CI172">
        <v>740</v>
      </c>
      <c r="CJ172">
        <v>955</v>
      </c>
      <c r="CK172">
        <v>995</v>
      </c>
      <c r="CL172">
        <v>342</v>
      </c>
      <c r="CM172">
        <v>398</v>
      </c>
      <c r="CN172" s="2">
        <v>43.9</v>
      </c>
      <c r="CO172">
        <v>46.9</v>
      </c>
      <c r="CP172" s="2">
        <v>336</v>
      </c>
      <c r="CQ172">
        <v>315</v>
      </c>
      <c r="CR172">
        <v>1083</v>
      </c>
      <c r="CS172">
        <v>1155</v>
      </c>
      <c r="CT172">
        <v>244</v>
      </c>
      <c r="CU172">
        <v>415</v>
      </c>
      <c r="CV172" s="7">
        <v>13.6</v>
      </c>
      <c r="CW172" s="7">
        <v>17.3</v>
      </c>
    </row>
    <row r="173" spans="1:101" x14ac:dyDescent="0.25">
      <c r="A173" t="s">
        <v>808</v>
      </c>
      <c r="B173" t="s">
        <v>678</v>
      </c>
      <c r="C173" t="s">
        <v>38</v>
      </c>
      <c r="D173" t="s">
        <v>809</v>
      </c>
      <c r="E173" t="s">
        <v>2147</v>
      </c>
      <c r="F173" t="s">
        <v>810</v>
      </c>
      <c r="G173" t="s">
        <v>75</v>
      </c>
      <c r="H173">
        <v>43100</v>
      </c>
      <c r="I173" t="s">
        <v>3566</v>
      </c>
      <c r="J173" t="s">
        <v>811</v>
      </c>
      <c r="K173" t="s">
        <v>812</v>
      </c>
      <c r="L173" t="s">
        <v>44</v>
      </c>
      <c r="M173" s="7" t="s">
        <v>2308</v>
      </c>
      <c r="N173" s="7" t="s">
        <v>2574</v>
      </c>
      <c r="O173" s="7" t="s">
        <v>2575</v>
      </c>
      <c r="P173" s="7" t="s">
        <v>2576</v>
      </c>
      <c r="Q173">
        <v>25</v>
      </c>
      <c r="R173">
        <v>10</v>
      </c>
      <c r="U173">
        <v>1</v>
      </c>
      <c r="X173">
        <v>-15</v>
      </c>
      <c r="Y173">
        <v>50</v>
      </c>
      <c r="Z173">
        <v>-15</v>
      </c>
      <c r="AA173">
        <v>30</v>
      </c>
      <c r="AG173" t="s">
        <v>2918</v>
      </c>
      <c r="AH173" t="s">
        <v>63</v>
      </c>
      <c r="AL173" t="s">
        <v>684</v>
      </c>
      <c r="AN173" s="7">
        <v>6.35</v>
      </c>
      <c r="AO173" s="7">
        <v>9.52</v>
      </c>
      <c r="AQ173" t="s">
        <v>49</v>
      </c>
      <c r="AR173" t="s">
        <v>49</v>
      </c>
      <c r="AS173" t="s">
        <v>49</v>
      </c>
      <c r="AT173" t="s">
        <v>49</v>
      </c>
      <c r="AU173" t="s">
        <v>78</v>
      </c>
      <c r="AV173" s="7" t="s">
        <v>3019</v>
      </c>
      <c r="AW173" s="7" t="s">
        <v>3023</v>
      </c>
      <c r="AX173">
        <v>16</v>
      </c>
      <c r="BE173" s="7" t="s">
        <v>3180</v>
      </c>
      <c r="BF173" t="s">
        <v>49</v>
      </c>
      <c r="BH173">
        <v>26</v>
      </c>
      <c r="BI173" t="s">
        <v>120</v>
      </c>
      <c r="BS173" t="s">
        <v>813</v>
      </c>
      <c r="CH173">
        <v>555</v>
      </c>
      <c r="CI173">
        <v>595</v>
      </c>
      <c r="CJ173">
        <v>770</v>
      </c>
      <c r="CK173">
        <v>900</v>
      </c>
      <c r="CL173">
        <v>300</v>
      </c>
      <c r="CM173">
        <v>345</v>
      </c>
      <c r="CN173" s="2">
        <v>26.8</v>
      </c>
      <c r="CO173">
        <v>29.1</v>
      </c>
      <c r="CP173" s="2">
        <v>302</v>
      </c>
      <c r="CQ173">
        <v>290</v>
      </c>
      <c r="CR173">
        <v>717</v>
      </c>
      <c r="CS173">
        <v>785</v>
      </c>
      <c r="CT173">
        <v>193</v>
      </c>
      <c r="CU173">
        <v>375</v>
      </c>
      <c r="CV173" s="7">
        <v>7.8</v>
      </c>
      <c r="CW173" s="7">
        <v>10.3</v>
      </c>
    </row>
    <row r="174" spans="1:101" x14ac:dyDescent="0.25">
      <c r="A174" t="s">
        <v>814</v>
      </c>
      <c r="B174" t="s">
        <v>678</v>
      </c>
      <c r="C174" t="s">
        <v>38</v>
      </c>
      <c r="D174" t="s">
        <v>815</v>
      </c>
      <c r="E174" t="s">
        <v>2147</v>
      </c>
      <c r="F174" t="s">
        <v>810</v>
      </c>
      <c r="G174" t="s">
        <v>75</v>
      </c>
      <c r="H174">
        <v>48400</v>
      </c>
      <c r="I174" t="s">
        <v>3566</v>
      </c>
      <c r="J174" t="s">
        <v>811</v>
      </c>
      <c r="K174" t="s">
        <v>812</v>
      </c>
      <c r="L174" t="s">
        <v>44</v>
      </c>
      <c r="M174" s="7" t="s">
        <v>2309</v>
      </c>
      <c r="N174" s="7" t="s">
        <v>2577</v>
      </c>
      <c r="O174" s="7" t="s">
        <v>2578</v>
      </c>
      <c r="P174" s="7" t="s">
        <v>2579</v>
      </c>
      <c r="Q174">
        <v>25</v>
      </c>
      <c r="R174">
        <v>10</v>
      </c>
      <c r="U174">
        <v>1</v>
      </c>
      <c r="X174">
        <v>-15</v>
      </c>
      <c r="Y174">
        <v>50</v>
      </c>
      <c r="Z174">
        <v>-15</v>
      </c>
      <c r="AA174">
        <v>30</v>
      </c>
      <c r="AG174" t="s">
        <v>2922</v>
      </c>
      <c r="AH174" t="s">
        <v>63</v>
      </c>
      <c r="AL174" t="s">
        <v>684</v>
      </c>
      <c r="AN174" s="7">
        <v>6.35</v>
      </c>
      <c r="AO174" s="7">
        <v>9.52</v>
      </c>
      <c r="AQ174" t="s">
        <v>49</v>
      </c>
      <c r="AR174" t="s">
        <v>49</v>
      </c>
      <c r="AS174" t="s">
        <v>49</v>
      </c>
      <c r="AT174" t="s">
        <v>49</v>
      </c>
      <c r="AU174" t="s">
        <v>78</v>
      </c>
      <c r="AV174" s="7" t="s">
        <v>3019</v>
      </c>
      <c r="AW174" s="7" t="s">
        <v>3023</v>
      </c>
      <c r="AX174">
        <v>16</v>
      </c>
      <c r="BE174" s="7" t="s">
        <v>3181</v>
      </c>
      <c r="BF174" t="s">
        <v>49</v>
      </c>
      <c r="BH174">
        <v>35</v>
      </c>
      <c r="BI174" t="s">
        <v>120</v>
      </c>
      <c r="BS174" t="s">
        <v>816</v>
      </c>
      <c r="CH174">
        <v>555</v>
      </c>
      <c r="CI174">
        <v>595</v>
      </c>
      <c r="CJ174">
        <v>770</v>
      </c>
      <c r="CK174">
        <v>900</v>
      </c>
      <c r="CL174">
        <v>300</v>
      </c>
      <c r="CM174">
        <v>345</v>
      </c>
      <c r="CN174" s="2">
        <v>27</v>
      </c>
      <c r="CO174">
        <v>29.4</v>
      </c>
      <c r="CP174" s="2">
        <v>302</v>
      </c>
      <c r="CQ174">
        <v>290</v>
      </c>
      <c r="CR174">
        <v>805</v>
      </c>
      <c r="CS174">
        <v>875</v>
      </c>
      <c r="CT174">
        <v>193</v>
      </c>
      <c r="CU174">
        <v>375</v>
      </c>
      <c r="CV174" s="7">
        <v>8.1999999999999993</v>
      </c>
      <c r="CW174" s="7">
        <v>10.9</v>
      </c>
    </row>
    <row r="175" spans="1:101" x14ac:dyDescent="0.25">
      <c r="A175" t="s">
        <v>817</v>
      </c>
      <c r="B175" t="s">
        <v>678</v>
      </c>
      <c r="C175" t="s">
        <v>38</v>
      </c>
      <c r="D175" t="s">
        <v>818</v>
      </c>
      <c r="E175" t="s">
        <v>2147</v>
      </c>
      <c r="F175" t="s">
        <v>810</v>
      </c>
      <c r="G175" t="s">
        <v>75</v>
      </c>
      <c r="H175">
        <v>75700</v>
      </c>
      <c r="I175" t="s">
        <v>3566</v>
      </c>
      <c r="J175" t="s">
        <v>811</v>
      </c>
      <c r="K175" t="s">
        <v>812</v>
      </c>
      <c r="L175" t="s">
        <v>44</v>
      </c>
      <c r="M175" s="7" t="s">
        <v>2310</v>
      </c>
      <c r="N175" s="7" t="s">
        <v>2580</v>
      </c>
      <c r="O175" s="7" t="s">
        <v>2581</v>
      </c>
      <c r="P175" s="7" t="s">
        <v>2582</v>
      </c>
      <c r="Q175">
        <v>30</v>
      </c>
      <c r="R175">
        <v>20</v>
      </c>
      <c r="U175">
        <v>1</v>
      </c>
      <c r="X175">
        <v>-15</v>
      </c>
      <c r="Y175">
        <v>50</v>
      </c>
      <c r="Z175">
        <v>-15</v>
      </c>
      <c r="AA175">
        <v>30</v>
      </c>
      <c r="AG175" t="s">
        <v>2921</v>
      </c>
      <c r="AH175" t="s">
        <v>63</v>
      </c>
      <c r="AL175" t="s">
        <v>684</v>
      </c>
      <c r="AN175" s="7">
        <v>6.35</v>
      </c>
      <c r="AO175" s="7">
        <v>12.7</v>
      </c>
      <c r="AQ175" t="s">
        <v>49</v>
      </c>
      <c r="AR175" t="s">
        <v>49</v>
      </c>
      <c r="AS175" t="s">
        <v>49</v>
      </c>
      <c r="AT175" t="s">
        <v>49</v>
      </c>
      <c r="AU175" t="s">
        <v>78</v>
      </c>
      <c r="AV175" s="7" t="s">
        <v>3019</v>
      </c>
      <c r="AW175" s="7" t="s">
        <v>3023</v>
      </c>
      <c r="AX175">
        <v>16</v>
      </c>
      <c r="BE175" s="7" t="s">
        <v>3182</v>
      </c>
      <c r="BF175" t="s">
        <v>49</v>
      </c>
      <c r="BH175">
        <v>53</v>
      </c>
      <c r="BI175" t="s">
        <v>120</v>
      </c>
      <c r="BS175" t="s">
        <v>819</v>
      </c>
      <c r="CH175">
        <v>554</v>
      </c>
      <c r="CI175">
        <v>615</v>
      </c>
      <c r="CJ175">
        <v>800</v>
      </c>
      <c r="CK175">
        <v>920</v>
      </c>
      <c r="CL175">
        <v>333</v>
      </c>
      <c r="CM175">
        <v>390</v>
      </c>
      <c r="CN175" s="2">
        <v>37</v>
      </c>
      <c r="CO175">
        <v>39.9</v>
      </c>
      <c r="CP175" s="2">
        <v>325</v>
      </c>
      <c r="CQ175">
        <v>310</v>
      </c>
      <c r="CR175">
        <v>964</v>
      </c>
      <c r="CS175">
        <v>1045</v>
      </c>
      <c r="CT175">
        <v>222</v>
      </c>
      <c r="CU175">
        <v>405</v>
      </c>
      <c r="CV175" s="7">
        <v>10.8</v>
      </c>
      <c r="CW175" s="7">
        <v>14.3</v>
      </c>
    </row>
    <row r="176" spans="1:101" x14ac:dyDescent="0.25">
      <c r="A176" t="s">
        <v>820</v>
      </c>
      <c r="B176" t="s">
        <v>678</v>
      </c>
      <c r="C176" t="s">
        <v>38</v>
      </c>
      <c r="D176" t="s">
        <v>821</v>
      </c>
      <c r="E176" t="s">
        <v>2147</v>
      </c>
      <c r="F176" t="s">
        <v>810</v>
      </c>
      <c r="G176" t="s">
        <v>75</v>
      </c>
      <c r="H176">
        <v>95900</v>
      </c>
      <c r="I176" t="s">
        <v>3566</v>
      </c>
      <c r="J176" t="s">
        <v>811</v>
      </c>
      <c r="K176" t="s">
        <v>812</v>
      </c>
      <c r="L176" t="s">
        <v>44</v>
      </c>
      <c r="M176" s="7" t="s">
        <v>2311</v>
      </c>
      <c r="N176" s="7" t="s">
        <v>2583</v>
      </c>
      <c r="O176" s="7" t="s">
        <v>2584</v>
      </c>
      <c r="P176" s="7" t="s">
        <v>2585</v>
      </c>
      <c r="Q176">
        <v>50</v>
      </c>
      <c r="R176">
        <v>25</v>
      </c>
      <c r="U176">
        <v>1</v>
      </c>
      <c r="X176">
        <v>-15</v>
      </c>
      <c r="Y176">
        <v>50</v>
      </c>
      <c r="Z176">
        <v>-15</v>
      </c>
      <c r="AA176">
        <v>30</v>
      </c>
      <c r="AG176" t="s">
        <v>2952</v>
      </c>
      <c r="AH176" t="s">
        <v>63</v>
      </c>
      <c r="AL176" t="s">
        <v>684</v>
      </c>
      <c r="AN176" s="7">
        <v>9.52</v>
      </c>
      <c r="AO176" s="7">
        <v>15.9</v>
      </c>
      <c r="AQ176" t="s">
        <v>49</v>
      </c>
      <c r="AR176" t="s">
        <v>49</v>
      </c>
      <c r="AS176" t="s">
        <v>49</v>
      </c>
      <c r="AT176" t="s">
        <v>49</v>
      </c>
      <c r="AU176" t="s">
        <v>78</v>
      </c>
      <c r="AV176" s="7" t="s">
        <v>3021</v>
      </c>
      <c r="AW176" s="7" t="s">
        <v>3022</v>
      </c>
      <c r="AX176">
        <v>25</v>
      </c>
      <c r="BE176" s="7" t="s">
        <v>3183</v>
      </c>
      <c r="BF176" t="s">
        <v>49</v>
      </c>
      <c r="BH176">
        <v>73</v>
      </c>
      <c r="BI176" t="s">
        <v>120</v>
      </c>
      <c r="BS176" t="s">
        <v>822</v>
      </c>
      <c r="CH176">
        <v>702</v>
      </c>
      <c r="CI176">
        <v>775</v>
      </c>
      <c r="CJ176">
        <v>845</v>
      </c>
      <c r="CK176">
        <v>965</v>
      </c>
      <c r="CL176">
        <v>363</v>
      </c>
      <c r="CM176">
        <v>395</v>
      </c>
      <c r="CN176" s="2">
        <v>51.5</v>
      </c>
      <c r="CO176">
        <v>54.6</v>
      </c>
      <c r="CP176" s="2">
        <v>342</v>
      </c>
      <c r="CQ176">
        <v>320</v>
      </c>
      <c r="CR176">
        <v>1106</v>
      </c>
      <c r="CS176">
        <v>1195</v>
      </c>
      <c r="CT176">
        <v>232</v>
      </c>
      <c r="CU176">
        <v>420</v>
      </c>
      <c r="CV176" s="7">
        <v>14.3</v>
      </c>
      <c r="CW176" s="7">
        <v>18.2</v>
      </c>
    </row>
    <row r="177" spans="1:101" x14ac:dyDescent="0.25">
      <c r="A177" t="s">
        <v>823</v>
      </c>
      <c r="B177" t="s">
        <v>678</v>
      </c>
      <c r="C177" t="s">
        <v>38</v>
      </c>
      <c r="D177" t="s">
        <v>824</v>
      </c>
      <c r="E177" t="s">
        <v>2147</v>
      </c>
      <c r="F177" t="s">
        <v>825</v>
      </c>
      <c r="G177" t="s">
        <v>75</v>
      </c>
      <c r="H177">
        <v>63400</v>
      </c>
      <c r="I177" t="s">
        <v>3567</v>
      </c>
      <c r="J177" t="s">
        <v>826</v>
      </c>
      <c r="K177" t="s">
        <v>827</v>
      </c>
      <c r="L177" t="s">
        <v>44</v>
      </c>
      <c r="M177" s="7" t="s">
        <v>2312</v>
      </c>
      <c r="N177" s="7" t="s">
        <v>2586</v>
      </c>
      <c r="O177" s="7" t="s">
        <v>2587</v>
      </c>
      <c r="P177" s="7" t="s">
        <v>2588</v>
      </c>
      <c r="Q177">
        <v>25</v>
      </c>
      <c r="R177">
        <v>10</v>
      </c>
      <c r="U177">
        <v>1</v>
      </c>
      <c r="X177">
        <v>-15</v>
      </c>
      <c r="Y177">
        <v>50</v>
      </c>
      <c r="Z177">
        <v>-15</v>
      </c>
      <c r="AA177">
        <v>30</v>
      </c>
      <c r="AD177">
        <v>12</v>
      </c>
      <c r="AG177" t="s">
        <v>2959</v>
      </c>
      <c r="AH177" t="s">
        <v>659</v>
      </c>
      <c r="AL177" t="s">
        <v>684</v>
      </c>
      <c r="AN177" s="7">
        <v>6.35</v>
      </c>
      <c r="AO177" s="7">
        <v>9.52</v>
      </c>
      <c r="AP177" s="7">
        <v>16</v>
      </c>
      <c r="AQ177" t="s">
        <v>49</v>
      </c>
      <c r="AR177" t="s">
        <v>49</v>
      </c>
      <c r="AS177" t="s">
        <v>49</v>
      </c>
      <c r="AT177" t="s">
        <v>49</v>
      </c>
      <c r="AU177" t="s">
        <v>78</v>
      </c>
      <c r="AV177" s="7" t="s">
        <v>3019</v>
      </c>
      <c r="AW177" s="7" t="s">
        <v>3023</v>
      </c>
      <c r="AX177">
        <v>16</v>
      </c>
      <c r="BE177" s="7" t="s">
        <v>3184</v>
      </c>
      <c r="BF177" t="s">
        <v>49</v>
      </c>
      <c r="BH177">
        <v>26</v>
      </c>
      <c r="BI177" t="s">
        <v>120</v>
      </c>
      <c r="BS177" t="s">
        <v>3568</v>
      </c>
      <c r="CH177">
        <v>555</v>
      </c>
      <c r="CI177">
        <v>595</v>
      </c>
      <c r="CJ177">
        <v>770</v>
      </c>
      <c r="CK177">
        <v>900</v>
      </c>
      <c r="CL177">
        <v>300</v>
      </c>
      <c r="CM177">
        <v>345</v>
      </c>
      <c r="CN177" s="2">
        <v>27</v>
      </c>
      <c r="CO177">
        <v>29.4</v>
      </c>
      <c r="CP177" s="2">
        <v>312</v>
      </c>
      <c r="CQ177">
        <v>265</v>
      </c>
      <c r="CR177">
        <v>897</v>
      </c>
      <c r="CS177">
        <v>985</v>
      </c>
      <c r="CT177">
        <v>182</v>
      </c>
      <c r="CU177">
        <v>385</v>
      </c>
      <c r="CV177" s="7">
        <v>10.5</v>
      </c>
      <c r="CW177" s="7">
        <v>13.9</v>
      </c>
    </row>
    <row r="178" spans="1:101" x14ac:dyDescent="0.25">
      <c r="A178" t="s">
        <v>828</v>
      </c>
      <c r="B178" t="s">
        <v>678</v>
      </c>
      <c r="C178" t="s">
        <v>38</v>
      </c>
      <c r="D178" t="s">
        <v>829</v>
      </c>
      <c r="E178" t="s">
        <v>2147</v>
      </c>
      <c r="F178" t="s">
        <v>825</v>
      </c>
      <c r="G178" t="s">
        <v>75</v>
      </c>
      <c r="H178">
        <v>63400</v>
      </c>
      <c r="I178" t="s">
        <v>3569</v>
      </c>
      <c r="J178" t="s">
        <v>826</v>
      </c>
      <c r="K178" t="s">
        <v>827</v>
      </c>
      <c r="L178" t="s">
        <v>44</v>
      </c>
      <c r="M178" s="7" t="s">
        <v>2313</v>
      </c>
      <c r="N178" s="7" t="s">
        <v>2589</v>
      </c>
      <c r="O178" s="7" t="s">
        <v>2590</v>
      </c>
      <c r="P178" s="7" t="s">
        <v>2591</v>
      </c>
      <c r="Q178">
        <v>25</v>
      </c>
      <c r="R178">
        <v>10</v>
      </c>
      <c r="U178">
        <v>1</v>
      </c>
      <c r="X178">
        <v>-15</v>
      </c>
      <c r="Y178">
        <v>50</v>
      </c>
      <c r="Z178">
        <v>-15</v>
      </c>
      <c r="AA178">
        <v>30</v>
      </c>
      <c r="AG178" t="s">
        <v>2968</v>
      </c>
      <c r="AH178" t="s">
        <v>2969</v>
      </c>
      <c r="AL178" t="s">
        <v>684</v>
      </c>
      <c r="AN178" s="7">
        <v>6.35</v>
      </c>
      <c r="AO178" s="7">
        <v>9.52</v>
      </c>
      <c r="AQ178" t="s">
        <v>49</v>
      </c>
      <c r="AR178" t="s">
        <v>49</v>
      </c>
      <c r="AS178" t="s">
        <v>49</v>
      </c>
      <c r="AT178" t="s">
        <v>49</v>
      </c>
      <c r="AU178" t="s">
        <v>78</v>
      </c>
      <c r="AV178" s="7" t="s">
        <v>3019</v>
      </c>
      <c r="AW178" s="7" t="s">
        <v>3023</v>
      </c>
      <c r="AX178">
        <v>16</v>
      </c>
      <c r="BE178" s="7" t="s">
        <v>3185</v>
      </c>
      <c r="BF178" t="s">
        <v>49</v>
      </c>
      <c r="BH178">
        <v>26</v>
      </c>
      <c r="BI178" t="s">
        <v>120</v>
      </c>
      <c r="BS178" t="s">
        <v>3570</v>
      </c>
      <c r="CH178">
        <v>555</v>
      </c>
      <c r="CI178">
        <v>610</v>
      </c>
      <c r="CJ178">
        <v>765</v>
      </c>
      <c r="CK178">
        <v>887</v>
      </c>
      <c r="CL178">
        <v>303</v>
      </c>
      <c r="CM178">
        <v>337</v>
      </c>
      <c r="CN178" s="2">
        <v>26.7</v>
      </c>
      <c r="CO178">
        <v>29.1</v>
      </c>
      <c r="CP178" s="2">
        <v>312</v>
      </c>
      <c r="CQ178">
        <v>265</v>
      </c>
      <c r="CR178">
        <v>897</v>
      </c>
      <c r="CS178">
        <v>985</v>
      </c>
      <c r="CT178">
        <v>182</v>
      </c>
      <c r="CU178">
        <v>385</v>
      </c>
      <c r="CV178" s="7">
        <v>10.5</v>
      </c>
      <c r="CW178" s="7">
        <v>14.2</v>
      </c>
    </row>
    <row r="179" spans="1:101" x14ac:dyDescent="0.25">
      <c r="A179" t="s">
        <v>830</v>
      </c>
      <c r="B179" t="s">
        <v>678</v>
      </c>
      <c r="C179" t="s">
        <v>38</v>
      </c>
      <c r="D179" t="s">
        <v>831</v>
      </c>
      <c r="E179" t="s">
        <v>2147</v>
      </c>
      <c r="F179" t="s">
        <v>825</v>
      </c>
      <c r="G179" t="s">
        <v>41</v>
      </c>
      <c r="H179">
        <v>66600</v>
      </c>
      <c r="I179" t="s">
        <v>3567</v>
      </c>
      <c r="J179" t="s">
        <v>826</v>
      </c>
      <c r="K179" t="s">
        <v>827</v>
      </c>
      <c r="L179" t="s">
        <v>44</v>
      </c>
      <c r="M179" s="7" t="s">
        <v>2314</v>
      </c>
      <c r="N179" s="7" t="s">
        <v>2592</v>
      </c>
      <c r="O179" s="7" t="s">
        <v>2593</v>
      </c>
      <c r="P179" s="7" t="s">
        <v>2594</v>
      </c>
      <c r="Q179">
        <v>25</v>
      </c>
      <c r="R179">
        <v>10</v>
      </c>
      <c r="U179">
        <v>1</v>
      </c>
      <c r="X179">
        <v>-15</v>
      </c>
      <c r="Y179">
        <v>50</v>
      </c>
      <c r="Z179">
        <v>-15</v>
      </c>
      <c r="AA179">
        <v>30</v>
      </c>
      <c r="AD179">
        <v>16</v>
      </c>
      <c r="AG179" t="s">
        <v>2970</v>
      </c>
      <c r="AH179" t="s">
        <v>659</v>
      </c>
      <c r="AL179" t="s">
        <v>684</v>
      </c>
      <c r="AN179" s="7">
        <v>6.35</v>
      </c>
      <c r="AO179" s="7">
        <v>9.52</v>
      </c>
      <c r="AP179" s="7">
        <v>16</v>
      </c>
      <c r="AQ179" t="s">
        <v>49</v>
      </c>
      <c r="AR179" t="s">
        <v>49</v>
      </c>
      <c r="AS179" t="s">
        <v>49</v>
      </c>
      <c r="AT179" t="s">
        <v>49</v>
      </c>
      <c r="AU179" t="s">
        <v>78</v>
      </c>
      <c r="AV179" s="7" t="s">
        <v>3019</v>
      </c>
      <c r="AW179" s="7" t="s">
        <v>3023</v>
      </c>
      <c r="AX179">
        <v>16</v>
      </c>
      <c r="BE179" s="7" t="s">
        <v>3186</v>
      </c>
      <c r="BF179" t="s">
        <v>49</v>
      </c>
      <c r="BH179">
        <v>35</v>
      </c>
      <c r="BI179" t="s">
        <v>120</v>
      </c>
      <c r="BS179" t="s">
        <v>3568</v>
      </c>
      <c r="CH179">
        <v>555</v>
      </c>
      <c r="CI179">
        <v>595</v>
      </c>
      <c r="CJ179">
        <v>770</v>
      </c>
      <c r="CK179">
        <v>900</v>
      </c>
      <c r="CL179">
        <v>300</v>
      </c>
      <c r="CM179">
        <v>345</v>
      </c>
      <c r="CN179" s="2">
        <v>27</v>
      </c>
      <c r="CO179">
        <v>29.4</v>
      </c>
      <c r="CP179" s="2">
        <v>312</v>
      </c>
      <c r="CQ179">
        <v>385</v>
      </c>
      <c r="CR179">
        <v>897</v>
      </c>
      <c r="CS179">
        <v>985</v>
      </c>
      <c r="CT179">
        <v>182</v>
      </c>
      <c r="CU179">
        <v>265</v>
      </c>
      <c r="CV179" s="7">
        <v>10.5</v>
      </c>
      <c r="CW179" s="7">
        <v>13.9</v>
      </c>
    </row>
    <row r="180" spans="1:101" x14ac:dyDescent="0.25">
      <c r="A180" t="s">
        <v>832</v>
      </c>
      <c r="B180" t="s">
        <v>678</v>
      </c>
      <c r="C180" t="s">
        <v>38</v>
      </c>
      <c r="D180" t="s">
        <v>833</v>
      </c>
      <c r="E180" t="s">
        <v>2147</v>
      </c>
      <c r="F180" t="s">
        <v>825</v>
      </c>
      <c r="G180" t="s">
        <v>41</v>
      </c>
      <c r="H180">
        <v>66600</v>
      </c>
      <c r="I180" t="s">
        <v>3569</v>
      </c>
      <c r="J180" t="s">
        <v>826</v>
      </c>
      <c r="K180" t="s">
        <v>827</v>
      </c>
      <c r="L180" t="s">
        <v>44</v>
      </c>
      <c r="M180" s="7" t="s">
        <v>2315</v>
      </c>
      <c r="N180" s="7" t="s">
        <v>2595</v>
      </c>
      <c r="O180" s="7" t="s">
        <v>2596</v>
      </c>
      <c r="P180" s="7" t="s">
        <v>2597</v>
      </c>
      <c r="Q180">
        <v>25</v>
      </c>
      <c r="R180">
        <v>10</v>
      </c>
      <c r="U180">
        <v>1</v>
      </c>
      <c r="X180">
        <v>-15</v>
      </c>
      <c r="Y180">
        <v>50</v>
      </c>
      <c r="Z180">
        <v>-15</v>
      </c>
      <c r="AA180">
        <v>30</v>
      </c>
      <c r="AG180" t="s">
        <v>2933</v>
      </c>
      <c r="AH180" t="s">
        <v>2958</v>
      </c>
      <c r="AL180" t="s">
        <v>684</v>
      </c>
      <c r="AN180" s="7">
        <v>6.35</v>
      </c>
      <c r="AO180" s="7">
        <v>9.52</v>
      </c>
      <c r="AQ180" t="s">
        <v>49</v>
      </c>
      <c r="AR180" t="s">
        <v>49</v>
      </c>
      <c r="AS180" t="s">
        <v>49</v>
      </c>
      <c r="AT180" t="s">
        <v>49</v>
      </c>
      <c r="AU180" t="s">
        <v>78</v>
      </c>
      <c r="AV180" s="7" t="s">
        <v>3019</v>
      </c>
      <c r="AW180" s="7" t="s">
        <v>3023</v>
      </c>
      <c r="AX180">
        <v>16</v>
      </c>
      <c r="BE180" s="7" t="s">
        <v>3187</v>
      </c>
      <c r="BF180" t="s">
        <v>49</v>
      </c>
      <c r="BH180">
        <v>35</v>
      </c>
      <c r="BI180" t="s">
        <v>120</v>
      </c>
      <c r="BS180" t="s">
        <v>3570</v>
      </c>
      <c r="CH180">
        <v>555</v>
      </c>
      <c r="CI180">
        <v>610</v>
      </c>
      <c r="CJ180">
        <v>765</v>
      </c>
      <c r="CK180">
        <v>887</v>
      </c>
      <c r="CL180">
        <v>303</v>
      </c>
      <c r="CM180">
        <v>337</v>
      </c>
      <c r="CN180" s="2">
        <v>26.7</v>
      </c>
      <c r="CO180">
        <v>29.1</v>
      </c>
      <c r="CP180" s="2">
        <v>312</v>
      </c>
      <c r="CQ180">
        <v>265</v>
      </c>
      <c r="CR180">
        <v>897</v>
      </c>
      <c r="CS180">
        <v>985</v>
      </c>
      <c r="CT180">
        <v>182</v>
      </c>
      <c r="CU180">
        <v>385</v>
      </c>
      <c r="CV180" s="7">
        <v>10.5</v>
      </c>
      <c r="CW180" s="7">
        <v>14.2</v>
      </c>
    </row>
    <row r="181" spans="1:101" x14ac:dyDescent="0.25">
      <c r="A181" t="s">
        <v>834</v>
      </c>
      <c r="B181" t="s">
        <v>678</v>
      </c>
      <c r="C181" t="s">
        <v>38</v>
      </c>
      <c r="D181" t="s">
        <v>835</v>
      </c>
      <c r="E181" t="s">
        <v>2147</v>
      </c>
      <c r="F181" t="s">
        <v>836</v>
      </c>
      <c r="G181" t="s">
        <v>75</v>
      </c>
      <c r="H181">
        <v>58000</v>
      </c>
      <c r="I181" t="s">
        <v>3571</v>
      </c>
      <c r="J181" t="s">
        <v>837</v>
      </c>
      <c r="K181" t="s">
        <v>838</v>
      </c>
      <c r="L181" t="s">
        <v>44</v>
      </c>
      <c r="M181" s="7" t="s">
        <v>2299</v>
      </c>
      <c r="N181" s="7" t="s">
        <v>2598</v>
      </c>
      <c r="O181" s="7" t="s">
        <v>2599</v>
      </c>
      <c r="P181" s="7" t="s">
        <v>2600</v>
      </c>
      <c r="Q181">
        <v>25</v>
      </c>
      <c r="R181">
        <v>10</v>
      </c>
      <c r="X181">
        <v>-15</v>
      </c>
      <c r="Y181">
        <v>50</v>
      </c>
      <c r="Z181">
        <v>-15</v>
      </c>
      <c r="AA181">
        <v>24</v>
      </c>
      <c r="AG181" t="s">
        <v>2971</v>
      </c>
      <c r="AH181" t="s">
        <v>2958</v>
      </c>
      <c r="AL181" t="s">
        <v>684</v>
      </c>
      <c r="AN181" s="7">
        <v>6.35</v>
      </c>
      <c r="AO181" s="7">
        <v>9.52</v>
      </c>
      <c r="AQ181" t="s">
        <v>49</v>
      </c>
      <c r="AR181" t="s">
        <v>49</v>
      </c>
      <c r="AS181" t="s">
        <v>49</v>
      </c>
      <c r="AT181" t="s">
        <v>49</v>
      </c>
      <c r="AU181" t="s">
        <v>78</v>
      </c>
      <c r="AV181" s="7" t="s">
        <v>3019</v>
      </c>
      <c r="AW181" s="7" t="s">
        <v>3023</v>
      </c>
      <c r="AX181">
        <v>16</v>
      </c>
      <c r="BE181" s="7" t="s">
        <v>3188</v>
      </c>
      <c r="BF181" t="s">
        <v>49</v>
      </c>
      <c r="BH181">
        <v>26</v>
      </c>
      <c r="BI181" t="s">
        <v>120</v>
      </c>
      <c r="BS181" t="s">
        <v>3572</v>
      </c>
      <c r="CH181">
        <v>555</v>
      </c>
      <c r="CI181">
        <v>610</v>
      </c>
      <c r="CJ181">
        <v>765</v>
      </c>
      <c r="CK181">
        <v>887</v>
      </c>
      <c r="CL181">
        <v>303</v>
      </c>
      <c r="CM181">
        <v>337</v>
      </c>
      <c r="CN181" s="2">
        <v>26.4</v>
      </c>
      <c r="CO181">
        <v>28.8</v>
      </c>
      <c r="CP181" s="2">
        <v>211</v>
      </c>
      <c r="CQ181">
        <v>295</v>
      </c>
      <c r="CR181">
        <v>920</v>
      </c>
      <c r="CS181">
        <v>1005</v>
      </c>
      <c r="CT181">
        <v>321</v>
      </c>
      <c r="CU181">
        <v>385</v>
      </c>
      <c r="CV181" s="7">
        <v>11.3</v>
      </c>
      <c r="CW181" s="7">
        <v>14.16</v>
      </c>
    </row>
    <row r="182" spans="1:101" x14ac:dyDescent="0.25">
      <c r="A182" t="s">
        <v>839</v>
      </c>
      <c r="B182" t="s">
        <v>678</v>
      </c>
      <c r="C182" t="s">
        <v>38</v>
      </c>
      <c r="D182" t="s">
        <v>840</v>
      </c>
      <c r="E182" t="s">
        <v>2147</v>
      </c>
      <c r="F182" t="s">
        <v>836</v>
      </c>
      <c r="G182" t="s">
        <v>75</v>
      </c>
      <c r="H182">
        <v>62400</v>
      </c>
      <c r="I182" t="s">
        <v>3571</v>
      </c>
      <c r="J182" t="s">
        <v>837</v>
      </c>
      <c r="K182" t="s">
        <v>838</v>
      </c>
      <c r="L182" t="s">
        <v>44</v>
      </c>
      <c r="M182" s="7" t="s">
        <v>2316</v>
      </c>
      <c r="N182" s="7" t="s">
        <v>2601</v>
      </c>
      <c r="O182" s="7" t="s">
        <v>2602</v>
      </c>
      <c r="P182" s="7" t="s">
        <v>2603</v>
      </c>
      <c r="Q182">
        <v>25</v>
      </c>
      <c r="R182">
        <v>10</v>
      </c>
      <c r="X182">
        <v>-15</v>
      </c>
      <c r="Y182">
        <v>50</v>
      </c>
      <c r="Z182">
        <v>-15</v>
      </c>
      <c r="AA182">
        <v>24</v>
      </c>
      <c r="AG182" t="s">
        <v>2933</v>
      </c>
      <c r="AH182" t="s">
        <v>2958</v>
      </c>
      <c r="AL182" t="s">
        <v>684</v>
      </c>
      <c r="AN182" s="7">
        <v>6.35</v>
      </c>
      <c r="AO182" s="7">
        <v>9.52</v>
      </c>
      <c r="AQ182" t="s">
        <v>49</v>
      </c>
      <c r="AR182" t="s">
        <v>49</v>
      </c>
      <c r="AS182" t="s">
        <v>49</v>
      </c>
      <c r="AT182" t="s">
        <v>49</v>
      </c>
      <c r="AU182" t="s">
        <v>78</v>
      </c>
      <c r="AV182" s="7" t="s">
        <v>3019</v>
      </c>
      <c r="AW182" s="7" t="s">
        <v>3023</v>
      </c>
      <c r="AX182">
        <v>16</v>
      </c>
      <c r="BE182" s="7" t="s">
        <v>3189</v>
      </c>
      <c r="BF182" t="s">
        <v>49</v>
      </c>
      <c r="BH182">
        <v>35</v>
      </c>
      <c r="BI182" t="s">
        <v>120</v>
      </c>
      <c r="BS182" t="s">
        <v>3572</v>
      </c>
      <c r="CH182">
        <v>555</v>
      </c>
      <c r="CI182">
        <v>610</v>
      </c>
      <c r="CJ182">
        <v>765</v>
      </c>
      <c r="CK182">
        <v>887</v>
      </c>
      <c r="CL182">
        <v>303</v>
      </c>
      <c r="CM182">
        <v>337</v>
      </c>
      <c r="CN182" s="2">
        <v>26.4</v>
      </c>
      <c r="CO182">
        <v>28.8</v>
      </c>
      <c r="CP182" s="2">
        <v>211</v>
      </c>
      <c r="CQ182">
        <v>295</v>
      </c>
      <c r="CR182">
        <v>920</v>
      </c>
      <c r="CS182">
        <v>1005</v>
      </c>
      <c r="CT182">
        <v>321</v>
      </c>
      <c r="CU182">
        <v>385</v>
      </c>
      <c r="CV182" s="7">
        <v>11.3</v>
      </c>
      <c r="CW182" s="7">
        <v>14.16</v>
      </c>
    </row>
    <row r="183" spans="1:101" x14ac:dyDescent="0.25">
      <c r="A183" t="s">
        <v>841</v>
      </c>
      <c r="B183" t="s">
        <v>678</v>
      </c>
      <c r="C183" t="s">
        <v>214</v>
      </c>
      <c r="D183" t="s">
        <v>842</v>
      </c>
      <c r="E183" t="s">
        <v>2148</v>
      </c>
      <c r="F183" t="s">
        <v>295</v>
      </c>
      <c r="G183" t="s">
        <v>41</v>
      </c>
      <c r="H183">
        <v>426800</v>
      </c>
      <c r="I183" t="s">
        <v>3573</v>
      </c>
      <c r="J183" t="s">
        <v>843</v>
      </c>
      <c r="K183" t="s">
        <v>844</v>
      </c>
      <c r="L183" t="s">
        <v>44</v>
      </c>
      <c r="M183" s="7">
        <v>28</v>
      </c>
      <c r="N183" s="7">
        <v>31</v>
      </c>
      <c r="O183" s="7">
        <v>11.2</v>
      </c>
      <c r="P183" s="7">
        <v>9.39</v>
      </c>
      <c r="Q183">
        <v>50</v>
      </c>
      <c r="R183">
        <v>25</v>
      </c>
      <c r="U183">
        <v>1</v>
      </c>
      <c r="X183">
        <v>10</v>
      </c>
      <c r="Y183">
        <v>55</v>
      </c>
      <c r="Z183">
        <v>-15</v>
      </c>
      <c r="AA183">
        <v>27</v>
      </c>
      <c r="AG183" t="s">
        <v>2972</v>
      </c>
      <c r="AH183" t="s">
        <v>2973</v>
      </c>
      <c r="AL183" t="s">
        <v>684</v>
      </c>
      <c r="AN183" s="7">
        <v>9.52</v>
      </c>
      <c r="AO183" s="7" t="s">
        <v>2894</v>
      </c>
      <c r="AP183" s="7">
        <v>28</v>
      </c>
      <c r="AQ183" t="s">
        <v>49</v>
      </c>
      <c r="AR183" t="s">
        <v>49</v>
      </c>
      <c r="AS183" t="s">
        <v>49</v>
      </c>
      <c r="AT183" t="s">
        <v>49</v>
      </c>
      <c r="AU183" t="s">
        <v>50</v>
      </c>
      <c r="AV183" s="7" t="s">
        <v>521</v>
      </c>
      <c r="AW183" s="7" t="s">
        <v>3027</v>
      </c>
      <c r="AX183">
        <v>50</v>
      </c>
      <c r="BB183" t="s">
        <v>845</v>
      </c>
      <c r="BC183">
        <v>150</v>
      </c>
      <c r="BE183" s="7" t="s">
        <v>3190</v>
      </c>
      <c r="BF183" t="s">
        <v>49</v>
      </c>
      <c r="BI183" t="s">
        <v>241</v>
      </c>
      <c r="BS183" t="s">
        <v>846</v>
      </c>
      <c r="CH183">
        <v>1558</v>
      </c>
      <c r="CI183">
        <v>1720</v>
      </c>
      <c r="CJ183">
        <v>400</v>
      </c>
      <c r="CK183">
        <v>565</v>
      </c>
      <c r="CL183">
        <v>1120</v>
      </c>
      <c r="CM183">
        <v>1270</v>
      </c>
      <c r="CN183" s="2">
        <v>142</v>
      </c>
      <c r="CO183">
        <v>157</v>
      </c>
      <c r="CP183" s="2">
        <v>450</v>
      </c>
      <c r="CQ183">
        <v>500</v>
      </c>
      <c r="CR183">
        <v>722</v>
      </c>
      <c r="CS183">
        <v>875</v>
      </c>
      <c r="CT183">
        <v>1366</v>
      </c>
      <c r="CU183">
        <v>1555</v>
      </c>
      <c r="CV183" s="7">
        <v>90</v>
      </c>
      <c r="CW183" s="7">
        <v>99</v>
      </c>
    </row>
    <row r="184" spans="1:101" x14ac:dyDescent="0.25">
      <c r="A184" t="s">
        <v>847</v>
      </c>
      <c r="B184" t="s">
        <v>678</v>
      </c>
      <c r="C184" t="s">
        <v>214</v>
      </c>
      <c r="D184" t="s">
        <v>848</v>
      </c>
      <c r="E184" t="s">
        <v>2149</v>
      </c>
      <c r="F184" t="s">
        <v>353</v>
      </c>
      <c r="G184" t="s">
        <v>41</v>
      </c>
      <c r="H184">
        <v>117700</v>
      </c>
      <c r="I184" t="s">
        <v>3574</v>
      </c>
      <c r="J184" t="s">
        <v>849</v>
      </c>
      <c r="K184" t="s">
        <v>850</v>
      </c>
      <c r="L184" t="s">
        <v>44</v>
      </c>
      <c r="M184" s="7" t="s">
        <v>2317</v>
      </c>
      <c r="N184" s="7" t="s">
        <v>2604</v>
      </c>
      <c r="O184" s="7" t="s">
        <v>2605</v>
      </c>
      <c r="P184" s="7" t="s">
        <v>2606</v>
      </c>
      <c r="Q184">
        <v>25</v>
      </c>
      <c r="R184">
        <v>15</v>
      </c>
      <c r="U184">
        <v>1</v>
      </c>
      <c r="X184">
        <v>-15</v>
      </c>
      <c r="Y184">
        <v>50</v>
      </c>
      <c r="Z184">
        <v>-15</v>
      </c>
      <c r="AA184">
        <v>24</v>
      </c>
      <c r="AD184">
        <v>50</v>
      </c>
      <c r="AE184" t="s">
        <v>3477</v>
      </c>
      <c r="AF184" t="s">
        <v>3506</v>
      </c>
      <c r="AL184" t="s">
        <v>684</v>
      </c>
      <c r="AN184" s="7">
        <v>9.52</v>
      </c>
      <c r="AO184" s="7">
        <v>16</v>
      </c>
      <c r="AP184" s="7">
        <v>32</v>
      </c>
      <c r="AQ184" t="s">
        <v>49</v>
      </c>
      <c r="AR184" t="s">
        <v>49</v>
      </c>
      <c r="AS184" t="s">
        <v>49</v>
      </c>
      <c r="AT184" t="s">
        <v>49</v>
      </c>
      <c r="AU184" t="s">
        <v>50</v>
      </c>
      <c r="AV184" s="7" t="s">
        <v>3021</v>
      </c>
      <c r="AW184" s="7" t="s">
        <v>3026</v>
      </c>
      <c r="AX184">
        <v>25</v>
      </c>
      <c r="BE184" s="7" t="s">
        <v>3191</v>
      </c>
      <c r="BF184" t="s">
        <v>49</v>
      </c>
      <c r="BH184">
        <v>70</v>
      </c>
      <c r="BI184" t="s">
        <v>120</v>
      </c>
      <c r="BS184" t="s">
        <v>851</v>
      </c>
      <c r="CH184">
        <v>702</v>
      </c>
      <c r="CI184">
        <v>775</v>
      </c>
      <c r="CJ184">
        <v>845</v>
      </c>
      <c r="CK184">
        <v>965</v>
      </c>
      <c r="CL184">
        <v>363</v>
      </c>
      <c r="CM184">
        <v>395</v>
      </c>
      <c r="CN184" s="2">
        <v>46</v>
      </c>
      <c r="CO184">
        <v>49.1</v>
      </c>
      <c r="CP184" s="2">
        <v>55</v>
      </c>
      <c r="CQ184">
        <v>90</v>
      </c>
      <c r="CR184">
        <v>950</v>
      </c>
      <c r="CS184">
        <v>1035</v>
      </c>
      <c r="CT184">
        <v>950</v>
      </c>
      <c r="CU184">
        <v>1035</v>
      </c>
      <c r="CV184" s="7">
        <v>5</v>
      </c>
      <c r="CW184" s="7">
        <v>8</v>
      </c>
    </row>
    <row r="185" spans="1:101" x14ac:dyDescent="0.25">
      <c r="A185" t="s">
        <v>852</v>
      </c>
      <c r="B185" t="s">
        <v>678</v>
      </c>
      <c r="C185" t="s">
        <v>214</v>
      </c>
      <c r="D185" t="s">
        <v>853</v>
      </c>
      <c r="E185" t="s">
        <v>2149</v>
      </c>
      <c r="F185" t="s">
        <v>353</v>
      </c>
      <c r="G185" t="s">
        <v>41</v>
      </c>
      <c r="H185">
        <v>117700</v>
      </c>
      <c r="I185" t="s">
        <v>3574</v>
      </c>
      <c r="J185" t="s">
        <v>854</v>
      </c>
      <c r="K185" t="s">
        <v>855</v>
      </c>
      <c r="L185" t="s">
        <v>44</v>
      </c>
      <c r="M185" s="7" t="s">
        <v>2318</v>
      </c>
      <c r="N185" s="7" t="s">
        <v>2607</v>
      </c>
      <c r="O185" s="7" t="s">
        <v>2608</v>
      </c>
      <c r="P185" s="7" t="s">
        <v>2609</v>
      </c>
      <c r="Q185">
        <v>25</v>
      </c>
      <c r="R185">
        <v>15</v>
      </c>
      <c r="X185">
        <v>-15</v>
      </c>
      <c r="Y185">
        <v>50</v>
      </c>
      <c r="Z185">
        <v>-15</v>
      </c>
      <c r="AA185">
        <v>24</v>
      </c>
      <c r="AE185" t="s">
        <v>856</v>
      </c>
      <c r="AF185" t="s">
        <v>857</v>
      </c>
      <c r="AL185" t="s">
        <v>684</v>
      </c>
      <c r="AN185" s="7">
        <v>9.52</v>
      </c>
      <c r="AO185" s="7">
        <v>15.9</v>
      </c>
      <c r="AP185" s="7">
        <v>25</v>
      </c>
      <c r="AQ185" t="s">
        <v>49</v>
      </c>
      <c r="AR185" t="s">
        <v>49</v>
      </c>
      <c r="AS185" t="s">
        <v>49</v>
      </c>
      <c r="AT185" t="s">
        <v>49</v>
      </c>
      <c r="AU185" t="s">
        <v>50</v>
      </c>
      <c r="AV185" s="7" t="s">
        <v>3021</v>
      </c>
      <c r="AW185" s="7" t="s">
        <v>3026</v>
      </c>
      <c r="AX185">
        <v>25</v>
      </c>
      <c r="BE185" s="7" t="s">
        <v>3192</v>
      </c>
      <c r="BF185" t="s">
        <v>49</v>
      </c>
      <c r="BH185">
        <v>75</v>
      </c>
      <c r="BI185" t="s">
        <v>120</v>
      </c>
      <c r="BS185" t="s">
        <v>858</v>
      </c>
      <c r="CH185">
        <v>673</v>
      </c>
      <c r="CI185">
        <v>740</v>
      </c>
      <c r="CJ185">
        <v>890</v>
      </c>
      <c r="CK185">
        <v>398</v>
      </c>
      <c r="CL185">
        <v>342</v>
      </c>
      <c r="CM185">
        <v>995</v>
      </c>
      <c r="CN185" s="2">
        <v>44</v>
      </c>
      <c r="CO185">
        <v>47.3</v>
      </c>
      <c r="CP185" s="2">
        <v>55</v>
      </c>
      <c r="CQ185">
        <v>90</v>
      </c>
      <c r="CR185">
        <v>950</v>
      </c>
      <c r="CS185">
        <v>1035</v>
      </c>
      <c r="CT185">
        <v>950</v>
      </c>
      <c r="CU185">
        <v>1035</v>
      </c>
      <c r="CV185" s="7">
        <v>6</v>
      </c>
      <c r="CW185" s="7">
        <v>9</v>
      </c>
    </row>
    <row r="186" spans="1:101" x14ac:dyDescent="0.25">
      <c r="A186" t="s">
        <v>859</v>
      </c>
      <c r="B186" t="s">
        <v>678</v>
      </c>
      <c r="C186" t="s">
        <v>214</v>
      </c>
      <c r="D186" t="s">
        <v>860</v>
      </c>
      <c r="E186" t="s">
        <v>2149</v>
      </c>
      <c r="F186" t="s">
        <v>353</v>
      </c>
      <c r="G186" t="s">
        <v>41</v>
      </c>
      <c r="H186">
        <v>169400</v>
      </c>
      <c r="I186" t="s">
        <v>3574</v>
      </c>
      <c r="J186" t="s">
        <v>849</v>
      </c>
      <c r="K186" t="s">
        <v>850</v>
      </c>
      <c r="L186" t="s">
        <v>44</v>
      </c>
      <c r="M186" s="7" t="s">
        <v>2319</v>
      </c>
      <c r="N186" s="7" t="s">
        <v>2610</v>
      </c>
      <c r="O186" s="7" t="s">
        <v>2611</v>
      </c>
      <c r="P186" s="7" t="s">
        <v>2612</v>
      </c>
      <c r="Q186">
        <v>30</v>
      </c>
      <c r="R186">
        <v>20</v>
      </c>
      <c r="U186">
        <v>1</v>
      </c>
      <c r="X186">
        <v>-15</v>
      </c>
      <c r="Y186">
        <v>50</v>
      </c>
      <c r="Z186">
        <v>-15</v>
      </c>
      <c r="AA186">
        <v>24</v>
      </c>
      <c r="AD186">
        <v>80</v>
      </c>
      <c r="AE186" t="s">
        <v>3479</v>
      </c>
      <c r="AF186" t="s">
        <v>3505</v>
      </c>
      <c r="AL186" t="s">
        <v>684</v>
      </c>
      <c r="AN186" s="7">
        <v>9.52</v>
      </c>
      <c r="AO186" s="7">
        <v>19</v>
      </c>
      <c r="AP186" s="7">
        <v>32</v>
      </c>
      <c r="AQ186" t="s">
        <v>49</v>
      </c>
      <c r="AR186" t="s">
        <v>49</v>
      </c>
      <c r="AS186" t="s">
        <v>49</v>
      </c>
      <c r="AT186" t="s">
        <v>49</v>
      </c>
      <c r="AU186" t="s">
        <v>50</v>
      </c>
      <c r="AV186" s="7" t="s">
        <v>3022</v>
      </c>
      <c r="AW186" s="7" t="s">
        <v>3026</v>
      </c>
      <c r="AX186">
        <v>25</v>
      </c>
      <c r="BE186" s="7" t="s">
        <v>3193</v>
      </c>
      <c r="BF186" t="s">
        <v>49</v>
      </c>
      <c r="BH186">
        <v>106</v>
      </c>
      <c r="BI186" t="s">
        <v>241</v>
      </c>
      <c r="BS186" t="s">
        <v>861</v>
      </c>
      <c r="CH186">
        <v>810</v>
      </c>
      <c r="CI186">
        <v>875</v>
      </c>
      <c r="CJ186">
        <v>946</v>
      </c>
      <c r="CK186">
        <v>1090</v>
      </c>
      <c r="CL186">
        <v>410</v>
      </c>
      <c r="CM186">
        <v>500</v>
      </c>
      <c r="CN186" s="2">
        <v>77.900000000000006</v>
      </c>
      <c r="CO186">
        <v>82.7</v>
      </c>
      <c r="CP186" s="2">
        <v>55</v>
      </c>
      <c r="CQ186">
        <v>90</v>
      </c>
      <c r="CR186">
        <v>950</v>
      </c>
      <c r="CS186">
        <v>1035</v>
      </c>
      <c r="CT186">
        <v>950</v>
      </c>
      <c r="CU186">
        <v>1035</v>
      </c>
      <c r="CV186" s="7">
        <v>5</v>
      </c>
      <c r="CW186" s="7">
        <v>8</v>
      </c>
    </row>
    <row r="187" spans="1:101" x14ac:dyDescent="0.25">
      <c r="A187" t="s">
        <v>862</v>
      </c>
      <c r="B187" t="s">
        <v>678</v>
      </c>
      <c r="C187" t="s">
        <v>214</v>
      </c>
      <c r="D187" t="s">
        <v>863</v>
      </c>
      <c r="E187" t="s">
        <v>2149</v>
      </c>
      <c r="F187" t="s">
        <v>353</v>
      </c>
      <c r="G187" t="s">
        <v>41</v>
      </c>
      <c r="H187">
        <v>169400</v>
      </c>
      <c r="I187" t="s">
        <v>3574</v>
      </c>
      <c r="J187" t="s">
        <v>864</v>
      </c>
      <c r="K187" t="s">
        <v>865</v>
      </c>
      <c r="L187" t="s">
        <v>49</v>
      </c>
      <c r="M187" s="7" t="s">
        <v>2320</v>
      </c>
      <c r="N187" s="7" t="s">
        <v>2613</v>
      </c>
      <c r="O187" s="7" t="s">
        <v>2614</v>
      </c>
      <c r="P187" s="7" t="s">
        <v>2615</v>
      </c>
      <c r="Q187">
        <v>30</v>
      </c>
      <c r="R187">
        <v>20</v>
      </c>
      <c r="X187">
        <v>-15</v>
      </c>
      <c r="Y187">
        <v>50</v>
      </c>
      <c r="Z187">
        <v>-15</v>
      </c>
      <c r="AA187">
        <v>24</v>
      </c>
      <c r="AE187" t="s">
        <v>3575</v>
      </c>
      <c r="AF187" t="s">
        <v>3576</v>
      </c>
      <c r="AL187" t="s">
        <v>684</v>
      </c>
      <c r="AN187" s="7">
        <v>9.52</v>
      </c>
      <c r="AO187" s="7">
        <v>15.9</v>
      </c>
      <c r="AP187" s="7">
        <v>25</v>
      </c>
      <c r="AQ187" t="s">
        <v>49</v>
      </c>
      <c r="AR187" t="s">
        <v>49</v>
      </c>
      <c r="AS187" t="s">
        <v>49</v>
      </c>
      <c r="AT187" t="s">
        <v>49</v>
      </c>
      <c r="AU187" t="s">
        <v>50</v>
      </c>
      <c r="AV187" s="7" t="s">
        <v>3022</v>
      </c>
      <c r="AW187" s="7" t="s">
        <v>3026</v>
      </c>
      <c r="AX187">
        <v>25</v>
      </c>
      <c r="BE187" s="7" t="s">
        <v>3194</v>
      </c>
      <c r="BF187" t="s">
        <v>49</v>
      </c>
      <c r="BH187">
        <v>106</v>
      </c>
      <c r="BI187" t="s">
        <v>241</v>
      </c>
      <c r="BS187" t="s">
        <v>3577</v>
      </c>
      <c r="CH187">
        <v>810</v>
      </c>
      <c r="CI187">
        <v>885</v>
      </c>
      <c r="CJ187">
        <v>946</v>
      </c>
      <c r="CK187">
        <v>1090</v>
      </c>
      <c r="CL187">
        <v>410</v>
      </c>
      <c r="CM187">
        <v>500</v>
      </c>
      <c r="CN187" s="2">
        <v>77.900000000000006</v>
      </c>
      <c r="CO187">
        <v>82.7</v>
      </c>
      <c r="CP187" s="2">
        <v>55</v>
      </c>
      <c r="CQ187">
        <v>90</v>
      </c>
      <c r="CR187">
        <v>950</v>
      </c>
      <c r="CS187">
        <v>1035</v>
      </c>
      <c r="CT187">
        <v>950</v>
      </c>
      <c r="CU187">
        <v>1035</v>
      </c>
      <c r="CV187" s="7">
        <v>6</v>
      </c>
      <c r="CW187" s="7">
        <v>9</v>
      </c>
    </row>
    <row r="188" spans="1:101" x14ac:dyDescent="0.25">
      <c r="A188" t="s">
        <v>866</v>
      </c>
      <c r="B188" t="s">
        <v>678</v>
      </c>
      <c r="C188" t="s">
        <v>214</v>
      </c>
      <c r="D188" t="s">
        <v>867</v>
      </c>
      <c r="E188" t="s">
        <v>2149</v>
      </c>
      <c r="F188" t="s">
        <v>353</v>
      </c>
      <c r="G188" t="s">
        <v>41</v>
      </c>
      <c r="H188">
        <v>169400</v>
      </c>
      <c r="I188" t="s">
        <v>3574</v>
      </c>
      <c r="J188" t="s">
        <v>868</v>
      </c>
      <c r="K188" t="s">
        <v>869</v>
      </c>
      <c r="L188" t="s">
        <v>44</v>
      </c>
      <c r="M188" s="7" t="s">
        <v>2321</v>
      </c>
      <c r="N188" s="7" t="s">
        <v>2616</v>
      </c>
      <c r="O188" s="7" t="s">
        <v>2617</v>
      </c>
      <c r="P188" s="7" t="s">
        <v>2618</v>
      </c>
      <c r="Q188">
        <v>30</v>
      </c>
      <c r="R188">
        <v>20</v>
      </c>
      <c r="X188">
        <v>-15</v>
      </c>
      <c r="Y188">
        <v>50</v>
      </c>
      <c r="Z188">
        <v>-15</v>
      </c>
      <c r="AA188">
        <v>24</v>
      </c>
      <c r="AE188" t="s">
        <v>3578</v>
      </c>
      <c r="AF188" t="s">
        <v>3505</v>
      </c>
      <c r="AL188" t="s">
        <v>684</v>
      </c>
      <c r="AN188" s="7">
        <v>9.52</v>
      </c>
      <c r="AO188" s="7">
        <v>15.9</v>
      </c>
      <c r="AP188" s="7">
        <v>25</v>
      </c>
      <c r="AQ188" t="s">
        <v>49</v>
      </c>
      <c r="AR188" t="s">
        <v>49</v>
      </c>
      <c r="AS188" t="s">
        <v>49</v>
      </c>
      <c r="AT188" t="s">
        <v>49</v>
      </c>
      <c r="AU188" t="s">
        <v>50</v>
      </c>
      <c r="AV188" s="7" t="s">
        <v>3022</v>
      </c>
      <c r="AW188" s="7" t="s">
        <v>3026</v>
      </c>
      <c r="AX188">
        <v>25</v>
      </c>
      <c r="BE188" s="7" t="s">
        <v>3194</v>
      </c>
      <c r="BF188" t="s">
        <v>49</v>
      </c>
      <c r="BH188">
        <v>111</v>
      </c>
      <c r="BI188" t="s">
        <v>241</v>
      </c>
      <c r="BS188" t="s">
        <v>3579</v>
      </c>
      <c r="CH188">
        <v>810</v>
      </c>
      <c r="CI188">
        <v>885</v>
      </c>
      <c r="CJ188">
        <v>946</v>
      </c>
      <c r="CK188">
        <v>1090</v>
      </c>
      <c r="CL188">
        <v>410</v>
      </c>
      <c r="CM188">
        <v>500</v>
      </c>
      <c r="CN188" s="2">
        <v>77.900000000000006</v>
      </c>
      <c r="CO188">
        <v>82.7</v>
      </c>
      <c r="CP188" s="2">
        <v>55</v>
      </c>
      <c r="CQ188">
        <v>90</v>
      </c>
      <c r="CR188">
        <v>950</v>
      </c>
      <c r="CS188">
        <v>1035</v>
      </c>
      <c r="CT188">
        <v>950</v>
      </c>
      <c r="CU188">
        <v>1035</v>
      </c>
      <c r="CV188" s="7">
        <v>6</v>
      </c>
      <c r="CW188" s="7">
        <v>9</v>
      </c>
    </row>
    <row r="189" spans="1:101" x14ac:dyDescent="0.25">
      <c r="A189" t="s">
        <v>870</v>
      </c>
      <c r="B189" t="s">
        <v>678</v>
      </c>
      <c r="C189" t="s">
        <v>214</v>
      </c>
      <c r="D189" t="s">
        <v>871</v>
      </c>
      <c r="E189" t="s">
        <v>2149</v>
      </c>
      <c r="F189" t="s">
        <v>353</v>
      </c>
      <c r="G189" t="s">
        <v>41</v>
      </c>
      <c r="H189">
        <v>189300</v>
      </c>
      <c r="I189" t="s">
        <v>3574</v>
      </c>
      <c r="J189" t="s">
        <v>849</v>
      </c>
      <c r="K189" t="s">
        <v>850</v>
      </c>
      <c r="L189" t="s">
        <v>44</v>
      </c>
      <c r="M189" s="7" t="s">
        <v>2322</v>
      </c>
      <c r="N189" s="7" t="s">
        <v>2619</v>
      </c>
      <c r="O189" s="7" t="s">
        <v>2620</v>
      </c>
      <c r="P189" s="7" t="s">
        <v>2621</v>
      </c>
      <c r="Q189">
        <v>50</v>
      </c>
      <c r="R189">
        <v>25</v>
      </c>
      <c r="U189">
        <v>1</v>
      </c>
      <c r="X189">
        <v>-15</v>
      </c>
      <c r="Y189">
        <v>50</v>
      </c>
      <c r="Z189">
        <v>-15</v>
      </c>
      <c r="AA189">
        <v>24</v>
      </c>
      <c r="AD189">
        <v>90</v>
      </c>
      <c r="AE189" t="s">
        <v>3580</v>
      </c>
      <c r="AF189" t="s">
        <v>3581</v>
      </c>
      <c r="AL189" t="s">
        <v>684</v>
      </c>
      <c r="AN189" s="7">
        <v>9.52</v>
      </c>
      <c r="AO189" s="7">
        <v>19</v>
      </c>
      <c r="AP189" s="7">
        <v>32</v>
      </c>
      <c r="AQ189" t="s">
        <v>49</v>
      </c>
      <c r="AR189" t="s">
        <v>49</v>
      </c>
      <c r="AS189" t="s">
        <v>49</v>
      </c>
      <c r="AT189" t="s">
        <v>49</v>
      </c>
      <c r="AU189" t="s">
        <v>50</v>
      </c>
      <c r="AV189" s="7" t="s">
        <v>3022</v>
      </c>
      <c r="AW189" s="7" t="s">
        <v>3026</v>
      </c>
      <c r="AX189">
        <v>25</v>
      </c>
      <c r="BE189" s="7" t="s">
        <v>3195</v>
      </c>
      <c r="BF189" t="s">
        <v>49</v>
      </c>
      <c r="BH189">
        <v>134</v>
      </c>
      <c r="BI189" t="s">
        <v>241</v>
      </c>
      <c r="BS189" t="s">
        <v>872</v>
      </c>
      <c r="CH189">
        <v>810</v>
      </c>
      <c r="CI189">
        <v>875</v>
      </c>
      <c r="CJ189">
        <v>946</v>
      </c>
      <c r="CK189">
        <v>1090</v>
      </c>
      <c r="CL189">
        <v>410</v>
      </c>
      <c r="CM189">
        <v>500</v>
      </c>
      <c r="CN189" s="2">
        <v>86</v>
      </c>
      <c r="CO189">
        <v>91.6</v>
      </c>
      <c r="CP189" s="2">
        <v>55</v>
      </c>
      <c r="CQ189">
        <v>90</v>
      </c>
      <c r="CR189">
        <v>950</v>
      </c>
      <c r="CS189">
        <v>1035</v>
      </c>
      <c r="CT189">
        <v>950</v>
      </c>
      <c r="CU189">
        <v>1035</v>
      </c>
      <c r="CV189" s="7">
        <v>5</v>
      </c>
      <c r="CW189" s="7">
        <v>8</v>
      </c>
    </row>
    <row r="190" spans="1:101" x14ac:dyDescent="0.25">
      <c r="A190" t="s">
        <v>873</v>
      </c>
      <c r="B190" t="s">
        <v>678</v>
      </c>
      <c r="C190" t="s">
        <v>214</v>
      </c>
      <c r="D190" t="s">
        <v>874</v>
      </c>
      <c r="E190" t="s">
        <v>2149</v>
      </c>
      <c r="F190" t="s">
        <v>353</v>
      </c>
      <c r="G190" t="s">
        <v>41</v>
      </c>
      <c r="H190">
        <v>189300</v>
      </c>
      <c r="I190" t="s">
        <v>3574</v>
      </c>
      <c r="J190" t="s">
        <v>875</v>
      </c>
      <c r="K190" t="s">
        <v>876</v>
      </c>
      <c r="L190" t="s">
        <v>44</v>
      </c>
      <c r="M190" s="7" t="s">
        <v>2323</v>
      </c>
      <c r="N190" s="7" t="s">
        <v>2622</v>
      </c>
      <c r="O190" s="7" t="s">
        <v>2623</v>
      </c>
      <c r="P190" s="7" t="s">
        <v>2624</v>
      </c>
      <c r="Q190">
        <v>50</v>
      </c>
      <c r="R190">
        <v>30</v>
      </c>
      <c r="X190">
        <v>-15</v>
      </c>
      <c r="Y190">
        <v>50</v>
      </c>
      <c r="Z190">
        <v>-15</v>
      </c>
      <c r="AA190">
        <v>24</v>
      </c>
      <c r="AE190" t="s">
        <v>3482</v>
      </c>
      <c r="AF190" t="s">
        <v>3549</v>
      </c>
      <c r="AL190" t="s">
        <v>684</v>
      </c>
      <c r="AN190" s="7">
        <v>9.52</v>
      </c>
      <c r="AO190" s="7">
        <v>15.9</v>
      </c>
      <c r="AP190" s="7">
        <v>25</v>
      </c>
      <c r="AQ190" t="s">
        <v>49</v>
      </c>
      <c r="AR190" t="s">
        <v>49</v>
      </c>
      <c r="AS190" t="s">
        <v>49</v>
      </c>
      <c r="AT190" t="s">
        <v>49</v>
      </c>
      <c r="AU190" t="s">
        <v>50</v>
      </c>
      <c r="AV190" s="7" t="s">
        <v>3022</v>
      </c>
      <c r="AW190" s="7" t="s">
        <v>3026</v>
      </c>
      <c r="AX190">
        <v>25</v>
      </c>
      <c r="BE190" s="7" t="s">
        <v>3196</v>
      </c>
      <c r="BF190" t="s">
        <v>49</v>
      </c>
      <c r="BH190">
        <v>134</v>
      </c>
      <c r="BI190" t="s">
        <v>241</v>
      </c>
      <c r="BS190" t="s">
        <v>3582</v>
      </c>
      <c r="CH190">
        <v>810</v>
      </c>
      <c r="CI190">
        <v>885</v>
      </c>
      <c r="CJ190">
        <v>946</v>
      </c>
      <c r="CK190">
        <v>1090</v>
      </c>
      <c r="CL190">
        <v>410</v>
      </c>
      <c r="CM190">
        <v>500</v>
      </c>
      <c r="CN190" s="2">
        <v>86.7</v>
      </c>
      <c r="CO190">
        <v>91.4</v>
      </c>
      <c r="CP190" s="2">
        <v>55</v>
      </c>
      <c r="CQ190">
        <v>90</v>
      </c>
      <c r="CR190">
        <v>950</v>
      </c>
      <c r="CS190">
        <v>1035</v>
      </c>
      <c r="CT190">
        <v>950</v>
      </c>
      <c r="CU190">
        <v>1035</v>
      </c>
      <c r="CV190" s="7">
        <v>6</v>
      </c>
      <c r="CW190" s="7">
        <v>9</v>
      </c>
    </row>
    <row r="191" spans="1:101" x14ac:dyDescent="0.25">
      <c r="A191" t="s">
        <v>877</v>
      </c>
      <c r="B191" t="s">
        <v>678</v>
      </c>
      <c r="C191" t="s">
        <v>214</v>
      </c>
      <c r="D191" t="s">
        <v>878</v>
      </c>
      <c r="E191" t="s">
        <v>2149</v>
      </c>
      <c r="F191" t="s">
        <v>353</v>
      </c>
      <c r="G191" t="s">
        <v>41</v>
      </c>
      <c r="H191">
        <v>220200</v>
      </c>
      <c r="I191" t="s">
        <v>3574</v>
      </c>
      <c r="J191" t="s">
        <v>849</v>
      </c>
      <c r="K191" t="s">
        <v>850</v>
      </c>
      <c r="L191" t="s">
        <v>44</v>
      </c>
      <c r="M191" s="7" t="s">
        <v>2324</v>
      </c>
      <c r="N191" s="7" t="s">
        <v>2625</v>
      </c>
      <c r="O191" s="7" t="s">
        <v>2626</v>
      </c>
      <c r="P191" s="7" t="s">
        <v>2627</v>
      </c>
      <c r="Q191">
        <v>50</v>
      </c>
      <c r="R191">
        <v>25</v>
      </c>
      <c r="U191">
        <v>1</v>
      </c>
      <c r="X191">
        <v>-15</v>
      </c>
      <c r="Y191">
        <v>50</v>
      </c>
      <c r="Z191">
        <v>-15</v>
      </c>
      <c r="AA191">
        <v>24</v>
      </c>
      <c r="AD191">
        <v>100</v>
      </c>
      <c r="AE191" t="s">
        <v>3479</v>
      </c>
      <c r="AF191" t="s">
        <v>3506</v>
      </c>
      <c r="AL191" t="s">
        <v>684</v>
      </c>
      <c r="AN191" s="7">
        <v>9.52</v>
      </c>
      <c r="AO191" s="7">
        <v>19</v>
      </c>
      <c r="AP191" s="7">
        <v>32</v>
      </c>
      <c r="AQ191" t="s">
        <v>49</v>
      </c>
      <c r="AR191" t="s">
        <v>49</v>
      </c>
      <c r="AS191" t="s">
        <v>49</v>
      </c>
      <c r="AT191" t="s">
        <v>49</v>
      </c>
      <c r="AU191" t="s">
        <v>50</v>
      </c>
      <c r="AV191" s="7" t="s">
        <v>3022</v>
      </c>
      <c r="AW191" s="7" t="s">
        <v>3026</v>
      </c>
      <c r="AX191">
        <v>25</v>
      </c>
      <c r="BE191" s="7" t="s">
        <v>3197</v>
      </c>
      <c r="BF191" t="s">
        <v>49</v>
      </c>
      <c r="BH191">
        <v>161</v>
      </c>
      <c r="BI191" t="s">
        <v>241</v>
      </c>
      <c r="BS191" t="s">
        <v>879</v>
      </c>
      <c r="CH191">
        <v>1333</v>
      </c>
      <c r="CI191">
        <v>1480</v>
      </c>
      <c r="CJ191">
        <v>952</v>
      </c>
      <c r="CK191">
        <v>1095</v>
      </c>
      <c r="CL191">
        <v>410</v>
      </c>
      <c r="CM191">
        <v>495</v>
      </c>
      <c r="CN191" s="2">
        <v>107</v>
      </c>
      <c r="CO191">
        <v>120.7</v>
      </c>
      <c r="CP191" s="2">
        <v>55</v>
      </c>
      <c r="CQ191">
        <v>90</v>
      </c>
      <c r="CR191">
        <v>950</v>
      </c>
      <c r="CS191">
        <v>1035</v>
      </c>
      <c r="CT191">
        <v>950</v>
      </c>
      <c r="CU191">
        <v>1035</v>
      </c>
      <c r="CV191" s="7">
        <v>5</v>
      </c>
      <c r="CW191" s="7">
        <v>8</v>
      </c>
    </row>
    <row r="192" spans="1:101" x14ac:dyDescent="0.25">
      <c r="A192" t="s">
        <v>880</v>
      </c>
      <c r="B192" t="s">
        <v>678</v>
      </c>
      <c r="C192" t="s">
        <v>214</v>
      </c>
      <c r="D192" t="s">
        <v>881</v>
      </c>
      <c r="E192" t="s">
        <v>2149</v>
      </c>
      <c r="F192" t="s">
        <v>353</v>
      </c>
      <c r="G192" t="s">
        <v>41</v>
      </c>
      <c r="H192">
        <v>220200</v>
      </c>
      <c r="I192" t="s">
        <v>3574</v>
      </c>
      <c r="J192" t="s">
        <v>882</v>
      </c>
      <c r="K192" t="s">
        <v>883</v>
      </c>
      <c r="L192" t="s">
        <v>44</v>
      </c>
      <c r="M192" s="7" t="s">
        <v>2325</v>
      </c>
      <c r="N192" s="7" t="s">
        <v>2628</v>
      </c>
      <c r="O192" s="7" t="s">
        <v>2629</v>
      </c>
      <c r="P192" s="7" t="s">
        <v>2630</v>
      </c>
      <c r="Q192">
        <v>50</v>
      </c>
      <c r="R192">
        <v>30</v>
      </c>
      <c r="X192">
        <v>-15</v>
      </c>
      <c r="Y192">
        <v>50</v>
      </c>
      <c r="Z192">
        <v>-15</v>
      </c>
      <c r="AA192">
        <v>24</v>
      </c>
      <c r="AE192" t="s">
        <v>3583</v>
      </c>
      <c r="AF192" t="s">
        <v>3509</v>
      </c>
      <c r="AL192" t="s">
        <v>684</v>
      </c>
      <c r="AN192" s="7">
        <v>9.52</v>
      </c>
      <c r="AO192" s="7">
        <v>15.9</v>
      </c>
      <c r="AP192" s="7">
        <v>25</v>
      </c>
      <c r="AQ192" t="s">
        <v>49</v>
      </c>
      <c r="AR192" t="s">
        <v>49</v>
      </c>
      <c r="AS192" t="s">
        <v>49</v>
      </c>
      <c r="AT192" t="s">
        <v>49</v>
      </c>
      <c r="AU192" t="s">
        <v>50</v>
      </c>
      <c r="AV192" s="7" t="s">
        <v>3022</v>
      </c>
      <c r="AW192" s="7" t="s">
        <v>3026</v>
      </c>
      <c r="AX192">
        <v>25</v>
      </c>
      <c r="BE192" s="7" t="s">
        <v>3198</v>
      </c>
      <c r="BF192" t="s">
        <v>49</v>
      </c>
      <c r="BH192">
        <v>161</v>
      </c>
      <c r="BI192" t="s">
        <v>241</v>
      </c>
      <c r="BS192" t="s">
        <v>3584</v>
      </c>
      <c r="CH192">
        <v>1333</v>
      </c>
      <c r="CI192">
        <v>1480</v>
      </c>
      <c r="CJ192">
        <v>952</v>
      </c>
      <c r="CK192">
        <v>1095</v>
      </c>
      <c r="CL192">
        <v>415</v>
      </c>
      <c r="CM192">
        <v>495</v>
      </c>
      <c r="CN192" s="2">
        <v>107.1</v>
      </c>
      <c r="CO192">
        <v>121.3</v>
      </c>
      <c r="CP192" s="2">
        <v>55</v>
      </c>
      <c r="CQ192">
        <v>90</v>
      </c>
      <c r="CR192">
        <v>950</v>
      </c>
      <c r="CS192">
        <v>1035</v>
      </c>
      <c r="CT192">
        <v>950</v>
      </c>
      <c r="CU192">
        <v>1035</v>
      </c>
      <c r="CV192" s="7">
        <v>6</v>
      </c>
      <c r="CW192" s="7">
        <v>9</v>
      </c>
    </row>
    <row r="193" spans="1:101" x14ac:dyDescent="0.25">
      <c r="A193" t="s">
        <v>884</v>
      </c>
      <c r="B193" t="s">
        <v>678</v>
      </c>
      <c r="C193" t="s">
        <v>214</v>
      </c>
      <c r="D193" t="s">
        <v>885</v>
      </c>
      <c r="E193" t="s">
        <v>2149</v>
      </c>
      <c r="F193" t="s">
        <v>431</v>
      </c>
      <c r="G193" t="s">
        <v>41</v>
      </c>
      <c r="H193">
        <v>80900</v>
      </c>
      <c r="I193" t="s">
        <v>3585</v>
      </c>
      <c r="J193" t="s">
        <v>886</v>
      </c>
      <c r="K193" t="s">
        <v>887</v>
      </c>
      <c r="L193" t="s">
        <v>44</v>
      </c>
      <c r="M193" s="7" t="s">
        <v>2326</v>
      </c>
      <c r="N193" s="7" t="s">
        <v>2631</v>
      </c>
      <c r="O193" s="7" t="s">
        <v>2632</v>
      </c>
      <c r="P193" s="7" t="s">
        <v>2633</v>
      </c>
      <c r="Q193">
        <v>25</v>
      </c>
      <c r="R193">
        <v>10</v>
      </c>
      <c r="U193">
        <v>1</v>
      </c>
      <c r="X193">
        <v>-15</v>
      </c>
      <c r="Y193">
        <v>50</v>
      </c>
      <c r="Z193">
        <v>-15</v>
      </c>
      <c r="AA193">
        <v>24</v>
      </c>
      <c r="AD193">
        <v>20</v>
      </c>
      <c r="AG193" t="s">
        <v>2950</v>
      </c>
      <c r="AH193" t="s">
        <v>63</v>
      </c>
      <c r="AL193" t="s">
        <v>684</v>
      </c>
      <c r="AN193" s="7">
        <v>6.35</v>
      </c>
      <c r="AO193" s="7">
        <v>9.52</v>
      </c>
      <c r="AP193" s="7">
        <v>25</v>
      </c>
      <c r="AQ193" t="s">
        <v>49</v>
      </c>
      <c r="AR193" t="s">
        <v>49</v>
      </c>
      <c r="AS193" t="s">
        <v>49</v>
      </c>
      <c r="AT193" t="s">
        <v>49</v>
      </c>
      <c r="AU193" t="s">
        <v>50</v>
      </c>
      <c r="AV193" s="7" t="s">
        <v>3021</v>
      </c>
      <c r="AW193" s="7" t="s">
        <v>3026</v>
      </c>
      <c r="AX193">
        <v>20</v>
      </c>
      <c r="BE193" s="7" t="s">
        <v>3199</v>
      </c>
      <c r="BF193" t="s">
        <v>49</v>
      </c>
      <c r="BG193" t="s">
        <v>212</v>
      </c>
      <c r="BH193">
        <v>35</v>
      </c>
      <c r="BI193" t="s">
        <v>120</v>
      </c>
      <c r="BS193" t="s">
        <v>888</v>
      </c>
      <c r="CH193">
        <v>554</v>
      </c>
      <c r="CI193">
        <v>615</v>
      </c>
      <c r="CJ193">
        <v>800</v>
      </c>
      <c r="CK193">
        <v>920</v>
      </c>
      <c r="CL193">
        <v>333</v>
      </c>
      <c r="CM193">
        <v>390</v>
      </c>
      <c r="CN193" s="2">
        <v>29.9</v>
      </c>
      <c r="CO193">
        <v>32.6</v>
      </c>
      <c r="CP193" s="2">
        <v>50</v>
      </c>
      <c r="CQ193">
        <v>123</v>
      </c>
      <c r="CR193">
        <v>647</v>
      </c>
      <c r="CS193">
        <v>715</v>
      </c>
      <c r="CT193">
        <v>647</v>
      </c>
      <c r="CU193">
        <v>715</v>
      </c>
      <c r="CV193" s="7">
        <v>2.5</v>
      </c>
      <c r="CW193" s="7">
        <v>4.5</v>
      </c>
    </row>
    <row r="194" spans="1:101" x14ac:dyDescent="0.25">
      <c r="A194" t="s">
        <v>889</v>
      </c>
      <c r="B194" t="s">
        <v>678</v>
      </c>
      <c r="C194" t="s">
        <v>214</v>
      </c>
      <c r="D194" t="s">
        <v>890</v>
      </c>
      <c r="E194" t="s">
        <v>2149</v>
      </c>
      <c r="F194" t="s">
        <v>431</v>
      </c>
      <c r="G194" t="s">
        <v>41</v>
      </c>
      <c r="H194">
        <v>80900</v>
      </c>
      <c r="I194" t="s">
        <v>3585</v>
      </c>
      <c r="J194" t="s">
        <v>891</v>
      </c>
      <c r="K194" t="s">
        <v>892</v>
      </c>
      <c r="L194" t="s">
        <v>44</v>
      </c>
      <c r="M194" s="7" t="s">
        <v>2327</v>
      </c>
      <c r="N194" s="7" t="s">
        <v>2634</v>
      </c>
      <c r="O194" s="7" t="s">
        <v>2635</v>
      </c>
      <c r="P194" s="7" t="s">
        <v>2636</v>
      </c>
      <c r="Q194">
        <v>25</v>
      </c>
      <c r="R194">
        <v>10</v>
      </c>
      <c r="X194">
        <v>-15</v>
      </c>
      <c r="Y194">
        <v>50</v>
      </c>
      <c r="Z194">
        <v>-15</v>
      </c>
      <c r="AA194">
        <v>24</v>
      </c>
      <c r="AG194" t="s">
        <v>2952</v>
      </c>
      <c r="AH194" t="s">
        <v>2928</v>
      </c>
      <c r="AL194" t="s">
        <v>684</v>
      </c>
      <c r="AN194" s="7">
        <v>6.35</v>
      </c>
      <c r="AO194" s="7">
        <v>9.52</v>
      </c>
      <c r="AP194" s="7">
        <v>25</v>
      </c>
      <c r="AQ194" t="s">
        <v>49</v>
      </c>
      <c r="AR194" t="s">
        <v>49</v>
      </c>
      <c r="AS194" t="s">
        <v>49</v>
      </c>
      <c r="AT194" t="s">
        <v>49</v>
      </c>
      <c r="AU194" t="s">
        <v>50</v>
      </c>
      <c r="AV194" s="7" t="s">
        <v>3021</v>
      </c>
      <c r="AW194" s="7" t="s">
        <v>3026</v>
      </c>
      <c r="AX194">
        <v>20</v>
      </c>
      <c r="BE194" s="7" t="s">
        <v>3200</v>
      </c>
      <c r="BF194" t="s">
        <v>49</v>
      </c>
      <c r="BH194">
        <v>36</v>
      </c>
      <c r="BI194" t="s">
        <v>120</v>
      </c>
      <c r="BS194" t="s">
        <v>893</v>
      </c>
      <c r="CH194">
        <v>555</v>
      </c>
      <c r="CI194">
        <v>610</v>
      </c>
      <c r="CJ194">
        <v>765</v>
      </c>
      <c r="CK194">
        <v>887</v>
      </c>
      <c r="CL194">
        <v>303</v>
      </c>
      <c r="CM194">
        <v>337</v>
      </c>
      <c r="CN194" s="2">
        <v>26.9</v>
      </c>
      <c r="CO194">
        <v>29.2</v>
      </c>
      <c r="CP194" s="2">
        <v>50</v>
      </c>
      <c r="CQ194">
        <v>123</v>
      </c>
      <c r="CR194">
        <v>647</v>
      </c>
      <c r="CS194">
        <v>715</v>
      </c>
      <c r="CT194">
        <v>647</v>
      </c>
      <c r="CU194">
        <v>715</v>
      </c>
      <c r="CV194" s="7">
        <v>2.5</v>
      </c>
      <c r="CW194" s="7">
        <v>4.5</v>
      </c>
    </row>
    <row r="195" spans="1:101" x14ac:dyDescent="0.25">
      <c r="A195" t="s">
        <v>894</v>
      </c>
      <c r="B195" t="s">
        <v>678</v>
      </c>
      <c r="C195" t="s">
        <v>214</v>
      </c>
      <c r="D195" t="s">
        <v>895</v>
      </c>
      <c r="E195" t="s">
        <v>2149</v>
      </c>
      <c r="F195" t="s">
        <v>431</v>
      </c>
      <c r="G195" t="s">
        <v>41</v>
      </c>
      <c r="H195">
        <v>97800</v>
      </c>
      <c r="I195" t="s">
        <v>3585</v>
      </c>
      <c r="J195" t="s">
        <v>886</v>
      </c>
      <c r="K195" t="s">
        <v>887</v>
      </c>
      <c r="L195" t="s">
        <v>44</v>
      </c>
      <c r="M195" s="7" t="s">
        <v>2328</v>
      </c>
      <c r="N195" s="7" t="s">
        <v>2637</v>
      </c>
      <c r="O195" s="7" t="s">
        <v>2638</v>
      </c>
      <c r="P195" s="7" t="s">
        <v>2639</v>
      </c>
      <c r="Q195">
        <v>30</v>
      </c>
      <c r="R195">
        <v>20</v>
      </c>
      <c r="U195">
        <v>1</v>
      </c>
      <c r="X195">
        <v>-15</v>
      </c>
      <c r="Y195">
        <v>50</v>
      </c>
      <c r="Z195">
        <v>-15</v>
      </c>
      <c r="AA195">
        <v>24</v>
      </c>
      <c r="AD195">
        <v>35</v>
      </c>
      <c r="AG195" t="s">
        <v>2950</v>
      </c>
      <c r="AH195" t="s">
        <v>63</v>
      </c>
      <c r="AL195" t="s">
        <v>684</v>
      </c>
      <c r="AN195" s="7">
        <v>6.35</v>
      </c>
      <c r="AO195" s="7">
        <v>12.7</v>
      </c>
      <c r="AP195" s="7">
        <v>25</v>
      </c>
      <c r="AQ195" t="s">
        <v>49</v>
      </c>
      <c r="AR195" t="s">
        <v>49</v>
      </c>
      <c r="AS195" t="s">
        <v>49</v>
      </c>
      <c r="AT195" t="s">
        <v>49</v>
      </c>
      <c r="AU195" t="s">
        <v>50</v>
      </c>
      <c r="AV195" s="7" t="s">
        <v>3021</v>
      </c>
      <c r="AW195" s="7" t="s">
        <v>3026</v>
      </c>
      <c r="AX195">
        <v>20</v>
      </c>
      <c r="BE195" s="7" t="s">
        <v>3201</v>
      </c>
      <c r="BF195" t="s">
        <v>49</v>
      </c>
      <c r="BH195">
        <v>53</v>
      </c>
      <c r="BI195" t="s">
        <v>120</v>
      </c>
      <c r="BS195" t="s">
        <v>896</v>
      </c>
      <c r="CH195">
        <v>554</v>
      </c>
      <c r="CI195">
        <v>615</v>
      </c>
      <c r="CJ195">
        <v>800</v>
      </c>
      <c r="CK195">
        <v>920</v>
      </c>
      <c r="CL195">
        <v>333</v>
      </c>
      <c r="CM195">
        <v>390</v>
      </c>
      <c r="CN195" s="2">
        <v>34.5</v>
      </c>
      <c r="CO195">
        <v>37.200000000000003</v>
      </c>
      <c r="CP195" s="2">
        <v>50</v>
      </c>
      <c r="CQ195">
        <v>123</v>
      </c>
      <c r="CR195">
        <v>647</v>
      </c>
      <c r="CS195">
        <v>715</v>
      </c>
      <c r="CT195">
        <v>647</v>
      </c>
      <c r="CU195">
        <v>715</v>
      </c>
      <c r="CV195" s="7">
        <v>2.5</v>
      </c>
      <c r="CW195" s="7">
        <v>4.5</v>
      </c>
    </row>
    <row r="196" spans="1:101" x14ac:dyDescent="0.25">
      <c r="A196" t="s">
        <v>897</v>
      </c>
      <c r="B196" t="s">
        <v>678</v>
      </c>
      <c r="C196" t="s">
        <v>214</v>
      </c>
      <c r="D196" t="s">
        <v>898</v>
      </c>
      <c r="E196" t="s">
        <v>2149</v>
      </c>
      <c r="F196" t="s">
        <v>431</v>
      </c>
      <c r="G196" t="s">
        <v>41</v>
      </c>
      <c r="H196">
        <v>97800</v>
      </c>
      <c r="I196" t="s">
        <v>3585</v>
      </c>
      <c r="J196" t="s">
        <v>899</v>
      </c>
      <c r="K196" t="s">
        <v>900</v>
      </c>
      <c r="L196" t="s">
        <v>44</v>
      </c>
      <c r="M196" s="7" t="s">
        <v>2329</v>
      </c>
      <c r="N196" s="7" t="s">
        <v>2640</v>
      </c>
      <c r="O196" s="7" t="s">
        <v>2641</v>
      </c>
      <c r="P196" s="7" t="s">
        <v>2642</v>
      </c>
      <c r="Q196">
        <v>30</v>
      </c>
      <c r="R196">
        <v>20</v>
      </c>
      <c r="X196">
        <v>-15</v>
      </c>
      <c r="Y196">
        <v>50</v>
      </c>
      <c r="Z196">
        <v>-15</v>
      </c>
      <c r="AA196">
        <v>24</v>
      </c>
      <c r="AG196" t="s">
        <v>2950</v>
      </c>
      <c r="AH196" t="s">
        <v>63</v>
      </c>
      <c r="AL196" t="s">
        <v>684</v>
      </c>
      <c r="AN196" s="7">
        <v>6.35</v>
      </c>
      <c r="AO196" s="7">
        <v>12.7</v>
      </c>
      <c r="AP196" s="7">
        <v>25</v>
      </c>
      <c r="AQ196" t="s">
        <v>49</v>
      </c>
      <c r="AR196" t="s">
        <v>49</v>
      </c>
      <c r="AS196" t="s">
        <v>49</v>
      </c>
      <c r="AT196" t="s">
        <v>49</v>
      </c>
      <c r="AU196" t="s">
        <v>50</v>
      </c>
      <c r="AV196" s="7" t="s">
        <v>3021</v>
      </c>
      <c r="AW196" s="7" t="s">
        <v>3026</v>
      </c>
      <c r="AX196">
        <v>20</v>
      </c>
      <c r="BE196" s="7" t="s">
        <v>3202</v>
      </c>
      <c r="BF196" t="s">
        <v>49</v>
      </c>
      <c r="BH196">
        <v>52</v>
      </c>
      <c r="BI196" t="s">
        <v>120</v>
      </c>
      <c r="BS196" t="s">
        <v>3586</v>
      </c>
      <c r="CH196">
        <v>554</v>
      </c>
      <c r="CI196">
        <v>615</v>
      </c>
      <c r="CJ196">
        <v>805</v>
      </c>
      <c r="CK196">
        <v>915</v>
      </c>
      <c r="CL196">
        <v>330</v>
      </c>
      <c r="CM196">
        <v>370</v>
      </c>
      <c r="CN196" s="2">
        <v>33.6</v>
      </c>
      <c r="CO196">
        <v>36.200000000000003</v>
      </c>
      <c r="CP196" s="2">
        <v>50</v>
      </c>
      <c r="CQ196">
        <v>123</v>
      </c>
      <c r="CR196">
        <v>647</v>
      </c>
      <c r="CS196">
        <v>715</v>
      </c>
      <c r="CT196">
        <v>647</v>
      </c>
      <c r="CU196">
        <v>715</v>
      </c>
      <c r="CV196" s="7">
        <v>2.5</v>
      </c>
      <c r="CW196" s="7">
        <v>4.5</v>
      </c>
    </row>
    <row r="197" spans="1:101" x14ac:dyDescent="0.25">
      <c r="A197" t="s">
        <v>901</v>
      </c>
      <c r="B197" t="s">
        <v>678</v>
      </c>
      <c r="C197" t="s">
        <v>214</v>
      </c>
      <c r="D197" t="s">
        <v>902</v>
      </c>
      <c r="E197" t="s">
        <v>2150</v>
      </c>
      <c r="F197" t="s">
        <v>903</v>
      </c>
      <c r="G197" t="s">
        <v>41</v>
      </c>
      <c r="H197">
        <v>93500</v>
      </c>
      <c r="I197" t="s">
        <v>3587</v>
      </c>
      <c r="J197" t="s">
        <v>904</v>
      </c>
      <c r="K197" t="s">
        <v>905</v>
      </c>
      <c r="L197" t="s">
        <v>44</v>
      </c>
      <c r="M197" s="7" t="s">
        <v>2330</v>
      </c>
      <c r="N197" s="7" t="s">
        <v>2643</v>
      </c>
      <c r="O197" s="7" t="s">
        <v>2644</v>
      </c>
      <c r="P197" s="7" t="s">
        <v>2645</v>
      </c>
      <c r="Q197">
        <v>30</v>
      </c>
      <c r="R197">
        <v>20</v>
      </c>
      <c r="U197">
        <v>1</v>
      </c>
      <c r="X197">
        <v>-15</v>
      </c>
      <c r="Y197">
        <v>50</v>
      </c>
      <c r="Z197">
        <v>-15</v>
      </c>
      <c r="AA197">
        <v>24</v>
      </c>
      <c r="AC197" t="s">
        <v>906</v>
      </c>
      <c r="AD197">
        <v>30</v>
      </c>
      <c r="AG197" t="s">
        <v>2974</v>
      </c>
      <c r="AH197" t="s">
        <v>659</v>
      </c>
      <c r="AI197" t="s">
        <v>907</v>
      </c>
      <c r="AJ197">
        <v>220</v>
      </c>
      <c r="AK197" t="s">
        <v>908</v>
      </c>
      <c r="AL197" t="s">
        <v>684</v>
      </c>
      <c r="AM197">
        <v>220</v>
      </c>
      <c r="AN197" s="7">
        <v>6.35</v>
      </c>
      <c r="AO197" s="7">
        <v>12.7</v>
      </c>
      <c r="AP197" s="7" t="s">
        <v>909</v>
      </c>
      <c r="AQ197" t="s">
        <v>49</v>
      </c>
      <c r="AR197" t="s">
        <v>49</v>
      </c>
      <c r="AS197" t="s">
        <v>49</v>
      </c>
      <c r="AT197" t="s">
        <v>49</v>
      </c>
      <c r="AU197" t="s">
        <v>50</v>
      </c>
      <c r="AV197" s="7" t="s">
        <v>3021</v>
      </c>
      <c r="AW197" s="7" t="s">
        <v>3026</v>
      </c>
      <c r="AX197">
        <v>20</v>
      </c>
      <c r="BE197" s="7" t="s">
        <v>3203</v>
      </c>
      <c r="BF197" t="s">
        <v>49</v>
      </c>
      <c r="BG197" t="s">
        <v>212</v>
      </c>
      <c r="BH197">
        <v>50</v>
      </c>
      <c r="BI197" t="s">
        <v>120</v>
      </c>
      <c r="BS197" t="s">
        <v>910</v>
      </c>
      <c r="CH197">
        <v>554</v>
      </c>
      <c r="CI197">
        <v>615</v>
      </c>
      <c r="CJ197">
        <v>800</v>
      </c>
      <c r="CK197">
        <v>920</v>
      </c>
      <c r="CL197">
        <v>333</v>
      </c>
      <c r="CM197">
        <v>390</v>
      </c>
      <c r="CN197" s="2">
        <v>35.5</v>
      </c>
      <c r="CO197">
        <v>38.4</v>
      </c>
      <c r="CP197" s="2">
        <v>235</v>
      </c>
      <c r="CQ197">
        <v>313</v>
      </c>
      <c r="CR197">
        <v>1068</v>
      </c>
      <c r="CS197">
        <v>1145</v>
      </c>
      <c r="CT197">
        <v>675</v>
      </c>
      <c r="CU197">
        <v>755</v>
      </c>
      <c r="CV197" s="7">
        <v>28</v>
      </c>
      <c r="CW197" s="7">
        <v>33.299999999999997</v>
      </c>
    </row>
    <row r="198" spans="1:101" x14ac:dyDescent="0.25">
      <c r="A198" t="s">
        <v>911</v>
      </c>
      <c r="B198" t="s">
        <v>678</v>
      </c>
      <c r="C198" t="s">
        <v>214</v>
      </c>
      <c r="D198" t="s">
        <v>912</v>
      </c>
      <c r="E198" t="s">
        <v>2150</v>
      </c>
      <c r="F198" t="s">
        <v>903</v>
      </c>
      <c r="G198" t="s">
        <v>41</v>
      </c>
      <c r="H198">
        <v>93500</v>
      </c>
      <c r="I198" t="s">
        <v>3587</v>
      </c>
      <c r="J198" t="s">
        <v>913</v>
      </c>
      <c r="K198" t="s">
        <v>914</v>
      </c>
      <c r="L198" t="s">
        <v>44</v>
      </c>
      <c r="M198" s="7" t="s">
        <v>2331</v>
      </c>
      <c r="N198" s="7" t="s">
        <v>2646</v>
      </c>
      <c r="O198" s="7" t="s">
        <v>2647</v>
      </c>
      <c r="P198" s="7" t="s">
        <v>2648</v>
      </c>
      <c r="Q198">
        <v>30</v>
      </c>
      <c r="R198">
        <v>20</v>
      </c>
      <c r="U198">
        <v>1</v>
      </c>
      <c r="X198">
        <v>-15</v>
      </c>
      <c r="Y198">
        <v>50</v>
      </c>
      <c r="Z198">
        <v>-15</v>
      </c>
      <c r="AA198">
        <v>24</v>
      </c>
      <c r="AD198">
        <v>30</v>
      </c>
      <c r="AG198" t="s">
        <v>2950</v>
      </c>
      <c r="AH198" t="s">
        <v>63</v>
      </c>
      <c r="AL198" t="s">
        <v>684</v>
      </c>
      <c r="AN198" s="7">
        <v>6.35</v>
      </c>
      <c r="AO198" s="7">
        <v>12.7</v>
      </c>
      <c r="AP198" s="7">
        <v>25</v>
      </c>
      <c r="AQ198" t="s">
        <v>49</v>
      </c>
      <c r="AR198" t="s">
        <v>49</v>
      </c>
      <c r="AS198" t="s">
        <v>49</v>
      </c>
      <c r="AT198" t="s">
        <v>49</v>
      </c>
      <c r="AU198" t="s">
        <v>50</v>
      </c>
      <c r="AV198" s="7" t="s">
        <v>3021</v>
      </c>
      <c r="AW198" s="7" t="s">
        <v>3026</v>
      </c>
      <c r="AX198">
        <v>20</v>
      </c>
      <c r="BE198" s="7" t="s">
        <v>3204</v>
      </c>
      <c r="BF198" t="s">
        <v>49</v>
      </c>
      <c r="BH198">
        <v>53</v>
      </c>
      <c r="BI198" t="s">
        <v>120</v>
      </c>
      <c r="BS198" t="s">
        <v>3588</v>
      </c>
      <c r="CH198">
        <v>554</v>
      </c>
      <c r="CI198">
        <v>615</v>
      </c>
      <c r="CJ198">
        <v>800</v>
      </c>
      <c r="CK198">
        <v>920</v>
      </c>
      <c r="CL198">
        <v>333</v>
      </c>
      <c r="CM198">
        <v>390</v>
      </c>
      <c r="CN198" s="2">
        <v>34.5</v>
      </c>
      <c r="CO198">
        <v>37.200000000000003</v>
      </c>
      <c r="CP198" s="2">
        <v>235</v>
      </c>
      <c r="CQ198">
        <v>313</v>
      </c>
      <c r="CR198">
        <v>1068</v>
      </c>
      <c r="CS198">
        <v>1145</v>
      </c>
      <c r="CT198">
        <v>675</v>
      </c>
      <c r="CU198">
        <v>755</v>
      </c>
      <c r="CV198" s="7">
        <v>28</v>
      </c>
      <c r="CW198" s="7">
        <v>33.299999999999997</v>
      </c>
    </row>
    <row r="199" spans="1:101" x14ac:dyDescent="0.25">
      <c r="A199" t="s">
        <v>915</v>
      </c>
      <c r="B199" t="s">
        <v>678</v>
      </c>
      <c r="C199" t="s">
        <v>214</v>
      </c>
      <c r="D199" t="s">
        <v>916</v>
      </c>
      <c r="E199" t="s">
        <v>2150</v>
      </c>
      <c r="F199" t="s">
        <v>903</v>
      </c>
      <c r="G199" t="s">
        <v>75</v>
      </c>
      <c r="H199">
        <v>93500</v>
      </c>
      <c r="I199" t="s">
        <v>3587</v>
      </c>
      <c r="J199" t="s">
        <v>917</v>
      </c>
      <c r="K199" t="s">
        <v>918</v>
      </c>
      <c r="L199" t="s">
        <v>44</v>
      </c>
      <c r="M199" s="7" t="s">
        <v>2329</v>
      </c>
      <c r="N199" s="7" t="s">
        <v>2649</v>
      </c>
      <c r="O199" s="7" t="s">
        <v>2650</v>
      </c>
      <c r="P199" s="7" t="s">
        <v>2651</v>
      </c>
      <c r="Q199">
        <v>30</v>
      </c>
      <c r="R199">
        <v>20</v>
      </c>
      <c r="X199">
        <v>-15</v>
      </c>
      <c r="Y199">
        <v>50</v>
      </c>
      <c r="Z199">
        <v>-15</v>
      </c>
      <c r="AA199">
        <v>24</v>
      </c>
      <c r="AG199" t="s">
        <v>2950</v>
      </c>
      <c r="AH199" t="s">
        <v>63</v>
      </c>
      <c r="AL199" t="s">
        <v>684</v>
      </c>
      <c r="AN199" s="7">
        <v>6.35</v>
      </c>
      <c r="AO199" s="7">
        <v>12.7</v>
      </c>
      <c r="AP199" s="7">
        <v>25</v>
      </c>
      <c r="AQ199" t="s">
        <v>49</v>
      </c>
      <c r="AR199" t="s">
        <v>49</v>
      </c>
      <c r="AS199" t="s">
        <v>49</v>
      </c>
      <c r="AT199" t="s">
        <v>49</v>
      </c>
      <c r="AU199" t="s">
        <v>50</v>
      </c>
      <c r="AV199" s="7" t="s">
        <v>3021</v>
      </c>
      <c r="AW199" s="7" t="s">
        <v>3026</v>
      </c>
      <c r="AX199">
        <v>20</v>
      </c>
      <c r="BE199" s="7" t="s">
        <v>3205</v>
      </c>
      <c r="BF199" t="s">
        <v>49</v>
      </c>
      <c r="BH199">
        <v>53</v>
      </c>
      <c r="BI199" t="s">
        <v>120</v>
      </c>
      <c r="BS199" t="s">
        <v>3589</v>
      </c>
      <c r="CH199">
        <v>554</v>
      </c>
      <c r="CI199">
        <v>615</v>
      </c>
      <c r="CJ199">
        <v>805</v>
      </c>
      <c r="CK199">
        <v>915</v>
      </c>
      <c r="CL199">
        <v>330</v>
      </c>
      <c r="CM199">
        <v>370</v>
      </c>
      <c r="CN199" s="2">
        <v>33.6</v>
      </c>
      <c r="CO199">
        <v>36.200000000000003</v>
      </c>
      <c r="CP199" s="2">
        <v>235</v>
      </c>
      <c r="CQ199">
        <v>318</v>
      </c>
      <c r="CR199">
        <v>1068</v>
      </c>
      <c r="CS199">
        <v>1145</v>
      </c>
      <c r="CT199">
        <v>675</v>
      </c>
      <c r="CU199">
        <v>755</v>
      </c>
      <c r="CV199" s="7">
        <v>28</v>
      </c>
      <c r="CW199" s="7">
        <v>33.299999999999997</v>
      </c>
    </row>
    <row r="200" spans="1:101" x14ac:dyDescent="0.25">
      <c r="A200" t="s">
        <v>919</v>
      </c>
      <c r="B200" t="s">
        <v>678</v>
      </c>
      <c r="C200" t="s">
        <v>214</v>
      </c>
      <c r="D200" t="s">
        <v>920</v>
      </c>
      <c r="E200" t="s">
        <v>2150</v>
      </c>
      <c r="F200" t="s">
        <v>903</v>
      </c>
      <c r="G200" t="s">
        <v>41</v>
      </c>
      <c r="H200">
        <v>112600</v>
      </c>
      <c r="I200" t="s">
        <v>3587</v>
      </c>
      <c r="J200" t="s">
        <v>921</v>
      </c>
      <c r="K200" t="s">
        <v>922</v>
      </c>
      <c r="L200" t="s">
        <v>44</v>
      </c>
      <c r="M200" s="7" t="s">
        <v>2332</v>
      </c>
      <c r="N200" s="7" t="s">
        <v>2652</v>
      </c>
      <c r="O200" s="7" t="s">
        <v>2653</v>
      </c>
      <c r="P200" s="7" t="s">
        <v>2654</v>
      </c>
      <c r="Q200">
        <v>50</v>
      </c>
      <c r="R200">
        <v>25</v>
      </c>
      <c r="U200">
        <v>1</v>
      </c>
      <c r="X200">
        <v>-15</v>
      </c>
      <c r="Y200">
        <v>50</v>
      </c>
      <c r="Z200">
        <v>-15</v>
      </c>
      <c r="AA200">
        <v>24</v>
      </c>
      <c r="AC200" t="s">
        <v>923</v>
      </c>
      <c r="AD200">
        <v>40</v>
      </c>
      <c r="AG200" t="s">
        <v>2950</v>
      </c>
      <c r="AH200" t="s">
        <v>63</v>
      </c>
      <c r="AI200" t="s">
        <v>924</v>
      </c>
      <c r="AJ200">
        <v>220</v>
      </c>
      <c r="AK200" t="s">
        <v>925</v>
      </c>
      <c r="AL200" t="s">
        <v>684</v>
      </c>
      <c r="AM200">
        <v>220</v>
      </c>
      <c r="AN200" s="7">
        <v>9.52</v>
      </c>
      <c r="AO200" s="7">
        <v>15.9</v>
      </c>
      <c r="AP200" s="7">
        <v>25</v>
      </c>
      <c r="AQ200" t="s">
        <v>49</v>
      </c>
      <c r="AR200" t="s">
        <v>49</v>
      </c>
      <c r="AS200" t="s">
        <v>49</v>
      </c>
      <c r="AT200" t="s">
        <v>49</v>
      </c>
      <c r="AU200" t="s">
        <v>50</v>
      </c>
      <c r="AV200" s="7" t="s">
        <v>3021</v>
      </c>
      <c r="AW200" s="7" t="s">
        <v>3026</v>
      </c>
      <c r="AX200">
        <v>25</v>
      </c>
      <c r="BE200" s="7" t="s">
        <v>3206</v>
      </c>
      <c r="BF200" t="s">
        <v>49</v>
      </c>
      <c r="BG200" t="s">
        <v>926</v>
      </c>
      <c r="BH200">
        <v>70</v>
      </c>
      <c r="BI200" t="s">
        <v>120</v>
      </c>
      <c r="BS200" t="s">
        <v>927</v>
      </c>
      <c r="CH200">
        <v>702</v>
      </c>
      <c r="CI200">
        <v>755</v>
      </c>
      <c r="CJ200">
        <v>845</v>
      </c>
      <c r="CK200">
        <v>965</v>
      </c>
      <c r="CL200">
        <v>363</v>
      </c>
      <c r="CM200">
        <v>395</v>
      </c>
      <c r="CN200" s="2">
        <v>49</v>
      </c>
      <c r="CO200">
        <v>51.5</v>
      </c>
      <c r="CP200" s="2">
        <v>235</v>
      </c>
      <c r="CQ200">
        <v>318</v>
      </c>
      <c r="CR200">
        <v>1068</v>
      </c>
      <c r="CS200">
        <v>1145</v>
      </c>
      <c r="CT200">
        <v>675</v>
      </c>
      <c r="CU200">
        <v>755</v>
      </c>
      <c r="CV200" s="7">
        <v>26.8</v>
      </c>
      <c r="CW200" s="7">
        <v>31.9</v>
      </c>
    </row>
    <row r="201" spans="1:101" x14ac:dyDescent="0.25">
      <c r="A201" t="s">
        <v>928</v>
      </c>
      <c r="B201" t="s">
        <v>678</v>
      </c>
      <c r="C201" t="s">
        <v>214</v>
      </c>
      <c r="D201" t="s">
        <v>929</v>
      </c>
      <c r="E201" t="s">
        <v>2150</v>
      </c>
      <c r="F201" t="s">
        <v>903</v>
      </c>
      <c r="G201" t="s">
        <v>75</v>
      </c>
      <c r="H201">
        <v>112600</v>
      </c>
      <c r="I201" t="s">
        <v>3587</v>
      </c>
      <c r="J201" t="s">
        <v>930</v>
      </c>
      <c r="K201" t="s">
        <v>931</v>
      </c>
      <c r="L201" t="s">
        <v>44</v>
      </c>
      <c r="M201" s="7" t="s">
        <v>2333</v>
      </c>
      <c r="N201" s="7" t="s">
        <v>2655</v>
      </c>
      <c r="O201" s="7" t="s">
        <v>2656</v>
      </c>
      <c r="P201" s="7" t="s">
        <v>2657</v>
      </c>
      <c r="Q201">
        <v>50</v>
      </c>
      <c r="R201">
        <v>25</v>
      </c>
      <c r="X201">
        <v>-15</v>
      </c>
      <c r="Y201">
        <v>50</v>
      </c>
      <c r="Z201">
        <v>-15</v>
      </c>
      <c r="AA201">
        <v>24</v>
      </c>
      <c r="AG201" t="s">
        <v>2950</v>
      </c>
      <c r="AH201" t="s">
        <v>63</v>
      </c>
      <c r="AL201" t="s">
        <v>684</v>
      </c>
      <c r="AN201" s="7">
        <v>9.52</v>
      </c>
      <c r="AO201" s="7">
        <v>15.9</v>
      </c>
      <c r="AP201" s="7">
        <v>25</v>
      </c>
      <c r="AQ201" t="s">
        <v>49</v>
      </c>
      <c r="AR201" t="s">
        <v>49</v>
      </c>
      <c r="AS201" t="s">
        <v>49</v>
      </c>
      <c r="AT201" t="s">
        <v>49</v>
      </c>
      <c r="AU201" t="s">
        <v>50</v>
      </c>
      <c r="AV201" s="7" t="s">
        <v>3021</v>
      </c>
      <c r="AW201" s="7" t="s">
        <v>3026</v>
      </c>
      <c r="AX201">
        <v>25</v>
      </c>
      <c r="BE201" s="7" t="s">
        <v>3207</v>
      </c>
      <c r="BF201" t="s">
        <v>49</v>
      </c>
      <c r="BH201">
        <v>73</v>
      </c>
      <c r="BI201" t="s">
        <v>120</v>
      </c>
      <c r="BS201" t="s">
        <v>927</v>
      </c>
      <c r="CH201">
        <v>673</v>
      </c>
      <c r="CI201">
        <v>740</v>
      </c>
      <c r="CJ201">
        <v>890</v>
      </c>
      <c r="CK201">
        <v>995</v>
      </c>
      <c r="CL201">
        <v>342</v>
      </c>
      <c r="CM201">
        <v>398</v>
      </c>
      <c r="CN201" s="2">
        <v>45.1</v>
      </c>
      <c r="CO201">
        <v>48.3</v>
      </c>
      <c r="CP201" s="2">
        <v>235</v>
      </c>
      <c r="CQ201">
        <v>318</v>
      </c>
      <c r="CR201">
        <v>1068</v>
      </c>
      <c r="CS201">
        <v>1145</v>
      </c>
      <c r="CT201">
        <v>675</v>
      </c>
      <c r="CU201">
        <v>755</v>
      </c>
      <c r="CV201" s="7">
        <v>28</v>
      </c>
      <c r="CW201" s="7">
        <v>33.1</v>
      </c>
    </row>
    <row r="202" spans="1:101" x14ac:dyDescent="0.25">
      <c r="A202" t="s">
        <v>932</v>
      </c>
      <c r="B202" t="s">
        <v>678</v>
      </c>
      <c r="C202" t="s">
        <v>214</v>
      </c>
      <c r="D202" t="s">
        <v>933</v>
      </c>
      <c r="E202" t="s">
        <v>2150</v>
      </c>
      <c r="F202" t="s">
        <v>903</v>
      </c>
      <c r="G202" t="s">
        <v>41</v>
      </c>
      <c r="H202">
        <v>164900</v>
      </c>
      <c r="I202" t="s">
        <v>3587</v>
      </c>
      <c r="J202" t="s">
        <v>934</v>
      </c>
      <c r="K202" t="s">
        <v>935</v>
      </c>
      <c r="L202" t="s">
        <v>44</v>
      </c>
      <c r="M202" s="7" t="s">
        <v>2319</v>
      </c>
      <c r="N202" s="7" t="s">
        <v>2610</v>
      </c>
      <c r="O202" s="7" t="s">
        <v>2658</v>
      </c>
      <c r="P202" s="7" t="s">
        <v>2659</v>
      </c>
      <c r="Q202">
        <v>30</v>
      </c>
      <c r="R202">
        <v>20</v>
      </c>
      <c r="U202">
        <v>1</v>
      </c>
      <c r="X202">
        <v>-15</v>
      </c>
      <c r="Y202">
        <v>50</v>
      </c>
      <c r="Z202">
        <v>-15</v>
      </c>
      <c r="AA202">
        <v>24</v>
      </c>
      <c r="AC202" t="s">
        <v>936</v>
      </c>
      <c r="AD202">
        <v>60</v>
      </c>
      <c r="AE202" t="s">
        <v>3493</v>
      </c>
      <c r="AF202" t="s">
        <v>3505</v>
      </c>
      <c r="AI202" t="s">
        <v>937</v>
      </c>
      <c r="AJ202">
        <v>220</v>
      </c>
      <c r="AK202" t="s">
        <v>938</v>
      </c>
      <c r="AL202" t="s">
        <v>684</v>
      </c>
      <c r="AM202">
        <v>380</v>
      </c>
      <c r="AN202" s="7">
        <v>9.52</v>
      </c>
      <c r="AO202" s="7">
        <v>19</v>
      </c>
      <c r="AP202" s="7">
        <v>25</v>
      </c>
      <c r="AQ202" t="s">
        <v>49</v>
      </c>
      <c r="AR202" t="s">
        <v>49</v>
      </c>
      <c r="AS202" t="s">
        <v>49</v>
      </c>
      <c r="AT202" t="s">
        <v>49</v>
      </c>
      <c r="AU202" t="s">
        <v>50</v>
      </c>
      <c r="AV202" s="7" t="s">
        <v>3022</v>
      </c>
      <c r="AW202" s="7" t="s">
        <v>3026</v>
      </c>
      <c r="AX202">
        <v>25</v>
      </c>
      <c r="BE202" s="7" t="s">
        <v>3208</v>
      </c>
      <c r="BF202" t="s">
        <v>49</v>
      </c>
      <c r="BH202">
        <v>106</v>
      </c>
      <c r="BI202" t="s">
        <v>241</v>
      </c>
      <c r="BS202" t="s">
        <v>939</v>
      </c>
      <c r="CH202">
        <v>810</v>
      </c>
      <c r="CI202">
        <v>875</v>
      </c>
      <c r="CJ202">
        <v>946</v>
      </c>
      <c r="CK202">
        <v>1090</v>
      </c>
      <c r="CL202">
        <v>410</v>
      </c>
      <c r="CM202">
        <v>500</v>
      </c>
      <c r="CN202" s="2">
        <v>77.900000000000006</v>
      </c>
      <c r="CO202">
        <v>82.7</v>
      </c>
      <c r="CP202" s="2">
        <v>235</v>
      </c>
      <c r="CQ202">
        <v>318</v>
      </c>
      <c r="CR202">
        <v>1285</v>
      </c>
      <c r="CS202">
        <v>1360</v>
      </c>
      <c r="CT202">
        <v>675</v>
      </c>
      <c r="CU202">
        <v>755</v>
      </c>
      <c r="CV202" s="7">
        <v>30.1</v>
      </c>
      <c r="CW202" s="7">
        <v>35.4</v>
      </c>
    </row>
    <row r="203" spans="1:101" x14ac:dyDescent="0.25">
      <c r="A203" t="s">
        <v>940</v>
      </c>
      <c r="B203" t="s">
        <v>678</v>
      </c>
      <c r="C203" t="s">
        <v>214</v>
      </c>
      <c r="D203" t="s">
        <v>941</v>
      </c>
      <c r="E203" t="s">
        <v>2150</v>
      </c>
      <c r="F203" t="s">
        <v>903</v>
      </c>
      <c r="G203" t="s">
        <v>41</v>
      </c>
      <c r="H203">
        <v>164900</v>
      </c>
      <c r="I203" t="s">
        <v>3587</v>
      </c>
      <c r="J203" t="s">
        <v>913</v>
      </c>
      <c r="K203" t="s">
        <v>914</v>
      </c>
      <c r="L203" t="s">
        <v>44</v>
      </c>
      <c r="M203" s="7" t="s">
        <v>2334</v>
      </c>
      <c r="N203" s="7" t="s">
        <v>2660</v>
      </c>
      <c r="O203" s="7" t="s">
        <v>2661</v>
      </c>
      <c r="P203" s="7" t="s">
        <v>2662</v>
      </c>
      <c r="Q203">
        <v>30</v>
      </c>
      <c r="R203">
        <v>20</v>
      </c>
      <c r="X203">
        <v>-15</v>
      </c>
      <c r="Y203">
        <v>50</v>
      </c>
      <c r="Z203">
        <v>-15</v>
      </c>
      <c r="AA203">
        <v>24</v>
      </c>
      <c r="AC203" t="s">
        <v>942</v>
      </c>
      <c r="AD203">
        <v>60</v>
      </c>
      <c r="AE203" t="s">
        <v>3590</v>
      </c>
      <c r="AF203" t="s">
        <v>3505</v>
      </c>
      <c r="AI203" t="s">
        <v>943</v>
      </c>
      <c r="AJ203">
        <v>220</v>
      </c>
      <c r="AK203" t="s">
        <v>944</v>
      </c>
      <c r="AL203" t="s">
        <v>684</v>
      </c>
      <c r="AM203">
        <v>380</v>
      </c>
      <c r="AN203" s="7">
        <v>9.52</v>
      </c>
      <c r="AO203" s="7">
        <v>15.9</v>
      </c>
      <c r="AP203" s="7">
        <v>25</v>
      </c>
      <c r="AQ203" t="s">
        <v>49</v>
      </c>
      <c r="AR203" t="s">
        <v>49</v>
      </c>
      <c r="AS203" t="s">
        <v>49</v>
      </c>
      <c r="AT203" t="s">
        <v>49</v>
      </c>
      <c r="AU203" t="s">
        <v>50</v>
      </c>
      <c r="AV203" s="7" t="s">
        <v>3022</v>
      </c>
      <c r="AW203" s="7" t="s">
        <v>3026</v>
      </c>
      <c r="AX203">
        <v>25</v>
      </c>
      <c r="BE203" s="7" t="s">
        <v>3209</v>
      </c>
      <c r="BF203" t="s">
        <v>49</v>
      </c>
      <c r="BH203">
        <v>106</v>
      </c>
      <c r="BI203" t="s">
        <v>241</v>
      </c>
      <c r="BS203" t="s">
        <v>945</v>
      </c>
      <c r="CH203">
        <v>810</v>
      </c>
      <c r="CI203">
        <v>885</v>
      </c>
      <c r="CJ203">
        <v>946</v>
      </c>
      <c r="CK203">
        <v>1090</v>
      </c>
      <c r="CL203">
        <v>410</v>
      </c>
      <c r="CM203">
        <v>500</v>
      </c>
      <c r="CN203" s="2">
        <v>77.900000000000006</v>
      </c>
      <c r="CO203">
        <v>82.7</v>
      </c>
      <c r="CP203" s="2">
        <v>235</v>
      </c>
      <c r="CQ203">
        <v>318</v>
      </c>
      <c r="CR203">
        <v>1650</v>
      </c>
      <c r="CS203">
        <v>1725</v>
      </c>
      <c r="CT203">
        <v>675</v>
      </c>
      <c r="CU203">
        <v>755</v>
      </c>
      <c r="CV203" s="7">
        <v>41.5</v>
      </c>
      <c r="CW203" s="7">
        <v>48</v>
      </c>
    </row>
    <row r="204" spans="1:101" x14ac:dyDescent="0.25">
      <c r="A204" t="s">
        <v>946</v>
      </c>
      <c r="B204" t="s">
        <v>678</v>
      </c>
      <c r="C204" t="s">
        <v>214</v>
      </c>
      <c r="D204" t="s">
        <v>947</v>
      </c>
      <c r="E204" t="s">
        <v>2150</v>
      </c>
      <c r="F204" t="s">
        <v>903</v>
      </c>
      <c r="G204" t="s">
        <v>75</v>
      </c>
      <c r="H204">
        <v>164900</v>
      </c>
      <c r="I204" t="s">
        <v>3587</v>
      </c>
      <c r="J204" t="s">
        <v>913</v>
      </c>
      <c r="K204" t="s">
        <v>914</v>
      </c>
      <c r="L204" t="s">
        <v>44</v>
      </c>
      <c r="M204" s="7" t="s">
        <v>2321</v>
      </c>
      <c r="N204" s="7" t="s">
        <v>2616</v>
      </c>
      <c r="O204" s="7" t="s">
        <v>2663</v>
      </c>
      <c r="P204" s="7" t="s">
        <v>2664</v>
      </c>
      <c r="Q204">
        <v>30</v>
      </c>
      <c r="R204">
        <v>20</v>
      </c>
      <c r="X204">
        <v>-15</v>
      </c>
      <c r="Y204">
        <v>50</v>
      </c>
      <c r="Z204">
        <v>-15</v>
      </c>
      <c r="AA204">
        <v>24</v>
      </c>
      <c r="AE204" t="s">
        <v>3578</v>
      </c>
      <c r="AF204" t="s">
        <v>857</v>
      </c>
      <c r="AL204" t="s">
        <v>684</v>
      </c>
      <c r="AN204" s="7">
        <v>9.52</v>
      </c>
      <c r="AO204" s="7">
        <v>15.9</v>
      </c>
      <c r="AP204" s="7">
        <v>25</v>
      </c>
      <c r="AQ204" t="s">
        <v>49</v>
      </c>
      <c r="AR204" t="s">
        <v>49</v>
      </c>
      <c r="AS204" t="s">
        <v>49</v>
      </c>
      <c r="AT204" t="s">
        <v>49</v>
      </c>
      <c r="AU204" t="s">
        <v>50</v>
      </c>
      <c r="AV204" s="7" t="s">
        <v>3022</v>
      </c>
      <c r="AW204" s="7" t="s">
        <v>3026</v>
      </c>
      <c r="AX204">
        <v>25</v>
      </c>
      <c r="BE204" s="7" t="s">
        <v>3209</v>
      </c>
      <c r="BF204" t="s">
        <v>49</v>
      </c>
      <c r="BH204">
        <v>111</v>
      </c>
      <c r="BI204" t="s">
        <v>241</v>
      </c>
      <c r="BS204" t="s">
        <v>945</v>
      </c>
      <c r="CH204">
        <v>810</v>
      </c>
      <c r="CI204">
        <v>885</v>
      </c>
      <c r="CJ204">
        <v>946</v>
      </c>
      <c r="CK204">
        <v>1090</v>
      </c>
      <c r="CL204">
        <v>410</v>
      </c>
      <c r="CM204">
        <v>500</v>
      </c>
      <c r="CN204" s="2">
        <v>77.900000000000006</v>
      </c>
      <c r="CO204">
        <v>82.7</v>
      </c>
      <c r="CP204" s="2">
        <v>235</v>
      </c>
      <c r="CQ204">
        <v>318</v>
      </c>
      <c r="CR204">
        <v>1650</v>
      </c>
      <c r="CS204">
        <v>1725</v>
      </c>
      <c r="CT204">
        <v>675</v>
      </c>
      <c r="CU204">
        <v>755</v>
      </c>
      <c r="CV204" s="7">
        <v>41.5</v>
      </c>
      <c r="CW204" s="7">
        <v>48</v>
      </c>
    </row>
    <row r="205" spans="1:101" x14ac:dyDescent="0.25">
      <c r="A205" t="s">
        <v>948</v>
      </c>
      <c r="B205" t="s">
        <v>678</v>
      </c>
      <c r="C205" t="s">
        <v>214</v>
      </c>
      <c r="D205" t="s">
        <v>949</v>
      </c>
      <c r="E205" t="s">
        <v>2150</v>
      </c>
      <c r="F205" t="s">
        <v>903</v>
      </c>
      <c r="G205" t="s">
        <v>41</v>
      </c>
      <c r="H205">
        <v>186400</v>
      </c>
      <c r="I205" t="s">
        <v>3587</v>
      </c>
      <c r="J205" t="s">
        <v>950</v>
      </c>
      <c r="K205" t="s">
        <v>951</v>
      </c>
      <c r="L205" t="s">
        <v>44</v>
      </c>
      <c r="M205" s="7" t="s">
        <v>2335</v>
      </c>
      <c r="N205" s="7" t="s">
        <v>2619</v>
      </c>
      <c r="O205" s="7" t="s">
        <v>2665</v>
      </c>
      <c r="P205" s="7" t="s">
        <v>2666</v>
      </c>
      <c r="Q205">
        <v>50</v>
      </c>
      <c r="R205">
        <v>25</v>
      </c>
      <c r="U205">
        <v>1</v>
      </c>
      <c r="X205">
        <v>-15</v>
      </c>
      <c r="Y205">
        <v>50</v>
      </c>
      <c r="Z205">
        <v>-15</v>
      </c>
      <c r="AA205">
        <v>24</v>
      </c>
      <c r="AC205" t="s">
        <v>952</v>
      </c>
      <c r="AD205">
        <v>80</v>
      </c>
      <c r="AE205" t="s">
        <v>3479</v>
      </c>
      <c r="AF205" t="s">
        <v>3581</v>
      </c>
      <c r="AI205" t="s">
        <v>953</v>
      </c>
      <c r="AJ205">
        <v>220</v>
      </c>
      <c r="AK205" t="s">
        <v>954</v>
      </c>
      <c r="AL205" t="s">
        <v>684</v>
      </c>
      <c r="AM205">
        <v>380</v>
      </c>
      <c r="AN205" s="7">
        <v>9.52</v>
      </c>
      <c r="AO205" s="7">
        <v>19</v>
      </c>
      <c r="AP205" s="7">
        <v>25</v>
      </c>
      <c r="AQ205" t="s">
        <v>49</v>
      </c>
      <c r="AR205" t="s">
        <v>49</v>
      </c>
      <c r="AS205" t="s">
        <v>49</v>
      </c>
      <c r="AT205" t="s">
        <v>49</v>
      </c>
      <c r="AU205" t="s">
        <v>50</v>
      </c>
      <c r="AV205" s="7" t="s">
        <v>3022</v>
      </c>
      <c r="AW205" s="7" t="s">
        <v>3026</v>
      </c>
      <c r="AX205">
        <v>25</v>
      </c>
      <c r="BE205" s="7" t="s">
        <v>3210</v>
      </c>
      <c r="BF205" t="s">
        <v>49</v>
      </c>
      <c r="BH205">
        <v>141</v>
      </c>
      <c r="BI205" t="s">
        <v>241</v>
      </c>
      <c r="BS205" t="s">
        <v>955</v>
      </c>
      <c r="CH205">
        <v>810</v>
      </c>
      <c r="CI205">
        <v>875</v>
      </c>
      <c r="CJ205">
        <v>946</v>
      </c>
      <c r="CK205">
        <v>1090</v>
      </c>
      <c r="CL205">
        <v>410</v>
      </c>
      <c r="CM205">
        <v>500</v>
      </c>
      <c r="CN205" s="2">
        <v>86</v>
      </c>
      <c r="CO205">
        <v>91.6</v>
      </c>
      <c r="CP205" s="2">
        <v>235</v>
      </c>
      <c r="CQ205">
        <v>318</v>
      </c>
      <c r="CR205">
        <v>1650</v>
      </c>
      <c r="CS205">
        <v>1725</v>
      </c>
      <c r="CT205">
        <v>675</v>
      </c>
      <c r="CU205">
        <v>755</v>
      </c>
      <c r="CV205" s="7">
        <v>37.5</v>
      </c>
      <c r="CW205" s="7">
        <v>43.8</v>
      </c>
    </row>
    <row r="206" spans="1:101" x14ac:dyDescent="0.25">
      <c r="A206" t="s">
        <v>956</v>
      </c>
      <c r="B206" t="s">
        <v>678</v>
      </c>
      <c r="C206" t="s">
        <v>214</v>
      </c>
      <c r="D206" t="s">
        <v>957</v>
      </c>
      <c r="E206" t="s">
        <v>2150</v>
      </c>
      <c r="F206" t="s">
        <v>903</v>
      </c>
      <c r="G206" t="s">
        <v>75</v>
      </c>
      <c r="H206">
        <v>186400</v>
      </c>
      <c r="I206" t="s">
        <v>3587</v>
      </c>
      <c r="J206" t="s">
        <v>913</v>
      </c>
      <c r="K206" t="s">
        <v>914</v>
      </c>
      <c r="L206" t="s">
        <v>44</v>
      </c>
      <c r="M206" s="7" t="s">
        <v>2336</v>
      </c>
      <c r="N206" s="7" t="s">
        <v>2667</v>
      </c>
      <c r="O206" s="7" t="s">
        <v>2668</v>
      </c>
      <c r="P206" s="7" t="s">
        <v>2669</v>
      </c>
      <c r="Q206">
        <v>50</v>
      </c>
      <c r="R206">
        <v>30</v>
      </c>
      <c r="X206">
        <v>-15</v>
      </c>
      <c r="Y206">
        <v>50</v>
      </c>
      <c r="Z206">
        <v>-15</v>
      </c>
      <c r="AA206">
        <v>24</v>
      </c>
      <c r="AE206" t="s">
        <v>3482</v>
      </c>
      <c r="AF206" t="s">
        <v>3549</v>
      </c>
      <c r="AL206" t="s">
        <v>684</v>
      </c>
      <c r="AN206" s="7">
        <v>9.52</v>
      </c>
      <c r="AO206" s="7">
        <v>15.9</v>
      </c>
      <c r="AP206" s="7">
        <v>25</v>
      </c>
      <c r="AQ206" t="s">
        <v>49</v>
      </c>
      <c r="AR206" t="s">
        <v>49</v>
      </c>
      <c r="AS206" t="s">
        <v>49</v>
      </c>
      <c r="AT206" t="s">
        <v>49</v>
      </c>
      <c r="AU206" t="s">
        <v>50</v>
      </c>
      <c r="AV206" s="7" t="s">
        <v>3022</v>
      </c>
      <c r="AW206" s="7" t="s">
        <v>3026</v>
      </c>
      <c r="AX206">
        <v>25</v>
      </c>
      <c r="BE206" s="7" t="s">
        <v>3211</v>
      </c>
      <c r="BF206" t="s">
        <v>49</v>
      </c>
      <c r="BH206">
        <v>141</v>
      </c>
      <c r="BI206" t="s">
        <v>241</v>
      </c>
      <c r="BS206" t="s">
        <v>958</v>
      </c>
      <c r="CH206">
        <v>810</v>
      </c>
      <c r="CI206">
        <v>885</v>
      </c>
      <c r="CJ206">
        <v>946</v>
      </c>
      <c r="CK206">
        <v>1090</v>
      </c>
      <c r="CL206">
        <v>410</v>
      </c>
      <c r="CM206">
        <v>500</v>
      </c>
      <c r="CN206" s="2">
        <v>86.7</v>
      </c>
      <c r="CO206">
        <v>91.4</v>
      </c>
      <c r="CP206" s="2">
        <v>235</v>
      </c>
      <c r="CQ206">
        <v>318</v>
      </c>
      <c r="CR206">
        <v>1650</v>
      </c>
      <c r="CS206">
        <v>1725</v>
      </c>
      <c r="CT206">
        <v>675</v>
      </c>
      <c r="CU206">
        <v>755</v>
      </c>
      <c r="CV206" s="7">
        <v>40.4</v>
      </c>
      <c r="CW206" s="7">
        <v>46.8</v>
      </c>
    </row>
    <row r="207" spans="1:101" x14ac:dyDescent="0.25">
      <c r="A207" t="s">
        <v>959</v>
      </c>
      <c r="B207" t="s">
        <v>678</v>
      </c>
      <c r="C207" t="s">
        <v>214</v>
      </c>
      <c r="D207" t="s">
        <v>960</v>
      </c>
      <c r="E207" t="s">
        <v>2150</v>
      </c>
      <c r="F207" t="s">
        <v>903</v>
      </c>
      <c r="G207" t="s">
        <v>41</v>
      </c>
      <c r="H207">
        <v>209700</v>
      </c>
      <c r="I207" t="s">
        <v>3587</v>
      </c>
      <c r="J207" t="s">
        <v>961</v>
      </c>
      <c r="K207" t="s">
        <v>962</v>
      </c>
      <c r="L207" t="s">
        <v>44</v>
      </c>
      <c r="M207" s="7" t="s">
        <v>2324</v>
      </c>
      <c r="N207" s="7" t="s">
        <v>2625</v>
      </c>
      <c r="O207" s="7" t="s">
        <v>2626</v>
      </c>
      <c r="P207" s="7" t="s">
        <v>2670</v>
      </c>
      <c r="Q207">
        <v>50</v>
      </c>
      <c r="R207">
        <v>25</v>
      </c>
      <c r="U207">
        <v>1</v>
      </c>
      <c r="X207">
        <v>-15</v>
      </c>
      <c r="Y207">
        <v>50</v>
      </c>
      <c r="Z207">
        <v>-15</v>
      </c>
      <c r="AA207">
        <v>24</v>
      </c>
      <c r="AC207" t="s">
        <v>963</v>
      </c>
      <c r="AD207">
        <v>92</v>
      </c>
      <c r="AE207" t="s">
        <v>3479</v>
      </c>
      <c r="AF207" t="s">
        <v>3591</v>
      </c>
      <c r="AI207" t="s">
        <v>964</v>
      </c>
      <c r="AK207" t="s">
        <v>965</v>
      </c>
      <c r="AL207" t="s">
        <v>684</v>
      </c>
      <c r="AM207">
        <v>380</v>
      </c>
      <c r="AN207" s="7">
        <v>9.52</v>
      </c>
      <c r="AO207" s="7">
        <v>19</v>
      </c>
      <c r="AP207" s="7">
        <v>25</v>
      </c>
      <c r="AQ207" t="s">
        <v>49</v>
      </c>
      <c r="AR207" t="s">
        <v>49</v>
      </c>
      <c r="AS207" t="s">
        <v>49</v>
      </c>
      <c r="AT207" t="s">
        <v>49</v>
      </c>
      <c r="AU207" t="s">
        <v>50</v>
      </c>
      <c r="AV207" s="7" t="s">
        <v>3022</v>
      </c>
      <c r="AW207" s="7" t="s">
        <v>3026</v>
      </c>
      <c r="AX207">
        <v>25</v>
      </c>
      <c r="BE207" s="7" t="s">
        <v>3212</v>
      </c>
      <c r="BF207" t="s">
        <v>49</v>
      </c>
      <c r="BH207">
        <v>161</v>
      </c>
      <c r="BI207" t="s">
        <v>241</v>
      </c>
      <c r="BS207" t="s">
        <v>966</v>
      </c>
      <c r="CH207">
        <v>1333</v>
      </c>
      <c r="CI207">
        <v>1480</v>
      </c>
      <c r="CJ207">
        <v>952</v>
      </c>
      <c r="CK207">
        <v>1095</v>
      </c>
      <c r="CL207">
        <v>410</v>
      </c>
      <c r="CM207">
        <v>495</v>
      </c>
      <c r="CN207" s="2">
        <v>107</v>
      </c>
      <c r="CO207">
        <v>120.7</v>
      </c>
      <c r="CP207" s="2">
        <v>235</v>
      </c>
      <c r="CQ207">
        <v>318</v>
      </c>
      <c r="CR207">
        <v>1650</v>
      </c>
      <c r="CS207">
        <v>1725</v>
      </c>
      <c r="CT207">
        <v>675</v>
      </c>
      <c r="CU207">
        <v>755</v>
      </c>
      <c r="CV207" s="7">
        <v>40</v>
      </c>
      <c r="CW207" s="7">
        <v>46</v>
      </c>
    </row>
    <row r="208" spans="1:101" x14ac:dyDescent="0.25">
      <c r="A208" t="s">
        <v>967</v>
      </c>
      <c r="B208" t="s">
        <v>678</v>
      </c>
      <c r="C208" t="s">
        <v>214</v>
      </c>
      <c r="D208" t="s">
        <v>968</v>
      </c>
      <c r="E208" t="s">
        <v>2150</v>
      </c>
      <c r="F208" t="s">
        <v>903</v>
      </c>
      <c r="G208" t="s">
        <v>75</v>
      </c>
      <c r="H208">
        <v>209700</v>
      </c>
      <c r="I208" t="s">
        <v>3587</v>
      </c>
      <c r="J208" t="s">
        <v>969</v>
      </c>
      <c r="K208" t="s">
        <v>970</v>
      </c>
      <c r="L208" t="s">
        <v>44</v>
      </c>
      <c r="M208" s="7" t="s">
        <v>2325</v>
      </c>
      <c r="N208" s="7" t="s">
        <v>2671</v>
      </c>
      <c r="O208" s="7" t="s">
        <v>2629</v>
      </c>
      <c r="P208" s="7" t="s">
        <v>2672</v>
      </c>
      <c r="Q208">
        <v>50</v>
      </c>
      <c r="R208">
        <v>30</v>
      </c>
      <c r="X208">
        <v>-15</v>
      </c>
      <c r="Y208">
        <v>50</v>
      </c>
      <c r="Z208">
        <v>-15</v>
      </c>
      <c r="AA208">
        <v>24</v>
      </c>
      <c r="AE208" t="s">
        <v>3583</v>
      </c>
      <c r="AF208" t="s">
        <v>3592</v>
      </c>
      <c r="AL208" t="s">
        <v>684</v>
      </c>
      <c r="AN208" s="7">
        <v>9.52</v>
      </c>
      <c r="AO208" s="7">
        <v>15.9</v>
      </c>
      <c r="AP208" s="7">
        <v>25</v>
      </c>
      <c r="AQ208" t="s">
        <v>49</v>
      </c>
      <c r="AR208" t="s">
        <v>49</v>
      </c>
      <c r="AS208" t="s">
        <v>49</v>
      </c>
      <c r="AT208" t="s">
        <v>49</v>
      </c>
      <c r="AU208" t="s">
        <v>50</v>
      </c>
      <c r="AV208" s="7" t="s">
        <v>3022</v>
      </c>
      <c r="AW208" s="7" t="s">
        <v>3026</v>
      </c>
      <c r="AX208">
        <v>25</v>
      </c>
      <c r="BE208" s="7" t="s">
        <v>3213</v>
      </c>
      <c r="BF208" t="s">
        <v>49</v>
      </c>
      <c r="BH208">
        <v>161</v>
      </c>
      <c r="BI208" t="s">
        <v>241</v>
      </c>
      <c r="BS208" t="s">
        <v>3593</v>
      </c>
      <c r="CH208">
        <v>1333</v>
      </c>
      <c r="CI208">
        <v>1480</v>
      </c>
      <c r="CJ208">
        <v>952</v>
      </c>
      <c r="CK208">
        <v>1095</v>
      </c>
      <c r="CL208">
        <v>415</v>
      </c>
      <c r="CM208">
        <v>495</v>
      </c>
      <c r="CN208" s="2">
        <v>107.1</v>
      </c>
      <c r="CO208">
        <v>121.3</v>
      </c>
      <c r="CP208" s="2">
        <v>235</v>
      </c>
      <c r="CQ208">
        <v>318</v>
      </c>
      <c r="CR208">
        <v>1650</v>
      </c>
      <c r="CS208">
        <v>1725</v>
      </c>
      <c r="CT208">
        <v>675</v>
      </c>
      <c r="CU208">
        <v>755</v>
      </c>
      <c r="CV208" s="7">
        <v>40.4</v>
      </c>
      <c r="CW208" s="7">
        <v>47</v>
      </c>
    </row>
    <row r="209" spans="1:101" x14ac:dyDescent="0.25">
      <c r="A209" t="s">
        <v>971</v>
      </c>
      <c r="B209" t="s">
        <v>678</v>
      </c>
      <c r="C209" t="s">
        <v>214</v>
      </c>
      <c r="D209" t="s">
        <v>972</v>
      </c>
      <c r="E209" t="s">
        <v>2148</v>
      </c>
      <c r="F209" t="s">
        <v>973</v>
      </c>
      <c r="G209" t="s">
        <v>41</v>
      </c>
      <c r="H209">
        <v>78400</v>
      </c>
      <c r="I209" t="s">
        <v>3594</v>
      </c>
      <c r="J209" t="s">
        <v>974</v>
      </c>
      <c r="K209" t="s">
        <v>975</v>
      </c>
      <c r="L209" t="s">
        <v>44</v>
      </c>
      <c r="M209" s="7" t="s">
        <v>2337</v>
      </c>
      <c r="N209" s="7" t="s">
        <v>2673</v>
      </c>
      <c r="O209" s="7" t="s">
        <v>2674</v>
      </c>
      <c r="P209" s="7" t="s">
        <v>2675</v>
      </c>
      <c r="Q209">
        <v>25</v>
      </c>
      <c r="R209">
        <v>10</v>
      </c>
      <c r="U209">
        <v>1</v>
      </c>
      <c r="X209">
        <v>-15</v>
      </c>
      <c r="Y209">
        <v>50</v>
      </c>
      <c r="Z209">
        <v>-15</v>
      </c>
      <c r="AA209">
        <v>24</v>
      </c>
      <c r="AC209" t="s">
        <v>976</v>
      </c>
      <c r="AD209">
        <v>20</v>
      </c>
      <c r="AG209" t="s">
        <v>2946</v>
      </c>
      <c r="AH209" t="s">
        <v>63</v>
      </c>
      <c r="AI209" t="s">
        <v>977</v>
      </c>
      <c r="AJ209">
        <v>220</v>
      </c>
      <c r="AK209" t="s">
        <v>978</v>
      </c>
      <c r="AL209" t="s">
        <v>684</v>
      </c>
      <c r="AM209">
        <v>220</v>
      </c>
      <c r="AN209" s="7">
        <v>6.35</v>
      </c>
      <c r="AO209" s="7">
        <v>9.52</v>
      </c>
      <c r="AP209" s="7">
        <v>25</v>
      </c>
      <c r="AQ209" t="s">
        <v>49</v>
      </c>
      <c r="AR209" t="s">
        <v>49</v>
      </c>
      <c r="AS209" t="s">
        <v>49</v>
      </c>
      <c r="AT209" t="s">
        <v>49</v>
      </c>
      <c r="AU209" t="s">
        <v>50</v>
      </c>
      <c r="AV209" s="7" t="s">
        <v>3021</v>
      </c>
      <c r="AW209" s="7" t="s">
        <v>3026</v>
      </c>
      <c r="AX209">
        <v>20</v>
      </c>
      <c r="BB209" t="s">
        <v>979</v>
      </c>
      <c r="BC209">
        <v>25</v>
      </c>
      <c r="BE209" s="7" t="s">
        <v>3214</v>
      </c>
      <c r="BF209" t="s">
        <v>49</v>
      </c>
      <c r="BG209" t="s">
        <v>212</v>
      </c>
      <c r="BH209">
        <v>35</v>
      </c>
      <c r="BI209" t="s">
        <v>120</v>
      </c>
      <c r="BS209" t="s">
        <v>3595</v>
      </c>
      <c r="CH209">
        <v>554</v>
      </c>
      <c r="CI209">
        <v>615</v>
      </c>
      <c r="CJ209">
        <v>800</v>
      </c>
      <c r="CK209">
        <v>920</v>
      </c>
      <c r="CL209">
        <v>333</v>
      </c>
      <c r="CM209">
        <v>390</v>
      </c>
      <c r="CN209" s="2">
        <v>29.9</v>
      </c>
      <c r="CO209">
        <v>32.6</v>
      </c>
      <c r="CP209" s="2">
        <v>200</v>
      </c>
      <c r="CQ209">
        <v>275</v>
      </c>
      <c r="CR209">
        <v>700</v>
      </c>
      <c r="CS209">
        <v>860</v>
      </c>
      <c r="CT209">
        <v>450</v>
      </c>
      <c r="CU209">
        <v>540</v>
      </c>
      <c r="CV209" s="7">
        <v>18</v>
      </c>
      <c r="CW209" s="7">
        <v>22</v>
      </c>
    </row>
    <row r="210" spans="1:101" x14ac:dyDescent="0.25">
      <c r="A210" t="s">
        <v>980</v>
      </c>
      <c r="B210" t="s">
        <v>678</v>
      </c>
      <c r="C210" t="s">
        <v>214</v>
      </c>
      <c r="D210" t="s">
        <v>981</v>
      </c>
      <c r="E210" t="s">
        <v>2148</v>
      </c>
      <c r="F210" t="s">
        <v>973</v>
      </c>
      <c r="G210" t="s">
        <v>75</v>
      </c>
      <c r="H210">
        <v>78400</v>
      </c>
      <c r="I210" t="s">
        <v>3594</v>
      </c>
      <c r="J210" t="s">
        <v>982</v>
      </c>
      <c r="K210" t="s">
        <v>983</v>
      </c>
      <c r="L210" t="s">
        <v>44</v>
      </c>
      <c r="M210" s="7" t="s">
        <v>2327</v>
      </c>
      <c r="N210" s="7" t="s">
        <v>2634</v>
      </c>
      <c r="O210" s="7" t="s">
        <v>2676</v>
      </c>
      <c r="P210" s="7" t="s">
        <v>2677</v>
      </c>
      <c r="Q210">
        <v>25</v>
      </c>
      <c r="R210">
        <v>10</v>
      </c>
      <c r="X210">
        <v>-15</v>
      </c>
      <c r="Y210">
        <v>50</v>
      </c>
      <c r="Z210">
        <v>-15</v>
      </c>
      <c r="AA210">
        <v>24</v>
      </c>
      <c r="AG210" t="s">
        <v>2950</v>
      </c>
      <c r="AH210" t="s">
        <v>63</v>
      </c>
      <c r="AL210" t="s">
        <v>684</v>
      </c>
      <c r="AN210" s="7">
        <v>6.35</v>
      </c>
      <c r="AO210" s="7">
        <v>9.52</v>
      </c>
      <c r="AP210" s="7">
        <v>25</v>
      </c>
      <c r="AQ210" t="s">
        <v>49</v>
      </c>
      <c r="AR210" t="s">
        <v>49</v>
      </c>
      <c r="AS210" t="s">
        <v>49</v>
      </c>
      <c r="AT210" t="s">
        <v>49</v>
      </c>
      <c r="AU210" t="s">
        <v>50</v>
      </c>
      <c r="AV210" s="7" t="s">
        <v>3021</v>
      </c>
      <c r="AW210" s="7" t="s">
        <v>3026</v>
      </c>
      <c r="AX210">
        <v>20</v>
      </c>
      <c r="BB210" t="s">
        <v>979</v>
      </c>
      <c r="BC210">
        <v>25</v>
      </c>
      <c r="BE210" s="7" t="s">
        <v>3215</v>
      </c>
      <c r="BF210" t="s">
        <v>49</v>
      </c>
      <c r="BH210">
        <v>36</v>
      </c>
      <c r="BI210" t="s">
        <v>120</v>
      </c>
      <c r="BS210" t="s">
        <v>984</v>
      </c>
      <c r="CH210">
        <v>555</v>
      </c>
      <c r="CI210">
        <v>610</v>
      </c>
      <c r="CJ210">
        <v>765</v>
      </c>
      <c r="CK210">
        <v>887</v>
      </c>
      <c r="CL210">
        <v>303</v>
      </c>
      <c r="CM210">
        <v>337</v>
      </c>
      <c r="CN210" s="2">
        <v>26.9</v>
      </c>
      <c r="CO210">
        <v>29.2</v>
      </c>
      <c r="CP210" s="2">
        <v>200</v>
      </c>
      <c r="CQ210">
        <v>285</v>
      </c>
      <c r="CR210">
        <v>700</v>
      </c>
      <c r="CS210">
        <v>860</v>
      </c>
      <c r="CT210">
        <v>506</v>
      </c>
      <c r="CU210">
        <v>540</v>
      </c>
      <c r="CV210" s="7">
        <v>17.8</v>
      </c>
      <c r="CW210" s="7">
        <v>21.5</v>
      </c>
    </row>
    <row r="211" spans="1:101" x14ac:dyDescent="0.25">
      <c r="A211" t="s">
        <v>985</v>
      </c>
      <c r="B211" t="s">
        <v>678</v>
      </c>
      <c r="C211" t="s">
        <v>214</v>
      </c>
      <c r="D211" t="s">
        <v>986</v>
      </c>
      <c r="E211" t="s">
        <v>2148</v>
      </c>
      <c r="F211" t="s">
        <v>973</v>
      </c>
      <c r="G211" t="s">
        <v>41</v>
      </c>
      <c r="H211">
        <v>93100</v>
      </c>
      <c r="I211" t="s">
        <v>3594</v>
      </c>
      <c r="J211" t="s">
        <v>987</v>
      </c>
      <c r="K211" t="s">
        <v>988</v>
      </c>
      <c r="L211" t="s">
        <v>44</v>
      </c>
      <c r="M211" s="7" t="s">
        <v>2338</v>
      </c>
      <c r="N211" s="7" t="s">
        <v>2678</v>
      </c>
      <c r="O211" s="7" t="s">
        <v>2679</v>
      </c>
      <c r="P211" s="7" t="s">
        <v>2680</v>
      </c>
      <c r="Q211">
        <v>30</v>
      </c>
      <c r="R211">
        <v>20</v>
      </c>
      <c r="U211">
        <v>1</v>
      </c>
      <c r="X211">
        <v>-15</v>
      </c>
      <c r="Y211">
        <v>50</v>
      </c>
      <c r="Z211">
        <v>-15</v>
      </c>
      <c r="AA211">
        <v>24</v>
      </c>
      <c r="AD211">
        <v>30</v>
      </c>
      <c r="AG211" t="s">
        <v>2950</v>
      </c>
      <c r="AH211" t="s">
        <v>63</v>
      </c>
      <c r="AL211" t="s">
        <v>684</v>
      </c>
      <c r="AN211" s="7">
        <v>6.35</v>
      </c>
      <c r="AO211" s="7">
        <v>12.7</v>
      </c>
      <c r="AP211" s="7">
        <v>25</v>
      </c>
      <c r="AQ211" t="s">
        <v>49</v>
      </c>
      <c r="AR211" t="s">
        <v>49</v>
      </c>
      <c r="AS211" t="s">
        <v>49</v>
      </c>
      <c r="AT211" t="s">
        <v>49</v>
      </c>
      <c r="AU211" t="s">
        <v>50</v>
      </c>
      <c r="AV211" s="7" t="s">
        <v>3021</v>
      </c>
      <c r="AW211" s="7" t="s">
        <v>3026</v>
      </c>
      <c r="AX211">
        <v>20</v>
      </c>
      <c r="BB211" t="s">
        <v>989</v>
      </c>
      <c r="BC211">
        <v>25</v>
      </c>
      <c r="BE211" s="7" t="s">
        <v>3216</v>
      </c>
      <c r="BF211" t="s">
        <v>49</v>
      </c>
      <c r="BH211">
        <v>53</v>
      </c>
      <c r="BI211" t="s">
        <v>120</v>
      </c>
      <c r="BS211" t="s">
        <v>990</v>
      </c>
      <c r="CH211">
        <v>554</v>
      </c>
      <c r="CI211">
        <v>615</v>
      </c>
      <c r="CJ211">
        <v>800</v>
      </c>
      <c r="CK211">
        <v>920</v>
      </c>
      <c r="CL211">
        <v>333</v>
      </c>
      <c r="CM211">
        <v>390</v>
      </c>
      <c r="CN211" s="2">
        <v>34.5</v>
      </c>
      <c r="CO211">
        <v>37.200000000000003</v>
      </c>
      <c r="CP211" s="2">
        <v>210</v>
      </c>
      <c r="CQ211">
        <v>280</v>
      </c>
      <c r="CR211">
        <v>880</v>
      </c>
      <c r="CS211">
        <v>1070</v>
      </c>
      <c r="CT211">
        <v>674</v>
      </c>
      <c r="CU211">
        <v>725</v>
      </c>
      <c r="CV211" s="7">
        <v>24.3</v>
      </c>
      <c r="CW211" s="7">
        <v>29.6</v>
      </c>
    </row>
    <row r="212" spans="1:101" x14ac:dyDescent="0.25">
      <c r="A212" t="s">
        <v>991</v>
      </c>
      <c r="B212" t="s">
        <v>678</v>
      </c>
      <c r="C212" t="s">
        <v>214</v>
      </c>
      <c r="D212" t="s">
        <v>992</v>
      </c>
      <c r="E212" t="s">
        <v>2148</v>
      </c>
      <c r="F212" t="s">
        <v>973</v>
      </c>
      <c r="G212" t="s">
        <v>75</v>
      </c>
      <c r="H212">
        <v>93100</v>
      </c>
      <c r="I212" t="s">
        <v>3594</v>
      </c>
      <c r="J212" t="s">
        <v>993</v>
      </c>
      <c r="K212" t="s">
        <v>994</v>
      </c>
      <c r="L212" t="s">
        <v>44</v>
      </c>
      <c r="M212" s="7" t="s">
        <v>2339</v>
      </c>
      <c r="N212" s="7" t="s">
        <v>2640</v>
      </c>
      <c r="O212" s="7" t="s">
        <v>2681</v>
      </c>
      <c r="P212" s="7" t="s">
        <v>2682</v>
      </c>
      <c r="Q212">
        <v>30</v>
      </c>
      <c r="R212">
        <v>20</v>
      </c>
      <c r="X212">
        <v>-15</v>
      </c>
      <c r="Y212">
        <v>50</v>
      </c>
      <c r="Z212">
        <v>-15</v>
      </c>
      <c r="AA212">
        <v>24</v>
      </c>
      <c r="AG212" t="s">
        <v>2950</v>
      </c>
      <c r="AH212" t="s">
        <v>63</v>
      </c>
      <c r="AL212" t="s">
        <v>684</v>
      </c>
      <c r="AN212" s="7">
        <v>6.35</v>
      </c>
      <c r="AO212" s="7">
        <v>12.7</v>
      </c>
      <c r="AP212" s="7">
        <v>25</v>
      </c>
      <c r="AQ212" t="s">
        <v>49</v>
      </c>
      <c r="AR212" t="s">
        <v>49</v>
      </c>
      <c r="AS212" t="s">
        <v>49</v>
      </c>
      <c r="AT212" t="s">
        <v>49</v>
      </c>
      <c r="AU212" t="s">
        <v>50</v>
      </c>
      <c r="AV212" s="7" t="s">
        <v>3021</v>
      </c>
      <c r="AW212" s="7" t="s">
        <v>3026</v>
      </c>
      <c r="AX212">
        <v>20</v>
      </c>
      <c r="BB212" t="s">
        <v>989</v>
      </c>
      <c r="BC212">
        <v>25</v>
      </c>
      <c r="BE212" s="7" t="s">
        <v>3217</v>
      </c>
      <c r="BF212" t="s">
        <v>49</v>
      </c>
      <c r="BH212">
        <v>52</v>
      </c>
      <c r="BI212" t="s">
        <v>120</v>
      </c>
      <c r="BS212" t="s">
        <v>995</v>
      </c>
      <c r="CH212">
        <v>554</v>
      </c>
      <c r="CI212">
        <v>615</v>
      </c>
      <c r="CJ212">
        <v>805</v>
      </c>
      <c r="CK212">
        <v>915</v>
      </c>
      <c r="CL212">
        <v>330</v>
      </c>
      <c r="CM212">
        <v>370</v>
      </c>
      <c r="CN212" s="2">
        <v>33.6</v>
      </c>
      <c r="CO212">
        <v>36.200000000000003</v>
      </c>
      <c r="CP212" s="2">
        <v>210</v>
      </c>
      <c r="CQ212">
        <v>280</v>
      </c>
      <c r="CR212">
        <v>880</v>
      </c>
      <c r="CS212">
        <v>1070</v>
      </c>
      <c r="CT212">
        <v>674</v>
      </c>
      <c r="CU212">
        <v>725</v>
      </c>
      <c r="CV212" s="7">
        <v>24.4</v>
      </c>
      <c r="CW212" s="7">
        <v>29.6</v>
      </c>
    </row>
    <row r="213" spans="1:101" x14ac:dyDescent="0.25">
      <c r="A213" t="s">
        <v>996</v>
      </c>
      <c r="B213" t="s">
        <v>678</v>
      </c>
      <c r="C213" t="s">
        <v>214</v>
      </c>
      <c r="D213" t="s">
        <v>997</v>
      </c>
      <c r="E213" t="s">
        <v>2148</v>
      </c>
      <c r="F213" t="s">
        <v>973</v>
      </c>
      <c r="G213" t="s">
        <v>41</v>
      </c>
      <c r="H213">
        <v>114000</v>
      </c>
      <c r="I213" t="s">
        <v>3594</v>
      </c>
      <c r="J213" t="s">
        <v>998</v>
      </c>
      <c r="K213" t="s">
        <v>999</v>
      </c>
      <c r="L213" t="s">
        <v>44</v>
      </c>
      <c r="M213" s="7" t="s">
        <v>2340</v>
      </c>
      <c r="N213" s="7" t="s">
        <v>2683</v>
      </c>
      <c r="O213" s="7" t="s">
        <v>2684</v>
      </c>
      <c r="P213" s="7" t="s">
        <v>2685</v>
      </c>
      <c r="Q213">
        <v>50</v>
      </c>
      <c r="R213">
        <v>25</v>
      </c>
      <c r="U213">
        <v>1</v>
      </c>
      <c r="X213">
        <v>-15</v>
      </c>
      <c r="Y213">
        <v>50</v>
      </c>
      <c r="Z213">
        <v>-15</v>
      </c>
      <c r="AA213">
        <v>24</v>
      </c>
      <c r="AC213" t="s">
        <v>1000</v>
      </c>
      <c r="AD213">
        <v>40</v>
      </c>
      <c r="AG213" t="s">
        <v>2950</v>
      </c>
      <c r="AH213" t="s">
        <v>63</v>
      </c>
      <c r="AI213" t="s">
        <v>1001</v>
      </c>
      <c r="AJ213">
        <v>220</v>
      </c>
      <c r="AK213" t="s">
        <v>925</v>
      </c>
      <c r="AL213" t="s">
        <v>684</v>
      </c>
      <c r="AM213">
        <v>220</v>
      </c>
      <c r="AN213" s="7">
        <v>9.52</v>
      </c>
      <c r="AO213" s="7">
        <v>15.9</v>
      </c>
      <c r="AP213" s="7">
        <v>25</v>
      </c>
      <c r="AQ213" t="s">
        <v>49</v>
      </c>
      <c r="AR213" t="s">
        <v>49</v>
      </c>
      <c r="AS213" t="s">
        <v>49</v>
      </c>
      <c r="AT213" t="s">
        <v>49</v>
      </c>
      <c r="AU213" t="s">
        <v>50</v>
      </c>
      <c r="AV213" s="7" t="s">
        <v>3021</v>
      </c>
      <c r="AW213" s="7" t="s">
        <v>3026</v>
      </c>
      <c r="AX213">
        <v>25</v>
      </c>
      <c r="BB213" t="s">
        <v>1002</v>
      </c>
      <c r="BC213">
        <v>25</v>
      </c>
      <c r="BE213" s="7" t="s">
        <v>3218</v>
      </c>
      <c r="BF213" t="s">
        <v>49</v>
      </c>
      <c r="BG213" t="s">
        <v>926</v>
      </c>
      <c r="BH213">
        <v>70</v>
      </c>
      <c r="BI213" t="s">
        <v>120</v>
      </c>
      <c r="BS213" t="s">
        <v>1003</v>
      </c>
      <c r="CH213">
        <v>702</v>
      </c>
      <c r="CI213">
        <v>755</v>
      </c>
      <c r="CJ213">
        <v>845</v>
      </c>
      <c r="CK213">
        <v>965</v>
      </c>
      <c r="CL213">
        <v>363</v>
      </c>
      <c r="CM213">
        <v>395</v>
      </c>
      <c r="CN213" s="2">
        <v>49</v>
      </c>
      <c r="CO213">
        <v>51.5</v>
      </c>
      <c r="CP213" s="2">
        <v>249</v>
      </c>
      <c r="CQ213">
        <v>305</v>
      </c>
      <c r="CR213">
        <v>1100</v>
      </c>
      <c r="CS213">
        <v>1305</v>
      </c>
      <c r="CT213">
        <v>774</v>
      </c>
      <c r="CU213">
        <v>805</v>
      </c>
      <c r="CV213" s="7">
        <v>31.5</v>
      </c>
      <c r="CW213" s="7">
        <v>38.9</v>
      </c>
    </row>
    <row r="214" spans="1:101" x14ac:dyDescent="0.25">
      <c r="A214" t="s">
        <v>1004</v>
      </c>
      <c r="B214" t="s">
        <v>678</v>
      </c>
      <c r="C214" t="s">
        <v>214</v>
      </c>
      <c r="D214" t="s">
        <v>1005</v>
      </c>
      <c r="E214" t="s">
        <v>2148</v>
      </c>
      <c r="F214" t="s">
        <v>973</v>
      </c>
      <c r="G214" t="s">
        <v>75</v>
      </c>
      <c r="H214">
        <v>114000</v>
      </c>
      <c r="I214" t="s">
        <v>3594</v>
      </c>
      <c r="J214" t="s">
        <v>1006</v>
      </c>
      <c r="K214" t="s">
        <v>1007</v>
      </c>
      <c r="L214" t="s">
        <v>44</v>
      </c>
      <c r="M214" s="7" t="s">
        <v>2333</v>
      </c>
      <c r="N214" s="7" t="s">
        <v>2655</v>
      </c>
      <c r="O214" s="7" t="s">
        <v>2686</v>
      </c>
      <c r="P214" s="7" t="s">
        <v>2687</v>
      </c>
      <c r="Q214">
        <v>50</v>
      </c>
      <c r="R214">
        <v>25</v>
      </c>
      <c r="X214">
        <v>-15</v>
      </c>
      <c r="Y214">
        <v>50</v>
      </c>
      <c r="Z214">
        <v>-15</v>
      </c>
      <c r="AA214">
        <v>24</v>
      </c>
      <c r="AG214" t="s">
        <v>2950</v>
      </c>
      <c r="AH214" t="s">
        <v>63</v>
      </c>
      <c r="AL214" t="s">
        <v>684</v>
      </c>
      <c r="AN214" s="7">
        <v>9.52</v>
      </c>
      <c r="AO214" s="7">
        <v>15.9</v>
      </c>
      <c r="AP214" s="7">
        <v>25</v>
      </c>
      <c r="AQ214" t="s">
        <v>49</v>
      </c>
      <c r="AR214" t="s">
        <v>49</v>
      </c>
      <c r="AS214" t="s">
        <v>49</v>
      </c>
      <c r="AT214" t="s">
        <v>49</v>
      </c>
      <c r="AU214" t="s">
        <v>50</v>
      </c>
      <c r="AV214" s="7" t="s">
        <v>3021</v>
      </c>
      <c r="AW214" s="7" t="s">
        <v>3026</v>
      </c>
      <c r="AX214">
        <v>20</v>
      </c>
      <c r="BB214" t="s">
        <v>1002</v>
      </c>
      <c r="BC214">
        <v>25</v>
      </c>
      <c r="BE214" s="7" t="s">
        <v>3219</v>
      </c>
      <c r="BF214" t="s">
        <v>49</v>
      </c>
      <c r="BH214">
        <v>73</v>
      </c>
      <c r="BI214" t="s">
        <v>120</v>
      </c>
      <c r="BS214" t="s">
        <v>1008</v>
      </c>
      <c r="CH214">
        <v>673</v>
      </c>
      <c r="CI214">
        <v>740</v>
      </c>
      <c r="CJ214">
        <v>890</v>
      </c>
      <c r="CK214">
        <v>995</v>
      </c>
      <c r="CL214">
        <v>342</v>
      </c>
      <c r="CM214">
        <v>398</v>
      </c>
      <c r="CN214" s="2">
        <v>45.1</v>
      </c>
      <c r="CO214">
        <v>48.3</v>
      </c>
      <c r="CP214" s="2">
        <v>249</v>
      </c>
      <c r="CQ214">
        <v>315</v>
      </c>
      <c r="CR214">
        <v>1100</v>
      </c>
      <c r="CS214">
        <v>1305</v>
      </c>
      <c r="CT214">
        <v>774</v>
      </c>
      <c r="CU214">
        <v>805</v>
      </c>
      <c r="CV214" s="7">
        <v>32.299999999999997</v>
      </c>
      <c r="CW214" s="7">
        <v>39.1</v>
      </c>
    </row>
    <row r="215" spans="1:101" x14ac:dyDescent="0.25">
      <c r="A215" t="s">
        <v>1009</v>
      </c>
      <c r="B215" t="s">
        <v>678</v>
      </c>
      <c r="C215" t="s">
        <v>214</v>
      </c>
      <c r="D215" t="s">
        <v>1010</v>
      </c>
      <c r="E215" t="s">
        <v>2148</v>
      </c>
      <c r="F215" t="s">
        <v>973</v>
      </c>
      <c r="G215" t="s">
        <v>41</v>
      </c>
      <c r="H215">
        <v>166000</v>
      </c>
      <c r="I215" t="s">
        <v>3594</v>
      </c>
      <c r="J215" t="s">
        <v>1011</v>
      </c>
      <c r="K215" t="s">
        <v>1012</v>
      </c>
      <c r="L215" t="s">
        <v>44</v>
      </c>
      <c r="M215" s="7" t="s">
        <v>2319</v>
      </c>
      <c r="N215" s="7" t="s">
        <v>2610</v>
      </c>
      <c r="O215" s="7" t="s">
        <v>2688</v>
      </c>
      <c r="P215" s="7" t="s">
        <v>2659</v>
      </c>
      <c r="Q215">
        <v>30</v>
      </c>
      <c r="R215">
        <v>20</v>
      </c>
      <c r="U215">
        <v>1</v>
      </c>
      <c r="X215">
        <v>-15</v>
      </c>
      <c r="Y215">
        <v>50</v>
      </c>
      <c r="Z215">
        <v>-15</v>
      </c>
      <c r="AA215">
        <v>24</v>
      </c>
      <c r="AC215" t="s">
        <v>1013</v>
      </c>
      <c r="AD215">
        <v>60</v>
      </c>
      <c r="AE215" t="s">
        <v>3596</v>
      </c>
      <c r="AF215" t="s">
        <v>3505</v>
      </c>
      <c r="AI215" t="s">
        <v>1014</v>
      </c>
      <c r="AJ215">
        <v>220</v>
      </c>
      <c r="AK215" t="s">
        <v>938</v>
      </c>
      <c r="AL215" t="s">
        <v>684</v>
      </c>
      <c r="AM215">
        <v>380</v>
      </c>
      <c r="AN215" s="7">
        <v>9.52</v>
      </c>
      <c r="AO215" s="7">
        <v>19</v>
      </c>
      <c r="AP215" s="7">
        <v>25</v>
      </c>
      <c r="AQ215" t="s">
        <v>49</v>
      </c>
      <c r="AR215" t="s">
        <v>49</v>
      </c>
      <c r="AS215" t="s">
        <v>49</v>
      </c>
      <c r="AT215" t="s">
        <v>49</v>
      </c>
      <c r="AU215" t="s">
        <v>50</v>
      </c>
      <c r="AV215" s="7" t="s">
        <v>3022</v>
      </c>
      <c r="AW215" s="7" t="s">
        <v>3026</v>
      </c>
      <c r="AX215">
        <v>25</v>
      </c>
      <c r="BB215" t="s">
        <v>1002</v>
      </c>
      <c r="BC215">
        <v>37</v>
      </c>
      <c r="BE215" s="7" t="s">
        <v>3220</v>
      </c>
      <c r="BF215" t="s">
        <v>49</v>
      </c>
      <c r="BH215">
        <v>106</v>
      </c>
      <c r="BI215" t="s">
        <v>241</v>
      </c>
      <c r="BS215" t="s">
        <v>3597</v>
      </c>
      <c r="CH215">
        <v>810</v>
      </c>
      <c r="CI215">
        <v>875</v>
      </c>
      <c r="CJ215">
        <v>946</v>
      </c>
      <c r="CK215">
        <v>1090</v>
      </c>
      <c r="CL215">
        <v>410</v>
      </c>
      <c r="CM215">
        <v>500</v>
      </c>
      <c r="CN215" s="2">
        <v>77.900000000000006</v>
      </c>
      <c r="CO215">
        <v>82.7</v>
      </c>
      <c r="CP215" s="2">
        <v>249</v>
      </c>
      <c r="CQ215">
        <v>315</v>
      </c>
      <c r="CR215">
        <v>1100</v>
      </c>
      <c r="CS215">
        <v>1305</v>
      </c>
      <c r="CT215">
        <v>774</v>
      </c>
      <c r="CU215">
        <v>805</v>
      </c>
      <c r="CV215" s="7">
        <v>34.5</v>
      </c>
      <c r="CW215" s="7">
        <v>41.9</v>
      </c>
    </row>
    <row r="216" spans="1:101" x14ac:dyDescent="0.25">
      <c r="A216" t="s">
        <v>1015</v>
      </c>
      <c r="B216" t="s">
        <v>678</v>
      </c>
      <c r="C216" t="s">
        <v>214</v>
      </c>
      <c r="D216" t="s">
        <v>1016</v>
      </c>
      <c r="E216" t="s">
        <v>2148</v>
      </c>
      <c r="F216" t="s">
        <v>973</v>
      </c>
      <c r="G216" t="s">
        <v>75</v>
      </c>
      <c r="H216">
        <v>166000</v>
      </c>
      <c r="I216" t="s">
        <v>3594</v>
      </c>
      <c r="J216" t="s">
        <v>987</v>
      </c>
      <c r="K216" t="s">
        <v>988</v>
      </c>
      <c r="L216" t="s">
        <v>44</v>
      </c>
      <c r="M216" s="7" t="s">
        <v>2321</v>
      </c>
      <c r="N216" s="7" t="s">
        <v>2616</v>
      </c>
      <c r="O216" s="7" t="s">
        <v>2617</v>
      </c>
      <c r="P216" s="7" t="s">
        <v>2689</v>
      </c>
      <c r="Q216">
        <v>30</v>
      </c>
      <c r="R216">
        <v>20</v>
      </c>
      <c r="X216">
        <v>-15</v>
      </c>
      <c r="Y216">
        <v>50</v>
      </c>
      <c r="Z216">
        <v>-15</v>
      </c>
      <c r="AA216">
        <v>24</v>
      </c>
      <c r="AE216" t="s">
        <v>3578</v>
      </c>
      <c r="AF216" t="s">
        <v>3598</v>
      </c>
      <c r="AL216" t="s">
        <v>684</v>
      </c>
      <c r="AN216" s="7">
        <v>9.52</v>
      </c>
      <c r="AO216" s="7">
        <v>15.9</v>
      </c>
      <c r="AP216" s="7">
        <v>25</v>
      </c>
      <c r="AQ216" t="s">
        <v>49</v>
      </c>
      <c r="AR216" t="s">
        <v>49</v>
      </c>
      <c r="AS216" t="s">
        <v>49</v>
      </c>
      <c r="AT216" t="s">
        <v>49</v>
      </c>
      <c r="AU216" t="s">
        <v>50</v>
      </c>
      <c r="AV216" s="7" t="s">
        <v>3022</v>
      </c>
      <c r="AW216" s="7" t="s">
        <v>3026</v>
      </c>
      <c r="AX216">
        <v>25</v>
      </c>
      <c r="BB216" t="s">
        <v>1002</v>
      </c>
      <c r="BC216">
        <v>37</v>
      </c>
      <c r="BE216" s="7" t="s">
        <v>3221</v>
      </c>
      <c r="BF216" t="s">
        <v>49</v>
      </c>
      <c r="BH216">
        <v>111</v>
      </c>
      <c r="BI216" t="s">
        <v>241</v>
      </c>
      <c r="BS216" t="s">
        <v>3599</v>
      </c>
      <c r="CH216">
        <v>810</v>
      </c>
      <c r="CI216">
        <v>885</v>
      </c>
      <c r="CJ216">
        <v>946</v>
      </c>
      <c r="CK216">
        <v>1090</v>
      </c>
      <c r="CL216">
        <v>410</v>
      </c>
      <c r="CM216">
        <v>500</v>
      </c>
      <c r="CN216" s="2">
        <v>77.900000000000006</v>
      </c>
      <c r="CO216">
        <v>82.7</v>
      </c>
      <c r="CP216" s="2">
        <v>249</v>
      </c>
      <c r="CQ216">
        <v>330</v>
      </c>
      <c r="CR216">
        <v>1360</v>
      </c>
      <c r="CS216">
        <v>1570</v>
      </c>
      <c r="CT216">
        <v>774</v>
      </c>
      <c r="CU216">
        <v>805</v>
      </c>
      <c r="CV216" s="7">
        <v>40.5</v>
      </c>
      <c r="CW216" s="7">
        <v>48.2</v>
      </c>
    </row>
    <row r="217" spans="1:101" x14ac:dyDescent="0.25">
      <c r="A217" t="s">
        <v>1017</v>
      </c>
      <c r="B217" t="s">
        <v>678</v>
      </c>
      <c r="C217" t="s">
        <v>214</v>
      </c>
      <c r="D217" t="s">
        <v>1018</v>
      </c>
      <c r="E217" t="s">
        <v>2148</v>
      </c>
      <c r="F217" t="s">
        <v>973</v>
      </c>
      <c r="G217" t="s">
        <v>41</v>
      </c>
      <c r="H217">
        <v>187100</v>
      </c>
      <c r="I217" t="s">
        <v>3594</v>
      </c>
      <c r="J217" t="s">
        <v>1019</v>
      </c>
      <c r="K217" t="s">
        <v>1020</v>
      </c>
      <c r="L217" t="s">
        <v>44</v>
      </c>
      <c r="M217" s="7" t="s">
        <v>2335</v>
      </c>
      <c r="N217" s="7" t="s">
        <v>2619</v>
      </c>
      <c r="O217" s="7" t="s">
        <v>2690</v>
      </c>
      <c r="P217" s="7" t="s">
        <v>2691</v>
      </c>
      <c r="Q217">
        <v>50</v>
      </c>
      <c r="R217">
        <v>25</v>
      </c>
      <c r="U217">
        <v>1</v>
      </c>
      <c r="X217">
        <v>-15</v>
      </c>
      <c r="Y217">
        <v>50</v>
      </c>
      <c r="Z217">
        <v>-15</v>
      </c>
      <c r="AA217">
        <v>24</v>
      </c>
      <c r="AC217" t="s">
        <v>1021</v>
      </c>
      <c r="AD217">
        <v>80</v>
      </c>
      <c r="AE217" t="s">
        <v>3575</v>
      </c>
      <c r="AF217" t="s">
        <v>3505</v>
      </c>
      <c r="AI217" t="s">
        <v>1022</v>
      </c>
      <c r="AJ217">
        <v>220</v>
      </c>
      <c r="AK217" t="s">
        <v>954</v>
      </c>
      <c r="AL217" t="s">
        <v>684</v>
      </c>
      <c r="AM217">
        <v>380</v>
      </c>
      <c r="AN217" s="7">
        <v>9.52</v>
      </c>
      <c r="AO217" s="7">
        <v>19</v>
      </c>
      <c r="AP217" s="7">
        <v>25</v>
      </c>
      <c r="AQ217" t="s">
        <v>49</v>
      </c>
      <c r="AR217" t="s">
        <v>49</v>
      </c>
      <c r="AS217" t="s">
        <v>49</v>
      </c>
      <c r="AT217" t="s">
        <v>49</v>
      </c>
      <c r="AU217" t="s">
        <v>50</v>
      </c>
      <c r="AV217" s="7" t="s">
        <v>3022</v>
      </c>
      <c r="AW217" s="7" t="s">
        <v>3026</v>
      </c>
      <c r="AX217">
        <v>25</v>
      </c>
      <c r="BB217" t="s">
        <v>1002</v>
      </c>
      <c r="BC217">
        <v>50</v>
      </c>
      <c r="BE217" s="7" t="s">
        <v>3222</v>
      </c>
      <c r="BF217" t="s">
        <v>49</v>
      </c>
      <c r="BH217">
        <v>141</v>
      </c>
      <c r="BI217" t="s">
        <v>241</v>
      </c>
      <c r="BS217" t="s">
        <v>1023</v>
      </c>
      <c r="CH217">
        <v>810</v>
      </c>
      <c r="CI217">
        <v>875</v>
      </c>
      <c r="CJ217">
        <v>946</v>
      </c>
      <c r="CK217">
        <v>1090</v>
      </c>
      <c r="CL217">
        <v>410</v>
      </c>
      <c r="CM217">
        <v>500</v>
      </c>
      <c r="CN217" s="2">
        <v>86</v>
      </c>
      <c r="CO217">
        <v>91.6</v>
      </c>
      <c r="CP217" s="2">
        <v>300</v>
      </c>
      <c r="CQ217">
        <v>365</v>
      </c>
      <c r="CR217">
        <v>1200</v>
      </c>
      <c r="CS217">
        <v>1405</v>
      </c>
      <c r="CT217">
        <v>874</v>
      </c>
      <c r="CU217">
        <v>915</v>
      </c>
      <c r="CV217" s="7">
        <v>47.3</v>
      </c>
      <c r="CW217" s="7">
        <v>56</v>
      </c>
    </row>
    <row r="218" spans="1:101" x14ac:dyDescent="0.25">
      <c r="A218" t="s">
        <v>1024</v>
      </c>
      <c r="B218" t="s">
        <v>678</v>
      </c>
      <c r="C218" t="s">
        <v>214</v>
      </c>
      <c r="D218" t="s">
        <v>1025</v>
      </c>
      <c r="E218" t="s">
        <v>2148</v>
      </c>
      <c r="F218" t="s">
        <v>973</v>
      </c>
      <c r="G218" t="s">
        <v>75</v>
      </c>
      <c r="H218">
        <v>187100</v>
      </c>
      <c r="I218" t="s">
        <v>3594</v>
      </c>
      <c r="J218" t="s">
        <v>987</v>
      </c>
      <c r="K218" t="s">
        <v>988</v>
      </c>
      <c r="L218" t="s">
        <v>44</v>
      </c>
      <c r="M218" s="7" t="s">
        <v>2341</v>
      </c>
      <c r="N218" s="7" t="s">
        <v>2622</v>
      </c>
      <c r="O218" s="7" t="s">
        <v>2692</v>
      </c>
      <c r="P218" s="7" t="s">
        <v>2693</v>
      </c>
      <c r="Q218">
        <v>50</v>
      </c>
      <c r="R218">
        <v>30</v>
      </c>
      <c r="X218">
        <v>-15</v>
      </c>
      <c r="Y218">
        <v>50</v>
      </c>
      <c r="Z218">
        <v>-15</v>
      </c>
      <c r="AA218">
        <v>24</v>
      </c>
      <c r="AE218" t="s">
        <v>3600</v>
      </c>
      <c r="AF218" t="s">
        <v>2938</v>
      </c>
      <c r="AL218" t="s">
        <v>684</v>
      </c>
      <c r="AN218" s="7">
        <v>9.52</v>
      </c>
      <c r="AO218" s="7">
        <v>15.9</v>
      </c>
      <c r="AP218" s="7">
        <v>25</v>
      </c>
      <c r="AQ218" t="s">
        <v>49</v>
      </c>
      <c r="AR218" t="s">
        <v>49</v>
      </c>
      <c r="AS218" t="s">
        <v>49</v>
      </c>
      <c r="AT218" t="s">
        <v>49</v>
      </c>
      <c r="AU218" t="s">
        <v>50</v>
      </c>
      <c r="AV218" s="7" t="s">
        <v>3022</v>
      </c>
      <c r="AW218" s="7" t="s">
        <v>3026</v>
      </c>
      <c r="AX218">
        <v>25</v>
      </c>
      <c r="BB218" t="s">
        <v>1002</v>
      </c>
      <c r="BC218">
        <v>50</v>
      </c>
      <c r="BE218" s="7" t="s">
        <v>3223</v>
      </c>
      <c r="BF218" t="s">
        <v>49</v>
      </c>
      <c r="BH218">
        <v>140</v>
      </c>
      <c r="BI218" t="s">
        <v>241</v>
      </c>
      <c r="BS218" t="s">
        <v>3601</v>
      </c>
      <c r="CH218">
        <v>810</v>
      </c>
      <c r="CI218">
        <v>885</v>
      </c>
      <c r="CJ218">
        <v>946</v>
      </c>
      <c r="CK218">
        <v>1090</v>
      </c>
      <c r="CL218">
        <v>410</v>
      </c>
      <c r="CM218">
        <v>500</v>
      </c>
      <c r="CN218" s="2">
        <v>86.7</v>
      </c>
      <c r="CO218">
        <v>91.4</v>
      </c>
      <c r="CP218" s="2">
        <v>300</v>
      </c>
      <c r="CQ218">
        <v>365</v>
      </c>
      <c r="CR218">
        <v>1200</v>
      </c>
      <c r="CS218">
        <v>1405</v>
      </c>
      <c r="CT218">
        <v>874</v>
      </c>
      <c r="CU218">
        <v>915</v>
      </c>
      <c r="CV218" s="7">
        <v>47.6</v>
      </c>
      <c r="CW218" s="7">
        <v>55.8</v>
      </c>
    </row>
    <row r="219" spans="1:101" x14ac:dyDescent="0.25">
      <c r="A219" t="s">
        <v>1026</v>
      </c>
      <c r="B219" t="s">
        <v>678</v>
      </c>
      <c r="C219" t="s">
        <v>214</v>
      </c>
      <c r="D219" t="s">
        <v>1027</v>
      </c>
      <c r="E219" t="s">
        <v>2148</v>
      </c>
      <c r="F219" t="s">
        <v>973</v>
      </c>
      <c r="G219" t="s">
        <v>41</v>
      </c>
      <c r="H219">
        <v>215400</v>
      </c>
      <c r="I219" t="s">
        <v>3594</v>
      </c>
      <c r="J219" t="s">
        <v>1028</v>
      </c>
      <c r="K219" t="s">
        <v>1029</v>
      </c>
      <c r="L219" t="s">
        <v>44</v>
      </c>
      <c r="M219" s="7" t="s">
        <v>2324</v>
      </c>
      <c r="N219" s="7" t="s">
        <v>2625</v>
      </c>
      <c r="O219" s="7" t="s">
        <v>2694</v>
      </c>
      <c r="P219" s="7" t="s">
        <v>2695</v>
      </c>
      <c r="Q219">
        <v>50</v>
      </c>
      <c r="R219">
        <v>25</v>
      </c>
      <c r="U219">
        <v>1</v>
      </c>
      <c r="X219">
        <v>-15</v>
      </c>
      <c r="Y219">
        <v>50</v>
      </c>
      <c r="Z219">
        <v>-15</v>
      </c>
      <c r="AA219">
        <v>24</v>
      </c>
      <c r="AC219" t="s">
        <v>1030</v>
      </c>
      <c r="AD219">
        <v>92</v>
      </c>
      <c r="AE219" t="s">
        <v>3602</v>
      </c>
      <c r="AF219" t="s">
        <v>3505</v>
      </c>
      <c r="AI219" t="s">
        <v>1031</v>
      </c>
      <c r="AJ219">
        <v>220</v>
      </c>
      <c r="AK219" t="s">
        <v>965</v>
      </c>
      <c r="AL219" t="s">
        <v>684</v>
      </c>
      <c r="AM219">
        <v>380</v>
      </c>
      <c r="AN219" s="7">
        <v>9.52</v>
      </c>
      <c r="AO219" s="7">
        <v>19</v>
      </c>
      <c r="AP219" s="7">
        <v>25</v>
      </c>
      <c r="AQ219" t="s">
        <v>49</v>
      </c>
      <c r="AR219" t="s">
        <v>49</v>
      </c>
      <c r="AS219" t="s">
        <v>49</v>
      </c>
      <c r="AT219" t="s">
        <v>49</v>
      </c>
      <c r="AU219" t="s">
        <v>50</v>
      </c>
      <c r="AV219" s="7" t="s">
        <v>3022</v>
      </c>
      <c r="AW219" s="7" t="s">
        <v>3026</v>
      </c>
      <c r="AX219">
        <v>25</v>
      </c>
      <c r="BB219" t="s">
        <v>1002</v>
      </c>
      <c r="BC219">
        <v>50</v>
      </c>
      <c r="BE219" s="7" t="s">
        <v>3224</v>
      </c>
      <c r="BF219" t="s">
        <v>49</v>
      </c>
      <c r="BH219">
        <v>161</v>
      </c>
      <c r="BI219" t="s">
        <v>241</v>
      </c>
      <c r="BS219" t="s">
        <v>1032</v>
      </c>
      <c r="CH219">
        <v>1333</v>
      </c>
      <c r="CI219">
        <v>1480</v>
      </c>
      <c r="CJ219">
        <v>952</v>
      </c>
      <c r="CK219">
        <v>1095</v>
      </c>
      <c r="CL219">
        <v>410</v>
      </c>
      <c r="CM219">
        <v>495</v>
      </c>
      <c r="CN219" s="2">
        <v>107</v>
      </c>
      <c r="CO219">
        <v>120.7</v>
      </c>
      <c r="CP219" s="2">
        <v>300</v>
      </c>
      <c r="CQ219">
        <v>365</v>
      </c>
      <c r="CR219">
        <v>1200</v>
      </c>
      <c r="CS219">
        <v>1405</v>
      </c>
      <c r="CT219">
        <v>874</v>
      </c>
      <c r="CU219">
        <v>915</v>
      </c>
      <c r="CV219" s="7">
        <v>47.2</v>
      </c>
      <c r="CW219" s="7">
        <v>56</v>
      </c>
    </row>
    <row r="220" spans="1:101" x14ac:dyDescent="0.25">
      <c r="A220" t="s">
        <v>1033</v>
      </c>
      <c r="B220" t="s">
        <v>678</v>
      </c>
      <c r="C220" t="s">
        <v>214</v>
      </c>
      <c r="D220" t="s">
        <v>1034</v>
      </c>
      <c r="E220" t="s">
        <v>2148</v>
      </c>
      <c r="F220" t="s">
        <v>973</v>
      </c>
      <c r="G220" t="s">
        <v>75</v>
      </c>
      <c r="H220">
        <v>215400</v>
      </c>
      <c r="I220" t="s">
        <v>3594</v>
      </c>
      <c r="J220" t="s">
        <v>1035</v>
      </c>
      <c r="K220" t="s">
        <v>1036</v>
      </c>
      <c r="L220" t="s">
        <v>44</v>
      </c>
      <c r="M220" s="7" t="s">
        <v>2325</v>
      </c>
      <c r="N220" s="7" t="s">
        <v>2696</v>
      </c>
      <c r="O220" s="7" t="s">
        <v>2629</v>
      </c>
      <c r="P220" s="7" t="s">
        <v>2697</v>
      </c>
      <c r="Q220">
        <v>50</v>
      </c>
      <c r="R220">
        <v>30</v>
      </c>
      <c r="X220">
        <v>-15</v>
      </c>
      <c r="Y220">
        <v>50</v>
      </c>
      <c r="Z220">
        <v>-15</v>
      </c>
      <c r="AA220">
        <v>24</v>
      </c>
      <c r="AE220" t="s">
        <v>3583</v>
      </c>
      <c r="AF220" t="s">
        <v>2944</v>
      </c>
      <c r="AL220" t="s">
        <v>684</v>
      </c>
      <c r="AN220" s="7">
        <v>9.52</v>
      </c>
      <c r="AO220" s="7">
        <v>15.9</v>
      </c>
      <c r="AP220" s="7">
        <v>25</v>
      </c>
      <c r="AQ220" t="s">
        <v>49</v>
      </c>
      <c r="AR220" t="s">
        <v>49</v>
      </c>
      <c r="AS220" t="s">
        <v>49</v>
      </c>
      <c r="AT220" t="s">
        <v>49</v>
      </c>
      <c r="AU220" t="s">
        <v>50</v>
      </c>
      <c r="AV220" s="7" t="s">
        <v>3022</v>
      </c>
      <c r="AW220" s="7" t="s">
        <v>3026</v>
      </c>
      <c r="AX220">
        <v>25</v>
      </c>
      <c r="BB220" t="s">
        <v>1002</v>
      </c>
      <c r="BC220">
        <v>50</v>
      </c>
      <c r="BE220" s="7" t="s">
        <v>3225</v>
      </c>
      <c r="BF220" t="s">
        <v>49</v>
      </c>
      <c r="BH220">
        <v>160</v>
      </c>
      <c r="BI220" t="s">
        <v>241</v>
      </c>
      <c r="BS220" t="s">
        <v>3603</v>
      </c>
      <c r="CH220">
        <v>1333</v>
      </c>
      <c r="CI220">
        <v>1480</v>
      </c>
      <c r="CJ220">
        <v>952</v>
      </c>
      <c r="CK220">
        <v>1095</v>
      </c>
      <c r="CL220">
        <v>415</v>
      </c>
      <c r="CM220">
        <v>495</v>
      </c>
      <c r="CN220" s="2">
        <v>107.1</v>
      </c>
      <c r="CO220">
        <v>121.3</v>
      </c>
      <c r="CP220" s="2">
        <v>300</v>
      </c>
      <c r="CQ220">
        <v>365</v>
      </c>
      <c r="CR220">
        <v>1200</v>
      </c>
      <c r="CS220">
        <v>1405</v>
      </c>
      <c r="CT220">
        <v>874</v>
      </c>
      <c r="CU220">
        <v>915</v>
      </c>
      <c r="CV220" s="7">
        <v>47.4</v>
      </c>
      <c r="CW220" s="7">
        <v>56.1</v>
      </c>
    </row>
    <row r="221" spans="1:101" x14ac:dyDescent="0.25">
      <c r="A221" t="s">
        <v>1037</v>
      </c>
      <c r="B221" t="s">
        <v>678</v>
      </c>
      <c r="C221" t="s">
        <v>214</v>
      </c>
      <c r="D221" t="s">
        <v>1038</v>
      </c>
      <c r="E221" t="s">
        <v>2148</v>
      </c>
      <c r="F221" t="s">
        <v>1039</v>
      </c>
      <c r="G221" t="s">
        <v>41</v>
      </c>
      <c r="H221">
        <v>719700</v>
      </c>
      <c r="I221" t="s">
        <v>3604</v>
      </c>
      <c r="J221" t="s">
        <v>1040</v>
      </c>
      <c r="K221" t="s">
        <v>1041</v>
      </c>
      <c r="L221" t="s">
        <v>49</v>
      </c>
      <c r="M221" s="7">
        <v>44</v>
      </c>
      <c r="N221" s="7">
        <v>47</v>
      </c>
      <c r="O221" s="7">
        <v>16.3</v>
      </c>
      <c r="P221" s="7">
        <v>15.7</v>
      </c>
      <c r="Q221">
        <v>50</v>
      </c>
      <c r="R221">
        <v>25</v>
      </c>
      <c r="U221">
        <v>1</v>
      </c>
      <c r="X221">
        <v>17</v>
      </c>
      <c r="Y221">
        <v>46</v>
      </c>
      <c r="Z221">
        <v>-7</v>
      </c>
      <c r="AA221">
        <v>24</v>
      </c>
      <c r="AC221" t="s">
        <v>1042</v>
      </c>
      <c r="AD221">
        <v>251</v>
      </c>
      <c r="AE221" t="s">
        <v>3605</v>
      </c>
      <c r="AF221" t="s">
        <v>3606</v>
      </c>
      <c r="AI221" t="s">
        <v>1043</v>
      </c>
      <c r="AK221" t="s">
        <v>1044</v>
      </c>
      <c r="AL221" t="s">
        <v>1045</v>
      </c>
      <c r="AM221">
        <v>380</v>
      </c>
      <c r="AN221" s="7">
        <v>16</v>
      </c>
      <c r="AO221" s="7">
        <v>32</v>
      </c>
      <c r="AP221" s="7">
        <v>41</v>
      </c>
      <c r="AQ221" t="s">
        <v>49</v>
      </c>
      <c r="AR221" t="s">
        <v>49</v>
      </c>
      <c r="AS221" t="s">
        <v>49</v>
      </c>
      <c r="AT221" t="s">
        <v>49</v>
      </c>
      <c r="AU221" t="s">
        <v>50</v>
      </c>
      <c r="AV221" s="7" t="s">
        <v>1046</v>
      </c>
      <c r="AW221" s="7" t="s">
        <v>3026</v>
      </c>
      <c r="AX221">
        <v>70</v>
      </c>
      <c r="BC221">
        <v>196</v>
      </c>
      <c r="BE221" s="7">
        <v>12.1</v>
      </c>
      <c r="BF221" t="s">
        <v>49</v>
      </c>
      <c r="BH221">
        <v>419</v>
      </c>
      <c r="BI221" t="s">
        <v>241</v>
      </c>
      <c r="BS221">
        <v>63</v>
      </c>
      <c r="CH221">
        <v>1615</v>
      </c>
      <c r="CI221">
        <v>1790</v>
      </c>
      <c r="CJ221">
        <v>1250</v>
      </c>
      <c r="CK221">
        <v>1305</v>
      </c>
      <c r="CL221">
        <v>765</v>
      </c>
      <c r="CM221">
        <v>820</v>
      </c>
      <c r="CN221" s="2">
        <v>288</v>
      </c>
      <c r="CO221">
        <v>308</v>
      </c>
      <c r="CP221" s="2">
        <v>669</v>
      </c>
      <c r="CQ221">
        <v>800</v>
      </c>
      <c r="CR221">
        <v>1988</v>
      </c>
      <c r="CS221">
        <v>2095</v>
      </c>
      <c r="CT221">
        <v>906</v>
      </c>
      <c r="CU221">
        <v>964</v>
      </c>
      <c r="CV221" s="7">
        <v>208</v>
      </c>
      <c r="CW221" s="7">
        <v>220</v>
      </c>
    </row>
    <row r="222" spans="1:101" x14ac:dyDescent="0.25">
      <c r="A222" t="s">
        <v>1047</v>
      </c>
      <c r="B222" t="s">
        <v>678</v>
      </c>
      <c r="C222" t="s">
        <v>214</v>
      </c>
      <c r="D222" t="s">
        <v>1048</v>
      </c>
      <c r="E222" t="s">
        <v>2148</v>
      </c>
      <c r="F222" t="s">
        <v>1039</v>
      </c>
      <c r="G222" t="s">
        <v>41</v>
      </c>
      <c r="H222">
        <v>821600</v>
      </c>
      <c r="I222" t="s">
        <v>3604</v>
      </c>
      <c r="J222" t="s">
        <v>1049</v>
      </c>
      <c r="K222" t="s">
        <v>1041</v>
      </c>
      <c r="L222" t="s">
        <v>49</v>
      </c>
      <c r="M222" s="7">
        <v>56.3</v>
      </c>
      <c r="N222" s="7">
        <v>58.6</v>
      </c>
      <c r="O222" s="7">
        <v>22</v>
      </c>
      <c r="P222" s="7">
        <v>19.3</v>
      </c>
      <c r="Q222">
        <v>50</v>
      </c>
      <c r="R222">
        <v>25</v>
      </c>
      <c r="U222">
        <v>1</v>
      </c>
      <c r="X222">
        <v>17</v>
      </c>
      <c r="Y222">
        <v>46</v>
      </c>
      <c r="Z222">
        <v>-7</v>
      </c>
      <c r="AA222">
        <v>24</v>
      </c>
      <c r="AC222" t="s">
        <v>1050</v>
      </c>
      <c r="AD222">
        <v>321</v>
      </c>
      <c r="AE222" t="s">
        <v>3607</v>
      </c>
      <c r="AF222" t="s">
        <v>3608</v>
      </c>
      <c r="AI222" t="s">
        <v>1051</v>
      </c>
      <c r="AJ222">
        <v>220</v>
      </c>
      <c r="AK222" t="s">
        <v>1051</v>
      </c>
      <c r="AL222" t="s">
        <v>1045</v>
      </c>
      <c r="AM222">
        <v>380</v>
      </c>
      <c r="AN222" s="7">
        <v>16</v>
      </c>
      <c r="AO222" s="7">
        <v>35</v>
      </c>
      <c r="AP222" s="7">
        <v>41</v>
      </c>
      <c r="AQ222" t="s">
        <v>49</v>
      </c>
      <c r="AR222" t="s">
        <v>49</v>
      </c>
      <c r="AS222" t="s">
        <v>49</v>
      </c>
      <c r="AT222" t="s">
        <v>49</v>
      </c>
      <c r="AU222" t="s">
        <v>50</v>
      </c>
      <c r="AV222" s="7" t="s">
        <v>1046</v>
      </c>
      <c r="AW222" s="7" t="s">
        <v>3026</v>
      </c>
      <c r="AX222">
        <v>70</v>
      </c>
      <c r="BC222">
        <v>196</v>
      </c>
      <c r="BE222" s="7">
        <v>20.9</v>
      </c>
      <c r="BF222" t="s">
        <v>49</v>
      </c>
      <c r="BH222">
        <v>536</v>
      </c>
      <c r="BI222" t="s">
        <v>241</v>
      </c>
      <c r="BS222">
        <v>65</v>
      </c>
      <c r="CH222">
        <v>1615</v>
      </c>
      <c r="CI222">
        <v>1790</v>
      </c>
      <c r="CJ222">
        <v>1390</v>
      </c>
      <c r="CK222">
        <v>1455</v>
      </c>
      <c r="CL222">
        <v>765</v>
      </c>
      <c r="CM222">
        <v>830</v>
      </c>
      <c r="CN222" s="2">
        <v>320</v>
      </c>
      <c r="CO222">
        <v>336</v>
      </c>
      <c r="CP222" s="2">
        <v>669</v>
      </c>
      <c r="CQ222">
        <v>800</v>
      </c>
      <c r="CR222">
        <v>1988</v>
      </c>
      <c r="CS222">
        <v>2095</v>
      </c>
      <c r="CT222">
        <v>906</v>
      </c>
      <c r="CU222">
        <v>964</v>
      </c>
      <c r="CV222" s="7">
        <v>215</v>
      </c>
      <c r="CW222" s="7">
        <v>230</v>
      </c>
    </row>
    <row r="223" spans="1:101" x14ac:dyDescent="0.25">
      <c r="A223" t="s">
        <v>1052</v>
      </c>
      <c r="B223" t="s">
        <v>678</v>
      </c>
      <c r="C223" t="s">
        <v>214</v>
      </c>
      <c r="D223" t="s">
        <v>1053</v>
      </c>
      <c r="E223" t="s">
        <v>2148</v>
      </c>
      <c r="F223" t="s">
        <v>1039</v>
      </c>
      <c r="G223" t="s">
        <v>41</v>
      </c>
      <c r="H223">
        <v>454900</v>
      </c>
      <c r="I223" t="s">
        <v>3604</v>
      </c>
      <c r="J223" t="s">
        <v>1040</v>
      </c>
      <c r="K223" t="s">
        <v>1041</v>
      </c>
      <c r="L223" t="s">
        <v>49</v>
      </c>
      <c r="M223" s="7">
        <v>28.1</v>
      </c>
      <c r="N223" s="7">
        <v>31.1</v>
      </c>
      <c r="O223" s="7">
        <v>9.6</v>
      </c>
      <c r="P223" s="7">
        <v>10.3</v>
      </c>
      <c r="Q223">
        <v>50</v>
      </c>
      <c r="R223">
        <v>25</v>
      </c>
      <c r="U223">
        <v>1</v>
      </c>
      <c r="X223">
        <v>17</v>
      </c>
      <c r="Y223">
        <v>46</v>
      </c>
      <c r="Z223">
        <v>-7</v>
      </c>
      <c r="AA223">
        <v>24</v>
      </c>
      <c r="AC223" t="s">
        <v>1054</v>
      </c>
      <c r="AD223">
        <v>160</v>
      </c>
      <c r="AE223" t="s">
        <v>3609</v>
      </c>
      <c r="AF223" t="s">
        <v>3610</v>
      </c>
      <c r="AI223" t="s">
        <v>1055</v>
      </c>
      <c r="AJ223">
        <v>220</v>
      </c>
      <c r="AK223" t="s">
        <v>1056</v>
      </c>
      <c r="AL223" t="s">
        <v>1057</v>
      </c>
      <c r="AM223">
        <v>380</v>
      </c>
      <c r="AN223" s="7">
        <v>12.7</v>
      </c>
      <c r="AO223" s="7">
        <v>25.4</v>
      </c>
      <c r="AP223" s="7">
        <v>41</v>
      </c>
      <c r="AQ223" t="s">
        <v>49</v>
      </c>
      <c r="AR223" t="s">
        <v>49</v>
      </c>
      <c r="AS223" t="s">
        <v>49</v>
      </c>
      <c r="AT223" t="s">
        <v>49</v>
      </c>
      <c r="AU223" t="s">
        <v>50</v>
      </c>
      <c r="AV223" s="7" t="s">
        <v>1058</v>
      </c>
      <c r="AW223" s="7" t="s">
        <v>3026</v>
      </c>
      <c r="AX223">
        <v>70</v>
      </c>
      <c r="BC223">
        <v>196</v>
      </c>
      <c r="BE223" s="7">
        <v>5.8</v>
      </c>
      <c r="BF223" t="s">
        <v>49</v>
      </c>
      <c r="BH223">
        <v>267</v>
      </c>
      <c r="BI223" t="s">
        <v>241</v>
      </c>
      <c r="BS223">
        <v>56</v>
      </c>
      <c r="CH223">
        <v>919</v>
      </c>
      <c r="CI223">
        <v>1060</v>
      </c>
      <c r="CJ223">
        <v>1312</v>
      </c>
      <c r="CK223">
        <v>1320</v>
      </c>
      <c r="CL223">
        <v>658</v>
      </c>
      <c r="CM223">
        <v>730</v>
      </c>
      <c r="CN223" s="2">
        <v>177</v>
      </c>
      <c r="CO223">
        <v>192</v>
      </c>
      <c r="CP223" s="2">
        <v>462</v>
      </c>
      <c r="CQ223">
        <v>500</v>
      </c>
      <c r="CR223">
        <v>1452</v>
      </c>
      <c r="CS223">
        <v>1555</v>
      </c>
      <c r="CT223">
        <v>716</v>
      </c>
      <c r="CU223">
        <v>875</v>
      </c>
      <c r="CV223" s="7">
        <v>97</v>
      </c>
      <c r="CW223" s="7">
        <v>109</v>
      </c>
    </row>
    <row r="224" spans="1:101" x14ac:dyDescent="0.25">
      <c r="A224" t="s">
        <v>1059</v>
      </c>
      <c r="B224" t="s">
        <v>678</v>
      </c>
      <c r="C224" t="s">
        <v>214</v>
      </c>
      <c r="D224" t="s">
        <v>1060</v>
      </c>
      <c r="E224" t="s">
        <v>2152</v>
      </c>
      <c r="F224" t="s">
        <v>1061</v>
      </c>
      <c r="G224" t="s">
        <v>41</v>
      </c>
      <c r="H224">
        <v>116400</v>
      </c>
      <c r="I224" t="s">
        <v>3611</v>
      </c>
      <c r="J224" t="s">
        <v>1062</v>
      </c>
      <c r="K224" t="s">
        <v>1063</v>
      </c>
      <c r="L224" t="s">
        <v>49</v>
      </c>
      <c r="M224" s="7">
        <v>7.03</v>
      </c>
      <c r="N224" s="7" t="s">
        <v>2698</v>
      </c>
      <c r="O224" s="7">
        <v>2.7</v>
      </c>
      <c r="P224" s="7" t="s">
        <v>2699</v>
      </c>
      <c r="Q224">
        <v>25</v>
      </c>
      <c r="R224">
        <v>15</v>
      </c>
      <c r="U224">
        <v>1</v>
      </c>
      <c r="X224">
        <v>-15</v>
      </c>
      <c r="Y224">
        <v>43</v>
      </c>
      <c r="Z224">
        <v>-7</v>
      </c>
      <c r="AA224">
        <v>24</v>
      </c>
      <c r="AD224">
        <v>32</v>
      </c>
      <c r="AE224" t="s">
        <v>3602</v>
      </c>
      <c r="AF224" t="s">
        <v>3612</v>
      </c>
      <c r="AL224" t="s">
        <v>684</v>
      </c>
      <c r="AN224" s="7">
        <v>9.52</v>
      </c>
      <c r="AO224" s="7">
        <v>15.9</v>
      </c>
      <c r="AP224" s="7">
        <v>32</v>
      </c>
      <c r="AQ224" t="s">
        <v>49</v>
      </c>
      <c r="AR224" t="s">
        <v>49</v>
      </c>
      <c r="AS224" t="s">
        <v>49</v>
      </c>
      <c r="AT224" t="s">
        <v>49</v>
      </c>
      <c r="AU224" t="s">
        <v>50</v>
      </c>
      <c r="AV224" s="7" t="s">
        <v>191</v>
      </c>
      <c r="AW224" s="7" t="s">
        <v>3028</v>
      </c>
      <c r="AX224">
        <v>25</v>
      </c>
      <c r="BE224" s="7" t="s">
        <v>3226</v>
      </c>
      <c r="BF224" t="s">
        <v>49</v>
      </c>
      <c r="BH224">
        <v>70</v>
      </c>
      <c r="BI224" t="s">
        <v>120</v>
      </c>
      <c r="BS224" t="s">
        <v>3613</v>
      </c>
      <c r="CH224">
        <v>702</v>
      </c>
      <c r="CI224">
        <v>775</v>
      </c>
      <c r="CJ224">
        <v>845</v>
      </c>
      <c r="CK224">
        <v>965</v>
      </c>
      <c r="CL224">
        <v>363</v>
      </c>
      <c r="CM224">
        <v>395</v>
      </c>
      <c r="CN224" s="2">
        <v>57.7</v>
      </c>
      <c r="CO224">
        <v>61</v>
      </c>
      <c r="CP224" s="2">
        <v>1750</v>
      </c>
      <c r="CQ224">
        <v>1910</v>
      </c>
      <c r="CR224">
        <v>510</v>
      </c>
      <c r="CS224">
        <v>655</v>
      </c>
      <c r="CT224">
        <v>315</v>
      </c>
      <c r="CU224">
        <v>430</v>
      </c>
      <c r="CV224" s="7">
        <v>38.4</v>
      </c>
      <c r="CW224" s="7">
        <v>48.7</v>
      </c>
    </row>
    <row r="225" spans="1:101" x14ac:dyDescent="0.25">
      <c r="A225" t="s">
        <v>1064</v>
      </c>
      <c r="B225" t="s">
        <v>678</v>
      </c>
      <c r="C225" t="s">
        <v>214</v>
      </c>
      <c r="D225" t="s">
        <v>1065</v>
      </c>
      <c r="E225" t="s">
        <v>2152</v>
      </c>
      <c r="F225" t="s">
        <v>1061</v>
      </c>
      <c r="G225" t="s">
        <v>75</v>
      </c>
      <c r="H225">
        <v>116400</v>
      </c>
      <c r="I225" t="s">
        <v>3611</v>
      </c>
      <c r="J225" t="s">
        <v>1066</v>
      </c>
      <c r="K225" t="s">
        <v>1067</v>
      </c>
      <c r="L225" t="s">
        <v>49</v>
      </c>
      <c r="M225" s="7">
        <v>7.03</v>
      </c>
      <c r="N225" s="7">
        <v>7.91</v>
      </c>
      <c r="O225" s="7">
        <v>2.4249999999999998</v>
      </c>
      <c r="P225" s="7">
        <v>2.4700000000000002</v>
      </c>
      <c r="Q225">
        <v>25</v>
      </c>
      <c r="R225">
        <v>15</v>
      </c>
      <c r="X225">
        <v>18</v>
      </c>
      <c r="Y225">
        <v>43</v>
      </c>
      <c r="Z225">
        <v>-7</v>
      </c>
      <c r="AA225">
        <v>24</v>
      </c>
      <c r="AE225" t="s">
        <v>3614</v>
      </c>
      <c r="AF225" t="s">
        <v>3615</v>
      </c>
      <c r="AL225" t="s">
        <v>684</v>
      </c>
      <c r="AN225" s="7">
        <v>9.52</v>
      </c>
      <c r="AO225" s="7">
        <v>15.9</v>
      </c>
      <c r="AP225" s="7">
        <v>32</v>
      </c>
      <c r="AQ225" t="s">
        <v>49</v>
      </c>
      <c r="AR225" t="s">
        <v>49</v>
      </c>
      <c r="AS225" t="s">
        <v>49</v>
      </c>
      <c r="AT225" t="s">
        <v>49</v>
      </c>
      <c r="AU225" t="s">
        <v>50</v>
      </c>
      <c r="AV225" s="7" t="s">
        <v>191</v>
      </c>
      <c r="AW225" s="7" t="s">
        <v>3028</v>
      </c>
      <c r="AX225">
        <v>25</v>
      </c>
      <c r="BE225" s="7" t="s">
        <v>3227</v>
      </c>
      <c r="BF225" t="s">
        <v>49</v>
      </c>
      <c r="BH225">
        <v>70</v>
      </c>
      <c r="BI225" t="s">
        <v>120</v>
      </c>
      <c r="BS225" t="s">
        <v>1068</v>
      </c>
      <c r="CH225">
        <v>673</v>
      </c>
      <c r="CI225">
        <v>740</v>
      </c>
      <c r="CJ225">
        <v>890</v>
      </c>
      <c r="CK225">
        <v>995</v>
      </c>
      <c r="CL225">
        <v>342</v>
      </c>
      <c r="CM225">
        <v>398</v>
      </c>
      <c r="CN225" s="2">
        <v>55.5</v>
      </c>
      <c r="CO225">
        <v>58.7</v>
      </c>
      <c r="CP225" s="2">
        <v>1750</v>
      </c>
      <c r="CQ225">
        <v>430</v>
      </c>
      <c r="CR225">
        <v>510</v>
      </c>
      <c r="CS225">
        <v>1910</v>
      </c>
      <c r="CT225">
        <v>315</v>
      </c>
      <c r="CU225">
        <v>655</v>
      </c>
      <c r="CV225" s="7">
        <v>38.4</v>
      </c>
      <c r="CW225" s="7">
        <v>49</v>
      </c>
    </row>
    <row r="226" spans="1:101" x14ac:dyDescent="0.25">
      <c r="A226" t="s">
        <v>1069</v>
      </c>
      <c r="B226" t="s">
        <v>678</v>
      </c>
      <c r="C226" t="s">
        <v>214</v>
      </c>
      <c r="D226" t="s">
        <v>1070</v>
      </c>
      <c r="E226" t="s">
        <v>2152</v>
      </c>
      <c r="F226" t="s">
        <v>1061</v>
      </c>
      <c r="G226" t="s">
        <v>41</v>
      </c>
      <c r="H226">
        <v>193900</v>
      </c>
      <c r="I226" t="s">
        <v>3611</v>
      </c>
      <c r="J226" t="s">
        <v>1071</v>
      </c>
      <c r="K226" t="s">
        <v>1072</v>
      </c>
      <c r="L226" t="s">
        <v>49</v>
      </c>
      <c r="M226" s="7">
        <v>14.06</v>
      </c>
      <c r="N226" s="7" t="s">
        <v>2700</v>
      </c>
      <c r="O226" s="7">
        <v>5.39</v>
      </c>
      <c r="P226" s="7" t="s">
        <v>2701</v>
      </c>
      <c r="Q226">
        <v>50</v>
      </c>
      <c r="R226">
        <v>30</v>
      </c>
      <c r="U226">
        <v>1</v>
      </c>
      <c r="X226">
        <v>18</v>
      </c>
      <c r="Y226">
        <v>43</v>
      </c>
      <c r="Z226">
        <v>-7</v>
      </c>
      <c r="AA226">
        <v>24</v>
      </c>
      <c r="AD226">
        <v>64</v>
      </c>
      <c r="AE226" t="s">
        <v>3602</v>
      </c>
      <c r="AF226" t="s">
        <v>3616</v>
      </c>
      <c r="AL226" t="s">
        <v>48</v>
      </c>
      <c r="AN226" s="7">
        <v>9.52</v>
      </c>
      <c r="AO226" s="7">
        <v>19</v>
      </c>
      <c r="AP226" s="7">
        <v>32</v>
      </c>
      <c r="AQ226" t="s">
        <v>49</v>
      </c>
      <c r="AR226" t="s">
        <v>49</v>
      </c>
      <c r="AS226" t="s">
        <v>49</v>
      </c>
      <c r="AT226" t="s">
        <v>49</v>
      </c>
      <c r="AU226" t="s">
        <v>50</v>
      </c>
      <c r="AV226" s="7" t="s">
        <v>3022</v>
      </c>
      <c r="AW226" s="7" t="s">
        <v>3029</v>
      </c>
      <c r="AX226">
        <v>32</v>
      </c>
      <c r="BE226" s="7" t="s">
        <v>3228</v>
      </c>
      <c r="BF226" t="s">
        <v>49</v>
      </c>
      <c r="BH226">
        <v>140</v>
      </c>
      <c r="BI226" t="s">
        <v>241</v>
      </c>
      <c r="BS226" t="s">
        <v>1073</v>
      </c>
      <c r="CH226">
        <v>1170</v>
      </c>
      <c r="CI226">
        <v>1307</v>
      </c>
      <c r="CJ226">
        <v>900</v>
      </c>
      <c r="CK226">
        <v>1032</v>
      </c>
      <c r="CL226">
        <v>350</v>
      </c>
      <c r="CM226">
        <v>443</v>
      </c>
      <c r="CN226" s="2">
        <v>93.2</v>
      </c>
      <c r="CO226">
        <v>105</v>
      </c>
      <c r="CP226" s="2">
        <v>1825</v>
      </c>
      <c r="CQ226">
        <v>1965</v>
      </c>
      <c r="CR226">
        <v>540</v>
      </c>
      <c r="CS226">
        <v>690</v>
      </c>
      <c r="CT226">
        <v>410</v>
      </c>
      <c r="CU226">
        <v>540</v>
      </c>
      <c r="CV226" s="7">
        <v>54.7</v>
      </c>
      <c r="CW226" s="7">
        <v>68.900000000000006</v>
      </c>
    </row>
    <row r="227" spans="1:101" x14ac:dyDescent="0.25">
      <c r="A227" t="s">
        <v>1074</v>
      </c>
      <c r="B227" t="s">
        <v>678</v>
      </c>
      <c r="C227" t="s">
        <v>214</v>
      </c>
      <c r="D227" t="s">
        <v>1075</v>
      </c>
      <c r="E227" t="s">
        <v>2152</v>
      </c>
      <c r="F227" t="s">
        <v>1061</v>
      </c>
      <c r="G227" t="s">
        <v>41</v>
      </c>
      <c r="H227">
        <v>193900</v>
      </c>
      <c r="I227" t="s">
        <v>3611</v>
      </c>
      <c r="J227" t="s">
        <v>1076</v>
      </c>
      <c r="K227" t="s">
        <v>1077</v>
      </c>
      <c r="L227" t="s">
        <v>49</v>
      </c>
      <c r="M227" s="7">
        <v>14.07</v>
      </c>
      <c r="N227" s="7" t="s">
        <v>2702</v>
      </c>
      <c r="O227" s="7">
        <v>5.3</v>
      </c>
      <c r="P227" s="7" t="s">
        <v>2703</v>
      </c>
      <c r="Q227">
        <v>50</v>
      </c>
      <c r="R227">
        <v>30</v>
      </c>
      <c r="U227">
        <v>1</v>
      </c>
      <c r="X227">
        <v>18</v>
      </c>
      <c r="Y227">
        <v>43</v>
      </c>
      <c r="Z227">
        <v>-7</v>
      </c>
      <c r="AA227">
        <v>24</v>
      </c>
      <c r="AE227" t="s">
        <v>3617</v>
      </c>
      <c r="AF227" t="s">
        <v>3616</v>
      </c>
      <c r="AL227" t="s">
        <v>48</v>
      </c>
      <c r="AN227" s="7">
        <v>9.52</v>
      </c>
      <c r="AO227" s="7">
        <v>19</v>
      </c>
      <c r="AQ227" t="s">
        <v>49</v>
      </c>
      <c r="AR227" t="s">
        <v>49</v>
      </c>
      <c r="AS227" t="s">
        <v>49</v>
      </c>
      <c r="AT227" t="s">
        <v>49</v>
      </c>
      <c r="AU227" t="s">
        <v>50</v>
      </c>
      <c r="AV227" s="7" t="s">
        <v>3022</v>
      </c>
      <c r="AW227" s="7" t="s">
        <v>3030</v>
      </c>
      <c r="AX227">
        <v>32</v>
      </c>
      <c r="BE227" s="7" t="s">
        <v>3229</v>
      </c>
      <c r="BF227" t="s">
        <v>49</v>
      </c>
      <c r="BH227">
        <v>141</v>
      </c>
      <c r="BI227" t="s">
        <v>241</v>
      </c>
      <c r="BS227" t="s">
        <v>1078</v>
      </c>
      <c r="CH227">
        <v>1170</v>
      </c>
      <c r="CI227">
        <v>1307</v>
      </c>
      <c r="CJ227">
        <v>900</v>
      </c>
      <c r="CK227">
        <v>1032</v>
      </c>
      <c r="CL227">
        <v>350</v>
      </c>
      <c r="CM227">
        <v>443</v>
      </c>
      <c r="CN227" s="2">
        <v>98.6</v>
      </c>
      <c r="CO227">
        <v>109.3</v>
      </c>
      <c r="CP227" s="2">
        <v>1800</v>
      </c>
      <c r="CQ227">
        <v>1910</v>
      </c>
      <c r="CR227">
        <v>540</v>
      </c>
      <c r="CS227">
        <v>685</v>
      </c>
      <c r="CT227">
        <v>350</v>
      </c>
      <c r="CU227">
        <v>480</v>
      </c>
      <c r="CV227" s="7">
        <v>51.3</v>
      </c>
      <c r="CW227" s="7">
        <v>65.5</v>
      </c>
    </row>
    <row r="228" spans="1:101" x14ac:dyDescent="0.25">
      <c r="A228" t="s">
        <v>1079</v>
      </c>
      <c r="B228" t="s">
        <v>678</v>
      </c>
      <c r="C228" t="s">
        <v>214</v>
      </c>
      <c r="D228" t="s">
        <v>1080</v>
      </c>
      <c r="E228" t="s">
        <v>2152</v>
      </c>
      <c r="F228" t="s">
        <v>1061</v>
      </c>
      <c r="G228" t="s">
        <v>41</v>
      </c>
      <c r="H228">
        <v>205400</v>
      </c>
      <c r="I228" t="s">
        <v>3611</v>
      </c>
      <c r="J228" t="s">
        <v>1081</v>
      </c>
      <c r="K228" t="s">
        <v>1082</v>
      </c>
      <c r="L228" t="s">
        <v>49</v>
      </c>
      <c r="M228" s="7">
        <v>16.96</v>
      </c>
      <c r="N228" s="7" t="s">
        <v>2704</v>
      </c>
      <c r="O228" s="7">
        <v>6.5</v>
      </c>
      <c r="P228" s="7" t="s">
        <v>2705</v>
      </c>
      <c r="Q228">
        <v>50</v>
      </c>
      <c r="R228">
        <v>30</v>
      </c>
      <c r="U228">
        <v>1</v>
      </c>
      <c r="X228">
        <v>18</v>
      </c>
      <c r="Y228">
        <v>43</v>
      </c>
      <c r="Z228">
        <v>-7</v>
      </c>
      <c r="AA228">
        <v>24</v>
      </c>
      <c r="AD228">
        <v>77</v>
      </c>
      <c r="AE228" t="s">
        <v>3602</v>
      </c>
      <c r="AF228" t="s">
        <v>3618</v>
      </c>
      <c r="AL228" t="s">
        <v>48</v>
      </c>
      <c r="AN228" s="7">
        <v>12.7</v>
      </c>
      <c r="AO228" s="7">
        <v>19</v>
      </c>
      <c r="AP228" s="7">
        <v>32</v>
      </c>
      <c r="AQ228" t="s">
        <v>49</v>
      </c>
      <c r="AR228" t="s">
        <v>49</v>
      </c>
      <c r="AS228" t="s">
        <v>49</v>
      </c>
      <c r="AT228" t="s">
        <v>49</v>
      </c>
      <c r="AU228" t="s">
        <v>50</v>
      </c>
      <c r="AV228" s="7" t="s">
        <v>3022</v>
      </c>
      <c r="AW228" s="7" t="s">
        <v>3030</v>
      </c>
      <c r="AX228">
        <v>32</v>
      </c>
      <c r="BE228" s="7" t="s">
        <v>3230</v>
      </c>
      <c r="BF228" t="s">
        <v>49</v>
      </c>
      <c r="BH228">
        <v>170</v>
      </c>
      <c r="BI228" t="s">
        <v>241</v>
      </c>
      <c r="BS228" t="s">
        <v>3619</v>
      </c>
      <c r="CH228">
        <v>1170</v>
      </c>
      <c r="CI228">
        <v>1307</v>
      </c>
      <c r="CJ228">
        <v>900</v>
      </c>
      <c r="CK228">
        <v>1032</v>
      </c>
      <c r="CL228">
        <v>350</v>
      </c>
      <c r="CM228">
        <v>443</v>
      </c>
      <c r="CN228" s="2">
        <v>97</v>
      </c>
      <c r="CO228">
        <v>107</v>
      </c>
      <c r="CP228" s="2">
        <v>1934</v>
      </c>
      <c r="CQ228">
        <v>2080</v>
      </c>
      <c r="CR228">
        <v>600</v>
      </c>
      <c r="CS228">
        <v>755</v>
      </c>
      <c r="CT228">
        <v>455</v>
      </c>
      <c r="CU228">
        <v>585</v>
      </c>
      <c r="CV228" s="7">
        <v>68.5</v>
      </c>
      <c r="CW228" s="7">
        <v>88.3</v>
      </c>
    </row>
    <row r="229" spans="1:101" x14ac:dyDescent="0.25">
      <c r="A229" t="s">
        <v>1083</v>
      </c>
      <c r="B229" t="s">
        <v>678</v>
      </c>
      <c r="C229" t="s">
        <v>214</v>
      </c>
      <c r="D229" t="s">
        <v>1084</v>
      </c>
      <c r="E229" t="s">
        <v>2152</v>
      </c>
      <c r="F229" t="s">
        <v>1061</v>
      </c>
      <c r="G229" t="s">
        <v>41</v>
      </c>
      <c r="H229">
        <v>205400</v>
      </c>
      <c r="I229" t="s">
        <v>3611</v>
      </c>
      <c r="J229" t="s">
        <v>1076</v>
      </c>
      <c r="K229" t="s">
        <v>1077</v>
      </c>
      <c r="L229" t="s">
        <v>49</v>
      </c>
      <c r="M229" s="7">
        <v>17.14</v>
      </c>
      <c r="N229" s="7" t="s">
        <v>2706</v>
      </c>
      <c r="O229" s="7">
        <v>6.7</v>
      </c>
      <c r="P229" s="7" t="s">
        <v>2707</v>
      </c>
      <c r="Q229">
        <v>50</v>
      </c>
      <c r="R229">
        <v>30</v>
      </c>
      <c r="U229">
        <v>1</v>
      </c>
      <c r="X229">
        <v>-15</v>
      </c>
      <c r="Y229">
        <v>43</v>
      </c>
      <c r="Z229">
        <v>-7</v>
      </c>
      <c r="AA229">
        <v>24</v>
      </c>
      <c r="AE229" t="s">
        <v>3607</v>
      </c>
      <c r="AF229" t="s">
        <v>3620</v>
      </c>
      <c r="AL229" t="s">
        <v>48</v>
      </c>
      <c r="AN229" s="7">
        <v>9.52</v>
      </c>
      <c r="AO229" s="7">
        <v>19</v>
      </c>
      <c r="AQ229" t="s">
        <v>49</v>
      </c>
      <c r="AR229" t="s">
        <v>49</v>
      </c>
      <c r="AS229" t="s">
        <v>49</v>
      </c>
      <c r="AT229" t="s">
        <v>49</v>
      </c>
      <c r="AU229" t="s">
        <v>50</v>
      </c>
      <c r="AV229" s="7" t="s">
        <v>3022</v>
      </c>
      <c r="AW229" s="7" t="s">
        <v>3030</v>
      </c>
      <c r="AX229">
        <v>32</v>
      </c>
      <c r="BE229" s="7" t="s">
        <v>3231</v>
      </c>
      <c r="BF229" t="s">
        <v>49</v>
      </c>
      <c r="BH229">
        <v>171</v>
      </c>
      <c r="BI229" t="s">
        <v>241</v>
      </c>
      <c r="BS229" t="s">
        <v>1085</v>
      </c>
      <c r="CH229">
        <v>1170</v>
      </c>
      <c r="CI229">
        <v>1307</v>
      </c>
      <c r="CJ229">
        <v>900</v>
      </c>
      <c r="CK229">
        <v>1032</v>
      </c>
      <c r="CL229">
        <v>350</v>
      </c>
      <c r="CM229">
        <v>443</v>
      </c>
      <c r="CN229" s="2">
        <v>99.7</v>
      </c>
      <c r="CO229">
        <v>111.2</v>
      </c>
      <c r="CP229" s="2">
        <v>1934</v>
      </c>
      <c r="CQ229">
        <v>2080</v>
      </c>
      <c r="CR229">
        <v>600</v>
      </c>
      <c r="CS229">
        <v>755</v>
      </c>
      <c r="CT229">
        <v>455</v>
      </c>
      <c r="CU229">
        <v>585</v>
      </c>
      <c r="CV229" s="7">
        <v>67</v>
      </c>
      <c r="CW229" s="7">
        <v>85.6</v>
      </c>
    </row>
    <row r="230" spans="1:101" x14ac:dyDescent="0.25">
      <c r="A230" t="s">
        <v>1086</v>
      </c>
      <c r="B230" t="s">
        <v>678</v>
      </c>
      <c r="C230" t="s">
        <v>526</v>
      </c>
      <c r="D230" t="s">
        <v>1087</v>
      </c>
      <c r="E230" t="s">
        <v>2148</v>
      </c>
      <c r="F230" t="s">
        <v>1088</v>
      </c>
      <c r="G230" t="s">
        <v>41</v>
      </c>
      <c r="H230">
        <v>29800</v>
      </c>
      <c r="I230" t="s">
        <v>3621</v>
      </c>
      <c r="J230" t="s">
        <v>1089</v>
      </c>
      <c r="K230" t="s">
        <v>1090</v>
      </c>
      <c r="L230" t="s">
        <v>44</v>
      </c>
      <c r="M230" s="7">
        <v>2.0499999999999998</v>
      </c>
      <c r="N230" s="7">
        <v>2.34</v>
      </c>
      <c r="O230" s="7">
        <v>0.17</v>
      </c>
      <c r="P230" s="7">
        <v>0.17</v>
      </c>
      <c r="AD230">
        <v>15</v>
      </c>
      <c r="AN230" s="7">
        <v>6.35</v>
      </c>
      <c r="AO230" s="7">
        <v>9.52</v>
      </c>
      <c r="AP230" s="7">
        <v>25</v>
      </c>
      <c r="AQ230" t="s">
        <v>49</v>
      </c>
      <c r="AR230" t="s">
        <v>49</v>
      </c>
      <c r="AS230" t="s">
        <v>49</v>
      </c>
      <c r="AT230" t="s">
        <v>49</v>
      </c>
      <c r="AU230" t="s">
        <v>50</v>
      </c>
      <c r="AW230" s="7" t="s">
        <v>3026</v>
      </c>
      <c r="BB230" t="s">
        <v>1091</v>
      </c>
      <c r="BC230">
        <v>25</v>
      </c>
      <c r="BE230" s="7">
        <v>1</v>
      </c>
      <c r="BF230" t="s">
        <v>49</v>
      </c>
      <c r="BH230">
        <v>21</v>
      </c>
      <c r="BI230" t="s">
        <v>120</v>
      </c>
      <c r="BK230">
        <v>200</v>
      </c>
      <c r="BL230">
        <v>700</v>
      </c>
      <c r="BM230">
        <v>450</v>
      </c>
      <c r="BN230">
        <v>18</v>
      </c>
      <c r="BO230">
        <v>22</v>
      </c>
      <c r="BP230">
        <v>270</v>
      </c>
      <c r="BQ230">
        <v>860</v>
      </c>
      <c r="BR230">
        <v>540</v>
      </c>
      <c r="BS230" t="s">
        <v>1092</v>
      </c>
    </row>
    <row r="231" spans="1:101" x14ac:dyDescent="0.25">
      <c r="A231" t="s">
        <v>1093</v>
      </c>
      <c r="B231" t="s">
        <v>678</v>
      </c>
      <c r="C231" t="s">
        <v>526</v>
      </c>
      <c r="D231" t="s">
        <v>1094</v>
      </c>
      <c r="E231" t="s">
        <v>2148</v>
      </c>
      <c r="F231" t="s">
        <v>1088</v>
      </c>
      <c r="G231" t="s">
        <v>41</v>
      </c>
      <c r="H231">
        <v>31200</v>
      </c>
      <c r="I231" t="s">
        <v>3621</v>
      </c>
      <c r="J231" t="s">
        <v>1089</v>
      </c>
      <c r="K231" t="s">
        <v>1090</v>
      </c>
      <c r="L231" t="s">
        <v>44</v>
      </c>
      <c r="M231" s="7">
        <v>2.64</v>
      </c>
      <c r="N231" s="7">
        <v>2.93</v>
      </c>
      <c r="O231" s="7">
        <v>0.18</v>
      </c>
      <c r="P231" s="7">
        <v>0.18</v>
      </c>
      <c r="AD231">
        <v>18</v>
      </c>
      <c r="AN231" s="7">
        <v>6.35</v>
      </c>
      <c r="AO231" s="7">
        <v>9.52</v>
      </c>
      <c r="AP231" s="7">
        <v>25</v>
      </c>
      <c r="AQ231" t="s">
        <v>49</v>
      </c>
      <c r="AR231" t="s">
        <v>49</v>
      </c>
      <c r="AS231" t="s">
        <v>49</v>
      </c>
      <c r="AT231" t="s">
        <v>49</v>
      </c>
      <c r="AU231" t="s">
        <v>50</v>
      </c>
      <c r="AW231" s="7" t="s">
        <v>3026</v>
      </c>
      <c r="BB231" t="s">
        <v>1091</v>
      </c>
      <c r="BC231">
        <v>25</v>
      </c>
      <c r="BE231" s="7">
        <v>1.1000000000000001</v>
      </c>
      <c r="BF231" t="s">
        <v>49</v>
      </c>
      <c r="BH231">
        <v>26</v>
      </c>
      <c r="BI231" t="s">
        <v>120</v>
      </c>
      <c r="BK231">
        <v>200</v>
      </c>
      <c r="BL231">
        <v>700</v>
      </c>
      <c r="BM231">
        <v>450</v>
      </c>
      <c r="BN231">
        <v>18</v>
      </c>
      <c r="BO231">
        <v>22</v>
      </c>
      <c r="BP231">
        <v>270</v>
      </c>
      <c r="BQ231">
        <v>860</v>
      </c>
      <c r="BR231">
        <v>540</v>
      </c>
      <c r="BS231" t="s">
        <v>1092</v>
      </c>
    </row>
    <row r="232" spans="1:101" x14ac:dyDescent="0.25">
      <c r="A232" t="s">
        <v>1095</v>
      </c>
      <c r="B232" t="s">
        <v>678</v>
      </c>
      <c r="C232" t="s">
        <v>526</v>
      </c>
      <c r="D232" t="s">
        <v>1096</v>
      </c>
      <c r="E232" t="s">
        <v>2148</v>
      </c>
      <c r="F232" t="s">
        <v>1088</v>
      </c>
      <c r="G232" t="s">
        <v>75</v>
      </c>
      <c r="H232">
        <v>36900</v>
      </c>
      <c r="I232" t="s">
        <v>3621</v>
      </c>
      <c r="J232" t="s">
        <v>1089</v>
      </c>
      <c r="K232" t="s">
        <v>1090</v>
      </c>
      <c r="L232" t="s">
        <v>44</v>
      </c>
      <c r="M232" s="7">
        <v>3.52</v>
      </c>
      <c r="N232" s="7">
        <v>3.81</v>
      </c>
      <c r="O232" s="7">
        <v>0.185</v>
      </c>
      <c r="P232" s="7">
        <v>0.185</v>
      </c>
      <c r="AD232">
        <v>25</v>
      </c>
      <c r="AI232" t="s">
        <v>1097</v>
      </c>
      <c r="AJ232">
        <v>220</v>
      </c>
      <c r="AN232" s="7">
        <v>6.35</v>
      </c>
      <c r="AO232" s="7">
        <v>9.52</v>
      </c>
      <c r="AP232" s="7">
        <v>25</v>
      </c>
      <c r="AQ232" t="s">
        <v>49</v>
      </c>
      <c r="AR232" t="s">
        <v>49</v>
      </c>
      <c r="AS232" t="s">
        <v>49</v>
      </c>
      <c r="AT232" t="s">
        <v>49</v>
      </c>
      <c r="AU232" t="s">
        <v>50</v>
      </c>
      <c r="AW232" s="7" t="s">
        <v>3026</v>
      </c>
      <c r="BB232" t="s">
        <v>1098</v>
      </c>
      <c r="BC232">
        <v>25</v>
      </c>
      <c r="BE232" s="7">
        <v>1.1000000000000001</v>
      </c>
      <c r="BF232" t="s">
        <v>49</v>
      </c>
      <c r="BG232" t="s">
        <v>212</v>
      </c>
      <c r="BH232">
        <v>35</v>
      </c>
      <c r="BI232" t="s">
        <v>120</v>
      </c>
      <c r="BK232">
        <v>200</v>
      </c>
      <c r="BL232">
        <v>700</v>
      </c>
      <c r="BM232">
        <v>450</v>
      </c>
      <c r="BN232">
        <v>18</v>
      </c>
      <c r="BO232">
        <v>22</v>
      </c>
      <c r="BP232">
        <v>270</v>
      </c>
      <c r="BQ232">
        <v>860</v>
      </c>
      <c r="BR232">
        <v>540</v>
      </c>
      <c r="BS232" t="s">
        <v>3595</v>
      </c>
    </row>
    <row r="233" spans="1:101" x14ac:dyDescent="0.25">
      <c r="A233" t="s">
        <v>1099</v>
      </c>
      <c r="B233" t="s">
        <v>678</v>
      </c>
      <c r="C233" t="s">
        <v>526</v>
      </c>
      <c r="D233" t="s">
        <v>1100</v>
      </c>
      <c r="E233" t="s">
        <v>2148</v>
      </c>
      <c r="F233" t="s">
        <v>1088</v>
      </c>
      <c r="G233" t="s">
        <v>75</v>
      </c>
      <c r="H233">
        <v>36900</v>
      </c>
      <c r="I233" t="s">
        <v>3621</v>
      </c>
      <c r="J233" t="s">
        <v>1089</v>
      </c>
      <c r="K233" t="s">
        <v>1090</v>
      </c>
      <c r="L233" t="s">
        <v>44</v>
      </c>
      <c r="M233" s="7">
        <v>3.52</v>
      </c>
      <c r="N233" s="7">
        <v>3.81</v>
      </c>
      <c r="O233" s="7">
        <v>0.185</v>
      </c>
      <c r="P233" s="7">
        <v>0.185</v>
      </c>
      <c r="AN233" s="7">
        <v>6.35</v>
      </c>
      <c r="AO233" s="7">
        <v>9.52</v>
      </c>
      <c r="AP233" s="7">
        <v>25</v>
      </c>
      <c r="AQ233" t="s">
        <v>49</v>
      </c>
      <c r="AR233" t="s">
        <v>49</v>
      </c>
      <c r="AS233" t="s">
        <v>49</v>
      </c>
      <c r="AT233" t="s">
        <v>49</v>
      </c>
      <c r="AU233" t="s">
        <v>78</v>
      </c>
      <c r="AW233" s="7" t="s">
        <v>3026</v>
      </c>
      <c r="BB233" t="s">
        <v>1098</v>
      </c>
      <c r="BC233">
        <v>25</v>
      </c>
      <c r="BE233" s="7">
        <v>1.1000000000000001</v>
      </c>
      <c r="BF233" t="s">
        <v>49</v>
      </c>
      <c r="BH233">
        <v>35</v>
      </c>
      <c r="BI233" t="s">
        <v>120</v>
      </c>
      <c r="BK233">
        <v>200</v>
      </c>
      <c r="BL233">
        <v>700</v>
      </c>
      <c r="BM233">
        <v>506</v>
      </c>
      <c r="BN233">
        <v>17.8</v>
      </c>
      <c r="BO233">
        <v>21.5</v>
      </c>
      <c r="BP233">
        <v>285</v>
      </c>
      <c r="BQ233">
        <v>860</v>
      </c>
      <c r="BR233">
        <v>540</v>
      </c>
      <c r="BS233" t="s">
        <v>3622</v>
      </c>
    </row>
    <row r="234" spans="1:101" x14ac:dyDescent="0.25">
      <c r="A234" t="s">
        <v>1101</v>
      </c>
      <c r="B234" t="s">
        <v>678</v>
      </c>
      <c r="C234" t="s">
        <v>526</v>
      </c>
      <c r="D234" t="s">
        <v>1102</v>
      </c>
      <c r="E234" t="s">
        <v>2148</v>
      </c>
      <c r="F234" t="s">
        <v>1088</v>
      </c>
      <c r="G234" t="s">
        <v>75</v>
      </c>
      <c r="H234">
        <v>38600</v>
      </c>
      <c r="I234" t="s">
        <v>3621</v>
      </c>
      <c r="J234" t="s">
        <v>1089</v>
      </c>
      <c r="K234" t="s">
        <v>1090</v>
      </c>
      <c r="L234" t="s">
        <v>44</v>
      </c>
      <c r="M234" s="7">
        <v>5.28</v>
      </c>
      <c r="N234" s="7">
        <v>5.57</v>
      </c>
      <c r="O234" s="7">
        <v>0.2</v>
      </c>
      <c r="P234" s="7">
        <v>0.2</v>
      </c>
      <c r="AD234">
        <v>35</v>
      </c>
      <c r="AN234" s="7">
        <v>6.35</v>
      </c>
      <c r="AO234" s="7">
        <v>12.7</v>
      </c>
      <c r="AP234" s="7">
        <v>25</v>
      </c>
      <c r="AQ234" t="s">
        <v>49</v>
      </c>
      <c r="AR234" t="s">
        <v>49</v>
      </c>
      <c r="AS234" t="s">
        <v>49</v>
      </c>
      <c r="AT234" t="s">
        <v>49</v>
      </c>
      <c r="AU234" t="s">
        <v>50</v>
      </c>
      <c r="AW234" s="7" t="s">
        <v>3026</v>
      </c>
      <c r="BB234" t="s">
        <v>1103</v>
      </c>
      <c r="BC234">
        <v>25</v>
      </c>
      <c r="BE234" s="7">
        <v>1.3</v>
      </c>
      <c r="BF234" t="s">
        <v>49</v>
      </c>
      <c r="BH234">
        <v>53</v>
      </c>
      <c r="BI234" t="s">
        <v>120</v>
      </c>
      <c r="BK234">
        <v>210</v>
      </c>
      <c r="BL234">
        <v>880</v>
      </c>
      <c r="BM234">
        <v>674</v>
      </c>
      <c r="BN234">
        <v>24.3</v>
      </c>
      <c r="BO234">
        <v>29.6</v>
      </c>
      <c r="BP234">
        <v>280</v>
      </c>
      <c r="BQ234">
        <v>1070</v>
      </c>
      <c r="BR234">
        <v>725</v>
      </c>
      <c r="BS234" t="s">
        <v>3623</v>
      </c>
    </row>
    <row r="235" spans="1:101" x14ac:dyDescent="0.25">
      <c r="A235" t="s">
        <v>1104</v>
      </c>
      <c r="B235" t="s">
        <v>678</v>
      </c>
      <c r="C235" t="s">
        <v>526</v>
      </c>
      <c r="D235" t="s">
        <v>1105</v>
      </c>
      <c r="E235" t="s">
        <v>2148</v>
      </c>
      <c r="F235" t="s">
        <v>1088</v>
      </c>
      <c r="G235" t="s">
        <v>75</v>
      </c>
      <c r="H235">
        <v>38600</v>
      </c>
      <c r="I235" t="s">
        <v>3621</v>
      </c>
      <c r="J235" t="s">
        <v>1089</v>
      </c>
      <c r="K235" t="s">
        <v>1090</v>
      </c>
      <c r="L235" t="s">
        <v>44</v>
      </c>
      <c r="M235" s="7">
        <v>5.28</v>
      </c>
      <c r="N235" s="7">
        <v>5.57</v>
      </c>
      <c r="O235" s="7">
        <v>0.2</v>
      </c>
      <c r="P235" s="7">
        <v>0.2</v>
      </c>
      <c r="AN235" s="7">
        <v>6.35</v>
      </c>
      <c r="AO235" s="7">
        <v>12.7</v>
      </c>
      <c r="AP235" s="7">
        <v>25</v>
      </c>
      <c r="AQ235" t="s">
        <v>49</v>
      </c>
      <c r="AR235" t="s">
        <v>49</v>
      </c>
      <c r="AS235" t="s">
        <v>49</v>
      </c>
      <c r="AT235" t="s">
        <v>49</v>
      </c>
      <c r="AU235" t="s">
        <v>78</v>
      </c>
      <c r="AW235" s="7" t="s">
        <v>3026</v>
      </c>
      <c r="BB235" t="s">
        <v>1103</v>
      </c>
      <c r="BC235">
        <v>25</v>
      </c>
      <c r="BE235" s="7">
        <v>1.3</v>
      </c>
      <c r="BF235" t="s">
        <v>49</v>
      </c>
      <c r="BH235">
        <v>52</v>
      </c>
      <c r="BI235" t="s">
        <v>120</v>
      </c>
      <c r="BK235">
        <v>210</v>
      </c>
      <c r="BL235">
        <v>880</v>
      </c>
      <c r="BM235">
        <v>674</v>
      </c>
      <c r="BN235">
        <v>24.4</v>
      </c>
      <c r="BO235">
        <v>29.6</v>
      </c>
      <c r="BP235">
        <v>280</v>
      </c>
      <c r="BQ235">
        <v>1070</v>
      </c>
      <c r="BR235">
        <v>725</v>
      </c>
      <c r="BS235" t="s">
        <v>1106</v>
      </c>
    </row>
    <row r="236" spans="1:101" x14ac:dyDescent="0.25">
      <c r="A236" t="s">
        <v>1107</v>
      </c>
      <c r="B236" t="s">
        <v>678</v>
      </c>
      <c r="C236" t="s">
        <v>526</v>
      </c>
      <c r="D236" t="s">
        <v>1108</v>
      </c>
      <c r="E236" t="s">
        <v>2149</v>
      </c>
      <c r="F236" t="s">
        <v>1109</v>
      </c>
      <c r="G236" t="s">
        <v>41</v>
      </c>
      <c r="H236">
        <v>36800</v>
      </c>
      <c r="I236" t="s">
        <v>3624</v>
      </c>
      <c r="J236" t="s">
        <v>1110</v>
      </c>
      <c r="K236" t="s">
        <v>1111</v>
      </c>
      <c r="L236" t="s">
        <v>44</v>
      </c>
      <c r="M236" s="7">
        <v>2.63</v>
      </c>
      <c r="N236" s="7">
        <v>2.63</v>
      </c>
      <c r="O236" s="7">
        <v>0</v>
      </c>
      <c r="P236" s="7">
        <v>0</v>
      </c>
      <c r="S236">
        <v>34</v>
      </c>
      <c r="T236">
        <v>39</v>
      </c>
      <c r="AD236">
        <v>13</v>
      </c>
      <c r="AN236" s="7">
        <v>6.35</v>
      </c>
      <c r="AO236" s="7">
        <v>9.5299999999999994</v>
      </c>
      <c r="AP236" s="7">
        <v>0</v>
      </c>
      <c r="AQ236" t="s">
        <v>49</v>
      </c>
      <c r="AR236" t="s">
        <v>49</v>
      </c>
      <c r="AS236" t="s">
        <v>49</v>
      </c>
      <c r="AT236" t="s">
        <v>49</v>
      </c>
      <c r="AW236" s="7" t="s">
        <v>1112</v>
      </c>
      <c r="BE236" s="7" t="s">
        <v>1113</v>
      </c>
      <c r="BF236" t="s">
        <v>49</v>
      </c>
      <c r="BG236" t="s">
        <v>212</v>
      </c>
      <c r="BH236">
        <v>29</v>
      </c>
      <c r="BI236" t="s">
        <v>120</v>
      </c>
      <c r="CP236" s="2">
        <v>50</v>
      </c>
      <c r="CQ236">
        <v>123</v>
      </c>
      <c r="CR236">
        <v>647</v>
      </c>
      <c r="CS236">
        <v>715</v>
      </c>
      <c r="CT236">
        <v>647</v>
      </c>
      <c r="CU236">
        <v>715</v>
      </c>
      <c r="CV236" s="7">
        <v>2.5</v>
      </c>
      <c r="CW236" s="7">
        <v>4.5</v>
      </c>
    </row>
    <row r="237" spans="1:101" x14ac:dyDescent="0.25">
      <c r="A237" t="s">
        <v>1114</v>
      </c>
      <c r="B237" t="s">
        <v>678</v>
      </c>
      <c r="C237" t="s">
        <v>526</v>
      </c>
      <c r="D237" t="s">
        <v>1115</v>
      </c>
      <c r="E237" t="s">
        <v>2149</v>
      </c>
      <c r="F237" t="s">
        <v>1109</v>
      </c>
      <c r="G237" t="s">
        <v>41</v>
      </c>
      <c r="H237">
        <v>37600</v>
      </c>
      <c r="I237" t="s">
        <v>3624</v>
      </c>
      <c r="J237" t="s">
        <v>1110</v>
      </c>
      <c r="K237" t="s">
        <v>1111</v>
      </c>
      <c r="L237" t="s">
        <v>44</v>
      </c>
      <c r="M237" s="7">
        <v>3.51</v>
      </c>
      <c r="N237" s="7">
        <v>4.0999999999999996</v>
      </c>
      <c r="O237" s="7">
        <v>0</v>
      </c>
      <c r="P237" s="7">
        <v>0</v>
      </c>
      <c r="S237">
        <v>34</v>
      </c>
      <c r="T237">
        <v>41</v>
      </c>
      <c r="AD237">
        <v>18</v>
      </c>
      <c r="AN237" s="7">
        <v>6.35</v>
      </c>
      <c r="AO237" s="7">
        <v>9.5299999999999994</v>
      </c>
      <c r="AP237" s="7">
        <v>0</v>
      </c>
      <c r="AQ237" t="s">
        <v>49</v>
      </c>
      <c r="AR237" t="s">
        <v>49</v>
      </c>
      <c r="AS237" t="s">
        <v>49</v>
      </c>
      <c r="AT237" t="s">
        <v>49</v>
      </c>
      <c r="AW237" s="7" t="s">
        <v>1112</v>
      </c>
      <c r="BE237" s="7" t="s">
        <v>1113</v>
      </c>
      <c r="BF237" t="s">
        <v>49</v>
      </c>
      <c r="BG237" t="s">
        <v>212</v>
      </c>
      <c r="BH237">
        <v>42</v>
      </c>
      <c r="BI237" t="s">
        <v>120</v>
      </c>
      <c r="CP237" s="2">
        <v>50</v>
      </c>
      <c r="CQ237">
        <v>123</v>
      </c>
      <c r="CR237">
        <v>647</v>
      </c>
      <c r="CS237">
        <v>715</v>
      </c>
      <c r="CT237">
        <v>647</v>
      </c>
      <c r="CU237">
        <v>715</v>
      </c>
      <c r="CV237" s="7">
        <v>2.5</v>
      </c>
      <c r="CW237" s="7">
        <v>4.5</v>
      </c>
    </row>
    <row r="238" spans="1:101" x14ac:dyDescent="0.25">
      <c r="A238" t="s">
        <v>1116</v>
      </c>
      <c r="B238" t="s">
        <v>678</v>
      </c>
      <c r="C238" t="s">
        <v>526</v>
      </c>
      <c r="D238" t="s">
        <v>1117</v>
      </c>
      <c r="E238" t="s">
        <v>2149</v>
      </c>
      <c r="F238" t="s">
        <v>1109</v>
      </c>
      <c r="G238" t="s">
        <v>41</v>
      </c>
      <c r="H238">
        <v>37600</v>
      </c>
      <c r="I238" t="s">
        <v>3624</v>
      </c>
      <c r="J238" t="s">
        <v>1110</v>
      </c>
      <c r="K238" t="s">
        <v>1111</v>
      </c>
      <c r="L238" t="s">
        <v>44</v>
      </c>
      <c r="AQ238" t="s">
        <v>49</v>
      </c>
      <c r="AR238" t="s">
        <v>49</v>
      </c>
      <c r="AS238" t="s">
        <v>49</v>
      </c>
      <c r="AT238" t="s">
        <v>49</v>
      </c>
      <c r="BF238" t="s">
        <v>49</v>
      </c>
      <c r="CP238" s="2">
        <v>50</v>
      </c>
      <c r="CQ238">
        <v>123</v>
      </c>
      <c r="CR238">
        <v>647</v>
      </c>
      <c r="CS238">
        <v>715</v>
      </c>
      <c r="CT238">
        <v>647</v>
      </c>
      <c r="CU238">
        <v>715</v>
      </c>
      <c r="CV238" s="7">
        <v>2.5</v>
      </c>
      <c r="CW238" s="7">
        <v>4.5</v>
      </c>
    </row>
    <row r="239" spans="1:101" x14ac:dyDescent="0.25">
      <c r="A239" t="s">
        <v>1118</v>
      </c>
      <c r="B239" t="s">
        <v>678</v>
      </c>
      <c r="C239" t="s">
        <v>526</v>
      </c>
      <c r="D239" t="s">
        <v>1119</v>
      </c>
      <c r="E239" t="s">
        <v>2149</v>
      </c>
      <c r="F239" t="s">
        <v>1109</v>
      </c>
      <c r="G239" t="s">
        <v>41</v>
      </c>
      <c r="H239">
        <v>39700</v>
      </c>
      <c r="I239" t="s">
        <v>3624</v>
      </c>
      <c r="J239" t="s">
        <v>1110</v>
      </c>
      <c r="K239" t="s">
        <v>1111</v>
      </c>
      <c r="L239" t="s">
        <v>44</v>
      </c>
      <c r="M239" s="7">
        <v>5.27</v>
      </c>
      <c r="N239" s="7">
        <v>5.27</v>
      </c>
      <c r="O239" s="7">
        <v>0</v>
      </c>
      <c r="P239" s="7">
        <v>0</v>
      </c>
      <c r="S239">
        <v>36</v>
      </c>
      <c r="T239">
        <v>48</v>
      </c>
      <c r="AD239">
        <v>25</v>
      </c>
      <c r="AN239" s="7">
        <v>6.35</v>
      </c>
      <c r="AO239" s="7">
        <v>12.7</v>
      </c>
      <c r="AP239" s="7">
        <v>0</v>
      </c>
      <c r="AQ239" t="s">
        <v>49</v>
      </c>
      <c r="AR239" t="s">
        <v>49</v>
      </c>
      <c r="AS239" t="s">
        <v>49</v>
      </c>
      <c r="AT239" t="s">
        <v>49</v>
      </c>
      <c r="AW239" s="7" t="s">
        <v>1112</v>
      </c>
      <c r="BE239" s="7" t="s">
        <v>1120</v>
      </c>
      <c r="BF239" t="s">
        <v>49</v>
      </c>
      <c r="BG239" t="s">
        <v>212</v>
      </c>
      <c r="BH239">
        <v>47</v>
      </c>
      <c r="BI239" t="s">
        <v>120</v>
      </c>
      <c r="CP239" s="2">
        <v>50</v>
      </c>
      <c r="CQ239">
        <v>123</v>
      </c>
      <c r="CR239">
        <v>647</v>
      </c>
      <c r="CS239">
        <v>715</v>
      </c>
      <c r="CT239">
        <v>647</v>
      </c>
      <c r="CU239">
        <v>715</v>
      </c>
      <c r="CV239" s="7">
        <v>2.5</v>
      </c>
      <c r="CW239" s="7">
        <v>4.5</v>
      </c>
    </row>
    <row r="240" spans="1:101" x14ac:dyDescent="0.25">
      <c r="A240" t="s">
        <v>1121</v>
      </c>
      <c r="B240" t="s">
        <v>678</v>
      </c>
      <c r="C240" t="s">
        <v>526</v>
      </c>
      <c r="D240" t="s">
        <v>1122</v>
      </c>
      <c r="E240" t="s">
        <v>2149</v>
      </c>
      <c r="F240" t="s">
        <v>1109</v>
      </c>
      <c r="G240" t="s">
        <v>41</v>
      </c>
      <c r="H240">
        <v>39700</v>
      </c>
      <c r="I240" t="s">
        <v>3624</v>
      </c>
      <c r="J240" t="s">
        <v>1110</v>
      </c>
      <c r="K240" t="s">
        <v>1111</v>
      </c>
      <c r="L240" t="s">
        <v>44</v>
      </c>
      <c r="AQ240" t="s">
        <v>49</v>
      </c>
      <c r="AR240" t="s">
        <v>49</v>
      </c>
      <c r="AS240" t="s">
        <v>49</v>
      </c>
      <c r="AT240" t="s">
        <v>49</v>
      </c>
      <c r="BF240" t="s">
        <v>49</v>
      </c>
      <c r="CP240" s="2">
        <v>50</v>
      </c>
      <c r="CQ240">
        <v>123</v>
      </c>
      <c r="CR240">
        <v>647</v>
      </c>
      <c r="CS240">
        <v>715</v>
      </c>
      <c r="CT240">
        <v>647</v>
      </c>
      <c r="CU240">
        <v>715</v>
      </c>
      <c r="CV240" s="7">
        <v>2.5</v>
      </c>
      <c r="CW240" s="7">
        <v>4.5</v>
      </c>
    </row>
    <row r="241" spans="1:71" x14ac:dyDescent="0.25">
      <c r="A241" t="s">
        <v>1123</v>
      </c>
      <c r="B241" t="s">
        <v>678</v>
      </c>
      <c r="C241" t="s">
        <v>526</v>
      </c>
      <c r="D241" t="s">
        <v>1124</v>
      </c>
      <c r="E241" t="s">
        <v>2151</v>
      </c>
      <c r="F241" t="s">
        <v>1125</v>
      </c>
      <c r="G241" t="s">
        <v>75</v>
      </c>
      <c r="H241">
        <v>15500</v>
      </c>
      <c r="I241" t="s">
        <v>3625</v>
      </c>
      <c r="J241" t="s">
        <v>1126</v>
      </c>
      <c r="K241" t="s">
        <v>1127</v>
      </c>
      <c r="L241" t="s">
        <v>44</v>
      </c>
      <c r="M241" s="7">
        <v>2.7</v>
      </c>
      <c r="N241" s="7">
        <v>2.93</v>
      </c>
      <c r="O241" s="7">
        <v>1.7999999999999999E-2</v>
      </c>
      <c r="P241" s="7">
        <v>1.7999999999999999E-2</v>
      </c>
      <c r="AD241">
        <v>18</v>
      </c>
      <c r="AN241" s="7">
        <v>6.35</v>
      </c>
      <c r="AO241" s="7">
        <v>9.52</v>
      </c>
      <c r="AP241" s="7">
        <v>25</v>
      </c>
      <c r="AQ241" t="s">
        <v>49</v>
      </c>
      <c r="AR241" t="s">
        <v>49</v>
      </c>
      <c r="AS241" t="s">
        <v>49</v>
      </c>
      <c r="AT241" t="s">
        <v>49</v>
      </c>
      <c r="AU241" t="s">
        <v>643</v>
      </c>
      <c r="AW241" s="7" t="s">
        <v>3026</v>
      </c>
      <c r="BE241" s="7">
        <v>0.1</v>
      </c>
      <c r="BF241" t="s">
        <v>49</v>
      </c>
      <c r="BH241">
        <v>27</v>
      </c>
      <c r="BI241" t="s">
        <v>120</v>
      </c>
      <c r="BK241">
        <v>290</v>
      </c>
      <c r="BL241">
        <v>722</v>
      </c>
      <c r="BM241">
        <v>187</v>
      </c>
      <c r="BN241">
        <v>7.3</v>
      </c>
      <c r="BO241">
        <v>9.6999999999999993</v>
      </c>
      <c r="BP241">
        <v>370</v>
      </c>
      <c r="BQ241">
        <v>790</v>
      </c>
      <c r="BR241">
        <v>270</v>
      </c>
      <c r="BS241" t="s">
        <v>1128</v>
      </c>
    </row>
    <row r="242" spans="1:71" x14ac:dyDescent="0.25">
      <c r="A242" t="s">
        <v>1129</v>
      </c>
      <c r="B242" t="s">
        <v>678</v>
      </c>
      <c r="C242" t="s">
        <v>526</v>
      </c>
      <c r="D242" t="s">
        <v>1130</v>
      </c>
      <c r="E242" t="s">
        <v>2151</v>
      </c>
      <c r="F242" t="s">
        <v>1125</v>
      </c>
      <c r="G242" t="s">
        <v>75</v>
      </c>
      <c r="H242">
        <v>16400</v>
      </c>
      <c r="I242" t="s">
        <v>3625</v>
      </c>
      <c r="J242" t="s">
        <v>1126</v>
      </c>
      <c r="K242" t="s">
        <v>1127</v>
      </c>
      <c r="L242" t="s">
        <v>44</v>
      </c>
      <c r="M242" s="7">
        <v>3.52</v>
      </c>
      <c r="N242" s="7">
        <v>3.81</v>
      </c>
      <c r="O242" s="7">
        <v>2.1000000000000001E-2</v>
      </c>
      <c r="P242" s="7">
        <v>2.1000000000000001E-2</v>
      </c>
      <c r="AD242">
        <v>25</v>
      </c>
      <c r="AN242" s="7">
        <v>6.35</v>
      </c>
      <c r="AO242" s="7">
        <v>9.52</v>
      </c>
      <c r="AP242" s="7">
        <v>25</v>
      </c>
      <c r="AQ242" t="s">
        <v>49</v>
      </c>
      <c r="AR242" t="s">
        <v>49</v>
      </c>
      <c r="AS242" t="s">
        <v>49</v>
      </c>
      <c r="AT242" t="s">
        <v>49</v>
      </c>
      <c r="AU242" t="s">
        <v>643</v>
      </c>
      <c r="AW242" s="7" t="s">
        <v>3026</v>
      </c>
      <c r="BE242" s="7">
        <v>0.11</v>
      </c>
      <c r="BF242" t="s">
        <v>49</v>
      </c>
      <c r="BH242">
        <v>35</v>
      </c>
      <c r="BI242" t="s">
        <v>120</v>
      </c>
      <c r="BK242">
        <v>297</v>
      </c>
      <c r="BL242">
        <v>802</v>
      </c>
      <c r="BM242">
        <v>189</v>
      </c>
      <c r="BN242">
        <v>8.1999999999999993</v>
      </c>
      <c r="BO242">
        <v>10.7</v>
      </c>
      <c r="BP242">
        <v>375</v>
      </c>
      <c r="BQ242">
        <v>875</v>
      </c>
      <c r="BR242">
        <v>285</v>
      </c>
      <c r="BS242" t="s">
        <v>1131</v>
      </c>
    </row>
    <row r="243" spans="1:71" x14ac:dyDescent="0.25">
      <c r="A243" t="s">
        <v>1132</v>
      </c>
      <c r="B243" t="s">
        <v>678</v>
      </c>
      <c r="C243" t="s">
        <v>526</v>
      </c>
      <c r="D243" t="s">
        <v>1133</v>
      </c>
      <c r="E243" t="s">
        <v>2151</v>
      </c>
      <c r="F243" t="s">
        <v>1125</v>
      </c>
      <c r="G243" t="s">
        <v>75</v>
      </c>
      <c r="H243">
        <v>16400</v>
      </c>
      <c r="I243" t="s">
        <v>3625</v>
      </c>
      <c r="J243" t="s">
        <v>1126</v>
      </c>
      <c r="K243" t="s">
        <v>1127</v>
      </c>
      <c r="L243" t="s">
        <v>44</v>
      </c>
      <c r="M243" s="7">
        <v>3.52</v>
      </c>
      <c r="N243" s="7">
        <v>3.81</v>
      </c>
      <c r="O243" s="7">
        <v>2.3E-2</v>
      </c>
      <c r="P243" s="7">
        <v>2.3E-2</v>
      </c>
      <c r="AN243" s="7">
        <v>6.35</v>
      </c>
      <c r="AO243" s="7">
        <v>9.52</v>
      </c>
      <c r="AP243" s="7">
        <v>25</v>
      </c>
      <c r="AQ243" t="s">
        <v>49</v>
      </c>
      <c r="AR243" t="s">
        <v>49</v>
      </c>
      <c r="AS243" t="s">
        <v>49</v>
      </c>
      <c r="AT243" t="s">
        <v>49</v>
      </c>
      <c r="AU243" t="s">
        <v>78</v>
      </c>
      <c r="AW243" s="7" t="s">
        <v>3026</v>
      </c>
      <c r="BE243" s="7">
        <v>0.1</v>
      </c>
      <c r="BF243" t="s">
        <v>49</v>
      </c>
      <c r="BH243">
        <v>35</v>
      </c>
      <c r="BI243" t="s">
        <v>120</v>
      </c>
      <c r="BK243">
        <v>297</v>
      </c>
      <c r="BL243">
        <v>802</v>
      </c>
      <c r="BM243">
        <v>189</v>
      </c>
      <c r="BN243">
        <v>8.6</v>
      </c>
      <c r="BO243">
        <v>11.1</v>
      </c>
      <c r="BP243">
        <v>375</v>
      </c>
      <c r="BQ243">
        <v>875</v>
      </c>
      <c r="BR243">
        <v>285</v>
      </c>
      <c r="BS243" t="s">
        <v>1134</v>
      </c>
    </row>
    <row r="244" spans="1:71" x14ac:dyDescent="0.25">
      <c r="A244" t="s">
        <v>1135</v>
      </c>
      <c r="B244" t="s">
        <v>678</v>
      </c>
      <c r="C244" t="s">
        <v>526</v>
      </c>
      <c r="D244" t="s">
        <v>1136</v>
      </c>
      <c r="E244" t="s">
        <v>2151</v>
      </c>
      <c r="F244" t="s">
        <v>1125</v>
      </c>
      <c r="G244" t="s">
        <v>75</v>
      </c>
      <c r="H244">
        <v>21500</v>
      </c>
      <c r="I244" t="s">
        <v>3625</v>
      </c>
      <c r="J244" t="s">
        <v>1126</v>
      </c>
      <c r="K244" t="s">
        <v>1127</v>
      </c>
      <c r="L244" t="s">
        <v>44</v>
      </c>
      <c r="M244" s="7">
        <v>5.28</v>
      </c>
      <c r="N244" s="7">
        <v>5.57</v>
      </c>
      <c r="O244" s="7">
        <v>2.4E-2</v>
      </c>
      <c r="P244" s="7">
        <v>2.4E-2</v>
      </c>
      <c r="AD244">
        <v>35</v>
      </c>
      <c r="AN244" s="7">
        <v>6.35</v>
      </c>
      <c r="AO244" s="7">
        <v>12.7</v>
      </c>
      <c r="AP244" s="7">
        <v>25</v>
      </c>
      <c r="AQ244" t="s">
        <v>49</v>
      </c>
      <c r="AR244" t="s">
        <v>49</v>
      </c>
      <c r="AS244" t="s">
        <v>49</v>
      </c>
      <c r="AT244" t="s">
        <v>49</v>
      </c>
      <c r="AU244" t="s">
        <v>643</v>
      </c>
      <c r="AW244" s="7" t="s">
        <v>3026</v>
      </c>
      <c r="BE244" s="7">
        <v>0.11</v>
      </c>
      <c r="BF244" t="s">
        <v>49</v>
      </c>
      <c r="BH244">
        <v>53</v>
      </c>
      <c r="BI244" t="s">
        <v>120</v>
      </c>
      <c r="BK244">
        <v>319</v>
      </c>
      <c r="BL244">
        <v>965</v>
      </c>
      <c r="BM244">
        <v>215</v>
      </c>
      <c r="BN244">
        <v>9</v>
      </c>
      <c r="BO244">
        <v>12.2</v>
      </c>
      <c r="BP244">
        <v>405</v>
      </c>
      <c r="BQ244">
        <v>1045</v>
      </c>
      <c r="BR244">
        <v>305</v>
      </c>
      <c r="BS244" t="s">
        <v>1137</v>
      </c>
    </row>
    <row r="245" spans="1:71" x14ac:dyDescent="0.25">
      <c r="A245" t="s">
        <v>1138</v>
      </c>
      <c r="B245" t="s">
        <v>678</v>
      </c>
      <c r="C245" t="s">
        <v>526</v>
      </c>
      <c r="D245" t="s">
        <v>1139</v>
      </c>
      <c r="E245" t="s">
        <v>2151</v>
      </c>
      <c r="F245" t="s">
        <v>1125</v>
      </c>
      <c r="G245" t="s">
        <v>75</v>
      </c>
      <c r="H245">
        <v>21500</v>
      </c>
      <c r="I245" t="s">
        <v>3625</v>
      </c>
      <c r="J245" t="s">
        <v>1126</v>
      </c>
      <c r="K245" t="s">
        <v>1127</v>
      </c>
      <c r="L245" t="s">
        <v>44</v>
      </c>
      <c r="M245" s="7">
        <v>5.28</v>
      </c>
      <c r="N245" s="7">
        <v>5.57</v>
      </c>
      <c r="O245" s="7">
        <v>3.5000000000000003E-2</v>
      </c>
      <c r="P245" s="7">
        <v>3.5000000000000003E-2</v>
      </c>
      <c r="AN245" s="7">
        <v>6.35</v>
      </c>
      <c r="AO245" s="7">
        <v>12.7</v>
      </c>
      <c r="AP245" s="7">
        <v>25</v>
      </c>
      <c r="AQ245" t="s">
        <v>49</v>
      </c>
      <c r="AR245" t="s">
        <v>49</v>
      </c>
      <c r="AS245" t="s">
        <v>49</v>
      </c>
      <c r="AT245" t="s">
        <v>49</v>
      </c>
      <c r="AU245" t="s">
        <v>78</v>
      </c>
      <c r="AW245" s="7" t="s">
        <v>3026</v>
      </c>
      <c r="BE245" s="7">
        <v>0.15</v>
      </c>
      <c r="BF245" t="s">
        <v>49</v>
      </c>
      <c r="BH245">
        <v>52</v>
      </c>
      <c r="BI245" t="s">
        <v>120</v>
      </c>
      <c r="BK245">
        <v>319</v>
      </c>
      <c r="BL245">
        <v>965</v>
      </c>
      <c r="BM245">
        <v>215</v>
      </c>
      <c r="BN245">
        <v>10.9</v>
      </c>
      <c r="BO245">
        <v>14.2</v>
      </c>
      <c r="BP245">
        <v>405</v>
      </c>
      <c r="BQ245">
        <v>1045</v>
      </c>
      <c r="BR245">
        <v>305</v>
      </c>
      <c r="BS245" t="s">
        <v>3626</v>
      </c>
    </row>
    <row r="246" spans="1:71" x14ac:dyDescent="0.25">
      <c r="A246" t="s">
        <v>1140</v>
      </c>
      <c r="B246" t="s">
        <v>678</v>
      </c>
      <c r="C246" t="s">
        <v>526</v>
      </c>
      <c r="D246" t="s">
        <v>1141</v>
      </c>
      <c r="E246" t="s">
        <v>2151</v>
      </c>
      <c r="F246" t="s">
        <v>1125</v>
      </c>
      <c r="G246" t="s">
        <v>75</v>
      </c>
      <c r="H246">
        <v>27200</v>
      </c>
      <c r="I246" t="s">
        <v>3625</v>
      </c>
      <c r="J246" t="s">
        <v>1126</v>
      </c>
      <c r="K246" t="s">
        <v>1127</v>
      </c>
      <c r="L246" t="s">
        <v>44</v>
      </c>
      <c r="M246" s="7">
        <v>7.33</v>
      </c>
      <c r="N246" s="7">
        <v>7.62</v>
      </c>
      <c r="O246" s="7">
        <v>3.5000000000000003E-2</v>
      </c>
      <c r="P246" s="7">
        <v>3.5000000000000003E-2</v>
      </c>
      <c r="AD246">
        <v>50</v>
      </c>
      <c r="AN246" s="7">
        <v>9.52</v>
      </c>
      <c r="AO246" s="7">
        <v>15.9</v>
      </c>
      <c r="AP246" s="7">
        <v>25</v>
      </c>
      <c r="AQ246" t="s">
        <v>49</v>
      </c>
      <c r="AR246" t="s">
        <v>49</v>
      </c>
      <c r="AS246" t="s">
        <v>49</v>
      </c>
      <c r="AT246" t="s">
        <v>49</v>
      </c>
      <c r="AU246" t="s">
        <v>643</v>
      </c>
      <c r="AW246" s="7" t="s">
        <v>3026</v>
      </c>
      <c r="BE246" s="7">
        <v>0.15</v>
      </c>
      <c r="BF246" t="s">
        <v>49</v>
      </c>
      <c r="BH246">
        <v>73</v>
      </c>
      <c r="BI246" t="s">
        <v>120</v>
      </c>
      <c r="BK246">
        <v>335</v>
      </c>
      <c r="BL246">
        <v>1080</v>
      </c>
      <c r="BM246">
        <v>226</v>
      </c>
      <c r="BN246">
        <v>12</v>
      </c>
      <c r="BO246">
        <v>15.2</v>
      </c>
      <c r="BP246">
        <v>315</v>
      </c>
      <c r="BQ246">
        <v>1155</v>
      </c>
      <c r="BR246">
        <v>415</v>
      </c>
      <c r="BS246" t="s">
        <v>1142</v>
      </c>
    </row>
    <row r="247" spans="1:71" x14ac:dyDescent="0.25">
      <c r="A247" t="s">
        <v>1143</v>
      </c>
      <c r="B247" t="s">
        <v>678</v>
      </c>
      <c r="C247" t="s">
        <v>526</v>
      </c>
      <c r="D247" t="s">
        <v>1144</v>
      </c>
      <c r="E247" t="s">
        <v>2151</v>
      </c>
      <c r="F247" t="s">
        <v>1125</v>
      </c>
      <c r="G247" t="s">
        <v>75</v>
      </c>
      <c r="H247">
        <v>27200</v>
      </c>
      <c r="I247" t="s">
        <v>3625</v>
      </c>
      <c r="J247" t="s">
        <v>1126</v>
      </c>
      <c r="K247" t="s">
        <v>1127</v>
      </c>
      <c r="L247" t="s">
        <v>44</v>
      </c>
      <c r="M247" s="7">
        <v>7.03</v>
      </c>
      <c r="N247" s="7">
        <v>7.33</v>
      </c>
      <c r="O247" s="7">
        <v>7.1999999999999995E-2</v>
      </c>
      <c r="P247" s="7">
        <v>7.1999999999999995E-2</v>
      </c>
      <c r="AN247" s="7">
        <v>9.52</v>
      </c>
      <c r="AO247" s="7">
        <v>15.9</v>
      </c>
      <c r="AP247" s="7">
        <v>25</v>
      </c>
      <c r="AQ247" t="s">
        <v>49</v>
      </c>
      <c r="AR247" t="s">
        <v>49</v>
      </c>
      <c r="AS247" t="s">
        <v>49</v>
      </c>
      <c r="AT247" t="s">
        <v>49</v>
      </c>
      <c r="AU247" t="s">
        <v>78</v>
      </c>
      <c r="AW247" s="7" t="s">
        <v>3026</v>
      </c>
      <c r="BE247" s="7">
        <v>0.28000000000000003</v>
      </c>
      <c r="BF247" t="s">
        <v>49</v>
      </c>
      <c r="BH247">
        <v>70</v>
      </c>
      <c r="BI247" t="s">
        <v>120</v>
      </c>
      <c r="BK247">
        <v>335</v>
      </c>
      <c r="BL247">
        <v>1080</v>
      </c>
      <c r="BM247">
        <v>226</v>
      </c>
      <c r="BN247">
        <v>13.7</v>
      </c>
      <c r="BO247">
        <v>17.3</v>
      </c>
      <c r="BP247">
        <v>315</v>
      </c>
      <c r="BQ247">
        <v>1155</v>
      </c>
      <c r="BR247">
        <v>415</v>
      </c>
      <c r="BS247" t="s">
        <v>3627</v>
      </c>
    </row>
    <row r="248" spans="1:71" x14ac:dyDescent="0.25">
      <c r="A248" t="s">
        <v>1145</v>
      </c>
      <c r="B248" t="s">
        <v>678</v>
      </c>
      <c r="C248" t="s">
        <v>526</v>
      </c>
      <c r="D248" t="s">
        <v>1146</v>
      </c>
      <c r="E248" t="s">
        <v>2151</v>
      </c>
      <c r="F248" t="s">
        <v>1147</v>
      </c>
      <c r="G248" t="s">
        <v>41</v>
      </c>
      <c r="H248">
        <v>11800</v>
      </c>
      <c r="I248" t="s">
        <v>3628</v>
      </c>
      <c r="J248" t="s">
        <v>1148</v>
      </c>
      <c r="K248" t="s">
        <v>1149</v>
      </c>
      <c r="L248" t="s">
        <v>44</v>
      </c>
      <c r="M248" s="7">
        <v>2.34</v>
      </c>
      <c r="N248" s="7">
        <v>2.63</v>
      </c>
      <c r="O248" s="7">
        <v>2.4E-2</v>
      </c>
      <c r="P248" s="7">
        <v>2.4E-2</v>
      </c>
      <c r="AC248" t="s">
        <v>1150</v>
      </c>
      <c r="AD248">
        <v>24</v>
      </c>
      <c r="AI248" t="s">
        <v>1150</v>
      </c>
      <c r="AJ248">
        <v>220</v>
      </c>
      <c r="AN248" s="7">
        <v>6.35</v>
      </c>
      <c r="AO248" s="7">
        <v>9.5299999999999994</v>
      </c>
      <c r="AP248" s="7" t="s">
        <v>41</v>
      </c>
      <c r="AQ248" t="s">
        <v>49</v>
      </c>
      <c r="AR248" t="s">
        <v>49</v>
      </c>
      <c r="AS248" t="s">
        <v>49</v>
      </c>
      <c r="AT248" t="s">
        <v>49</v>
      </c>
      <c r="AU248" t="s">
        <v>50</v>
      </c>
      <c r="AW248" s="7" t="s">
        <v>3026</v>
      </c>
      <c r="BE248" s="7" t="s">
        <v>3232</v>
      </c>
      <c r="BF248" t="s">
        <v>49</v>
      </c>
      <c r="BH248">
        <v>23</v>
      </c>
      <c r="BI248" t="s">
        <v>120</v>
      </c>
      <c r="BK248">
        <v>290</v>
      </c>
      <c r="BL248">
        <v>722</v>
      </c>
      <c r="BM248">
        <v>187</v>
      </c>
      <c r="BN248">
        <v>7.4</v>
      </c>
      <c r="BO248">
        <v>9.6</v>
      </c>
      <c r="BP248">
        <v>370</v>
      </c>
      <c r="BQ248">
        <v>790</v>
      </c>
      <c r="BR248">
        <v>270</v>
      </c>
    </row>
    <row r="249" spans="1:71" x14ac:dyDescent="0.25">
      <c r="A249" t="s">
        <v>1151</v>
      </c>
      <c r="B249" t="s">
        <v>678</v>
      </c>
      <c r="C249" t="s">
        <v>526</v>
      </c>
      <c r="D249" t="s">
        <v>1152</v>
      </c>
      <c r="E249" t="s">
        <v>2151</v>
      </c>
      <c r="F249" t="s">
        <v>1147</v>
      </c>
      <c r="G249" t="s">
        <v>41</v>
      </c>
      <c r="H249">
        <v>13200</v>
      </c>
      <c r="I249" t="s">
        <v>3628</v>
      </c>
      <c r="J249" t="s">
        <v>1148</v>
      </c>
      <c r="K249" t="s">
        <v>1149</v>
      </c>
      <c r="L249" t="s">
        <v>44</v>
      </c>
      <c r="M249" s="7">
        <v>2.63</v>
      </c>
      <c r="N249" s="7">
        <v>2.93</v>
      </c>
      <c r="O249" s="7">
        <v>0.02</v>
      </c>
      <c r="P249" s="7">
        <v>0.02</v>
      </c>
      <c r="AD249">
        <v>13</v>
      </c>
      <c r="AI249" t="s">
        <v>1153</v>
      </c>
      <c r="AJ249">
        <v>220</v>
      </c>
      <c r="AN249" s="7">
        <v>6.35</v>
      </c>
      <c r="AO249" s="7">
        <v>9.5299999999999994</v>
      </c>
      <c r="AP249" s="7" t="s">
        <v>41</v>
      </c>
      <c r="AQ249" t="s">
        <v>49</v>
      </c>
      <c r="AR249" t="s">
        <v>49</v>
      </c>
      <c r="AS249" t="s">
        <v>49</v>
      </c>
      <c r="AT249" t="s">
        <v>49</v>
      </c>
      <c r="AU249" t="s">
        <v>50</v>
      </c>
      <c r="AV249" s="7" t="s">
        <v>1154</v>
      </c>
      <c r="AW249" s="7" t="s">
        <v>3026</v>
      </c>
      <c r="BE249" s="7" t="s">
        <v>3232</v>
      </c>
      <c r="BF249" t="s">
        <v>49</v>
      </c>
      <c r="BG249" t="s">
        <v>212</v>
      </c>
      <c r="BH249">
        <v>22</v>
      </c>
      <c r="BI249" t="s">
        <v>120</v>
      </c>
      <c r="BK249">
        <v>290</v>
      </c>
      <c r="BL249">
        <v>722</v>
      </c>
      <c r="BM249">
        <v>187</v>
      </c>
      <c r="BN249">
        <v>7.4</v>
      </c>
      <c r="BO249">
        <v>9.6</v>
      </c>
      <c r="BP249">
        <v>370</v>
      </c>
      <c r="BQ249">
        <v>790</v>
      </c>
      <c r="BR249">
        <v>270</v>
      </c>
      <c r="BS249" t="s">
        <v>1155</v>
      </c>
    </row>
    <row r="250" spans="1:71" x14ac:dyDescent="0.25">
      <c r="A250" t="s">
        <v>1156</v>
      </c>
      <c r="B250" t="s">
        <v>678</v>
      </c>
      <c r="C250" t="s">
        <v>526</v>
      </c>
      <c r="D250" t="s">
        <v>1157</v>
      </c>
      <c r="E250" t="s">
        <v>2151</v>
      </c>
      <c r="F250" t="s">
        <v>1147</v>
      </c>
      <c r="G250" t="s">
        <v>75</v>
      </c>
      <c r="H250">
        <v>14000</v>
      </c>
      <c r="I250" t="s">
        <v>3628</v>
      </c>
      <c r="J250" t="s">
        <v>1148</v>
      </c>
      <c r="K250" t="s">
        <v>1149</v>
      </c>
      <c r="L250" t="s">
        <v>44</v>
      </c>
      <c r="M250" s="7">
        <v>3.51</v>
      </c>
      <c r="N250" s="7">
        <v>3.8</v>
      </c>
      <c r="O250" s="7">
        <v>0.02</v>
      </c>
      <c r="P250" s="7">
        <v>0.02</v>
      </c>
      <c r="AD250">
        <v>18</v>
      </c>
      <c r="AI250" t="s">
        <v>1158</v>
      </c>
      <c r="AJ250">
        <v>220</v>
      </c>
      <c r="AN250" s="7">
        <v>6.35</v>
      </c>
      <c r="AO250" s="7">
        <v>9.5299999999999994</v>
      </c>
      <c r="AP250" s="7" t="s">
        <v>41</v>
      </c>
      <c r="AQ250" t="s">
        <v>49</v>
      </c>
      <c r="AR250" t="s">
        <v>49</v>
      </c>
      <c r="AS250" t="s">
        <v>49</v>
      </c>
      <c r="AT250" t="s">
        <v>49</v>
      </c>
      <c r="AU250" t="s">
        <v>50</v>
      </c>
      <c r="AW250" s="7" t="s">
        <v>3026</v>
      </c>
      <c r="BE250" s="7" t="s">
        <v>3232</v>
      </c>
      <c r="BF250" t="s">
        <v>49</v>
      </c>
      <c r="BG250" t="s">
        <v>212</v>
      </c>
      <c r="BH250">
        <v>29</v>
      </c>
      <c r="BI250" t="s">
        <v>120</v>
      </c>
      <c r="BK250">
        <v>297</v>
      </c>
      <c r="BL250">
        <v>802</v>
      </c>
      <c r="BM250">
        <v>189</v>
      </c>
      <c r="BN250">
        <v>8.1999999999999993</v>
      </c>
      <c r="BO250">
        <v>10.7</v>
      </c>
      <c r="BP250">
        <v>375</v>
      </c>
      <c r="BQ250">
        <v>875</v>
      </c>
      <c r="BR250">
        <v>285</v>
      </c>
      <c r="BS250" t="s">
        <v>1159</v>
      </c>
    </row>
    <row r="251" spans="1:71" x14ac:dyDescent="0.25">
      <c r="A251" t="s">
        <v>1160</v>
      </c>
      <c r="B251" t="s">
        <v>678</v>
      </c>
      <c r="C251" t="s">
        <v>526</v>
      </c>
      <c r="D251" t="s">
        <v>1161</v>
      </c>
      <c r="E251" t="s">
        <v>2151</v>
      </c>
      <c r="F251" t="s">
        <v>1147</v>
      </c>
      <c r="G251" t="s">
        <v>41</v>
      </c>
      <c r="H251">
        <v>17900</v>
      </c>
      <c r="I251" t="s">
        <v>3628</v>
      </c>
      <c r="J251" t="s">
        <v>1148</v>
      </c>
      <c r="K251" t="s">
        <v>1149</v>
      </c>
      <c r="L251" t="s">
        <v>44</v>
      </c>
      <c r="M251" s="7">
        <v>5.27</v>
      </c>
      <c r="N251" s="7">
        <v>5.86</v>
      </c>
      <c r="O251" s="7">
        <v>0.03</v>
      </c>
      <c r="P251" s="7">
        <v>0.03</v>
      </c>
      <c r="S251">
        <v>29</v>
      </c>
      <c r="T251">
        <v>42</v>
      </c>
      <c r="AD251">
        <v>25</v>
      </c>
      <c r="AI251" t="s">
        <v>1162</v>
      </c>
      <c r="AJ251">
        <v>220</v>
      </c>
      <c r="AN251" s="7">
        <v>6.35</v>
      </c>
      <c r="AO251" s="7">
        <v>12.7</v>
      </c>
      <c r="AP251" s="7" t="s">
        <v>41</v>
      </c>
      <c r="AQ251" t="s">
        <v>49</v>
      </c>
      <c r="AR251" t="s">
        <v>49</v>
      </c>
      <c r="AS251" t="s">
        <v>49</v>
      </c>
      <c r="AT251" t="s">
        <v>49</v>
      </c>
      <c r="AU251" t="s">
        <v>50</v>
      </c>
      <c r="AW251" s="7" t="s">
        <v>3026</v>
      </c>
      <c r="BE251" s="7" t="s">
        <v>3233</v>
      </c>
      <c r="BF251" t="s">
        <v>49</v>
      </c>
      <c r="BG251" t="s">
        <v>212</v>
      </c>
      <c r="BH251">
        <v>42</v>
      </c>
      <c r="BI251" t="s">
        <v>120</v>
      </c>
      <c r="BK251">
        <v>319</v>
      </c>
      <c r="BL251">
        <v>215</v>
      </c>
      <c r="BM251">
        <v>965</v>
      </c>
      <c r="BN251">
        <v>10.7</v>
      </c>
      <c r="BO251">
        <v>14</v>
      </c>
      <c r="BP251">
        <v>405</v>
      </c>
      <c r="BQ251">
        <v>305</v>
      </c>
      <c r="BR251">
        <v>1045</v>
      </c>
    </row>
    <row r="252" spans="1:71" x14ac:dyDescent="0.25">
      <c r="A252" t="s">
        <v>1163</v>
      </c>
      <c r="B252" t="s">
        <v>678</v>
      </c>
      <c r="C252" t="s">
        <v>526</v>
      </c>
      <c r="D252" t="s">
        <v>1164</v>
      </c>
      <c r="E252" t="s">
        <v>2151</v>
      </c>
      <c r="F252" t="s">
        <v>1147</v>
      </c>
      <c r="G252" t="s">
        <v>75</v>
      </c>
      <c r="H252">
        <v>21200</v>
      </c>
      <c r="I252" t="s">
        <v>3628</v>
      </c>
      <c r="J252" t="s">
        <v>1148</v>
      </c>
      <c r="K252" t="s">
        <v>1149</v>
      </c>
      <c r="L252" t="s">
        <v>44</v>
      </c>
      <c r="M252" s="7">
        <v>7.03</v>
      </c>
      <c r="N252" s="7">
        <v>7.91</v>
      </c>
      <c r="O252" s="7">
        <v>0.06</v>
      </c>
      <c r="P252" s="7">
        <v>0.06</v>
      </c>
      <c r="AD252">
        <v>32</v>
      </c>
      <c r="AI252" t="s">
        <v>1165</v>
      </c>
      <c r="AJ252">
        <v>220</v>
      </c>
      <c r="AN252" s="7">
        <v>9.5299999999999994</v>
      </c>
      <c r="AO252" s="7">
        <v>15.88</v>
      </c>
      <c r="AP252" s="7" t="s">
        <v>41</v>
      </c>
      <c r="AQ252" t="s">
        <v>49</v>
      </c>
      <c r="AR252" t="s">
        <v>49</v>
      </c>
      <c r="AS252" t="s">
        <v>49</v>
      </c>
      <c r="AT252" t="s">
        <v>49</v>
      </c>
      <c r="AU252" t="s">
        <v>50</v>
      </c>
      <c r="AW252" s="7" t="s">
        <v>3026</v>
      </c>
      <c r="BE252" s="7" t="s">
        <v>3234</v>
      </c>
      <c r="BF252" t="s">
        <v>49</v>
      </c>
      <c r="BG252" t="s">
        <v>212</v>
      </c>
      <c r="BH252">
        <v>47</v>
      </c>
      <c r="BI252" t="s">
        <v>120</v>
      </c>
      <c r="BK252">
        <v>335</v>
      </c>
      <c r="BL252">
        <v>1080</v>
      </c>
      <c r="BM252">
        <v>226</v>
      </c>
      <c r="BN252">
        <v>13</v>
      </c>
      <c r="BO252">
        <v>16.600000000000001</v>
      </c>
      <c r="BP252">
        <v>415</v>
      </c>
      <c r="BQ252">
        <v>1155</v>
      </c>
      <c r="BR252">
        <v>315</v>
      </c>
      <c r="BS252" t="s">
        <v>1166</v>
      </c>
    </row>
    <row r="253" spans="1:71" x14ac:dyDescent="0.25">
      <c r="A253" t="s">
        <v>1167</v>
      </c>
      <c r="B253" t="s">
        <v>678</v>
      </c>
      <c r="C253" t="s">
        <v>526</v>
      </c>
      <c r="D253" t="s">
        <v>1168</v>
      </c>
      <c r="E253" t="s">
        <v>2151</v>
      </c>
      <c r="F253" t="s">
        <v>1169</v>
      </c>
      <c r="G253" t="s">
        <v>75</v>
      </c>
      <c r="H253">
        <v>70800</v>
      </c>
      <c r="I253" t="s">
        <v>3629</v>
      </c>
      <c r="J253" t="s">
        <v>1170</v>
      </c>
      <c r="K253" t="s">
        <v>230</v>
      </c>
      <c r="L253" t="s">
        <v>44</v>
      </c>
      <c r="M253" s="7" t="s">
        <v>2342</v>
      </c>
      <c r="N253" s="7" t="s">
        <v>2708</v>
      </c>
      <c r="O253" s="7" t="s">
        <v>2709</v>
      </c>
      <c r="P253" s="7" t="s">
        <v>2710</v>
      </c>
      <c r="Q253">
        <v>40</v>
      </c>
      <c r="R253">
        <v>15</v>
      </c>
      <c r="U253">
        <v>2</v>
      </c>
      <c r="X253">
        <v>-15</v>
      </c>
      <c r="Y253">
        <v>50</v>
      </c>
      <c r="Z253">
        <v>-15</v>
      </c>
      <c r="AA253">
        <v>24</v>
      </c>
      <c r="AG253" t="s">
        <v>2918</v>
      </c>
      <c r="AH253" t="s">
        <v>63</v>
      </c>
      <c r="AL253" t="s">
        <v>684</v>
      </c>
      <c r="AN253" s="7" t="s">
        <v>2895</v>
      </c>
      <c r="AO253" s="7" t="s">
        <v>2896</v>
      </c>
      <c r="AQ253" t="s">
        <v>49</v>
      </c>
      <c r="AR253" t="s">
        <v>49</v>
      </c>
      <c r="AS253" t="s">
        <v>49</v>
      </c>
      <c r="AT253" t="s">
        <v>49</v>
      </c>
      <c r="AU253" t="s">
        <v>78</v>
      </c>
      <c r="AV253" s="7" t="s">
        <v>3021</v>
      </c>
      <c r="AW253" s="7" t="s">
        <v>3026</v>
      </c>
      <c r="AX253">
        <v>16</v>
      </c>
      <c r="AY253">
        <v>25</v>
      </c>
      <c r="AZ253">
        <v>10</v>
      </c>
      <c r="BE253" s="7" t="s">
        <v>3235</v>
      </c>
      <c r="BF253" t="s">
        <v>49</v>
      </c>
      <c r="BI253" t="s">
        <v>120</v>
      </c>
      <c r="BK253">
        <v>554</v>
      </c>
      <c r="BL253">
        <v>800</v>
      </c>
      <c r="BM253">
        <v>333</v>
      </c>
      <c r="BN253">
        <v>31.6</v>
      </c>
      <c r="BO253">
        <v>34.700000000000003</v>
      </c>
      <c r="BP253">
        <v>615</v>
      </c>
      <c r="BQ253">
        <v>920</v>
      </c>
      <c r="BR253">
        <v>390</v>
      </c>
    </row>
    <row r="254" spans="1:71" x14ac:dyDescent="0.25">
      <c r="A254" t="s">
        <v>1171</v>
      </c>
      <c r="B254" t="s">
        <v>678</v>
      </c>
      <c r="C254" t="s">
        <v>526</v>
      </c>
      <c r="D254" t="s">
        <v>1172</v>
      </c>
      <c r="E254" t="s">
        <v>2151</v>
      </c>
      <c r="F254" t="s">
        <v>1169</v>
      </c>
      <c r="G254" t="s">
        <v>75</v>
      </c>
      <c r="H254">
        <v>70800</v>
      </c>
      <c r="I254" t="s">
        <v>3629</v>
      </c>
      <c r="J254" t="s">
        <v>1173</v>
      </c>
      <c r="K254" t="s">
        <v>230</v>
      </c>
      <c r="L254" t="s">
        <v>44</v>
      </c>
      <c r="M254" s="7" t="s">
        <v>2343</v>
      </c>
      <c r="N254" s="7" t="s">
        <v>2711</v>
      </c>
      <c r="O254" s="7" t="s">
        <v>2712</v>
      </c>
      <c r="P254" s="7" t="s">
        <v>2713</v>
      </c>
      <c r="Q254">
        <v>40</v>
      </c>
      <c r="R254">
        <v>15</v>
      </c>
      <c r="U254">
        <v>2</v>
      </c>
      <c r="X254">
        <v>-15</v>
      </c>
      <c r="Y254">
        <v>50</v>
      </c>
      <c r="Z254">
        <v>-15</v>
      </c>
      <c r="AA254">
        <v>24</v>
      </c>
      <c r="AG254" t="s">
        <v>2950</v>
      </c>
      <c r="AH254" t="s">
        <v>2975</v>
      </c>
      <c r="AL254" t="s">
        <v>684</v>
      </c>
      <c r="AN254" s="7" t="s">
        <v>2895</v>
      </c>
      <c r="AO254" s="7" t="s">
        <v>2896</v>
      </c>
      <c r="AQ254" t="s">
        <v>49</v>
      </c>
      <c r="AR254" t="s">
        <v>49</v>
      </c>
      <c r="AS254" t="s">
        <v>49</v>
      </c>
      <c r="AT254" t="s">
        <v>49</v>
      </c>
      <c r="AU254" t="s">
        <v>78</v>
      </c>
      <c r="AV254" s="7" t="s">
        <v>3021</v>
      </c>
      <c r="AW254" s="7" t="s">
        <v>3026</v>
      </c>
      <c r="AX254">
        <v>16</v>
      </c>
      <c r="AY254">
        <v>25</v>
      </c>
      <c r="AZ254">
        <v>10</v>
      </c>
      <c r="BE254" s="7" t="s">
        <v>3236</v>
      </c>
      <c r="BF254" t="s">
        <v>49</v>
      </c>
      <c r="BI254" t="s">
        <v>120</v>
      </c>
      <c r="BK254">
        <v>554</v>
      </c>
      <c r="BL254">
        <v>805</v>
      </c>
      <c r="BM254">
        <v>330</v>
      </c>
      <c r="BN254">
        <v>31.6</v>
      </c>
      <c r="BO254">
        <v>34.700000000000003</v>
      </c>
      <c r="BP254">
        <v>615</v>
      </c>
      <c r="BQ254">
        <v>915</v>
      </c>
      <c r="BR254">
        <v>370</v>
      </c>
    </row>
    <row r="255" spans="1:71" x14ac:dyDescent="0.25">
      <c r="A255" t="s">
        <v>1174</v>
      </c>
      <c r="B255" t="s">
        <v>678</v>
      </c>
      <c r="C255" t="s">
        <v>526</v>
      </c>
      <c r="D255" t="s">
        <v>1175</v>
      </c>
      <c r="E255" t="s">
        <v>2151</v>
      </c>
      <c r="F255" t="s">
        <v>1169</v>
      </c>
      <c r="G255" t="s">
        <v>75</v>
      </c>
      <c r="H255">
        <v>88800</v>
      </c>
      <c r="I255" t="s">
        <v>3629</v>
      </c>
      <c r="J255" t="s">
        <v>1170</v>
      </c>
      <c r="K255" t="s">
        <v>230</v>
      </c>
      <c r="L255" t="s">
        <v>44</v>
      </c>
      <c r="M255" s="7" t="s">
        <v>2344</v>
      </c>
      <c r="N255" s="7" t="s">
        <v>2714</v>
      </c>
      <c r="O255" s="7" t="s">
        <v>2715</v>
      </c>
      <c r="P255" s="7" t="s">
        <v>2716</v>
      </c>
      <c r="Q255">
        <v>40</v>
      </c>
      <c r="R255">
        <v>15</v>
      </c>
      <c r="U255">
        <v>2</v>
      </c>
      <c r="X255">
        <v>-15</v>
      </c>
      <c r="Y255">
        <v>50</v>
      </c>
      <c r="Z255">
        <v>-15</v>
      </c>
      <c r="AA255">
        <v>24</v>
      </c>
      <c r="AG255" t="s">
        <v>2950</v>
      </c>
      <c r="AH255" t="s">
        <v>63</v>
      </c>
      <c r="AL255" t="s">
        <v>684</v>
      </c>
      <c r="AN255" s="7" t="s">
        <v>2895</v>
      </c>
      <c r="AO255" s="7" t="s">
        <v>2896</v>
      </c>
      <c r="AQ255" t="s">
        <v>49</v>
      </c>
      <c r="AR255" t="s">
        <v>49</v>
      </c>
      <c r="AS255" t="s">
        <v>49</v>
      </c>
      <c r="AT255" t="s">
        <v>49</v>
      </c>
      <c r="AU255" t="s">
        <v>78</v>
      </c>
      <c r="AV255" s="7" t="s">
        <v>3021</v>
      </c>
      <c r="AW255" s="7" t="s">
        <v>3026</v>
      </c>
      <c r="AX255">
        <v>16</v>
      </c>
      <c r="AY255">
        <v>25</v>
      </c>
      <c r="AZ255">
        <v>10</v>
      </c>
      <c r="BE255" s="7" t="s">
        <v>3237</v>
      </c>
      <c r="BF255" t="s">
        <v>49</v>
      </c>
      <c r="BI255" t="s">
        <v>120</v>
      </c>
      <c r="BK255">
        <v>554</v>
      </c>
      <c r="BL255">
        <v>800</v>
      </c>
      <c r="BM255">
        <v>333</v>
      </c>
      <c r="BN255">
        <v>35.5</v>
      </c>
      <c r="BO255">
        <v>38.5</v>
      </c>
      <c r="BP255">
        <v>615</v>
      </c>
      <c r="BQ255">
        <v>920</v>
      </c>
      <c r="BR255">
        <v>390</v>
      </c>
    </row>
    <row r="256" spans="1:71" x14ac:dyDescent="0.25">
      <c r="A256" t="s">
        <v>1176</v>
      </c>
      <c r="B256" t="s">
        <v>678</v>
      </c>
      <c r="C256" t="s">
        <v>526</v>
      </c>
      <c r="D256" t="s">
        <v>1177</v>
      </c>
      <c r="E256" t="s">
        <v>2151</v>
      </c>
      <c r="F256" t="s">
        <v>1169</v>
      </c>
      <c r="G256" t="s">
        <v>75</v>
      </c>
      <c r="H256">
        <v>88800</v>
      </c>
      <c r="I256" t="s">
        <v>3629</v>
      </c>
      <c r="J256" t="s">
        <v>1178</v>
      </c>
      <c r="K256" t="s">
        <v>230</v>
      </c>
      <c r="L256" t="s">
        <v>44</v>
      </c>
      <c r="M256" s="7" t="s">
        <v>2345</v>
      </c>
      <c r="N256" s="7" t="s">
        <v>2717</v>
      </c>
      <c r="O256" s="7" t="s">
        <v>2718</v>
      </c>
      <c r="P256" s="7" t="s">
        <v>2719</v>
      </c>
      <c r="Q256">
        <v>40</v>
      </c>
      <c r="R256">
        <v>15</v>
      </c>
      <c r="U256">
        <v>1</v>
      </c>
      <c r="X256">
        <v>-15</v>
      </c>
      <c r="Y256">
        <v>50</v>
      </c>
      <c r="Z256">
        <v>-15</v>
      </c>
      <c r="AA256">
        <v>24</v>
      </c>
      <c r="AG256" t="s">
        <v>2950</v>
      </c>
      <c r="AH256" t="s">
        <v>63</v>
      </c>
      <c r="AL256" t="s">
        <v>684</v>
      </c>
      <c r="AN256" s="7" t="s">
        <v>2895</v>
      </c>
      <c r="AO256" s="7" t="s">
        <v>2896</v>
      </c>
      <c r="AQ256" t="s">
        <v>49</v>
      </c>
      <c r="AR256" t="s">
        <v>49</v>
      </c>
      <c r="AS256" t="s">
        <v>49</v>
      </c>
      <c r="AT256" t="s">
        <v>49</v>
      </c>
      <c r="AU256" t="s">
        <v>78</v>
      </c>
      <c r="AV256" s="7" t="s">
        <v>3021</v>
      </c>
      <c r="AW256" s="7" t="s">
        <v>3026</v>
      </c>
      <c r="AX256">
        <v>16</v>
      </c>
      <c r="AY256">
        <v>25</v>
      </c>
      <c r="AZ256">
        <v>10</v>
      </c>
      <c r="BE256" s="7" t="s">
        <v>3238</v>
      </c>
      <c r="BF256" t="s">
        <v>49</v>
      </c>
      <c r="BI256" t="s">
        <v>120</v>
      </c>
      <c r="BK256">
        <v>554</v>
      </c>
      <c r="BL256">
        <v>805</v>
      </c>
      <c r="BM256">
        <v>330</v>
      </c>
      <c r="BN256">
        <v>35</v>
      </c>
      <c r="BO256">
        <v>38</v>
      </c>
      <c r="BP256">
        <v>615</v>
      </c>
      <c r="BQ256">
        <v>915</v>
      </c>
      <c r="BR256">
        <v>370</v>
      </c>
    </row>
    <row r="257" spans="1:101" x14ac:dyDescent="0.25">
      <c r="A257" t="s">
        <v>1179</v>
      </c>
      <c r="B257" t="s">
        <v>678</v>
      </c>
      <c r="C257" t="s">
        <v>526</v>
      </c>
      <c r="D257" t="s">
        <v>1180</v>
      </c>
      <c r="E257" t="s">
        <v>2151</v>
      </c>
      <c r="F257" t="s">
        <v>1169</v>
      </c>
      <c r="G257" t="s">
        <v>75</v>
      </c>
      <c r="H257">
        <v>97400</v>
      </c>
      <c r="I257" t="s">
        <v>3629</v>
      </c>
      <c r="J257" t="s">
        <v>1170</v>
      </c>
      <c r="K257" t="s">
        <v>230</v>
      </c>
      <c r="L257" t="s">
        <v>44</v>
      </c>
      <c r="M257" s="7" t="s">
        <v>2346</v>
      </c>
      <c r="N257" s="7" t="s">
        <v>2720</v>
      </c>
      <c r="O257" s="7" t="s">
        <v>2721</v>
      </c>
      <c r="P257" s="7" t="s">
        <v>2722</v>
      </c>
      <c r="Q257">
        <v>60</v>
      </c>
      <c r="R257">
        <v>15</v>
      </c>
      <c r="U257">
        <v>3</v>
      </c>
      <c r="X257">
        <v>-15</v>
      </c>
      <c r="Y257">
        <v>50</v>
      </c>
      <c r="Z257">
        <v>-15</v>
      </c>
      <c r="AA257">
        <v>24</v>
      </c>
      <c r="AG257" t="s">
        <v>2948</v>
      </c>
      <c r="AH257" t="s">
        <v>63</v>
      </c>
      <c r="AL257" t="s">
        <v>684</v>
      </c>
      <c r="AN257" s="7" t="s">
        <v>2897</v>
      </c>
      <c r="AO257" s="7" t="s">
        <v>2898</v>
      </c>
      <c r="AQ257" t="s">
        <v>49</v>
      </c>
      <c r="AR257" t="s">
        <v>49</v>
      </c>
      <c r="AS257" t="s">
        <v>49</v>
      </c>
      <c r="AT257" t="s">
        <v>49</v>
      </c>
      <c r="AU257" t="s">
        <v>78</v>
      </c>
      <c r="AV257" s="7" t="s">
        <v>3021</v>
      </c>
      <c r="AW257" s="7" t="s">
        <v>3026</v>
      </c>
      <c r="AX257">
        <v>25</v>
      </c>
      <c r="AY257">
        <v>30</v>
      </c>
      <c r="AZ257">
        <v>10</v>
      </c>
      <c r="BE257" s="7" t="s">
        <v>3239</v>
      </c>
      <c r="BF257" t="s">
        <v>49</v>
      </c>
      <c r="BI257" t="s">
        <v>120</v>
      </c>
      <c r="BK257">
        <v>702</v>
      </c>
      <c r="BL257">
        <v>845</v>
      </c>
      <c r="BM257">
        <v>363</v>
      </c>
      <c r="BN257">
        <v>46.8</v>
      </c>
      <c r="BO257">
        <v>51.1</v>
      </c>
      <c r="BP257">
        <v>775</v>
      </c>
      <c r="BQ257">
        <v>965</v>
      </c>
      <c r="BR257">
        <v>395</v>
      </c>
    </row>
    <row r="258" spans="1:101" x14ac:dyDescent="0.25">
      <c r="A258" t="s">
        <v>1181</v>
      </c>
      <c r="B258" t="s">
        <v>678</v>
      </c>
      <c r="C258" t="s">
        <v>526</v>
      </c>
      <c r="D258" t="s">
        <v>1182</v>
      </c>
      <c r="E258" t="s">
        <v>2151</v>
      </c>
      <c r="F258" t="s">
        <v>1169</v>
      </c>
      <c r="G258" t="s">
        <v>75</v>
      </c>
      <c r="H258">
        <v>97400</v>
      </c>
      <c r="I258" t="s">
        <v>3629</v>
      </c>
      <c r="J258" t="s">
        <v>1183</v>
      </c>
      <c r="K258" t="s">
        <v>230</v>
      </c>
      <c r="L258" t="s">
        <v>44</v>
      </c>
      <c r="M258" s="7" t="s">
        <v>2347</v>
      </c>
      <c r="N258" s="7" t="s">
        <v>2723</v>
      </c>
      <c r="O258" s="7" t="s">
        <v>2724</v>
      </c>
      <c r="P258" s="7" t="s">
        <v>2725</v>
      </c>
      <c r="Q258">
        <v>60</v>
      </c>
      <c r="R258">
        <v>15</v>
      </c>
      <c r="U258">
        <v>3</v>
      </c>
      <c r="X258">
        <v>-15</v>
      </c>
      <c r="Y258">
        <v>50</v>
      </c>
      <c r="Z258">
        <v>-15</v>
      </c>
      <c r="AA258">
        <v>24</v>
      </c>
      <c r="AG258" t="s">
        <v>2950</v>
      </c>
      <c r="AH258" t="s">
        <v>63</v>
      </c>
      <c r="AL258" t="s">
        <v>684</v>
      </c>
      <c r="AN258" s="7" t="s">
        <v>2897</v>
      </c>
      <c r="AO258" s="7" t="s">
        <v>2898</v>
      </c>
      <c r="AQ258" t="s">
        <v>49</v>
      </c>
      <c r="AR258" t="s">
        <v>49</v>
      </c>
      <c r="AS258" t="s">
        <v>49</v>
      </c>
      <c r="AT258" t="s">
        <v>49</v>
      </c>
      <c r="AU258" t="s">
        <v>78</v>
      </c>
      <c r="AV258" s="7" t="s">
        <v>3021</v>
      </c>
      <c r="AW258" s="7" t="s">
        <v>3026</v>
      </c>
      <c r="AX258">
        <v>25</v>
      </c>
      <c r="AY258">
        <v>30</v>
      </c>
      <c r="AZ258">
        <v>10</v>
      </c>
      <c r="BE258" s="7" t="s">
        <v>3240</v>
      </c>
      <c r="BF258" t="s">
        <v>49</v>
      </c>
      <c r="BI258" t="s">
        <v>120</v>
      </c>
      <c r="BK258">
        <v>673</v>
      </c>
      <c r="BL258">
        <v>890</v>
      </c>
      <c r="BM258">
        <v>342</v>
      </c>
      <c r="BN258">
        <v>43.3</v>
      </c>
      <c r="BO258">
        <v>47.1</v>
      </c>
      <c r="BP258">
        <v>750</v>
      </c>
      <c r="BQ258">
        <v>1030</v>
      </c>
      <c r="BR258">
        <v>438</v>
      </c>
    </row>
    <row r="259" spans="1:101" x14ac:dyDescent="0.25">
      <c r="A259" t="s">
        <v>1184</v>
      </c>
      <c r="B259" t="s">
        <v>678</v>
      </c>
      <c r="C259" t="s">
        <v>526</v>
      </c>
      <c r="D259" t="s">
        <v>1185</v>
      </c>
      <c r="E259" t="s">
        <v>2151</v>
      </c>
      <c r="F259" t="s">
        <v>1169</v>
      </c>
      <c r="G259" t="s">
        <v>75</v>
      </c>
      <c r="H259">
        <v>112000</v>
      </c>
      <c r="I259" t="s">
        <v>3629</v>
      </c>
      <c r="J259" t="s">
        <v>1170</v>
      </c>
      <c r="K259" t="s">
        <v>230</v>
      </c>
      <c r="L259" t="s">
        <v>44</v>
      </c>
      <c r="M259" s="7" t="s">
        <v>2348</v>
      </c>
      <c r="N259" s="7" t="s">
        <v>2726</v>
      </c>
      <c r="O259" s="7" t="s">
        <v>2727</v>
      </c>
      <c r="P259" s="7" t="s">
        <v>2728</v>
      </c>
      <c r="Q259">
        <v>60</v>
      </c>
      <c r="R259">
        <v>15</v>
      </c>
      <c r="U259">
        <v>3</v>
      </c>
      <c r="X259">
        <v>-15</v>
      </c>
      <c r="Y259">
        <v>50</v>
      </c>
      <c r="Z259">
        <v>-15</v>
      </c>
      <c r="AA259">
        <v>24</v>
      </c>
      <c r="AG259" t="s">
        <v>2950</v>
      </c>
      <c r="AH259" t="s">
        <v>63</v>
      </c>
      <c r="AL259" t="s">
        <v>684</v>
      </c>
      <c r="AN259" s="7" t="s">
        <v>2897</v>
      </c>
      <c r="AO259" s="7" t="s">
        <v>2898</v>
      </c>
      <c r="AQ259" t="s">
        <v>49</v>
      </c>
      <c r="AR259" t="s">
        <v>49</v>
      </c>
      <c r="AS259" t="s">
        <v>49</v>
      </c>
      <c r="AT259" t="s">
        <v>49</v>
      </c>
      <c r="AU259" t="s">
        <v>78</v>
      </c>
      <c r="AV259" s="7" t="s">
        <v>3021</v>
      </c>
      <c r="AW259" s="7" t="s">
        <v>3026</v>
      </c>
      <c r="AX259">
        <v>25</v>
      </c>
      <c r="AY259">
        <v>30</v>
      </c>
      <c r="AZ259">
        <v>10</v>
      </c>
      <c r="BE259" s="7" t="s">
        <v>3241</v>
      </c>
      <c r="BF259" t="s">
        <v>49</v>
      </c>
      <c r="BI259" t="s">
        <v>120</v>
      </c>
      <c r="BK259">
        <v>702</v>
      </c>
      <c r="BL259">
        <v>845</v>
      </c>
      <c r="BM259">
        <v>363</v>
      </c>
      <c r="BN259">
        <v>51.1</v>
      </c>
      <c r="BO259">
        <v>55.8</v>
      </c>
      <c r="BP259">
        <v>775</v>
      </c>
      <c r="BQ259">
        <v>965</v>
      </c>
      <c r="BR259">
        <v>395</v>
      </c>
    </row>
    <row r="260" spans="1:101" x14ac:dyDescent="0.25">
      <c r="A260" t="s">
        <v>1186</v>
      </c>
      <c r="B260" t="s">
        <v>678</v>
      </c>
      <c r="C260" t="s">
        <v>526</v>
      </c>
      <c r="D260" t="s">
        <v>1187</v>
      </c>
      <c r="E260" t="s">
        <v>2151</v>
      </c>
      <c r="F260" t="s">
        <v>1169</v>
      </c>
      <c r="G260" t="s">
        <v>75</v>
      </c>
      <c r="H260">
        <v>112000</v>
      </c>
      <c r="I260" t="s">
        <v>3629</v>
      </c>
      <c r="J260" t="s">
        <v>1188</v>
      </c>
      <c r="K260" t="s">
        <v>230</v>
      </c>
      <c r="L260" t="s">
        <v>44</v>
      </c>
      <c r="M260" s="7" t="s">
        <v>2349</v>
      </c>
      <c r="N260" s="7" t="s">
        <v>2729</v>
      </c>
      <c r="O260" s="7" t="s">
        <v>2730</v>
      </c>
      <c r="P260" s="7" t="s">
        <v>2731</v>
      </c>
      <c r="Q260">
        <v>60</v>
      </c>
      <c r="R260">
        <v>15</v>
      </c>
      <c r="U260">
        <v>3</v>
      </c>
      <c r="X260">
        <v>-15</v>
      </c>
      <c r="Y260">
        <v>50</v>
      </c>
      <c r="Z260">
        <v>-15</v>
      </c>
      <c r="AA260">
        <v>24</v>
      </c>
      <c r="AG260" t="s">
        <v>2950</v>
      </c>
      <c r="AH260" t="s">
        <v>63</v>
      </c>
      <c r="AL260" t="s">
        <v>684</v>
      </c>
      <c r="AN260" s="7" t="s">
        <v>2897</v>
      </c>
      <c r="AO260" s="7" t="s">
        <v>2898</v>
      </c>
      <c r="AQ260" t="s">
        <v>49</v>
      </c>
      <c r="AR260" t="s">
        <v>49</v>
      </c>
      <c r="AS260" t="s">
        <v>49</v>
      </c>
      <c r="AT260" t="s">
        <v>49</v>
      </c>
      <c r="AU260" t="s">
        <v>78</v>
      </c>
      <c r="AV260" s="7" t="s">
        <v>3021</v>
      </c>
      <c r="AW260" s="7" t="s">
        <v>3026</v>
      </c>
      <c r="AX260">
        <v>25</v>
      </c>
      <c r="AY260">
        <v>30</v>
      </c>
      <c r="AZ260">
        <v>10</v>
      </c>
      <c r="BE260" s="7" t="s">
        <v>3242</v>
      </c>
      <c r="BF260" t="s">
        <v>49</v>
      </c>
      <c r="BI260" t="s">
        <v>120</v>
      </c>
      <c r="BK260">
        <v>673</v>
      </c>
      <c r="BL260">
        <v>890</v>
      </c>
      <c r="BM260">
        <v>342</v>
      </c>
      <c r="BN260">
        <v>48</v>
      </c>
      <c r="BO260">
        <v>51.8</v>
      </c>
      <c r="BP260">
        <v>750</v>
      </c>
      <c r="BQ260">
        <v>1030</v>
      </c>
      <c r="BR260">
        <v>438</v>
      </c>
    </row>
    <row r="261" spans="1:101" x14ac:dyDescent="0.25">
      <c r="A261" t="s">
        <v>1189</v>
      </c>
      <c r="B261" t="s">
        <v>678</v>
      </c>
      <c r="C261" t="s">
        <v>526</v>
      </c>
      <c r="D261" t="s">
        <v>1190</v>
      </c>
      <c r="E261" t="s">
        <v>2151</v>
      </c>
      <c r="F261" t="s">
        <v>1169</v>
      </c>
      <c r="G261" t="s">
        <v>41</v>
      </c>
      <c r="H261">
        <v>132300</v>
      </c>
      <c r="I261" t="s">
        <v>3629</v>
      </c>
      <c r="J261" t="s">
        <v>1170</v>
      </c>
      <c r="K261" t="s">
        <v>230</v>
      </c>
      <c r="L261" t="s">
        <v>44</v>
      </c>
      <c r="M261" s="7" t="s">
        <v>2350</v>
      </c>
      <c r="N261" s="7" t="s">
        <v>2732</v>
      </c>
      <c r="O261" s="7" t="s">
        <v>2733</v>
      </c>
      <c r="P261" s="7" t="s">
        <v>2734</v>
      </c>
      <c r="Q261">
        <v>80</v>
      </c>
      <c r="R261">
        <v>15</v>
      </c>
      <c r="X261">
        <v>-15</v>
      </c>
      <c r="Y261">
        <v>50</v>
      </c>
      <c r="Z261">
        <v>-15</v>
      </c>
      <c r="AA261">
        <v>24</v>
      </c>
      <c r="AG261" t="s">
        <v>57</v>
      </c>
      <c r="AH261" t="s">
        <v>63</v>
      </c>
      <c r="AL261" t="s">
        <v>684</v>
      </c>
      <c r="AN261" s="7" t="s">
        <v>2899</v>
      </c>
      <c r="AO261" s="7" t="s">
        <v>2900</v>
      </c>
      <c r="AQ261" t="s">
        <v>49</v>
      </c>
      <c r="AR261" t="s">
        <v>49</v>
      </c>
      <c r="AS261" t="s">
        <v>49</v>
      </c>
      <c r="AT261" t="s">
        <v>49</v>
      </c>
      <c r="AU261" t="s">
        <v>78</v>
      </c>
      <c r="AV261" s="7" t="s">
        <v>3021</v>
      </c>
      <c r="AW261" s="7" t="s">
        <v>3026</v>
      </c>
      <c r="AX261">
        <v>25</v>
      </c>
      <c r="AY261">
        <v>35</v>
      </c>
      <c r="AZ261">
        <v>10</v>
      </c>
      <c r="BE261" s="7" t="s">
        <v>3243</v>
      </c>
      <c r="BF261" t="s">
        <v>49</v>
      </c>
      <c r="BI261" t="s">
        <v>120</v>
      </c>
      <c r="BK261">
        <v>810</v>
      </c>
      <c r="BL261">
        <v>946</v>
      </c>
      <c r="BM261">
        <v>410</v>
      </c>
      <c r="BN261">
        <v>62.1</v>
      </c>
      <c r="BO261">
        <v>67.7</v>
      </c>
      <c r="BP261">
        <v>875</v>
      </c>
      <c r="BQ261">
        <v>1090</v>
      </c>
      <c r="BR261">
        <v>500</v>
      </c>
    </row>
    <row r="262" spans="1:101" x14ac:dyDescent="0.25">
      <c r="A262" t="s">
        <v>1191</v>
      </c>
      <c r="B262" t="s">
        <v>678</v>
      </c>
      <c r="C262" t="s">
        <v>526</v>
      </c>
      <c r="D262" t="s">
        <v>1192</v>
      </c>
      <c r="E262" t="s">
        <v>2151</v>
      </c>
      <c r="F262" t="s">
        <v>1169</v>
      </c>
      <c r="G262" t="s">
        <v>41</v>
      </c>
      <c r="H262">
        <v>182400</v>
      </c>
      <c r="I262" t="s">
        <v>3629</v>
      </c>
      <c r="J262" t="s">
        <v>1170</v>
      </c>
      <c r="K262" t="s">
        <v>230</v>
      </c>
      <c r="L262" t="s">
        <v>44</v>
      </c>
      <c r="M262" s="7" t="s">
        <v>2351</v>
      </c>
      <c r="N262" s="7" t="s">
        <v>2735</v>
      </c>
      <c r="O262" s="7" t="s">
        <v>2736</v>
      </c>
      <c r="P262" s="7" t="s">
        <v>2737</v>
      </c>
      <c r="Q262">
        <v>80</v>
      </c>
      <c r="R262">
        <v>15</v>
      </c>
      <c r="U262">
        <v>4</v>
      </c>
      <c r="X262">
        <v>-15</v>
      </c>
      <c r="Y262">
        <v>50</v>
      </c>
      <c r="Z262">
        <v>-15</v>
      </c>
      <c r="AA262">
        <v>24</v>
      </c>
      <c r="AG262" t="s">
        <v>2948</v>
      </c>
      <c r="AH262" t="s">
        <v>63</v>
      </c>
      <c r="AL262" t="s">
        <v>684</v>
      </c>
      <c r="AN262" s="7" t="s">
        <v>2899</v>
      </c>
      <c r="AO262" s="7" t="s">
        <v>2900</v>
      </c>
      <c r="AQ262" t="s">
        <v>49</v>
      </c>
      <c r="AR262" t="s">
        <v>49</v>
      </c>
      <c r="AS262" t="s">
        <v>49</v>
      </c>
      <c r="AT262" t="s">
        <v>49</v>
      </c>
      <c r="AU262" t="s">
        <v>78</v>
      </c>
      <c r="AV262" s="7" t="s">
        <v>3021</v>
      </c>
      <c r="AW262" s="7" t="s">
        <v>3026</v>
      </c>
      <c r="AX262">
        <v>25</v>
      </c>
      <c r="AY262">
        <v>35</v>
      </c>
      <c r="AZ262">
        <v>10</v>
      </c>
      <c r="BE262" s="7" t="s">
        <v>3244</v>
      </c>
      <c r="BF262" t="s">
        <v>49</v>
      </c>
      <c r="BI262" t="s">
        <v>120</v>
      </c>
      <c r="BK262">
        <v>810</v>
      </c>
      <c r="BL262">
        <v>946</v>
      </c>
      <c r="BM262">
        <v>410</v>
      </c>
      <c r="BN262">
        <v>68.8</v>
      </c>
      <c r="BO262">
        <v>75.599999999999994</v>
      </c>
      <c r="BP262">
        <v>875</v>
      </c>
      <c r="BQ262">
        <v>1090</v>
      </c>
      <c r="BR262">
        <v>500</v>
      </c>
    </row>
    <row r="263" spans="1:101" x14ac:dyDescent="0.25">
      <c r="A263" t="s">
        <v>1193</v>
      </c>
      <c r="B263" t="s">
        <v>678</v>
      </c>
      <c r="C263" t="s">
        <v>526</v>
      </c>
      <c r="D263" t="s">
        <v>1194</v>
      </c>
      <c r="E263" t="s">
        <v>2151</v>
      </c>
      <c r="F263" t="s">
        <v>1169</v>
      </c>
      <c r="G263" t="s">
        <v>41</v>
      </c>
      <c r="H263">
        <v>190800</v>
      </c>
      <c r="I263" t="s">
        <v>3629</v>
      </c>
      <c r="J263" t="s">
        <v>1170</v>
      </c>
      <c r="K263" t="s">
        <v>230</v>
      </c>
      <c r="L263" t="s">
        <v>44</v>
      </c>
      <c r="M263" s="7" t="s">
        <v>2352</v>
      </c>
      <c r="N263" s="7" t="s">
        <v>2738</v>
      </c>
      <c r="O263" s="7" t="s">
        <v>2739</v>
      </c>
      <c r="P263" s="7" t="s">
        <v>2740</v>
      </c>
      <c r="Q263">
        <v>80</v>
      </c>
      <c r="R263">
        <v>15</v>
      </c>
      <c r="U263">
        <v>5</v>
      </c>
      <c r="X263">
        <v>-15</v>
      </c>
      <c r="Y263">
        <v>50</v>
      </c>
      <c r="Z263">
        <v>-15</v>
      </c>
      <c r="AA263">
        <v>24</v>
      </c>
      <c r="AG263" t="s">
        <v>2918</v>
      </c>
      <c r="AH263" t="s">
        <v>2938</v>
      </c>
      <c r="AL263" t="s">
        <v>684</v>
      </c>
      <c r="AN263" s="7" t="s">
        <v>2901</v>
      </c>
      <c r="AO263" s="7" t="s">
        <v>2902</v>
      </c>
      <c r="AQ263" t="s">
        <v>49</v>
      </c>
      <c r="AR263" t="s">
        <v>49</v>
      </c>
      <c r="AS263" t="s">
        <v>49</v>
      </c>
      <c r="AT263" t="s">
        <v>49</v>
      </c>
      <c r="AU263" t="s">
        <v>78</v>
      </c>
      <c r="AV263" s="7" t="s">
        <v>3021</v>
      </c>
      <c r="AW263" s="7" t="s">
        <v>3026</v>
      </c>
      <c r="AX263">
        <v>25</v>
      </c>
      <c r="AY263">
        <v>35</v>
      </c>
      <c r="AZ263">
        <v>10</v>
      </c>
      <c r="BE263" s="7" t="s">
        <v>3245</v>
      </c>
      <c r="BF263" t="s">
        <v>49</v>
      </c>
      <c r="BI263" t="s">
        <v>120</v>
      </c>
      <c r="BK263">
        <v>810</v>
      </c>
      <c r="BL263">
        <v>946</v>
      </c>
      <c r="BM263">
        <v>410</v>
      </c>
      <c r="BN263">
        <v>73.3</v>
      </c>
      <c r="BO263">
        <v>80.400000000000006</v>
      </c>
      <c r="BP263">
        <v>875</v>
      </c>
      <c r="BQ263">
        <v>1090</v>
      </c>
      <c r="BR263">
        <v>500</v>
      </c>
    </row>
    <row r="264" spans="1:101" x14ac:dyDescent="0.25">
      <c r="A264" t="s">
        <v>1195</v>
      </c>
      <c r="B264" t="s">
        <v>1196</v>
      </c>
      <c r="C264" t="s">
        <v>38</v>
      </c>
      <c r="D264" t="s">
        <v>1197</v>
      </c>
      <c r="E264" t="s">
        <v>2147</v>
      </c>
      <c r="F264" t="s">
        <v>1198</v>
      </c>
      <c r="G264" t="s">
        <v>75</v>
      </c>
      <c r="H264">
        <v>23200</v>
      </c>
      <c r="I264" t="s">
        <v>3630</v>
      </c>
      <c r="J264" t="s">
        <v>1199</v>
      </c>
      <c r="K264" t="s">
        <v>1200</v>
      </c>
      <c r="L264" t="s">
        <v>49</v>
      </c>
      <c r="M264" s="7">
        <v>2.0499999999999998</v>
      </c>
      <c r="N264" s="7">
        <v>2.2000000000000002</v>
      </c>
      <c r="O264" s="7">
        <v>0.64</v>
      </c>
      <c r="P264" s="7">
        <v>0.61</v>
      </c>
      <c r="Q264">
        <v>15</v>
      </c>
      <c r="R264">
        <v>5</v>
      </c>
      <c r="U264">
        <v>1</v>
      </c>
      <c r="X264">
        <v>15</v>
      </c>
      <c r="Y264">
        <v>43</v>
      </c>
      <c r="Z264">
        <v>-7</v>
      </c>
      <c r="AA264">
        <v>24</v>
      </c>
      <c r="AD264">
        <v>6</v>
      </c>
      <c r="AE264" t="s">
        <v>3504</v>
      </c>
      <c r="AF264" t="s">
        <v>3505</v>
      </c>
      <c r="AL264" t="s">
        <v>684</v>
      </c>
      <c r="AN264" s="7">
        <v>6.35</v>
      </c>
      <c r="AO264" s="7">
        <v>9.52</v>
      </c>
      <c r="AP264" s="7">
        <v>16</v>
      </c>
      <c r="AQ264" t="s">
        <v>49</v>
      </c>
      <c r="AR264" t="s">
        <v>49</v>
      </c>
      <c r="AS264" t="s">
        <v>49</v>
      </c>
      <c r="AT264" t="s">
        <v>49</v>
      </c>
      <c r="AU264" t="s">
        <v>50</v>
      </c>
      <c r="AV264" s="7" t="s">
        <v>3019</v>
      </c>
      <c r="AW264" s="7" t="s">
        <v>3023</v>
      </c>
      <c r="AX264">
        <v>10</v>
      </c>
      <c r="BE264" s="7" t="s">
        <v>3157</v>
      </c>
      <c r="BF264" t="s">
        <v>49</v>
      </c>
      <c r="BH264">
        <v>21</v>
      </c>
      <c r="BI264" t="s">
        <v>120</v>
      </c>
      <c r="BS264" t="s">
        <v>1201</v>
      </c>
      <c r="CH264">
        <v>498</v>
      </c>
      <c r="CI264">
        <v>520</v>
      </c>
      <c r="CJ264">
        <v>777</v>
      </c>
      <c r="CK264">
        <v>818</v>
      </c>
      <c r="CL264">
        <v>290</v>
      </c>
      <c r="CM264">
        <v>325</v>
      </c>
      <c r="CN264" s="2">
        <v>22</v>
      </c>
      <c r="CO264">
        <v>25</v>
      </c>
      <c r="CP264" s="2">
        <v>255</v>
      </c>
      <c r="CQ264">
        <v>325</v>
      </c>
      <c r="CR264">
        <v>698</v>
      </c>
      <c r="CS264">
        <v>764</v>
      </c>
      <c r="CT264">
        <v>190</v>
      </c>
      <c r="CU264">
        <v>257</v>
      </c>
      <c r="CV264" s="7">
        <v>7</v>
      </c>
      <c r="CW264" s="7">
        <v>8.5</v>
      </c>
    </row>
    <row r="265" spans="1:101" x14ac:dyDescent="0.25">
      <c r="A265" t="s">
        <v>1202</v>
      </c>
      <c r="B265" t="s">
        <v>1196</v>
      </c>
      <c r="C265" t="s">
        <v>38</v>
      </c>
      <c r="D265" t="s">
        <v>1203</v>
      </c>
      <c r="E265" t="s">
        <v>2147</v>
      </c>
      <c r="F265" t="s">
        <v>1198</v>
      </c>
      <c r="G265" t="s">
        <v>41</v>
      </c>
      <c r="H265">
        <v>23200</v>
      </c>
      <c r="I265" t="s">
        <v>3630</v>
      </c>
      <c r="J265" t="s">
        <v>1199</v>
      </c>
      <c r="K265" t="s">
        <v>1200</v>
      </c>
      <c r="L265" t="s">
        <v>49</v>
      </c>
      <c r="M265" s="7">
        <v>2.2000000000000002</v>
      </c>
      <c r="N265" s="7">
        <v>2.2000000000000002</v>
      </c>
      <c r="O265" s="7">
        <v>0.68500000000000005</v>
      </c>
      <c r="P265" s="7">
        <v>0.60899999999999999</v>
      </c>
      <c r="Q265">
        <v>15</v>
      </c>
      <c r="R265">
        <v>5</v>
      </c>
      <c r="X265">
        <v>15</v>
      </c>
      <c r="Y265">
        <v>43</v>
      </c>
      <c r="Z265">
        <v>-7</v>
      </c>
      <c r="AA265">
        <v>24</v>
      </c>
      <c r="AE265" t="s">
        <v>3504</v>
      </c>
      <c r="AF265" t="s">
        <v>3505</v>
      </c>
      <c r="AL265" t="s">
        <v>684</v>
      </c>
      <c r="AN265" s="7">
        <v>6.35</v>
      </c>
      <c r="AO265" s="7">
        <v>9.52</v>
      </c>
      <c r="AP265" s="7">
        <v>16</v>
      </c>
      <c r="AQ265" t="s">
        <v>49</v>
      </c>
      <c r="AR265" t="s">
        <v>49</v>
      </c>
      <c r="AS265" t="s">
        <v>49</v>
      </c>
      <c r="AT265" t="s">
        <v>49</v>
      </c>
      <c r="AU265" t="s">
        <v>50</v>
      </c>
      <c r="AV265" s="7" t="s">
        <v>3019</v>
      </c>
      <c r="AW265" s="7" t="s">
        <v>3023</v>
      </c>
      <c r="AX265">
        <v>10</v>
      </c>
      <c r="BE265" s="7" t="s">
        <v>3246</v>
      </c>
      <c r="BF265" t="s">
        <v>49</v>
      </c>
      <c r="BH265">
        <v>22</v>
      </c>
      <c r="BI265" t="s">
        <v>120</v>
      </c>
      <c r="BS265" t="s">
        <v>1204</v>
      </c>
      <c r="CH265">
        <v>459</v>
      </c>
      <c r="CI265">
        <v>481</v>
      </c>
      <c r="CJ265">
        <v>712</v>
      </c>
      <c r="CK265">
        <v>765</v>
      </c>
      <c r="CL265">
        <v>276</v>
      </c>
      <c r="CM265">
        <v>310</v>
      </c>
      <c r="CN265" s="2">
        <v>20</v>
      </c>
      <c r="CO265">
        <v>23</v>
      </c>
      <c r="CP265" s="2">
        <v>250</v>
      </c>
      <c r="CQ265">
        <v>320</v>
      </c>
      <c r="CR265">
        <v>777</v>
      </c>
      <c r="CS265">
        <v>850</v>
      </c>
      <c r="CT265">
        <v>201</v>
      </c>
      <c r="CU265">
        <v>275</v>
      </c>
      <c r="CV265" s="7">
        <v>7.5</v>
      </c>
      <c r="CW265" s="7">
        <v>9.5</v>
      </c>
    </row>
    <row r="266" spans="1:101" x14ac:dyDescent="0.25">
      <c r="A266" t="s">
        <v>1205</v>
      </c>
      <c r="B266" t="s">
        <v>1196</v>
      </c>
      <c r="C266" t="s">
        <v>38</v>
      </c>
      <c r="D266" t="s">
        <v>1206</v>
      </c>
      <c r="E266" t="s">
        <v>2147</v>
      </c>
      <c r="F266" t="s">
        <v>1198</v>
      </c>
      <c r="G266" t="s">
        <v>75</v>
      </c>
      <c r="H266">
        <v>26000</v>
      </c>
      <c r="I266" t="s">
        <v>3630</v>
      </c>
      <c r="J266" t="s">
        <v>1199</v>
      </c>
      <c r="K266" t="s">
        <v>1200</v>
      </c>
      <c r="L266" t="s">
        <v>49</v>
      </c>
      <c r="M266" s="7">
        <v>2.64</v>
      </c>
      <c r="N266" s="7">
        <v>2.8</v>
      </c>
      <c r="O266" s="7">
        <v>0.82</v>
      </c>
      <c r="P266" s="7">
        <v>0.77500000000000002</v>
      </c>
      <c r="Q266">
        <v>15</v>
      </c>
      <c r="R266">
        <v>5</v>
      </c>
      <c r="U266">
        <v>1</v>
      </c>
      <c r="X266">
        <v>15</v>
      </c>
      <c r="Y266">
        <v>43</v>
      </c>
      <c r="Z266">
        <v>-7</v>
      </c>
      <c r="AA266">
        <v>24</v>
      </c>
      <c r="AD266">
        <v>9</v>
      </c>
      <c r="AE266" t="s">
        <v>3503</v>
      </c>
      <c r="AF266" t="s">
        <v>3505</v>
      </c>
      <c r="AL266" t="s">
        <v>1207</v>
      </c>
      <c r="AN266" s="7">
        <v>6.35</v>
      </c>
      <c r="AO266" s="7">
        <v>9.52</v>
      </c>
      <c r="AP266" s="7">
        <v>16</v>
      </c>
      <c r="AQ266" t="s">
        <v>49</v>
      </c>
      <c r="AR266" t="s">
        <v>49</v>
      </c>
      <c r="AS266" t="s">
        <v>49</v>
      </c>
      <c r="AT266" t="s">
        <v>49</v>
      </c>
      <c r="AU266" t="s">
        <v>50</v>
      </c>
      <c r="AV266" s="7" t="s">
        <v>3019</v>
      </c>
      <c r="AW266" s="7" t="s">
        <v>3023</v>
      </c>
      <c r="AX266">
        <v>10</v>
      </c>
      <c r="BE266" s="7" t="s">
        <v>3247</v>
      </c>
      <c r="BF266" t="s">
        <v>49</v>
      </c>
      <c r="BH266">
        <v>26</v>
      </c>
      <c r="BI266" t="s">
        <v>120</v>
      </c>
      <c r="BS266" t="s">
        <v>1208</v>
      </c>
      <c r="CH266">
        <v>498</v>
      </c>
      <c r="CI266">
        <v>520</v>
      </c>
      <c r="CJ266">
        <v>777</v>
      </c>
      <c r="CK266">
        <v>818</v>
      </c>
      <c r="CL266">
        <v>290</v>
      </c>
      <c r="CM266">
        <v>325</v>
      </c>
      <c r="CN266" s="2">
        <v>24</v>
      </c>
      <c r="CO266">
        <v>27</v>
      </c>
      <c r="CP266" s="2">
        <v>255</v>
      </c>
      <c r="CQ266">
        <v>325</v>
      </c>
      <c r="CR266">
        <v>698</v>
      </c>
      <c r="CS266">
        <v>764</v>
      </c>
      <c r="CT266">
        <v>190</v>
      </c>
      <c r="CU266">
        <v>257</v>
      </c>
      <c r="CV266" s="7">
        <v>7</v>
      </c>
      <c r="CW266" s="7">
        <v>8.5</v>
      </c>
    </row>
    <row r="267" spans="1:101" x14ac:dyDescent="0.25">
      <c r="A267" t="s">
        <v>1209</v>
      </c>
      <c r="B267" t="s">
        <v>1196</v>
      </c>
      <c r="C267" t="s">
        <v>38</v>
      </c>
      <c r="D267" t="s">
        <v>1210</v>
      </c>
      <c r="E267" t="s">
        <v>2147</v>
      </c>
      <c r="F267" t="s">
        <v>1198</v>
      </c>
      <c r="G267" t="s">
        <v>41</v>
      </c>
      <c r="H267">
        <v>26000</v>
      </c>
      <c r="I267" t="s">
        <v>3630</v>
      </c>
      <c r="J267" t="s">
        <v>1199</v>
      </c>
      <c r="K267" t="s">
        <v>1200</v>
      </c>
      <c r="L267" t="s">
        <v>49</v>
      </c>
      <c r="M267" s="7">
        <v>2.64</v>
      </c>
      <c r="N267" s="7">
        <v>2.78</v>
      </c>
      <c r="O267" s="7">
        <v>0.82199999999999995</v>
      </c>
      <c r="P267" s="7">
        <v>0.77</v>
      </c>
      <c r="Q267">
        <v>15</v>
      </c>
      <c r="R267">
        <v>5</v>
      </c>
      <c r="X267">
        <v>15</v>
      </c>
      <c r="Y267">
        <v>43</v>
      </c>
      <c r="Z267">
        <v>-7</v>
      </c>
      <c r="AA267">
        <v>24</v>
      </c>
      <c r="AE267" t="s">
        <v>3504</v>
      </c>
      <c r="AF267" t="s">
        <v>3505</v>
      </c>
      <c r="AL267" t="s">
        <v>684</v>
      </c>
      <c r="AN267" s="7">
        <v>6.35</v>
      </c>
      <c r="AO267" s="7">
        <v>9.52</v>
      </c>
      <c r="AP267" s="7">
        <v>16</v>
      </c>
      <c r="AQ267" t="s">
        <v>49</v>
      </c>
      <c r="AR267" t="s">
        <v>49</v>
      </c>
      <c r="AS267" t="s">
        <v>49</v>
      </c>
      <c r="AT267" t="s">
        <v>49</v>
      </c>
      <c r="AU267" t="s">
        <v>50</v>
      </c>
      <c r="AV267" s="7" t="s">
        <v>3019</v>
      </c>
      <c r="AW267" s="7" t="s">
        <v>3023</v>
      </c>
      <c r="AX267">
        <v>10</v>
      </c>
      <c r="BE267" s="7" t="s">
        <v>3248</v>
      </c>
      <c r="BF267" t="s">
        <v>49</v>
      </c>
      <c r="BH267">
        <v>26</v>
      </c>
      <c r="BI267" t="s">
        <v>120</v>
      </c>
      <c r="BS267" t="s">
        <v>1204</v>
      </c>
      <c r="CH267">
        <v>459</v>
      </c>
      <c r="CI267">
        <v>481</v>
      </c>
      <c r="CJ267">
        <v>712</v>
      </c>
      <c r="CK267">
        <v>765</v>
      </c>
      <c r="CL267">
        <v>276</v>
      </c>
      <c r="CM267">
        <v>310</v>
      </c>
      <c r="CN267" s="2">
        <v>22</v>
      </c>
      <c r="CO267">
        <v>25</v>
      </c>
      <c r="CP267" s="2">
        <v>250</v>
      </c>
      <c r="CQ267">
        <v>320</v>
      </c>
      <c r="CR267">
        <v>777</v>
      </c>
      <c r="CS267">
        <v>850</v>
      </c>
      <c r="CT267">
        <v>201</v>
      </c>
      <c r="CU267">
        <v>275</v>
      </c>
      <c r="CV267" s="7">
        <v>7.5</v>
      </c>
      <c r="CW267" s="7">
        <v>9.5</v>
      </c>
    </row>
    <row r="268" spans="1:101" x14ac:dyDescent="0.25">
      <c r="A268" t="s">
        <v>1211</v>
      </c>
      <c r="B268" t="s">
        <v>1196</v>
      </c>
      <c r="C268" t="s">
        <v>38</v>
      </c>
      <c r="D268" t="s">
        <v>1212</v>
      </c>
      <c r="E268" t="s">
        <v>2147</v>
      </c>
      <c r="F268" t="s">
        <v>1198</v>
      </c>
      <c r="G268" t="s">
        <v>75</v>
      </c>
      <c r="H268">
        <v>32300</v>
      </c>
      <c r="I268" t="s">
        <v>3630</v>
      </c>
      <c r="J268" t="s">
        <v>1199</v>
      </c>
      <c r="K268" t="s">
        <v>1200</v>
      </c>
      <c r="L268" t="s">
        <v>49</v>
      </c>
      <c r="M268" s="7">
        <v>3.52</v>
      </c>
      <c r="N268" s="7">
        <v>3.7</v>
      </c>
      <c r="O268" s="7">
        <v>1.1000000000000001</v>
      </c>
      <c r="P268" s="7">
        <v>1.02</v>
      </c>
      <c r="Q268">
        <v>15</v>
      </c>
      <c r="R268">
        <v>5</v>
      </c>
      <c r="U268">
        <v>1</v>
      </c>
      <c r="X268">
        <v>15</v>
      </c>
      <c r="Y268">
        <v>43</v>
      </c>
      <c r="Z268">
        <v>-7</v>
      </c>
      <c r="AA268">
        <v>24</v>
      </c>
      <c r="AD268">
        <v>15</v>
      </c>
      <c r="AE268" t="s">
        <v>3504</v>
      </c>
      <c r="AF268" t="s">
        <v>3591</v>
      </c>
      <c r="AL268" t="s">
        <v>684</v>
      </c>
      <c r="AN268" s="7">
        <v>6.35</v>
      </c>
      <c r="AO268" s="7">
        <v>9.52</v>
      </c>
      <c r="AP268" s="7">
        <v>16</v>
      </c>
      <c r="AQ268" t="s">
        <v>49</v>
      </c>
      <c r="AR268" t="s">
        <v>49</v>
      </c>
      <c r="AS268" t="s">
        <v>49</v>
      </c>
      <c r="AT268" t="s">
        <v>49</v>
      </c>
      <c r="AU268" t="s">
        <v>50</v>
      </c>
      <c r="AV268" s="7" t="s">
        <v>3019</v>
      </c>
      <c r="AW268" s="7" t="s">
        <v>3023</v>
      </c>
      <c r="AX268">
        <v>16</v>
      </c>
      <c r="BE268" s="7" t="s">
        <v>3249</v>
      </c>
      <c r="BF268" t="s">
        <v>49</v>
      </c>
      <c r="BH268">
        <v>35</v>
      </c>
      <c r="BI268" t="s">
        <v>120</v>
      </c>
      <c r="BS268" t="s">
        <v>1213</v>
      </c>
      <c r="CH268">
        <v>498</v>
      </c>
      <c r="CI268">
        <v>520</v>
      </c>
      <c r="CJ268">
        <v>777</v>
      </c>
      <c r="CK268">
        <v>818</v>
      </c>
      <c r="CL268">
        <v>290</v>
      </c>
      <c r="CM268">
        <v>325</v>
      </c>
      <c r="CN268" s="2">
        <v>25</v>
      </c>
      <c r="CO268">
        <v>28</v>
      </c>
      <c r="CP268" s="2">
        <v>250</v>
      </c>
      <c r="CQ268">
        <v>315</v>
      </c>
      <c r="CR268">
        <v>777</v>
      </c>
      <c r="CS268">
        <v>840</v>
      </c>
      <c r="CT268">
        <v>201</v>
      </c>
      <c r="CU268">
        <v>260</v>
      </c>
      <c r="CV268" s="7">
        <v>7.5</v>
      </c>
      <c r="CW268" s="7">
        <v>10</v>
      </c>
    </row>
    <row r="269" spans="1:101" x14ac:dyDescent="0.25">
      <c r="A269" t="s">
        <v>1214</v>
      </c>
      <c r="B269" t="s">
        <v>1196</v>
      </c>
      <c r="C269" t="s">
        <v>38</v>
      </c>
      <c r="D269" t="s">
        <v>1215</v>
      </c>
      <c r="E269" t="s">
        <v>2147</v>
      </c>
      <c r="F269" t="s">
        <v>1198</v>
      </c>
      <c r="G269" t="s">
        <v>41</v>
      </c>
      <c r="H269">
        <v>32300</v>
      </c>
      <c r="I269" t="s">
        <v>3630</v>
      </c>
      <c r="J269" t="s">
        <v>1199</v>
      </c>
      <c r="K269" t="s">
        <v>1200</v>
      </c>
      <c r="L269" t="s">
        <v>49</v>
      </c>
      <c r="M269" s="7">
        <v>3.52</v>
      </c>
      <c r="N269" s="7">
        <v>3.66</v>
      </c>
      <c r="O269" s="7">
        <v>1.095</v>
      </c>
      <c r="P269" s="7">
        <v>1.0129999999999999</v>
      </c>
      <c r="Q269">
        <v>15</v>
      </c>
      <c r="R269">
        <v>5</v>
      </c>
      <c r="X269">
        <v>15</v>
      </c>
      <c r="Y269">
        <v>43</v>
      </c>
      <c r="Z269">
        <v>-7</v>
      </c>
      <c r="AA269">
        <v>24</v>
      </c>
      <c r="AE269" t="s">
        <v>3504</v>
      </c>
      <c r="AF269" t="s">
        <v>3505</v>
      </c>
      <c r="AL269" t="s">
        <v>684</v>
      </c>
      <c r="AN269" s="7">
        <v>6.35</v>
      </c>
      <c r="AO269" s="7">
        <v>9.52</v>
      </c>
      <c r="AP269" s="7">
        <v>16</v>
      </c>
      <c r="AQ269" t="s">
        <v>49</v>
      </c>
      <c r="AR269" t="s">
        <v>49</v>
      </c>
      <c r="AS269" t="s">
        <v>49</v>
      </c>
      <c r="AT269" t="s">
        <v>49</v>
      </c>
      <c r="AU269" t="s">
        <v>50</v>
      </c>
      <c r="AV269" s="7" t="s">
        <v>3019</v>
      </c>
      <c r="AW269" s="7" t="s">
        <v>3023</v>
      </c>
      <c r="AX269">
        <v>16</v>
      </c>
      <c r="BE269" s="7" t="s">
        <v>3250</v>
      </c>
      <c r="BF269" t="s">
        <v>49</v>
      </c>
      <c r="BH269">
        <v>35</v>
      </c>
      <c r="BI269" t="s">
        <v>120</v>
      </c>
      <c r="BS269" t="s">
        <v>1204</v>
      </c>
      <c r="CH269">
        <v>498</v>
      </c>
      <c r="CI269">
        <v>520</v>
      </c>
      <c r="CJ269">
        <v>777</v>
      </c>
      <c r="CK269">
        <v>818</v>
      </c>
      <c r="CL269">
        <v>290</v>
      </c>
      <c r="CM269">
        <v>325</v>
      </c>
      <c r="CN269" s="2">
        <v>24</v>
      </c>
      <c r="CO269">
        <v>27</v>
      </c>
      <c r="CP269" s="2">
        <v>250</v>
      </c>
      <c r="CQ269">
        <v>320</v>
      </c>
      <c r="CR269">
        <v>777</v>
      </c>
      <c r="CS269">
        <v>850</v>
      </c>
      <c r="CT269">
        <v>201</v>
      </c>
      <c r="CU269">
        <v>275</v>
      </c>
      <c r="CV269" s="7">
        <v>8</v>
      </c>
      <c r="CW269" s="7">
        <v>10</v>
      </c>
    </row>
    <row r="270" spans="1:101" x14ac:dyDescent="0.25">
      <c r="A270" t="s">
        <v>1216</v>
      </c>
      <c r="B270" t="s">
        <v>1196</v>
      </c>
      <c r="C270" t="s">
        <v>38</v>
      </c>
      <c r="D270" t="s">
        <v>1217</v>
      </c>
      <c r="E270" t="s">
        <v>2147</v>
      </c>
      <c r="F270" t="s">
        <v>1198</v>
      </c>
      <c r="G270" t="s">
        <v>75</v>
      </c>
      <c r="H270">
        <v>51400</v>
      </c>
      <c r="I270" t="s">
        <v>3630</v>
      </c>
      <c r="J270" t="s">
        <v>1199</v>
      </c>
      <c r="K270" t="s">
        <v>1200</v>
      </c>
      <c r="L270" t="s">
        <v>49</v>
      </c>
      <c r="M270" s="7">
        <v>5.28</v>
      </c>
      <c r="N270" s="7">
        <v>5.42</v>
      </c>
      <c r="O270" s="7">
        <v>1.64</v>
      </c>
      <c r="P270" s="7">
        <v>1.5</v>
      </c>
      <c r="Q270">
        <v>15</v>
      </c>
      <c r="R270">
        <v>5</v>
      </c>
      <c r="U270">
        <v>1</v>
      </c>
      <c r="X270">
        <v>15</v>
      </c>
      <c r="Y270">
        <v>43</v>
      </c>
      <c r="Z270">
        <v>-7</v>
      </c>
      <c r="AA270">
        <v>24</v>
      </c>
      <c r="AD270">
        <v>20</v>
      </c>
      <c r="AE270" t="s">
        <v>3560</v>
      </c>
      <c r="AF270" t="s">
        <v>3505</v>
      </c>
      <c r="AL270" t="s">
        <v>1218</v>
      </c>
      <c r="AN270" s="7">
        <v>6.35</v>
      </c>
      <c r="AO270" s="7">
        <v>12.7</v>
      </c>
      <c r="AP270" s="7">
        <v>16</v>
      </c>
      <c r="AQ270" t="s">
        <v>49</v>
      </c>
      <c r="AR270" t="s">
        <v>49</v>
      </c>
      <c r="AS270" t="s">
        <v>49</v>
      </c>
      <c r="AT270" t="s">
        <v>49</v>
      </c>
      <c r="AU270" t="s">
        <v>50</v>
      </c>
      <c r="AV270" s="7" t="s">
        <v>3019</v>
      </c>
      <c r="AW270" s="7" t="s">
        <v>3023</v>
      </c>
      <c r="AX270">
        <v>20</v>
      </c>
      <c r="BE270" s="7" t="s">
        <v>3251</v>
      </c>
      <c r="BF270" t="s">
        <v>49</v>
      </c>
      <c r="BH270">
        <v>53</v>
      </c>
      <c r="BI270" t="s">
        <v>120</v>
      </c>
      <c r="BS270" t="s">
        <v>1219</v>
      </c>
      <c r="CH270">
        <v>602</v>
      </c>
      <c r="CI270">
        <v>628</v>
      </c>
      <c r="CJ270">
        <v>853</v>
      </c>
      <c r="CK270">
        <v>890</v>
      </c>
      <c r="CL270">
        <v>349</v>
      </c>
      <c r="CM270">
        <v>385</v>
      </c>
      <c r="CN270" s="2">
        <v>38</v>
      </c>
      <c r="CO270">
        <v>42</v>
      </c>
      <c r="CP270" s="2">
        <v>294</v>
      </c>
      <c r="CQ270">
        <v>372</v>
      </c>
      <c r="CR270">
        <v>910</v>
      </c>
      <c r="CS270">
        <v>979</v>
      </c>
      <c r="CT270">
        <v>206</v>
      </c>
      <c r="CU270">
        <v>277</v>
      </c>
      <c r="CV270" s="7">
        <v>10</v>
      </c>
      <c r="CW270" s="7">
        <v>13</v>
      </c>
    </row>
    <row r="271" spans="1:101" x14ac:dyDescent="0.25">
      <c r="A271" t="s">
        <v>1220</v>
      </c>
      <c r="B271" t="s">
        <v>1196</v>
      </c>
      <c r="C271" t="s">
        <v>38</v>
      </c>
      <c r="D271" t="s">
        <v>1221</v>
      </c>
      <c r="E271" t="s">
        <v>2147</v>
      </c>
      <c r="F271" t="s">
        <v>1198</v>
      </c>
      <c r="G271" t="s">
        <v>41</v>
      </c>
      <c r="H271">
        <v>51400</v>
      </c>
      <c r="I271" t="s">
        <v>3630</v>
      </c>
      <c r="J271" t="s">
        <v>1199</v>
      </c>
      <c r="K271" t="s">
        <v>1200</v>
      </c>
      <c r="L271" t="s">
        <v>49</v>
      </c>
      <c r="M271" s="7">
        <v>5.28</v>
      </c>
      <c r="N271" s="7">
        <v>5.42</v>
      </c>
      <c r="O271" s="7">
        <v>1.645</v>
      </c>
      <c r="P271" s="7">
        <v>1.5</v>
      </c>
      <c r="Q271">
        <v>15</v>
      </c>
      <c r="R271">
        <v>5</v>
      </c>
      <c r="X271">
        <v>15</v>
      </c>
      <c r="Y271">
        <v>43</v>
      </c>
      <c r="Z271">
        <v>-7</v>
      </c>
      <c r="AA271">
        <v>24</v>
      </c>
      <c r="AE271" t="s">
        <v>3504</v>
      </c>
      <c r="AF271" t="s">
        <v>3505</v>
      </c>
      <c r="AL271" t="s">
        <v>1218</v>
      </c>
      <c r="AN271" s="7">
        <v>6.35</v>
      </c>
      <c r="AO271" s="7">
        <v>12.7</v>
      </c>
      <c r="AP271" s="7">
        <v>16</v>
      </c>
      <c r="AQ271" t="s">
        <v>49</v>
      </c>
      <c r="AR271" t="s">
        <v>49</v>
      </c>
      <c r="AS271" t="s">
        <v>49</v>
      </c>
      <c r="AT271" t="s">
        <v>49</v>
      </c>
      <c r="AU271" t="s">
        <v>50</v>
      </c>
      <c r="AV271" s="7" t="s">
        <v>3019</v>
      </c>
      <c r="AW271" s="7" t="s">
        <v>3023</v>
      </c>
      <c r="AX271">
        <v>20</v>
      </c>
      <c r="BE271" s="7" t="s">
        <v>3252</v>
      </c>
      <c r="BF271" t="s">
        <v>49</v>
      </c>
      <c r="BH271">
        <v>53</v>
      </c>
      <c r="BI271" t="s">
        <v>120</v>
      </c>
      <c r="BS271" t="s">
        <v>1222</v>
      </c>
      <c r="CH271">
        <v>602</v>
      </c>
      <c r="CI271">
        <v>628</v>
      </c>
      <c r="CJ271">
        <v>853</v>
      </c>
      <c r="CK271">
        <v>890</v>
      </c>
      <c r="CL271">
        <v>349</v>
      </c>
      <c r="CM271">
        <v>385</v>
      </c>
      <c r="CN271" s="2">
        <v>38</v>
      </c>
      <c r="CO271">
        <v>41</v>
      </c>
      <c r="CP271" s="2">
        <v>294</v>
      </c>
      <c r="CQ271">
        <v>372</v>
      </c>
      <c r="CR271">
        <v>910</v>
      </c>
      <c r="CS271">
        <v>979</v>
      </c>
      <c r="CT271">
        <v>206</v>
      </c>
      <c r="CU271">
        <v>277</v>
      </c>
      <c r="CV271" s="7">
        <v>10.5</v>
      </c>
      <c r="CW271" s="7">
        <v>12.5</v>
      </c>
    </row>
    <row r="272" spans="1:101" x14ac:dyDescent="0.25">
      <c r="A272" t="s">
        <v>1223</v>
      </c>
      <c r="B272" t="s">
        <v>1196</v>
      </c>
      <c r="C272" t="s">
        <v>38</v>
      </c>
      <c r="D272" t="s">
        <v>1224</v>
      </c>
      <c r="E272" t="s">
        <v>2147</v>
      </c>
      <c r="F272" t="s">
        <v>1198</v>
      </c>
      <c r="G272" t="s">
        <v>75</v>
      </c>
      <c r="H272">
        <v>65000</v>
      </c>
      <c r="I272" t="s">
        <v>3630</v>
      </c>
      <c r="J272" t="s">
        <v>1199</v>
      </c>
      <c r="K272" t="s">
        <v>1200</v>
      </c>
      <c r="L272" t="s">
        <v>49</v>
      </c>
      <c r="M272" s="7">
        <v>7.03</v>
      </c>
      <c r="N272" s="7">
        <v>7.18</v>
      </c>
      <c r="O272" s="7">
        <v>2.1800000000000002</v>
      </c>
      <c r="P272" s="7">
        <v>1.98</v>
      </c>
      <c r="Q272">
        <v>15</v>
      </c>
      <c r="R272">
        <v>5</v>
      </c>
      <c r="U272">
        <v>1</v>
      </c>
      <c r="X272">
        <v>15</v>
      </c>
      <c r="Y272">
        <v>43</v>
      </c>
      <c r="Z272">
        <v>-7</v>
      </c>
      <c r="AA272">
        <v>24</v>
      </c>
      <c r="AD272">
        <v>30</v>
      </c>
      <c r="AE272" t="s">
        <v>3503</v>
      </c>
      <c r="AF272" t="s">
        <v>3631</v>
      </c>
      <c r="AL272" t="s">
        <v>684</v>
      </c>
      <c r="AN272" s="7">
        <v>6.35</v>
      </c>
      <c r="AO272" s="7">
        <v>15.88</v>
      </c>
      <c r="AP272" s="7">
        <v>16</v>
      </c>
      <c r="AQ272" t="s">
        <v>49</v>
      </c>
      <c r="AR272" t="s">
        <v>49</v>
      </c>
      <c r="AS272" t="s">
        <v>49</v>
      </c>
      <c r="AT272" t="s">
        <v>49</v>
      </c>
      <c r="AU272" t="s">
        <v>50</v>
      </c>
      <c r="AV272" s="7" t="s">
        <v>3021</v>
      </c>
      <c r="AW272" s="7" t="s">
        <v>3031</v>
      </c>
      <c r="AX272">
        <v>25</v>
      </c>
      <c r="BE272" s="7" t="s">
        <v>3253</v>
      </c>
      <c r="BF272" t="s">
        <v>49</v>
      </c>
      <c r="BH272">
        <v>70</v>
      </c>
      <c r="BI272" t="s">
        <v>120</v>
      </c>
      <c r="BS272" t="s">
        <v>1225</v>
      </c>
      <c r="CH272">
        <v>655</v>
      </c>
      <c r="CI272">
        <v>715</v>
      </c>
      <c r="CJ272">
        <v>968</v>
      </c>
      <c r="CK272">
        <v>1015</v>
      </c>
      <c r="CL272">
        <v>375</v>
      </c>
      <c r="CM272">
        <v>425</v>
      </c>
      <c r="CN272" s="2">
        <v>50</v>
      </c>
      <c r="CO272">
        <v>54</v>
      </c>
      <c r="CP272" s="2">
        <v>315</v>
      </c>
      <c r="CQ272">
        <v>390</v>
      </c>
      <c r="CR272">
        <v>1010</v>
      </c>
      <c r="CS272">
        <v>1096</v>
      </c>
      <c r="CT272">
        <v>220</v>
      </c>
      <c r="CU272">
        <v>297</v>
      </c>
      <c r="CV272" s="7">
        <v>13</v>
      </c>
      <c r="CW272" s="7">
        <v>16</v>
      </c>
    </row>
    <row r="273" spans="1:101" x14ac:dyDescent="0.25">
      <c r="A273" t="s">
        <v>1226</v>
      </c>
      <c r="B273" t="s">
        <v>1196</v>
      </c>
      <c r="C273" t="s">
        <v>38</v>
      </c>
      <c r="D273" t="s">
        <v>1227</v>
      </c>
      <c r="E273" t="s">
        <v>2147</v>
      </c>
      <c r="F273" t="s">
        <v>1198</v>
      </c>
      <c r="G273" t="s">
        <v>41</v>
      </c>
      <c r="H273">
        <v>65000</v>
      </c>
      <c r="I273" t="s">
        <v>3630</v>
      </c>
      <c r="J273" t="s">
        <v>1199</v>
      </c>
      <c r="K273" t="s">
        <v>1200</v>
      </c>
      <c r="L273" t="s">
        <v>49</v>
      </c>
      <c r="M273" s="7">
        <v>7.03</v>
      </c>
      <c r="N273" s="7">
        <v>7.18</v>
      </c>
      <c r="O273" s="7">
        <v>2.19</v>
      </c>
      <c r="P273" s="7">
        <v>1.9850000000000001</v>
      </c>
      <c r="Q273">
        <v>15</v>
      </c>
      <c r="R273">
        <v>5</v>
      </c>
      <c r="X273">
        <v>15</v>
      </c>
      <c r="Y273">
        <v>43</v>
      </c>
      <c r="Z273">
        <v>-7</v>
      </c>
      <c r="AA273">
        <v>24</v>
      </c>
      <c r="AE273" t="s">
        <v>3504</v>
      </c>
      <c r="AF273" t="s">
        <v>3505</v>
      </c>
      <c r="AL273" t="s">
        <v>1218</v>
      </c>
      <c r="AN273" s="7">
        <v>6.35</v>
      </c>
      <c r="AO273" s="7">
        <v>15.88</v>
      </c>
      <c r="AP273" s="7">
        <v>16</v>
      </c>
      <c r="AQ273" t="s">
        <v>49</v>
      </c>
      <c r="AR273" t="s">
        <v>49</v>
      </c>
      <c r="AS273" t="s">
        <v>49</v>
      </c>
      <c r="AT273" t="s">
        <v>49</v>
      </c>
      <c r="AU273" t="s">
        <v>50</v>
      </c>
      <c r="AV273" s="7" t="s">
        <v>3021</v>
      </c>
      <c r="AW273" s="7" t="s">
        <v>3023</v>
      </c>
      <c r="AX273">
        <v>25</v>
      </c>
      <c r="BE273" s="7" t="s">
        <v>3254</v>
      </c>
      <c r="BF273" t="s">
        <v>49</v>
      </c>
      <c r="BH273">
        <v>70</v>
      </c>
      <c r="BI273" t="s">
        <v>120</v>
      </c>
      <c r="BS273" t="s">
        <v>1228</v>
      </c>
      <c r="CH273">
        <v>605</v>
      </c>
      <c r="CI273">
        <v>635</v>
      </c>
      <c r="CJ273">
        <v>886</v>
      </c>
      <c r="CK273">
        <v>930</v>
      </c>
      <c r="CL273">
        <v>357</v>
      </c>
      <c r="CM273">
        <v>380</v>
      </c>
      <c r="CN273" s="2">
        <v>43</v>
      </c>
      <c r="CO273">
        <v>46</v>
      </c>
      <c r="CP273" s="2">
        <v>315</v>
      </c>
      <c r="CQ273">
        <v>390</v>
      </c>
      <c r="CR273">
        <v>1010</v>
      </c>
      <c r="CS273">
        <v>1096</v>
      </c>
      <c r="CT273">
        <v>220</v>
      </c>
      <c r="CU273">
        <v>297</v>
      </c>
      <c r="CV273" s="7">
        <v>13</v>
      </c>
      <c r="CW273" s="7">
        <v>16</v>
      </c>
    </row>
    <row r="274" spans="1:101" x14ac:dyDescent="0.25">
      <c r="A274" t="s">
        <v>1229</v>
      </c>
      <c r="B274" t="s">
        <v>1196</v>
      </c>
      <c r="C274" t="s">
        <v>38</v>
      </c>
      <c r="D274" t="s">
        <v>1230</v>
      </c>
      <c r="E274" t="s">
        <v>2147</v>
      </c>
      <c r="F274" t="s">
        <v>1198</v>
      </c>
      <c r="G274" t="s">
        <v>75</v>
      </c>
      <c r="H274">
        <v>83700</v>
      </c>
      <c r="I274" t="s">
        <v>3630</v>
      </c>
      <c r="J274" t="s">
        <v>1199</v>
      </c>
      <c r="K274" t="s">
        <v>1200</v>
      </c>
      <c r="L274" t="s">
        <v>49</v>
      </c>
      <c r="M274" s="7">
        <v>8.2100000000000009</v>
      </c>
      <c r="N274" s="7">
        <v>8.35</v>
      </c>
      <c r="O274" s="7">
        <v>2.5499999999999998</v>
      </c>
      <c r="P274" s="7">
        <v>2.31</v>
      </c>
      <c r="Q274">
        <v>15</v>
      </c>
      <c r="R274">
        <v>5</v>
      </c>
      <c r="U274">
        <v>1</v>
      </c>
      <c r="X274">
        <v>15</v>
      </c>
      <c r="Y274">
        <v>43</v>
      </c>
      <c r="Z274">
        <v>-7</v>
      </c>
      <c r="AA274">
        <v>24</v>
      </c>
      <c r="AD274">
        <v>34</v>
      </c>
      <c r="AE274" t="s">
        <v>3503</v>
      </c>
      <c r="AF274" t="s">
        <v>3505</v>
      </c>
      <c r="AL274" t="s">
        <v>1218</v>
      </c>
      <c r="AN274" s="7">
        <v>9.52</v>
      </c>
      <c r="AO274" s="7">
        <v>15.88</v>
      </c>
      <c r="AP274" s="7">
        <v>16</v>
      </c>
      <c r="AQ274" t="s">
        <v>49</v>
      </c>
      <c r="AR274" t="s">
        <v>49</v>
      </c>
      <c r="AS274" t="s">
        <v>49</v>
      </c>
      <c r="AT274" t="s">
        <v>49</v>
      </c>
      <c r="AU274" t="s">
        <v>50</v>
      </c>
      <c r="AV274" s="7" t="s">
        <v>3021</v>
      </c>
      <c r="AW274" s="7" t="s">
        <v>3031</v>
      </c>
      <c r="AX274">
        <v>25</v>
      </c>
      <c r="BE274" s="7" t="s">
        <v>3255</v>
      </c>
      <c r="BF274" t="s">
        <v>49</v>
      </c>
      <c r="BH274">
        <v>82</v>
      </c>
      <c r="BI274" t="s">
        <v>120</v>
      </c>
      <c r="BS274" t="s">
        <v>1231</v>
      </c>
      <c r="CH274">
        <v>808</v>
      </c>
      <c r="CI274">
        <v>845</v>
      </c>
      <c r="CJ274">
        <v>953</v>
      </c>
      <c r="CK274">
        <v>1020</v>
      </c>
      <c r="CL274">
        <v>433</v>
      </c>
      <c r="CM274">
        <v>475</v>
      </c>
      <c r="CN274" s="2">
        <v>68</v>
      </c>
      <c r="CO274">
        <v>74</v>
      </c>
      <c r="CP274" s="2">
        <v>340</v>
      </c>
      <c r="CQ274">
        <v>420</v>
      </c>
      <c r="CR274">
        <v>1186</v>
      </c>
      <c r="CS274">
        <v>1262</v>
      </c>
      <c r="CT274">
        <v>258</v>
      </c>
      <c r="CU274">
        <v>337</v>
      </c>
      <c r="CV274" s="7">
        <v>18</v>
      </c>
      <c r="CW274" s="7">
        <v>22</v>
      </c>
    </row>
    <row r="275" spans="1:101" x14ac:dyDescent="0.25">
      <c r="A275" t="s">
        <v>1232</v>
      </c>
      <c r="B275" t="s">
        <v>1196</v>
      </c>
      <c r="C275" t="s">
        <v>38</v>
      </c>
      <c r="D275" t="s">
        <v>1233</v>
      </c>
      <c r="E275" t="s">
        <v>2147</v>
      </c>
      <c r="F275" t="s">
        <v>1234</v>
      </c>
      <c r="G275" t="s">
        <v>75</v>
      </c>
      <c r="H275">
        <v>41400</v>
      </c>
      <c r="I275" t="s">
        <v>3632</v>
      </c>
      <c r="J275" t="s">
        <v>1235</v>
      </c>
      <c r="K275" t="s">
        <v>1236</v>
      </c>
      <c r="L275" t="s">
        <v>44</v>
      </c>
      <c r="M275" s="7" t="s">
        <v>2353</v>
      </c>
      <c r="N275" s="7" t="s">
        <v>2741</v>
      </c>
      <c r="O275" s="7" t="s">
        <v>2742</v>
      </c>
      <c r="P275" s="7" t="s">
        <v>2743</v>
      </c>
      <c r="Q275">
        <v>15</v>
      </c>
      <c r="R275">
        <v>5</v>
      </c>
      <c r="U275">
        <v>1</v>
      </c>
      <c r="Y275">
        <v>53</v>
      </c>
      <c r="Z275">
        <v>-20</v>
      </c>
      <c r="AA275">
        <v>30</v>
      </c>
      <c r="AD275">
        <v>9</v>
      </c>
      <c r="AG275" t="s">
        <v>2974</v>
      </c>
      <c r="AH275" t="s">
        <v>659</v>
      </c>
      <c r="AL275" t="s">
        <v>684</v>
      </c>
      <c r="AN275" s="7">
        <v>6.35</v>
      </c>
      <c r="AO275" s="7">
        <v>9.52</v>
      </c>
      <c r="AP275" s="7">
        <v>17</v>
      </c>
      <c r="AQ275" t="s">
        <v>49</v>
      </c>
      <c r="AR275" t="s">
        <v>49</v>
      </c>
      <c r="AS275" t="s">
        <v>49</v>
      </c>
      <c r="AT275" t="s">
        <v>49</v>
      </c>
      <c r="AU275" t="s">
        <v>78</v>
      </c>
      <c r="AV275" s="7" t="s">
        <v>3019</v>
      </c>
      <c r="AW275" s="7" t="s">
        <v>3020</v>
      </c>
      <c r="AX275">
        <v>10</v>
      </c>
      <c r="BE275" s="7" t="s">
        <v>3256</v>
      </c>
      <c r="BF275" t="s">
        <v>49</v>
      </c>
      <c r="BH275">
        <v>26</v>
      </c>
      <c r="BI275" t="s">
        <v>120</v>
      </c>
      <c r="BS275" t="s">
        <v>1237</v>
      </c>
      <c r="CH275">
        <v>498</v>
      </c>
      <c r="CI275">
        <v>520</v>
      </c>
      <c r="CJ275">
        <v>777</v>
      </c>
      <c r="CK275">
        <v>818</v>
      </c>
      <c r="CL275">
        <v>290</v>
      </c>
      <c r="CM275">
        <v>325</v>
      </c>
      <c r="CN275" s="2">
        <v>22</v>
      </c>
      <c r="CO275">
        <v>25</v>
      </c>
      <c r="CP275" s="2">
        <v>255</v>
      </c>
      <c r="CQ275">
        <v>325</v>
      </c>
      <c r="CR275">
        <v>698</v>
      </c>
      <c r="CS275">
        <v>764</v>
      </c>
      <c r="CT275">
        <v>190</v>
      </c>
      <c r="CU275">
        <v>267</v>
      </c>
      <c r="CV275" s="7">
        <v>7</v>
      </c>
      <c r="CW275" s="7">
        <v>9</v>
      </c>
    </row>
    <row r="276" spans="1:101" x14ac:dyDescent="0.25">
      <c r="A276" t="s">
        <v>1238</v>
      </c>
      <c r="B276" t="s">
        <v>1196</v>
      </c>
      <c r="C276" t="s">
        <v>38</v>
      </c>
      <c r="D276" t="s">
        <v>1233</v>
      </c>
      <c r="E276" t="s">
        <v>2147</v>
      </c>
      <c r="F276" t="s">
        <v>1234</v>
      </c>
      <c r="G276" t="s">
        <v>75</v>
      </c>
      <c r="H276">
        <v>41400</v>
      </c>
      <c r="I276" t="s">
        <v>3632</v>
      </c>
      <c r="J276" t="s">
        <v>1235</v>
      </c>
      <c r="K276" t="s">
        <v>1236</v>
      </c>
      <c r="L276" t="s">
        <v>44</v>
      </c>
      <c r="M276" s="7" t="s">
        <v>2354</v>
      </c>
      <c r="N276" s="7" t="s">
        <v>2744</v>
      </c>
      <c r="O276" s="7" t="s">
        <v>2745</v>
      </c>
      <c r="P276" s="7" t="s">
        <v>2746</v>
      </c>
      <c r="Q276">
        <v>25</v>
      </c>
      <c r="R276">
        <v>10</v>
      </c>
      <c r="X276">
        <v>-15</v>
      </c>
      <c r="Y276">
        <v>53</v>
      </c>
      <c r="Z276">
        <v>-20</v>
      </c>
      <c r="AA276">
        <v>30</v>
      </c>
      <c r="AD276">
        <v>9</v>
      </c>
      <c r="AG276" t="s">
        <v>2922</v>
      </c>
      <c r="AH276" t="s">
        <v>63</v>
      </c>
      <c r="AL276" t="s">
        <v>1207</v>
      </c>
      <c r="AN276" s="7">
        <v>6.35</v>
      </c>
      <c r="AO276" s="7">
        <v>9.52</v>
      </c>
      <c r="AP276" s="7">
        <v>16</v>
      </c>
      <c r="AQ276" t="s">
        <v>49</v>
      </c>
      <c r="AR276" t="s">
        <v>49</v>
      </c>
      <c r="AS276" t="s">
        <v>49</v>
      </c>
      <c r="AT276" t="s">
        <v>49</v>
      </c>
      <c r="AU276" t="s">
        <v>78</v>
      </c>
      <c r="AV276" s="7" t="s">
        <v>3019</v>
      </c>
      <c r="AW276" s="7" t="s">
        <v>3020</v>
      </c>
      <c r="AX276">
        <v>10</v>
      </c>
      <c r="BE276" s="7" t="s">
        <v>3257</v>
      </c>
      <c r="BF276" t="s">
        <v>49</v>
      </c>
      <c r="BH276">
        <v>16</v>
      </c>
      <c r="BI276" t="s">
        <v>120</v>
      </c>
      <c r="BS276" t="s">
        <v>1239</v>
      </c>
      <c r="CH276">
        <v>498</v>
      </c>
      <c r="CI276">
        <v>520</v>
      </c>
      <c r="CJ276">
        <v>777</v>
      </c>
      <c r="CK276">
        <v>818</v>
      </c>
      <c r="CL276">
        <v>290</v>
      </c>
      <c r="CM276">
        <v>325</v>
      </c>
      <c r="CN276" s="2">
        <v>22</v>
      </c>
      <c r="CO276">
        <v>25</v>
      </c>
      <c r="CP276" s="2">
        <v>255</v>
      </c>
      <c r="CQ276">
        <v>325</v>
      </c>
      <c r="CR276">
        <v>698</v>
      </c>
      <c r="CS276">
        <v>764</v>
      </c>
      <c r="CT276">
        <v>190</v>
      </c>
      <c r="CU276">
        <v>267</v>
      </c>
      <c r="CV276" s="7">
        <v>7</v>
      </c>
      <c r="CW276" s="7">
        <v>9</v>
      </c>
    </row>
    <row r="277" spans="1:101" x14ac:dyDescent="0.25">
      <c r="A277" t="s">
        <v>1240</v>
      </c>
      <c r="B277" t="s">
        <v>1196</v>
      </c>
      <c r="C277" t="s">
        <v>38</v>
      </c>
      <c r="D277" t="s">
        <v>1241</v>
      </c>
      <c r="E277" t="s">
        <v>2147</v>
      </c>
      <c r="F277" t="s">
        <v>1234</v>
      </c>
      <c r="G277" t="s">
        <v>75</v>
      </c>
      <c r="H277">
        <v>44100</v>
      </c>
      <c r="I277" t="s">
        <v>3632</v>
      </c>
      <c r="J277" t="s">
        <v>1235</v>
      </c>
      <c r="K277" t="s">
        <v>1236</v>
      </c>
      <c r="L277" t="s">
        <v>44</v>
      </c>
      <c r="M277" s="7" t="s">
        <v>2355</v>
      </c>
      <c r="N277" s="7" t="s">
        <v>2747</v>
      </c>
      <c r="O277" s="7" t="s">
        <v>2748</v>
      </c>
      <c r="P277" s="7" t="s">
        <v>2749</v>
      </c>
      <c r="Q277">
        <v>15</v>
      </c>
      <c r="R277">
        <v>5</v>
      </c>
      <c r="U277">
        <v>1</v>
      </c>
      <c r="Y277">
        <v>53</v>
      </c>
      <c r="Z277">
        <v>-20</v>
      </c>
      <c r="AA277">
        <v>30</v>
      </c>
      <c r="AD277">
        <v>14</v>
      </c>
      <c r="AG277" t="s">
        <v>2974</v>
      </c>
      <c r="AH277" t="s">
        <v>659</v>
      </c>
      <c r="AL277" t="s">
        <v>684</v>
      </c>
      <c r="AN277" s="7">
        <v>6.35</v>
      </c>
      <c r="AO277" s="7">
        <v>9.52</v>
      </c>
      <c r="AP277" s="7">
        <v>17</v>
      </c>
      <c r="AQ277" t="s">
        <v>49</v>
      </c>
      <c r="AR277" t="s">
        <v>49</v>
      </c>
      <c r="AS277" t="s">
        <v>49</v>
      </c>
      <c r="AT277" t="s">
        <v>49</v>
      </c>
      <c r="AU277" t="s">
        <v>78</v>
      </c>
      <c r="AV277" s="7" t="s">
        <v>3019</v>
      </c>
      <c r="AW277" s="7" t="s">
        <v>3020</v>
      </c>
      <c r="AX277">
        <v>10</v>
      </c>
      <c r="BE277" s="7" t="s">
        <v>3258</v>
      </c>
      <c r="BF277" t="s">
        <v>49</v>
      </c>
      <c r="BH277">
        <v>34</v>
      </c>
      <c r="BI277" t="s">
        <v>120</v>
      </c>
      <c r="BS277" t="s">
        <v>1237</v>
      </c>
      <c r="CH277">
        <v>498</v>
      </c>
      <c r="CI277">
        <v>520</v>
      </c>
      <c r="CJ277">
        <v>777</v>
      </c>
      <c r="CK277">
        <v>818</v>
      </c>
      <c r="CL277">
        <v>290</v>
      </c>
      <c r="CM277">
        <v>325</v>
      </c>
      <c r="CN277" s="2">
        <v>22</v>
      </c>
      <c r="CO277">
        <v>25</v>
      </c>
      <c r="CP277" s="2">
        <v>250</v>
      </c>
      <c r="CQ277">
        <v>315</v>
      </c>
      <c r="CR277">
        <v>777</v>
      </c>
      <c r="CS277">
        <v>840</v>
      </c>
      <c r="CT277">
        <v>201</v>
      </c>
      <c r="CU277">
        <v>260</v>
      </c>
      <c r="CV277" s="7">
        <v>9</v>
      </c>
      <c r="CW277" s="7">
        <v>11</v>
      </c>
    </row>
    <row r="278" spans="1:101" x14ac:dyDescent="0.25">
      <c r="A278" t="s">
        <v>1242</v>
      </c>
      <c r="B278" t="s">
        <v>1196</v>
      </c>
      <c r="C278" t="s">
        <v>38</v>
      </c>
      <c r="D278" t="s">
        <v>1241</v>
      </c>
      <c r="E278" t="s">
        <v>2147</v>
      </c>
      <c r="F278" t="s">
        <v>1234</v>
      </c>
      <c r="G278" t="s">
        <v>75</v>
      </c>
      <c r="H278">
        <v>44100</v>
      </c>
      <c r="I278" t="s">
        <v>3632</v>
      </c>
      <c r="J278" t="s">
        <v>1235</v>
      </c>
      <c r="K278" t="s">
        <v>1236</v>
      </c>
      <c r="L278" t="s">
        <v>44</v>
      </c>
      <c r="M278" s="7" t="s">
        <v>2356</v>
      </c>
      <c r="N278" s="7" t="s">
        <v>2750</v>
      </c>
      <c r="O278" s="7" t="s">
        <v>2751</v>
      </c>
      <c r="P278" s="7" t="s">
        <v>2752</v>
      </c>
      <c r="Q278">
        <v>25</v>
      </c>
      <c r="R278">
        <v>10</v>
      </c>
      <c r="X278">
        <v>-15</v>
      </c>
      <c r="Y278">
        <v>53</v>
      </c>
      <c r="Z278">
        <v>-20</v>
      </c>
      <c r="AA278">
        <v>30</v>
      </c>
      <c r="AD278">
        <v>14</v>
      </c>
      <c r="AG278" t="s">
        <v>2950</v>
      </c>
      <c r="AH278" t="s">
        <v>63</v>
      </c>
      <c r="AL278" t="s">
        <v>684</v>
      </c>
      <c r="AN278" s="7">
        <v>6.35</v>
      </c>
      <c r="AO278" s="7">
        <v>9.52</v>
      </c>
      <c r="AP278" s="7">
        <v>16</v>
      </c>
      <c r="AQ278" t="s">
        <v>49</v>
      </c>
      <c r="AR278" t="s">
        <v>49</v>
      </c>
      <c r="AS278" t="s">
        <v>49</v>
      </c>
      <c r="AT278" t="s">
        <v>49</v>
      </c>
      <c r="AU278" t="s">
        <v>78</v>
      </c>
      <c r="AV278" s="7" t="s">
        <v>3019</v>
      </c>
      <c r="AW278" s="7" t="s">
        <v>3020</v>
      </c>
      <c r="AX278">
        <v>10</v>
      </c>
      <c r="BE278" s="7" t="s">
        <v>3259</v>
      </c>
      <c r="BF278" t="s">
        <v>49</v>
      </c>
      <c r="BH278">
        <v>22</v>
      </c>
      <c r="BI278" t="s">
        <v>120</v>
      </c>
      <c r="BS278" t="s">
        <v>1239</v>
      </c>
      <c r="CH278">
        <v>498</v>
      </c>
      <c r="CI278">
        <v>520</v>
      </c>
      <c r="CJ278">
        <v>777</v>
      </c>
      <c r="CK278">
        <v>818</v>
      </c>
      <c r="CL278">
        <v>290</v>
      </c>
      <c r="CM278">
        <v>325</v>
      </c>
      <c r="CN278" s="2">
        <v>22</v>
      </c>
      <c r="CO278">
        <v>25</v>
      </c>
      <c r="CP278" s="2">
        <v>250</v>
      </c>
      <c r="CQ278">
        <v>315</v>
      </c>
      <c r="CR278">
        <v>777</v>
      </c>
      <c r="CS278">
        <v>840</v>
      </c>
      <c r="CT278">
        <v>201</v>
      </c>
      <c r="CU278">
        <v>260</v>
      </c>
      <c r="CV278" s="7">
        <v>9</v>
      </c>
      <c r="CW278" s="7">
        <v>11</v>
      </c>
    </row>
    <row r="279" spans="1:101" x14ac:dyDescent="0.25">
      <c r="A279" t="s">
        <v>1243</v>
      </c>
      <c r="B279" t="s">
        <v>1196</v>
      </c>
      <c r="C279" t="s">
        <v>38</v>
      </c>
      <c r="D279" t="s">
        <v>1244</v>
      </c>
      <c r="E279" t="s">
        <v>2147</v>
      </c>
      <c r="F279" t="s">
        <v>1245</v>
      </c>
      <c r="G279" t="s">
        <v>75</v>
      </c>
      <c r="H279">
        <v>35100</v>
      </c>
      <c r="I279" t="s">
        <v>3633</v>
      </c>
      <c r="J279" t="s">
        <v>1246</v>
      </c>
      <c r="K279" t="s">
        <v>1247</v>
      </c>
      <c r="L279" t="s">
        <v>44</v>
      </c>
      <c r="M279" s="7" t="s">
        <v>2357</v>
      </c>
      <c r="N279" s="7" t="s">
        <v>2753</v>
      </c>
      <c r="O279" s="7" t="s">
        <v>2754</v>
      </c>
      <c r="P279" s="7" t="s">
        <v>2755</v>
      </c>
      <c r="Q279">
        <v>15</v>
      </c>
      <c r="R279">
        <v>5</v>
      </c>
      <c r="Y279">
        <v>53</v>
      </c>
      <c r="Z279">
        <v>-15</v>
      </c>
      <c r="AA279">
        <v>30</v>
      </c>
      <c r="AE279" t="s">
        <v>3504</v>
      </c>
      <c r="AF279" t="s">
        <v>3505</v>
      </c>
      <c r="AL279" t="s">
        <v>684</v>
      </c>
      <c r="AN279" s="7">
        <v>6.35</v>
      </c>
      <c r="AO279" s="7">
        <v>9.52</v>
      </c>
      <c r="AP279" s="7">
        <v>16</v>
      </c>
      <c r="AQ279" t="s">
        <v>49</v>
      </c>
      <c r="AR279" t="s">
        <v>49</v>
      </c>
      <c r="AS279" t="s">
        <v>49</v>
      </c>
      <c r="AT279" t="s">
        <v>49</v>
      </c>
      <c r="AU279" t="s">
        <v>50</v>
      </c>
      <c r="AV279" s="7" t="s">
        <v>3019</v>
      </c>
      <c r="AW279" s="7" t="s">
        <v>3020</v>
      </c>
      <c r="AX279">
        <v>10</v>
      </c>
      <c r="BE279" s="7" t="s">
        <v>3260</v>
      </c>
      <c r="BF279" t="s">
        <v>49</v>
      </c>
      <c r="BH279">
        <v>16</v>
      </c>
      <c r="BI279" t="s">
        <v>120</v>
      </c>
      <c r="BS279" t="s">
        <v>1248</v>
      </c>
      <c r="CH279">
        <v>459</v>
      </c>
      <c r="CI279">
        <v>481</v>
      </c>
      <c r="CJ279">
        <v>712</v>
      </c>
      <c r="CK279">
        <v>765</v>
      </c>
      <c r="CL279">
        <v>276</v>
      </c>
      <c r="CM279">
        <v>310</v>
      </c>
      <c r="CN279" s="2">
        <v>24</v>
      </c>
      <c r="CO279">
        <v>26</v>
      </c>
      <c r="CP279" s="2">
        <v>255</v>
      </c>
      <c r="CQ279">
        <v>325</v>
      </c>
      <c r="CR279">
        <v>698</v>
      </c>
      <c r="CS279">
        <v>764</v>
      </c>
      <c r="CT279">
        <v>190</v>
      </c>
      <c r="CU279">
        <v>257</v>
      </c>
      <c r="CV279" s="7">
        <v>6.5</v>
      </c>
      <c r="CW279" s="7">
        <v>8.5</v>
      </c>
    </row>
    <row r="280" spans="1:101" x14ac:dyDescent="0.25">
      <c r="A280" t="s">
        <v>1249</v>
      </c>
      <c r="B280" t="s">
        <v>1196</v>
      </c>
      <c r="C280" t="s">
        <v>38</v>
      </c>
      <c r="D280" t="s">
        <v>1250</v>
      </c>
      <c r="E280" t="s">
        <v>2147</v>
      </c>
      <c r="F280" t="s">
        <v>1245</v>
      </c>
      <c r="G280" t="s">
        <v>75</v>
      </c>
      <c r="H280">
        <v>40200</v>
      </c>
      <c r="I280" t="s">
        <v>3633</v>
      </c>
      <c r="J280" t="s">
        <v>1246</v>
      </c>
      <c r="K280" t="s">
        <v>1247</v>
      </c>
      <c r="L280" t="s">
        <v>44</v>
      </c>
      <c r="M280" s="7" t="s">
        <v>2358</v>
      </c>
      <c r="N280" s="7" t="s">
        <v>2756</v>
      </c>
      <c r="O280" s="7" t="s">
        <v>2757</v>
      </c>
      <c r="P280" s="7" t="s">
        <v>2758</v>
      </c>
      <c r="Q280">
        <v>15</v>
      </c>
      <c r="R280">
        <v>5</v>
      </c>
      <c r="Y280">
        <v>53</v>
      </c>
      <c r="Z280">
        <v>-15</v>
      </c>
      <c r="AA280">
        <v>30</v>
      </c>
      <c r="AE280" t="s">
        <v>3504</v>
      </c>
      <c r="AF280" t="s">
        <v>3505</v>
      </c>
      <c r="AL280" t="s">
        <v>684</v>
      </c>
      <c r="AN280" s="7">
        <v>6.35</v>
      </c>
      <c r="AO280" s="7">
        <v>9.52</v>
      </c>
      <c r="AP280" s="7">
        <v>16</v>
      </c>
      <c r="AQ280" t="s">
        <v>49</v>
      </c>
      <c r="AR280" t="s">
        <v>49</v>
      </c>
      <c r="AS280" t="s">
        <v>49</v>
      </c>
      <c r="AT280" t="s">
        <v>49</v>
      </c>
      <c r="AU280" t="s">
        <v>50</v>
      </c>
      <c r="AV280" s="7" t="s">
        <v>3019</v>
      </c>
      <c r="AW280" s="7" t="s">
        <v>3020</v>
      </c>
      <c r="AX280">
        <v>10</v>
      </c>
      <c r="BE280" s="7" t="s">
        <v>3261</v>
      </c>
      <c r="BF280" t="s">
        <v>49</v>
      </c>
      <c r="BH280">
        <v>23</v>
      </c>
      <c r="BI280" t="s">
        <v>120</v>
      </c>
      <c r="BS280" t="s">
        <v>1251</v>
      </c>
      <c r="CH280">
        <v>459</v>
      </c>
      <c r="CI280">
        <v>481</v>
      </c>
      <c r="CJ280">
        <v>712</v>
      </c>
      <c r="CK280">
        <v>765</v>
      </c>
      <c r="CL280">
        <v>276</v>
      </c>
      <c r="CM280">
        <v>310</v>
      </c>
      <c r="CN280" s="2">
        <v>26</v>
      </c>
      <c r="CO280">
        <v>28</v>
      </c>
      <c r="CP280" s="2">
        <v>250</v>
      </c>
      <c r="CQ280">
        <v>320</v>
      </c>
      <c r="CR280">
        <v>777</v>
      </c>
      <c r="CS280">
        <v>850</v>
      </c>
      <c r="CT280">
        <v>201</v>
      </c>
      <c r="CU280">
        <v>275</v>
      </c>
      <c r="CV280" s="7">
        <v>8</v>
      </c>
      <c r="CW280" s="7">
        <v>10</v>
      </c>
    </row>
    <row r="281" spans="1:101" x14ac:dyDescent="0.25">
      <c r="A281" t="s">
        <v>1252</v>
      </c>
      <c r="B281" t="s">
        <v>1196</v>
      </c>
      <c r="C281" t="s">
        <v>38</v>
      </c>
      <c r="D281" t="s">
        <v>1253</v>
      </c>
      <c r="E281" t="s">
        <v>2147</v>
      </c>
      <c r="F281" t="s">
        <v>1245</v>
      </c>
      <c r="G281" t="s">
        <v>75</v>
      </c>
      <c r="H281">
        <v>63100</v>
      </c>
      <c r="I281" t="s">
        <v>3633</v>
      </c>
      <c r="J281" t="s">
        <v>1246</v>
      </c>
      <c r="K281" t="s">
        <v>1247</v>
      </c>
      <c r="L281" t="s">
        <v>44</v>
      </c>
      <c r="M281" s="7" t="s">
        <v>2359</v>
      </c>
      <c r="N281" s="7" t="s">
        <v>2759</v>
      </c>
      <c r="O281" s="7" t="s">
        <v>2760</v>
      </c>
      <c r="P281" s="7" t="s">
        <v>2761</v>
      </c>
      <c r="Q281">
        <v>15</v>
      </c>
      <c r="R281">
        <v>5</v>
      </c>
      <c r="Y281">
        <v>53</v>
      </c>
      <c r="Z281">
        <v>-15</v>
      </c>
      <c r="AA281">
        <v>30</v>
      </c>
      <c r="AE281" t="s">
        <v>3504</v>
      </c>
      <c r="AF281" t="s">
        <v>3505</v>
      </c>
      <c r="AL281" t="s">
        <v>684</v>
      </c>
      <c r="AN281" s="7">
        <v>6.35</v>
      </c>
      <c r="AO281" s="7">
        <v>9.52</v>
      </c>
      <c r="AP281" s="7">
        <v>16</v>
      </c>
      <c r="AQ281" t="s">
        <v>49</v>
      </c>
      <c r="AR281" t="s">
        <v>49</v>
      </c>
      <c r="AS281" t="s">
        <v>49</v>
      </c>
      <c r="AT281" t="s">
        <v>49</v>
      </c>
      <c r="AU281" t="s">
        <v>50</v>
      </c>
      <c r="AV281" s="7" t="s">
        <v>3019</v>
      </c>
      <c r="AW281" s="7" t="s">
        <v>3020</v>
      </c>
      <c r="AX281">
        <v>16</v>
      </c>
      <c r="BE281" s="7" t="s">
        <v>3262</v>
      </c>
      <c r="BF281" t="s">
        <v>49</v>
      </c>
      <c r="BH281">
        <v>35</v>
      </c>
      <c r="BI281" t="s">
        <v>120</v>
      </c>
      <c r="BS281" t="s">
        <v>1254</v>
      </c>
      <c r="CH281">
        <v>602</v>
      </c>
      <c r="CI281">
        <v>628</v>
      </c>
      <c r="CJ281">
        <v>853</v>
      </c>
      <c r="CK281">
        <v>890</v>
      </c>
      <c r="CL281">
        <v>349</v>
      </c>
      <c r="CM281">
        <v>385</v>
      </c>
      <c r="CN281" s="2">
        <v>31</v>
      </c>
      <c r="CO281">
        <v>34</v>
      </c>
      <c r="CP281" s="2">
        <v>294</v>
      </c>
      <c r="CQ281">
        <v>372</v>
      </c>
      <c r="CR281">
        <v>910</v>
      </c>
      <c r="CS281">
        <v>979</v>
      </c>
      <c r="CT281">
        <v>206</v>
      </c>
      <c r="CU281">
        <v>277</v>
      </c>
      <c r="CV281" s="7">
        <v>10</v>
      </c>
      <c r="CW281" s="7">
        <v>13</v>
      </c>
    </row>
    <row r="282" spans="1:101" x14ac:dyDescent="0.25">
      <c r="A282" t="s">
        <v>1255</v>
      </c>
      <c r="B282" t="s">
        <v>1196</v>
      </c>
      <c r="C282" t="s">
        <v>38</v>
      </c>
      <c r="D282" t="s">
        <v>1256</v>
      </c>
      <c r="E282" t="s">
        <v>2147</v>
      </c>
      <c r="F282" t="s">
        <v>1245</v>
      </c>
      <c r="G282" t="s">
        <v>75</v>
      </c>
      <c r="H282">
        <v>82900</v>
      </c>
      <c r="I282" t="s">
        <v>3633</v>
      </c>
      <c r="J282" t="s">
        <v>1246</v>
      </c>
      <c r="K282" t="s">
        <v>1247</v>
      </c>
      <c r="L282" t="s">
        <v>44</v>
      </c>
      <c r="M282" s="7" t="s">
        <v>2360</v>
      </c>
      <c r="N282" s="7" t="s">
        <v>2762</v>
      </c>
      <c r="O282" s="7" t="s">
        <v>2763</v>
      </c>
      <c r="P282" s="7" t="s">
        <v>2764</v>
      </c>
      <c r="Q282">
        <v>15</v>
      </c>
      <c r="R282">
        <v>5</v>
      </c>
      <c r="Y282">
        <v>53</v>
      </c>
      <c r="Z282">
        <v>-15</v>
      </c>
      <c r="AA282">
        <v>30</v>
      </c>
      <c r="AE282" t="s">
        <v>3504</v>
      </c>
      <c r="AF282" t="s">
        <v>3505</v>
      </c>
      <c r="AL282" t="s">
        <v>677</v>
      </c>
      <c r="AN282" s="7">
        <v>6.35</v>
      </c>
      <c r="AO282" s="7">
        <v>12.7</v>
      </c>
      <c r="AP282" s="7">
        <v>16</v>
      </c>
      <c r="AQ282" t="s">
        <v>49</v>
      </c>
      <c r="AR282" t="s">
        <v>49</v>
      </c>
      <c r="AS282" t="s">
        <v>49</v>
      </c>
      <c r="AT282" t="s">
        <v>49</v>
      </c>
      <c r="AU282" t="s">
        <v>50</v>
      </c>
      <c r="AV282" s="7" t="s">
        <v>3021</v>
      </c>
      <c r="AW282" s="7" t="s">
        <v>3020</v>
      </c>
      <c r="AX282">
        <v>20</v>
      </c>
      <c r="BE282" s="7" t="s">
        <v>3263</v>
      </c>
      <c r="BF282" t="s">
        <v>49</v>
      </c>
      <c r="BH282">
        <v>45</v>
      </c>
      <c r="BI282" t="s">
        <v>120</v>
      </c>
      <c r="BS282" t="s">
        <v>1257</v>
      </c>
      <c r="CH282">
        <v>602</v>
      </c>
      <c r="CI282">
        <v>628</v>
      </c>
      <c r="CJ282">
        <v>853</v>
      </c>
      <c r="CK282">
        <v>890</v>
      </c>
      <c r="CL282">
        <v>349</v>
      </c>
      <c r="CM282">
        <v>385</v>
      </c>
      <c r="CN282" s="2">
        <v>33</v>
      </c>
      <c r="CO282">
        <v>36</v>
      </c>
      <c r="CP282" s="2">
        <v>315</v>
      </c>
      <c r="CQ282">
        <v>390</v>
      </c>
      <c r="CR282">
        <v>1010</v>
      </c>
      <c r="CS282">
        <v>1096</v>
      </c>
      <c r="CT282">
        <v>220</v>
      </c>
      <c r="CU282">
        <v>297</v>
      </c>
      <c r="CV282" s="7">
        <v>13</v>
      </c>
      <c r="CW282" s="7">
        <v>16</v>
      </c>
    </row>
    <row r="283" spans="1:101" x14ac:dyDescent="0.25">
      <c r="A283" t="s">
        <v>1258</v>
      </c>
      <c r="B283" t="s">
        <v>1196</v>
      </c>
      <c r="C283" t="s">
        <v>38</v>
      </c>
      <c r="D283" t="s">
        <v>1259</v>
      </c>
      <c r="E283" t="s">
        <v>2147</v>
      </c>
      <c r="F283" t="s">
        <v>1260</v>
      </c>
      <c r="G283" t="s">
        <v>75</v>
      </c>
      <c r="H283">
        <v>22600</v>
      </c>
      <c r="I283" t="s">
        <v>3634</v>
      </c>
      <c r="J283" t="s">
        <v>1261</v>
      </c>
      <c r="K283" t="s">
        <v>1262</v>
      </c>
      <c r="L283" t="s">
        <v>49</v>
      </c>
      <c r="M283" s="7">
        <v>2.0499999999999998</v>
      </c>
      <c r="N283" s="7">
        <v>2.2000000000000002</v>
      </c>
      <c r="O283" s="7">
        <v>0.63900000000000001</v>
      </c>
      <c r="P283" s="7">
        <v>0.60899999999999999</v>
      </c>
      <c r="Q283">
        <v>15</v>
      </c>
      <c r="R283">
        <v>5</v>
      </c>
      <c r="X283">
        <v>15</v>
      </c>
      <c r="Y283">
        <v>43</v>
      </c>
      <c r="Z283">
        <v>-7</v>
      </c>
      <c r="AA283">
        <v>24</v>
      </c>
      <c r="AE283" t="s">
        <v>3504</v>
      </c>
      <c r="AF283" t="s">
        <v>3505</v>
      </c>
      <c r="AL283" t="s">
        <v>684</v>
      </c>
      <c r="AN283" s="7">
        <v>6.35</v>
      </c>
      <c r="AO283" s="7">
        <v>9.52</v>
      </c>
      <c r="AP283" s="7">
        <v>16</v>
      </c>
      <c r="AQ283" t="s">
        <v>49</v>
      </c>
      <c r="AR283" t="s">
        <v>49</v>
      </c>
      <c r="AS283" t="s">
        <v>49</v>
      </c>
      <c r="AT283" t="s">
        <v>49</v>
      </c>
      <c r="AU283" t="s">
        <v>50</v>
      </c>
      <c r="AV283" s="7" t="s">
        <v>3019</v>
      </c>
      <c r="AW283" s="7" t="s">
        <v>3023</v>
      </c>
      <c r="AX283">
        <v>10</v>
      </c>
      <c r="BE283" s="7" t="s">
        <v>3264</v>
      </c>
      <c r="BF283" t="s">
        <v>49</v>
      </c>
      <c r="BH283">
        <v>13</v>
      </c>
      <c r="BI283" t="s">
        <v>120</v>
      </c>
      <c r="BS283" t="s">
        <v>1263</v>
      </c>
      <c r="CH283">
        <v>459</v>
      </c>
      <c r="CI283">
        <v>481</v>
      </c>
      <c r="CJ283">
        <v>712</v>
      </c>
      <c r="CK283">
        <v>765</v>
      </c>
      <c r="CL283">
        <v>276</v>
      </c>
      <c r="CM283">
        <v>310</v>
      </c>
      <c r="CN283" s="2">
        <v>20</v>
      </c>
      <c r="CO283">
        <v>22</v>
      </c>
      <c r="CP283" s="2">
        <v>255</v>
      </c>
      <c r="CQ283">
        <v>325</v>
      </c>
      <c r="CR283">
        <v>698</v>
      </c>
      <c r="CS283">
        <v>764</v>
      </c>
      <c r="CT283">
        <v>190</v>
      </c>
      <c r="CU283">
        <v>257</v>
      </c>
      <c r="CV283" s="7">
        <v>6.5</v>
      </c>
      <c r="CW283" s="7">
        <v>8.5</v>
      </c>
    </row>
    <row r="284" spans="1:101" x14ac:dyDescent="0.25">
      <c r="A284" t="s">
        <v>1264</v>
      </c>
      <c r="B284" t="s">
        <v>1196</v>
      </c>
      <c r="C284" t="s">
        <v>38</v>
      </c>
      <c r="D284" t="s">
        <v>1265</v>
      </c>
      <c r="E284" t="s">
        <v>2147</v>
      </c>
      <c r="F284" t="s">
        <v>1260</v>
      </c>
      <c r="G284" t="s">
        <v>75</v>
      </c>
      <c r="H284">
        <v>25100</v>
      </c>
      <c r="I284" t="s">
        <v>3634</v>
      </c>
      <c r="J284" t="s">
        <v>1261</v>
      </c>
      <c r="K284" t="s">
        <v>1262</v>
      </c>
      <c r="L284" t="s">
        <v>49</v>
      </c>
      <c r="M284" s="7">
        <v>2.5499999999999998</v>
      </c>
      <c r="N284" s="7">
        <v>2.73</v>
      </c>
      <c r="O284" s="7">
        <v>0.79400000000000004</v>
      </c>
      <c r="P284" s="7">
        <v>0.755</v>
      </c>
      <c r="Q284">
        <v>15</v>
      </c>
      <c r="R284">
        <v>5</v>
      </c>
      <c r="X284">
        <v>15</v>
      </c>
      <c r="Y284">
        <v>43</v>
      </c>
      <c r="Z284">
        <v>-7</v>
      </c>
      <c r="AA284">
        <v>24</v>
      </c>
      <c r="AE284" t="s">
        <v>3504</v>
      </c>
      <c r="AF284" t="s">
        <v>3505</v>
      </c>
      <c r="AL284" t="s">
        <v>684</v>
      </c>
      <c r="AN284" s="7">
        <v>6.35</v>
      </c>
      <c r="AO284" s="7">
        <v>9.52</v>
      </c>
      <c r="AP284" s="7">
        <v>16</v>
      </c>
      <c r="AQ284" t="s">
        <v>49</v>
      </c>
      <c r="AR284" t="s">
        <v>49</v>
      </c>
      <c r="AS284" t="s">
        <v>49</v>
      </c>
      <c r="AT284" t="s">
        <v>49</v>
      </c>
      <c r="AU284" t="s">
        <v>50</v>
      </c>
      <c r="AV284" s="7" t="s">
        <v>3019</v>
      </c>
      <c r="AW284" s="7" t="s">
        <v>3023</v>
      </c>
      <c r="AX284">
        <v>10</v>
      </c>
      <c r="BE284" s="7" t="s">
        <v>3265</v>
      </c>
      <c r="BF284" t="s">
        <v>49</v>
      </c>
      <c r="BH284">
        <v>16</v>
      </c>
      <c r="BI284" t="s">
        <v>120</v>
      </c>
      <c r="BS284" t="s">
        <v>1266</v>
      </c>
      <c r="CH284">
        <v>459</v>
      </c>
      <c r="CI284">
        <v>481</v>
      </c>
      <c r="CJ284">
        <v>712</v>
      </c>
      <c r="CK284">
        <v>765</v>
      </c>
      <c r="CL284">
        <v>276</v>
      </c>
      <c r="CM284">
        <v>310</v>
      </c>
      <c r="CN284" s="2">
        <v>23</v>
      </c>
      <c r="CO284">
        <v>25</v>
      </c>
      <c r="CP284" s="2">
        <v>255</v>
      </c>
      <c r="CQ284">
        <v>325</v>
      </c>
      <c r="CR284">
        <v>698</v>
      </c>
      <c r="CS284">
        <v>764</v>
      </c>
      <c r="CT284">
        <v>190</v>
      </c>
      <c r="CU284">
        <v>257</v>
      </c>
      <c r="CV284" s="7">
        <v>6.5</v>
      </c>
      <c r="CW284" s="7">
        <v>8.5</v>
      </c>
    </row>
    <row r="285" spans="1:101" x14ac:dyDescent="0.25">
      <c r="A285" t="s">
        <v>1267</v>
      </c>
      <c r="B285" t="s">
        <v>1196</v>
      </c>
      <c r="C285" t="s">
        <v>38</v>
      </c>
      <c r="D285" t="s">
        <v>1268</v>
      </c>
      <c r="E285" t="s">
        <v>2147</v>
      </c>
      <c r="F285" t="s">
        <v>1260</v>
      </c>
      <c r="G285" t="s">
        <v>75</v>
      </c>
      <c r="H285">
        <v>31400</v>
      </c>
      <c r="I285" t="s">
        <v>3634</v>
      </c>
      <c r="J285" t="s">
        <v>1261</v>
      </c>
      <c r="K285" t="s">
        <v>1262</v>
      </c>
      <c r="L285" t="s">
        <v>49</v>
      </c>
      <c r="M285" s="7">
        <v>3.37</v>
      </c>
      <c r="N285" s="7">
        <v>3.52</v>
      </c>
      <c r="O285" s="7">
        <v>1.05</v>
      </c>
      <c r="P285" s="7">
        <v>0.97499999999999998</v>
      </c>
      <c r="Q285">
        <v>15</v>
      </c>
      <c r="R285">
        <v>5</v>
      </c>
      <c r="X285">
        <v>15</v>
      </c>
      <c r="Y285">
        <v>43</v>
      </c>
      <c r="Z285">
        <v>-7</v>
      </c>
      <c r="AA285">
        <v>24</v>
      </c>
      <c r="AE285" t="s">
        <v>3504</v>
      </c>
      <c r="AF285" t="s">
        <v>3505</v>
      </c>
      <c r="AL285" t="s">
        <v>684</v>
      </c>
      <c r="AN285" s="7">
        <v>6.35</v>
      </c>
      <c r="AO285" s="7">
        <v>9.52</v>
      </c>
      <c r="AP285" s="7">
        <v>16</v>
      </c>
      <c r="AQ285" t="s">
        <v>49</v>
      </c>
      <c r="AR285" t="s">
        <v>49</v>
      </c>
      <c r="AS285" t="s">
        <v>49</v>
      </c>
      <c r="AT285" t="s">
        <v>49</v>
      </c>
      <c r="AU285" t="s">
        <v>50</v>
      </c>
      <c r="AV285" s="7" t="s">
        <v>3019</v>
      </c>
      <c r="AW285" s="7" t="s">
        <v>3023</v>
      </c>
      <c r="AX285">
        <v>16</v>
      </c>
      <c r="BE285" s="7" t="s">
        <v>3266</v>
      </c>
      <c r="BF285" t="s">
        <v>49</v>
      </c>
      <c r="BH285">
        <v>23</v>
      </c>
      <c r="BI285" t="s">
        <v>120</v>
      </c>
      <c r="BS285" t="s">
        <v>1269</v>
      </c>
      <c r="CH285">
        <v>498</v>
      </c>
      <c r="CI285">
        <v>520</v>
      </c>
      <c r="CJ285">
        <v>777</v>
      </c>
      <c r="CK285">
        <v>818</v>
      </c>
      <c r="CL285">
        <v>290</v>
      </c>
      <c r="CM285">
        <v>325</v>
      </c>
      <c r="CN285" s="2">
        <v>25</v>
      </c>
      <c r="CO285">
        <v>28</v>
      </c>
      <c r="CP285" s="2">
        <v>250</v>
      </c>
      <c r="CQ285">
        <v>320</v>
      </c>
      <c r="CR285">
        <v>777</v>
      </c>
      <c r="CS285">
        <v>850</v>
      </c>
      <c r="CT285">
        <v>201</v>
      </c>
      <c r="CU285">
        <v>275</v>
      </c>
      <c r="CV285" s="7">
        <v>8</v>
      </c>
      <c r="CW285" s="7">
        <v>10</v>
      </c>
    </row>
    <row r="286" spans="1:101" x14ac:dyDescent="0.25">
      <c r="A286" t="s">
        <v>1270</v>
      </c>
      <c r="B286" t="s">
        <v>1196</v>
      </c>
      <c r="C286" t="s">
        <v>38</v>
      </c>
      <c r="D286" t="s">
        <v>1271</v>
      </c>
      <c r="E286" t="s">
        <v>2147</v>
      </c>
      <c r="F286" t="s">
        <v>1260</v>
      </c>
      <c r="G286" t="s">
        <v>75</v>
      </c>
      <c r="H286">
        <v>49600</v>
      </c>
      <c r="I286" t="s">
        <v>3634</v>
      </c>
      <c r="J286" t="s">
        <v>1261</v>
      </c>
      <c r="K286" t="s">
        <v>1262</v>
      </c>
      <c r="L286" t="s">
        <v>49</v>
      </c>
      <c r="M286" s="7">
        <v>5.13</v>
      </c>
      <c r="N286" s="7">
        <v>5.28</v>
      </c>
      <c r="O286" s="7">
        <v>1.5980000000000001</v>
      </c>
      <c r="P286" s="7">
        <v>1.462</v>
      </c>
      <c r="Q286">
        <v>15</v>
      </c>
      <c r="R286">
        <v>5</v>
      </c>
      <c r="X286">
        <v>15</v>
      </c>
      <c r="Y286">
        <v>43</v>
      </c>
      <c r="Z286">
        <v>-7</v>
      </c>
      <c r="AA286">
        <v>24</v>
      </c>
      <c r="AE286" t="s">
        <v>3504</v>
      </c>
      <c r="AF286" t="s">
        <v>3505</v>
      </c>
      <c r="AL286" t="s">
        <v>1207</v>
      </c>
      <c r="AN286" s="7">
        <v>6.35</v>
      </c>
      <c r="AO286" s="7">
        <v>12.7</v>
      </c>
      <c r="AP286" s="7">
        <v>16</v>
      </c>
      <c r="AQ286" t="s">
        <v>49</v>
      </c>
      <c r="AR286" t="s">
        <v>49</v>
      </c>
      <c r="AS286" t="s">
        <v>49</v>
      </c>
      <c r="AT286" t="s">
        <v>49</v>
      </c>
      <c r="AU286" t="s">
        <v>50</v>
      </c>
      <c r="AV286" s="7" t="s">
        <v>3019</v>
      </c>
      <c r="AW286" s="7" t="s">
        <v>3023</v>
      </c>
      <c r="AX286">
        <v>20</v>
      </c>
      <c r="BE286" s="7" t="s">
        <v>3267</v>
      </c>
      <c r="BF286" t="s">
        <v>49</v>
      </c>
      <c r="BH286">
        <v>35</v>
      </c>
      <c r="BI286" t="s">
        <v>120</v>
      </c>
      <c r="BS286" t="s">
        <v>1272</v>
      </c>
      <c r="CH286">
        <v>553</v>
      </c>
      <c r="CI286">
        <v>585</v>
      </c>
      <c r="CJ286">
        <v>817</v>
      </c>
      <c r="CK286">
        <v>858</v>
      </c>
      <c r="CL286">
        <v>300</v>
      </c>
      <c r="CM286">
        <v>321</v>
      </c>
      <c r="CN286" s="2">
        <v>32.5</v>
      </c>
      <c r="CO286">
        <v>35</v>
      </c>
      <c r="CP286" s="2">
        <v>294</v>
      </c>
      <c r="CQ286">
        <v>372</v>
      </c>
      <c r="CR286">
        <v>910</v>
      </c>
      <c r="CS286">
        <v>979</v>
      </c>
      <c r="CT286">
        <v>206</v>
      </c>
      <c r="CU286">
        <v>277</v>
      </c>
      <c r="CV286" s="7">
        <v>10.5</v>
      </c>
      <c r="CW286" s="7">
        <v>12.5</v>
      </c>
    </row>
    <row r="287" spans="1:101" x14ac:dyDescent="0.25">
      <c r="A287" t="s">
        <v>1273</v>
      </c>
      <c r="B287" t="s">
        <v>1196</v>
      </c>
      <c r="C287" t="s">
        <v>38</v>
      </c>
      <c r="D287" t="s">
        <v>1274</v>
      </c>
      <c r="E287" t="s">
        <v>2147</v>
      </c>
      <c r="F287" t="s">
        <v>1260</v>
      </c>
      <c r="G287" t="s">
        <v>75</v>
      </c>
      <c r="H287">
        <v>63100</v>
      </c>
      <c r="I287" t="s">
        <v>3634</v>
      </c>
      <c r="J287" t="s">
        <v>1261</v>
      </c>
      <c r="K287" t="s">
        <v>1262</v>
      </c>
      <c r="L287" t="s">
        <v>49</v>
      </c>
      <c r="M287" s="7">
        <v>6.74</v>
      </c>
      <c r="N287" s="7">
        <v>7.03</v>
      </c>
      <c r="O287" s="7">
        <v>2.1</v>
      </c>
      <c r="P287" s="7">
        <v>1.9450000000000001</v>
      </c>
      <c r="Q287">
        <v>15</v>
      </c>
      <c r="R287">
        <v>5</v>
      </c>
      <c r="X287">
        <v>15</v>
      </c>
      <c r="Y287">
        <v>43</v>
      </c>
      <c r="Z287">
        <v>-7</v>
      </c>
      <c r="AA287">
        <v>24</v>
      </c>
      <c r="AE287" t="s">
        <v>3504</v>
      </c>
      <c r="AF287" t="s">
        <v>3505</v>
      </c>
      <c r="AL287" t="s">
        <v>1218</v>
      </c>
      <c r="AN287" s="7">
        <v>6.35</v>
      </c>
      <c r="AO287" s="7">
        <v>15.88</v>
      </c>
      <c r="AP287" s="7">
        <v>16</v>
      </c>
      <c r="AQ287" t="s">
        <v>49</v>
      </c>
      <c r="AR287" t="s">
        <v>49</v>
      </c>
      <c r="AS287" t="s">
        <v>49</v>
      </c>
      <c r="AT287" t="s">
        <v>49</v>
      </c>
      <c r="AU287" t="s">
        <v>50</v>
      </c>
      <c r="AV287" s="7" t="s">
        <v>3021</v>
      </c>
      <c r="AW287" s="7" t="s">
        <v>3023</v>
      </c>
      <c r="AX287">
        <v>20</v>
      </c>
      <c r="BE287" s="7" t="s">
        <v>3268</v>
      </c>
      <c r="BF287" t="s">
        <v>49</v>
      </c>
      <c r="BH287">
        <v>45</v>
      </c>
      <c r="BI287" t="s">
        <v>120</v>
      </c>
      <c r="BS287" t="s">
        <v>1275</v>
      </c>
      <c r="CH287">
        <v>605</v>
      </c>
      <c r="CI287">
        <v>635</v>
      </c>
      <c r="CJ287">
        <v>886</v>
      </c>
      <c r="CK287">
        <v>930</v>
      </c>
      <c r="CL287">
        <v>357</v>
      </c>
      <c r="CM287">
        <v>380</v>
      </c>
      <c r="CN287" s="2">
        <v>43</v>
      </c>
      <c r="CO287">
        <v>46</v>
      </c>
      <c r="CP287" s="2">
        <v>294</v>
      </c>
      <c r="CQ287">
        <v>372</v>
      </c>
      <c r="CR287">
        <v>910</v>
      </c>
      <c r="CS287">
        <v>979</v>
      </c>
      <c r="CT287">
        <v>206</v>
      </c>
      <c r="CU287">
        <v>277</v>
      </c>
      <c r="CV287" s="7">
        <v>10.5</v>
      </c>
      <c r="CW287" s="7">
        <v>12.5</v>
      </c>
    </row>
    <row r="288" spans="1:101" x14ac:dyDescent="0.25">
      <c r="A288" t="s">
        <v>1276</v>
      </c>
      <c r="B288" t="s">
        <v>1196</v>
      </c>
      <c r="C288" t="s">
        <v>38</v>
      </c>
      <c r="D288" t="s">
        <v>1277</v>
      </c>
      <c r="E288" t="s">
        <v>2147</v>
      </c>
      <c r="F288" t="s">
        <v>1260</v>
      </c>
      <c r="G288" t="s">
        <v>75</v>
      </c>
      <c r="H288">
        <v>88300</v>
      </c>
      <c r="I288" t="s">
        <v>3634</v>
      </c>
      <c r="J288" t="s">
        <v>1261</v>
      </c>
      <c r="K288" t="s">
        <v>1262</v>
      </c>
      <c r="L288" t="s">
        <v>49</v>
      </c>
      <c r="M288" s="7">
        <v>8.2100000000000009</v>
      </c>
      <c r="N288" s="7">
        <v>8.35</v>
      </c>
      <c r="O288" s="7">
        <v>2.5499999999999998</v>
      </c>
      <c r="P288" s="7">
        <v>2.3050000000000002</v>
      </c>
      <c r="Q288">
        <v>15</v>
      </c>
      <c r="R288">
        <v>5</v>
      </c>
      <c r="X288">
        <v>15</v>
      </c>
      <c r="Y288">
        <v>43</v>
      </c>
      <c r="Z288">
        <v>-7</v>
      </c>
      <c r="AA288">
        <v>24</v>
      </c>
      <c r="AE288" t="s">
        <v>3503</v>
      </c>
      <c r="AF288" t="s">
        <v>3591</v>
      </c>
      <c r="AL288" t="s">
        <v>684</v>
      </c>
      <c r="AN288" s="7">
        <v>6.35</v>
      </c>
      <c r="AO288" s="7">
        <v>15.88</v>
      </c>
      <c r="AP288" s="7">
        <v>16</v>
      </c>
      <c r="AQ288" t="s">
        <v>49</v>
      </c>
      <c r="AR288" t="s">
        <v>49</v>
      </c>
      <c r="AS288" t="s">
        <v>49</v>
      </c>
      <c r="AT288" t="s">
        <v>49</v>
      </c>
      <c r="AU288" t="s">
        <v>50</v>
      </c>
      <c r="AV288" s="7" t="s">
        <v>191</v>
      </c>
      <c r="AW288" s="7" t="s">
        <v>3031</v>
      </c>
      <c r="AX288">
        <v>25</v>
      </c>
      <c r="BE288" s="7" t="s">
        <v>3269</v>
      </c>
      <c r="BF288" t="s">
        <v>49</v>
      </c>
      <c r="BH288">
        <v>50</v>
      </c>
      <c r="BI288" t="s">
        <v>120</v>
      </c>
      <c r="BS288" t="s">
        <v>1278</v>
      </c>
      <c r="CH288">
        <v>655</v>
      </c>
      <c r="CI288">
        <v>698</v>
      </c>
      <c r="CJ288">
        <v>968</v>
      </c>
      <c r="CK288">
        <v>1023</v>
      </c>
      <c r="CL288">
        <v>400</v>
      </c>
      <c r="CM288">
        <v>430</v>
      </c>
      <c r="CN288" s="2">
        <v>50</v>
      </c>
      <c r="CO288">
        <v>54</v>
      </c>
      <c r="CP288" s="2">
        <v>315</v>
      </c>
      <c r="CQ288">
        <v>390</v>
      </c>
      <c r="CR288">
        <v>1010</v>
      </c>
      <c r="CS288">
        <v>1096</v>
      </c>
      <c r="CT288">
        <v>220</v>
      </c>
      <c r="CU288">
        <v>297</v>
      </c>
      <c r="CV288" s="7">
        <v>13</v>
      </c>
      <c r="CW288" s="7">
        <v>16</v>
      </c>
    </row>
    <row r="289" spans="1:101" x14ac:dyDescent="0.25">
      <c r="A289" t="s">
        <v>1279</v>
      </c>
      <c r="B289" t="s">
        <v>1196</v>
      </c>
      <c r="C289" t="s">
        <v>38</v>
      </c>
      <c r="D289" t="s">
        <v>1280</v>
      </c>
      <c r="E289" t="s">
        <v>2147</v>
      </c>
      <c r="F289" t="s">
        <v>1281</v>
      </c>
      <c r="G289" t="s">
        <v>75</v>
      </c>
      <c r="H289">
        <v>37000</v>
      </c>
      <c r="I289" t="s">
        <v>3635</v>
      </c>
      <c r="J289" t="s">
        <v>1282</v>
      </c>
      <c r="K289" t="s">
        <v>1283</v>
      </c>
      <c r="L289" t="s">
        <v>44</v>
      </c>
      <c r="M289" s="7" t="s">
        <v>2353</v>
      </c>
      <c r="N289" s="7" t="s">
        <v>2741</v>
      </c>
      <c r="O289" s="7" t="s">
        <v>2742</v>
      </c>
      <c r="P289" s="7" t="s">
        <v>2743</v>
      </c>
      <c r="Q289">
        <v>15</v>
      </c>
      <c r="R289">
        <v>5</v>
      </c>
      <c r="U289">
        <v>1</v>
      </c>
      <c r="Y289">
        <v>53</v>
      </c>
      <c r="Z289">
        <v>-20</v>
      </c>
      <c r="AA289">
        <v>30</v>
      </c>
      <c r="AD289">
        <v>9</v>
      </c>
      <c r="AG289" t="s">
        <v>2974</v>
      </c>
      <c r="AH289" t="s">
        <v>659</v>
      </c>
      <c r="AL289" t="s">
        <v>684</v>
      </c>
      <c r="AN289" s="7">
        <v>6.35</v>
      </c>
      <c r="AO289" s="7">
        <v>9.52</v>
      </c>
      <c r="AP289" s="7">
        <v>17</v>
      </c>
      <c r="AQ289" t="s">
        <v>49</v>
      </c>
      <c r="AR289" t="s">
        <v>49</v>
      </c>
      <c r="AS289" t="s">
        <v>49</v>
      </c>
      <c r="AT289" t="s">
        <v>49</v>
      </c>
      <c r="AU289" t="s">
        <v>78</v>
      </c>
      <c r="AV289" s="7" t="s">
        <v>3019</v>
      </c>
      <c r="AW289" s="7" t="s">
        <v>3020</v>
      </c>
      <c r="AX289">
        <v>10</v>
      </c>
      <c r="BE289" s="7" t="s">
        <v>3256</v>
      </c>
      <c r="BF289" t="s">
        <v>49</v>
      </c>
      <c r="BH289">
        <v>26</v>
      </c>
      <c r="BI289" t="s">
        <v>120</v>
      </c>
      <c r="BS289" t="s">
        <v>1237</v>
      </c>
      <c r="CH289">
        <v>498</v>
      </c>
      <c r="CI289">
        <v>520</v>
      </c>
      <c r="CJ289">
        <v>777</v>
      </c>
      <c r="CK289">
        <v>818</v>
      </c>
      <c r="CL289">
        <v>290</v>
      </c>
      <c r="CM289">
        <v>325</v>
      </c>
      <c r="CN289" s="2">
        <v>22</v>
      </c>
      <c r="CO289">
        <v>25</v>
      </c>
      <c r="CP289" s="2">
        <v>255</v>
      </c>
      <c r="CQ289">
        <v>325</v>
      </c>
      <c r="CR289">
        <v>698</v>
      </c>
      <c r="CS289">
        <v>764</v>
      </c>
      <c r="CT289">
        <v>190</v>
      </c>
      <c r="CU289">
        <v>257</v>
      </c>
      <c r="CV289" s="7">
        <v>6.5</v>
      </c>
      <c r="CW289" s="7">
        <v>8.5</v>
      </c>
    </row>
    <row r="290" spans="1:101" x14ac:dyDescent="0.25">
      <c r="A290" t="s">
        <v>1284</v>
      </c>
      <c r="B290" t="s">
        <v>1196</v>
      </c>
      <c r="C290" t="s">
        <v>38</v>
      </c>
      <c r="D290" t="s">
        <v>1280</v>
      </c>
      <c r="E290" t="s">
        <v>2147</v>
      </c>
      <c r="F290" t="s">
        <v>1281</v>
      </c>
      <c r="G290" t="s">
        <v>41</v>
      </c>
      <c r="H290">
        <v>37000</v>
      </c>
      <c r="I290" t="s">
        <v>3635</v>
      </c>
      <c r="J290" t="s">
        <v>1282</v>
      </c>
      <c r="K290" t="s">
        <v>1283</v>
      </c>
      <c r="L290" t="s">
        <v>44</v>
      </c>
      <c r="M290" s="7" t="s">
        <v>2361</v>
      </c>
      <c r="N290" s="7" t="s">
        <v>2765</v>
      </c>
      <c r="O290" s="7" t="s">
        <v>2745</v>
      </c>
      <c r="P290" s="7" t="s">
        <v>2746</v>
      </c>
      <c r="Q290">
        <v>25</v>
      </c>
      <c r="R290">
        <v>10</v>
      </c>
      <c r="X290">
        <v>-15</v>
      </c>
      <c r="Y290">
        <v>53</v>
      </c>
      <c r="Z290">
        <v>-20</v>
      </c>
      <c r="AA290">
        <v>30</v>
      </c>
      <c r="AG290" t="s">
        <v>2922</v>
      </c>
      <c r="AH290" t="s">
        <v>63</v>
      </c>
      <c r="AL290" t="s">
        <v>1207</v>
      </c>
      <c r="AN290" s="7">
        <v>6.35</v>
      </c>
      <c r="AO290" s="7">
        <v>9.52</v>
      </c>
      <c r="AP290" s="7">
        <v>16</v>
      </c>
      <c r="AQ290" t="s">
        <v>49</v>
      </c>
      <c r="AR290" t="s">
        <v>49</v>
      </c>
      <c r="AS290" t="s">
        <v>49</v>
      </c>
      <c r="AT290" t="s">
        <v>49</v>
      </c>
      <c r="AU290" t="s">
        <v>78</v>
      </c>
      <c r="AV290" s="7" t="s">
        <v>3019</v>
      </c>
      <c r="AW290" s="7" t="s">
        <v>3032</v>
      </c>
      <c r="AX290">
        <v>10</v>
      </c>
      <c r="BE290" s="7" t="s">
        <v>3257</v>
      </c>
      <c r="BF290" t="s">
        <v>49</v>
      </c>
      <c r="BH290">
        <v>26</v>
      </c>
      <c r="BI290" t="s">
        <v>120</v>
      </c>
      <c r="BS290" t="s">
        <v>1239</v>
      </c>
      <c r="CH290">
        <v>498</v>
      </c>
      <c r="CI290">
        <v>520</v>
      </c>
      <c r="CJ290">
        <v>777</v>
      </c>
      <c r="CK290">
        <v>818</v>
      </c>
      <c r="CL290">
        <v>290</v>
      </c>
      <c r="CM290">
        <v>325</v>
      </c>
      <c r="CN290" s="2">
        <v>22</v>
      </c>
      <c r="CO290">
        <v>25</v>
      </c>
      <c r="CP290" s="2">
        <v>255</v>
      </c>
      <c r="CQ290">
        <v>325</v>
      </c>
      <c r="CR290">
        <v>698</v>
      </c>
      <c r="CS290">
        <v>764</v>
      </c>
      <c r="CT290">
        <v>190</v>
      </c>
      <c r="CU290">
        <v>257</v>
      </c>
      <c r="CV290" s="7">
        <v>6.5</v>
      </c>
      <c r="CW290" s="7">
        <v>8.5</v>
      </c>
    </row>
    <row r="291" spans="1:101" x14ac:dyDescent="0.25">
      <c r="A291" t="s">
        <v>1285</v>
      </c>
      <c r="B291" t="s">
        <v>1196</v>
      </c>
      <c r="C291" t="s">
        <v>38</v>
      </c>
      <c r="D291" t="s">
        <v>1286</v>
      </c>
      <c r="E291" t="s">
        <v>2147</v>
      </c>
      <c r="F291" t="s">
        <v>1281</v>
      </c>
      <c r="G291" t="s">
        <v>75</v>
      </c>
      <c r="H291">
        <v>41000</v>
      </c>
      <c r="I291" t="s">
        <v>3635</v>
      </c>
      <c r="J291" t="s">
        <v>1282</v>
      </c>
      <c r="K291" t="s">
        <v>1283</v>
      </c>
      <c r="L291" t="s">
        <v>44</v>
      </c>
      <c r="M291" s="7" t="s">
        <v>2355</v>
      </c>
      <c r="N291" s="7" t="s">
        <v>2747</v>
      </c>
      <c r="O291" s="7" t="s">
        <v>2748</v>
      </c>
      <c r="P291" s="7" t="s">
        <v>2749</v>
      </c>
      <c r="Q291">
        <v>15</v>
      </c>
      <c r="R291">
        <v>5</v>
      </c>
      <c r="U291">
        <v>1</v>
      </c>
      <c r="Y291">
        <v>53</v>
      </c>
      <c r="Z291">
        <v>-20</v>
      </c>
      <c r="AA291">
        <v>30</v>
      </c>
      <c r="AD291">
        <v>14</v>
      </c>
      <c r="AG291" t="s">
        <v>2974</v>
      </c>
      <c r="AH291" t="s">
        <v>659</v>
      </c>
      <c r="AL291" t="s">
        <v>684</v>
      </c>
      <c r="AN291" s="7">
        <v>6.35</v>
      </c>
      <c r="AO291" s="7">
        <v>9.52</v>
      </c>
      <c r="AP291" s="7">
        <v>17</v>
      </c>
      <c r="AQ291" t="s">
        <v>49</v>
      </c>
      <c r="AR291" t="s">
        <v>49</v>
      </c>
      <c r="AS291" t="s">
        <v>49</v>
      </c>
      <c r="AT291" t="s">
        <v>49</v>
      </c>
      <c r="AU291" t="s">
        <v>78</v>
      </c>
      <c r="AV291" s="7" t="s">
        <v>3019</v>
      </c>
      <c r="AW291" s="7" t="s">
        <v>3020</v>
      </c>
      <c r="AX291">
        <v>10</v>
      </c>
      <c r="BE291" s="7" t="s">
        <v>3258</v>
      </c>
      <c r="BF291" t="s">
        <v>49</v>
      </c>
      <c r="BH291">
        <v>34</v>
      </c>
      <c r="BI291" t="s">
        <v>120</v>
      </c>
      <c r="BS291" t="s">
        <v>1237</v>
      </c>
      <c r="CH291">
        <v>498</v>
      </c>
      <c r="CI291">
        <v>520</v>
      </c>
      <c r="CJ291">
        <v>777</v>
      </c>
      <c r="CK291">
        <v>818</v>
      </c>
      <c r="CL291">
        <v>290</v>
      </c>
      <c r="CM291">
        <v>325</v>
      </c>
      <c r="CN291" s="2">
        <v>22</v>
      </c>
      <c r="CO291">
        <v>25</v>
      </c>
      <c r="CP291" s="2">
        <v>250</v>
      </c>
      <c r="CQ291">
        <v>315</v>
      </c>
      <c r="CR291">
        <v>777</v>
      </c>
      <c r="CS291">
        <v>840</v>
      </c>
      <c r="CT291">
        <v>201</v>
      </c>
      <c r="CU291">
        <v>260</v>
      </c>
      <c r="CV291" s="7">
        <v>8.5</v>
      </c>
      <c r="CW291" s="7">
        <v>10.5</v>
      </c>
    </row>
    <row r="292" spans="1:101" x14ac:dyDescent="0.25">
      <c r="A292" t="s">
        <v>1287</v>
      </c>
      <c r="B292" t="s">
        <v>1196</v>
      </c>
      <c r="C292" t="s">
        <v>38</v>
      </c>
      <c r="D292" t="s">
        <v>1286</v>
      </c>
      <c r="E292" t="s">
        <v>2147</v>
      </c>
      <c r="F292" t="s">
        <v>1281</v>
      </c>
      <c r="G292" t="s">
        <v>41</v>
      </c>
      <c r="H292">
        <v>41000</v>
      </c>
      <c r="I292" t="s">
        <v>3635</v>
      </c>
      <c r="J292" t="s">
        <v>1282</v>
      </c>
      <c r="K292" t="s">
        <v>1283</v>
      </c>
      <c r="L292" t="s">
        <v>44</v>
      </c>
      <c r="M292" s="7" t="s">
        <v>2355</v>
      </c>
      <c r="N292" s="7" t="s">
        <v>2747</v>
      </c>
      <c r="O292" s="7" t="s">
        <v>2751</v>
      </c>
      <c r="P292" s="7" t="s">
        <v>2752</v>
      </c>
      <c r="Q292">
        <v>25</v>
      </c>
      <c r="R292">
        <v>10</v>
      </c>
      <c r="X292">
        <v>-15</v>
      </c>
      <c r="Y292">
        <v>53</v>
      </c>
      <c r="Z292">
        <v>-20</v>
      </c>
      <c r="AA292">
        <v>30</v>
      </c>
      <c r="AG292" t="s">
        <v>2950</v>
      </c>
      <c r="AH292" t="s">
        <v>63</v>
      </c>
      <c r="AL292" t="s">
        <v>684</v>
      </c>
      <c r="AN292" s="7">
        <v>6.35</v>
      </c>
      <c r="AO292" s="7">
        <v>9.52</v>
      </c>
      <c r="AP292" s="7">
        <v>16</v>
      </c>
      <c r="AQ292" t="s">
        <v>49</v>
      </c>
      <c r="AR292" t="s">
        <v>49</v>
      </c>
      <c r="AS292" t="s">
        <v>49</v>
      </c>
      <c r="AT292" t="s">
        <v>49</v>
      </c>
      <c r="AU292" t="s">
        <v>78</v>
      </c>
      <c r="AV292" s="7" t="s">
        <v>3019</v>
      </c>
      <c r="AW292" s="7" t="s">
        <v>3032</v>
      </c>
      <c r="AX292">
        <v>10</v>
      </c>
      <c r="BE292" s="7" t="s">
        <v>3259</v>
      </c>
      <c r="BF292" t="s">
        <v>49</v>
      </c>
      <c r="BH292">
        <v>34</v>
      </c>
      <c r="BI292" t="s">
        <v>120</v>
      </c>
      <c r="BS292" t="s">
        <v>1239</v>
      </c>
      <c r="CH292">
        <v>498</v>
      </c>
      <c r="CI292">
        <v>520</v>
      </c>
      <c r="CJ292">
        <v>777</v>
      </c>
      <c r="CK292">
        <v>818</v>
      </c>
      <c r="CL292">
        <v>290</v>
      </c>
      <c r="CM292">
        <v>325</v>
      </c>
      <c r="CN292" s="2">
        <v>22</v>
      </c>
      <c r="CO292">
        <v>25</v>
      </c>
      <c r="CP292" s="2">
        <v>250</v>
      </c>
      <c r="CQ292">
        <v>315</v>
      </c>
      <c r="CR292">
        <v>777</v>
      </c>
      <c r="CS292">
        <v>840</v>
      </c>
      <c r="CT292">
        <v>201</v>
      </c>
      <c r="CU292">
        <v>260</v>
      </c>
      <c r="CV292" s="7">
        <v>8.5</v>
      </c>
      <c r="CW292" s="7">
        <v>10.5</v>
      </c>
    </row>
    <row r="293" spans="1:101" x14ac:dyDescent="0.25">
      <c r="A293" t="s">
        <v>1288</v>
      </c>
      <c r="B293" t="s">
        <v>1196</v>
      </c>
      <c r="C293" t="s">
        <v>38</v>
      </c>
      <c r="D293" t="s">
        <v>1289</v>
      </c>
      <c r="E293" t="s">
        <v>2147</v>
      </c>
      <c r="F293" t="s">
        <v>1281</v>
      </c>
      <c r="G293" t="s">
        <v>75</v>
      </c>
      <c r="H293">
        <v>66200</v>
      </c>
      <c r="I293" t="s">
        <v>3635</v>
      </c>
      <c r="J293" t="s">
        <v>1282</v>
      </c>
      <c r="K293" t="s">
        <v>1283</v>
      </c>
      <c r="L293" t="s">
        <v>44</v>
      </c>
      <c r="M293" s="7" t="s">
        <v>2362</v>
      </c>
      <c r="N293" s="7" t="s">
        <v>2766</v>
      </c>
      <c r="O293" s="7" t="s">
        <v>2767</v>
      </c>
      <c r="P293" s="7" t="s">
        <v>2768</v>
      </c>
      <c r="Q293">
        <v>15</v>
      </c>
      <c r="R293">
        <v>5</v>
      </c>
      <c r="U293">
        <v>1</v>
      </c>
      <c r="Y293">
        <v>53</v>
      </c>
      <c r="Z293">
        <v>-20</v>
      </c>
      <c r="AA293">
        <v>30</v>
      </c>
      <c r="AD293">
        <v>20</v>
      </c>
      <c r="AG293" t="s">
        <v>2976</v>
      </c>
      <c r="AH293" t="s">
        <v>659</v>
      </c>
      <c r="AL293" t="s">
        <v>677</v>
      </c>
      <c r="AN293" s="7">
        <v>6.35</v>
      </c>
      <c r="AO293" s="7">
        <v>9.52</v>
      </c>
      <c r="AP293" s="7">
        <v>17</v>
      </c>
      <c r="AQ293" t="s">
        <v>49</v>
      </c>
      <c r="AR293" t="s">
        <v>49</v>
      </c>
      <c r="AS293" t="s">
        <v>49</v>
      </c>
      <c r="AT293" t="s">
        <v>49</v>
      </c>
      <c r="AU293" t="s">
        <v>78</v>
      </c>
      <c r="AV293" s="7" t="s">
        <v>3019</v>
      </c>
      <c r="AW293" s="7" t="s">
        <v>3020</v>
      </c>
      <c r="AX293">
        <v>16</v>
      </c>
      <c r="BE293" s="7" t="s">
        <v>3270</v>
      </c>
      <c r="BF293" t="s">
        <v>49</v>
      </c>
      <c r="BH293">
        <v>51</v>
      </c>
      <c r="BI293" t="s">
        <v>120</v>
      </c>
      <c r="BS293" t="s">
        <v>1290</v>
      </c>
      <c r="CH293">
        <v>602</v>
      </c>
      <c r="CI293">
        <v>628</v>
      </c>
      <c r="CJ293">
        <v>853</v>
      </c>
      <c r="CK293">
        <v>890</v>
      </c>
      <c r="CL293">
        <v>349</v>
      </c>
      <c r="CM293">
        <v>385</v>
      </c>
      <c r="CN293" s="2">
        <v>36</v>
      </c>
      <c r="CO293">
        <v>40</v>
      </c>
      <c r="CP293" s="2">
        <v>294</v>
      </c>
      <c r="CQ293">
        <v>372</v>
      </c>
      <c r="CR293">
        <v>910</v>
      </c>
      <c r="CS293">
        <v>979</v>
      </c>
      <c r="CT293">
        <v>206</v>
      </c>
      <c r="CU293">
        <v>277</v>
      </c>
      <c r="CV293" s="7">
        <v>10</v>
      </c>
      <c r="CW293" s="7">
        <v>13</v>
      </c>
    </row>
    <row r="294" spans="1:101" x14ac:dyDescent="0.25">
      <c r="A294" t="s">
        <v>1291</v>
      </c>
      <c r="B294" t="s">
        <v>1196</v>
      </c>
      <c r="C294" t="s">
        <v>38</v>
      </c>
      <c r="D294" t="s">
        <v>1289</v>
      </c>
      <c r="E294" t="s">
        <v>2147</v>
      </c>
      <c r="F294" t="s">
        <v>1281</v>
      </c>
      <c r="G294" t="s">
        <v>41</v>
      </c>
      <c r="H294">
        <v>66200</v>
      </c>
      <c r="I294" t="s">
        <v>3635</v>
      </c>
      <c r="J294" t="s">
        <v>1282</v>
      </c>
      <c r="K294" t="s">
        <v>1283</v>
      </c>
      <c r="L294" t="s">
        <v>44</v>
      </c>
      <c r="M294" s="7" t="s">
        <v>2363</v>
      </c>
      <c r="N294" s="7" t="s">
        <v>2769</v>
      </c>
      <c r="O294" s="7" t="s">
        <v>2770</v>
      </c>
      <c r="P294" s="7" t="s">
        <v>2771</v>
      </c>
      <c r="Q294">
        <v>25</v>
      </c>
      <c r="R294">
        <v>10</v>
      </c>
      <c r="X294">
        <v>-15</v>
      </c>
      <c r="Y294">
        <v>53</v>
      </c>
      <c r="Z294">
        <v>-20</v>
      </c>
      <c r="AA294">
        <v>30</v>
      </c>
      <c r="AG294" t="s">
        <v>2950</v>
      </c>
      <c r="AH294" t="s">
        <v>63</v>
      </c>
      <c r="AL294" t="s">
        <v>677</v>
      </c>
      <c r="AN294" s="7">
        <v>6.35</v>
      </c>
      <c r="AO294" s="7">
        <v>9.52</v>
      </c>
      <c r="AP294" s="7">
        <v>16</v>
      </c>
      <c r="AQ294" t="s">
        <v>49</v>
      </c>
      <c r="AR294" t="s">
        <v>49</v>
      </c>
      <c r="AS294" t="s">
        <v>49</v>
      </c>
      <c r="AT294" t="s">
        <v>49</v>
      </c>
      <c r="AU294" t="s">
        <v>78</v>
      </c>
      <c r="AV294" s="7" t="s">
        <v>3019</v>
      </c>
      <c r="AW294" s="7" t="s">
        <v>3032</v>
      </c>
      <c r="AX294">
        <v>16</v>
      </c>
      <c r="BE294" s="7" t="s">
        <v>3271</v>
      </c>
      <c r="BF294" t="s">
        <v>49</v>
      </c>
      <c r="BH294">
        <v>51</v>
      </c>
      <c r="BI294" t="s">
        <v>120</v>
      </c>
      <c r="BS294" t="s">
        <v>1292</v>
      </c>
      <c r="CH294">
        <v>602</v>
      </c>
      <c r="CI294">
        <v>628</v>
      </c>
      <c r="CJ294">
        <v>853</v>
      </c>
      <c r="CK294">
        <v>890</v>
      </c>
      <c r="CL294">
        <v>349</v>
      </c>
      <c r="CM294">
        <v>385</v>
      </c>
      <c r="CN294" s="2">
        <v>36</v>
      </c>
      <c r="CO294">
        <v>40</v>
      </c>
      <c r="CP294" s="2">
        <v>294</v>
      </c>
      <c r="CQ294">
        <v>372</v>
      </c>
      <c r="CR294">
        <v>910</v>
      </c>
      <c r="CS294">
        <v>979</v>
      </c>
      <c r="CT294">
        <v>206</v>
      </c>
      <c r="CU294">
        <v>277</v>
      </c>
      <c r="CV294" s="7">
        <v>10</v>
      </c>
      <c r="CW294" s="7">
        <v>13</v>
      </c>
    </row>
    <row r="295" spans="1:101" x14ac:dyDescent="0.25">
      <c r="A295" t="s">
        <v>1293</v>
      </c>
      <c r="B295" t="s">
        <v>1196</v>
      </c>
      <c r="C295" t="s">
        <v>38</v>
      </c>
      <c r="D295" t="s">
        <v>1294</v>
      </c>
      <c r="E295" t="s">
        <v>2147</v>
      </c>
      <c r="F295" t="s">
        <v>1281</v>
      </c>
      <c r="G295" t="s">
        <v>75</v>
      </c>
      <c r="H295">
        <v>85500</v>
      </c>
      <c r="I295" t="s">
        <v>3635</v>
      </c>
      <c r="J295" t="s">
        <v>1282</v>
      </c>
      <c r="K295" t="s">
        <v>1283</v>
      </c>
      <c r="L295" t="s">
        <v>44</v>
      </c>
      <c r="M295" s="7" t="s">
        <v>2364</v>
      </c>
      <c r="N295" s="7" t="s">
        <v>2772</v>
      </c>
      <c r="O295" s="7" t="s">
        <v>2773</v>
      </c>
      <c r="P295" s="7" t="s">
        <v>2774</v>
      </c>
      <c r="Q295">
        <v>15</v>
      </c>
      <c r="R295">
        <v>5</v>
      </c>
      <c r="U295">
        <v>1</v>
      </c>
      <c r="Y295">
        <v>53</v>
      </c>
      <c r="Z295">
        <v>-20</v>
      </c>
      <c r="AA295">
        <v>30</v>
      </c>
      <c r="AD295">
        <v>27</v>
      </c>
      <c r="AG295" t="s">
        <v>2974</v>
      </c>
      <c r="AH295" t="s">
        <v>2960</v>
      </c>
      <c r="AL295" t="s">
        <v>677</v>
      </c>
      <c r="AN295" s="7">
        <v>6.35</v>
      </c>
      <c r="AO295" s="7">
        <v>12.7</v>
      </c>
      <c r="AP295" s="7">
        <v>17</v>
      </c>
      <c r="AQ295" t="s">
        <v>49</v>
      </c>
      <c r="AR295" t="s">
        <v>49</v>
      </c>
      <c r="AS295" t="s">
        <v>49</v>
      </c>
      <c r="AT295" t="s">
        <v>49</v>
      </c>
      <c r="AU295" t="s">
        <v>78</v>
      </c>
      <c r="AV295" s="7" t="s">
        <v>3021</v>
      </c>
      <c r="AW295" s="7" t="s">
        <v>3020</v>
      </c>
      <c r="AX295">
        <v>20</v>
      </c>
      <c r="BE295" s="7" t="s">
        <v>3272</v>
      </c>
      <c r="BF295" t="s">
        <v>49</v>
      </c>
      <c r="BH295">
        <v>68</v>
      </c>
      <c r="BI295" t="s">
        <v>120</v>
      </c>
      <c r="BS295" t="s">
        <v>1295</v>
      </c>
      <c r="CH295">
        <v>699</v>
      </c>
      <c r="CI295">
        <v>732</v>
      </c>
      <c r="CJ295">
        <v>920</v>
      </c>
      <c r="CK295">
        <v>960</v>
      </c>
      <c r="CL295">
        <v>380</v>
      </c>
      <c r="CM295">
        <v>400</v>
      </c>
      <c r="CN295" s="2">
        <v>46</v>
      </c>
      <c r="CO295">
        <v>52</v>
      </c>
      <c r="CP295" s="2">
        <v>315</v>
      </c>
      <c r="CQ295">
        <v>390</v>
      </c>
      <c r="CR295">
        <v>1010</v>
      </c>
      <c r="CS295">
        <v>1096</v>
      </c>
      <c r="CT295">
        <v>220</v>
      </c>
      <c r="CU295">
        <v>297</v>
      </c>
      <c r="CV295" s="7">
        <v>13</v>
      </c>
      <c r="CW295" s="7">
        <v>16</v>
      </c>
    </row>
    <row r="296" spans="1:101" x14ac:dyDescent="0.25">
      <c r="A296" t="s">
        <v>1296</v>
      </c>
      <c r="B296" t="s">
        <v>1196</v>
      </c>
      <c r="C296" t="s">
        <v>38</v>
      </c>
      <c r="D296" t="s">
        <v>1294</v>
      </c>
      <c r="E296" t="s">
        <v>2147</v>
      </c>
      <c r="F296" t="s">
        <v>1281</v>
      </c>
      <c r="G296" t="s">
        <v>41</v>
      </c>
      <c r="H296">
        <v>85500</v>
      </c>
      <c r="I296" t="s">
        <v>3635</v>
      </c>
      <c r="J296" t="s">
        <v>1282</v>
      </c>
      <c r="K296" t="s">
        <v>1283</v>
      </c>
      <c r="L296" t="s">
        <v>44</v>
      </c>
      <c r="M296" s="7" t="s">
        <v>2365</v>
      </c>
      <c r="N296" s="7" t="s">
        <v>2775</v>
      </c>
      <c r="O296" s="7" t="s">
        <v>2776</v>
      </c>
      <c r="P296" s="7" t="s">
        <v>2777</v>
      </c>
      <c r="Q296">
        <v>25</v>
      </c>
      <c r="R296">
        <v>10</v>
      </c>
      <c r="X296">
        <v>-15</v>
      </c>
      <c r="Y296">
        <v>53</v>
      </c>
      <c r="Z296">
        <v>-20</v>
      </c>
      <c r="AA296">
        <v>30</v>
      </c>
      <c r="AG296" t="s">
        <v>2950</v>
      </c>
      <c r="AH296" t="s">
        <v>63</v>
      </c>
      <c r="AL296" t="s">
        <v>677</v>
      </c>
      <c r="AN296" s="7">
        <v>6.35</v>
      </c>
      <c r="AO296" s="7">
        <v>12.7</v>
      </c>
      <c r="AP296" s="7">
        <v>16</v>
      </c>
      <c r="AQ296" t="s">
        <v>49</v>
      </c>
      <c r="AR296" t="s">
        <v>49</v>
      </c>
      <c r="AS296" t="s">
        <v>49</v>
      </c>
      <c r="AT296" t="s">
        <v>49</v>
      </c>
      <c r="AU296" t="s">
        <v>78</v>
      </c>
      <c r="AV296" s="7" t="s">
        <v>3021</v>
      </c>
      <c r="AW296" s="7" t="s">
        <v>3032</v>
      </c>
      <c r="AX296">
        <v>20</v>
      </c>
      <c r="BE296" s="7" t="s">
        <v>3273</v>
      </c>
      <c r="BF296" t="s">
        <v>49</v>
      </c>
      <c r="BH296">
        <v>68</v>
      </c>
      <c r="BI296" t="s">
        <v>120</v>
      </c>
      <c r="BS296" t="s">
        <v>1297</v>
      </c>
      <c r="CH296">
        <v>699</v>
      </c>
      <c r="CI296">
        <v>732</v>
      </c>
      <c r="CJ296">
        <v>920</v>
      </c>
      <c r="CK296">
        <v>960</v>
      </c>
      <c r="CL296">
        <v>380</v>
      </c>
      <c r="CM296">
        <v>400</v>
      </c>
      <c r="CN296" s="2">
        <v>46</v>
      </c>
      <c r="CO296">
        <v>52</v>
      </c>
      <c r="CP296" s="2">
        <v>315</v>
      </c>
      <c r="CQ296">
        <v>390</v>
      </c>
      <c r="CR296">
        <v>1010</v>
      </c>
      <c r="CS296">
        <v>1096</v>
      </c>
      <c r="CT296">
        <v>220</v>
      </c>
      <c r="CU296">
        <v>297</v>
      </c>
      <c r="CV296" s="7">
        <v>13</v>
      </c>
      <c r="CW296" s="7">
        <v>16</v>
      </c>
    </row>
    <row r="297" spans="1:101" x14ac:dyDescent="0.25">
      <c r="A297" t="s">
        <v>1298</v>
      </c>
      <c r="B297" t="s">
        <v>1196</v>
      </c>
      <c r="C297" t="s">
        <v>214</v>
      </c>
      <c r="D297" t="s">
        <v>1299</v>
      </c>
      <c r="E297" t="s">
        <v>2148</v>
      </c>
      <c r="F297" t="s">
        <v>1300</v>
      </c>
      <c r="G297" t="s">
        <v>41</v>
      </c>
      <c r="H297">
        <v>74700</v>
      </c>
      <c r="I297" t="s">
        <v>3636</v>
      </c>
      <c r="J297" t="s">
        <v>1301</v>
      </c>
      <c r="K297" t="s">
        <v>1302</v>
      </c>
      <c r="L297" t="s">
        <v>49</v>
      </c>
      <c r="M297" s="7">
        <v>5.28</v>
      </c>
      <c r="N297" s="7">
        <v>5.6</v>
      </c>
      <c r="O297" s="7">
        <v>1.7</v>
      </c>
      <c r="P297" s="7">
        <v>1.55</v>
      </c>
      <c r="Q297">
        <v>20</v>
      </c>
      <c r="R297">
        <v>15</v>
      </c>
      <c r="U297">
        <v>1</v>
      </c>
      <c r="X297">
        <v>-15</v>
      </c>
      <c r="Y297">
        <v>49</v>
      </c>
      <c r="Z297">
        <v>-15</v>
      </c>
      <c r="AA297">
        <v>24</v>
      </c>
      <c r="AD297">
        <v>35</v>
      </c>
      <c r="AE297" t="s">
        <v>3637</v>
      </c>
      <c r="AF297" t="s">
        <v>3505</v>
      </c>
      <c r="AL297" t="s">
        <v>1218</v>
      </c>
      <c r="AN297" s="7">
        <v>6.35</v>
      </c>
      <c r="AO297" s="7">
        <v>12.7</v>
      </c>
      <c r="AP297" s="7">
        <v>20</v>
      </c>
      <c r="AQ297" t="s">
        <v>49</v>
      </c>
      <c r="AR297" t="s">
        <v>49</v>
      </c>
      <c r="AS297" t="s">
        <v>49</v>
      </c>
      <c r="AT297" t="s">
        <v>49</v>
      </c>
      <c r="AU297" t="s">
        <v>50</v>
      </c>
      <c r="AV297" s="7" t="s">
        <v>3021</v>
      </c>
      <c r="AW297" s="7" t="s">
        <v>3022</v>
      </c>
      <c r="AX297">
        <v>20</v>
      </c>
      <c r="BC297">
        <v>80</v>
      </c>
      <c r="BE297" s="7" t="s">
        <v>3274</v>
      </c>
      <c r="BF297" t="s">
        <v>49</v>
      </c>
      <c r="BH297">
        <v>53</v>
      </c>
      <c r="BI297" t="s">
        <v>120</v>
      </c>
      <c r="BS297" t="s">
        <v>1303</v>
      </c>
      <c r="CH297">
        <v>545</v>
      </c>
      <c r="CI297">
        <v>620</v>
      </c>
      <c r="CJ297">
        <v>800</v>
      </c>
      <c r="CK297">
        <v>920</v>
      </c>
      <c r="CL297">
        <v>315</v>
      </c>
      <c r="CM297">
        <v>400</v>
      </c>
      <c r="CN297" s="2">
        <v>42</v>
      </c>
      <c r="CO297">
        <v>45</v>
      </c>
      <c r="CP297" s="2">
        <v>290</v>
      </c>
      <c r="CQ297">
        <v>360</v>
      </c>
      <c r="CR297">
        <v>890</v>
      </c>
      <c r="CS297">
        <v>1070</v>
      </c>
      <c r="CT297">
        <v>735</v>
      </c>
      <c r="CU297">
        <v>800</v>
      </c>
      <c r="CV297" s="7">
        <v>32</v>
      </c>
      <c r="CW297" s="7">
        <v>37</v>
      </c>
    </row>
    <row r="298" spans="1:101" x14ac:dyDescent="0.25">
      <c r="A298" t="s">
        <v>1304</v>
      </c>
      <c r="B298" t="s">
        <v>1196</v>
      </c>
      <c r="C298" t="s">
        <v>214</v>
      </c>
      <c r="D298" t="s">
        <v>1305</v>
      </c>
      <c r="E298" t="s">
        <v>2148</v>
      </c>
      <c r="F298" t="s">
        <v>1300</v>
      </c>
      <c r="G298" t="s">
        <v>41</v>
      </c>
      <c r="H298">
        <v>91100</v>
      </c>
      <c r="I298" t="s">
        <v>3636</v>
      </c>
      <c r="J298" t="s">
        <v>1301</v>
      </c>
      <c r="K298" t="s">
        <v>1302</v>
      </c>
      <c r="L298" t="s">
        <v>49</v>
      </c>
      <c r="M298" s="7">
        <v>7.03</v>
      </c>
      <c r="N298" s="7">
        <v>7.88</v>
      </c>
      <c r="O298" s="7">
        <v>2.2599999999999998</v>
      </c>
      <c r="P298" s="7">
        <v>2.1800000000000002</v>
      </c>
      <c r="Q298">
        <v>20</v>
      </c>
      <c r="R298">
        <v>15</v>
      </c>
      <c r="U298">
        <v>1</v>
      </c>
      <c r="X298">
        <v>-15</v>
      </c>
      <c r="Y298">
        <v>49</v>
      </c>
      <c r="Z298">
        <v>-15</v>
      </c>
      <c r="AA298">
        <v>24</v>
      </c>
      <c r="AD298">
        <v>50</v>
      </c>
      <c r="AE298" t="s">
        <v>3638</v>
      </c>
      <c r="AF298" t="s">
        <v>3505</v>
      </c>
      <c r="AL298" t="s">
        <v>1218</v>
      </c>
      <c r="AN298" s="7">
        <v>9.52</v>
      </c>
      <c r="AO298" s="7">
        <v>15.88</v>
      </c>
      <c r="AP298" s="7">
        <v>20</v>
      </c>
      <c r="AQ298" t="s">
        <v>49</v>
      </c>
      <c r="AR298" t="s">
        <v>49</v>
      </c>
      <c r="AS298" t="s">
        <v>49</v>
      </c>
      <c r="AT298" t="s">
        <v>49</v>
      </c>
      <c r="AU298" t="s">
        <v>50</v>
      </c>
      <c r="AV298" s="7" t="s">
        <v>3021</v>
      </c>
      <c r="AW298" s="7" t="s">
        <v>3033</v>
      </c>
      <c r="AX298">
        <v>25</v>
      </c>
      <c r="BC298">
        <v>80</v>
      </c>
      <c r="BE298" s="7" t="s">
        <v>3275</v>
      </c>
      <c r="BF298" t="s">
        <v>49</v>
      </c>
      <c r="BH298">
        <v>70</v>
      </c>
      <c r="BI298" t="s">
        <v>120</v>
      </c>
      <c r="BS298" t="s">
        <v>1306</v>
      </c>
      <c r="CH298">
        <v>655</v>
      </c>
      <c r="CI298">
        <v>725</v>
      </c>
      <c r="CJ298">
        <v>825</v>
      </c>
      <c r="CK298">
        <v>945</v>
      </c>
      <c r="CL298">
        <v>310</v>
      </c>
      <c r="CM298">
        <v>435</v>
      </c>
      <c r="CN298" s="2">
        <v>53</v>
      </c>
      <c r="CO298">
        <v>56</v>
      </c>
      <c r="CP298" s="2">
        <v>290</v>
      </c>
      <c r="CQ298">
        <v>360</v>
      </c>
      <c r="CR298">
        <v>890</v>
      </c>
      <c r="CS298">
        <v>1070</v>
      </c>
      <c r="CT298">
        <v>735</v>
      </c>
      <c r="CU298">
        <v>800</v>
      </c>
      <c r="CV298" s="7">
        <v>33</v>
      </c>
      <c r="CW298" s="7">
        <v>38</v>
      </c>
    </row>
    <row r="299" spans="1:101" x14ac:dyDescent="0.25">
      <c r="A299" t="s">
        <v>1307</v>
      </c>
      <c r="B299" t="s">
        <v>1196</v>
      </c>
      <c r="C299" t="s">
        <v>214</v>
      </c>
      <c r="D299" t="s">
        <v>1308</v>
      </c>
      <c r="E299" t="s">
        <v>2148</v>
      </c>
      <c r="F299" t="s">
        <v>1300</v>
      </c>
      <c r="G299" t="s">
        <v>41</v>
      </c>
      <c r="H299">
        <v>124600</v>
      </c>
      <c r="I299" t="s">
        <v>3636</v>
      </c>
      <c r="J299" t="s">
        <v>1301</v>
      </c>
      <c r="K299" t="s">
        <v>1302</v>
      </c>
      <c r="L299" t="s">
        <v>49</v>
      </c>
      <c r="M299" s="7">
        <v>10.6</v>
      </c>
      <c r="N299" s="7">
        <v>11.7</v>
      </c>
      <c r="O299" s="7">
        <v>3.73</v>
      </c>
      <c r="P299" s="7">
        <v>3.5</v>
      </c>
      <c r="Q299">
        <v>30</v>
      </c>
      <c r="R299">
        <v>20</v>
      </c>
      <c r="U299">
        <v>1</v>
      </c>
      <c r="X299">
        <v>-15</v>
      </c>
      <c r="Y299">
        <v>49</v>
      </c>
      <c r="Z299">
        <v>-15</v>
      </c>
      <c r="AA299">
        <v>24</v>
      </c>
      <c r="AD299">
        <v>80</v>
      </c>
      <c r="AE299" t="s">
        <v>3639</v>
      </c>
      <c r="AF299" t="s">
        <v>3640</v>
      </c>
      <c r="AL299" t="s">
        <v>1218</v>
      </c>
      <c r="AN299" s="7">
        <v>9.52</v>
      </c>
      <c r="AO299" s="7">
        <v>15.88</v>
      </c>
      <c r="AP299" s="7">
        <v>20</v>
      </c>
      <c r="AQ299" t="s">
        <v>49</v>
      </c>
      <c r="AR299" t="s">
        <v>49</v>
      </c>
      <c r="AS299" t="s">
        <v>49</v>
      </c>
      <c r="AT299" t="s">
        <v>49</v>
      </c>
      <c r="AU299" t="s">
        <v>50</v>
      </c>
      <c r="AV299" s="7" t="s">
        <v>3034</v>
      </c>
      <c r="AW299" s="7" t="s">
        <v>3035</v>
      </c>
      <c r="AX299">
        <v>20</v>
      </c>
      <c r="BC299">
        <v>80</v>
      </c>
      <c r="BE299" s="7" t="s">
        <v>3276</v>
      </c>
      <c r="BF299" t="s">
        <v>49</v>
      </c>
      <c r="BH299">
        <v>106</v>
      </c>
      <c r="BI299" t="s">
        <v>241</v>
      </c>
      <c r="BS299" t="s">
        <v>1309</v>
      </c>
      <c r="CH299">
        <v>805</v>
      </c>
      <c r="CI299">
        <v>895</v>
      </c>
      <c r="CJ299">
        <v>970</v>
      </c>
      <c r="CK299">
        <v>1105</v>
      </c>
      <c r="CL299">
        <v>395</v>
      </c>
      <c r="CM299">
        <v>495</v>
      </c>
      <c r="CN299" s="2">
        <v>65</v>
      </c>
      <c r="CO299">
        <v>75</v>
      </c>
      <c r="CP299" s="2">
        <v>290</v>
      </c>
      <c r="CQ299">
        <v>360</v>
      </c>
      <c r="CR299">
        <v>890</v>
      </c>
      <c r="CS299">
        <v>1070</v>
      </c>
      <c r="CT299">
        <v>735</v>
      </c>
      <c r="CU299">
        <v>800</v>
      </c>
      <c r="CV299" s="7">
        <v>35</v>
      </c>
      <c r="CW299" s="7">
        <v>39</v>
      </c>
    </row>
    <row r="300" spans="1:101" x14ac:dyDescent="0.25">
      <c r="A300" t="s">
        <v>1310</v>
      </c>
      <c r="B300" t="s">
        <v>1196</v>
      </c>
      <c r="C300" t="s">
        <v>214</v>
      </c>
      <c r="D300" t="s">
        <v>1311</v>
      </c>
      <c r="E300" t="s">
        <v>2148</v>
      </c>
      <c r="F300" t="s">
        <v>1300</v>
      </c>
      <c r="G300" t="s">
        <v>41</v>
      </c>
      <c r="H300">
        <v>149800</v>
      </c>
      <c r="I300" t="s">
        <v>3636</v>
      </c>
      <c r="J300" t="s">
        <v>1301</v>
      </c>
      <c r="K300" t="s">
        <v>1302</v>
      </c>
      <c r="L300" t="s">
        <v>49</v>
      </c>
      <c r="M300" s="7">
        <v>14.07</v>
      </c>
      <c r="N300" s="7">
        <v>15.55</v>
      </c>
      <c r="O300" s="7">
        <v>4.8499999999999996</v>
      </c>
      <c r="P300" s="7">
        <v>4.8</v>
      </c>
      <c r="Q300">
        <v>50</v>
      </c>
      <c r="R300">
        <v>30</v>
      </c>
      <c r="U300">
        <v>1</v>
      </c>
      <c r="X300">
        <v>-15</v>
      </c>
      <c r="Y300">
        <v>49</v>
      </c>
      <c r="Z300">
        <v>-15</v>
      </c>
      <c r="AA300">
        <v>24</v>
      </c>
      <c r="AD300">
        <v>90</v>
      </c>
      <c r="AE300" t="s">
        <v>3578</v>
      </c>
      <c r="AF300" t="s">
        <v>3641</v>
      </c>
      <c r="AL300" t="s">
        <v>1218</v>
      </c>
      <c r="AN300" s="7">
        <v>9.52</v>
      </c>
      <c r="AO300" s="7">
        <v>19.05</v>
      </c>
      <c r="AP300" s="7">
        <v>20</v>
      </c>
      <c r="AQ300" t="s">
        <v>49</v>
      </c>
      <c r="AR300" t="s">
        <v>49</v>
      </c>
      <c r="AS300" t="s">
        <v>49</v>
      </c>
      <c r="AT300" t="s">
        <v>49</v>
      </c>
      <c r="AU300" t="s">
        <v>50</v>
      </c>
      <c r="AV300" s="7" t="s">
        <v>3034</v>
      </c>
      <c r="AW300" s="7" t="s">
        <v>3035</v>
      </c>
      <c r="AX300">
        <v>20</v>
      </c>
      <c r="BC300">
        <v>80</v>
      </c>
      <c r="BE300" s="7" t="s">
        <v>3277</v>
      </c>
      <c r="BF300" t="s">
        <v>49</v>
      </c>
      <c r="BH300">
        <v>141</v>
      </c>
      <c r="BI300" t="s">
        <v>241</v>
      </c>
      <c r="BS300" t="s">
        <v>1312</v>
      </c>
      <c r="CH300">
        <v>1325</v>
      </c>
      <c r="CI300">
        <v>1440</v>
      </c>
      <c r="CJ300">
        <v>940</v>
      </c>
      <c r="CK300">
        <v>1080</v>
      </c>
      <c r="CL300">
        <v>370</v>
      </c>
      <c r="CM300">
        <v>430</v>
      </c>
      <c r="CN300" s="2">
        <v>95</v>
      </c>
      <c r="CO300">
        <v>105</v>
      </c>
      <c r="CP300" s="2">
        <v>290</v>
      </c>
      <c r="CQ300">
        <v>360</v>
      </c>
      <c r="CR300">
        <v>1250</v>
      </c>
      <c r="CS300">
        <v>1430</v>
      </c>
      <c r="CT300">
        <v>735</v>
      </c>
      <c r="CU300">
        <v>800</v>
      </c>
      <c r="CV300" s="7">
        <v>45</v>
      </c>
      <c r="CW300" s="7">
        <v>51</v>
      </c>
    </row>
    <row r="301" spans="1:101" x14ac:dyDescent="0.25">
      <c r="A301" t="s">
        <v>1313</v>
      </c>
      <c r="B301" t="s">
        <v>1196</v>
      </c>
      <c r="C301" t="s">
        <v>214</v>
      </c>
      <c r="D301" t="s">
        <v>1314</v>
      </c>
      <c r="E301" t="s">
        <v>2148</v>
      </c>
      <c r="F301" t="s">
        <v>1300</v>
      </c>
      <c r="G301" t="s">
        <v>41</v>
      </c>
      <c r="H301">
        <v>167300</v>
      </c>
      <c r="I301" t="s">
        <v>3636</v>
      </c>
      <c r="J301" t="s">
        <v>1301</v>
      </c>
      <c r="K301" t="s">
        <v>1302</v>
      </c>
      <c r="L301" t="s">
        <v>49</v>
      </c>
      <c r="M301" s="7">
        <v>17.600000000000001</v>
      </c>
      <c r="N301" s="7">
        <v>18.5</v>
      </c>
      <c r="O301" s="7">
        <v>6.77</v>
      </c>
      <c r="P301" s="7">
        <v>5.78</v>
      </c>
      <c r="Q301">
        <v>50</v>
      </c>
      <c r="R301">
        <v>30</v>
      </c>
      <c r="U301">
        <v>1</v>
      </c>
      <c r="X301">
        <v>-15</v>
      </c>
      <c r="Y301">
        <v>49</v>
      </c>
      <c r="Z301">
        <v>-15</v>
      </c>
      <c r="AA301">
        <v>24</v>
      </c>
      <c r="AD301">
        <v>115</v>
      </c>
      <c r="AE301" t="s">
        <v>3600</v>
      </c>
      <c r="AF301" t="s">
        <v>3549</v>
      </c>
      <c r="AL301" t="s">
        <v>1218</v>
      </c>
      <c r="AN301" s="7">
        <v>9.52</v>
      </c>
      <c r="AO301" s="7">
        <v>19.05</v>
      </c>
      <c r="AP301" s="7">
        <v>20</v>
      </c>
      <c r="AQ301" t="s">
        <v>49</v>
      </c>
      <c r="AR301" t="s">
        <v>49</v>
      </c>
      <c r="AS301" t="s">
        <v>49</v>
      </c>
      <c r="AT301" t="s">
        <v>49</v>
      </c>
      <c r="AU301" t="s">
        <v>50</v>
      </c>
      <c r="AV301" s="7" t="s">
        <v>3034</v>
      </c>
      <c r="AW301" s="7" t="s">
        <v>3035</v>
      </c>
      <c r="AX301">
        <v>25</v>
      </c>
      <c r="BC301">
        <v>80</v>
      </c>
      <c r="BE301" s="7" t="s">
        <v>3278</v>
      </c>
      <c r="BF301" t="s">
        <v>49</v>
      </c>
      <c r="BH301">
        <v>176</v>
      </c>
      <c r="BI301" t="s">
        <v>241</v>
      </c>
      <c r="BS301" t="s">
        <v>1315</v>
      </c>
      <c r="CH301">
        <v>1325</v>
      </c>
      <c r="CI301">
        <v>1440</v>
      </c>
      <c r="CJ301">
        <v>940</v>
      </c>
      <c r="CK301">
        <v>1080</v>
      </c>
      <c r="CL301">
        <v>370</v>
      </c>
      <c r="CM301">
        <v>430</v>
      </c>
      <c r="CN301" s="2">
        <v>99</v>
      </c>
      <c r="CO301">
        <v>109</v>
      </c>
      <c r="CP301" s="2">
        <v>290</v>
      </c>
      <c r="CQ301">
        <v>360</v>
      </c>
      <c r="CR301">
        <v>1250</v>
      </c>
      <c r="CS301">
        <v>1430</v>
      </c>
      <c r="CT301">
        <v>735</v>
      </c>
      <c r="CU301">
        <v>800</v>
      </c>
      <c r="CV301" s="7">
        <v>50</v>
      </c>
      <c r="CW301" s="7">
        <v>56</v>
      </c>
    </row>
    <row r="302" spans="1:101" x14ac:dyDescent="0.25">
      <c r="A302" t="s">
        <v>1316</v>
      </c>
      <c r="B302" t="s">
        <v>1196</v>
      </c>
      <c r="C302" t="s">
        <v>214</v>
      </c>
      <c r="D302" t="s">
        <v>1317</v>
      </c>
      <c r="E302" t="s">
        <v>2148</v>
      </c>
      <c r="F302" t="s">
        <v>1318</v>
      </c>
      <c r="G302" t="s">
        <v>41</v>
      </c>
      <c r="H302">
        <v>74700</v>
      </c>
      <c r="I302" t="s">
        <v>3642</v>
      </c>
      <c r="J302" t="s">
        <v>1319</v>
      </c>
      <c r="K302" t="s">
        <v>1320</v>
      </c>
      <c r="L302" t="s">
        <v>49</v>
      </c>
      <c r="M302" s="7">
        <v>5.3</v>
      </c>
      <c r="N302" s="7">
        <v>5.9</v>
      </c>
      <c r="O302" s="7">
        <v>1.7609999999999999</v>
      </c>
      <c r="P302" s="7">
        <v>1.5129999999999999</v>
      </c>
      <c r="Q302">
        <v>25</v>
      </c>
      <c r="R302">
        <v>15</v>
      </c>
      <c r="U302">
        <v>1</v>
      </c>
      <c r="X302">
        <v>17</v>
      </c>
      <c r="Y302">
        <v>43</v>
      </c>
      <c r="Z302">
        <v>-7</v>
      </c>
      <c r="AA302">
        <v>24</v>
      </c>
      <c r="AD302">
        <v>35</v>
      </c>
      <c r="AE302" t="s">
        <v>3493</v>
      </c>
      <c r="AF302" t="s">
        <v>2944</v>
      </c>
      <c r="AL302" t="s">
        <v>684</v>
      </c>
      <c r="AN302" s="7">
        <v>6.35</v>
      </c>
      <c r="AO302" s="7">
        <v>12.7</v>
      </c>
      <c r="AP302" s="7">
        <v>25</v>
      </c>
      <c r="AQ302" t="s">
        <v>49</v>
      </c>
      <c r="AR302" t="s">
        <v>49</v>
      </c>
      <c r="AS302" t="s">
        <v>49</v>
      </c>
      <c r="AT302" t="s">
        <v>49</v>
      </c>
      <c r="AU302" t="s">
        <v>50</v>
      </c>
      <c r="AV302" s="7" t="s">
        <v>3021</v>
      </c>
      <c r="AW302" s="7" t="s">
        <v>3036</v>
      </c>
      <c r="AX302">
        <v>20</v>
      </c>
      <c r="BC302">
        <v>70</v>
      </c>
      <c r="BE302" s="7" t="s">
        <v>3279</v>
      </c>
      <c r="BF302" t="s">
        <v>49</v>
      </c>
      <c r="BH302">
        <v>53</v>
      </c>
      <c r="BI302" t="s">
        <v>120</v>
      </c>
      <c r="BS302" t="s">
        <v>1321</v>
      </c>
      <c r="CH302">
        <v>605</v>
      </c>
      <c r="CI302">
        <v>653</v>
      </c>
      <c r="CJ302">
        <v>780</v>
      </c>
      <c r="CK302">
        <v>883</v>
      </c>
      <c r="CL302">
        <v>290</v>
      </c>
      <c r="CM302">
        <v>412</v>
      </c>
      <c r="CN302" s="2">
        <v>38</v>
      </c>
      <c r="CO302">
        <v>42</v>
      </c>
      <c r="CP302" s="2">
        <v>210</v>
      </c>
      <c r="CQ302">
        <v>280</v>
      </c>
      <c r="CR302">
        <v>920</v>
      </c>
      <c r="CS302">
        <v>1115</v>
      </c>
      <c r="CT302">
        <v>605</v>
      </c>
      <c r="CU302">
        <v>690</v>
      </c>
      <c r="CV302" s="7">
        <v>23</v>
      </c>
      <c r="CW302" s="7">
        <v>28</v>
      </c>
    </row>
    <row r="303" spans="1:101" x14ac:dyDescent="0.25">
      <c r="A303" t="s">
        <v>1322</v>
      </c>
      <c r="B303" t="s">
        <v>1196</v>
      </c>
      <c r="C303" t="s">
        <v>214</v>
      </c>
      <c r="D303" t="s">
        <v>1323</v>
      </c>
      <c r="E303" t="s">
        <v>2148</v>
      </c>
      <c r="F303" t="s">
        <v>1318</v>
      </c>
      <c r="G303" t="s">
        <v>41</v>
      </c>
      <c r="H303">
        <v>91100</v>
      </c>
      <c r="I303" t="s">
        <v>3643</v>
      </c>
      <c r="J303" t="s">
        <v>1324</v>
      </c>
      <c r="K303" t="s">
        <v>1325</v>
      </c>
      <c r="L303" t="s">
        <v>49</v>
      </c>
      <c r="M303" s="7">
        <v>7.2</v>
      </c>
      <c r="N303" s="7">
        <v>7.9</v>
      </c>
      <c r="O303" s="7">
        <v>2.351</v>
      </c>
      <c r="P303" s="7">
        <v>2.3879999999999999</v>
      </c>
      <c r="Q303">
        <v>30</v>
      </c>
      <c r="R303">
        <v>15</v>
      </c>
      <c r="U303">
        <v>1</v>
      </c>
      <c r="X303">
        <v>17</v>
      </c>
      <c r="Y303">
        <v>43</v>
      </c>
      <c r="Z303">
        <v>-7</v>
      </c>
      <c r="AA303">
        <v>24</v>
      </c>
      <c r="AD303">
        <v>50</v>
      </c>
      <c r="AE303" t="s">
        <v>3644</v>
      </c>
      <c r="AF303" t="s">
        <v>3645</v>
      </c>
      <c r="AL303" t="s">
        <v>684</v>
      </c>
      <c r="AN303" s="7">
        <v>9.52</v>
      </c>
      <c r="AO303" s="7">
        <v>15.88</v>
      </c>
      <c r="AP303" s="7">
        <v>25</v>
      </c>
      <c r="AQ303" t="s">
        <v>49</v>
      </c>
      <c r="AR303" t="s">
        <v>49</v>
      </c>
      <c r="AS303" t="s">
        <v>49</v>
      </c>
      <c r="AT303" t="s">
        <v>49</v>
      </c>
      <c r="AU303" t="s">
        <v>50</v>
      </c>
      <c r="AV303" s="7" t="s">
        <v>3037</v>
      </c>
      <c r="AW303" s="7" t="s">
        <v>3038</v>
      </c>
      <c r="AX303">
        <v>25</v>
      </c>
      <c r="BC303">
        <v>70</v>
      </c>
      <c r="BE303" s="7" t="s">
        <v>3280</v>
      </c>
      <c r="BF303" t="s">
        <v>49</v>
      </c>
      <c r="BH303">
        <v>72</v>
      </c>
      <c r="BI303" t="s">
        <v>120</v>
      </c>
      <c r="BS303" t="s">
        <v>1326</v>
      </c>
      <c r="CH303">
        <v>650</v>
      </c>
      <c r="CI303">
        <v>720</v>
      </c>
      <c r="CJ303">
        <v>900</v>
      </c>
      <c r="CK303">
        <v>1015</v>
      </c>
      <c r="CL303">
        <v>310</v>
      </c>
      <c r="CM303">
        <v>425</v>
      </c>
      <c r="CN303" s="2">
        <v>51</v>
      </c>
      <c r="CO303">
        <v>54</v>
      </c>
      <c r="CP303" s="2">
        <v>270</v>
      </c>
      <c r="CQ303">
        <v>340</v>
      </c>
      <c r="CR303">
        <v>920</v>
      </c>
      <c r="CS303">
        <v>1115</v>
      </c>
      <c r="CT303">
        <v>605</v>
      </c>
      <c r="CU303">
        <v>690</v>
      </c>
      <c r="CV303" s="7">
        <v>28</v>
      </c>
      <c r="CW303" s="7">
        <v>32</v>
      </c>
    </row>
    <row r="304" spans="1:101" x14ac:dyDescent="0.25">
      <c r="A304" t="s">
        <v>1327</v>
      </c>
      <c r="B304" t="s">
        <v>1196</v>
      </c>
      <c r="C304" t="s">
        <v>214</v>
      </c>
      <c r="D304" t="s">
        <v>1328</v>
      </c>
      <c r="E304" t="s">
        <v>2148</v>
      </c>
      <c r="F304" t="s">
        <v>1318</v>
      </c>
      <c r="G304" t="s">
        <v>41</v>
      </c>
      <c r="H304">
        <v>124600</v>
      </c>
      <c r="I304" t="s">
        <v>3642</v>
      </c>
      <c r="J304" t="s">
        <v>1329</v>
      </c>
      <c r="K304" t="s">
        <v>1330</v>
      </c>
      <c r="L304" t="s">
        <v>49</v>
      </c>
      <c r="M304" s="7">
        <v>10.55</v>
      </c>
      <c r="N304" s="7">
        <v>12</v>
      </c>
      <c r="O304" s="7">
        <v>3.5840000000000001</v>
      </c>
      <c r="P304" s="7">
        <v>3.468</v>
      </c>
      <c r="Q304">
        <v>30</v>
      </c>
      <c r="R304">
        <v>20</v>
      </c>
      <c r="U304">
        <v>1</v>
      </c>
      <c r="X304">
        <v>17</v>
      </c>
      <c r="Y304">
        <v>43</v>
      </c>
      <c r="Z304">
        <v>-7</v>
      </c>
      <c r="AA304">
        <v>24</v>
      </c>
      <c r="AD304">
        <v>80</v>
      </c>
      <c r="AE304" t="s">
        <v>3497</v>
      </c>
      <c r="AF304" t="s">
        <v>3646</v>
      </c>
      <c r="AL304" t="s">
        <v>1218</v>
      </c>
      <c r="AN304" s="7">
        <v>9.52</v>
      </c>
      <c r="AO304" s="7">
        <v>19.05</v>
      </c>
      <c r="AP304" s="7">
        <v>25</v>
      </c>
      <c r="AQ304" t="s">
        <v>49</v>
      </c>
      <c r="AR304" t="s">
        <v>49</v>
      </c>
      <c r="AS304" t="s">
        <v>49</v>
      </c>
      <c r="AT304" t="s">
        <v>49</v>
      </c>
      <c r="AU304" t="s">
        <v>50</v>
      </c>
      <c r="AV304" s="7" t="s">
        <v>3039</v>
      </c>
      <c r="AW304" s="7" t="s">
        <v>3038</v>
      </c>
      <c r="AX304">
        <v>20</v>
      </c>
      <c r="BC304">
        <v>80</v>
      </c>
      <c r="BE304" s="7" t="s">
        <v>3281</v>
      </c>
      <c r="BF304" t="s">
        <v>49</v>
      </c>
      <c r="BH304">
        <v>106</v>
      </c>
      <c r="BI304" t="s">
        <v>241</v>
      </c>
      <c r="BS304" t="s">
        <v>1306</v>
      </c>
      <c r="CH304">
        <v>805</v>
      </c>
      <c r="CI304">
        <v>860</v>
      </c>
      <c r="CJ304">
        <v>900</v>
      </c>
      <c r="CK304">
        <v>1020</v>
      </c>
      <c r="CL304">
        <v>360</v>
      </c>
      <c r="CM304">
        <v>475</v>
      </c>
      <c r="CN304" s="2">
        <v>64</v>
      </c>
      <c r="CO304">
        <v>69</v>
      </c>
      <c r="CP304" s="2">
        <v>270</v>
      </c>
      <c r="CQ304">
        <v>345</v>
      </c>
      <c r="CR304">
        <v>1140</v>
      </c>
      <c r="CS304">
        <v>1345</v>
      </c>
      <c r="CT304">
        <v>745</v>
      </c>
      <c r="CU304">
        <v>830</v>
      </c>
      <c r="CV304" s="7">
        <v>36</v>
      </c>
      <c r="CW304" s="7">
        <v>43</v>
      </c>
    </row>
    <row r="305" spans="1:101" x14ac:dyDescent="0.25">
      <c r="A305" t="s">
        <v>1331</v>
      </c>
      <c r="B305" t="s">
        <v>1196</v>
      </c>
      <c r="C305" t="s">
        <v>214</v>
      </c>
      <c r="D305" t="s">
        <v>1332</v>
      </c>
      <c r="E305" t="s">
        <v>2148</v>
      </c>
      <c r="F305" t="s">
        <v>1318</v>
      </c>
      <c r="G305" t="s">
        <v>41</v>
      </c>
      <c r="H305">
        <v>149800</v>
      </c>
      <c r="I305" t="s">
        <v>3642</v>
      </c>
      <c r="J305" t="s">
        <v>1333</v>
      </c>
      <c r="K305" t="s">
        <v>1334</v>
      </c>
      <c r="L305" t="s">
        <v>49</v>
      </c>
      <c r="M305" s="7">
        <v>14</v>
      </c>
      <c r="N305" s="7">
        <v>14.65</v>
      </c>
      <c r="O305" s="7">
        <v>4.5599999999999996</v>
      </c>
      <c r="P305" s="7">
        <v>4.4459999999999997</v>
      </c>
      <c r="Q305">
        <v>50</v>
      </c>
      <c r="R305">
        <v>30</v>
      </c>
      <c r="U305">
        <v>1</v>
      </c>
      <c r="X305">
        <v>17</v>
      </c>
      <c r="Y305">
        <v>43</v>
      </c>
      <c r="Z305">
        <v>-7</v>
      </c>
      <c r="AA305">
        <v>24</v>
      </c>
      <c r="AD305">
        <v>90</v>
      </c>
      <c r="AE305" t="s">
        <v>3647</v>
      </c>
      <c r="AF305" t="s">
        <v>3500</v>
      </c>
      <c r="AL305" t="s">
        <v>1218</v>
      </c>
      <c r="AN305" s="7">
        <v>9.52</v>
      </c>
      <c r="AO305" s="7">
        <v>19.05</v>
      </c>
      <c r="AP305" s="7">
        <v>25</v>
      </c>
      <c r="AQ305" t="s">
        <v>49</v>
      </c>
      <c r="AR305" t="s">
        <v>49</v>
      </c>
      <c r="AS305" t="s">
        <v>49</v>
      </c>
      <c r="AT305" t="s">
        <v>49</v>
      </c>
      <c r="AU305" t="s">
        <v>50</v>
      </c>
      <c r="AV305" s="7" t="s">
        <v>3039</v>
      </c>
      <c r="AW305" s="7" t="s">
        <v>3038</v>
      </c>
      <c r="AX305">
        <v>20</v>
      </c>
      <c r="BC305">
        <v>100</v>
      </c>
      <c r="BE305" s="7" t="s">
        <v>3282</v>
      </c>
      <c r="BF305" t="s">
        <v>49</v>
      </c>
      <c r="BH305">
        <v>140</v>
      </c>
      <c r="BI305" t="s">
        <v>241</v>
      </c>
      <c r="BS305" t="s">
        <v>1335</v>
      </c>
      <c r="CH305">
        <v>1250</v>
      </c>
      <c r="CI305">
        <v>1365</v>
      </c>
      <c r="CJ305">
        <v>940</v>
      </c>
      <c r="CK305">
        <v>1030</v>
      </c>
      <c r="CL305">
        <v>340</v>
      </c>
      <c r="CM305">
        <v>430</v>
      </c>
      <c r="CN305" s="2">
        <v>93</v>
      </c>
      <c r="CO305">
        <v>103</v>
      </c>
      <c r="CP305" s="2">
        <v>300</v>
      </c>
      <c r="CQ305">
        <v>375</v>
      </c>
      <c r="CR305">
        <v>1200</v>
      </c>
      <c r="CS305">
        <v>1405</v>
      </c>
      <c r="CT305">
        <v>835</v>
      </c>
      <c r="CU305">
        <v>925</v>
      </c>
      <c r="CV305" s="7">
        <v>45</v>
      </c>
      <c r="CW305" s="7">
        <v>52</v>
      </c>
    </row>
    <row r="306" spans="1:101" x14ac:dyDescent="0.25">
      <c r="A306" t="s">
        <v>1336</v>
      </c>
      <c r="B306" t="s">
        <v>1196</v>
      </c>
      <c r="C306" t="s">
        <v>214</v>
      </c>
      <c r="D306" t="s">
        <v>1337</v>
      </c>
      <c r="E306" t="s">
        <v>2148</v>
      </c>
      <c r="F306" t="s">
        <v>1318</v>
      </c>
      <c r="G306" t="s">
        <v>41</v>
      </c>
      <c r="H306">
        <v>167300</v>
      </c>
      <c r="I306" t="s">
        <v>3643</v>
      </c>
      <c r="J306" t="s">
        <v>1338</v>
      </c>
      <c r="K306" t="s">
        <v>1339</v>
      </c>
      <c r="L306" t="s">
        <v>49</v>
      </c>
      <c r="M306" s="7">
        <v>16.12</v>
      </c>
      <c r="N306" s="7">
        <v>17.73</v>
      </c>
      <c r="O306" s="7">
        <v>5.694</v>
      </c>
      <c r="P306" s="7">
        <v>4.8449999999999998</v>
      </c>
      <c r="Q306">
        <v>50</v>
      </c>
      <c r="R306">
        <v>30</v>
      </c>
      <c r="U306">
        <v>1</v>
      </c>
      <c r="X306">
        <v>17</v>
      </c>
      <c r="Y306">
        <v>43</v>
      </c>
      <c r="Z306">
        <v>-7</v>
      </c>
      <c r="AA306">
        <v>24</v>
      </c>
      <c r="AD306">
        <v>115</v>
      </c>
      <c r="AE306" t="s">
        <v>3499</v>
      </c>
      <c r="AF306" t="s">
        <v>3494</v>
      </c>
      <c r="AL306" t="s">
        <v>1218</v>
      </c>
      <c r="AN306" s="7">
        <v>9.52</v>
      </c>
      <c r="AO306" s="7">
        <v>19.05</v>
      </c>
      <c r="AP306" s="7">
        <v>25</v>
      </c>
      <c r="AQ306" t="s">
        <v>49</v>
      </c>
      <c r="AR306" t="s">
        <v>49</v>
      </c>
      <c r="AS306" t="s">
        <v>49</v>
      </c>
      <c r="AT306" t="s">
        <v>49</v>
      </c>
      <c r="AU306" t="s">
        <v>50</v>
      </c>
      <c r="AV306" s="7" t="s">
        <v>3039</v>
      </c>
      <c r="AW306" s="7" t="s">
        <v>3038</v>
      </c>
      <c r="AX306">
        <v>20</v>
      </c>
      <c r="BC306">
        <v>100</v>
      </c>
      <c r="BE306" s="7" t="s">
        <v>3283</v>
      </c>
      <c r="BF306" t="s">
        <v>49</v>
      </c>
      <c r="BH306">
        <v>161</v>
      </c>
      <c r="BI306" t="s">
        <v>241</v>
      </c>
      <c r="BS306" t="s">
        <v>1340</v>
      </c>
      <c r="CH306">
        <v>1250</v>
      </c>
      <c r="CI306">
        <v>1365</v>
      </c>
      <c r="CJ306">
        <v>940</v>
      </c>
      <c r="CK306">
        <v>1030</v>
      </c>
      <c r="CL306">
        <v>340</v>
      </c>
      <c r="CM306">
        <v>430</v>
      </c>
      <c r="CN306" s="2">
        <v>101</v>
      </c>
      <c r="CO306">
        <v>111</v>
      </c>
      <c r="CP306" s="2">
        <v>300</v>
      </c>
      <c r="CQ306">
        <v>375</v>
      </c>
      <c r="CR306">
        <v>1200</v>
      </c>
      <c r="CS306">
        <v>1405</v>
      </c>
      <c r="CT306">
        <v>835</v>
      </c>
      <c r="CU306">
        <v>925</v>
      </c>
      <c r="CV306" s="7">
        <v>46</v>
      </c>
      <c r="CW306" s="7">
        <v>53</v>
      </c>
    </row>
    <row r="307" spans="1:101" x14ac:dyDescent="0.25">
      <c r="A307" t="s">
        <v>1341</v>
      </c>
      <c r="B307" t="s">
        <v>1196</v>
      </c>
      <c r="C307" t="s">
        <v>214</v>
      </c>
      <c r="D307" t="s">
        <v>1342</v>
      </c>
      <c r="E307" t="s">
        <v>2148</v>
      </c>
      <c r="F307" t="s">
        <v>1343</v>
      </c>
      <c r="G307" t="s">
        <v>41</v>
      </c>
      <c r="H307">
        <v>74700</v>
      </c>
      <c r="I307" t="s">
        <v>3648</v>
      </c>
      <c r="J307" t="s">
        <v>1344</v>
      </c>
      <c r="K307" t="s">
        <v>1345</v>
      </c>
      <c r="L307" t="s">
        <v>49</v>
      </c>
      <c r="M307" s="7">
        <v>5.28</v>
      </c>
      <c r="N307" s="7">
        <v>5.6</v>
      </c>
      <c r="O307" s="7">
        <v>1.73</v>
      </c>
      <c r="P307" s="7">
        <v>1.55</v>
      </c>
      <c r="Q307">
        <v>20</v>
      </c>
      <c r="R307">
        <v>15</v>
      </c>
      <c r="X307">
        <v>-15</v>
      </c>
      <c r="Y307">
        <v>49</v>
      </c>
      <c r="Z307">
        <v>-15</v>
      </c>
      <c r="AA307">
        <v>24</v>
      </c>
      <c r="AE307" t="s">
        <v>3649</v>
      </c>
      <c r="AF307" t="s">
        <v>3505</v>
      </c>
      <c r="AL307" t="s">
        <v>1218</v>
      </c>
      <c r="AN307" s="7">
        <v>6.35</v>
      </c>
      <c r="AO307" s="7">
        <v>12.7</v>
      </c>
      <c r="AP307" s="7">
        <v>20</v>
      </c>
      <c r="AQ307" t="s">
        <v>49</v>
      </c>
      <c r="AR307" t="s">
        <v>49</v>
      </c>
      <c r="AS307" t="s">
        <v>49</v>
      </c>
      <c r="AT307" t="s">
        <v>49</v>
      </c>
      <c r="AU307" t="s">
        <v>50</v>
      </c>
      <c r="AV307" s="7" t="s">
        <v>3019</v>
      </c>
      <c r="AW307" s="7" t="s">
        <v>3023</v>
      </c>
      <c r="AX307">
        <v>20</v>
      </c>
      <c r="BB307" t="s">
        <v>1098</v>
      </c>
      <c r="BC307">
        <v>25</v>
      </c>
      <c r="BE307" s="7" t="s">
        <v>3284</v>
      </c>
      <c r="BF307" t="s">
        <v>49</v>
      </c>
      <c r="BH307">
        <v>52</v>
      </c>
      <c r="BI307" t="s">
        <v>120</v>
      </c>
      <c r="BS307" t="s">
        <v>1346</v>
      </c>
      <c r="CH307">
        <v>545</v>
      </c>
      <c r="CI307">
        <v>620</v>
      </c>
      <c r="CJ307">
        <v>800</v>
      </c>
      <c r="CK307">
        <v>920</v>
      </c>
      <c r="CL307">
        <v>315</v>
      </c>
      <c r="CM307">
        <v>400</v>
      </c>
      <c r="CN307" s="2">
        <v>36</v>
      </c>
      <c r="CO307">
        <v>39</v>
      </c>
      <c r="CP307" s="2">
        <v>450</v>
      </c>
      <c r="CQ307">
        <v>555</v>
      </c>
      <c r="CR307">
        <v>1000</v>
      </c>
      <c r="CS307">
        <v>1300</v>
      </c>
      <c r="CT307">
        <v>200</v>
      </c>
      <c r="CU307">
        <v>275</v>
      </c>
      <c r="CV307" s="7">
        <v>20</v>
      </c>
      <c r="CW307" s="7">
        <v>24</v>
      </c>
    </row>
    <row r="308" spans="1:101" x14ac:dyDescent="0.25">
      <c r="A308" t="s">
        <v>1347</v>
      </c>
      <c r="B308" t="s">
        <v>1196</v>
      </c>
      <c r="C308" t="s">
        <v>214</v>
      </c>
      <c r="D308" t="s">
        <v>1348</v>
      </c>
      <c r="E308" t="s">
        <v>2148</v>
      </c>
      <c r="F308" t="s">
        <v>1343</v>
      </c>
      <c r="G308" t="s">
        <v>41</v>
      </c>
      <c r="H308">
        <v>91100</v>
      </c>
      <c r="I308" t="s">
        <v>3648</v>
      </c>
      <c r="J308" t="s">
        <v>1344</v>
      </c>
      <c r="K308" t="s">
        <v>1345</v>
      </c>
      <c r="L308" t="s">
        <v>49</v>
      </c>
      <c r="M308" s="7">
        <v>7.03</v>
      </c>
      <c r="N308" s="7">
        <v>7.4</v>
      </c>
      <c r="O308" s="7">
        <v>2.15</v>
      </c>
      <c r="P308" s="7">
        <v>1.88</v>
      </c>
      <c r="Q308">
        <v>20</v>
      </c>
      <c r="R308">
        <v>15</v>
      </c>
      <c r="X308">
        <v>-15</v>
      </c>
      <c r="Y308">
        <v>49</v>
      </c>
      <c r="Z308">
        <v>-15</v>
      </c>
      <c r="AA308">
        <v>24</v>
      </c>
      <c r="AE308" t="s">
        <v>3650</v>
      </c>
      <c r="AF308" t="s">
        <v>3651</v>
      </c>
      <c r="AL308" t="s">
        <v>1218</v>
      </c>
      <c r="AN308" s="7">
        <v>9.52</v>
      </c>
      <c r="AO308" s="7">
        <v>15.88</v>
      </c>
      <c r="AP308" s="7">
        <v>20</v>
      </c>
      <c r="AQ308" t="s">
        <v>49</v>
      </c>
      <c r="AR308" t="s">
        <v>49</v>
      </c>
      <c r="AS308" t="s">
        <v>49</v>
      </c>
      <c r="AT308" t="s">
        <v>49</v>
      </c>
      <c r="AU308" t="s">
        <v>50</v>
      </c>
      <c r="AV308" s="7" t="s">
        <v>3021</v>
      </c>
      <c r="AW308" s="7" t="s">
        <v>3031</v>
      </c>
      <c r="AX308">
        <v>25</v>
      </c>
      <c r="BB308" t="s">
        <v>1349</v>
      </c>
      <c r="BC308">
        <v>37</v>
      </c>
      <c r="BE308" s="7" t="s">
        <v>3285</v>
      </c>
      <c r="BF308" t="s">
        <v>49</v>
      </c>
      <c r="BH308">
        <v>70</v>
      </c>
      <c r="BI308" t="s">
        <v>120</v>
      </c>
      <c r="BS308" t="s">
        <v>1350</v>
      </c>
      <c r="CH308">
        <v>655</v>
      </c>
      <c r="CI308">
        <v>725</v>
      </c>
      <c r="CJ308">
        <v>825</v>
      </c>
      <c r="CK308">
        <v>945</v>
      </c>
      <c r="CL308">
        <v>310</v>
      </c>
      <c r="CM308">
        <v>435</v>
      </c>
      <c r="CN308" s="2">
        <v>46</v>
      </c>
      <c r="CO308">
        <v>49</v>
      </c>
      <c r="CP308" s="2">
        <v>700</v>
      </c>
      <c r="CQ308">
        <v>830</v>
      </c>
      <c r="CR308">
        <v>1000</v>
      </c>
      <c r="CS308">
        <v>1230</v>
      </c>
      <c r="CT308">
        <v>245</v>
      </c>
      <c r="CU308">
        <v>300</v>
      </c>
      <c r="CV308" s="7">
        <v>32</v>
      </c>
      <c r="CW308" s="7">
        <v>37</v>
      </c>
    </row>
    <row r="309" spans="1:101" x14ac:dyDescent="0.25">
      <c r="A309" t="s">
        <v>1351</v>
      </c>
      <c r="B309" t="s">
        <v>1196</v>
      </c>
      <c r="C309" t="s">
        <v>214</v>
      </c>
      <c r="D309" t="s">
        <v>1352</v>
      </c>
      <c r="E309" t="s">
        <v>2148</v>
      </c>
      <c r="F309" t="s">
        <v>1343</v>
      </c>
      <c r="G309" t="s">
        <v>41</v>
      </c>
      <c r="H309">
        <v>124600</v>
      </c>
      <c r="I309" t="s">
        <v>3648</v>
      </c>
      <c r="J309" t="s">
        <v>1344</v>
      </c>
      <c r="K309" t="s">
        <v>1345</v>
      </c>
      <c r="L309" t="s">
        <v>49</v>
      </c>
      <c r="M309" s="7">
        <v>10.55</v>
      </c>
      <c r="N309" s="7">
        <v>11.7</v>
      </c>
      <c r="O309" s="7">
        <v>3.5</v>
      </c>
      <c r="P309" s="7">
        <v>3.43</v>
      </c>
      <c r="Q309">
        <v>30</v>
      </c>
      <c r="R309">
        <v>20</v>
      </c>
      <c r="X309">
        <v>-15</v>
      </c>
      <c r="Y309">
        <v>49</v>
      </c>
      <c r="Z309">
        <v>-15</v>
      </c>
      <c r="AA309">
        <v>24</v>
      </c>
      <c r="AE309" t="s">
        <v>3493</v>
      </c>
      <c r="AF309" t="s">
        <v>3506</v>
      </c>
      <c r="AL309" t="s">
        <v>785</v>
      </c>
      <c r="AN309" s="7">
        <v>9.52</v>
      </c>
      <c r="AO309" s="7">
        <v>15.88</v>
      </c>
      <c r="AP309" s="7">
        <v>20</v>
      </c>
      <c r="AQ309" t="s">
        <v>49</v>
      </c>
      <c r="AR309" t="s">
        <v>49</v>
      </c>
      <c r="AS309" t="s">
        <v>49</v>
      </c>
      <c r="AT309" t="s">
        <v>49</v>
      </c>
      <c r="AU309" t="s">
        <v>50</v>
      </c>
      <c r="AV309" s="7" t="s">
        <v>3023</v>
      </c>
      <c r="AW309" s="7" t="s">
        <v>3035</v>
      </c>
      <c r="AX309">
        <v>20</v>
      </c>
      <c r="BB309" t="s">
        <v>1353</v>
      </c>
      <c r="BC309">
        <v>37</v>
      </c>
      <c r="BE309" s="7" t="s">
        <v>3286</v>
      </c>
      <c r="BF309" t="s">
        <v>49</v>
      </c>
      <c r="BH309">
        <v>105</v>
      </c>
      <c r="BI309" t="s">
        <v>241</v>
      </c>
      <c r="BS309" t="s">
        <v>1354</v>
      </c>
      <c r="CH309">
        <v>805</v>
      </c>
      <c r="CI309">
        <v>890</v>
      </c>
      <c r="CJ309">
        <v>970</v>
      </c>
      <c r="CK309">
        <v>1105</v>
      </c>
      <c r="CL309">
        <v>395</v>
      </c>
      <c r="CM309">
        <v>495</v>
      </c>
      <c r="CN309" s="2">
        <v>64</v>
      </c>
      <c r="CO309">
        <v>68</v>
      </c>
      <c r="CP309" s="2">
        <v>245</v>
      </c>
      <c r="CQ309">
        <v>300</v>
      </c>
      <c r="CR309">
        <v>1000</v>
      </c>
      <c r="CS309">
        <v>1230</v>
      </c>
      <c r="CT309">
        <v>700</v>
      </c>
      <c r="CU309">
        <v>830</v>
      </c>
      <c r="CV309" s="7">
        <v>32</v>
      </c>
      <c r="CW309" s="7">
        <v>37</v>
      </c>
    </row>
    <row r="310" spans="1:101" x14ac:dyDescent="0.25">
      <c r="A310" t="s">
        <v>1355</v>
      </c>
      <c r="B310" t="s">
        <v>1196</v>
      </c>
      <c r="C310" t="s">
        <v>214</v>
      </c>
      <c r="D310" t="s">
        <v>1356</v>
      </c>
      <c r="E310" t="s">
        <v>2148</v>
      </c>
      <c r="F310" t="s">
        <v>1343</v>
      </c>
      <c r="G310" t="s">
        <v>41</v>
      </c>
      <c r="H310">
        <v>149800</v>
      </c>
      <c r="I310" t="s">
        <v>3648</v>
      </c>
      <c r="J310" t="s">
        <v>1344</v>
      </c>
      <c r="K310" t="s">
        <v>1345</v>
      </c>
      <c r="L310" t="s">
        <v>49</v>
      </c>
      <c r="M310" s="7">
        <v>14.07</v>
      </c>
      <c r="N310" s="7">
        <v>15.24</v>
      </c>
      <c r="O310" s="7">
        <v>4.68</v>
      </c>
      <c r="P310" s="7">
        <v>4.42</v>
      </c>
      <c r="Q310">
        <v>50</v>
      </c>
      <c r="R310">
        <v>30</v>
      </c>
      <c r="X310">
        <v>-15</v>
      </c>
      <c r="Y310">
        <v>49</v>
      </c>
      <c r="Z310">
        <v>-15</v>
      </c>
      <c r="AA310">
        <v>24</v>
      </c>
      <c r="AE310" t="s">
        <v>3493</v>
      </c>
      <c r="AF310" t="s">
        <v>3652</v>
      </c>
      <c r="AL310" t="s">
        <v>684</v>
      </c>
      <c r="AN310" s="7">
        <v>9.52</v>
      </c>
      <c r="AO310" s="7">
        <v>19.05</v>
      </c>
      <c r="AP310" s="7">
        <v>20</v>
      </c>
      <c r="AQ310" t="s">
        <v>49</v>
      </c>
      <c r="AR310" t="s">
        <v>49</v>
      </c>
      <c r="AS310" t="s">
        <v>49</v>
      </c>
      <c r="AT310" t="s">
        <v>49</v>
      </c>
      <c r="AU310" t="s">
        <v>50</v>
      </c>
      <c r="AV310" s="7" t="s">
        <v>3023</v>
      </c>
      <c r="AW310" s="7" t="s">
        <v>3035</v>
      </c>
      <c r="AX310">
        <v>20</v>
      </c>
      <c r="BB310" t="s">
        <v>1353</v>
      </c>
      <c r="BC310">
        <v>50</v>
      </c>
      <c r="BE310" s="7" t="s">
        <v>3287</v>
      </c>
      <c r="BF310" t="s">
        <v>49</v>
      </c>
      <c r="BH310">
        <v>140</v>
      </c>
      <c r="BI310" t="s">
        <v>241</v>
      </c>
      <c r="BS310" t="s">
        <v>1357</v>
      </c>
      <c r="CH310">
        <v>1320</v>
      </c>
      <c r="CI310">
        <v>1440</v>
      </c>
      <c r="CJ310">
        <v>940</v>
      </c>
      <c r="CK310">
        <v>1080</v>
      </c>
      <c r="CL310">
        <v>340</v>
      </c>
      <c r="CM310">
        <v>430</v>
      </c>
      <c r="CN310" s="2">
        <v>85</v>
      </c>
      <c r="CO310">
        <v>94</v>
      </c>
      <c r="CP310" s="2">
        <v>700</v>
      </c>
      <c r="CQ310">
        <v>830</v>
      </c>
      <c r="CR310">
        <v>1400</v>
      </c>
      <c r="CS310">
        <v>1630</v>
      </c>
      <c r="CT310">
        <v>245</v>
      </c>
      <c r="CU310">
        <v>300</v>
      </c>
      <c r="CV310" s="7">
        <v>42</v>
      </c>
      <c r="CW310" s="7">
        <v>48</v>
      </c>
    </row>
    <row r="311" spans="1:101" x14ac:dyDescent="0.25">
      <c r="A311" t="s">
        <v>1358</v>
      </c>
      <c r="B311" t="s">
        <v>1196</v>
      </c>
      <c r="C311" t="s">
        <v>214</v>
      </c>
      <c r="D311" t="s">
        <v>1359</v>
      </c>
      <c r="E311" t="s">
        <v>2148</v>
      </c>
      <c r="F311" t="s">
        <v>1343</v>
      </c>
      <c r="G311" t="s">
        <v>41</v>
      </c>
      <c r="H311">
        <v>167300</v>
      </c>
      <c r="I311" t="s">
        <v>3648</v>
      </c>
      <c r="J311" t="s">
        <v>1344</v>
      </c>
      <c r="K311" t="s">
        <v>1345</v>
      </c>
      <c r="L311" t="s">
        <v>49</v>
      </c>
      <c r="M311" s="7">
        <v>16.12</v>
      </c>
      <c r="N311" s="7">
        <v>17.600000000000001</v>
      </c>
      <c r="O311" s="7">
        <v>5.55</v>
      </c>
      <c r="P311" s="7">
        <v>5.01</v>
      </c>
      <c r="Q311">
        <v>50</v>
      </c>
      <c r="R311">
        <v>30</v>
      </c>
      <c r="X311">
        <v>-15</v>
      </c>
      <c r="Y311">
        <v>49</v>
      </c>
      <c r="Z311">
        <v>-15</v>
      </c>
      <c r="AA311">
        <v>24</v>
      </c>
      <c r="AE311" t="s">
        <v>3578</v>
      </c>
      <c r="AF311" t="s">
        <v>3581</v>
      </c>
      <c r="AL311" t="s">
        <v>684</v>
      </c>
      <c r="AN311" s="7">
        <v>9.52</v>
      </c>
      <c r="AO311" s="7">
        <v>19.05</v>
      </c>
      <c r="AP311" s="7">
        <v>20</v>
      </c>
      <c r="AQ311" t="s">
        <v>49</v>
      </c>
      <c r="AR311" t="s">
        <v>49</v>
      </c>
      <c r="AS311" t="s">
        <v>49</v>
      </c>
      <c r="AT311" t="s">
        <v>49</v>
      </c>
      <c r="AU311" t="s">
        <v>50</v>
      </c>
      <c r="AV311" s="7" t="s">
        <v>3022</v>
      </c>
      <c r="AW311" s="7" t="s">
        <v>3035</v>
      </c>
      <c r="AX311">
        <v>25</v>
      </c>
      <c r="BB311" t="s">
        <v>1353</v>
      </c>
      <c r="BC311">
        <v>50</v>
      </c>
      <c r="BE311" s="7" t="s">
        <v>3288</v>
      </c>
      <c r="BF311" t="s">
        <v>49</v>
      </c>
      <c r="BH311">
        <v>160</v>
      </c>
      <c r="BI311" t="s">
        <v>241</v>
      </c>
      <c r="BS311" t="s">
        <v>1357</v>
      </c>
      <c r="CH311">
        <v>1320</v>
      </c>
      <c r="CI311">
        <v>1440</v>
      </c>
      <c r="CJ311">
        <v>940</v>
      </c>
      <c r="CK311">
        <v>1080</v>
      </c>
      <c r="CL311">
        <v>340</v>
      </c>
      <c r="CM311">
        <v>430</v>
      </c>
      <c r="CN311" s="2">
        <v>91</v>
      </c>
      <c r="CO311">
        <v>100</v>
      </c>
      <c r="CP311" s="2">
        <v>700</v>
      </c>
      <c r="CQ311">
        <v>830</v>
      </c>
      <c r="CR311">
        <v>1400</v>
      </c>
      <c r="CS311">
        <v>1630</v>
      </c>
      <c r="CT311">
        <v>245</v>
      </c>
      <c r="CU311">
        <v>300</v>
      </c>
      <c r="CV311" s="7">
        <v>42</v>
      </c>
      <c r="CW311" s="7">
        <v>48</v>
      </c>
    </row>
    <row r="312" spans="1:101" x14ac:dyDescent="0.25">
      <c r="A312" t="s">
        <v>1360</v>
      </c>
      <c r="B312" t="s">
        <v>1196</v>
      </c>
      <c r="C312" t="s">
        <v>214</v>
      </c>
      <c r="D312" t="s">
        <v>1361</v>
      </c>
      <c r="E312" t="s">
        <v>2149</v>
      </c>
      <c r="F312" t="s">
        <v>1362</v>
      </c>
      <c r="G312" t="s">
        <v>41</v>
      </c>
      <c r="H312">
        <v>64000</v>
      </c>
      <c r="I312" t="s">
        <v>3653</v>
      </c>
      <c r="J312" t="s">
        <v>1363</v>
      </c>
      <c r="K312" t="s">
        <v>1364</v>
      </c>
      <c r="L312" t="s">
        <v>49</v>
      </c>
      <c r="M312" s="7">
        <v>3.52</v>
      </c>
      <c r="N312" s="7">
        <v>3.96</v>
      </c>
      <c r="O312" s="7">
        <v>1.1599999999999999</v>
      </c>
      <c r="P312" s="7">
        <v>1.22</v>
      </c>
      <c r="Q312">
        <v>15</v>
      </c>
      <c r="R312">
        <v>10</v>
      </c>
      <c r="U312">
        <v>1</v>
      </c>
      <c r="X312">
        <v>-15</v>
      </c>
      <c r="Y312">
        <v>49</v>
      </c>
      <c r="Z312">
        <v>-15</v>
      </c>
      <c r="AA312">
        <v>24</v>
      </c>
      <c r="AD312">
        <v>25</v>
      </c>
      <c r="AE312" t="s">
        <v>3654</v>
      </c>
      <c r="AF312" t="s">
        <v>3641</v>
      </c>
      <c r="AL312" t="s">
        <v>785</v>
      </c>
      <c r="AN312" s="7">
        <v>6.35</v>
      </c>
      <c r="AO312" s="7">
        <v>12.7</v>
      </c>
      <c r="AP312" s="7">
        <v>20</v>
      </c>
      <c r="AQ312" t="s">
        <v>49</v>
      </c>
      <c r="AR312" t="s">
        <v>49</v>
      </c>
      <c r="AS312" t="s">
        <v>49</v>
      </c>
      <c r="AT312" t="s">
        <v>49</v>
      </c>
      <c r="AU312" t="s">
        <v>50</v>
      </c>
      <c r="AV312" s="7" t="s">
        <v>3021</v>
      </c>
      <c r="AW312" s="7" t="s">
        <v>3022</v>
      </c>
      <c r="AX312">
        <v>16</v>
      </c>
      <c r="BE312" s="7" t="s">
        <v>3289</v>
      </c>
      <c r="BF312" t="s">
        <v>49</v>
      </c>
      <c r="BH312">
        <v>35</v>
      </c>
      <c r="BI312" t="s">
        <v>120</v>
      </c>
      <c r="BS312" t="s">
        <v>1365</v>
      </c>
      <c r="CH312">
        <v>545</v>
      </c>
      <c r="CI312">
        <v>620</v>
      </c>
      <c r="CJ312">
        <v>730</v>
      </c>
      <c r="CK312">
        <v>845</v>
      </c>
      <c r="CL312">
        <v>285</v>
      </c>
      <c r="CM312">
        <v>370</v>
      </c>
      <c r="CN312" s="2">
        <v>28</v>
      </c>
      <c r="CO312">
        <v>31.5</v>
      </c>
      <c r="CP312" s="2">
        <v>55</v>
      </c>
      <c r="CQ312">
        <v>80</v>
      </c>
      <c r="CR312">
        <v>650</v>
      </c>
      <c r="CS312">
        <v>710</v>
      </c>
      <c r="CT312">
        <v>650</v>
      </c>
      <c r="CU312">
        <v>710</v>
      </c>
      <c r="CV312" s="7">
        <v>2.2000000000000002</v>
      </c>
      <c r="CW312" s="7">
        <v>3.7</v>
      </c>
    </row>
    <row r="313" spans="1:101" x14ac:dyDescent="0.25">
      <c r="A313" t="s">
        <v>1366</v>
      </c>
      <c r="B313" t="s">
        <v>1196</v>
      </c>
      <c r="C313" t="s">
        <v>214</v>
      </c>
      <c r="D313" t="s">
        <v>1367</v>
      </c>
      <c r="E313" t="s">
        <v>2149</v>
      </c>
      <c r="F313" t="s">
        <v>1362</v>
      </c>
      <c r="G313" t="s">
        <v>41</v>
      </c>
      <c r="H313">
        <v>65900</v>
      </c>
      <c r="I313" t="s">
        <v>3653</v>
      </c>
      <c r="J313" t="s">
        <v>1368</v>
      </c>
      <c r="K313" t="s">
        <v>1369</v>
      </c>
      <c r="L313" t="s">
        <v>49</v>
      </c>
      <c r="M313" s="7">
        <v>5.28</v>
      </c>
      <c r="N313" s="7">
        <v>5.6</v>
      </c>
      <c r="O313" s="7">
        <v>1.7</v>
      </c>
      <c r="P313" s="7">
        <v>1.64</v>
      </c>
      <c r="Q313">
        <v>20</v>
      </c>
      <c r="R313">
        <v>15</v>
      </c>
      <c r="U313">
        <v>1</v>
      </c>
      <c r="X313">
        <v>-15</v>
      </c>
      <c r="Y313">
        <v>49</v>
      </c>
      <c r="Z313">
        <v>-15</v>
      </c>
      <c r="AA313">
        <v>24</v>
      </c>
      <c r="AD313">
        <v>35</v>
      </c>
      <c r="AE313" t="s">
        <v>3637</v>
      </c>
      <c r="AF313" t="s">
        <v>3506</v>
      </c>
      <c r="AL313" t="s">
        <v>1218</v>
      </c>
      <c r="AN313" s="7">
        <v>6.35</v>
      </c>
      <c r="AO313" s="7">
        <v>12.7</v>
      </c>
      <c r="AP313" s="7">
        <v>20</v>
      </c>
      <c r="AQ313" t="s">
        <v>49</v>
      </c>
      <c r="AR313" t="s">
        <v>49</v>
      </c>
      <c r="AS313" t="s">
        <v>49</v>
      </c>
      <c r="AT313" t="s">
        <v>49</v>
      </c>
      <c r="AU313" t="s">
        <v>50</v>
      </c>
      <c r="AV313" s="7" t="s">
        <v>3021</v>
      </c>
      <c r="AW313" s="7" t="s">
        <v>3022</v>
      </c>
      <c r="AX313">
        <v>20</v>
      </c>
      <c r="BE313" s="7" t="s">
        <v>3290</v>
      </c>
      <c r="BF313" t="s">
        <v>49</v>
      </c>
      <c r="BH313">
        <v>53</v>
      </c>
      <c r="BI313" t="s">
        <v>120</v>
      </c>
      <c r="BS313" t="s">
        <v>1370</v>
      </c>
      <c r="CH313">
        <v>545</v>
      </c>
      <c r="CI313">
        <v>620</v>
      </c>
      <c r="CJ313">
        <v>800</v>
      </c>
      <c r="CK313">
        <v>920</v>
      </c>
      <c r="CL313">
        <v>315</v>
      </c>
      <c r="CM313">
        <v>400</v>
      </c>
      <c r="CN313" s="2">
        <v>42</v>
      </c>
      <c r="CO313">
        <v>45</v>
      </c>
      <c r="CP313" s="2">
        <v>55</v>
      </c>
      <c r="CQ313">
        <v>80</v>
      </c>
      <c r="CR313">
        <v>650</v>
      </c>
      <c r="CS313">
        <v>710</v>
      </c>
      <c r="CT313">
        <v>650</v>
      </c>
      <c r="CU313">
        <v>710</v>
      </c>
      <c r="CV313" s="7">
        <v>2.2000000000000002</v>
      </c>
      <c r="CW313" s="7">
        <v>3.7</v>
      </c>
    </row>
    <row r="314" spans="1:101" x14ac:dyDescent="0.25">
      <c r="A314" t="s">
        <v>1371</v>
      </c>
      <c r="B314" t="s">
        <v>1196</v>
      </c>
      <c r="C314" t="s">
        <v>214</v>
      </c>
      <c r="D314" t="s">
        <v>1372</v>
      </c>
      <c r="E314" t="s">
        <v>2149</v>
      </c>
      <c r="F314" t="s">
        <v>1362</v>
      </c>
      <c r="G314" t="s">
        <v>41</v>
      </c>
      <c r="H314">
        <v>85800</v>
      </c>
      <c r="I314" t="s">
        <v>3653</v>
      </c>
      <c r="J314" t="s">
        <v>1373</v>
      </c>
      <c r="K314" t="s">
        <v>1374</v>
      </c>
      <c r="L314" t="s">
        <v>49</v>
      </c>
      <c r="M314" s="7">
        <v>7.03</v>
      </c>
      <c r="N314" s="7">
        <v>7.88</v>
      </c>
      <c r="O314" s="7">
        <v>2.2599999999999998</v>
      </c>
      <c r="P314" s="7">
        <v>2.31</v>
      </c>
      <c r="Q314">
        <v>20</v>
      </c>
      <c r="R314">
        <v>15</v>
      </c>
      <c r="U314">
        <v>1</v>
      </c>
      <c r="X314">
        <v>-15</v>
      </c>
      <c r="Y314">
        <v>49</v>
      </c>
      <c r="Z314">
        <v>-15</v>
      </c>
      <c r="AA314">
        <v>24</v>
      </c>
      <c r="AD314">
        <v>50</v>
      </c>
      <c r="AE314" t="s">
        <v>3638</v>
      </c>
      <c r="AF314" t="s">
        <v>3506</v>
      </c>
      <c r="AL314" t="s">
        <v>1218</v>
      </c>
      <c r="AN314" s="7">
        <v>9.52</v>
      </c>
      <c r="AO314" s="7">
        <v>15.88</v>
      </c>
      <c r="AP314" s="7">
        <v>20</v>
      </c>
      <c r="AQ314" t="s">
        <v>49</v>
      </c>
      <c r="AR314" t="s">
        <v>49</v>
      </c>
      <c r="AS314" t="s">
        <v>49</v>
      </c>
      <c r="AT314" t="s">
        <v>49</v>
      </c>
      <c r="AU314" t="s">
        <v>50</v>
      </c>
      <c r="AV314" s="7" t="s">
        <v>3021</v>
      </c>
      <c r="AW314" s="7" t="s">
        <v>3033</v>
      </c>
      <c r="AX314">
        <v>25</v>
      </c>
      <c r="BE314" s="7" t="s">
        <v>3291</v>
      </c>
      <c r="BF314" t="s">
        <v>49</v>
      </c>
      <c r="BH314">
        <v>70</v>
      </c>
      <c r="BI314" t="s">
        <v>120</v>
      </c>
      <c r="BS314" t="s">
        <v>1375</v>
      </c>
      <c r="CH314">
        <v>655</v>
      </c>
      <c r="CI314">
        <v>725</v>
      </c>
      <c r="CJ314">
        <v>825</v>
      </c>
      <c r="CK314">
        <v>945</v>
      </c>
      <c r="CL314">
        <v>310</v>
      </c>
      <c r="CM314">
        <v>435</v>
      </c>
      <c r="CN314" s="2">
        <v>53</v>
      </c>
      <c r="CO314">
        <v>56</v>
      </c>
    </row>
    <row r="315" spans="1:101" x14ac:dyDescent="0.25">
      <c r="A315" t="s">
        <v>1376</v>
      </c>
      <c r="B315" t="s">
        <v>1196</v>
      </c>
      <c r="C315" t="s">
        <v>214</v>
      </c>
      <c r="D315" t="s">
        <v>1377</v>
      </c>
      <c r="E315" t="s">
        <v>2149</v>
      </c>
      <c r="F315" t="s">
        <v>1362</v>
      </c>
      <c r="G315" t="s">
        <v>41</v>
      </c>
      <c r="H315">
        <v>119500</v>
      </c>
      <c r="I315" t="s">
        <v>3653</v>
      </c>
      <c r="J315" t="s">
        <v>1373</v>
      </c>
      <c r="K315" t="s">
        <v>1374</v>
      </c>
      <c r="L315" t="s">
        <v>49</v>
      </c>
      <c r="M315" s="7">
        <v>10.6</v>
      </c>
      <c r="N315" s="7">
        <v>11.7</v>
      </c>
      <c r="O315" s="7">
        <v>3.77</v>
      </c>
      <c r="P315" s="7">
        <v>3.5</v>
      </c>
      <c r="Q315">
        <v>30</v>
      </c>
      <c r="R315">
        <v>20</v>
      </c>
      <c r="U315">
        <v>1</v>
      </c>
      <c r="X315">
        <v>-15</v>
      </c>
      <c r="Y315">
        <v>49</v>
      </c>
      <c r="Z315">
        <v>-15</v>
      </c>
      <c r="AA315">
        <v>24</v>
      </c>
      <c r="AD315">
        <v>80</v>
      </c>
      <c r="AE315" t="s">
        <v>3479</v>
      </c>
      <c r="AF315" t="s">
        <v>3640</v>
      </c>
      <c r="AL315" t="s">
        <v>1218</v>
      </c>
      <c r="AN315" s="7">
        <v>9.52</v>
      </c>
      <c r="AO315" s="7">
        <v>15.88</v>
      </c>
      <c r="AP315" s="7">
        <v>20</v>
      </c>
      <c r="AQ315" t="s">
        <v>49</v>
      </c>
      <c r="AR315" t="s">
        <v>49</v>
      </c>
      <c r="AS315" t="s">
        <v>49</v>
      </c>
      <c r="AT315" t="s">
        <v>49</v>
      </c>
      <c r="AU315" t="s">
        <v>50</v>
      </c>
      <c r="AV315" s="7" t="s">
        <v>3034</v>
      </c>
      <c r="AW315" s="7" t="s">
        <v>3035</v>
      </c>
      <c r="AX315">
        <v>20</v>
      </c>
      <c r="BE315" s="7" t="s">
        <v>3292</v>
      </c>
      <c r="BF315" t="s">
        <v>49</v>
      </c>
      <c r="BH315">
        <v>106</v>
      </c>
      <c r="BI315" t="s">
        <v>241</v>
      </c>
      <c r="BS315" t="s">
        <v>1378</v>
      </c>
      <c r="CH315">
        <v>805</v>
      </c>
      <c r="CI315">
        <v>895</v>
      </c>
      <c r="CJ315">
        <v>970</v>
      </c>
      <c r="CK315">
        <v>1105</v>
      </c>
      <c r="CL315">
        <v>395</v>
      </c>
      <c r="CM315">
        <v>495</v>
      </c>
      <c r="CN315" s="2">
        <v>65</v>
      </c>
      <c r="CO315">
        <v>75</v>
      </c>
    </row>
    <row r="316" spans="1:101" x14ac:dyDescent="0.25">
      <c r="A316" t="s">
        <v>1379</v>
      </c>
      <c r="B316" t="s">
        <v>1196</v>
      </c>
      <c r="C316" t="s">
        <v>214</v>
      </c>
      <c r="D316" t="s">
        <v>1380</v>
      </c>
      <c r="E316" t="s">
        <v>2149</v>
      </c>
      <c r="F316" t="s">
        <v>1362</v>
      </c>
      <c r="G316" t="s">
        <v>41</v>
      </c>
      <c r="H316">
        <v>138300</v>
      </c>
      <c r="I316" t="s">
        <v>3653</v>
      </c>
      <c r="J316" t="s">
        <v>1373</v>
      </c>
      <c r="K316" t="s">
        <v>1374</v>
      </c>
      <c r="L316" t="s">
        <v>49</v>
      </c>
      <c r="M316" s="7">
        <v>14.07</v>
      </c>
      <c r="N316" s="7">
        <v>15.55</v>
      </c>
      <c r="O316" s="7">
        <v>4.8499999999999996</v>
      </c>
      <c r="P316" s="7">
        <v>4.8</v>
      </c>
      <c r="Q316">
        <v>50</v>
      </c>
      <c r="R316">
        <v>30</v>
      </c>
      <c r="U316">
        <v>1</v>
      </c>
      <c r="X316">
        <v>-15</v>
      </c>
      <c r="Y316">
        <v>49</v>
      </c>
      <c r="Z316">
        <v>-15</v>
      </c>
      <c r="AA316">
        <v>24</v>
      </c>
      <c r="AD316">
        <v>90</v>
      </c>
      <c r="AE316" t="s">
        <v>3578</v>
      </c>
      <c r="AF316" t="s">
        <v>3641</v>
      </c>
      <c r="AL316" t="s">
        <v>1218</v>
      </c>
      <c r="AN316" s="7">
        <v>9.52</v>
      </c>
      <c r="AO316" s="7">
        <v>19.05</v>
      </c>
      <c r="AP316" s="7">
        <v>20</v>
      </c>
      <c r="AQ316" t="s">
        <v>49</v>
      </c>
      <c r="AR316" t="s">
        <v>49</v>
      </c>
      <c r="AS316" t="s">
        <v>49</v>
      </c>
      <c r="AT316" t="s">
        <v>49</v>
      </c>
      <c r="AU316" t="s">
        <v>50</v>
      </c>
      <c r="AV316" s="7" t="s">
        <v>3034</v>
      </c>
      <c r="AW316" s="7" t="s">
        <v>3035</v>
      </c>
      <c r="AX316">
        <v>20</v>
      </c>
      <c r="BE316" s="7" t="s">
        <v>3277</v>
      </c>
      <c r="BF316" t="s">
        <v>49</v>
      </c>
      <c r="BH316">
        <v>141</v>
      </c>
      <c r="BI316" t="s">
        <v>241</v>
      </c>
      <c r="BS316" t="s">
        <v>1381</v>
      </c>
      <c r="CH316">
        <v>1325</v>
      </c>
      <c r="CI316">
        <v>1440</v>
      </c>
      <c r="CJ316">
        <v>940</v>
      </c>
      <c r="CK316">
        <v>1080</v>
      </c>
      <c r="CL316">
        <v>370</v>
      </c>
      <c r="CM316">
        <v>430</v>
      </c>
      <c r="CN316" s="2">
        <v>95</v>
      </c>
      <c r="CO316">
        <v>105</v>
      </c>
    </row>
    <row r="317" spans="1:101" x14ac:dyDescent="0.25">
      <c r="A317" t="s">
        <v>1382</v>
      </c>
      <c r="B317" t="s">
        <v>1196</v>
      </c>
      <c r="C317" t="s">
        <v>214</v>
      </c>
      <c r="D317" t="s">
        <v>1383</v>
      </c>
      <c r="E317" t="s">
        <v>2149</v>
      </c>
      <c r="F317" t="s">
        <v>1362</v>
      </c>
      <c r="G317" t="s">
        <v>41</v>
      </c>
      <c r="H317">
        <v>150300</v>
      </c>
      <c r="I317" t="s">
        <v>3653</v>
      </c>
      <c r="J317" t="s">
        <v>1373</v>
      </c>
      <c r="K317" t="s">
        <v>1374</v>
      </c>
      <c r="L317" t="s">
        <v>49</v>
      </c>
      <c r="M317" s="7">
        <v>17.600000000000001</v>
      </c>
      <c r="N317" s="7">
        <v>18.5</v>
      </c>
      <c r="O317" s="7">
        <v>6.77</v>
      </c>
      <c r="P317" s="7">
        <v>5.78</v>
      </c>
      <c r="Q317">
        <v>50</v>
      </c>
      <c r="R317">
        <v>30</v>
      </c>
      <c r="U317">
        <v>1</v>
      </c>
      <c r="X317">
        <v>-15</v>
      </c>
      <c r="Y317">
        <v>49</v>
      </c>
      <c r="Z317">
        <v>-15</v>
      </c>
      <c r="AA317">
        <v>24</v>
      </c>
      <c r="AD317">
        <v>115</v>
      </c>
      <c r="AE317" t="s">
        <v>3600</v>
      </c>
      <c r="AF317" t="s">
        <v>3549</v>
      </c>
      <c r="AL317" t="s">
        <v>1218</v>
      </c>
      <c r="AN317" s="7">
        <v>9.52</v>
      </c>
      <c r="AO317" s="7">
        <v>19.05</v>
      </c>
      <c r="AP317" s="7">
        <v>20</v>
      </c>
      <c r="AQ317" t="s">
        <v>49</v>
      </c>
      <c r="AR317" t="s">
        <v>49</v>
      </c>
      <c r="AS317" t="s">
        <v>49</v>
      </c>
      <c r="AT317" t="s">
        <v>49</v>
      </c>
      <c r="AU317" t="s">
        <v>50</v>
      </c>
      <c r="AV317" s="7" t="s">
        <v>3034</v>
      </c>
      <c r="AW317" s="7" t="s">
        <v>3035</v>
      </c>
      <c r="AX317">
        <v>25</v>
      </c>
      <c r="BE317" s="7" t="s">
        <v>3293</v>
      </c>
      <c r="BF317" t="s">
        <v>49</v>
      </c>
      <c r="BH317">
        <v>176</v>
      </c>
      <c r="BI317" t="s">
        <v>241</v>
      </c>
      <c r="BS317" t="s">
        <v>1381</v>
      </c>
      <c r="CH317">
        <v>1325</v>
      </c>
      <c r="CI317">
        <v>1440</v>
      </c>
      <c r="CJ317">
        <v>940</v>
      </c>
      <c r="CK317">
        <v>1080</v>
      </c>
      <c r="CL317">
        <v>370</v>
      </c>
      <c r="CM317">
        <v>430</v>
      </c>
      <c r="CN317" s="2">
        <v>99</v>
      </c>
      <c r="CO317">
        <v>109</v>
      </c>
    </row>
    <row r="318" spans="1:101" x14ac:dyDescent="0.25">
      <c r="A318" t="s">
        <v>1386</v>
      </c>
      <c r="B318" t="s">
        <v>1196</v>
      </c>
      <c r="C318" t="s">
        <v>214</v>
      </c>
      <c r="D318" t="s">
        <v>1387</v>
      </c>
      <c r="E318" t="s">
        <v>2149</v>
      </c>
      <c r="F318" t="s">
        <v>1384</v>
      </c>
      <c r="G318" t="s">
        <v>41</v>
      </c>
      <c r="H318">
        <v>64000</v>
      </c>
      <c r="I318" t="s">
        <v>3655</v>
      </c>
      <c r="J318" t="s">
        <v>1388</v>
      </c>
      <c r="K318" t="s">
        <v>1389</v>
      </c>
      <c r="L318" t="s">
        <v>49</v>
      </c>
      <c r="M318" s="7">
        <v>3.52</v>
      </c>
      <c r="N318" s="7">
        <v>3.52</v>
      </c>
      <c r="O318" s="7">
        <v>1.1499999999999999</v>
      </c>
      <c r="P318" s="7">
        <v>1.17</v>
      </c>
      <c r="Q318">
        <v>25</v>
      </c>
      <c r="R318">
        <v>15</v>
      </c>
      <c r="U318">
        <v>1</v>
      </c>
      <c r="X318">
        <v>17</v>
      </c>
      <c r="Y318">
        <v>43</v>
      </c>
      <c r="Z318">
        <v>-7</v>
      </c>
      <c r="AA318">
        <v>24</v>
      </c>
      <c r="AD318">
        <v>25</v>
      </c>
      <c r="AE318" t="s">
        <v>3649</v>
      </c>
      <c r="AF318" t="s">
        <v>1390</v>
      </c>
      <c r="AL318" t="s">
        <v>684</v>
      </c>
      <c r="AN318" s="7">
        <v>6.35</v>
      </c>
      <c r="AO318" s="7">
        <v>12.7</v>
      </c>
      <c r="AP318" s="7">
        <v>32</v>
      </c>
      <c r="AQ318" t="s">
        <v>49</v>
      </c>
      <c r="AR318" t="s">
        <v>49</v>
      </c>
      <c r="AS318" t="s">
        <v>49</v>
      </c>
      <c r="AT318" t="s">
        <v>49</v>
      </c>
      <c r="AU318" t="s">
        <v>50</v>
      </c>
      <c r="AV318" s="7" t="s">
        <v>3021</v>
      </c>
      <c r="AW318" s="7" t="s">
        <v>3036</v>
      </c>
      <c r="AX318">
        <v>16</v>
      </c>
      <c r="BE318" s="7" t="s">
        <v>3294</v>
      </c>
      <c r="BF318" t="s">
        <v>49</v>
      </c>
      <c r="BH318">
        <v>35</v>
      </c>
      <c r="BI318" t="s">
        <v>120</v>
      </c>
      <c r="BS318" t="s">
        <v>995</v>
      </c>
      <c r="CH318">
        <v>550</v>
      </c>
      <c r="CI318">
        <v>590</v>
      </c>
      <c r="CJ318">
        <v>760</v>
      </c>
      <c r="CK318">
        <v>863</v>
      </c>
      <c r="CL318">
        <v>250</v>
      </c>
      <c r="CM318">
        <v>361</v>
      </c>
      <c r="CN318" s="2">
        <v>30</v>
      </c>
      <c r="CO318">
        <v>33</v>
      </c>
      <c r="CP318" s="2">
        <v>30</v>
      </c>
      <c r="CQ318">
        <v>65</v>
      </c>
      <c r="CR318">
        <v>650</v>
      </c>
      <c r="CS318">
        <v>690</v>
      </c>
      <c r="CT318">
        <v>650</v>
      </c>
      <c r="CU318">
        <v>690</v>
      </c>
      <c r="CV318" s="7">
        <v>2.5</v>
      </c>
      <c r="CW318" s="7">
        <v>4.5</v>
      </c>
    </row>
    <row r="319" spans="1:101" x14ac:dyDescent="0.25">
      <c r="A319" t="s">
        <v>1391</v>
      </c>
      <c r="B319" t="s">
        <v>1196</v>
      </c>
      <c r="C319" t="s">
        <v>214</v>
      </c>
      <c r="D319" t="s">
        <v>1392</v>
      </c>
      <c r="E319" t="s">
        <v>2149</v>
      </c>
      <c r="F319" t="s">
        <v>1384</v>
      </c>
      <c r="G319" t="s">
        <v>75</v>
      </c>
      <c r="H319">
        <v>65900</v>
      </c>
      <c r="I319" t="s">
        <v>3655</v>
      </c>
      <c r="J319" t="s">
        <v>1393</v>
      </c>
      <c r="K319" t="s">
        <v>1394</v>
      </c>
      <c r="L319" t="s">
        <v>49</v>
      </c>
      <c r="M319" s="7">
        <v>5.18</v>
      </c>
      <c r="N319" s="7">
        <v>5.6</v>
      </c>
      <c r="O319" s="7">
        <v>1.6830000000000001</v>
      </c>
      <c r="P319" s="7">
        <v>1.7609999999999999</v>
      </c>
      <c r="Q319">
        <v>25</v>
      </c>
      <c r="R319">
        <v>15</v>
      </c>
      <c r="U319">
        <v>1</v>
      </c>
      <c r="X319">
        <v>17</v>
      </c>
      <c r="Y319">
        <v>43</v>
      </c>
      <c r="Z319">
        <v>-7</v>
      </c>
      <c r="AA319">
        <v>24</v>
      </c>
      <c r="AD319">
        <v>35</v>
      </c>
      <c r="AE319" t="s">
        <v>3647</v>
      </c>
      <c r="AF319" t="s">
        <v>3656</v>
      </c>
      <c r="AL319" t="s">
        <v>684</v>
      </c>
      <c r="AN319" s="7">
        <v>6.35</v>
      </c>
      <c r="AO319" s="7">
        <v>12.7</v>
      </c>
      <c r="AP319" s="7">
        <v>32</v>
      </c>
      <c r="AQ319" t="s">
        <v>49</v>
      </c>
      <c r="AR319" t="s">
        <v>49</v>
      </c>
      <c r="AS319" t="s">
        <v>49</v>
      </c>
      <c r="AT319" t="s">
        <v>49</v>
      </c>
      <c r="AU319" t="s">
        <v>50</v>
      </c>
      <c r="AV319" s="7" t="s">
        <v>3021</v>
      </c>
      <c r="AW319" s="7" t="s">
        <v>3036</v>
      </c>
      <c r="AX319">
        <v>20</v>
      </c>
      <c r="BE319" s="7" t="s">
        <v>3295</v>
      </c>
      <c r="BF319" t="s">
        <v>49</v>
      </c>
      <c r="BH319">
        <v>52</v>
      </c>
      <c r="BI319" t="s">
        <v>120</v>
      </c>
      <c r="BS319" t="s">
        <v>995</v>
      </c>
      <c r="CH319">
        <v>605</v>
      </c>
      <c r="CI319">
        <v>653</v>
      </c>
      <c r="CJ319">
        <v>780</v>
      </c>
      <c r="CK319">
        <v>883</v>
      </c>
      <c r="CL319">
        <v>290</v>
      </c>
      <c r="CM319">
        <v>412</v>
      </c>
      <c r="CN319" s="2">
        <v>38</v>
      </c>
      <c r="CO319">
        <v>42</v>
      </c>
      <c r="CP319" s="2">
        <v>30</v>
      </c>
      <c r="CQ319">
        <v>65</v>
      </c>
      <c r="CR319">
        <v>650</v>
      </c>
      <c r="CS319">
        <v>690</v>
      </c>
      <c r="CT319">
        <v>650</v>
      </c>
      <c r="CU319">
        <v>690</v>
      </c>
      <c r="CV319" s="7">
        <v>2.5</v>
      </c>
      <c r="CW319" s="7">
        <v>4.5</v>
      </c>
    </row>
    <row r="320" spans="1:101" x14ac:dyDescent="0.25">
      <c r="A320" t="s">
        <v>1395</v>
      </c>
      <c r="B320" t="s">
        <v>1196</v>
      </c>
      <c r="C320" t="s">
        <v>214</v>
      </c>
      <c r="D320" t="s">
        <v>1396</v>
      </c>
      <c r="E320" t="s">
        <v>2149</v>
      </c>
      <c r="F320" t="s">
        <v>1384</v>
      </c>
      <c r="G320" t="s">
        <v>75</v>
      </c>
      <c r="H320">
        <v>85800</v>
      </c>
      <c r="I320" t="s">
        <v>3655</v>
      </c>
      <c r="J320" t="s">
        <v>1397</v>
      </c>
      <c r="K320" t="s">
        <v>1398</v>
      </c>
      <c r="L320" t="s">
        <v>49</v>
      </c>
      <c r="M320" s="7">
        <v>7.2</v>
      </c>
      <c r="N320" s="7">
        <v>7.9</v>
      </c>
      <c r="O320" s="7">
        <v>2.4319999999999999</v>
      </c>
      <c r="P320" s="7">
        <v>2.1920000000000002</v>
      </c>
      <c r="Q320">
        <v>30</v>
      </c>
      <c r="R320">
        <v>15</v>
      </c>
      <c r="U320">
        <v>1</v>
      </c>
      <c r="X320">
        <v>17</v>
      </c>
      <c r="Y320">
        <v>43</v>
      </c>
      <c r="Z320">
        <v>-7</v>
      </c>
      <c r="AA320">
        <v>24</v>
      </c>
      <c r="AD320">
        <v>50</v>
      </c>
      <c r="AE320" t="s">
        <v>3657</v>
      </c>
      <c r="AF320" t="s">
        <v>2987</v>
      </c>
      <c r="AL320" t="s">
        <v>684</v>
      </c>
      <c r="AN320" s="7">
        <v>9.52</v>
      </c>
      <c r="AO320" s="7">
        <v>15.88</v>
      </c>
      <c r="AP320" s="7">
        <v>32</v>
      </c>
      <c r="AQ320" t="s">
        <v>49</v>
      </c>
      <c r="AR320" t="s">
        <v>49</v>
      </c>
      <c r="AS320" t="s">
        <v>49</v>
      </c>
      <c r="AT320" t="s">
        <v>49</v>
      </c>
      <c r="AU320" t="s">
        <v>50</v>
      </c>
      <c r="AV320" s="7" t="s">
        <v>3037</v>
      </c>
      <c r="AW320" s="7" t="s">
        <v>3038</v>
      </c>
      <c r="AX320">
        <v>25</v>
      </c>
      <c r="BE320" s="7" t="s">
        <v>3296</v>
      </c>
      <c r="BF320" t="s">
        <v>49</v>
      </c>
      <c r="BH320">
        <v>72</v>
      </c>
      <c r="BI320" t="s">
        <v>120</v>
      </c>
      <c r="BS320" t="s">
        <v>1399</v>
      </c>
      <c r="CH320">
        <v>650</v>
      </c>
      <c r="CI320">
        <v>720</v>
      </c>
      <c r="CJ320">
        <v>900</v>
      </c>
      <c r="CK320">
        <v>1015</v>
      </c>
      <c r="CL320">
        <v>310</v>
      </c>
      <c r="CM320">
        <v>425</v>
      </c>
      <c r="CN320" s="2">
        <v>51</v>
      </c>
      <c r="CO320">
        <v>54</v>
      </c>
      <c r="CP320" s="2">
        <v>45</v>
      </c>
      <c r="CQ320">
        <v>80</v>
      </c>
      <c r="CR320">
        <v>950</v>
      </c>
      <c r="CS320">
        <v>1035</v>
      </c>
      <c r="CT320">
        <v>950</v>
      </c>
      <c r="CU320">
        <v>1035</v>
      </c>
      <c r="CV320" s="7">
        <v>6</v>
      </c>
      <c r="CW320" s="7">
        <v>9</v>
      </c>
    </row>
    <row r="321" spans="1:101" x14ac:dyDescent="0.25">
      <c r="A321" t="s">
        <v>1400</v>
      </c>
      <c r="B321" t="s">
        <v>1196</v>
      </c>
      <c r="C321" t="s">
        <v>214</v>
      </c>
      <c r="D321" t="s">
        <v>1401</v>
      </c>
      <c r="E321" t="s">
        <v>2149</v>
      </c>
      <c r="F321" t="s">
        <v>1384</v>
      </c>
      <c r="G321" t="s">
        <v>41</v>
      </c>
      <c r="H321">
        <v>85800</v>
      </c>
      <c r="I321" t="s">
        <v>3655</v>
      </c>
      <c r="J321" t="s">
        <v>1402</v>
      </c>
      <c r="K321" t="s">
        <v>1403</v>
      </c>
      <c r="L321" t="s">
        <v>49</v>
      </c>
      <c r="M321" s="7">
        <v>7.2</v>
      </c>
      <c r="N321" s="7">
        <v>7.9</v>
      </c>
      <c r="O321" s="7">
        <v>2.4319999999999999</v>
      </c>
      <c r="P321" s="7">
        <v>2.1920000000000002</v>
      </c>
      <c r="Q321">
        <v>30</v>
      </c>
      <c r="R321">
        <v>15</v>
      </c>
      <c r="U321">
        <v>1</v>
      </c>
      <c r="X321">
        <v>17</v>
      </c>
      <c r="Y321">
        <v>43</v>
      </c>
      <c r="Z321">
        <v>-7</v>
      </c>
      <c r="AA321">
        <v>24</v>
      </c>
      <c r="AD321">
        <v>50</v>
      </c>
      <c r="AE321" t="s">
        <v>3657</v>
      </c>
      <c r="AF321" t="s">
        <v>3658</v>
      </c>
      <c r="AL321" t="s">
        <v>684</v>
      </c>
      <c r="AN321" s="7">
        <v>9.52</v>
      </c>
      <c r="AO321" s="7">
        <v>15.88</v>
      </c>
      <c r="AP321" s="7">
        <v>32</v>
      </c>
      <c r="AQ321" t="s">
        <v>49</v>
      </c>
      <c r="AR321" t="s">
        <v>49</v>
      </c>
      <c r="AS321" t="s">
        <v>49</v>
      </c>
      <c r="AT321" t="s">
        <v>49</v>
      </c>
      <c r="AU321" t="s">
        <v>50</v>
      </c>
      <c r="AV321" s="7" t="s">
        <v>3040</v>
      </c>
      <c r="AW321" s="7" t="s">
        <v>3041</v>
      </c>
      <c r="AX321">
        <v>25</v>
      </c>
      <c r="BE321" s="7" t="s">
        <v>3296</v>
      </c>
      <c r="BF321" t="s">
        <v>49</v>
      </c>
      <c r="BH321">
        <v>72</v>
      </c>
      <c r="BI321" t="s">
        <v>120</v>
      </c>
      <c r="BS321" t="s">
        <v>1399</v>
      </c>
      <c r="CH321">
        <v>650</v>
      </c>
      <c r="CI321">
        <v>720</v>
      </c>
      <c r="CJ321">
        <v>900</v>
      </c>
      <c r="CK321">
        <v>1015</v>
      </c>
      <c r="CL321">
        <v>310</v>
      </c>
      <c r="CM321">
        <v>425</v>
      </c>
      <c r="CN321" s="2">
        <v>51</v>
      </c>
      <c r="CO321">
        <v>54</v>
      </c>
      <c r="CP321" s="2">
        <v>45</v>
      </c>
      <c r="CQ321">
        <v>80</v>
      </c>
      <c r="CR321">
        <v>950</v>
      </c>
      <c r="CS321">
        <v>1035</v>
      </c>
      <c r="CT321">
        <v>950</v>
      </c>
      <c r="CU321">
        <v>1035</v>
      </c>
      <c r="CV321" s="7">
        <v>6</v>
      </c>
      <c r="CW321" s="7">
        <v>9</v>
      </c>
    </row>
    <row r="322" spans="1:101" x14ac:dyDescent="0.25">
      <c r="A322" t="s">
        <v>1404</v>
      </c>
      <c r="B322" t="s">
        <v>1196</v>
      </c>
      <c r="C322" t="s">
        <v>214</v>
      </c>
      <c r="D322" t="s">
        <v>1405</v>
      </c>
      <c r="E322" t="s">
        <v>2149</v>
      </c>
      <c r="F322" t="s">
        <v>1384</v>
      </c>
      <c r="G322" t="s">
        <v>75</v>
      </c>
      <c r="H322">
        <v>119500</v>
      </c>
      <c r="I322" t="s">
        <v>3659</v>
      </c>
      <c r="J322" t="s">
        <v>1406</v>
      </c>
      <c r="K322" t="s">
        <v>1407</v>
      </c>
      <c r="L322" t="s">
        <v>49</v>
      </c>
      <c r="M322" s="7">
        <v>10.5</v>
      </c>
      <c r="N322" s="7">
        <v>12</v>
      </c>
      <c r="O322" s="7">
        <v>3.7229999999999999</v>
      </c>
      <c r="P322" s="7">
        <v>3.4089999999999998</v>
      </c>
      <c r="Q322">
        <v>30</v>
      </c>
      <c r="R322">
        <v>20</v>
      </c>
      <c r="U322">
        <v>1</v>
      </c>
      <c r="X322">
        <v>17</v>
      </c>
      <c r="Y322">
        <v>43</v>
      </c>
      <c r="Z322">
        <v>-7</v>
      </c>
      <c r="AA322">
        <v>24</v>
      </c>
      <c r="AD322">
        <v>80</v>
      </c>
      <c r="AE322" t="s">
        <v>3660</v>
      </c>
      <c r="AF322" t="s">
        <v>3551</v>
      </c>
      <c r="AL322" t="s">
        <v>1218</v>
      </c>
      <c r="AN322" s="7">
        <v>9.52</v>
      </c>
      <c r="AO322" s="7">
        <v>19.05</v>
      </c>
      <c r="AP322" s="7">
        <v>32</v>
      </c>
      <c r="AQ322" t="s">
        <v>49</v>
      </c>
      <c r="AR322" t="s">
        <v>49</v>
      </c>
      <c r="AS322" t="s">
        <v>49</v>
      </c>
      <c r="AT322" t="s">
        <v>49</v>
      </c>
      <c r="AU322" t="s">
        <v>50</v>
      </c>
      <c r="AV322" s="7" t="s">
        <v>3039</v>
      </c>
      <c r="AW322" s="7" t="s">
        <v>3038</v>
      </c>
      <c r="AX322">
        <v>20</v>
      </c>
      <c r="BE322" s="7" t="s">
        <v>3281</v>
      </c>
      <c r="BF322" t="s">
        <v>49</v>
      </c>
      <c r="BH322">
        <v>105</v>
      </c>
      <c r="BI322" t="s">
        <v>241</v>
      </c>
      <c r="BS322" t="s">
        <v>1408</v>
      </c>
      <c r="CH322">
        <v>805</v>
      </c>
      <c r="CI322">
        <v>860</v>
      </c>
      <c r="CJ322">
        <v>900</v>
      </c>
      <c r="CK322">
        <v>1020</v>
      </c>
      <c r="CL322">
        <v>360</v>
      </c>
      <c r="CM322">
        <v>475</v>
      </c>
      <c r="CN322" s="2">
        <v>64</v>
      </c>
      <c r="CO322">
        <v>69</v>
      </c>
      <c r="CP322" s="2">
        <v>45</v>
      </c>
      <c r="CQ322">
        <v>80</v>
      </c>
      <c r="CR322">
        <v>950</v>
      </c>
      <c r="CS322">
        <v>1035</v>
      </c>
      <c r="CT322">
        <v>950</v>
      </c>
      <c r="CU322">
        <v>1035</v>
      </c>
      <c r="CV322" s="7">
        <v>6</v>
      </c>
      <c r="CW322" s="7">
        <v>9</v>
      </c>
    </row>
    <row r="323" spans="1:101" x14ac:dyDescent="0.25">
      <c r="A323" t="s">
        <v>1409</v>
      </c>
      <c r="B323" t="s">
        <v>1196</v>
      </c>
      <c r="C323" t="s">
        <v>214</v>
      </c>
      <c r="D323" t="s">
        <v>1410</v>
      </c>
      <c r="E323" t="s">
        <v>2149</v>
      </c>
      <c r="F323" t="s">
        <v>1384</v>
      </c>
      <c r="G323" t="s">
        <v>41</v>
      </c>
      <c r="H323">
        <v>119500</v>
      </c>
      <c r="I323" t="s">
        <v>3655</v>
      </c>
      <c r="J323" t="s">
        <v>1411</v>
      </c>
      <c r="K323" t="s">
        <v>1412</v>
      </c>
      <c r="L323" t="s">
        <v>49</v>
      </c>
      <c r="M323" s="7">
        <v>10.5</v>
      </c>
      <c r="N323" s="7">
        <v>12</v>
      </c>
      <c r="O323" s="7">
        <v>3.7229999999999999</v>
      </c>
      <c r="P323" s="7">
        <v>3.4089999999999998</v>
      </c>
      <c r="Q323">
        <v>30</v>
      </c>
      <c r="R323">
        <v>20</v>
      </c>
      <c r="U323">
        <v>1</v>
      </c>
      <c r="X323">
        <v>17</v>
      </c>
      <c r="Y323">
        <v>43</v>
      </c>
      <c r="Z323">
        <v>-7</v>
      </c>
      <c r="AA323">
        <v>24</v>
      </c>
      <c r="AD323">
        <v>80</v>
      </c>
      <c r="AE323" t="s">
        <v>3660</v>
      </c>
      <c r="AF323" t="s">
        <v>3551</v>
      </c>
      <c r="AL323" t="s">
        <v>1218</v>
      </c>
      <c r="AN323" s="7">
        <v>9.52</v>
      </c>
      <c r="AO323" s="7">
        <v>19.05</v>
      </c>
      <c r="AP323" s="7">
        <v>32</v>
      </c>
      <c r="AQ323" t="s">
        <v>49</v>
      </c>
      <c r="AR323" t="s">
        <v>49</v>
      </c>
      <c r="AS323" t="s">
        <v>49</v>
      </c>
      <c r="AT323" t="s">
        <v>49</v>
      </c>
      <c r="AU323" t="s">
        <v>50</v>
      </c>
      <c r="AV323" s="7" t="s">
        <v>3039</v>
      </c>
      <c r="AW323" s="7" t="s">
        <v>3038</v>
      </c>
      <c r="AX323">
        <v>20</v>
      </c>
      <c r="BE323" s="7" t="s">
        <v>3281</v>
      </c>
      <c r="BF323" t="s">
        <v>49</v>
      </c>
      <c r="BH323">
        <v>105</v>
      </c>
      <c r="BI323" t="s">
        <v>241</v>
      </c>
      <c r="BS323" t="s">
        <v>1408</v>
      </c>
      <c r="CH323">
        <v>805</v>
      </c>
      <c r="CI323">
        <v>860</v>
      </c>
      <c r="CJ323">
        <v>900</v>
      </c>
      <c r="CK323">
        <v>1020</v>
      </c>
      <c r="CL323">
        <v>360</v>
      </c>
      <c r="CM323">
        <v>475</v>
      </c>
      <c r="CN323" s="2">
        <v>64</v>
      </c>
      <c r="CO323">
        <v>69</v>
      </c>
      <c r="CP323" s="2">
        <v>45</v>
      </c>
      <c r="CQ323">
        <v>80</v>
      </c>
      <c r="CR323">
        <v>950</v>
      </c>
      <c r="CS323">
        <v>1035</v>
      </c>
      <c r="CT323">
        <v>950</v>
      </c>
      <c r="CU323">
        <v>1035</v>
      </c>
      <c r="CV323" s="7">
        <v>6</v>
      </c>
      <c r="CW323" s="7">
        <v>9</v>
      </c>
    </row>
    <row r="324" spans="1:101" x14ac:dyDescent="0.25">
      <c r="A324" t="s">
        <v>1413</v>
      </c>
      <c r="B324" t="s">
        <v>1196</v>
      </c>
      <c r="C324" t="s">
        <v>214</v>
      </c>
      <c r="D324" t="s">
        <v>1414</v>
      </c>
      <c r="E324" t="s">
        <v>2149</v>
      </c>
      <c r="F324" t="s">
        <v>1384</v>
      </c>
      <c r="G324" t="s">
        <v>41</v>
      </c>
      <c r="H324">
        <v>138300</v>
      </c>
      <c r="I324" t="s">
        <v>3655</v>
      </c>
      <c r="J324" t="s">
        <v>1415</v>
      </c>
      <c r="K324" t="s">
        <v>1416</v>
      </c>
      <c r="L324" t="s">
        <v>49</v>
      </c>
      <c r="M324" s="7">
        <v>14</v>
      </c>
      <c r="N324" s="7">
        <v>14.65</v>
      </c>
      <c r="O324" s="7">
        <v>4.6360000000000001</v>
      </c>
      <c r="P324" s="7">
        <v>5.0789999999999997</v>
      </c>
      <c r="Q324">
        <v>50</v>
      </c>
      <c r="R324">
        <v>30</v>
      </c>
      <c r="U324">
        <v>1</v>
      </c>
      <c r="X324">
        <v>17</v>
      </c>
      <c r="Y324">
        <v>43</v>
      </c>
      <c r="Z324">
        <v>-7</v>
      </c>
      <c r="AA324">
        <v>24</v>
      </c>
      <c r="AD324">
        <v>90</v>
      </c>
      <c r="AE324" t="s">
        <v>3661</v>
      </c>
      <c r="AF324" t="s">
        <v>3662</v>
      </c>
      <c r="AL324" t="s">
        <v>1218</v>
      </c>
      <c r="AN324" s="7">
        <v>9.52</v>
      </c>
      <c r="AO324" s="7">
        <v>19.05</v>
      </c>
      <c r="AP324" s="7">
        <v>32</v>
      </c>
      <c r="AQ324" t="s">
        <v>49</v>
      </c>
      <c r="AR324" t="s">
        <v>49</v>
      </c>
      <c r="AS324" t="s">
        <v>49</v>
      </c>
      <c r="AT324" t="s">
        <v>49</v>
      </c>
      <c r="AU324" t="s">
        <v>50</v>
      </c>
      <c r="AV324" s="7" t="s">
        <v>3039</v>
      </c>
      <c r="AW324" s="7" t="s">
        <v>3038</v>
      </c>
      <c r="AX324">
        <v>20</v>
      </c>
      <c r="BE324" s="7" t="s">
        <v>3282</v>
      </c>
      <c r="BF324" t="s">
        <v>49</v>
      </c>
      <c r="BH324">
        <v>140</v>
      </c>
      <c r="BI324" t="s">
        <v>241</v>
      </c>
      <c r="BS324" t="s">
        <v>1408</v>
      </c>
      <c r="CH324">
        <v>1250</v>
      </c>
      <c r="CI324">
        <v>1365</v>
      </c>
      <c r="CJ324">
        <v>940</v>
      </c>
      <c r="CK324">
        <v>1030</v>
      </c>
      <c r="CL324">
        <v>340</v>
      </c>
      <c r="CM324">
        <v>430</v>
      </c>
      <c r="CN324" s="2">
        <v>93</v>
      </c>
      <c r="CO324">
        <v>103</v>
      </c>
      <c r="CP324" s="2">
        <v>45</v>
      </c>
      <c r="CQ324">
        <v>80</v>
      </c>
      <c r="CR324">
        <v>950</v>
      </c>
      <c r="CS324">
        <v>1035</v>
      </c>
      <c r="CT324">
        <v>950</v>
      </c>
      <c r="CU324">
        <v>1035</v>
      </c>
      <c r="CV324" s="7">
        <v>6</v>
      </c>
      <c r="CW324" s="7">
        <v>9</v>
      </c>
    </row>
    <row r="325" spans="1:101" x14ac:dyDescent="0.25">
      <c r="A325" t="s">
        <v>1417</v>
      </c>
      <c r="B325" t="s">
        <v>1196</v>
      </c>
      <c r="C325" t="s">
        <v>214</v>
      </c>
      <c r="D325" t="s">
        <v>1418</v>
      </c>
      <c r="E325" t="s">
        <v>2149</v>
      </c>
      <c r="F325" t="s">
        <v>1384</v>
      </c>
      <c r="G325" t="s">
        <v>41</v>
      </c>
      <c r="H325">
        <v>138300</v>
      </c>
      <c r="I325" t="s">
        <v>3655</v>
      </c>
      <c r="J325" t="s">
        <v>1419</v>
      </c>
      <c r="K325" t="s">
        <v>1420</v>
      </c>
      <c r="L325" t="s">
        <v>49</v>
      </c>
      <c r="M325" s="7">
        <v>14</v>
      </c>
      <c r="N325" s="7">
        <v>14.65</v>
      </c>
      <c r="O325" s="7">
        <v>4.6360000000000001</v>
      </c>
      <c r="P325" s="7">
        <v>5.0789999999999997</v>
      </c>
      <c r="Q325">
        <v>50</v>
      </c>
      <c r="R325">
        <v>30</v>
      </c>
      <c r="U325">
        <v>1</v>
      </c>
      <c r="X325">
        <v>17</v>
      </c>
      <c r="Y325">
        <v>43</v>
      </c>
      <c r="Z325">
        <v>-7</v>
      </c>
      <c r="AA325">
        <v>24</v>
      </c>
      <c r="AD325">
        <v>90</v>
      </c>
      <c r="AE325" t="s">
        <v>3661</v>
      </c>
      <c r="AF325" t="s">
        <v>3662</v>
      </c>
      <c r="AL325" t="s">
        <v>1218</v>
      </c>
      <c r="AN325" s="7">
        <v>9.52</v>
      </c>
      <c r="AO325" s="7">
        <v>19.05</v>
      </c>
      <c r="AP325" s="7">
        <v>32</v>
      </c>
      <c r="AQ325" t="s">
        <v>49</v>
      </c>
      <c r="AR325" t="s">
        <v>49</v>
      </c>
      <c r="AS325" t="s">
        <v>49</v>
      </c>
      <c r="AT325" t="s">
        <v>49</v>
      </c>
      <c r="AU325" t="s">
        <v>50</v>
      </c>
      <c r="AV325" s="7" t="s">
        <v>3039</v>
      </c>
      <c r="AW325" s="7" t="s">
        <v>3038</v>
      </c>
      <c r="AX325">
        <v>20</v>
      </c>
      <c r="BE325" s="7" t="s">
        <v>3282</v>
      </c>
      <c r="BF325" t="s">
        <v>49</v>
      </c>
      <c r="BH325">
        <v>140</v>
      </c>
      <c r="BI325" t="s">
        <v>241</v>
      </c>
      <c r="BS325" t="s">
        <v>1408</v>
      </c>
      <c r="CH325">
        <v>1250</v>
      </c>
      <c r="CI325">
        <v>1365</v>
      </c>
      <c r="CJ325">
        <v>940</v>
      </c>
      <c r="CK325">
        <v>1030</v>
      </c>
      <c r="CL325">
        <v>340</v>
      </c>
      <c r="CM325">
        <v>430</v>
      </c>
      <c r="CN325" s="2">
        <v>93</v>
      </c>
      <c r="CO325">
        <v>103</v>
      </c>
      <c r="CP325" s="2">
        <v>45</v>
      </c>
      <c r="CQ325">
        <v>80</v>
      </c>
      <c r="CR325">
        <v>950</v>
      </c>
      <c r="CS325">
        <v>1035</v>
      </c>
      <c r="CT325">
        <v>950</v>
      </c>
      <c r="CU325">
        <v>1035</v>
      </c>
      <c r="CV325" s="7">
        <v>6</v>
      </c>
      <c r="CW325" s="7">
        <v>9</v>
      </c>
    </row>
    <row r="326" spans="1:101" x14ac:dyDescent="0.25">
      <c r="A326" t="s">
        <v>1421</v>
      </c>
      <c r="B326" t="s">
        <v>1196</v>
      </c>
      <c r="C326" t="s">
        <v>214</v>
      </c>
      <c r="D326" t="s">
        <v>1422</v>
      </c>
      <c r="E326" t="s">
        <v>2149</v>
      </c>
      <c r="F326" t="s">
        <v>1384</v>
      </c>
      <c r="G326" t="s">
        <v>75</v>
      </c>
      <c r="H326">
        <v>150300</v>
      </c>
      <c r="I326" t="s">
        <v>3655</v>
      </c>
      <c r="J326" t="s">
        <v>1423</v>
      </c>
      <c r="K326" t="s">
        <v>1424</v>
      </c>
      <c r="L326" t="s">
        <v>49</v>
      </c>
      <c r="M326" s="7">
        <v>16.12</v>
      </c>
      <c r="N326" s="7">
        <v>17.73</v>
      </c>
      <c r="O326" s="7">
        <v>5.694</v>
      </c>
      <c r="P326" s="7">
        <v>5.7</v>
      </c>
      <c r="Q326">
        <v>50</v>
      </c>
      <c r="R326">
        <v>30</v>
      </c>
      <c r="U326">
        <v>1</v>
      </c>
      <c r="X326">
        <v>17</v>
      </c>
      <c r="Y326">
        <v>43</v>
      </c>
      <c r="Z326">
        <v>-7</v>
      </c>
      <c r="AA326">
        <v>24</v>
      </c>
      <c r="AD326">
        <v>115</v>
      </c>
      <c r="AE326" t="s">
        <v>3499</v>
      </c>
      <c r="AF326" t="s">
        <v>3663</v>
      </c>
      <c r="AL326" t="s">
        <v>1218</v>
      </c>
      <c r="AN326" s="7">
        <v>9.52</v>
      </c>
      <c r="AO326" s="7">
        <v>19.05</v>
      </c>
      <c r="AP326" s="7">
        <v>32</v>
      </c>
      <c r="AQ326" t="s">
        <v>49</v>
      </c>
      <c r="AR326" t="s">
        <v>49</v>
      </c>
      <c r="AS326" t="s">
        <v>49</v>
      </c>
      <c r="AT326" t="s">
        <v>49</v>
      </c>
      <c r="AU326" t="s">
        <v>50</v>
      </c>
      <c r="AV326" s="7" t="s">
        <v>3039</v>
      </c>
      <c r="AW326" s="7" t="s">
        <v>3038</v>
      </c>
      <c r="AX326">
        <v>25</v>
      </c>
      <c r="BE326" s="7" t="s">
        <v>3297</v>
      </c>
      <c r="BF326" t="s">
        <v>49</v>
      </c>
      <c r="BH326">
        <v>161</v>
      </c>
      <c r="BI326" t="s">
        <v>241</v>
      </c>
      <c r="BS326" t="s">
        <v>1425</v>
      </c>
      <c r="CH326">
        <v>1250</v>
      </c>
      <c r="CI326">
        <v>1365</v>
      </c>
      <c r="CJ326">
        <v>940</v>
      </c>
      <c r="CK326">
        <v>1030</v>
      </c>
      <c r="CL326">
        <v>340</v>
      </c>
      <c r="CM326">
        <v>430</v>
      </c>
      <c r="CN326" s="2">
        <v>101</v>
      </c>
      <c r="CO326">
        <v>111</v>
      </c>
      <c r="CP326" s="2">
        <v>45</v>
      </c>
      <c r="CQ326">
        <v>80</v>
      </c>
      <c r="CR326">
        <v>950</v>
      </c>
      <c r="CS326">
        <v>1035</v>
      </c>
      <c r="CT326">
        <v>950</v>
      </c>
      <c r="CU326">
        <v>1035</v>
      </c>
      <c r="CV326" s="7">
        <v>6</v>
      </c>
      <c r="CW326" s="7">
        <v>9</v>
      </c>
    </row>
    <row r="327" spans="1:101" x14ac:dyDescent="0.25">
      <c r="A327" t="s">
        <v>1426</v>
      </c>
      <c r="B327" t="s">
        <v>1196</v>
      </c>
      <c r="C327" t="s">
        <v>214</v>
      </c>
      <c r="D327" t="s">
        <v>1427</v>
      </c>
      <c r="E327" t="s">
        <v>2149</v>
      </c>
      <c r="F327" t="s">
        <v>1384</v>
      </c>
      <c r="G327" t="s">
        <v>41</v>
      </c>
      <c r="H327">
        <v>150300</v>
      </c>
      <c r="I327" t="s">
        <v>3655</v>
      </c>
      <c r="J327" t="s">
        <v>1428</v>
      </c>
      <c r="K327" t="s">
        <v>1429</v>
      </c>
      <c r="L327" t="s">
        <v>49</v>
      </c>
      <c r="M327" s="7">
        <v>16.12</v>
      </c>
      <c r="N327" s="7">
        <v>17.73</v>
      </c>
      <c r="O327" s="7">
        <v>5.694</v>
      </c>
      <c r="P327" s="7">
        <v>5.7</v>
      </c>
      <c r="Q327">
        <v>50</v>
      </c>
      <c r="R327">
        <v>30</v>
      </c>
      <c r="U327">
        <v>1</v>
      </c>
      <c r="X327">
        <v>17</v>
      </c>
      <c r="Y327">
        <v>43</v>
      </c>
      <c r="Z327">
        <v>-7</v>
      </c>
      <c r="AA327">
        <v>24</v>
      </c>
      <c r="AD327">
        <v>115</v>
      </c>
      <c r="AE327" t="s">
        <v>3499</v>
      </c>
      <c r="AF327" t="s">
        <v>3663</v>
      </c>
      <c r="AL327" t="s">
        <v>1218</v>
      </c>
      <c r="AN327" s="7">
        <v>9.52</v>
      </c>
      <c r="AO327" s="7">
        <v>19.05</v>
      </c>
      <c r="AP327" s="7">
        <v>32</v>
      </c>
      <c r="AQ327" t="s">
        <v>49</v>
      </c>
      <c r="AR327" t="s">
        <v>49</v>
      </c>
      <c r="AS327" t="s">
        <v>49</v>
      </c>
      <c r="AT327" t="s">
        <v>49</v>
      </c>
      <c r="AU327" t="s">
        <v>50</v>
      </c>
      <c r="AV327" s="7" t="s">
        <v>3034</v>
      </c>
      <c r="AW327" s="7" t="s">
        <v>3041</v>
      </c>
      <c r="AX327">
        <v>20</v>
      </c>
      <c r="BE327" s="7" t="s">
        <v>3297</v>
      </c>
      <c r="BF327" t="s">
        <v>49</v>
      </c>
      <c r="BH327">
        <v>161</v>
      </c>
      <c r="BI327" t="s">
        <v>241</v>
      </c>
      <c r="BS327" t="s">
        <v>1425</v>
      </c>
      <c r="CH327">
        <v>1250</v>
      </c>
      <c r="CI327">
        <v>1365</v>
      </c>
      <c r="CJ327">
        <v>940</v>
      </c>
      <c r="CK327">
        <v>1030</v>
      </c>
      <c r="CL327">
        <v>340</v>
      </c>
      <c r="CM327">
        <v>430</v>
      </c>
      <c r="CN327" s="2">
        <v>101</v>
      </c>
      <c r="CO327">
        <v>111</v>
      </c>
      <c r="CP327" s="2">
        <v>45</v>
      </c>
      <c r="CQ327">
        <v>80</v>
      </c>
      <c r="CR327">
        <v>950</v>
      </c>
      <c r="CS327">
        <v>1035</v>
      </c>
      <c r="CT327">
        <v>950</v>
      </c>
      <c r="CU327">
        <v>1035</v>
      </c>
      <c r="CV327" s="7">
        <v>6</v>
      </c>
      <c r="CW327" s="7">
        <v>9</v>
      </c>
    </row>
    <row r="328" spans="1:101" x14ac:dyDescent="0.25">
      <c r="A328" t="s">
        <v>1430</v>
      </c>
      <c r="B328" t="s">
        <v>1196</v>
      </c>
      <c r="C328" t="s">
        <v>214</v>
      </c>
      <c r="D328" t="s">
        <v>1431</v>
      </c>
      <c r="E328" t="s">
        <v>2149</v>
      </c>
      <c r="F328" t="s">
        <v>1432</v>
      </c>
      <c r="G328" t="s">
        <v>41</v>
      </c>
      <c r="H328">
        <v>64000</v>
      </c>
      <c r="I328" t="s">
        <v>3664</v>
      </c>
      <c r="J328" t="s">
        <v>1433</v>
      </c>
      <c r="K328" t="s">
        <v>1434</v>
      </c>
      <c r="L328" t="s">
        <v>49</v>
      </c>
      <c r="M328" s="7">
        <v>3.52</v>
      </c>
      <c r="N328" s="7">
        <v>3.96</v>
      </c>
      <c r="O328" s="7">
        <v>1.3</v>
      </c>
      <c r="P328" s="7">
        <v>1.28</v>
      </c>
      <c r="Q328">
        <v>20</v>
      </c>
      <c r="R328">
        <v>15</v>
      </c>
      <c r="X328">
        <v>-15</v>
      </c>
      <c r="Y328">
        <v>49</v>
      </c>
      <c r="Z328">
        <v>-15</v>
      </c>
      <c r="AA328">
        <v>24</v>
      </c>
      <c r="AE328" t="s">
        <v>3575</v>
      </c>
      <c r="AF328" t="s">
        <v>3665</v>
      </c>
      <c r="AL328" t="s">
        <v>785</v>
      </c>
      <c r="AN328" s="7">
        <v>6.35</v>
      </c>
      <c r="AO328" s="7">
        <v>12.7</v>
      </c>
      <c r="AP328" s="7">
        <v>20</v>
      </c>
      <c r="AQ328" t="s">
        <v>49</v>
      </c>
      <c r="AR328" t="s">
        <v>49</v>
      </c>
      <c r="AS328" t="s">
        <v>49</v>
      </c>
      <c r="AT328" t="s">
        <v>49</v>
      </c>
      <c r="AU328" t="s">
        <v>50</v>
      </c>
      <c r="AV328" s="7" t="s">
        <v>3019</v>
      </c>
      <c r="AW328" s="7" t="s">
        <v>3023</v>
      </c>
      <c r="AX328">
        <v>16</v>
      </c>
      <c r="BE328" s="7" t="s">
        <v>3298</v>
      </c>
      <c r="BF328" t="s">
        <v>49</v>
      </c>
      <c r="BH328">
        <v>35</v>
      </c>
      <c r="BI328" t="s">
        <v>120</v>
      </c>
      <c r="BS328" t="s">
        <v>1435</v>
      </c>
      <c r="CH328">
        <v>545</v>
      </c>
      <c r="CI328">
        <v>620</v>
      </c>
      <c r="CJ328">
        <v>730</v>
      </c>
      <c r="CK328">
        <v>850</v>
      </c>
      <c r="CL328">
        <v>285</v>
      </c>
      <c r="CM328">
        <v>370</v>
      </c>
      <c r="CN328" s="2">
        <v>28</v>
      </c>
      <c r="CO328">
        <v>32</v>
      </c>
      <c r="CP328" s="2">
        <v>55</v>
      </c>
      <c r="CQ328">
        <v>80</v>
      </c>
      <c r="CR328">
        <v>650</v>
      </c>
      <c r="CS328">
        <v>710</v>
      </c>
      <c r="CT328">
        <v>650</v>
      </c>
      <c r="CU328">
        <v>710</v>
      </c>
      <c r="CV328" s="7">
        <v>2.2000000000000002</v>
      </c>
      <c r="CW328" s="7">
        <v>3.7</v>
      </c>
    </row>
    <row r="329" spans="1:101" x14ac:dyDescent="0.25">
      <c r="A329" t="s">
        <v>1436</v>
      </c>
      <c r="B329" t="s">
        <v>1196</v>
      </c>
      <c r="C329" t="s">
        <v>214</v>
      </c>
      <c r="D329" t="s">
        <v>1437</v>
      </c>
      <c r="E329" t="s">
        <v>2149</v>
      </c>
      <c r="F329" t="s">
        <v>1432</v>
      </c>
      <c r="G329" t="s">
        <v>41</v>
      </c>
      <c r="H329">
        <v>65900</v>
      </c>
      <c r="I329" t="s">
        <v>3664</v>
      </c>
      <c r="J329" t="s">
        <v>1433</v>
      </c>
      <c r="K329" t="s">
        <v>1434</v>
      </c>
      <c r="L329" t="s">
        <v>49</v>
      </c>
      <c r="M329" s="7">
        <v>5.28</v>
      </c>
      <c r="N329" s="7">
        <v>5.6</v>
      </c>
      <c r="O329" s="7">
        <v>1.7</v>
      </c>
      <c r="P329" s="7">
        <v>1.55</v>
      </c>
      <c r="Q329">
        <v>20</v>
      </c>
      <c r="R329">
        <v>15</v>
      </c>
      <c r="X329">
        <v>-15</v>
      </c>
      <c r="Y329">
        <v>49</v>
      </c>
      <c r="Z329">
        <v>-15</v>
      </c>
      <c r="AA329">
        <v>24</v>
      </c>
      <c r="AE329" t="s">
        <v>3637</v>
      </c>
      <c r="AF329" t="s">
        <v>3505</v>
      </c>
      <c r="AL329" t="s">
        <v>1218</v>
      </c>
      <c r="AN329" s="7">
        <v>6.35</v>
      </c>
      <c r="AO329" s="7">
        <v>12.7</v>
      </c>
      <c r="AP329" s="7">
        <v>20</v>
      </c>
      <c r="AQ329" t="s">
        <v>49</v>
      </c>
      <c r="AR329" t="s">
        <v>49</v>
      </c>
      <c r="AS329" t="s">
        <v>49</v>
      </c>
      <c r="AT329" t="s">
        <v>49</v>
      </c>
      <c r="AU329" t="s">
        <v>50</v>
      </c>
      <c r="AV329" s="7" t="s">
        <v>3019</v>
      </c>
      <c r="AW329" s="7" t="s">
        <v>3023</v>
      </c>
      <c r="AX329">
        <v>20</v>
      </c>
      <c r="BE329" s="7" t="s">
        <v>3299</v>
      </c>
      <c r="BF329" t="s">
        <v>49</v>
      </c>
      <c r="BH329">
        <v>52</v>
      </c>
      <c r="BI329" t="s">
        <v>120</v>
      </c>
      <c r="BS329" t="s">
        <v>1435</v>
      </c>
      <c r="CH329">
        <v>545</v>
      </c>
      <c r="CI329">
        <v>620</v>
      </c>
      <c r="CJ329">
        <v>800</v>
      </c>
      <c r="CK329">
        <v>920</v>
      </c>
      <c r="CL329">
        <v>315</v>
      </c>
      <c r="CM329">
        <v>400</v>
      </c>
      <c r="CN329" s="2">
        <v>36</v>
      </c>
      <c r="CO329">
        <v>39</v>
      </c>
      <c r="CP329" s="2">
        <v>55</v>
      </c>
      <c r="CQ329">
        <v>80</v>
      </c>
      <c r="CR329">
        <v>650</v>
      </c>
      <c r="CS329">
        <v>710</v>
      </c>
      <c r="CT329">
        <v>650</v>
      </c>
      <c r="CU329">
        <v>710</v>
      </c>
      <c r="CV329" s="7">
        <v>2.2000000000000002</v>
      </c>
      <c r="CW329" s="7">
        <v>3.7</v>
      </c>
    </row>
    <row r="330" spans="1:101" x14ac:dyDescent="0.25">
      <c r="A330" t="s">
        <v>1438</v>
      </c>
      <c r="B330" t="s">
        <v>1196</v>
      </c>
      <c r="C330" t="s">
        <v>214</v>
      </c>
      <c r="D330" t="s">
        <v>1439</v>
      </c>
      <c r="E330" t="s">
        <v>2149</v>
      </c>
      <c r="F330" t="s">
        <v>1432</v>
      </c>
      <c r="G330" t="s">
        <v>41</v>
      </c>
      <c r="H330">
        <v>85800</v>
      </c>
      <c r="I330" t="s">
        <v>3664</v>
      </c>
      <c r="J330" t="s">
        <v>1433</v>
      </c>
      <c r="K330" t="s">
        <v>1434</v>
      </c>
      <c r="L330" t="s">
        <v>49</v>
      </c>
      <c r="M330" s="7">
        <v>7.03</v>
      </c>
      <c r="N330" s="7">
        <v>7.2</v>
      </c>
      <c r="O330" s="7">
        <v>2.15</v>
      </c>
      <c r="P330" s="7">
        <v>1.83</v>
      </c>
      <c r="Q330">
        <v>20</v>
      </c>
      <c r="R330">
        <v>15</v>
      </c>
      <c r="X330">
        <v>-15</v>
      </c>
      <c r="Y330">
        <v>49</v>
      </c>
      <c r="Z330">
        <v>-15</v>
      </c>
      <c r="AA330">
        <v>24</v>
      </c>
      <c r="AE330" t="s">
        <v>3650</v>
      </c>
      <c r="AF330" t="s">
        <v>3651</v>
      </c>
      <c r="AL330" t="s">
        <v>1218</v>
      </c>
      <c r="AN330" s="7">
        <v>9.52</v>
      </c>
      <c r="AO330" s="7">
        <v>15.88</v>
      </c>
      <c r="AP330" s="7">
        <v>20</v>
      </c>
      <c r="AQ330" t="s">
        <v>49</v>
      </c>
      <c r="AR330" t="s">
        <v>49</v>
      </c>
      <c r="AS330" t="s">
        <v>49</v>
      </c>
      <c r="AT330" t="s">
        <v>49</v>
      </c>
      <c r="AU330" t="s">
        <v>50</v>
      </c>
      <c r="AV330" s="7" t="s">
        <v>3021</v>
      </c>
      <c r="AW330" s="7" t="s">
        <v>3031</v>
      </c>
      <c r="AX330">
        <v>25</v>
      </c>
      <c r="BE330" s="7" t="s">
        <v>3300</v>
      </c>
      <c r="BF330" t="s">
        <v>49</v>
      </c>
      <c r="BH330">
        <v>70</v>
      </c>
      <c r="BI330" t="s">
        <v>120</v>
      </c>
      <c r="BS330" t="s">
        <v>1440</v>
      </c>
      <c r="CH330">
        <v>655</v>
      </c>
      <c r="CI330">
        <v>725</v>
      </c>
      <c r="CJ330">
        <v>825</v>
      </c>
      <c r="CK330">
        <v>945</v>
      </c>
      <c r="CL330">
        <v>310</v>
      </c>
      <c r="CM330">
        <v>435</v>
      </c>
      <c r="CN330" s="2">
        <v>46</v>
      </c>
      <c r="CO330">
        <v>49</v>
      </c>
      <c r="CP330" s="2">
        <v>55</v>
      </c>
      <c r="CQ330">
        <v>100</v>
      </c>
      <c r="CR330">
        <v>950</v>
      </c>
      <c r="CS330">
        <v>1000</v>
      </c>
      <c r="CT330">
        <v>950</v>
      </c>
      <c r="CU330">
        <v>1000</v>
      </c>
      <c r="CV330" s="7">
        <v>5.3</v>
      </c>
      <c r="CW330" s="7">
        <v>7.8</v>
      </c>
    </row>
    <row r="331" spans="1:101" x14ac:dyDescent="0.25">
      <c r="A331" t="s">
        <v>1441</v>
      </c>
      <c r="B331" t="s">
        <v>1196</v>
      </c>
      <c r="C331" t="s">
        <v>214</v>
      </c>
      <c r="D331" t="s">
        <v>1442</v>
      </c>
      <c r="E331" t="s">
        <v>2149</v>
      </c>
      <c r="F331" t="s">
        <v>1432</v>
      </c>
      <c r="G331" t="s">
        <v>41</v>
      </c>
      <c r="H331">
        <v>119500</v>
      </c>
      <c r="I331" t="s">
        <v>3664</v>
      </c>
      <c r="J331" t="s">
        <v>1433</v>
      </c>
      <c r="K331" t="s">
        <v>1434</v>
      </c>
      <c r="L331" t="s">
        <v>49</v>
      </c>
      <c r="M331" s="7">
        <v>10.55</v>
      </c>
      <c r="N331" s="7">
        <v>11.7</v>
      </c>
      <c r="O331" s="7">
        <v>3.5</v>
      </c>
      <c r="P331" s="7">
        <v>3.43</v>
      </c>
      <c r="Q331">
        <v>30</v>
      </c>
      <c r="R331">
        <v>20</v>
      </c>
      <c r="X331">
        <v>-15</v>
      </c>
      <c r="Y331">
        <v>49</v>
      </c>
      <c r="Z331">
        <v>-15</v>
      </c>
      <c r="AA331">
        <v>24</v>
      </c>
      <c r="AE331" t="s">
        <v>3493</v>
      </c>
      <c r="AF331" t="s">
        <v>3506</v>
      </c>
      <c r="AL331" t="s">
        <v>785</v>
      </c>
      <c r="AN331" s="7">
        <v>9.52</v>
      </c>
      <c r="AO331" s="7">
        <v>15.88</v>
      </c>
      <c r="AP331" s="7">
        <v>20</v>
      </c>
      <c r="AQ331" t="s">
        <v>49</v>
      </c>
      <c r="AR331" t="s">
        <v>49</v>
      </c>
      <c r="AS331" t="s">
        <v>49</v>
      </c>
      <c r="AT331" t="s">
        <v>49</v>
      </c>
      <c r="AU331" t="s">
        <v>50</v>
      </c>
      <c r="AV331" s="7" t="s">
        <v>3023</v>
      </c>
      <c r="AW331" s="7" t="s">
        <v>3035</v>
      </c>
      <c r="AX331">
        <v>20</v>
      </c>
      <c r="BE331" s="7" t="s">
        <v>3286</v>
      </c>
      <c r="BF331" t="s">
        <v>49</v>
      </c>
      <c r="BH331">
        <v>105</v>
      </c>
      <c r="BI331" t="s">
        <v>241</v>
      </c>
      <c r="BS331" t="s">
        <v>1443</v>
      </c>
      <c r="CH331">
        <v>805</v>
      </c>
      <c r="CI331">
        <v>890</v>
      </c>
      <c r="CJ331">
        <v>970</v>
      </c>
      <c r="CK331">
        <v>1105</v>
      </c>
      <c r="CL331">
        <v>395</v>
      </c>
      <c r="CM331">
        <v>495</v>
      </c>
      <c r="CN331" s="2">
        <v>64</v>
      </c>
      <c r="CO331">
        <v>68</v>
      </c>
      <c r="CP331" s="2">
        <v>55</v>
      </c>
      <c r="CQ331">
        <v>100</v>
      </c>
      <c r="CR331">
        <v>950</v>
      </c>
      <c r="CS331">
        <v>1000</v>
      </c>
      <c r="CT331">
        <v>950</v>
      </c>
      <c r="CU331">
        <v>1000</v>
      </c>
      <c r="CV331" s="7">
        <v>5.3</v>
      </c>
      <c r="CW331" s="7">
        <v>7.8</v>
      </c>
    </row>
    <row r="332" spans="1:101" x14ac:dyDescent="0.25">
      <c r="A332" t="s">
        <v>1444</v>
      </c>
      <c r="B332" t="s">
        <v>1196</v>
      </c>
      <c r="C332" t="s">
        <v>214</v>
      </c>
      <c r="D332" t="s">
        <v>1445</v>
      </c>
      <c r="E332" t="s">
        <v>2149</v>
      </c>
      <c r="F332" t="s">
        <v>1432</v>
      </c>
      <c r="G332" t="s">
        <v>41</v>
      </c>
      <c r="H332">
        <v>138300</v>
      </c>
      <c r="I332" t="s">
        <v>3664</v>
      </c>
      <c r="J332" t="s">
        <v>1433</v>
      </c>
      <c r="K332" t="s">
        <v>1434</v>
      </c>
      <c r="L332" t="s">
        <v>49</v>
      </c>
      <c r="M332" s="7">
        <v>14.07</v>
      </c>
      <c r="N332" s="7">
        <v>15.24</v>
      </c>
      <c r="O332" s="7">
        <v>4.68</v>
      </c>
      <c r="P332" s="7">
        <v>4.5999999999999996</v>
      </c>
      <c r="Q332">
        <v>50</v>
      </c>
      <c r="R332">
        <v>30</v>
      </c>
      <c r="X332">
        <v>-15</v>
      </c>
      <c r="Y332">
        <v>49</v>
      </c>
      <c r="Z332">
        <v>-15</v>
      </c>
      <c r="AA332">
        <v>24</v>
      </c>
      <c r="AE332" t="s">
        <v>3493</v>
      </c>
      <c r="AF332" t="s">
        <v>3645</v>
      </c>
      <c r="AL332" t="s">
        <v>684</v>
      </c>
      <c r="AN332" s="7">
        <v>9.52</v>
      </c>
      <c r="AO332" s="7">
        <v>19.05</v>
      </c>
      <c r="AP332" s="7">
        <v>20</v>
      </c>
      <c r="AQ332" t="s">
        <v>49</v>
      </c>
      <c r="AR332" t="s">
        <v>49</v>
      </c>
      <c r="AS332" t="s">
        <v>49</v>
      </c>
      <c r="AT332" t="s">
        <v>49</v>
      </c>
      <c r="AU332" t="s">
        <v>50</v>
      </c>
      <c r="AV332" s="7" t="s">
        <v>3023</v>
      </c>
      <c r="AW332" s="7" t="s">
        <v>3035</v>
      </c>
      <c r="AX332">
        <v>20</v>
      </c>
      <c r="BE332" s="7" t="s">
        <v>3287</v>
      </c>
      <c r="BF332" t="s">
        <v>49</v>
      </c>
      <c r="BH332">
        <v>140</v>
      </c>
      <c r="BI332" t="s">
        <v>241</v>
      </c>
      <c r="BS332" t="s">
        <v>1443</v>
      </c>
      <c r="CH332">
        <v>1320</v>
      </c>
      <c r="CI332">
        <v>1440</v>
      </c>
      <c r="CJ332">
        <v>940</v>
      </c>
      <c r="CK332">
        <v>1080</v>
      </c>
      <c r="CL332">
        <v>340</v>
      </c>
      <c r="CM332">
        <v>430</v>
      </c>
      <c r="CN332" s="2">
        <v>85</v>
      </c>
      <c r="CO332">
        <v>94</v>
      </c>
      <c r="CP332" s="2">
        <v>55</v>
      </c>
      <c r="CQ332">
        <v>100</v>
      </c>
      <c r="CR332">
        <v>950</v>
      </c>
      <c r="CS332">
        <v>1000</v>
      </c>
      <c r="CT332">
        <v>950</v>
      </c>
      <c r="CU332">
        <v>1000</v>
      </c>
      <c r="CV332" s="7">
        <v>5.3</v>
      </c>
      <c r="CW332" s="7">
        <v>7.8</v>
      </c>
    </row>
    <row r="333" spans="1:101" x14ac:dyDescent="0.25">
      <c r="A333" t="s">
        <v>1446</v>
      </c>
      <c r="B333" t="s">
        <v>1196</v>
      </c>
      <c r="C333" t="s">
        <v>214</v>
      </c>
      <c r="D333" t="s">
        <v>1447</v>
      </c>
      <c r="E333" t="s">
        <v>2149</v>
      </c>
      <c r="F333" t="s">
        <v>1432</v>
      </c>
      <c r="G333" t="s">
        <v>41</v>
      </c>
      <c r="H333">
        <v>150300</v>
      </c>
      <c r="I333" t="s">
        <v>3664</v>
      </c>
      <c r="J333" t="s">
        <v>1433</v>
      </c>
      <c r="K333" t="s">
        <v>1434</v>
      </c>
      <c r="L333" t="s">
        <v>49</v>
      </c>
      <c r="M333" s="7">
        <v>16.12</v>
      </c>
      <c r="N333" s="7">
        <v>17.600000000000001</v>
      </c>
      <c r="O333" s="7">
        <v>5.55</v>
      </c>
      <c r="P333" s="7">
        <v>5.57</v>
      </c>
      <c r="Q333">
        <v>50</v>
      </c>
      <c r="R333">
        <v>30</v>
      </c>
      <c r="X333">
        <v>-15</v>
      </c>
      <c r="Y333">
        <v>49</v>
      </c>
      <c r="Z333">
        <v>-15</v>
      </c>
      <c r="AA333">
        <v>24</v>
      </c>
      <c r="AE333" t="s">
        <v>3578</v>
      </c>
      <c r="AF333" t="s">
        <v>3666</v>
      </c>
      <c r="AL333" t="s">
        <v>684</v>
      </c>
      <c r="AN333" s="7">
        <v>9.52</v>
      </c>
      <c r="AO333" s="7">
        <v>19.05</v>
      </c>
      <c r="AP333" s="7">
        <v>20</v>
      </c>
      <c r="AQ333" t="s">
        <v>49</v>
      </c>
      <c r="AR333" t="s">
        <v>49</v>
      </c>
      <c r="AS333" t="s">
        <v>49</v>
      </c>
      <c r="AT333" t="s">
        <v>49</v>
      </c>
      <c r="AU333" t="s">
        <v>50</v>
      </c>
      <c r="AV333" s="7" t="s">
        <v>3022</v>
      </c>
      <c r="AW333" s="7" t="s">
        <v>3035</v>
      </c>
      <c r="AX333">
        <v>25</v>
      </c>
      <c r="BE333" s="7" t="s">
        <v>3288</v>
      </c>
      <c r="BF333" t="s">
        <v>49</v>
      </c>
      <c r="BH333">
        <v>160</v>
      </c>
      <c r="BI333" t="s">
        <v>241</v>
      </c>
      <c r="BS333" t="s">
        <v>1443</v>
      </c>
      <c r="CH333">
        <v>1320</v>
      </c>
      <c r="CI333">
        <v>1440</v>
      </c>
      <c r="CJ333">
        <v>940</v>
      </c>
      <c r="CK333">
        <v>1080</v>
      </c>
      <c r="CL333">
        <v>340</v>
      </c>
      <c r="CM333">
        <v>430</v>
      </c>
      <c r="CN333" s="2">
        <v>91</v>
      </c>
      <c r="CO333">
        <v>100</v>
      </c>
      <c r="CP333" s="2">
        <v>55</v>
      </c>
      <c r="CQ333">
        <v>100</v>
      </c>
      <c r="CR333">
        <v>950</v>
      </c>
      <c r="CS333">
        <v>1000</v>
      </c>
      <c r="CT333">
        <v>950</v>
      </c>
      <c r="CU333">
        <v>1000</v>
      </c>
      <c r="CV333" s="7">
        <v>5.3</v>
      </c>
      <c r="CW333" s="7">
        <v>7.8</v>
      </c>
    </row>
    <row r="334" spans="1:101" x14ac:dyDescent="0.25">
      <c r="A334" t="s">
        <v>1448</v>
      </c>
      <c r="B334" t="s">
        <v>1196</v>
      </c>
      <c r="C334" t="s">
        <v>214</v>
      </c>
      <c r="D334" t="s">
        <v>1449</v>
      </c>
      <c r="E334" t="s">
        <v>2150</v>
      </c>
      <c r="F334" t="s">
        <v>1450</v>
      </c>
      <c r="G334" t="s">
        <v>41</v>
      </c>
      <c r="H334">
        <v>72400</v>
      </c>
      <c r="I334" t="s">
        <v>3667</v>
      </c>
      <c r="J334" t="s">
        <v>1451</v>
      </c>
      <c r="K334" t="s">
        <v>1452</v>
      </c>
      <c r="L334" t="s">
        <v>49</v>
      </c>
      <c r="M334" s="7">
        <v>5.4</v>
      </c>
      <c r="N334" s="7">
        <v>5.8</v>
      </c>
      <c r="O334" s="7">
        <v>1.65</v>
      </c>
      <c r="P334" s="7">
        <v>1.5</v>
      </c>
      <c r="Q334">
        <v>20</v>
      </c>
      <c r="R334">
        <v>15</v>
      </c>
      <c r="U334">
        <v>1</v>
      </c>
      <c r="X334">
        <v>-15</v>
      </c>
      <c r="Y334">
        <v>49</v>
      </c>
      <c r="Z334">
        <v>-15</v>
      </c>
      <c r="AA334">
        <v>24</v>
      </c>
      <c r="AD334">
        <v>35</v>
      </c>
      <c r="AE334" t="s">
        <v>3650</v>
      </c>
      <c r="AF334" t="s">
        <v>2936</v>
      </c>
      <c r="AL334" t="s">
        <v>1218</v>
      </c>
      <c r="AN334" s="7">
        <v>6.35</v>
      </c>
      <c r="AO334" s="7">
        <v>12.7</v>
      </c>
      <c r="AP334" s="7">
        <v>20</v>
      </c>
      <c r="AQ334" t="s">
        <v>49</v>
      </c>
      <c r="AR334" t="s">
        <v>49</v>
      </c>
      <c r="AS334" t="s">
        <v>49</v>
      </c>
      <c r="AT334" t="s">
        <v>49</v>
      </c>
      <c r="AU334" t="s">
        <v>50</v>
      </c>
      <c r="AV334" s="7" t="s">
        <v>3021</v>
      </c>
      <c r="AW334" s="7" t="s">
        <v>3022</v>
      </c>
      <c r="AX334">
        <v>20</v>
      </c>
      <c r="BE334" s="7" t="s">
        <v>3281</v>
      </c>
      <c r="BF334" t="s">
        <v>49</v>
      </c>
      <c r="BH334">
        <v>54</v>
      </c>
      <c r="BI334" t="s">
        <v>120</v>
      </c>
      <c r="BS334" t="s">
        <v>1321</v>
      </c>
      <c r="CH334">
        <v>545</v>
      </c>
      <c r="CI334">
        <v>620</v>
      </c>
      <c r="CJ334">
        <v>800</v>
      </c>
      <c r="CK334">
        <v>920</v>
      </c>
      <c r="CL334">
        <v>315</v>
      </c>
      <c r="CM334">
        <v>400</v>
      </c>
      <c r="CN334" s="2">
        <v>42</v>
      </c>
      <c r="CO334">
        <v>45</v>
      </c>
      <c r="CP334" s="2">
        <v>690</v>
      </c>
      <c r="CQ334">
        <v>770</v>
      </c>
      <c r="CR334">
        <v>1000</v>
      </c>
      <c r="CS334">
        <v>1080</v>
      </c>
      <c r="CT334">
        <v>235</v>
      </c>
      <c r="CU334">
        <v>325</v>
      </c>
      <c r="CV334" s="7">
        <v>29</v>
      </c>
      <c r="CW334" s="7">
        <v>33</v>
      </c>
    </row>
    <row r="335" spans="1:101" x14ac:dyDescent="0.25">
      <c r="A335" t="s">
        <v>1453</v>
      </c>
      <c r="B335" t="s">
        <v>1196</v>
      </c>
      <c r="C335" t="s">
        <v>214</v>
      </c>
      <c r="D335" t="s">
        <v>1454</v>
      </c>
      <c r="E335" t="s">
        <v>2150</v>
      </c>
      <c r="F335" t="s">
        <v>1450</v>
      </c>
      <c r="G335" t="s">
        <v>41</v>
      </c>
      <c r="H335">
        <v>90200</v>
      </c>
      <c r="I335" t="s">
        <v>3667</v>
      </c>
      <c r="J335" t="s">
        <v>1451</v>
      </c>
      <c r="K335" t="s">
        <v>1452</v>
      </c>
      <c r="L335" t="s">
        <v>49</v>
      </c>
      <c r="M335" s="7">
        <v>7.2</v>
      </c>
      <c r="N335" s="7">
        <v>7.6</v>
      </c>
      <c r="O335" s="7">
        <v>2.2400000000000002</v>
      </c>
      <c r="P335" s="7">
        <v>2.1</v>
      </c>
      <c r="Q335">
        <v>20</v>
      </c>
      <c r="R335">
        <v>15</v>
      </c>
      <c r="U335">
        <v>1</v>
      </c>
      <c r="X335">
        <v>-15</v>
      </c>
      <c r="Y335">
        <v>49</v>
      </c>
      <c r="Z335">
        <v>-15</v>
      </c>
      <c r="AA335">
        <v>24</v>
      </c>
      <c r="AD335">
        <v>50</v>
      </c>
      <c r="AE335" t="s">
        <v>3504</v>
      </c>
      <c r="AF335" t="s">
        <v>3591</v>
      </c>
      <c r="AL335" t="s">
        <v>1218</v>
      </c>
      <c r="AN335" s="7">
        <v>9.52</v>
      </c>
      <c r="AO335" s="7">
        <v>15.88</v>
      </c>
      <c r="AP335" s="7">
        <v>20</v>
      </c>
      <c r="AQ335" t="s">
        <v>49</v>
      </c>
      <c r="AR335" t="s">
        <v>49</v>
      </c>
      <c r="AS335" t="s">
        <v>49</v>
      </c>
      <c r="AT335" t="s">
        <v>49</v>
      </c>
      <c r="AU335" t="s">
        <v>50</v>
      </c>
      <c r="AV335" s="7" t="s">
        <v>3021</v>
      </c>
      <c r="AW335" s="7" t="s">
        <v>3033</v>
      </c>
      <c r="AX335">
        <v>25</v>
      </c>
      <c r="BE335" s="7" t="s">
        <v>3301</v>
      </c>
      <c r="BF335" t="s">
        <v>49</v>
      </c>
      <c r="BH335">
        <v>72</v>
      </c>
      <c r="BI335" t="s">
        <v>120</v>
      </c>
      <c r="BS335" t="s">
        <v>1455</v>
      </c>
      <c r="CH335">
        <v>655</v>
      </c>
      <c r="CI335">
        <v>725</v>
      </c>
      <c r="CJ335">
        <v>825</v>
      </c>
      <c r="CK335">
        <v>945</v>
      </c>
      <c r="CL335">
        <v>310</v>
      </c>
      <c r="CM335">
        <v>435</v>
      </c>
      <c r="CN335" s="2">
        <v>53</v>
      </c>
      <c r="CO335">
        <v>56</v>
      </c>
      <c r="CP335" s="2">
        <v>690</v>
      </c>
      <c r="CQ335">
        <v>770</v>
      </c>
      <c r="CR335">
        <v>1280</v>
      </c>
      <c r="CS335">
        <v>1360</v>
      </c>
      <c r="CT335">
        <v>235</v>
      </c>
      <c r="CU335">
        <v>325</v>
      </c>
      <c r="CV335" s="7">
        <v>36</v>
      </c>
      <c r="CW335" s="7">
        <v>42</v>
      </c>
    </row>
    <row r="336" spans="1:101" x14ac:dyDescent="0.25">
      <c r="A336" t="s">
        <v>1456</v>
      </c>
      <c r="B336" t="s">
        <v>1196</v>
      </c>
      <c r="C336" t="s">
        <v>214</v>
      </c>
      <c r="D336" t="s">
        <v>1457</v>
      </c>
      <c r="E336" t="s">
        <v>2150</v>
      </c>
      <c r="F336" t="s">
        <v>1450</v>
      </c>
      <c r="G336" t="s">
        <v>41</v>
      </c>
      <c r="H336">
        <v>123800</v>
      </c>
      <c r="I336" t="s">
        <v>3667</v>
      </c>
      <c r="J336" t="s">
        <v>1451</v>
      </c>
      <c r="K336" t="s">
        <v>1452</v>
      </c>
      <c r="L336" t="s">
        <v>49</v>
      </c>
      <c r="M336" s="7">
        <v>10.6</v>
      </c>
      <c r="N336" s="7">
        <v>11.7</v>
      </c>
      <c r="O336" s="7">
        <v>3.5</v>
      </c>
      <c r="P336" s="7">
        <v>3.45</v>
      </c>
      <c r="Q336">
        <v>30</v>
      </c>
      <c r="R336">
        <v>20</v>
      </c>
      <c r="U336">
        <v>1</v>
      </c>
      <c r="X336">
        <v>-15</v>
      </c>
      <c r="Y336">
        <v>49</v>
      </c>
      <c r="Z336">
        <v>-15</v>
      </c>
      <c r="AA336">
        <v>24</v>
      </c>
      <c r="AD336">
        <v>80</v>
      </c>
      <c r="AE336" t="s">
        <v>3654</v>
      </c>
      <c r="AF336" t="s">
        <v>3668</v>
      </c>
      <c r="AL336" t="s">
        <v>1218</v>
      </c>
      <c r="AN336" s="7">
        <v>9.52</v>
      </c>
      <c r="AO336" s="7">
        <v>15.88</v>
      </c>
      <c r="AP336" s="7">
        <v>20</v>
      </c>
      <c r="AQ336" t="s">
        <v>49</v>
      </c>
      <c r="AR336" t="s">
        <v>49</v>
      </c>
      <c r="AS336" t="s">
        <v>49</v>
      </c>
      <c r="AT336" t="s">
        <v>49</v>
      </c>
      <c r="AU336" t="s">
        <v>50</v>
      </c>
      <c r="AV336" s="7" t="s">
        <v>3034</v>
      </c>
      <c r="AW336" s="7" t="s">
        <v>3035</v>
      </c>
      <c r="AX336">
        <v>20</v>
      </c>
      <c r="BE336" s="7" t="s">
        <v>3302</v>
      </c>
      <c r="BF336" t="s">
        <v>49</v>
      </c>
      <c r="BH336">
        <v>106</v>
      </c>
      <c r="BI336" t="s">
        <v>241</v>
      </c>
      <c r="BS336" t="s">
        <v>1455</v>
      </c>
      <c r="CH336">
        <v>805</v>
      </c>
      <c r="CI336">
        <v>895</v>
      </c>
      <c r="CJ336">
        <v>970</v>
      </c>
      <c r="CK336">
        <v>1105</v>
      </c>
      <c r="CL336">
        <v>395</v>
      </c>
      <c r="CM336">
        <v>495</v>
      </c>
      <c r="CN336" s="2">
        <v>65</v>
      </c>
      <c r="CO336">
        <v>75</v>
      </c>
      <c r="CP336" s="2">
        <v>690</v>
      </c>
      <c r="CQ336">
        <v>770</v>
      </c>
      <c r="CR336">
        <v>1280</v>
      </c>
      <c r="CS336">
        <v>1360</v>
      </c>
      <c r="CT336">
        <v>235</v>
      </c>
      <c r="CU336">
        <v>325</v>
      </c>
      <c r="CV336" s="7">
        <v>36</v>
      </c>
      <c r="CW336" s="7">
        <v>42</v>
      </c>
    </row>
    <row r="337" spans="1:101" x14ac:dyDescent="0.25">
      <c r="A337" t="s">
        <v>1458</v>
      </c>
      <c r="B337" t="s">
        <v>1196</v>
      </c>
      <c r="C337" t="s">
        <v>214</v>
      </c>
      <c r="D337" t="s">
        <v>1459</v>
      </c>
      <c r="E337" t="s">
        <v>2150</v>
      </c>
      <c r="F337" t="s">
        <v>1450</v>
      </c>
      <c r="G337" t="s">
        <v>41</v>
      </c>
      <c r="H337">
        <v>149800</v>
      </c>
      <c r="I337" t="s">
        <v>3667</v>
      </c>
      <c r="J337" t="s">
        <v>1451</v>
      </c>
      <c r="K337" t="s">
        <v>1452</v>
      </c>
      <c r="L337" t="s">
        <v>49</v>
      </c>
      <c r="M337" s="7">
        <v>14.07</v>
      </c>
      <c r="N337" s="7">
        <v>15.55</v>
      </c>
      <c r="O337" s="7">
        <v>4.8499999999999996</v>
      </c>
      <c r="P337" s="7">
        <v>4.8</v>
      </c>
      <c r="Q337">
        <v>50</v>
      </c>
      <c r="R337">
        <v>30</v>
      </c>
      <c r="U337">
        <v>1</v>
      </c>
      <c r="X337">
        <v>-15</v>
      </c>
      <c r="Y337">
        <v>49</v>
      </c>
      <c r="Z337">
        <v>-15</v>
      </c>
      <c r="AA337">
        <v>24</v>
      </c>
      <c r="AD337">
        <v>90</v>
      </c>
      <c r="AE337" t="s">
        <v>3578</v>
      </c>
      <c r="AF337" t="s">
        <v>3641</v>
      </c>
      <c r="AL337" t="s">
        <v>1218</v>
      </c>
      <c r="AN337" s="7">
        <v>9.52</v>
      </c>
      <c r="AO337" s="7">
        <v>19.05</v>
      </c>
      <c r="AP337" s="7">
        <v>20</v>
      </c>
      <c r="AQ337" t="s">
        <v>49</v>
      </c>
      <c r="AR337" t="s">
        <v>49</v>
      </c>
      <c r="AS337" t="s">
        <v>49</v>
      </c>
      <c r="AT337" t="s">
        <v>49</v>
      </c>
      <c r="AU337" t="s">
        <v>50</v>
      </c>
      <c r="AV337" s="7" t="s">
        <v>3034</v>
      </c>
      <c r="AW337" s="7" t="s">
        <v>3035</v>
      </c>
      <c r="AX337">
        <v>20</v>
      </c>
      <c r="BE337" s="7" t="s">
        <v>3277</v>
      </c>
      <c r="BF337" t="s">
        <v>49</v>
      </c>
      <c r="BH337">
        <v>141</v>
      </c>
      <c r="BI337" t="s">
        <v>241</v>
      </c>
      <c r="BS337" t="s">
        <v>1460</v>
      </c>
      <c r="CH337">
        <v>1325</v>
      </c>
      <c r="CI337">
        <v>1440</v>
      </c>
      <c r="CJ337">
        <v>940</v>
      </c>
      <c r="CK337">
        <v>1080</v>
      </c>
      <c r="CL337">
        <v>370</v>
      </c>
      <c r="CM337">
        <v>430</v>
      </c>
      <c r="CN337" s="2">
        <v>95</v>
      </c>
      <c r="CO337">
        <v>105</v>
      </c>
      <c r="CP337" s="2">
        <v>690</v>
      </c>
      <c r="CQ337">
        <v>770</v>
      </c>
      <c r="CR337">
        <v>1600</v>
      </c>
      <c r="CS337">
        <v>1680</v>
      </c>
      <c r="CT337">
        <v>235</v>
      </c>
      <c r="CU337">
        <v>325</v>
      </c>
      <c r="CV337" s="7">
        <v>44</v>
      </c>
      <c r="CW337" s="7">
        <v>50.5</v>
      </c>
    </row>
    <row r="338" spans="1:101" x14ac:dyDescent="0.25">
      <c r="A338" t="s">
        <v>1461</v>
      </c>
      <c r="B338" t="s">
        <v>1196</v>
      </c>
      <c r="C338" t="s">
        <v>214</v>
      </c>
      <c r="D338" t="s">
        <v>1462</v>
      </c>
      <c r="E338" t="s">
        <v>2150</v>
      </c>
      <c r="F338" t="s">
        <v>1450</v>
      </c>
      <c r="G338" t="s">
        <v>41</v>
      </c>
      <c r="H338">
        <v>155400</v>
      </c>
      <c r="I338" t="s">
        <v>3667</v>
      </c>
      <c r="J338" t="s">
        <v>1451</v>
      </c>
      <c r="K338" t="s">
        <v>1452</v>
      </c>
      <c r="L338" t="s">
        <v>49</v>
      </c>
      <c r="M338" s="7">
        <v>16.12</v>
      </c>
      <c r="N338" s="7">
        <v>17.579999999999998</v>
      </c>
      <c r="O338" s="7">
        <v>5.2</v>
      </c>
      <c r="P338" s="7">
        <v>5.0999999999999996</v>
      </c>
      <c r="Q338">
        <v>50</v>
      </c>
      <c r="R338">
        <v>30</v>
      </c>
      <c r="U338">
        <v>1</v>
      </c>
      <c r="X338">
        <v>-15</v>
      </c>
      <c r="Y338">
        <v>49</v>
      </c>
      <c r="Z338">
        <v>-15</v>
      </c>
      <c r="AA338">
        <v>24</v>
      </c>
      <c r="AD338">
        <v>115</v>
      </c>
      <c r="AE338" t="s">
        <v>3637</v>
      </c>
      <c r="AF338" t="s">
        <v>3652</v>
      </c>
      <c r="AL338" t="s">
        <v>1218</v>
      </c>
      <c r="AN338" s="7">
        <v>9.52</v>
      </c>
      <c r="AO338" s="7">
        <v>19.05</v>
      </c>
      <c r="AP338" s="7">
        <v>20</v>
      </c>
      <c r="AQ338" t="s">
        <v>49</v>
      </c>
      <c r="AR338" t="s">
        <v>49</v>
      </c>
      <c r="AS338" t="s">
        <v>49</v>
      </c>
      <c r="AT338" t="s">
        <v>49</v>
      </c>
      <c r="AU338" t="s">
        <v>50</v>
      </c>
      <c r="AV338" s="7" t="s">
        <v>3034</v>
      </c>
      <c r="AW338" s="7" t="s">
        <v>3035</v>
      </c>
      <c r="AX338">
        <v>25</v>
      </c>
      <c r="BE338" s="7" t="s">
        <v>3303</v>
      </c>
      <c r="BF338" t="s">
        <v>49</v>
      </c>
      <c r="BH338">
        <v>161</v>
      </c>
      <c r="BI338" t="s">
        <v>241</v>
      </c>
      <c r="BS338" t="s">
        <v>1460</v>
      </c>
      <c r="CH338">
        <v>1325</v>
      </c>
      <c r="CI338">
        <v>1440</v>
      </c>
      <c r="CJ338">
        <v>940</v>
      </c>
      <c r="CK338">
        <v>1080</v>
      </c>
      <c r="CL338">
        <v>370</v>
      </c>
      <c r="CM338">
        <v>430</v>
      </c>
      <c r="CN338" s="2">
        <v>99</v>
      </c>
      <c r="CO338">
        <v>109</v>
      </c>
      <c r="CP338" s="2">
        <v>690</v>
      </c>
      <c r="CQ338">
        <v>770</v>
      </c>
      <c r="CR338">
        <v>1600</v>
      </c>
      <c r="CS338">
        <v>1680</v>
      </c>
      <c r="CT338">
        <v>235</v>
      </c>
      <c r="CU338">
        <v>325</v>
      </c>
      <c r="CV338" s="7">
        <v>44</v>
      </c>
      <c r="CW338" s="7">
        <v>50.5</v>
      </c>
    </row>
    <row r="339" spans="1:101" x14ac:dyDescent="0.25">
      <c r="A339" t="s">
        <v>1464</v>
      </c>
      <c r="B339" t="s">
        <v>1196</v>
      </c>
      <c r="C339" t="s">
        <v>214</v>
      </c>
      <c r="D339" t="s">
        <v>1465</v>
      </c>
      <c r="E339" t="s">
        <v>2150</v>
      </c>
      <c r="F339" t="s">
        <v>1463</v>
      </c>
      <c r="G339" t="s">
        <v>41</v>
      </c>
      <c r="H339">
        <v>72400</v>
      </c>
      <c r="I339" t="s">
        <v>3669</v>
      </c>
      <c r="J339" t="s">
        <v>1466</v>
      </c>
      <c r="K339" t="s">
        <v>1467</v>
      </c>
      <c r="L339" t="s">
        <v>49</v>
      </c>
      <c r="M339" s="7">
        <v>5.3</v>
      </c>
      <c r="N339" s="7">
        <v>5.9</v>
      </c>
      <c r="O339" s="7">
        <v>1.712</v>
      </c>
      <c r="P339" s="7">
        <v>1.782</v>
      </c>
      <c r="Q339">
        <v>25</v>
      </c>
      <c r="R339">
        <v>15</v>
      </c>
      <c r="U339">
        <v>1</v>
      </c>
      <c r="X339">
        <v>17</v>
      </c>
      <c r="Y339">
        <v>43</v>
      </c>
      <c r="Z339">
        <v>-7</v>
      </c>
      <c r="AA339">
        <v>24</v>
      </c>
      <c r="AD339">
        <v>35</v>
      </c>
      <c r="AE339" t="s">
        <v>3637</v>
      </c>
      <c r="AF339" t="s">
        <v>3670</v>
      </c>
      <c r="AL339" t="s">
        <v>684</v>
      </c>
      <c r="AN339" s="7">
        <v>6.35</v>
      </c>
      <c r="AO339" s="7">
        <v>12.7</v>
      </c>
      <c r="AP339" s="7" t="s">
        <v>1468</v>
      </c>
      <c r="AQ339" t="s">
        <v>49</v>
      </c>
      <c r="AR339" t="s">
        <v>49</v>
      </c>
      <c r="AS339" t="s">
        <v>49</v>
      </c>
      <c r="AT339" t="s">
        <v>49</v>
      </c>
      <c r="AU339" t="s">
        <v>50</v>
      </c>
      <c r="AV339" s="7" t="s">
        <v>3021</v>
      </c>
      <c r="AW339" s="7" t="s">
        <v>3036</v>
      </c>
      <c r="AX339">
        <v>20</v>
      </c>
      <c r="BE339" s="7" t="s">
        <v>3304</v>
      </c>
      <c r="BF339" t="s">
        <v>49</v>
      </c>
      <c r="BH339">
        <v>55</v>
      </c>
      <c r="BI339" t="s">
        <v>120</v>
      </c>
      <c r="BS339" t="s">
        <v>1469</v>
      </c>
      <c r="CH339">
        <v>605</v>
      </c>
      <c r="CI339">
        <v>653</v>
      </c>
      <c r="CJ339">
        <v>780</v>
      </c>
      <c r="CK339">
        <v>883</v>
      </c>
      <c r="CL339">
        <v>290</v>
      </c>
      <c r="CM339">
        <v>412</v>
      </c>
      <c r="CN339" s="2">
        <v>38</v>
      </c>
      <c r="CO339">
        <v>42</v>
      </c>
      <c r="CP339" s="2">
        <v>235</v>
      </c>
      <c r="CQ339">
        <v>305</v>
      </c>
      <c r="CR339">
        <v>1055</v>
      </c>
      <c r="CS339">
        <v>1130</v>
      </c>
      <c r="CT339">
        <v>675</v>
      </c>
      <c r="CU339">
        <v>748</v>
      </c>
      <c r="CV339" s="7">
        <v>24</v>
      </c>
      <c r="CW339" s="7">
        <v>29</v>
      </c>
    </row>
    <row r="340" spans="1:101" x14ac:dyDescent="0.25">
      <c r="A340" t="s">
        <v>1470</v>
      </c>
      <c r="B340" t="s">
        <v>1196</v>
      </c>
      <c r="C340" t="s">
        <v>214</v>
      </c>
      <c r="D340" t="s">
        <v>1471</v>
      </c>
      <c r="E340" t="s">
        <v>2150</v>
      </c>
      <c r="F340" t="s">
        <v>1463</v>
      </c>
      <c r="G340" t="s">
        <v>41</v>
      </c>
      <c r="H340">
        <v>72400</v>
      </c>
      <c r="I340" t="s">
        <v>3669</v>
      </c>
      <c r="J340" t="s">
        <v>1472</v>
      </c>
      <c r="K340" t="s">
        <v>1473</v>
      </c>
      <c r="L340" t="s">
        <v>49</v>
      </c>
      <c r="M340" s="7">
        <v>5.3</v>
      </c>
      <c r="N340" s="7">
        <v>5.9</v>
      </c>
      <c r="O340" s="7">
        <v>1.712</v>
      </c>
      <c r="P340" s="7">
        <v>1.782</v>
      </c>
      <c r="Q340">
        <v>25</v>
      </c>
      <c r="R340">
        <v>15</v>
      </c>
      <c r="U340">
        <v>1</v>
      </c>
      <c r="X340">
        <v>17</v>
      </c>
      <c r="Y340">
        <v>43</v>
      </c>
      <c r="Z340">
        <v>7</v>
      </c>
      <c r="AA340">
        <v>24</v>
      </c>
      <c r="AD340">
        <v>35</v>
      </c>
      <c r="AE340" t="s">
        <v>3637</v>
      </c>
      <c r="AF340" t="s">
        <v>3670</v>
      </c>
      <c r="AL340" t="s">
        <v>684</v>
      </c>
      <c r="AN340" s="7">
        <v>6.35</v>
      </c>
      <c r="AO340" s="7">
        <v>12.7</v>
      </c>
      <c r="AP340" s="7">
        <v>25</v>
      </c>
      <c r="AQ340" t="s">
        <v>49</v>
      </c>
      <c r="AR340" t="s">
        <v>49</v>
      </c>
      <c r="AS340" t="s">
        <v>49</v>
      </c>
      <c r="AT340" t="s">
        <v>49</v>
      </c>
      <c r="AU340" t="s">
        <v>50</v>
      </c>
      <c r="AV340" s="7" t="s">
        <v>3021</v>
      </c>
      <c r="AW340" s="7" t="s">
        <v>3036</v>
      </c>
      <c r="AX340">
        <v>20</v>
      </c>
      <c r="BE340" s="7" t="s">
        <v>3304</v>
      </c>
      <c r="BF340" t="s">
        <v>49</v>
      </c>
      <c r="BH340">
        <v>53</v>
      </c>
      <c r="BI340" t="s">
        <v>120</v>
      </c>
      <c r="BS340" t="s">
        <v>1469</v>
      </c>
      <c r="CH340">
        <v>605</v>
      </c>
      <c r="CI340">
        <v>653</v>
      </c>
      <c r="CJ340">
        <v>780</v>
      </c>
      <c r="CK340">
        <v>883</v>
      </c>
      <c r="CL340">
        <v>290</v>
      </c>
      <c r="CM340">
        <v>412</v>
      </c>
      <c r="CN340" s="2">
        <v>38</v>
      </c>
      <c r="CO340">
        <v>42</v>
      </c>
      <c r="CP340" s="2">
        <v>675</v>
      </c>
      <c r="CQ340">
        <v>748</v>
      </c>
      <c r="CR340">
        <v>1055</v>
      </c>
      <c r="CS340">
        <v>1130</v>
      </c>
      <c r="CT340">
        <v>235</v>
      </c>
      <c r="CU340">
        <v>305</v>
      </c>
      <c r="CV340" s="7">
        <v>24</v>
      </c>
      <c r="CW340" s="7">
        <v>29</v>
      </c>
    </row>
    <row r="341" spans="1:101" x14ac:dyDescent="0.25">
      <c r="A341" t="s">
        <v>1474</v>
      </c>
      <c r="B341" t="s">
        <v>1196</v>
      </c>
      <c r="C341" t="s">
        <v>214</v>
      </c>
      <c r="D341" t="s">
        <v>1475</v>
      </c>
      <c r="E341" t="s">
        <v>2150</v>
      </c>
      <c r="F341" t="s">
        <v>1463</v>
      </c>
      <c r="G341" t="s">
        <v>41</v>
      </c>
      <c r="H341">
        <v>90200</v>
      </c>
      <c r="I341" t="s">
        <v>3669</v>
      </c>
      <c r="J341" t="s">
        <v>1476</v>
      </c>
      <c r="K341" t="s">
        <v>1477</v>
      </c>
      <c r="L341" t="s">
        <v>49</v>
      </c>
      <c r="M341" s="7">
        <v>7.2</v>
      </c>
      <c r="N341" s="7">
        <v>7.9</v>
      </c>
      <c r="O341" s="7">
        <v>2.23</v>
      </c>
      <c r="P341" s="7">
        <v>2.254</v>
      </c>
      <c r="Q341">
        <v>30</v>
      </c>
      <c r="R341">
        <v>15</v>
      </c>
      <c r="U341">
        <v>1</v>
      </c>
      <c r="X341">
        <v>17</v>
      </c>
      <c r="Y341">
        <v>43</v>
      </c>
      <c r="Z341">
        <v>-7</v>
      </c>
      <c r="AA341">
        <v>24</v>
      </c>
      <c r="AD341">
        <v>50</v>
      </c>
      <c r="AE341" t="s">
        <v>3560</v>
      </c>
      <c r="AF341" t="s">
        <v>3671</v>
      </c>
      <c r="AL341" t="s">
        <v>684</v>
      </c>
      <c r="AN341" s="7">
        <v>9.52</v>
      </c>
      <c r="AO341" s="7">
        <v>15.88</v>
      </c>
      <c r="AP341" s="7" t="s">
        <v>1468</v>
      </c>
      <c r="AQ341" t="s">
        <v>49</v>
      </c>
      <c r="AR341" t="s">
        <v>49</v>
      </c>
      <c r="AS341" t="s">
        <v>49</v>
      </c>
      <c r="AT341" t="s">
        <v>49</v>
      </c>
      <c r="AU341" t="s">
        <v>50</v>
      </c>
      <c r="AV341" s="7" t="s">
        <v>3037</v>
      </c>
      <c r="AW341" s="7" t="s">
        <v>3038</v>
      </c>
      <c r="AX341">
        <v>25</v>
      </c>
      <c r="BE341" s="7" t="s">
        <v>3305</v>
      </c>
      <c r="BF341" t="s">
        <v>49</v>
      </c>
      <c r="BH341">
        <v>70</v>
      </c>
      <c r="BI341" t="s">
        <v>120</v>
      </c>
      <c r="BS341" t="s">
        <v>858</v>
      </c>
      <c r="CH341">
        <v>650</v>
      </c>
      <c r="CI341">
        <v>720</v>
      </c>
      <c r="CJ341">
        <v>900</v>
      </c>
      <c r="CK341">
        <v>1015</v>
      </c>
      <c r="CL341">
        <v>310</v>
      </c>
      <c r="CM341">
        <v>425</v>
      </c>
      <c r="CN341" s="2">
        <v>51</v>
      </c>
      <c r="CO341">
        <v>54</v>
      </c>
      <c r="CP341" s="2">
        <v>235</v>
      </c>
      <c r="CQ341">
        <v>305</v>
      </c>
      <c r="CR341">
        <v>1055</v>
      </c>
      <c r="CS341">
        <v>1130</v>
      </c>
      <c r="CT341">
        <v>675</v>
      </c>
      <c r="CU341">
        <v>748</v>
      </c>
      <c r="CV341" s="7">
        <v>24</v>
      </c>
      <c r="CW341" s="7">
        <v>30</v>
      </c>
    </row>
    <row r="342" spans="1:101" x14ac:dyDescent="0.25">
      <c r="A342" t="s">
        <v>1478</v>
      </c>
      <c r="B342" t="s">
        <v>1196</v>
      </c>
      <c r="C342" t="s">
        <v>214</v>
      </c>
      <c r="D342" t="s">
        <v>1479</v>
      </c>
      <c r="E342" t="s">
        <v>2150</v>
      </c>
      <c r="F342" t="s">
        <v>1463</v>
      </c>
      <c r="G342" t="s">
        <v>41</v>
      </c>
      <c r="H342">
        <v>90200</v>
      </c>
      <c r="I342" t="s">
        <v>3669</v>
      </c>
      <c r="J342" t="s">
        <v>1480</v>
      </c>
      <c r="K342" t="s">
        <v>1481</v>
      </c>
      <c r="L342" t="s">
        <v>49</v>
      </c>
      <c r="M342" s="7">
        <v>7.2</v>
      </c>
      <c r="N342" s="7">
        <v>7.9</v>
      </c>
      <c r="O342" s="7">
        <v>2.23</v>
      </c>
      <c r="P342" s="7">
        <v>2.254</v>
      </c>
      <c r="Q342">
        <v>30</v>
      </c>
      <c r="R342">
        <v>15</v>
      </c>
      <c r="U342">
        <v>1</v>
      </c>
      <c r="X342">
        <v>17</v>
      </c>
      <c r="Y342">
        <v>43</v>
      </c>
      <c r="Z342">
        <v>7</v>
      </c>
      <c r="AA342">
        <v>24</v>
      </c>
      <c r="AD342">
        <v>50</v>
      </c>
      <c r="AE342" t="s">
        <v>3560</v>
      </c>
      <c r="AF342" t="s">
        <v>3671</v>
      </c>
      <c r="AL342" t="s">
        <v>684</v>
      </c>
      <c r="AN342" s="7">
        <v>9.52</v>
      </c>
      <c r="AO342" s="7">
        <v>15.88</v>
      </c>
      <c r="AP342" s="7">
        <v>25</v>
      </c>
      <c r="AQ342" t="s">
        <v>49</v>
      </c>
      <c r="AR342" t="s">
        <v>49</v>
      </c>
      <c r="AS342" t="s">
        <v>49</v>
      </c>
      <c r="AT342" t="s">
        <v>49</v>
      </c>
      <c r="AU342" t="s">
        <v>50</v>
      </c>
      <c r="AV342" s="7" t="s">
        <v>3037</v>
      </c>
      <c r="AW342" s="7" t="s">
        <v>3038</v>
      </c>
      <c r="AX342">
        <v>25</v>
      </c>
      <c r="BE342" s="7" t="s">
        <v>3305</v>
      </c>
      <c r="BF342" t="s">
        <v>49</v>
      </c>
      <c r="BH342">
        <v>72</v>
      </c>
      <c r="BI342" t="s">
        <v>120</v>
      </c>
      <c r="BS342" t="s">
        <v>858</v>
      </c>
      <c r="CH342">
        <v>650</v>
      </c>
      <c r="CI342">
        <v>720</v>
      </c>
      <c r="CJ342">
        <v>900</v>
      </c>
      <c r="CK342">
        <v>1015</v>
      </c>
      <c r="CL342">
        <v>310</v>
      </c>
      <c r="CM342">
        <v>425</v>
      </c>
      <c r="CN342" s="2">
        <v>51</v>
      </c>
      <c r="CO342">
        <v>54</v>
      </c>
      <c r="CP342" s="2">
        <v>675</v>
      </c>
      <c r="CQ342">
        <v>748</v>
      </c>
      <c r="CR342">
        <v>1055</v>
      </c>
      <c r="CS342">
        <v>1130</v>
      </c>
      <c r="CT342">
        <v>235</v>
      </c>
      <c r="CU342">
        <v>305</v>
      </c>
      <c r="CV342" s="7">
        <v>24</v>
      </c>
      <c r="CW342" s="7">
        <v>30</v>
      </c>
    </row>
    <row r="343" spans="1:101" x14ac:dyDescent="0.25">
      <c r="A343" t="s">
        <v>1482</v>
      </c>
      <c r="B343" t="s">
        <v>1196</v>
      </c>
      <c r="C343" t="s">
        <v>214</v>
      </c>
      <c r="D343" t="s">
        <v>1483</v>
      </c>
      <c r="E343" t="s">
        <v>2150</v>
      </c>
      <c r="F343" t="s">
        <v>1463</v>
      </c>
      <c r="G343" t="s">
        <v>41</v>
      </c>
      <c r="H343">
        <v>123800</v>
      </c>
      <c r="I343" t="s">
        <v>3669</v>
      </c>
      <c r="J343" t="s">
        <v>1484</v>
      </c>
      <c r="K343" t="s">
        <v>1485</v>
      </c>
      <c r="L343" t="s">
        <v>49</v>
      </c>
      <c r="M343" s="7">
        <v>10.55</v>
      </c>
      <c r="N343" s="7">
        <v>12</v>
      </c>
      <c r="O343" s="7">
        <v>3.5779999999999998</v>
      </c>
      <c r="P343" s="7">
        <v>3.468</v>
      </c>
      <c r="Q343">
        <v>30</v>
      </c>
      <c r="R343">
        <v>20</v>
      </c>
      <c r="U343">
        <v>1</v>
      </c>
      <c r="X343">
        <v>17</v>
      </c>
      <c r="Y343">
        <v>43</v>
      </c>
      <c r="Z343">
        <v>7</v>
      </c>
      <c r="AA343">
        <v>24</v>
      </c>
      <c r="AD343">
        <v>80</v>
      </c>
      <c r="AE343" t="s">
        <v>3672</v>
      </c>
      <c r="AF343" t="s">
        <v>3673</v>
      </c>
      <c r="AL343" t="s">
        <v>1218</v>
      </c>
      <c r="AN343" s="7">
        <v>9.52</v>
      </c>
      <c r="AO343" s="7">
        <v>19.05</v>
      </c>
      <c r="AP343" s="7">
        <v>25</v>
      </c>
      <c r="AQ343" t="s">
        <v>49</v>
      </c>
      <c r="AR343" t="s">
        <v>49</v>
      </c>
      <c r="AS343" t="s">
        <v>49</v>
      </c>
      <c r="AT343" t="s">
        <v>49</v>
      </c>
      <c r="AU343" t="s">
        <v>50</v>
      </c>
      <c r="AV343" s="7" t="s">
        <v>3039</v>
      </c>
      <c r="AW343" s="7" t="s">
        <v>3038</v>
      </c>
      <c r="AX343">
        <v>20</v>
      </c>
      <c r="BE343" s="7" t="s">
        <v>3281</v>
      </c>
      <c r="BF343" t="s">
        <v>49</v>
      </c>
      <c r="BH343">
        <v>106</v>
      </c>
      <c r="BI343" t="s">
        <v>241</v>
      </c>
      <c r="BS343" t="s">
        <v>858</v>
      </c>
      <c r="CH343">
        <v>805</v>
      </c>
      <c r="CI343">
        <v>860</v>
      </c>
      <c r="CJ343">
        <v>900</v>
      </c>
      <c r="CK343">
        <v>1020</v>
      </c>
      <c r="CL343">
        <v>360</v>
      </c>
      <c r="CM343">
        <v>475</v>
      </c>
      <c r="CN343" s="2">
        <v>64</v>
      </c>
      <c r="CO343">
        <v>69</v>
      </c>
      <c r="CP343" s="2">
        <v>675</v>
      </c>
      <c r="CQ343">
        <v>748</v>
      </c>
      <c r="CR343">
        <v>1275</v>
      </c>
      <c r="CS343">
        <v>1350</v>
      </c>
      <c r="CT343">
        <v>235</v>
      </c>
      <c r="CU343">
        <v>305</v>
      </c>
      <c r="CV343" s="7">
        <v>29</v>
      </c>
      <c r="CW343" s="7">
        <v>35</v>
      </c>
    </row>
    <row r="344" spans="1:101" x14ac:dyDescent="0.25">
      <c r="A344" t="s">
        <v>1486</v>
      </c>
      <c r="B344" t="s">
        <v>1196</v>
      </c>
      <c r="C344" t="s">
        <v>214</v>
      </c>
      <c r="D344" t="s">
        <v>1487</v>
      </c>
      <c r="E344" t="s">
        <v>2150</v>
      </c>
      <c r="F344" t="s">
        <v>1463</v>
      </c>
      <c r="G344" t="s">
        <v>75</v>
      </c>
      <c r="H344">
        <v>149800</v>
      </c>
      <c r="I344" t="s">
        <v>3669</v>
      </c>
      <c r="J344" t="s">
        <v>1488</v>
      </c>
      <c r="K344" t="s">
        <v>1489</v>
      </c>
      <c r="L344" t="s">
        <v>49</v>
      </c>
      <c r="M344" s="7">
        <v>14</v>
      </c>
      <c r="N344" s="7">
        <v>14.65</v>
      </c>
      <c r="O344" s="7">
        <v>4.5510000000000002</v>
      </c>
      <c r="P344" s="7">
        <v>4.0579999999999998</v>
      </c>
      <c r="Q344">
        <v>50</v>
      </c>
      <c r="R344">
        <v>30</v>
      </c>
      <c r="U344">
        <v>1</v>
      </c>
      <c r="X344">
        <v>17</v>
      </c>
      <c r="Y344">
        <v>43</v>
      </c>
      <c r="Z344">
        <v>-7</v>
      </c>
      <c r="AA344">
        <v>24</v>
      </c>
      <c r="AD344">
        <v>90</v>
      </c>
      <c r="AE344" t="s">
        <v>3490</v>
      </c>
      <c r="AF344" t="s">
        <v>3505</v>
      </c>
      <c r="AL344" t="s">
        <v>1218</v>
      </c>
      <c r="AN344" s="7">
        <v>9.52</v>
      </c>
      <c r="AO344" s="7">
        <v>19.05</v>
      </c>
      <c r="AP344" s="7" t="s">
        <v>1468</v>
      </c>
      <c r="AQ344" t="s">
        <v>49</v>
      </c>
      <c r="AR344" t="s">
        <v>49</v>
      </c>
      <c r="AS344" t="s">
        <v>49</v>
      </c>
      <c r="AT344" t="s">
        <v>49</v>
      </c>
      <c r="AU344" t="s">
        <v>50</v>
      </c>
      <c r="AV344" s="7" t="s">
        <v>3039</v>
      </c>
      <c r="AW344" s="7" t="s">
        <v>3038</v>
      </c>
      <c r="AX344">
        <v>20</v>
      </c>
      <c r="BE344" s="7" t="s">
        <v>3282</v>
      </c>
      <c r="BF344" t="s">
        <v>49</v>
      </c>
      <c r="BH344">
        <v>130</v>
      </c>
      <c r="BI344" t="s">
        <v>241</v>
      </c>
      <c r="BS344" t="s">
        <v>872</v>
      </c>
      <c r="CH344">
        <v>1250</v>
      </c>
      <c r="CI344">
        <v>1365</v>
      </c>
      <c r="CJ344">
        <v>940</v>
      </c>
      <c r="CK344">
        <v>1030</v>
      </c>
      <c r="CL344">
        <v>340</v>
      </c>
      <c r="CM344">
        <v>430</v>
      </c>
      <c r="CN344" s="2">
        <v>93</v>
      </c>
      <c r="CO344">
        <v>103</v>
      </c>
      <c r="CP344" s="2">
        <v>235</v>
      </c>
      <c r="CQ344">
        <v>305</v>
      </c>
      <c r="CR344">
        <v>1635</v>
      </c>
      <c r="CS344">
        <v>1710</v>
      </c>
      <c r="CT344">
        <v>675</v>
      </c>
      <c r="CU344">
        <v>748</v>
      </c>
      <c r="CV344" s="7">
        <v>38</v>
      </c>
      <c r="CW344" s="7">
        <v>46</v>
      </c>
    </row>
    <row r="345" spans="1:101" x14ac:dyDescent="0.25">
      <c r="A345" t="s">
        <v>1490</v>
      </c>
      <c r="B345" t="s">
        <v>1196</v>
      </c>
      <c r="C345" t="s">
        <v>214</v>
      </c>
      <c r="D345" t="s">
        <v>1491</v>
      </c>
      <c r="E345" t="s">
        <v>2150</v>
      </c>
      <c r="F345" t="s">
        <v>1463</v>
      </c>
      <c r="G345" t="s">
        <v>41</v>
      </c>
      <c r="H345">
        <v>149800</v>
      </c>
      <c r="I345" t="s">
        <v>3669</v>
      </c>
      <c r="J345" t="s">
        <v>1492</v>
      </c>
      <c r="K345" t="s">
        <v>1493</v>
      </c>
      <c r="L345" t="s">
        <v>49</v>
      </c>
      <c r="M345" s="7">
        <v>14</v>
      </c>
      <c r="N345" s="7">
        <v>14.65</v>
      </c>
      <c r="O345" s="7">
        <v>4.5510000000000002</v>
      </c>
      <c r="P345" s="7">
        <v>4.0579999999999998</v>
      </c>
      <c r="Q345">
        <v>50</v>
      </c>
      <c r="R345">
        <v>30</v>
      </c>
      <c r="U345">
        <v>1</v>
      </c>
      <c r="X345">
        <v>17</v>
      </c>
      <c r="Y345">
        <v>43</v>
      </c>
      <c r="Z345">
        <v>7</v>
      </c>
      <c r="AA345">
        <v>24</v>
      </c>
      <c r="AD345">
        <v>90</v>
      </c>
      <c r="AE345" t="s">
        <v>3490</v>
      </c>
      <c r="AF345" t="s">
        <v>3505</v>
      </c>
      <c r="AL345" t="s">
        <v>1218</v>
      </c>
      <c r="AN345" s="7">
        <v>9.52</v>
      </c>
      <c r="AO345" s="7">
        <v>19.05</v>
      </c>
      <c r="AP345" s="7">
        <v>25</v>
      </c>
      <c r="AQ345" t="s">
        <v>49</v>
      </c>
      <c r="AR345" t="s">
        <v>49</v>
      </c>
      <c r="AS345" t="s">
        <v>49</v>
      </c>
      <c r="AT345" t="s">
        <v>49</v>
      </c>
      <c r="AU345" t="s">
        <v>50</v>
      </c>
      <c r="AV345" s="7" t="s">
        <v>3039</v>
      </c>
      <c r="AW345" s="7" t="s">
        <v>3038</v>
      </c>
      <c r="AX345">
        <v>20</v>
      </c>
      <c r="BE345" s="7" t="s">
        <v>3282</v>
      </c>
      <c r="BF345" t="s">
        <v>49</v>
      </c>
      <c r="BH345">
        <v>140</v>
      </c>
      <c r="BI345" t="s">
        <v>241</v>
      </c>
      <c r="BS345" t="s">
        <v>872</v>
      </c>
      <c r="CH345">
        <v>1250</v>
      </c>
      <c r="CI345">
        <v>1365</v>
      </c>
      <c r="CJ345">
        <v>940</v>
      </c>
      <c r="CK345">
        <v>1030</v>
      </c>
      <c r="CL345">
        <v>340</v>
      </c>
      <c r="CM345">
        <v>430</v>
      </c>
      <c r="CN345" s="2">
        <v>93</v>
      </c>
      <c r="CO345">
        <v>103</v>
      </c>
      <c r="CP345" s="2">
        <v>675</v>
      </c>
      <c r="CQ345">
        <v>748</v>
      </c>
      <c r="CR345">
        <v>1635</v>
      </c>
      <c r="CS345">
        <v>1710</v>
      </c>
      <c r="CT345">
        <v>235</v>
      </c>
      <c r="CU345">
        <v>305</v>
      </c>
      <c r="CV345" s="7">
        <v>38</v>
      </c>
      <c r="CW345" s="7">
        <v>46</v>
      </c>
    </row>
    <row r="346" spans="1:101" x14ac:dyDescent="0.25">
      <c r="A346" t="s">
        <v>1494</v>
      </c>
      <c r="B346" t="s">
        <v>1196</v>
      </c>
      <c r="C346" t="s">
        <v>214</v>
      </c>
      <c r="D346" t="s">
        <v>1495</v>
      </c>
      <c r="E346" t="s">
        <v>2150</v>
      </c>
      <c r="F346" t="s">
        <v>1463</v>
      </c>
      <c r="G346" t="s">
        <v>41</v>
      </c>
      <c r="H346">
        <v>155400</v>
      </c>
      <c r="I346" t="s">
        <v>3669</v>
      </c>
      <c r="J346" t="s">
        <v>1496</v>
      </c>
      <c r="K346" t="s">
        <v>1497</v>
      </c>
      <c r="L346" t="s">
        <v>49</v>
      </c>
      <c r="M346" s="7">
        <v>16.12</v>
      </c>
      <c r="N346" s="7">
        <v>17.73</v>
      </c>
      <c r="O346" s="7">
        <v>5.5940000000000003</v>
      </c>
      <c r="P346" s="7">
        <v>5.1470000000000002</v>
      </c>
      <c r="Q346">
        <v>50</v>
      </c>
      <c r="R346">
        <v>30</v>
      </c>
      <c r="U346">
        <v>1</v>
      </c>
      <c r="X346">
        <v>17</v>
      </c>
      <c r="Y346">
        <v>43</v>
      </c>
      <c r="Z346">
        <v>-7</v>
      </c>
      <c r="AA346">
        <v>24</v>
      </c>
      <c r="AD346">
        <v>115</v>
      </c>
      <c r="AE346" t="s">
        <v>3674</v>
      </c>
      <c r="AF346" t="s">
        <v>3675</v>
      </c>
      <c r="AL346" t="s">
        <v>1218</v>
      </c>
      <c r="AN346" s="7">
        <v>9.52</v>
      </c>
      <c r="AO346" s="7">
        <v>19.05</v>
      </c>
      <c r="AP346" s="7" t="s">
        <v>1468</v>
      </c>
      <c r="AQ346" t="s">
        <v>49</v>
      </c>
      <c r="AR346" t="s">
        <v>49</v>
      </c>
      <c r="AS346" t="s">
        <v>49</v>
      </c>
      <c r="AT346" t="s">
        <v>49</v>
      </c>
      <c r="AU346" t="s">
        <v>50</v>
      </c>
      <c r="AV346" s="7" t="s">
        <v>3039</v>
      </c>
      <c r="AW346" s="7" t="s">
        <v>3038</v>
      </c>
      <c r="AX346">
        <v>20</v>
      </c>
      <c r="BE346" s="7" t="s">
        <v>3283</v>
      </c>
      <c r="BF346" t="s">
        <v>49</v>
      </c>
      <c r="BH346">
        <v>150</v>
      </c>
      <c r="BI346" t="s">
        <v>241</v>
      </c>
      <c r="BS346" t="s">
        <v>872</v>
      </c>
      <c r="CH346">
        <v>1250</v>
      </c>
      <c r="CI346">
        <v>1365</v>
      </c>
      <c r="CJ346">
        <v>940</v>
      </c>
      <c r="CK346">
        <v>1030</v>
      </c>
      <c r="CL346">
        <v>340</v>
      </c>
      <c r="CM346">
        <v>430</v>
      </c>
      <c r="CN346" s="2">
        <v>101</v>
      </c>
      <c r="CO346">
        <v>111</v>
      </c>
      <c r="CP346" s="2">
        <v>235</v>
      </c>
      <c r="CQ346">
        <v>305</v>
      </c>
      <c r="CR346">
        <v>1635</v>
      </c>
      <c r="CS346">
        <v>1710</v>
      </c>
      <c r="CT346">
        <v>675</v>
      </c>
      <c r="CU346">
        <v>748</v>
      </c>
      <c r="CV346" s="7">
        <v>41</v>
      </c>
      <c r="CW346" s="7">
        <v>48</v>
      </c>
    </row>
    <row r="347" spans="1:101" x14ac:dyDescent="0.25">
      <c r="A347" t="s">
        <v>1498</v>
      </c>
      <c r="B347" t="s">
        <v>1196</v>
      </c>
      <c r="C347" t="s">
        <v>214</v>
      </c>
      <c r="D347" t="s">
        <v>1499</v>
      </c>
      <c r="E347" t="s">
        <v>2150</v>
      </c>
      <c r="F347" t="s">
        <v>1463</v>
      </c>
      <c r="G347" t="s">
        <v>41</v>
      </c>
      <c r="H347">
        <v>155400</v>
      </c>
      <c r="I347" t="s">
        <v>3669</v>
      </c>
      <c r="J347" t="s">
        <v>1500</v>
      </c>
      <c r="K347" t="s">
        <v>1501</v>
      </c>
      <c r="L347" t="s">
        <v>49</v>
      </c>
      <c r="M347" s="7">
        <v>16.12</v>
      </c>
      <c r="N347" s="7">
        <v>17.73</v>
      </c>
      <c r="O347" s="7">
        <v>5.5940000000000003</v>
      </c>
      <c r="P347" s="7">
        <v>5.1470000000000002</v>
      </c>
      <c r="Q347">
        <v>50</v>
      </c>
      <c r="R347">
        <v>30</v>
      </c>
      <c r="U347">
        <v>1</v>
      </c>
      <c r="X347">
        <v>17</v>
      </c>
      <c r="Y347">
        <v>43</v>
      </c>
      <c r="Z347">
        <v>7</v>
      </c>
      <c r="AA347">
        <v>24</v>
      </c>
      <c r="AD347">
        <v>115</v>
      </c>
      <c r="AE347" t="s">
        <v>3674</v>
      </c>
      <c r="AF347" t="s">
        <v>3675</v>
      </c>
      <c r="AL347" t="s">
        <v>1218</v>
      </c>
      <c r="AN347" s="7">
        <v>9.52</v>
      </c>
      <c r="AO347" s="7">
        <v>19.05</v>
      </c>
      <c r="AP347" s="7">
        <v>25</v>
      </c>
      <c r="AQ347" t="s">
        <v>49</v>
      </c>
      <c r="AR347" t="s">
        <v>49</v>
      </c>
      <c r="AS347" t="s">
        <v>49</v>
      </c>
      <c r="AT347" t="s">
        <v>49</v>
      </c>
      <c r="AU347" t="s">
        <v>50</v>
      </c>
      <c r="AV347" s="7" t="s">
        <v>3039</v>
      </c>
      <c r="AW347" s="7" t="s">
        <v>3038</v>
      </c>
      <c r="AX347">
        <v>20</v>
      </c>
      <c r="BE347" s="7" t="s">
        <v>3283</v>
      </c>
      <c r="BF347" t="s">
        <v>49</v>
      </c>
      <c r="BH347">
        <v>161</v>
      </c>
      <c r="BI347" t="s">
        <v>241</v>
      </c>
      <c r="BS347" t="s">
        <v>872</v>
      </c>
      <c r="CH347">
        <v>1250</v>
      </c>
      <c r="CI347">
        <v>1365</v>
      </c>
      <c r="CJ347">
        <v>940</v>
      </c>
      <c r="CK347">
        <v>1030</v>
      </c>
      <c r="CL347">
        <v>340</v>
      </c>
      <c r="CM347">
        <v>430</v>
      </c>
      <c r="CN347" s="2">
        <v>101</v>
      </c>
      <c r="CO347">
        <v>111</v>
      </c>
      <c r="CP347" s="2">
        <v>675</v>
      </c>
      <c r="CQ347">
        <v>748</v>
      </c>
      <c r="CR347">
        <v>1635</v>
      </c>
      <c r="CS347">
        <v>1710</v>
      </c>
      <c r="CT347">
        <v>235</v>
      </c>
      <c r="CU347">
        <v>305</v>
      </c>
      <c r="CV347" s="7">
        <v>41</v>
      </c>
      <c r="CW347" s="7">
        <v>48</v>
      </c>
    </row>
    <row r="348" spans="1:101" x14ac:dyDescent="0.25">
      <c r="A348" t="s">
        <v>1502</v>
      </c>
      <c r="B348" t="s">
        <v>1196</v>
      </c>
      <c r="C348" t="s">
        <v>214</v>
      </c>
      <c r="D348" t="s">
        <v>1503</v>
      </c>
      <c r="E348" t="s">
        <v>2150</v>
      </c>
      <c r="F348" t="s">
        <v>1504</v>
      </c>
      <c r="G348" t="s">
        <v>41</v>
      </c>
      <c r="H348">
        <v>72400</v>
      </c>
      <c r="I348" t="s">
        <v>3676</v>
      </c>
      <c r="J348" t="s">
        <v>1505</v>
      </c>
      <c r="K348" t="s">
        <v>1506</v>
      </c>
      <c r="L348" t="s">
        <v>49</v>
      </c>
      <c r="M348" s="7">
        <v>5.28</v>
      </c>
      <c r="N348" s="7">
        <v>5.6</v>
      </c>
      <c r="O348" s="7">
        <v>1.7</v>
      </c>
      <c r="P348" s="7">
        <v>1.55</v>
      </c>
      <c r="Q348">
        <v>20</v>
      </c>
      <c r="R348">
        <v>15</v>
      </c>
      <c r="X348">
        <v>-15</v>
      </c>
      <c r="Y348">
        <v>49</v>
      </c>
      <c r="Z348">
        <v>-15</v>
      </c>
      <c r="AA348">
        <v>24</v>
      </c>
      <c r="AE348" t="s">
        <v>3638</v>
      </c>
      <c r="AF348" t="s">
        <v>3505</v>
      </c>
      <c r="AL348" t="s">
        <v>1218</v>
      </c>
      <c r="AN348" s="7">
        <v>6.35</v>
      </c>
      <c r="AO348" s="7">
        <v>12.7</v>
      </c>
      <c r="AP348" s="7">
        <v>20</v>
      </c>
      <c r="AQ348" t="s">
        <v>49</v>
      </c>
      <c r="AR348" t="s">
        <v>49</v>
      </c>
      <c r="AS348" t="s">
        <v>49</v>
      </c>
      <c r="AT348" t="s">
        <v>49</v>
      </c>
      <c r="AU348" t="s">
        <v>50</v>
      </c>
      <c r="AV348" s="7" t="s">
        <v>3019</v>
      </c>
      <c r="AW348" s="7" t="s">
        <v>3023</v>
      </c>
      <c r="AX348">
        <v>20</v>
      </c>
      <c r="BE348" s="7" t="s">
        <v>3306</v>
      </c>
      <c r="BF348" t="s">
        <v>49</v>
      </c>
      <c r="BH348">
        <v>52</v>
      </c>
      <c r="BI348" t="s">
        <v>120</v>
      </c>
      <c r="BS348" t="s">
        <v>1321</v>
      </c>
      <c r="CH348">
        <v>545</v>
      </c>
      <c r="CI348">
        <v>620</v>
      </c>
      <c r="CJ348">
        <v>800</v>
      </c>
      <c r="CK348">
        <v>920</v>
      </c>
      <c r="CL348">
        <v>315</v>
      </c>
      <c r="CM348">
        <v>400</v>
      </c>
      <c r="CN348" s="2">
        <v>36</v>
      </c>
      <c r="CO348">
        <v>39</v>
      </c>
      <c r="CP348" s="2">
        <v>235</v>
      </c>
      <c r="CQ348">
        <v>325</v>
      </c>
      <c r="CR348">
        <v>1000</v>
      </c>
      <c r="CS348">
        <v>1080</v>
      </c>
      <c r="CT348">
        <v>690</v>
      </c>
      <c r="CU348">
        <v>770</v>
      </c>
      <c r="CV348" s="7">
        <v>28</v>
      </c>
      <c r="CW348" s="7">
        <v>32</v>
      </c>
    </row>
    <row r="349" spans="1:101" x14ac:dyDescent="0.25">
      <c r="A349" t="s">
        <v>1507</v>
      </c>
      <c r="B349" t="s">
        <v>1196</v>
      </c>
      <c r="C349" t="s">
        <v>214</v>
      </c>
      <c r="D349" t="s">
        <v>1508</v>
      </c>
      <c r="E349" t="s">
        <v>2150</v>
      </c>
      <c r="F349" t="s">
        <v>1504</v>
      </c>
      <c r="G349" t="s">
        <v>41</v>
      </c>
      <c r="H349">
        <v>90200</v>
      </c>
      <c r="I349" t="s">
        <v>3676</v>
      </c>
      <c r="J349" t="s">
        <v>1505</v>
      </c>
      <c r="K349" t="s">
        <v>1506</v>
      </c>
      <c r="L349" t="s">
        <v>49</v>
      </c>
      <c r="M349" s="7">
        <v>7.03</v>
      </c>
      <c r="N349" s="7">
        <v>7.4</v>
      </c>
      <c r="O349" s="7">
        <v>2.15</v>
      </c>
      <c r="P349" s="7">
        <v>1.95</v>
      </c>
      <c r="Q349">
        <v>20</v>
      </c>
      <c r="R349">
        <v>15</v>
      </c>
      <c r="X349">
        <v>-15</v>
      </c>
      <c r="Y349">
        <v>49</v>
      </c>
      <c r="Z349">
        <v>-15</v>
      </c>
      <c r="AA349">
        <v>24</v>
      </c>
      <c r="AE349" t="s">
        <v>3650</v>
      </c>
      <c r="AF349" t="s">
        <v>2938</v>
      </c>
      <c r="AL349" t="s">
        <v>1218</v>
      </c>
      <c r="AN349" s="7">
        <v>9.52</v>
      </c>
      <c r="AO349" s="7">
        <v>15.88</v>
      </c>
      <c r="AP349" s="7">
        <v>20</v>
      </c>
      <c r="AQ349" t="s">
        <v>49</v>
      </c>
      <c r="AR349" t="s">
        <v>49</v>
      </c>
      <c r="AS349" t="s">
        <v>49</v>
      </c>
      <c r="AT349" t="s">
        <v>49</v>
      </c>
      <c r="AU349" t="s">
        <v>50</v>
      </c>
      <c r="AV349" s="7" t="s">
        <v>3021</v>
      </c>
      <c r="AW349" s="7" t="s">
        <v>3031</v>
      </c>
      <c r="AX349">
        <v>25</v>
      </c>
      <c r="BE349" s="7" t="s">
        <v>3307</v>
      </c>
      <c r="BF349" t="s">
        <v>49</v>
      </c>
      <c r="BH349">
        <v>70</v>
      </c>
      <c r="BI349" t="s">
        <v>120</v>
      </c>
      <c r="BS349" t="s">
        <v>1509</v>
      </c>
      <c r="CH349">
        <v>655</v>
      </c>
      <c r="CI349">
        <v>725</v>
      </c>
      <c r="CJ349">
        <v>825</v>
      </c>
      <c r="CK349">
        <v>945</v>
      </c>
      <c r="CL349">
        <v>310</v>
      </c>
      <c r="CM349">
        <v>435</v>
      </c>
      <c r="CN349" s="2">
        <v>46</v>
      </c>
      <c r="CO349">
        <v>49</v>
      </c>
      <c r="CP349" s="2">
        <v>235</v>
      </c>
      <c r="CQ349">
        <v>325</v>
      </c>
      <c r="CR349">
        <v>1000</v>
      </c>
      <c r="CS349">
        <v>1080</v>
      </c>
      <c r="CT349">
        <v>690</v>
      </c>
      <c r="CU349">
        <v>770</v>
      </c>
      <c r="CV349" s="7">
        <v>29</v>
      </c>
      <c r="CW349" s="7">
        <v>33</v>
      </c>
    </row>
    <row r="350" spans="1:101" x14ac:dyDescent="0.25">
      <c r="A350" t="s">
        <v>1510</v>
      </c>
      <c r="B350" t="s">
        <v>1196</v>
      </c>
      <c r="C350" t="s">
        <v>214</v>
      </c>
      <c r="D350" t="s">
        <v>1511</v>
      </c>
      <c r="E350" t="s">
        <v>2150</v>
      </c>
      <c r="F350" t="s">
        <v>1504</v>
      </c>
      <c r="G350" t="s">
        <v>41</v>
      </c>
      <c r="H350">
        <v>123800</v>
      </c>
      <c r="I350" t="s">
        <v>3676</v>
      </c>
      <c r="J350" t="s">
        <v>1505</v>
      </c>
      <c r="K350" t="s">
        <v>1506</v>
      </c>
      <c r="L350" t="s">
        <v>49</v>
      </c>
      <c r="M350" s="7">
        <v>10.55</v>
      </c>
      <c r="N350" s="7">
        <v>11.7</v>
      </c>
      <c r="O350" s="7">
        <v>3.5</v>
      </c>
      <c r="P350" s="7">
        <v>3.24</v>
      </c>
      <c r="Q350">
        <v>30</v>
      </c>
      <c r="R350">
        <v>20</v>
      </c>
      <c r="X350">
        <v>-15</v>
      </c>
      <c r="Y350">
        <v>49</v>
      </c>
      <c r="Z350">
        <v>-15</v>
      </c>
      <c r="AA350">
        <v>24</v>
      </c>
      <c r="AE350" t="s">
        <v>3493</v>
      </c>
      <c r="AF350" t="s">
        <v>3505</v>
      </c>
      <c r="AL350" t="s">
        <v>785</v>
      </c>
      <c r="AN350" s="7">
        <v>9.52</v>
      </c>
      <c r="AO350" s="7">
        <v>15.88</v>
      </c>
      <c r="AP350" s="7">
        <v>20</v>
      </c>
      <c r="AQ350" t="s">
        <v>49</v>
      </c>
      <c r="AR350" t="s">
        <v>49</v>
      </c>
      <c r="AS350" t="s">
        <v>49</v>
      </c>
      <c r="AT350" t="s">
        <v>49</v>
      </c>
      <c r="AU350" t="s">
        <v>50</v>
      </c>
      <c r="AV350" s="7" t="s">
        <v>3023</v>
      </c>
      <c r="AW350" s="7" t="s">
        <v>3035</v>
      </c>
      <c r="AX350">
        <v>20</v>
      </c>
      <c r="BE350" s="7" t="s">
        <v>3308</v>
      </c>
      <c r="BF350" t="s">
        <v>49</v>
      </c>
      <c r="BH350">
        <v>105</v>
      </c>
      <c r="BI350" t="s">
        <v>241</v>
      </c>
      <c r="BS350" t="s">
        <v>1512</v>
      </c>
      <c r="CH350">
        <v>805</v>
      </c>
      <c r="CI350">
        <v>890</v>
      </c>
      <c r="CJ350">
        <v>970</v>
      </c>
      <c r="CK350">
        <v>1105</v>
      </c>
      <c r="CL350">
        <v>395</v>
      </c>
      <c r="CM350">
        <v>495</v>
      </c>
      <c r="CN350" s="2">
        <v>64</v>
      </c>
      <c r="CO350">
        <v>68</v>
      </c>
      <c r="CP350" s="2">
        <v>235</v>
      </c>
      <c r="CQ350">
        <v>325</v>
      </c>
      <c r="CR350">
        <v>1280</v>
      </c>
      <c r="CS350">
        <v>1360</v>
      </c>
      <c r="CT350">
        <v>690</v>
      </c>
      <c r="CU350">
        <v>770</v>
      </c>
      <c r="CV350" s="7">
        <v>36</v>
      </c>
      <c r="CW350" s="7">
        <v>42</v>
      </c>
    </row>
    <row r="351" spans="1:101" x14ac:dyDescent="0.25">
      <c r="A351" t="s">
        <v>1513</v>
      </c>
      <c r="B351" t="s">
        <v>1196</v>
      </c>
      <c r="C351" t="s">
        <v>214</v>
      </c>
      <c r="D351" t="s">
        <v>1514</v>
      </c>
      <c r="E351" t="s">
        <v>2150</v>
      </c>
      <c r="F351" t="s">
        <v>1504</v>
      </c>
      <c r="G351" t="s">
        <v>41</v>
      </c>
      <c r="H351">
        <v>149800</v>
      </c>
      <c r="I351" t="s">
        <v>3676</v>
      </c>
      <c r="J351" t="s">
        <v>1505</v>
      </c>
      <c r="K351" t="s">
        <v>1506</v>
      </c>
      <c r="L351" t="s">
        <v>49</v>
      </c>
      <c r="M351" s="7">
        <v>14.07</v>
      </c>
      <c r="N351" s="7">
        <v>15.24</v>
      </c>
      <c r="O351" s="7">
        <v>4.68</v>
      </c>
      <c r="P351" s="7">
        <v>4.42</v>
      </c>
      <c r="Q351">
        <v>50</v>
      </c>
      <c r="R351">
        <v>30</v>
      </c>
      <c r="X351">
        <v>-15</v>
      </c>
      <c r="Y351">
        <v>49</v>
      </c>
      <c r="Z351">
        <v>-15</v>
      </c>
      <c r="AA351">
        <v>24</v>
      </c>
      <c r="AE351" t="s">
        <v>3493</v>
      </c>
      <c r="AF351" t="s">
        <v>3652</v>
      </c>
      <c r="AL351" t="s">
        <v>684</v>
      </c>
      <c r="AN351" s="7">
        <v>9.52</v>
      </c>
      <c r="AO351" s="7">
        <v>19.05</v>
      </c>
      <c r="AP351" s="7">
        <v>20</v>
      </c>
      <c r="AQ351" t="s">
        <v>49</v>
      </c>
      <c r="AR351" t="s">
        <v>49</v>
      </c>
      <c r="AS351" t="s">
        <v>49</v>
      </c>
      <c r="AT351" t="s">
        <v>49</v>
      </c>
      <c r="AU351" t="s">
        <v>50</v>
      </c>
      <c r="AV351" s="7" t="s">
        <v>3023</v>
      </c>
      <c r="AW351" s="7" t="s">
        <v>3035</v>
      </c>
      <c r="AX351">
        <v>20</v>
      </c>
      <c r="BE351" s="7" t="s">
        <v>3287</v>
      </c>
      <c r="BF351" t="s">
        <v>49</v>
      </c>
      <c r="BH351">
        <v>140</v>
      </c>
      <c r="BI351" t="s">
        <v>241</v>
      </c>
      <c r="BS351" t="s">
        <v>1515</v>
      </c>
      <c r="CH351">
        <v>1320</v>
      </c>
      <c r="CI351">
        <v>1440</v>
      </c>
      <c r="CJ351">
        <v>940</v>
      </c>
      <c r="CK351">
        <v>1080</v>
      </c>
      <c r="CL351">
        <v>340</v>
      </c>
      <c r="CM351">
        <v>430</v>
      </c>
      <c r="CN351" s="2">
        <v>85</v>
      </c>
      <c r="CO351">
        <v>94</v>
      </c>
      <c r="CP351" s="2">
        <v>690</v>
      </c>
      <c r="CQ351">
        <v>770</v>
      </c>
      <c r="CR351">
        <v>1600</v>
      </c>
      <c r="CS351">
        <v>1680</v>
      </c>
      <c r="CT351">
        <v>235</v>
      </c>
      <c r="CU351">
        <v>325</v>
      </c>
      <c r="CV351" s="7">
        <v>44</v>
      </c>
      <c r="CW351" s="7">
        <v>50.5</v>
      </c>
    </row>
    <row r="352" spans="1:101" x14ac:dyDescent="0.25">
      <c r="A352" t="s">
        <v>1516</v>
      </c>
      <c r="B352" t="s">
        <v>1196</v>
      </c>
      <c r="C352" t="s">
        <v>214</v>
      </c>
      <c r="D352" t="s">
        <v>1517</v>
      </c>
      <c r="E352" t="s">
        <v>2150</v>
      </c>
      <c r="F352" t="s">
        <v>1504</v>
      </c>
      <c r="G352" t="s">
        <v>41</v>
      </c>
      <c r="H352">
        <v>155400</v>
      </c>
      <c r="I352" t="s">
        <v>3676</v>
      </c>
      <c r="J352" t="s">
        <v>1505</v>
      </c>
      <c r="K352" t="s">
        <v>1506</v>
      </c>
      <c r="L352" t="s">
        <v>49</v>
      </c>
      <c r="M352" s="7">
        <v>16.12</v>
      </c>
      <c r="N352" s="7">
        <v>17.600000000000001</v>
      </c>
      <c r="O352" s="7">
        <v>5.55</v>
      </c>
      <c r="P352" s="7">
        <v>5.01</v>
      </c>
      <c r="Q352">
        <v>50</v>
      </c>
      <c r="R352">
        <v>30</v>
      </c>
      <c r="X352">
        <v>-15</v>
      </c>
      <c r="Y352">
        <v>49</v>
      </c>
      <c r="Z352">
        <v>-15</v>
      </c>
      <c r="AA352">
        <v>24</v>
      </c>
      <c r="AE352" t="s">
        <v>3578</v>
      </c>
      <c r="AF352" t="s">
        <v>3581</v>
      </c>
      <c r="AL352" t="s">
        <v>684</v>
      </c>
      <c r="AN352" s="7">
        <v>9.52</v>
      </c>
      <c r="AO352" s="7">
        <v>19.05</v>
      </c>
      <c r="AP352" s="7">
        <v>20</v>
      </c>
      <c r="AQ352" t="s">
        <v>49</v>
      </c>
      <c r="AR352" t="s">
        <v>49</v>
      </c>
      <c r="AS352" t="s">
        <v>49</v>
      </c>
      <c r="AT352" t="s">
        <v>49</v>
      </c>
      <c r="AU352" t="s">
        <v>50</v>
      </c>
      <c r="AV352" s="7" t="s">
        <v>3022</v>
      </c>
      <c r="AW352" s="7" t="s">
        <v>3035</v>
      </c>
      <c r="AX352">
        <v>25</v>
      </c>
      <c r="BE352" s="7" t="s">
        <v>3288</v>
      </c>
      <c r="BF352" t="s">
        <v>49</v>
      </c>
      <c r="BH352">
        <v>160</v>
      </c>
      <c r="BI352" t="s">
        <v>241</v>
      </c>
      <c r="BS352" t="s">
        <v>1515</v>
      </c>
      <c r="CH352">
        <v>1320</v>
      </c>
      <c r="CI352">
        <v>1440</v>
      </c>
      <c r="CJ352">
        <v>940</v>
      </c>
      <c r="CK352">
        <v>1080</v>
      </c>
      <c r="CL352">
        <v>340</v>
      </c>
      <c r="CM352">
        <v>430</v>
      </c>
      <c r="CN352" s="2">
        <v>91</v>
      </c>
      <c r="CO352">
        <v>100</v>
      </c>
      <c r="CP352" s="2">
        <v>235</v>
      </c>
      <c r="CQ352">
        <v>325</v>
      </c>
      <c r="CR352">
        <v>1600</v>
      </c>
      <c r="CS352">
        <v>1680</v>
      </c>
      <c r="CT352">
        <v>690</v>
      </c>
      <c r="CU352">
        <v>770</v>
      </c>
      <c r="CV352" s="7">
        <v>44</v>
      </c>
      <c r="CW352" s="7">
        <v>50.5</v>
      </c>
    </row>
    <row r="353" spans="1:101" x14ac:dyDescent="0.25">
      <c r="A353" t="s">
        <v>1518</v>
      </c>
      <c r="B353" t="s">
        <v>1196</v>
      </c>
      <c r="C353" t="s">
        <v>526</v>
      </c>
      <c r="D353" t="s">
        <v>1519</v>
      </c>
      <c r="E353" t="s">
        <v>2151</v>
      </c>
      <c r="F353" t="s">
        <v>211</v>
      </c>
      <c r="G353" t="s">
        <v>41</v>
      </c>
      <c r="H353">
        <v>11800</v>
      </c>
      <c r="I353" t="s">
        <v>3677</v>
      </c>
      <c r="J353" t="s">
        <v>1520</v>
      </c>
      <c r="K353" t="s">
        <v>1521</v>
      </c>
      <c r="L353" t="s">
        <v>44</v>
      </c>
      <c r="M353" s="7">
        <v>2.0499999999999998</v>
      </c>
      <c r="N353" s="7">
        <v>2.0499999999999998</v>
      </c>
      <c r="O353" s="7">
        <v>3.5000000000000003E-2</v>
      </c>
      <c r="P353" s="7">
        <v>3.5000000000000003E-2</v>
      </c>
      <c r="AN353" s="7">
        <v>6.35</v>
      </c>
      <c r="AO353" s="7">
        <v>9.52</v>
      </c>
      <c r="AP353" s="7">
        <v>16</v>
      </c>
      <c r="AQ353" t="s">
        <v>49</v>
      </c>
      <c r="AR353" t="s">
        <v>49</v>
      </c>
      <c r="AS353" t="s">
        <v>49</v>
      </c>
      <c r="AT353" t="s">
        <v>49</v>
      </c>
      <c r="AU353" t="s">
        <v>78</v>
      </c>
      <c r="AW353" s="7" t="s">
        <v>3020</v>
      </c>
      <c r="BE353" s="7" t="s">
        <v>3309</v>
      </c>
      <c r="BF353" t="s">
        <v>49</v>
      </c>
      <c r="BH353">
        <v>20</v>
      </c>
      <c r="BI353" t="s">
        <v>120</v>
      </c>
      <c r="BK353">
        <v>250</v>
      </c>
      <c r="BL353">
        <v>777</v>
      </c>
      <c r="BM353">
        <v>201</v>
      </c>
      <c r="BN353">
        <v>8</v>
      </c>
      <c r="BO353">
        <v>10.5</v>
      </c>
      <c r="BP353">
        <v>320</v>
      </c>
      <c r="BQ353">
        <v>850</v>
      </c>
      <c r="BR353">
        <v>275</v>
      </c>
      <c r="BS353" t="s">
        <v>1522</v>
      </c>
    </row>
    <row r="354" spans="1:101" x14ac:dyDescent="0.25">
      <c r="A354" t="s">
        <v>1523</v>
      </c>
      <c r="B354" t="s">
        <v>1196</v>
      </c>
      <c r="C354" t="s">
        <v>526</v>
      </c>
      <c r="D354" t="s">
        <v>1524</v>
      </c>
      <c r="E354" t="s">
        <v>2151</v>
      </c>
      <c r="F354" t="s">
        <v>211</v>
      </c>
      <c r="G354" t="s">
        <v>41</v>
      </c>
      <c r="H354">
        <v>12600</v>
      </c>
      <c r="I354" t="s">
        <v>3677</v>
      </c>
      <c r="J354" t="s">
        <v>1520</v>
      </c>
      <c r="K354" t="s">
        <v>1521</v>
      </c>
      <c r="L354" t="s">
        <v>44</v>
      </c>
      <c r="M354" s="7">
        <v>2.64</v>
      </c>
      <c r="N354" s="7">
        <v>2.64</v>
      </c>
      <c r="O354" s="7">
        <v>3.5000000000000003E-2</v>
      </c>
      <c r="P354" s="7">
        <v>3.5000000000000003E-2</v>
      </c>
      <c r="AN354" s="7">
        <v>6.35</v>
      </c>
      <c r="AO354" s="7">
        <v>9.52</v>
      </c>
      <c r="AP354" s="7">
        <v>16</v>
      </c>
      <c r="AQ354" t="s">
        <v>49</v>
      </c>
      <c r="AR354" t="s">
        <v>49</v>
      </c>
      <c r="AS354" t="s">
        <v>49</v>
      </c>
      <c r="AT354" t="s">
        <v>49</v>
      </c>
      <c r="AU354" t="s">
        <v>78</v>
      </c>
      <c r="AW354" s="7" t="s">
        <v>3020</v>
      </c>
      <c r="BE354" s="7" t="s">
        <v>3309</v>
      </c>
      <c r="BF354" t="s">
        <v>49</v>
      </c>
      <c r="BH354">
        <v>26</v>
      </c>
      <c r="BI354" t="s">
        <v>120</v>
      </c>
      <c r="BK354">
        <v>250</v>
      </c>
      <c r="BL354">
        <v>777</v>
      </c>
      <c r="BM354">
        <v>201</v>
      </c>
      <c r="BN354">
        <v>8</v>
      </c>
      <c r="BO354">
        <v>10.5</v>
      </c>
      <c r="BP354">
        <v>320</v>
      </c>
      <c r="BQ354">
        <v>850</v>
      </c>
      <c r="BR354">
        <v>275</v>
      </c>
      <c r="BS354" t="s">
        <v>1522</v>
      </c>
    </row>
    <row r="355" spans="1:101" x14ac:dyDescent="0.25">
      <c r="A355" t="s">
        <v>1525</v>
      </c>
      <c r="B355" t="s">
        <v>1196</v>
      </c>
      <c r="C355" t="s">
        <v>526</v>
      </c>
      <c r="D355" t="s">
        <v>1526</v>
      </c>
      <c r="E355" t="s">
        <v>2151</v>
      </c>
      <c r="F355" t="s">
        <v>211</v>
      </c>
      <c r="G355" t="s">
        <v>41</v>
      </c>
      <c r="H355">
        <v>13900</v>
      </c>
      <c r="I355" t="s">
        <v>3677</v>
      </c>
      <c r="J355" t="s">
        <v>1520</v>
      </c>
      <c r="K355" t="s">
        <v>1521</v>
      </c>
      <c r="L355" t="s">
        <v>44</v>
      </c>
      <c r="M355" s="7">
        <v>3.52</v>
      </c>
      <c r="N355" s="7">
        <v>3.52</v>
      </c>
      <c r="O355" s="7">
        <v>3.5000000000000003E-2</v>
      </c>
      <c r="P355" s="7">
        <v>3.5000000000000003E-2</v>
      </c>
      <c r="AN355" s="7">
        <v>6.35</v>
      </c>
      <c r="AO355" s="7">
        <v>9.52</v>
      </c>
      <c r="AP355" s="7">
        <v>16</v>
      </c>
      <c r="AQ355" t="s">
        <v>49</v>
      </c>
      <c r="AR355" t="s">
        <v>49</v>
      </c>
      <c r="AS355" t="s">
        <v>49</v>
      </c>
      <c r="AT355" t="s">
        <v>49</v>
      </c>
      <c r="AU355" t="s">
        <v>78</v>
      </c>
      <c r="AW355" s="7" t="s">
        <v>3020</v>
      </c>
      <c r="BE355" s="7" t="s">
        <v>3309</v>
      </c>
      <c r="BF355" t="s">
        <v>49</v>
      </c>
      <c r="BH355">
        <v>35</v>
      </c>
      <c r="BI355" t="s">
        <v>120</v>
      </c>
      <c r="BK355">
        <v>250</v>
      </c>
      <c r="BL355">
        <v>777</v>
      </c>
      <c r="BM355">
        <v>201</v>
      </c>
      <c r="BN355">
        <v>8</v>
      </c>
      <c r="BO355">
        <v>10.5</v>
      </c>
      <c r="BP355">
        <v>320</v>
      </c>
      <c r="BQ355">
        <v>850</v>
      </c>
      <c r="BR355">
        <v>275</v>
      </c>
      <c r="BS355" t="s">
        <v>1522</v>
      </c>
    </row>
    <row r="356" spans="1:101" x14ac:dyDescent="0.25">
      <c r="A356" t="s">
        <v>1527</v>
      </c>
      <c r="B356" t="s">
        <v>1196</v>
      </c>
      <c r="C356" t="s">
        <v>526</v>
      </c>
      <c r="D356" t="s">
        <v>1528</v>
      </c>
      <c r="E356" t="s">
        <v>2151</v>
      </c>
      <c r="F356" t="s">
        <v>211</v>
      </c>
      <c r="G356" t="s">
        <v>41</v>
      </c>
      <c r="H356">
        <v>18500</v>
      </c>
      <c r="I356" t="s">
        <v>3677</v>
      </c>
      <c r="J356" t="s">
        <v>1520</v>
      </c>
      <c r="K356" t="s">
        <v>1521</v>
      </c>
      <c r="L356" t="s">
        <v>44</v>
      </c>
      <c r="M356" s="7">
        <v>5.13</v>
      </c>
      <c r="N356" s="7">
        <v>5.21</v>
      </c>
      <c r="O356" s="7">
        <v>5.1999999999999998E-2</v>
      </c>
      <c r="P356" s="7">
        <v>5.1999999999999998E-2</v>
      </c>
      <c r="AN356" s="7">
        <v>6.35</v>
      </c>
      <c r="AO356" s="7">
        <v>9.52</v>
      </c>
      <c r="AP356" s="7">
        <v>16</v>
      </c>
      <c r="AQ356" t="s">
        <v>49</v>
      </c>
      <c r="AR356" t="s">
        <v>49</v>
      </c>
      <c r="AS356" t="s">
        <v>49</v>
      </c>
      <c r="AT356" t="s">
        <v>49</v>
      </c>
      <c r="AU356" t="s">
        <v>78</v>
      </c>
      <c r="AW356" s="7" t="s">
        <v>3020</v>
      </c>
      <c r="BE356" s="7" t="s">
        <v>3310</v>
      </c>
      <c r="BF356" t="s">
        <v>49</v>
      </c>
      <c r="BH356">
        <v>51</v>
      </c>
      <c r="BI356" t="s">
        <v>120</v>
      </c>
      <c r="BK356">
        <v>294</v>
      </c>
      <c r="BL356">
        <v>910</v>
      </c>
      <c r="BM356">
        <v>206</v>
      </c>
      <c r="BN356">
        <v>10</v>
      </c>
      <c r="BO356">
        <v>13</v>
      </c>
      <c r="BP356">
        <v>372</v>
      </c>
      <c r="BQ356">
        <v>979</v>
      </c>
      <c r="BR356">
        <v>277</v>
      </c>
      <c r="BS356" t="s">
        <v>1529</v>
      </c>
    </row>
    <row r="357" spans="1:101" x14ac:dyDescent="0.25">
      <c r="A357" t="s">
        <v>1530</v>
      </c>
      <c r="B357" t="s">
        <v>1196</v>
      </c>
      <c r="C357" t="s">
        <v>526</v>
      </c>
      <c r="D357" t="s">
        <v>1531</v>
      </c>
      <c r="E357" t="s">
        <v>2151</v>
      </c>
      <c r="F357" t="s">
        <v>1532</v>
      </c>
      <c r="G357" t="s">
        <v>41</v>
      </c>
      <c r="H357">
        <v>55200</v>
      </c>
      <c r="I357" t="s">
        <v>3677</v>
      </c>
      <c r="J357" t="s">
        <v>1533</v>
      </c>
      <c r="K357" t="s">
        <v>1534</v>
      </c>
      <c r="L357" t="s">
        <v>44</v>
      </c>
      <c r="M357" s="7" t="s">
        <v>2366</v>
      </c>
      <c r="N357" s="7" t="s">
        <v>2778</v>
      </c>
      <c r="O357" s="7" t="s">
        <v>2779</v>
      </c>
      <c r="P357" s="7" t="s">
        <v>2780</v>
      </c>
      <c r="Q357">
        <v>30</v>
      </c>
      <c r="R357">
        <v>10</v>
      </c>
      <c r="U357">
        <v>2</v>
      </c>
      <c r="X357">
        <v>-15</v>
      </c>
      <c r="Y357">
        <v>53</v>
      </c>
      <c r="Z357">
        <v>-20</v>
      </c>
      <c r="AA357">
        <v>30</v>
      </c>
      <c r="AG357" t="s">
        <v>2950</v>
      </c>
      <c r="AH357" t="s">
        <v>63</v>
      </c>
      <c r="AL357" t="s">
        <v>1207</v>
      </c>
      <c r="AN357" s="7" t="s">
        <v>2903</v>
      </c>
      <c r="AO357" s="7" t="s">
        <v>2904</v>
      </c>
      <c r="AQ357" t="s">
        <v>49</v>
      </c>
      <c r="AR357" t="s">
        <v>49</v>
      </c>
      <c r="AS357" t="s">
        <v>49</v>
      </c>
      <c r="AT357" t="s">
        <v>49</v>
      </c>
      <c r="AU357" t="s">
        <v>78</v>
      </c>
      <c r="AV357" s="7" t="s">
        <v>3019</v>
      </c>
      <c r="AW357" s="7" t="s">
        <v>3020</v>
      </c>
      <c r="AX357">
        <v>16</v>
      </c>
      <c r="AY357">
        <v>15</v>
      </c>
      <c r="AZ357">
        <v>15</v>
      </c>
      <c r="BE357" s="7" t="s">
        <v>3311</v>
      </c>
      <c r="BF357" t="s">
        <v>49</v>
      </c>
      <c r="BI357" t="s">
        <v>120</v>
      </c>
      <c r="BK357">
        <v>605</v>
      </c>
      <c r="BL357">
        <v>835</v>
      </c>
      <c r="BM357">
        <v>360</v>
      </c>
      <c r="BN357">
        <v>34</v>
      </c>
      <c r="BO357">
        <v>38</v>
      </c>
      <c r="BP357">
        <v>645</v>
      </c>
      <c r="BQ357">
        <v>883</v>
      </c>
      <c r="BR357">
        <v>394</v>
      </c>
    </row>
    <row r="358" spans="1:101" x14ac:dyDescent="0.25">
      <c r="A358" t="s">
        <v>1535</v>
      </c>
      <c r="B358" t="s">
        <v>1196</v>
      </c>
      <c r="C358" t="s">
        <v>526</v>
      </c>
      <c r="D358" t="s">
        <v>1536</v>
      </c>
      <c r="E358" t="s">
        <v>2151</v>
      </c>
      <c r="F358" t="s">
        <v>1532</v>
      </c>
      <c r="G358" t="s">
        <v>41</v>
      </c>
      <c r="H358">
        <v>69900</v>
      </c>
      <c r="I358" t="s">
        <v>3677</v>
      </c>
      <c r="J358" t="s">
        <v>1533</v>
      </c>
      <c r="K358" t="s">
        <v>1534</v>
      </c>
      <c r="L358" t="s">
        <v>44</v>
      </c>
      <c r="M358" s="7" t="s">
        <v>2367</v>
      </c>
      <c r="N358" s="7" t="s">
        <v>2781</v>
      </c>
      <c r="O358" s="7" t="s">
        <v>2782</v>
      </c>
      <c r="P358" s="7" t="s">
        <v>2783</v>
      </c>
      <c r="Q358">
        <v>30</v>
      </c>
      <c r="R358">
        <v>10</v>
      </c>
      <c r="U358">
        <v>1</v>
      </c>
      <c r="X358">
        <v>-15</v>
      </c>
      <c r="Y358">
        <v>53</v>
      </c>
      <c r="Z358">
        <v>-20</v>
      </c>
      <c r="AA358">
        <v>30</v>
      </c>
      <c r="AG358" t="s">
        <v>2947</v>
      </c>
      <c r="AH358" t="s">
        <v>63</v>
      </c>
      <c r="AL358" t="s">
        <v>1207</v>
      </c>
      <c r="AN358" s="7" t="s">
        <v>2903</v>
      </c>
      <c r="AO358" s="7" t="s">
        <v>2904</v>
      </c>
      <c r="AQ358" t="s">
        <v>49</v>
      </c>
      <c r="AR358" t="s">
        <v>49</v>
      </c>
      <c r="AS358" t="s">
        <v>49</v>
      </c>
      <c r="AT358" t="s">
        <v>49</v>
      </c>
      <c r="AU358" t="s">
        <v>78</v>
      </c>
      <c r="AV358" s="7" t="s">
        <v>3021</v>
      </c>
      <c r="AW358" s="7" t="s">
        <v>3020</v>
      </c>
      <c r="AX358">
        <v>16</v>
      </c>
      <c r="AY358">
        <v>15</v>
      </c>
      <c r="AZ358">
        <v>15</v>
      </c>
      <c r="BE358" s="7" t="s">
        <v>3312</v>
      </c>
      <c r="BF358" t="s">
        <v>49</v>
      </c>
      <c r="BI358" t="s">
        <v>120</v>
      </c>
      <c r="BK358">
        <v>605</v>
      </c>
      <c r="BL358">
        <v>835</v>
      </c>
      <c r="BM358">
        <v>360</v>
      </c>
      <c r="BN358">
        <v>34</v>
      </c>
      <c r="BO358">
        <v>38</v>
      </c>
      <c r="BP358">
        <v>645</v>
      </c>
      <c r="BQ358">
        <v>883</v>
      </c>
      <c r="BR358">
        <v>394</v>
      </c>
    </row>
    <row r="359" spans="1:101" x14ac:dyDescent="0.25">
      <c r="A359" t="s">
        <v>1537</v>
      </c>
      <c r="B359" t="s">
        <v>1196</v>
      </c>
      <c r="C359" t="s">
        <v>526</v>
      </c>
      <c r="D359" t="s">
        <v>1538</v>
      </c>
      <c r="E359" t="s">
        <v>2151</v>
      </c>
      <c r="F359" t="s">
        <v>1532</v>
      </c>
      <c r="G359" t="s">
        <v>41</v>
      </c>
      <c r="H359">
        <v>78300</v>
      </c>
      <c r="I359" t="s">
        <v>3677</v>
      </c>
      <c r="J359" t="s">
        <v>1533</v>
      </c>
      <c r="K359" t="s">
        <v>1534</v>
      </c>
      <c r="L359" t="s">
        <v>44</v>
      </c>
      <c r="M359" s="7" t="s">
        <v>2368</v>
      </c>
      <c r="N359" s="7" t="s">
        <v>2784</v>
      </c>
      <c r="O359" s="7" t="s">
        <v>2785</v>
      </c>
      <c r="P359" s="7" t="s">
        <v>2786</v>
      </c>
      <c r="Q359">
        <v>45</v>
      </c>
      <c r="R359">
        <v>10</v>
      </c>
      <c r="U359">
        <v>3</v>
      </c>
      <c r="X359">
        <v>-15</v>
      </c>
      <c r="Y359">
        <v>53</v>
      </c>
      <c r="Z359">
        <v>-20</v>
      </c>
      <c r="AA359">
        <v>30</v>
      </c>
      <c r="AG359" t="s">
        <v>2950</v>
      </c>
      <c r="AH359" t="s">
        <v>63</v>
      </c>
      <c r="AL359" t="s">
        <v>677</v>
      </c>
      <c r="AN359" s="7" t="s">
        <v>2905</v>
      </c>
      <c r="AO359" s="7" t="s">
        <v>2906</v>
      </c>
      <c r="AQ359" t="s">
        <v>49</v>
      </c>
      <c r="AR359" t="s">
        <v>49</v>
      </c>
      <c r="AS359" t="s">
        <v>49</v>
      </c>
      <c r="AT359" t="s">
        <v>49</v>
      </c>
      <c r="AU359" t="s">
        <v>78</v>
      </c>
      <c r="AV359" s="7" t="s">
        <v>3021</v>
      </c>
      <c r="AW359" s="7" t="s">
        <v>3020</v>
      </c>
      <c r="AX359">
        <v>20</v>
      </c>
      <c r="AY359">
        <v>15</v>
      </c>
      <c r="AZ359">
        <v>15</v>
      </c>
      <c r="BE359" s="7" t="s">
        <v>3313</v>
      </c>
      <c r="BF359" t="s">
        <v>49</v>
      </c>
      <c r="BI359" t="s">
        <v>120</v>
      </c>
      <c r="BK359">
        <v>655</v>
      </c>
      <c r="BL359">
        <v>968</v>
      </c>
      <c r="BM359">
        <v>375</v>
      </c>
      <c r="BN359">
        <v>46</v>
      </c>
      <c r="BO359">
        <v>51</v>
      </c>
      <c r="BP359">
        <v>715</v>
      </c>
      <c r="BQ359">
        <v>1015</v>
      </c>
      <c r="BR359">
        <v>425</v>
      </c>
    </row>
    <row r="360" spans="1:101" x14ac:dyDescent="0.25">
      <c r="A360" t="s">
        <v>1539</v>
      </c>
      <c r="B360" t="s">
        <v>1196</v>
      </c>
      <c r="C360" t="s">
        <v>526</v>
      </c>
      <c r="D360" t="s">
        <v>1540</v>
      </c>
      <c r="E360" t="s">
        <v>2151</v>
      </c>
      <c r="F360" t="s">
        <v>1532</v>
      </c>
      <c r="G360" t="s">
        <v>41</v>
      </c>
      <c r="H360">
        <v>86700</v>
      </c>
      <c r="I360" t="s">
        <v>3677</v>
      </c>
      <c r="J360" t="s">
        <v>1533</v>
      </c>
      <c r="K360" t="s">
        <v>1534</v>
      </c>
      <c r="L360" t="s">
        <v>44</v>
      </c>
      <c r="M360" s="7" t="s">
        <v>2369</v>
      </c>
      <c r="N360" s="7" t="s">
        <v>2787</v>
      </c>
      <c r="O360" s="7" t="s">
        <v>2788</v>
      </c>
      <c r="P360" s="7" t="s">
        <v>2789</v>
      </c>
      <c r="Q360">
        <v>45</v>
      </c>
      <c r="R360">
        <v>10</v>
      </c>
      <c r="U360">
        <v>3</v>
      </c>
      <c r="X360">
        <v>-15</v>
      </c>
      <c r="Y360">
        <v>53</v>
      </c>
      <c r="Z360">
        <v>-20</v>
      </c>
      <c r="AA360">
        <v>30</v>
      </c>
      <c r="AG360" t="s">
        <v>2950</v>
      </c>
      <c r="AH360" t="s">
        <v>63</v>
      </c>
      <c r="AL360" t="s">
        <v>677</v>
      </c>
      <c r="AN360" s="7" t="s">
        <v>2905</v>
      </c>
      <c r="AO360" s="7" t="s">
        <v>2906</v>
      </c>
      <c r="AQ360" t="s">
        <v>49</v>
      </c>
      <c r="AR360" t="s">
        <v>49</v>
      </c>
      <c r="AS360" t="s">
        <v>49</v>
      </c>
      <c r="AT360" t="s">
        <v>49</v>
      </c>
      <c r="AU360" t="s">
        <v>78</v>
      </c>
      <c r="AV360" s="7" t="s">
        <v>3021</v>
      </c>
      <c r="AW360" s="7" t="s">
        <v>3020</v>
      </c>
      <c r="AX360">
        <v>25</v>
      </c>
      <c r="AY360">
        <v>15</v>
      </c>
      <c r="AZ360">
        <v>15</v>
      </c>
      <c r="BE360" s="7" t="s">
        <v>3314</v>
      </c>
      <c r="BF360" t="s">
        <v>49</v>
      </c>
      <c r="BI360" t="s">
        <v>120</v>
      </c>
      <c r="BK360">
        <v>655</v>
      </c>
      <c r="BL360">
        <v>968</v>
      </c>
      <c r="BM360">
        <v>375</v>
      </c>
      <c r="BN360">
        <v>46</v>
      </c>
      <c r="BO360">
        <v>51</v>
      </c>
      <c r="BP360">
        <v>715</v>
      </c>
      <c r="BQ360">
        <v>1015</v>
      </c>
      <c r="BR360">
        <v>425</v>
      </c>
    </row>
    <row r="361" spans="1:101" x14ac:dyDescent="0.25">
      <c r="A361" t="s">
        <v>1541</v>
      </c>
      <c r="B361" t="s">
        <v>1542</v>
      </c>
      <c r="C361" t="s">
        <v>38</v>
      </c>
      <c r="D361" t="s">
        <v>1543</v>
      </c>
      <c r="E361" t="s">
        <v>2147</v>
      </c>
      <c r="F361" t="s">
        <v>1544</v>
      </c>
      <c r="G361" t="s">
        <v>41</v>
      </c>
      <c r="H361">
        <v>70600</v>
      </c>
      <c r="I361" t="s">
        <v>3678</v>
      </c>
      <c r="J361" t="s">
        <v>1545</v>
      </c>
      <c r="K361" t="s">
        <v>1546</v>
      </c>
      <c r="L361" t="s">
        <v>44</v>
      </c>
      <c r="M361" s="7" t="s">
        <v>2370</v>
      </c>
      <c r="N361" s="7" t="s">
        <v>2790</v>
      </c>
      <c r="O361" s="7" t="s">
        <v>2791</v>
      </c>
      <c r="P361" s="7" t="s">
        <v>2792</v>
      </c>
      <c r="Q361">
        <v>15</v>
      </c>
      <c r="R361">
        <v>10</v>
      </c>
      <c r="U361">
        <v>1</v>
      </c>
      <c r="X361">
        <v>-15</v>
      </c>
      <c r="Y361">
        <v>43</v>
      </c>
      <c r="Z361">
        <v>-22</v>
      </c>
      <c r="AA361">
        <v>24</v>
      </c>
      <c r="AD361">
        <v>12</v>
      </c>
      <c r="AG361" t="s">
        <v>2968</v>
      </c>
      <c r="AH361" t="s">
        <v>2969</v>
      </c>
      <c r="AL361" t="s">
        <v>785</v>
      </c>
      <c r="AN361" s="7">
        <v>6.35</v>
      </c>
      <c r="AO361" s="7">
        <v>9.52</v>
      </c>
      <c r="AP361" s="7">
        <v>17</v>
      </c>
      <c r="AQ361" t="s">
        <v>49</v>
      </c>
      <c r="AR361" t="s">
        <v>49</v>
      </c>
      <c r="AS361" t="s">
        <v>49</v>
      </c>
      <c r="AT361" t="s">
        <v>49</v>
      </c>
      <c r="AU361" t="s">
        <v>78</v>
      </c>
      <c r="AV361" s="7" t="s">
        <v>3019</v>
      </c>
      <c r="AW361" s="7" t="s">
        <v>3023</v>
      </c>
      <c r="AX361">
        <v>16</v>
      </c>
      <c r="BE361" s="7" t="s">
        <v>3315</v>
      </c>
      <c r="BF361" t="s">
        <v>49</v>
      </c>
      <c r="BH361">
        <v>27</v>
      </c>
      <c r="BI361" t="s">
        <v>120</v>
      </c>
      <c r="BS361" t="s">
        <v>1547</v>
      </c>
      <c r="CH361">
        <v>596</v>
      </c>
      <c r="CI361">
        <v>645</v>
      </c>
      <c r="CJ361">
        <v>848</v>
      </c>
      <c r="CK361">
        <v>881</v>
      </c>
      <c r="CL361">
        <v>320</v>
      </c>
      <c r="CM361">
        <v>363</v>
      </c>
      <c r="CN361" s="2">
        <v>33.5</v>
      </c>
      <c r="CO361">
        <v>36.5</v>
      </c>
      <c r="CP361" s="2">
        <v>293</v>
      </c>
      <c r="CQ361">
        <v>384</v>
      </c>
      <c r="CR361">
        <v>945</v>
      </c>
      <c r="CS361">
        <v>1035</v>
      </c>
      <c r="CT361">
        <v>225</v>
      </c>
      <c r="CU361">
        <v>325</v>
      </c>
      <c r="CV361" s="7">
        <v>14</v>
      </c>
      <c r="CW361" s="7">
        <v>17</v>
      </c>
    </row>
    <row r="362" spans="1:101" x14ac:dyDescent="0.25">
      <c r="A362" t="s">
        <v>1548</v>
      </c>
      <c r="B362" t="s">
        <v>1542</v>
      </c>
      <c r="C362" t="s">
        <v>38</v>
      </c>
      <c r="D362" t="s">
        <v>1549</v>
      </c>
      <c r="E362" t="s">
        <v>2147</v>
      </c>
      <c r="F362" t="s">
        <v>1544</v>
      </c>
      <c r="G362" t="s">
        <v>41</v>
      </c>
      <c r="H362">
        <v>79500</v>
      </c>
      <c r="I362" t="s">
        <v>3678</v>
      </c>
      <c r="J362" t="s">
        <v>1545</v>
      </c>
      <c r="K362" t="s">
        <v>1546</v>
      </c>
      <c r="L362" t="s">
        <v>44</v>
      </c>
      <c r="M362" s="7" t="s">
        <v>2371</v>
      </c>
      <c r="N362" s="7" t="s">
        <v>2793</v>
      </c>
      <c r="O362" s="7" t="s">
        <v>2794</v>
      </c>
      <c r="P362" s="7" t="s">
        <v>2795</v>
      </c>
      <c r="Q362">
        <v>15</v>
      </c>
      <c r="R362">
        <v>10</v>
      </c>
      <c r="U362">
        <v>1</v>
      </c>
      <c r="X362">
        <v>-15</v>
      </c>
      <c r="Y362">
        <v>43</v>
      </c>
      <c r="Z362">
        <v>-22</v>
      </c>
      <c r="AA362">
        <v>24</v>
      </c>
      <c r="AD362">
        <v>16</v>
      </c>
      <c r="AG362" t="s">
        <v>2968</v>
      </c>
      <c r="AH362" t="s">
        <v>2969</v>
      </c>
      <c r="AL362" t="s">
        <v>785</v>
      </c>
      <c r="AN362" s="7">
        <v>6.35</v>
      </c>
      <c r="AO362" s="7">
        <v>9.52</v>
      </c>
      <c r="AP362" s="7">
        <v>17</v>
      </c>
      <c r="AQ362" t="s">
        <v>49</v>
      </c>
      <c r="AR362" t="s">
        <v>49</v>
      </c>
      <c r="AS362" t="s">
        <v>49</v>
      </c>
      <c r="AT362" t="s">
        <v>49</v>
      </c>
      <c r="AU362" t="s">
        <v>78</v>
      </c>
      <c r="AV362" s="7" t="s">
        <v>3019</v>
      </c>
      <c r="AW362" s="7" t="s">
        <v>3023</v>
      </c>
      <c r="AX362">
        <v>16</v>
      </c>
      <c r="BE362" s="7" t="s">
        <v>3316</v>
      </c>
      <c r="BF362" t="s">
        <v>49</v>
      </c>
      <c r="BH362">
        <v>35</v>
      </c>
      <c r="BI362" t="s">
        <v>120</v>
      </c>
      <c r="BS362" t="s">
        <v>1547</v>
      </c>
      <c r="CH362">
        <v>596</v>
      </c>
      <c r="CI362">
        <v>645</v>
      </c>
      <c r="CJ362">
        <v>848</v>
      </c>
      <c r="CK362">
        <v>881</v>
      </c>
      <c r="CL362">
        <v>320</v>
      </c>
      <c r="CM362">
        <v>363</v>
      </c>
      <c r="CN362" s="2">
        <v>33.5</v>
      </c>
      <c r="CO362">
        <v>36.5</v>
      </c>
      <c r="CP362" s="2">
        <v>293</v>
      </c>
      <c r="CQ362">
        <v>384</v>
      </c>
      <c r="CR362">
        <v>945</v>
      </c>
      <c r="CS362">
        <v>1035</v>
      </c>
      <c r="CT362">
        <v>225</v>
      </c>
      <c r="CU362">
        <v>325</v>
      </c>
      <c r="CV362" s="7">
        <v>14</v>
      </c>
      <c r="CW362" s="7">
        <v>17</v>
      </c>
    </row>
    <row r="363" spans="1:101" x14ac:dyDescent="0.25">
      <c r="A363" t="s">
        <v>1550</v>
      </c>
      <c r="B363" t="s">
        <v>1542</v>
      </c>
      <c r="C363" t="s">
        <v>38</v>
      </c>
      <c r="D363" t="s">
        <v>1551</v>
      </c>
      <c r="E363" t="s">
        <v>2147</v>
      </c>
      <c r="F363" t="s">
        <v>1552</v>
      </c>
      <c r="G363" t="s">
        <v>75</v>
      </c>
      <c r="H363">
        <v>41800</v>
      </c>
      <c r="I363" t="s">
        <v>3679</v>
      </c>
      <c r="J363" t="s">
        <v>1553</v>
      </c>
      <c r="K363" t="s">
        <v>1554</v>
      </c>
      <c r="L363" t="s">
        <v>44</v>
      </c>
      <c r="M363" s="7" t="s">
        <v>2372</v>
      </c>
      <c r="N363" s="7" t="s">
        <v>2796</v>
      </c>
      <c r="O363" s="7" t="s">
        <v>2797</v>
      </c>
      <c r="P363" s="7" t="s">
        <v>2798</v>
      </c>
      <c r="Q363">
        <v>15</v>
      </c>
      <c r="R363">
        <v>10</v>
      </c>
      <c r="U363">
        <v>1</v>
      </c>
      <c r="X363">
        <v>18</v>
      </c>
      <c r="Y363">
        <v>43</v>
      </c>
      <c r="Z363">
        <v>-15</v>
      </c>
      <c r="AA363">
        <v>24</v>
      </c>
      <c r="AD363">
        <v>15</v>
      </c>
      <c r="AE363" t="s">
        <v>3680</v>
      </c>
      <c r="AF363" t="s">
        <v>3681</v>
      </c>
      <c r="AL363" t="s">
        <v>785</v>
      </c>
      <c r="AN363" s="7">
        <v>6.35</v>
      </c>
      <c r="AO363" s="7">
        <v>9.52</v>
      </c>
      <c r="AP363" s="7">
        <v>17</v>
      </c>
      <c r="AQ363" t="s">
        <v>49</v>
      </c>
      <c r="AR363" t="s">
        <v>49</v>
      </c>
      <c r="AS363" t="s">
        <v>49</v>
      </c>
      <c r="AT363" t="s">
        <v>49</v>
      </c>
      <c r="AU363" t="s">
        <v>78</v>
      </c>
      <c r="AV363" s="7" t="s">
        <v>3019</v>
      </c>
      <c r="AW363" s="7" t="s">
        <v>3026</v>
      </c>
      <c r="AX363">
        <v>10</v>
      </c>
      <c r="BE363" s="7" t="s">
        <v>3317</v>
      </c>
      <c r="BF363" t="s">
        <v>49</v>
      </c>
      <c r="BH363">
        <v>22</v>
      </c>
      <c r="BI363" t="s">
        <v>120</v>
      </c>
      <c r="BS363" t="s">
        <v>1555</v>
      </c>
      <c r="CH363">
        <v>450</v>
      </c>
      <c r="CI363">
        <v>500</v>
      </c>
      <c r="CJ363">
        <v>710</v>
      </c>
      <c r="CK363">
        <v>761</v>
      </c>
      <c r="CL363">
        <v>293</v>
      </c>
      <c r="CM363">
        <v>327</v>
      </c>
      <c r="CN363" s="2">
        <v>20.8</v>
      </c>
      <c r="CO363">
        <v>22.8</v>
      </c>
      <c r="CP363" s="2">
        <v>256</v>
      </c>
      <c r="CQ363">
        <v>315</v>
      </c>
      <c r="CR363">
        <v>744</v>
      </c>
      <c r="CS363">
        <v>788</v>
      </c>
      <c r="CT363">
        <v>185</v>
      </c>
      <c r="CU363">
        <v>249</v>
      </c>
      <c r="CV363" s="7">
        <v>7.5</v>
      </c>
      <c r="CW363" s="7">
        <v>9</v>
      </c>
    </row>
    <row r="364" spans="1:101" x14ac:dyDescent="0.25">
      <c r="A364" t="s">
        <v>1556</v>
      </c>
      <c r="B364" t="s">
        <v>1542</v>
      </c>
      <c r="C364" t="s">
        <v>38</v>
      </c>
      <c r="D364" t="s">
        <v>1557</v>
      </c>
      <c r="E364" t="s">
        <v>2147</v>
      </c>
      <c r="F364" t="s">
        <v>1552</v>
      </c>
      <c r="G364" t="s">
        <v>41</v>
      </c>
      <c r="H364">
        <v>41800</v>
      </c>
      <c r="I364" t="s">
        <v>3682</v>
      </c>
      <c r="J364" t="s">
        <v>1558</v>
      </c>
      <c r="K364" t="s">
        <v>1559</v>
      </c>
      <c r="L364" t="s">
        <v>44</v>
      </c>
      <c r="M364" s="7" t="s">
        <v>2372</v>
      </c>
      <c r="N364" s="7" t="s">
        <v>2796</v>
      </c>
      <c r="O364" s="7" t="s">
        <v>2797</v>
      </c>
      <c r="P364" s="7" t="s">
        <v>2798</v>
      </c>
      <c r="Q364">
        <v>15</v>
      </c>
      <c r="R364">
        <v>10</v>
      </c>
      <c r="X364">
        <v>-15</v>
      </c>
      <c r="Y364">
        <v>43</v>
      </c>
      <c r="Z364">
        <v>-15</v>
      </c>
      <c r="AA364">
        <v>24</v>
      </c>
      <c r="AG364" t="s">
        <v>1560</v>
      </c>
      <c r="AH364" t="s">
        <v>2977</v>
      </c>
      <c r="AL364" t="s">
        <v>785</v>
      </c>
      <c r="AN364" s="7">
        <v>6</v>
      </c>
      <c r="AO364" s="7">
        <v>9.52</v>
      </c>
      <c r="AP364" s="7">
        <v>17</v>
      </c>
      <c r="AQ364" t="s">
        <v>49</v>
      </c>
      <c r="AR364" t="s">
        <v>49</v>
      </c>
      <c r="AS364" t="s">
        <v>49</v>
      </c>
      <c r="AT364" t="s">
        <v>49</v>
      </c>
      <c r="AU364" t="s">
        <v>78</v>
      </c>
      <c r="AV364" s="7" t="s">
        <v>3019</v>
      </c>
      <c r="AW364" s="7" t="s">
        <v>3020</v>
      </c>
      <c r="AX364">
        <v>10</v>
      </c>
      <c r="BE364" s="7" t="s">
        <v>3318</v>
      </c>
      <c r="BF364" t="s">
        <v>49</v>
      </c>
      <c r="BH364">
        <v>23</v>
      </c>
      <c r="BI364" t="s">
        <v>120</v>
      </c>
      <c r="BS364" t="s">
        <v>1561</v>
      </c>
      <c r="CH364">
        <v>450</v>
      </c>
      <c r="CI364">
        <v>500</v>
      </c>
      <c r="CJ364">
        <v>710</v>
      </c>
      <c r="CK364">
        <v>761</v>
      </c>
      <c r="CL364">
        <v>293</v>
      </c>
      <c r="CM364">
        <v>327</v>
      </c>
      <c r="CN364" s="2">
        <v>20.8</v>
      </c>
      <c r="CO364">
        <v>22.8</v>
      </c>
      <c r="CP364" s="2">
        <v>256</v>
      </c>
      <c r="CQ364">
        <v>314</v>
      </c>
      <c r="CR364">
        <v>744</v>
      </c>
      <c r="CS364">
        <v>788</v>
      </c>
      <c r="CT364">
        <v>185</v>
      </c>
      <c r="CU364">
        <v>249</v>
      </c>
      <c r="CV364" s="7">
        <v>7.7</v>
      </c>
      <c r="CW364" s="7">
        <v>9.1999999999999993</v>
      </c>
    </row>
    <row r="365" spans="1:101" x14ac:dyDescent="0.25">
      <c r="A365" t="s">
        <v>1562</v>
      </c>
      <c r="B365" t="s">
        <v>1542</v>
      </c>
      <c r="C365" t="s">
        <v>38</v>
      </c>
      <c r="D365" t="s">
        <v>1563</v>
      </c>
      <c r="E365" t="s">
        <v>2147</v>
      </c>
      <c r="F365" t="s">
        <v>1552</v>
      </c>
      <c r="G365" t="s">
        <v>75</v>
      </c>
      <c r="H365">
        <v>45400</v>
      </c>
      <c r="I365" t="s">
        <v>3679</v>
      </c>
      <c r="J365" t="s">
        <v>1553</v>
      </c>
      <c r="K365" t="s">
        <v>1554</v>
      </c>
      <c r="L365" t="s">
        <v>44</v>
      </c>
      <c r="M365" s="7" t="s">
        <v>2373</v>
      </c>
      <c r="N365" s="7" t="s">
        <v>2799</v>
      </c>
      <c r="O365" s="7" t="s">
        <v>2800</v>
      </c>
      <c r="P365" s="7" t="s">
        <v>2801</v>
      </c>
      <c r="Q365">
        <v>15</v>
      </c>
      <c r="R365">
        <v>10</v>
      </c>
      <c r="U365">
        <v>1</v>
      </c>
      <c r="X365">
        <v>-15</v>
      </c>
      <c r="Y365">
        <v>43</v>
      </c>
      <c r="Z365">
        <v>-15</v>
      </c>
      <c r="AA365">
        <v>24</v>
      </c>
      <c r="AD365">
        <v>18</v>
      </c>
      <c r="AG365" t="s">
        <v>2948</v>
      </c>
      <c r="AH365" t="s">
        <v>63</v>
      </c>
      <c r="AL365" t="s">
        <v>785</v>
      </c>
      <c r="AN365" s="7">
        <v>6.35</v>
      </c>
      <c r="AO365" s="7">
        <v>9.52</v>
      </c>
      <c r="AP365" s="7">
        <v>17</v>
      </c>
      <c r="AQ365" t="s">
        <v>49</v>
      </c>
      <c r="AR365" t="s">
        <v>49</v>
      </c>
      <c r="AS365" t="s">
        <v>49</v>
      </c>
      <c r="AT365" t="s">
        <v>49</v>
      </c>
      <c r="AU365" t="s">
        <v>78</v>
      </c>
      <c r="AV365" s="7" t="s">
        <v>3019</v>
      </c>
      <c r="AW365" s="7" t="s">
        <v>3026</v>
      </c>
      <c r="AX365">
        <v>10</v>
      </c>
      <c r="BE365" s="7" t="s">
        <v>3319</v>
      </c>
      <c r="BF365" t="s">
        <v>49</v>
      </c>
      <c r="BH365">
        <v>27</v>
      </c>
      <c r="BI365" t="s">
        <v>120</v>
      </c>
      <c r="BS365" t="s">
        <v>1564</v>
      </c>
      <c r="CH365">
        <v>550</v>
      </c>
      <c r="CI365">
        <v>600</v>
      </c>
      <c r="CJ365">
        <v>732</v>
      </c>
      <c r="CK365">
        <v>789</v>
      </c>
      <c r="CL365">
        <v>330</v>
      </c>
      <c r="CM365">
        <v>390</v>
      </c>
      <c r="CN365" s="2">
        <v>25</v>
      </c>
      <c r="CO365">
        <v>27.5</v>
      </c>
      <c r="CP365" s="2">
        <v>256</v>
      </c>
      <c r="CQ365">
        <v>315</v>
      </c>
      <c r="CR365">
        <v>744</v>
      </c>
      <c r="CS365">
        <v>788</v>
      </c>
      <c r="CT365">
        <v>185</v>
      </c>
      <c r="CU365">
        <v>249</v>
      </c>
      <c r="CV365" s="7">
        <v>7.5</v>
      </c>
      <c r="CW365" s="7">
        <v>9</v>
      </c>
    </row>
    <row r="366" spans="1:101" x14ac:dyDescent="0.25">
      <c r="A366" t="s">
        <v>1565</v>
      </c>
      <c r="B366" t="s">
        <v>1542</v>
      </c>
      <c r="C366" t="s">
        <v>38</v>
      </c>
      <c r="D366" t="s">
        <v>1566</v>
      </c>
      <c r="E366" t="s">
        <v>2147</v>
      </c>
      <c r="F366" t="s">
        <v>1552</v>
      </c>
      <c r="G366" t="s">
        <v>41</v>
      </c>
      <c r="H366">
        <v>45400</v>
      </c>
      <c r="I366" t="s">
        <v>3682</v>
      </c>
      <c r="J366" t="s">
        <v>1567</v>
      </c>
      <c r="K366" t="s">
        <v>1568</v>
      </c>
      <c r="L366" t="s">
        <v>44</v>
      </c>
      <c r="M366" s="7" t="s">
        <v>2301</v>
      </c>
      <c r="N366" s="7" t="s">
        <v>2551</v>
      </c>
      <c r="O366" s="7" t="s">
        <v>2552</v>
      </c>
      <c r="P366" s="7" t="s">
        <v>2553</v>
      </c>
      <c r="Q366">
        <v>15</v>
      </c>
      <c r="R366">
        <v>10</v>
      </c>
      <c r="X366">
        <v>-15</v>
      </c>
      <c r="Y366">
        <v>43</v>
      </c>
      <c r="Z366">
        <v>-15</v>
      </c>
      <c r="AA366">
        <v>24</v>
      </c>
      <c r="AG366" t="s">
        <v>2948</v>
      </c>
      <c r="AH366" t="s">
        <v>63</v>
      </c>
      <c r="AL366" t="s">
        <v>785</v>
      </c>
      <c r="AN366" s="7">
        <v>6</v>
      </c>
      <c r="AO366" s="7">
        <v>9.52</v>
      </c>
      <c r="AP366" s="7">
        <v>17</v>
      </c>
      <c r="AQ366" t="s">
        <v>49</v>
      </c>
      <c r="AR366" t="s">
        <v>49</v>
      </c>
      <c r="AS366" t="s">
        <v>49</v>
      </c>
      <c r="AT366" t="s">
        <v>49</v>
      </c>
      <c r="AU366" t="s">
        <v>78</v>
      </c>
      <c r="AV366" s="7" t="s">
        <v>3019</v>
      </c>
      <c r="AW366" s="7" t="s">
        <v>3020</v>
      </c>
      <c r="AX366">
        <v>10</v>
      </c>
      <c r="BE366" s="7" t="s">
        <v>3320</v>
      </c>
      <c r="BF366" t="s">
        <v>49</v>
      </c>
      <c r="BH366">
        <v>26</v>
      </c>
      <c r="BI366" t="s">
        <v>120</v>
      </c>
      <c r="BS366" t="s">
        <v>1555</v>
      </c>
      <c r="CH366">
        <v>450</v>
      </c>
      <c r="CI366">
        <v>500</v>
      </c>
      <c r="CJ366">
        <v>710</v>
      </c>
      <c r="CK366">
        <v>761</v>
      </c>
      <c r="CL366">
        <v>293</v>
      </c>
      <c r="CM366">
        <v>327</v>
      </c>
      <c r="CN366" s="2">
        <v>21</v>
      </c>
      <c r="CO366">
        <v>23</v>
      </c>
      <c r="CP366" s="2">
        <v>256</v>
      </c>
      <c r="CQ366">
        <v>314</v>
      </c>
      <c r="CR366">
        <v>744</v>
      </c>
      <c r="CS366">
        <v>788</v>
      </c>
      <c r="CT366">
        <v>185</v>
      </c>
      <c r="CU366">
        <v>249</v>
      </c>
      <c r="CV366" s="7">
        <v>7.5</v>
      </c>
      <c r="CW366" s="7">
        <v>9</v>
      </c>
    </row>
    <row r="367" spans="1:101" x14ac:dyDescent="0.25">
      <c r="A367" t="s">
        <v>1569</v>
      </c>
      <c r="B367" t="s">
        <v>1542</v>
      </c>
      <c r="C367" t="s">
        <v>38</v>
      </c>
      <c r="D367" t="s">
        <v>1570</v>
      </c>
      <c r="E367" t="s">
        <v>2147</v>
      </c>
      <c r="F367" t="s">
        <v>1552</v>
      </c>
      <c r="G367" t="s">
        <v>75</v>
      </c>
      <c r="H367">
        <v>50800</v>
      </c>
      <c r="I367" t="s">
        <v>3679</v>
      </c>
      <c r="J367" t="s">
        <v>1553</v>
      </c>
      <c r="K367" t="s">
        <v>1554</v>
      </c>
      <c r="L367" t="s">
        <v>44</v>
      </c>
      <c r="M367" s="7" t="s">
        <v>2374</v>
      </c>
      <c r="N367" s="7" t="s">
        <v>2802</v>
      </c>
      <c r="O367" s="7" t="s">
        <v>2803</v>
      </c>
      <c r="P367" s="7" t="s">
        <v>2804</v>
      </c>
      <c r="Q367">
        <v>15</v>
      </c>
      <c r="R367">
        <v>10</v>
      </c>
      <c r="U367">
        <v>1</v>
      </c>
      <c r="X367">
        <v>-15</v>
      </c>
      <c r="Y367">
        <v>43</v>
      </c>
      <c r="Z367">
        <v>-15</v>
      </c>
      <c r="AA367">
        <v>24</v>
      </c>
      <c r="AD367">
        <v>25</v>
      </c>
      <c r="AG367" t="s">
        <v>2950</v>
      </c>
      <c r="AH367" t="s">
        <v>63</v>
      </c>
      <c r="AL367" t="s">
        <v>785</v>
      </c>
      <c r="AN367" s="7">
        <v>6.35</v>
      </c>
      <c r="AO367" s="7">
        <v>9.52</v>
      </c>
      <c r="AP367" s="7">
        <v>17</v>
      </c>
      <c r="AQ367" t="s">
        <v>49</v>
      </c>
      <c r="AR367" t="s">
        <v>49</v>
      </c>
      <c r="AS367" t="s">
        <v>49</v>
      </c>
      <c r="AT367" t="s">
        <v>49</v>
      </c>
      <c r="AU367" t="s">
        <v>78</v>
      </c>
      <c r="AV367" s="7" t="s">
        <v>3019</v>
      </c>
      <c r="AW367" s="7" t="s">
        <v>3026</v>
      </c>
      <c r="AX367">
        <v>10</v>
      </c>
      <c r="BE367" s="7" t="s">
        <v>3321</v>
      </c>
      <c r="BF367" t="s">
        <v>49</v>
      </c>
      <c r="BH367">
        <v>37</v>
      </c>
      <c r="BI367" t="s">
        <v>120</v>
      </c>
      <c r="BS367" t="s">
        <v>789</v>
      </c>
      <c r="CH367">
        <v>550</v>
      </c>
      <c r="CI367">
        <v>600</v>
      </c>
      <c r="CJ367">
        <v>732</v>
      </c>
      <c r="CK367">
        <v>789</v>
      </c>
      <c r="CL367">
        <v>330</v>
      </c>
      <c r="CM367">
        <v>390</v>
      </c>
      <c r="CN367" s="2">
        <v>25</v>
      </c>
      <c r="CO367">
        <v>27.5</v>
      </c>
      <c r="CP367" s="2">
        <v>256</v>
      </c>
      <c r="CQ367">
        <v>314</v>
      </c>
      <c r="CR367">
        <v>819</v>
      </c>
      <c r="CS367">
        <v>863</v>
      </c>
      <c r="CT367">
        <v>185</v>
      </c>
      <c r="CU367">
        <v>249</v>
      </c>
      <c r="CV367" s="7">
        <v>8</v>
      </c>
      <c r="CW367" s="7">
        <v>9.5</v>
      </c>
    </row>
    <row r="368" spans="1:101" x14ac:dyDescent="0.25">
      <c r="A368" t="s">
        <v>1571</v>
      </c>
      <c r="B368" t="s">
        <v>1542</v>
      </c>
      <c r="C368" t="s">
        <v>38</v>
      </c>
      <c r="D368" t="s">
        <v>1572</v>
      </c>
      <c r="E368" t="s">
        <v>2147</v>
      </c>
      <c r="F368" t="s">
        <v>1552</v>
      </c>
      <c r="G368" t="s">
        <v>41</v>
      </c>
      <c r="H368">
        <v>50800</v>
      </c>
      <c r="I368" t="s">
        <v>3682</v>
      </c>
      <c r="J368" t="s">
        <v>1573</v>
      </c>
      <c r="K368" t="s">
        <v>1574</v>
      </c>
      <c r="L368" t="s">
        <v>44</v>
      </c>
      <c r="M368" s="7" t="s">
        <v>2375</v>
      </c>
      <c r="N368" s="7" t="s">
        <v>2286</v>
      </c>
      <c r="O368" s="7" t="s">
        <v>2805</v>
      </c>
      <c r="P368" s="7" t="s">
        <v>2806</v>
      </c>
      <c r="Q368">
        <v>15</v>
      </c>
      <c r="R368">
        <v>10</v>
      </c>
      <c r="X368">
        <v>-15</v>
      </c>
      <c r="Y368">
        <v>43</v>
      </c>
      <c r="Z368">
        <v>-15</v>
      </c>
      <c r="AA368">
        <v>24</v>
      </c>
      <c r="AG368" t="s">
        <v>2950</v>
      </c>
      <c r="AH368" t="s">
        <v>63</v>
      </c>
      <c r="AL368" t="s">
        <v>785</v>
      </c>
      <c r="AN368" s="7">
        <v>6</v>
      </c>
      <c r="AO368" s="7">
        <v>9.52</v>
      </c>
      <c r="AP368" s="7">
        <v>17</v>
      </c>
      <c r="AQ368" t="s">
        <v>49</v>
      </c>
      <c r="AR368" t="s">
        <v>49</v>
      </c>
      <c r="AS368" t="s">
        <v>49</v>
      </c>
      <c r="AT368" t="s">
        <v>49</v>
      </c>
      <c r="AU368" t="s">
        <v>78</v>
      </c>
      <c r="AV368" s="7" t="s">
        <v>3019</v>
      </c>
      <c r="AW368" s="7" t="s">
        <v>3020</v>
      </c>
      <c r="AX368">
        <v>10</v>
      </c>
      <c r="BE368" s="7" t="s">
        <v>3322</v>
      </c>
      <c r="BF368" t="s">
        <v>49</v>
      </c>
      <c r="BH368">
        <v>35</v>
      </c>
      <c r="BI368" t="s">
        <v>120</v>
      </c>
      <c r="BS368" t="s">
        <v>1575</v>
      </c>
      <c r="CH368">
        <v>550</v>
      </c>
      <c r="CI368">
        <v>600</v>
      </c>
      <c r="CJ368">
        <v>732</v>
      </c>
      <c r="CK368">
        <v>789</v>
      </c>
      <c r="CL368">
        <v>330</v>
      </c>
      <c r="CM368">
        <v>390</v>
      </c>
      <c r="CN368" s="2">
        <v>25</v>
      </c>
      <c r="CO368">
        <v>27.5</v>
      </c>
      <c r="CP368" s="2">
        <v>256</v>
      </c>
      <c r="CQ368">
        <v>314</v>
      </c>
      <c r="CR368">
        <v>819</v>
      </c>
      <c r="CS368">
        <v>863</v>
      </c>
      <c r="CT368">
        <v>185</v>
      </c>
      <c r="CU368">
        <v>249</v>
      </c>
      <c r="CV368" s="7">
        <v>8.5</v>
      </c>
      <c r="CW368" s="7">
        <v>10</v>
      </c>
    </row>
    <row r="369" spans="1:101" x14ac:dyDescent="0.25">
      <c r="A369" t="s">
        <v>1576</v>
      </c>
      <c r="B369" t="s">
        <v>1542</v>
      </c>
      <c r="C369" t="s">
        <v>38</v>
      </c>
      <c r="D369" t="s">
        <v>1577</v>
      </c>
      <c r="E369" t="s">
        <v>2147</v>
      </c>
      <c r="F369" t="s">
        <v>1552</v>
      </c>
      <c r="G369" t="s">
        <v>75</v>
      </c>
      <c r="H369">
        <v>76800</v>
      </c>
      <c r="I369" t="s">
        <v>3679</v>
      </c>
      <c r="J369" t="s">
        <v>1553</v>
      </c>
      <c r="K369" t="s">
        <v>1554</v>
      </c>
      <c r="L369" t="s">
        <v>44</v>
      </c>
      <c r="M369" s="7" t="s">
        <v>2376</v>
      </c>
      <c r="N369" s="7" t="s">
        <v>2807</v>
      </c>
      <c r="O369" s="7" t="s">
        <v>2808</v>
      </c>
      <c r="P369" s="7" t="s">
        <v>2809</v>
      </c>
      <c r="Q369">
        <v>20</v>
      </c>
      <c r="R369">
        <v>10</v>
      </c>
      <c r="U369">
        <v>1</v>
      </c>
      <c r="X369">
        <v>-15</v>
      </c>
      <c r="Y369">
        <v>43</v>
      </c>
      <c r="Z369">
        <v>-15</v>
      </c>
      <c r="AA369">
        <v>24</v>
      </c>
      <c r="AD369">
        <v>35</v>
      </c>
      <c r="AG369" t="s">
        <v>2950</v>
      </c>
      <c r="AH369" t="s">
        <v>63</v>
      </c>
      <c r="AL369" t="s">
        <v>785</v>
      </c>
      <c r="AN369" s="7">
        <v>6.35</v>
      </c>
      <c r="AO369" s="7">
        <v>9.52</v>
      </c>
      <c r="AP369" s="7">
        <v>17</v>
      </c>
      <c r="AQ369" t="s">
        <v>49</v>
      </c>
      <c r="AR369" t="s">
        <v>49</v>
      </c>
      <c r="AS369" t="s">
        <v>49</v>
      </c>
      <c r="AT369" t="s">
        <v>49</v>
      </c>
      <c r="AU369" t="s">
        <v>78</v>
      </c>
      <c r="AV369" s="7" t="s">
        <v>3021</v>
      </c>
      <c r="AW369" s="7" t="s">
        <v>3026</v>
      </c>
      <c r="AX369">
        <v>16</v>
      </c>
      <c r="BE369" s="7" t="s">
        <v>3323</v>
      </c>
      <c r="BF369" t="s">
        <v>49</v>
      </c>
      <c r="BH369">
        <v>55</v>
      </c>
      <c r="BI369" t="s">
        <v>120</v>
      </c>
      <c r="BS369" t="s">
        <v>1578</v>
      </c>
      <c r="CH369">
        <v>596</v>
      </c>
      <c r="CI369">
        <v>630</v>
      </c>
      <c r="CJ369">
        <v>848</v>
      </c>
      <c r="CK369">
        <v>878</v>
      </c>
      <c r="CL369">
        <v>320</v>
      </c>
      <c r="CM369">
        <v>360</v>
      </c>
      <c r="CN369" s="2">
        <v>34</v>
      </c>
      <c r="CO369">
        <v>37</v>
      </c>
      <c r="CP369" s="2">
        <v>304</v>
      </c>
      <c r="CQ369">
        <v>375</v>
      </c>
      <c r="CR369">
        <v>1017</v>
      </c>
      <c r="CS369">
        <v>1077</v>
      </c>
      <c r="CT369">
        <v>221</v>
      </c>
      <c r="CU369">
        <v>300</v>
      </c>
      <c r="CV369" s="7">
        <v>14</v>
      </c>
      <c r="CW369" s="7">
        <v>17</v>
      </c>
    </row>
    <row r="370" spans="1:101" x14ac:dyDescent="0.25">
      <c r="A370" t="s">
        <v>1579</v>
      </c>
      <c r="B370" t="s">
        <v>1542</v>
      </c>
      <c r="C370" t="s">
        <v>38</v>
      </c>
      <c r="D370" t="s">
        <v>1580</v>
      </c>
      <c r="E370" t="s">
        <v>2147</v>
      </c>
      <c r="F370" t="s">
        <v>1552</v>
      </c>
      <c r="G370" t="s">
        <v>41</v>
      </c>
      <c r="H370">
        <v>76800</v>
      </c>
      <c r="I370" t="s">
        <v>3682</v>
      </c>
      <c r="J370" t="s">
        <v>1581</v>
      </c>
      <c r="K370" t="s">
        <v>1582</v>
      </c>
      <c r="L370" t="s">
        <v>44</v>
      </c>
      <c r="M370" s="7" t="s">
        <v>2377</v>
      </c>
      <c r="N370" s="7" t="s">
        <v>2556</v>
      </c>
      <c r="O370" s="7" t="s">
        <v>2557</v>
      </c>
      <c r="P370" s="7" t="s">
        <v>2558</v>
      </c>
      <c r="Q370">
        <v>25</v>
      </c>
      <c r="R370">
        <v>10</v>
      </c>
      <c r="X370">
        <v>-15</v>
      </c>
      <c r="Y370">
        <v>43</v>
      </c>
      <c r="Z370">
        <v>-15</v>
      </c>
      <c r="AA370">
        <v>24</v>
      </c>
      <c r="AG370" t="s">
        <v>2952</v>
      </c>
      <c r="AH370" t="s">
        <v>63</v>
      </c>
      <c r="AL370" t="s">
        <v>785</v>
      </c>
      <c r="AN370" s="7">
        <v>6</v>
      </c>
      <c r="AO370" s="7">
        <v>9.52</v>
      </c>
      <c r="AP370" s="7">
        <v>17</v>
      </c>
      <c r="AQ370" t="s">
        <v>49</v>
      </c>
      <c r="AR370" t="s">
        <v>49</v>
      </c>
      <c r="AS370" t="s">
        <v>49</v>
      </c>
      <c r="AT370" t="s">
        <v>49</v>
      </c>
      <c r="AU370" t="s">
        <v>78</v>
      </c>
      <c r="AV370" s="7" t="s">
        <v>3021</v>
      </c>
      <c r="AW370" s="7" t="s">
        <v>3020</v>
      </c>
      <c r="AX370">
        <v>16</v>
      </c>
      <c r="BE370" s="7" t="s">
        <v>3324</v>
      </c>
      <c r="BF370" t="s">
        <v>49</v>
      </c>
      <c r="BH370">
        <v>46</v>
      </c>
      <c r="BI370" t="s">
        <v>120</v>
      </c>
      <c r="BS370" t="s">
        <v>792</v>
      </c>
      <c r="CH370">
        <v>555</v>
      </c>
      <c r="CI370">
        <v>590</v>
      </c>
      <c r="CJ370">
        <v>732</v>
      </c>
      <c r="CK370">
        <v>791</v>
      </c>
      <c r="CL370">
        <v>330</v>
      </c>
      <c r="CM370">
        <v>373</v>
      </c>
      <c r="CN370" s="2">
        <v>26.5</v>
      </c>
      <c r="CO370">
        <v>29</v>
      </c>
      <c r="CP370" s="2">
        <v>307</v>
      </c>
      <c r="CQ370">
        <v>366</v>
      </c>
      <c r="CR370">
        <v>1013</v>
      </c>
      <c r="CS370">
        <v>1055</v>
      </c>
      <c r="CT370">
        <v>221</v>
      </c>
      <c r="CU370">
        <v>287</v>
      </c>
      <c r="CV370" s="7">
        <v>13.5</v>
      </c>
      <c r="CW370" s="7">
        <v>16</v>
      </c>
    </row>
    <row r="371" spans="1:101" x14ac:dyDescent="0.25">
      <c r="A371" t="s">
        <v>1583</v>
      </c>
      <c r="B371" t="s">
        <v>1542</v>
      </c>
      <c r="C371" t="s">
        <v>38</v>
      </c>
      <c r="D371" t="s">
        <v>1584</v>
      </c>
      <c r="E371" t="s">
        <v>2147</v>
      </c>
      <c r="F371" t="s">
        <v>1552</v>
      </c>
      <c r="G371" t="s">
        <v>75</v>
      </c>
      <c r="H371">
        <v>101200</v>
      </c>
      <c r="I371" t="s">
        <v>3679</v>
      </c>
      <c r="J371" t="s">
        <v>1553</v>
      </c>
      <c r="K371" t="s">
        <v>1554</v>
      </c>
      <c r="L371" t="s">
        <v>44</v>
      </c>
      <c r="M371" s="7" t="s">
        <v>2378</v>
      </c>
      <c r="N371" s="7" t="s">
        <v>2810</v>
      </c>
      <c r="O371" s="7" t="s">
        <v>2811</v>
      </c>
      <c r="P371" s="7" t="s">
        <v>2812</v>
      </c>
      <c r="Q371">
        <v>25</v>
      </c>
      <c r="R371">
        <v>10</v>
      </c>
      <c r="U371">
        <v>1</v>
      </c>
      <c r="X371">
        <v>-15</v>
      </c>
      <c r="Y371">
        <v>43</v>
      </c>
      <c r="Z371">
        <v>-15</v>
      </c>
      <c r="AA371">
        <v>24</v>
      </c>
      <c r="AD371">
        <v>50</v>
      </c>
      <c r="AG371" t="s">
        <v>2950</v>
      </c>
      <c r="AH371" t="s">
        <v>63</v>
      </c>
      <c r="AL371" t="s">
        <v>785</v>
      </c>
      <c r="AN371" s="7">
        <v>6.35</v>
      </c>
      <c r="AO371" s="7">
        <v>15.9</v>
      </c>
      <c r="AP371" s="7">
        <v>17</v>
      </c>
      <c r="AQ371" t="s">
        <v>49</v>
      </c>
      <c r="AR371" t="s">
        <v>49</v>
      </c>
      <c r="AS371" t="s">
        <v>49</v>
      </c>
      <c r="AT371" t="s">
        <v>49</v>
      </c>
      <c r="AU371" t="s">
        <v>78</v>
      </c>
      <c r="AV371" s="7" t="s">
        <v>3021</v>
      </c>
      <c r="AW371" s="7" t="s">
        <v>3026</v>
      </c>
      <c r="AX371">
        <v>20</v>
      </c>
      <c r="BE371" s="7" t="s">
        <v>3325</v>
      </c>
      <c r="BF371" t="s">
        <v>49</v>
      </c>
      <c r="BH371">
        <v>70</v>
      </c>
      <c r="BI371" t="s">
        <v>120</v>
      </c>
      <c r="BS371" t="s">
        <v>1585</v>
      </c>
      <c r="CH371">
        <v>700</v>
      </c>
      <c r="CI371">
        <v>735</v>
      </c>
      <c r="CJ371">
        <v>965</v>
      </c>
      <c r="CK371">
        <v>1026</v>
      </c>
      <c r="CL371">
        <v>396</v>
      </c>
      <c r="CM371">
        <v>455</v>
      </c>
      <c r="CN371" s="2">
        <v>46</v>
      </c>
      <c r="CO371">
        <v>50.5</v>
      </c>
      <c r="CP371" s="2">
        <v>304</v>
      </c>
      <c r="CQ371">
        <v>375</v>
      </c>
      <c r="CR371">
        <v>1017</v>
      </c>
      <c r="CS371">
        <v>1077</v>
      </c>
      <c r="CT371">
        <v>221</v>
      </c>
      <c r="CU371">
        <v>300</v>
      </c>
      <c r="CV371" s="7">
        <v>14</v>
      </c>
      <c r="CW371" s="7">
        <v>17</v>
      </c>
    </row>
    <row r="372" spans="1:101" x14ac:dyDescent="0.25">
      <c r="A372" t="s">
        <v>1586</v>
      </c>
      <c r="B372" t="s">
        <v>1542</v>
      </c>
      <c r="C372" t="s">
        <v>38</v>
      </c>
      <c r="D372" t="s">
        <v>1587</v>
      </c>
      <c r="E372" t="s">
        <v>2147</v>
      </c>
      <c r="F372" t="s">
        <v>1552</v>
      </c>
      <c r="G372" t="s">
        <v>41</v>
      </c>
      <c r="H372">
        <v>101200</v>
      </c>
      <c r="I372" t="s">
        <v>3682</v>
      </c>
      <c r="J372" t="s">
        <v>1588</v>
      </c>
      <c r="K372" t="s">
        <v>1589</v>
      </c>
      <c r="L372" t="s">
        <v>44</v>
      </c>
      <c r="M372" s="7" t="s">
        <v>2379</v>
      </c>
      <c r="N372" s="7" t="s">
        <v>2813</v>
      </c>
      <c r="O372" s="7" t="s">
        <v>2814</v>
      </c>
      <c r="P372" s="7" t="s">
        <v>2815</v>
      </c>
      <c r="Q372">
        <v>25</v>
      </c>
      <c r="R372">
        <v>10</v>
      </c>
      <c r="X372">
        <v>-15</v>
      </c>
      <c r="Y372">
        <v>43</v>
      </c>
      <c r="Z372">
        <v>-15</v>
      </c>
      <c r="AA372">
        <v>24</v>
      </c>
      <c r="AG372" t="s">
        <v>2918</v>
      </c>
      <c r="AH372" t="s">
        <v>63</v>
      </c>
      <c r="AL372" t="s">
        <v>785</v>
      </c>
      <c r="AN372" s="7">
        <v>6</v>
      </c>
      <c r="AO372" s="7">
        <v>12</v>
      </c>
      <c r="AP372" s="7">
        <v>17</v>
      </c>
      <c r="AQ372" t="s">
        <v>49</v>
      </c>
      <c r="AR372" t="s">
        <v>49</v>
      </c>
      <c r="AS372" t="s">
        <v>49</v>
      </c>
      <c r="AT372" t="s">
        <v>49</v>
      </c>
      <c r="AU372" t="s">
        <v>78</v>
      </c>
      <c r="AV372" s="7" t="s">
        <v>3021</v>
      </c>
      <c r="AW372" s="7" t="s">
        <v>3020</v>
      </c>
      <c r="AX372">
        <v>16</v>
      </c>
      <c r="BE372" s="7" t="s">
        <v>3326</v>
      </c>
      <c r="BF372" t="s">
        <v>49</v>
      </c>
      <c r="BH372">
        <v>62</v>
      </c>
      <c r="BI372" t="s">
        <v>120</v>
      </c>
      <c r="BS372" t="s">
        <v>1590</v>
      </c>
      <c r="CH372">
        <v>555</v>
      </c>
      <c r="CI372">
        <v>591</v>
      </c>
      <c r="CJ372">
        <v>873</v>
      </c>
      <c r="CK372">
        <v>948</v>
      </c>
      <c r="CL372">
        <v>376</v>
      </c>
      <c r="CM372">
        <v>428</v>
      </c>
      <c r="CN372" s="2">
        <v>36.5</v>
      </c>
      <c r="CO372">
        <v>39.5</v>
      </c>
      <c r="CP372" s="2">
        <v>307</v>
      </c>
      <c r="CQ372">
        <v>375</v>
      </c>
      <c r="CR372">
        <v>1013</v>
      </c>
      <c r="CS372">
        <v>1077</v>
      </c>
      <c r="CT372">
        <v>221</v>
      </c>
      <c r="CU372">
        <v>300</v>
      </c>
      <c r="CV372" s="7">
        <v>14</v>
      </c>
      <c r="CW372" s="7">
        <v>17</v>
      </c>
    </row>
    <row r="373" spans="1:101" x14ac:dyDescent="0.25">
      <c r="A373" t="s">
        <v>1591</v>
      </c>
      <c r="B373" t="s">
        <v>1542</v>
      </c>
      <c r="C373" t="s">
        <v>38</v>
      </c>
      <c r="D373" t="s">
        <v>1592</v>
      </c>
      <c r="E373" t="s">
        <v>2147</v>
      </c>
      <c r="F373" t="s">
        <v>1593</v>
      </c>
      <c r="G373" t="s">
        <v>75</v>
      </c>
      <c r="H373">
        <v>29000</v>
      </c>
      <c r="I373" t="s">
        <v>3683</v>
      </c>
      <c r="J373" t="s">
        <v>1594</v>
      </c>
      <c r="K373" t="s">
        <v>1595</v>
      </c>
      <c r="L373" t="s">
        <v>49</v>
      </c>
      <c r="M373" s="7">
        <v>2.25</v>
      </c>
      <c r="N373" s="7">
        <v>2.35</v>
      </c>
      <c r="O373" s="7">
        <v>0.7</v>
      </c>
      <c r="P373" s="7">
        <v>0.65100000000000002</v>
      </c>
      <c r="Q373">
        <v>15</v>
      </c>
      <c r="R373">
        <v>10</v>
      </c>
      <c r="U373">
        <v>1</v>
      </c>
      <c r="X373">
        <v>18</v>
      </c>
      <c r="Y373">
        <v>43</v>
      </c>
      <c r="Z373">
        <v>-15</v>
      </c>
      <c r="AA373">
        <v>24</v>
      </c>
      <c r="AD373">
        <v>10</v>
      </c>
      <c r="AE373" t="s">
        <v>3684</v>
      </c>
      <c r="AF373" t="s">
        <v>3685</v>
      </c>
      <c r="AL373" t="s">
        <v>785</v>
      </c>
      <c r="AN373" s="7">
        <v>6.35</v>
      </c>
      <c r="AO373" s="7">
        <v>9.52</v>
      </c>
      <c r="AP373" s="7">
        <v>17</v>
      </c>
      <c r="AQ373" t="s">
        <v>49</v>
      </c>
      <c r="AR373" t="s">
        <v>49</v>
      </c>
      <c r="AS373" t="s">
        <v>49</v>
      </c>
      <c r="AT373" t="s">
        <v>49</v>
      </c>
      <c r="AU373" t="s">
        <v>50</v>
      </c>
      <c r="AV373" s="7" t="s">
        <v>3019</v>
      </c>
      <c r="AW373" s="7" t="s">
        <v>3023</v>
      </c>
      <c r="AX373">
        <v>10</v>
      </c>
      <c r="BE373" s="7" t="s">
        <v>3327</v>
      </c>
      <c r="BF373" t="s">
        <v>49</v>
      </c>
      <c r="BH373">
        <v>23</v>
      </c>
      <c r="BI373" t="s">
        <v>120</v>
      </c>
      <c r="BS373" t="s">
        <v>1596</v>
      </c>
      <c r="CH373">
        <v>428</v>
      </c>
      <c r="CI373">
        <v>475</v>
      </c>
      <c r="CJ373">
        <v>720</v>
      </c>
      <c r="CK373">
        <v>765</v>
      </c>
      <c r="CL373">
        <v>310</v>
      </c>
      <c r="CM373">
        <v>350</v>
      </c>
      <c r="CN373" s="2">
        <v>23.4</v>
      </c>
      <c r="CO373">
        <v>25.4</v>
      </c>
      <c r="CP373" s="2">
        <v>260</v>
      </c>
      <c r="CQ373">
        <v>316</v>
      </c>
      <c r="CR373">
        <v>704</v>
      </c>
      <c r="CS373">
        <v>748</v>
      </c>
      <c r="CT373">
        <v>185</v>
      </c>
      <c r="CU373">
        <v>247</v>
      </c>
      <c r="CV373" s="7">
        <v>7.5</v>
      </c>
      <c r="CW373" s="7">
        <v>8.6999999999999993</v>
      </c>
    </row>
    <row r="374" spans="1:101" x14ac:dyDescent="0.25">
      <c r="A374" t="s">
        <v>1597</v>
      </c>
      <c r="B374" t="s">
        <v>1542</v>
      </c>
      <c r="C374" t="s">
        <v>38</v>
      </c>
      <c r="D374" t="s">
        <v>1598</v>
      </c>
      <c r="E374" t="s">
        <v>2147</v>
      </c>
      <c r="F374" t="s">
        <v>1593</v>
      </c>
      <c r="G374" t="s">
        <v>41</v>
      </c>
      <c r="H374">
        <v>29000</v>
      </c>
      <c r="I374" t="s">
        <v>3683</v>
      </c>
      <c r="J374" t="s">
        <v>1594</v>
      </c>
      <c r="K374" t="s">
        <v>1595</v>
      </c>
      <c r="L374" t="s">
        <v>49</v>
      </c>
      <c r="M374" s="7">
        <v>2.25</v>
      </c>
      <c r="N374" s="7">
        <v>2.2999999999999998</v>
      </c>
      <c r="O374" s="7">
        <v>0.7</v>
      </c>
      <c r="P374" s="7">
        <v>0.63700000000000001</v>
      </c>
      <c r="Q374">
        <v>15</v>
      </c>
      <c r="R374">
        <v>10</v>
      </c>
      <c r="X374">
        <v>18</v>
      </c>
      <c r="Y374">
        <v>43</v>
      </c>
      <c r="Z374">
        <v>-15</v>
      </c>
      <c r="AA374">
        <v>24</v>
      </c>
      <c r="AE374" t="s">
        <v>3504</v>
      </c>
      <c r="AF374" t="s">
        <v>3505</v>
      </c>
      <c r="AL374" t="s">
        <v>785</v>
      </c>
      <c r="AN374" s="7">
        <v>6.35</v>
      </c>
      <c r="AO374" s="7">
        <v>9.52</v>
      </c>
      <c r="AP374" s="7">
        <v>17</v>
      </c>
      <c r="AQ374" t="s">
        <v>49</v>
      </c>
      <c r="AR374" t="s">
        <v>49</v>
      </c>
      <c r="AS374" t="s">
        <v>49</v>
      </c>
      <c r="AT374" t="s">
        <v>49</v>
      </c>
      <c r="AU374" t="s">
        <v>50</v>
      </c>
      <c r="AV374" s="7" t="s">
        <v>3019</v>
      </c>
      <c r="AW374" s="7" t="s">
        <v>3023</v>
      </c>
      <c r="AX374">
        <v>10</v>
      </c>
      <c r="BE374" s="7" t="s">
        <v>3328</v>
      </c>
      <c r="BF374" t="s">
        <v>49</v>
      </c>
      <c r="BH374">
        <v>23</v>
      </c>
      <c r="BI374" t="s">
        <v>120</v>
      </c>
      <c r="BS374" t="s">
        <v>1599</v>
      </c>
      <c r="CH374">
        <v>450</v>
      </c>
      <c r="CI374">
        <v>500</v>
      </c>
      <c r="CJ374">
        <v>710</v>
      </c>
      <c r="CK374">
        <v>761</v>
      </c>
      <c r="CL374">
        <v>293</v>
      </c>
      <c r="CM374">
        <v>327</v>
      </c>
      <c r="CN374" s="2">
        <v>22.3</v>
      </c>
      <c r="CO374">
        <v>24.3</v>
      </c>
      <c r="CP374" s="2">
        <v>260</v>
      </c>
      <c r="CQ374">
        <v>316</v>
      </c>
      <c r="CR374">
        <v>704</v>
      </c>
      <c r="CS374">
        <v>748</v>
      </c>
      <c r="CT374">
        <v>185</v>
      </c>
      <c r="CU374">
        <v>247</v>
      </c>
      <c r="CV374" s="7">
        <v>7.5</v>
      </c>
      <c r="CW374" s="7">
        <v>8.6999999999999993</v>
      </c>
    </row>
    <row r="375" spans="1:101" x14ac:dyDescent="0.25">
      <c r="A375" t="s">
        <v>1600</v>
      </c>
      <c r="B375" t="s">
        <v>1542</v>
      </c>
      <c r="C375" t="s">
        <v>38</v>
      </c>
      <c r="D375" t="s">
        <v>1601</v>
      </c>
      <c r="E375" t="s">
        <v>2147</v>
      </c>
      <c r="F375" t="s">
        <v>1593</v>
      </c>
      <c r="G375" t="s">
        <v>75</v>
      </c>
      <c r="H375">
        <v>30800</v>
      </c>
      <c r="I375" t="s">
        <v>3683</v>
      </c>
      <c r="J375" t="s">
        <v>1594</v>
      </c>
      <c r="K375" t="s">
        <v>1595</v>
      </c>
      <c r="L375" t="s">
        <v>49</v>
      </c>
      <c r="M375" s="7">
        <v>2.5499999999999998</v>
      </c>
      <c r="N375" s="7">
        <v>2.65</v>
      </c>
      <c r="O375" s="7">
        <v>0.79400000000000004</v>
      </c>
      <c r="P375" s="7">
        <v>0.73399999999999999</v>
      </c>
      <c r="Q375">
        <v>15</v>
      </c>
      <c r="R375">
        <v>10</v>
      </c>
      <c r="U375">
        <v>1</v>
      </c>
      <c r="X375">
        <v>18</v>
      </c>
      <c r="Y375">
        <v>43</v>
      </c>
      <c r="Z375">
        <v>-15</v>
      </c>
      <c r="AA375">
        <v>24</v>
      </c>
      <c r="AD375">
        <v>12</v>
      </c>
      <c r="AE375" t="s">
        <v>3684</v>
      </c>
      <c r="AF375" t="s">
        <v>3685</v>
      </c>
      <c r="AL375" t="s">
        <v>785</v>
      </c>
      <c r="AN375" s="7">
        <v>6.35</v>
      </c>
      <c r="AO375" s="7">
        <v>9.52</v>
      </c>
      <c r="AP375" s="7">
        <v>17</v>
      </c>
      <c r="AQ375" t="s">
        <v>49</v>
      </c>
      <c r="AR375" t="s">
        <v>49</v>
      </c>
      <c r="AS375" t="s">
        <v>49</v>
      </c>
      <c r="AT375" t="s">
        <v>49</v>
      </c>
      <c r="AU375" t="s">
        <v>50</v>
      </c>
      <c r="AV375" s="7" t="s">
        <v>3019</v>
      </c>
      <c r="AW375" s="7" t="s">
        <v>3023</v>
      </c>
      <c r="AX375">
        <v>10</v>
      </c>
      <c r="BE375" s="7" t="s">
        <v>3329</v>
      </c>
      <c r="BF375" t="s">
        <v>49</v>
      </c>
      <c r="BH375">
        <v>26</v>
      </c>
      <c r="BI375" t="s">
        <v>120</v>
      </c>
      <c r="BS375" t="s">
        <v>1602</v>
      </c>
      <c r="CH375">
        <v>428</v>
      </c>
      <c r="CI375">
        <v>475</v>
      </c>
      <c r="CJ375">
        <v>720</v>
      </c>
      <c r="CK375">
        <v>765</v>
      </c>
      <c r="CL375">
        <v>310</v>
      </c>
      <c r="CM375">
        <v>350</v>
      </c>
      <c r="CN375" s="2">
        <v>25</v>
      </c>
      <c r="CO375">
        <v>27</v>
      </c>
      <c r="CP375" s="2">
        <v>260</v>
      </c>
      <c r="CQ375">
        <v>316</v>
      </c>
      <c r="CR375">
        <v>704</v>
      </c>
      <c r="CS375">
        <v>748</v>
      </c>
      <c r="CT375">
        <v>185</v>
      </c>
      <c r="CU375">
        <v>247</v>
      </c>
      <c r="CV375" s="7">
        <v>7.5</v>
      </c>
      <c r="CW375" s="7">
        <v>8.6999999999999993</v>
      </c>
    </row>
    <row r="376" spans="1:101" x14ac:dyDescent="0.25">
      <c r="A376" t="s">
        <v>1603</v>
      </c>
      <c r="B376" t="s">
        <v>1542</v>
      </c>
      <c r="C376" t="s">
        <v>38</v>
      </c>
      <c r="D376" t="s">
        <v>1604</v>
      </c>
      <c r="E376" t="s">
        <v>2147</v>
      </c>
      <c r="F376" t="s">
        <v>1593</v>
      </c>
      <c r="G376" t="s">
        <v>41</v>
      </c>
      <c r="H376">
        <v>30800</v>
      </c>
      <c r="I376" t="s">
        <v>3683</v>
      </c>
      <c r="J376" t="s">
        <v>1594</v>
      </c>
      <c r="K376" t="s">
        <v>1595</v>
      </c>
      <c r="L376" t="s">
        <v>49</v>
      </c>
      <c r="M376" s="7">
        <v>2.5499999999999998</v>
      </c>
      <c r="N376" s="7">
        <v>2.65</v>
      </c>
      <c r="O376" s="7">
        <v>0.79400000000000004</v>
      </c>
      <c r="P376" s="7">
        <v>0.73399999999999999</v>
      </c>
      <c r="Q376">
        <v>15</v>
      </c>
      <c r="R376">
        <v>10</v>
      </c>
      <c r="X376">
        <v>18</v>
      </c>
      <c r="Y376">
        <v>43</v>
      </c>
      <c r="Z376">
        <v>-15</v>
      </c>
      <c r="AA376">
        <v>24</v>
      </c>
      <c r="AE376" t="s">
        <v>3504</v>
      </c>
      <c r="AF376" t="s">
        <v>3505</v>
      </c>
      <c r="AL376" t="s">
        <v>785</v>
      </c>
      <c r="AN376" s="7">
        <v>6.35</v>
      </c>
      <c r="AO376" s="7">
        <v>9.52</v>
      </c>
      <c r="AP376" s="7">
        <v>17</v>
      </c>
      <c r="AQ376" t="s">
        <v>49</v>
      </c>
      <c r="AR376" t="s">
        <v>49</v>
      </c>
      <c r="AS376" t="s">
        <v>49</v>
      </c>
      <c r="AT376" t="s">
        <v>49</v>
      </c>
      <c r="AU376" t="s">
        <v>50</v>
      </c>
      <c r="AV376" s="7" t="s">
        <v>3019</v>
      </c>
      <c r="AW376" s="7" t="s">
        <v>3023</v>
      </c>
      <c r="AX376">
        <v>10</v>
      </c>
      <c r="BE376" s="7" t="s">
        <v>3330</v>
      </c>
      <c r="BF376" t="s">
        <v>49</v>
      </c>
      <c r="BH376">
        <v>26</v>
      </c>
      <c r="BI376" t="s">
        <v>120</v>
      </c>
      <c r="BS376" t="s">
        <v>1599</v>
      </c>
      <c r="CH376">
        <v>450</v>
      </c>
      <c r="CI376">
        <v>500</v>
      </c>
      <c r="CJ376">
        <v>710</v>
      </c>
      <c r="CK376">
        <v>761</v>
      </c>
      <c r="CL376">
        <v>293</v>
      </c>
      <c r="CM376">
        <v>327</v>
      </c>
      <c r="CN376" s="2">
        <v>24.7</v>
      </c>
      <c r="CO376">
        <v>26.7</v>
      </c>
      <c r="CP376" s="2">
        <v>260</v>
      </c>
      <c r="CQ376">
        <v>316</v>
      </c>
      <c r="CR376">
        <v>704</v>
      </c>
      <c r="CS376">
        <v>748</v>
      </c>
      <c r="CT376">
        <v>185</v>
      </c>
      <c r="CU376">
        <v>247</v>
      </c>
      <c r="CV376" s="7">
        <v>7.6</v>
      </c>
      <c r="CW376" s="7">
        <v>8.8000000000000007</v>
      </c>
    </row>
    <row r="377" spans="1:101" x14ac:dyDescent="0.25">
      <c r="A377" t="s">
        <v>1605</v>
      </c>
      <c r="B377" t="s">
        <v>1542</v>
      </c>
      <c r="C377" t="s">
        <v>38</v>
      </c>
      <c r="D377" t="s">
        <v>1606</v>
      </c>
      <c r="E377" t="s">
        <v>2147</v>
      </c>
      <c r="F377" t="s">
        <v>1593</v>
      </c>
      <c r="G377" t="s">
        <v>75</v>
      </c>
      <c r="H377">
        <v>38200</v>
      </c>
      <c r="I377" t="s">
        <v>3683</v>
      </c>
      <c r="J377" t="s">
        <v>1594</v>
      </c>
      <c r="K377" t="s">
        <v>1595</v>
      </c>
      <c r="L377" t="s">
        <v>49</v>
      </c>
      <c r="M377" s="7">
        <v>3.25</v>
      </c>
      <c r="N377" s="7">
        <v>3.4</v>
      </c>
      <c r="O377" s="7">
        <v>0.98499999999999999</v>
      </c>
      <c r="P377" s="7">
        <v>0.94099999999999995</v>
      </c>
      <c r="Q377">
        <v>20</v>
      </c>
      <c r="R377">
        <v>10</v>
      </c>
      <c r="U377">
        <v>1</v>
      </c>
      <c r="X377">
        <v>18</v>
      </c>
      <c r="Y377">
        <v>43</v>
      </c>
      <c r="Z377">
        <v>-15</v>
      </c>
      <c r="AA377">
        <v>24</v>
      </c>
      <c r="AD377">
        <v>16</v>
      </c>
      <c r="AE377" t="s">
        <v>3686</v>
      </c>
      <c r="AF377" t="s">
        <v>3685</v>
      </c>
      <c r="AL377" t="s">
        <v>785</v>
      </c>
      <c r="AN377" s="7">
        <v>6.35</v>
      </c>
      <c r="AO377" s="7">
        <v>12.7</v>
      </c>
      <c r="AP377" s="7">
        <v>17</v>
      </c>
      <c r="AQ377" t="s">
        <v>49</v>
      </c>
      <c r="AR377" t="s">
        <v>49</v>
      </c>
      <c r="AS377" t="s">
        <v>49</v>
      </c>
      <c r="AT377" t="s">
        <v>49</v>
      </c>
      <c r="AU377" t="s">
        <v>50</v>
      </c>
      <c r="AV377" s="7" t="s">
        <v>3019</v>
      </c>
      <c r="AW377" s="7" t="s">
        <v>3023</v>
      </c>
      <c r="AX377">
        <v>16</v>
      </c>
      <c r="BE377" s="7" t="s">
        <v>3331</v>
      </c>
      <c r="BF377" t="s">
        <v>49</v>
      </c>
      <c r="BH377">
        <v>33</v>
      </c>
      <c r="BI377" t="s">
        <v>120</v>
      </c>
      <c r="BS377" t="s">
        <v>1607</v>
      </c>
      <c r="CH377">
        <v>540</v>
      </c>
      <c r="CI377">
        <v>580</v>
      </c>
      <c r="CJ377">
        <v>782</v>
      </c>
      <c r="CK377">
        <v>820</v>
      </c>
      <c r="CL377">
        <v>320</v>
      </c>
      <c r="CM377">
        <v>355</v>
      </c>
      <c r="CN377" s="2">
        <v>29.2</v>
      </c>
      <c r="CO377">
        <v>31.7</v>
      </c>
      <c r="CP377" s="2">
        <v>260</v>
      </c>
      <c r="CQ377">
        <v>316</v>
      </c>
      <c r="CR377">
        <v>779</v>
      </c>
      <c r="CS377">
        <v>823</v>
      </c>
      <c r="CT377">
        <v>185</v>
      </c>
      <c r="CU377">
        <v>247</v>
      </c>
      <c r="CV377" s="7">
        <v>8.1999999999999993</v>
      </c>
      <c r="CW377" s="7">
        <v>9.6999999999999993</v>
      </c>
    </row>
    <row r="378" spans="1:101" x14ac:dyDescent="0.25">
      <c r="A378" t="s">
        <v>1608</v>
      </c>
      <c r="B378" t="s">
        <v>1542</v>
      </c>
      <c r="C378" t="s">
        <v>38</v>
      </c>
      <c r="D378" t="s">
        <v>1609</v>
      </c>
      <c r="E378" t="s">
        <v>2147</v>
      </c>
      <c r="F378" t="s">
        <v>1593</v>
      </c>
      <c r="G378" t="s">
        <v>41</v>
      </c>
      <c r="H378">
        <v>38200</v>
      </c>
      <c r="I378" t="s">
        <v>3683</v>
      </c>
      <c r="J378" t="s">
        <v>1594</v>
      </c>
      <c r="K378" t="s">
        <v>1595</v>
      </c>
      <c r="L378" t="s">
        <v>49</v>
      </c>
      <c r="M378" s="7">
        <v>3.25</v>
      </c>
      <c r="N378" s="7">
        <v>3.4</v>
      </c>
      <c r="O378" s="7">
        <v>1.0089999999999999</v>
      </c>
      <c r="P378" s="7">
        <v>0.94199999999999995</v>
      </c>
      <c r="Q378">
        <v>20</v>
      </c>
      <c r="R378">
        <v>10</v>
      </c>
      <c r="X378">
        <v>18</v>
      </c>
      <c r="Y378">
        <v>43</v>
      </c>
      <c r="Z378">
        <v>-15</v>
      </c>
      <c r="AA378">
        <v>24</v>
      </c>
      <c r="AE378" t="s">
        <v>3503</v>
      </c>
      <c r="AF378" t="s">
        <v>3505</v>
      </c>
      <c r="AL378" t="s">
        <v>785</v>
      </c>
      <c r="AN378" s="7">
        <v>6.35</v>
      </c>
      <c r="AO378" s="7">
        <v>12.7</v>
      </c>
      <c r="AP378" s="7">
        <v>17</v>
      </c>
      <c r="AQ378" t="s">
        <v>49</v>
      </c>
      <c r="AR378" t="s">
        <v>49</v>
      </c>
      <c r="AS378" t="s">
        <v>49</v>
      </c>
      <c r="AT378" t="s">
        <v>49</v>
      </c>
      <c r="AU378" t="s">
        <v>50</v>
      </c>
      <c r="AV378" s="7" t="s">
        <v>3019</v>
      </c>
      <c r="AW378" s="7" t="s">
        <v>3023</v>
      </c>
      <c r="AX378">
        <v>16</v>
      </c>
      <c r="BE378" s="7" t="s">
        <v>3332</v>
      </c>
      <c r="BF378" t="s">
        <v>49</v>
      </c>
      <c r="BH378">
        <v>33</v>
      </c>
      <c r="BI378" t="s">
        <v>120</v>
      </c>
      <c r="BS378" t="s">
        <v>1610</v>
      </c>
      <c r="CH378">
        <v>555</v>
      </c>
      <c r="CI378">
        <v>590</v>
      </c>
      <c r="CJ378">
        <v>732</v>
      </c>
      <c r="CK378">
        <v>791</v>
      </c>
      <c r="CL378">
        <v>330</v>
      </c>
      <c r="CM378">
        <v>373</v>
      </c>
      <c r="CN378" s="2">
        <v>28</v>
      </c>
      <c r="CO378">
        <v>30.5</v>
      </c>
      <c r="CP378" s="2">
        <v>260</v>
      </c>
      <c r="CQ378">
        <v>316</v>
      </c>
      <c r="CR378">
        <v>779</v>
      </c>
      <c r="CS378">
        <v>823</v>
      </c>
      <c r="CT378">
        <v>185</v>
      </c>
      <c r="CU378">
        <v>247</v>
      </c>
      <c r="CV378" s="7">
        <v>8.5</v>
      </c>
      <c r="CW378" s="7">
        <v>10</v>
      </c>
    </row>
    <row r="379" spans="1:101" x14ac:dyDescent="0.25">
      <c r="A379" t="s">
        <v>1611</v>
      </c>
      <c r="B379" t="s">
        <v>1542</v>
      </c>
      <c r="C379" t="s">
        <v>38</v>
      </c>
      <c r="D379" t="s">
        <v>1612</v>
      </c>
      <c r="E379" t="s">
        <v>2147</v>
      </c>
      <c r="F379" t="s">
        <v>1593</v>
      </c>
      <c r="G379" t="s">
        <v>75</v>
      </c>
      <c r="H379">
        <v>61300</v>
      </c>
      <c r="I379" t="s">
        <v>3683</v>
      </c>
      <c r="J379" t="s">
        <v>1594</v>
      </c>
      <c r="K379" t="s">
        <v>1595</v>
      </c>
      <c r="L379" t="s">
        <v>49</v>
      </c>
      <c r="M379" s="7">
        <v>4.8</v>
      </c>
      <c r="N379" s="7">
        <v>5.3</v>
      </c>
      <c r="O379" s="7">
        <v>1.476</v>
      </c>
      <c r="P379" s="7">
        <v>1.468</v>
      </c>
      <c r="Q379">
        <v>25</v>
      </c>
      <c r="R379">
        <v>10</v>
      </c>
      <c r="U379">
        <v>1</v>
      </c>
      <c r="X379">
        <v>18</v>
      </c>
      <c r="Y379">
        <v>43</v>
      </c>
      <c r="Z379">
        <v>-15</v>
      </c>
      <c r="AA379">
        <v>24</v>
      </c>
      <c r="AD379">
        <v>21</v>
      </c>
      <c r="AE379" t="s">
        <v>3687</v>
      </c>
      <c r="AF379" t="s">
        <v>3685</v>
      </c>
      <c r="AL379" t="s">
        <v>785</v>
      </c>
      <c r="AN379" s="7">
        <v>6.35</v>
      </c>
      <c r="AO379" s="7">
        <v>12.7</v>
      </c>
      <c r="AP379" s="7">
        <v>17</v>
      </c>
      <c r="AQ379" t="s">
        <v>49</v>
      </c>
      <c r="AR379" t="s">
        <v>49</v>
      </c>
      <c r="AS379" t="s">
        <v>49</v>
      </c>
      <c r="AT379" t="s">
        <v>49</v>
      </c>
      <c r="AU379" t="s">
        <v>50</v>
      </c>
      <c r="AV379" s="7" t="s">
        <v>3021</v>
      </c>
      <c r="AW379" s="7" t="s">
        <v>3022</v>
      </c>
      <c r="AX379">
        <v>25</v>
      </c>
      <c r="BE379" s="7" t="s">
        <v>3333</v>
      </c>
      <c r="BF379" t="s">
        <v>49</v>
      </c>
      <c r="BH379">
        <v>48</v>
      </c>
      <c r="BI379" t="s">
        <v>120</v>
      </c>
      <c r="BS379" t="s">
        <v>1613</v>
      </c>
      <c r="CH379">
        <v>540</v>
      </c>
      <c r="CI379">
        <v>580</v>
      </c>
      <c r="CJ379">
        <v>848</v>
      </c>
      <c r="CK379">
        <v>878</v>
      </c>
      <c r="CL379">
        <v>320</v>
      </c>
      <c r="CM379">
        <v>360</v>
      </c>
      <c r="CN379" s="2">
        <v>38</v>
      </c>
      <c r="CO379">
        <v>40.5</v>
      </c>
      <c r="CP379" s="2">
        <v>293</v>
      </c>
      <c r="CQ379">
        <v>349</v>
      </c>
      <c r="CR379">
        <v>825</v>
      </c>
      <c r="CS379">
        <v>870</v>
      </c>
      <c r="CT379">
        <v>196</v>
      </c>
      <c r="CU379">
        <v>257</v>
      </c>
      <c r="CV379" s="7">
        <v>10.3</v>
      </c>
      <c r="CW379" s="7">
        <v>11.9</v>
      </c>
    </row>
    <row r="380" spans="1:101" x14ac:dyDescent="0.25">
      <c r="A380" t="s">
        <v>1614</v>
      </c>
      <c r="B380" t="s">
        <v>1542</v>
      </c>
      <c r="C380" t="s">
        <v>38</v>
      </c>
      <c r="D380" t="s">
        <v>1615</v>
      </c>
      <c r="E380" t="s">
        <v>2147</v>
      </c>
      <c r="F380" t="s">
        <v>1593</v>
      </c>
      <c r="G380" t="s">
        <v>41</v>
      </c>
      <c r="H380">
        <v>61300</v>
      </c>
      <c r="I380" t="s">
        <v>3683</v>
      </c>
      <c r="J380" t="s">
        <v>1594</v>
      </c>
      <c r="K380" t="s">
        <v>1595</v>
      </c>
      <c r="L380" t="s">
        <v>49</v>
      </c>
      <c r="M380" s="7">
        <v>4.8</v>
      </c>
      <c r="N380" s="7">
        <v>5.16</v>
      </c>
      <c r="O380" s="7">
        <v>1.4770000000000001</v>
      </c>
      <c r="P380" s="7">
        <v>1.4279999999999999</v>
      </c>
      <c r="Q380">
        <v>25</v>
      </c>
      <c r="R380">
        <v>10</v>
      </c>
      <c r="X380">
        <v>18</v>
      </c>
      <c r="Y380">
        <v>43</v>
      </c>
      <c r="Z380">
        <v>-15</v>
      </c>
      <c r="AA380">
        <v>24</v>
      </c>
      <c r="AE380" t="s">
        <v>3688</v>
      </c>
      <c r="AF380" t="s">
        <v>3505</v>
      </c>
      <c r="AL380" t="s">
        <v>785</v>
      </c>
      <c r="AN380" s="7">
        <v>6.35</v>
      </c>
      <c r="AO380" s="7">
        <v>12.7</v>
      </c>
      <c r="AP380" s="7">
        <v>17</v>
      </c>
      <c r="AQ380" t="s">
        <v>49</v>
      </c>
      <c r="AR380" t="s">
        <v>49</v>
      </c>
      <c r="AS380" t="s">
        <v>49</v>
      </c>
      <c r="AT380" t="s">
        <v>49</v>
      </c>
      <c r="AU380" t="s">
        <v>50</v>
      </c>
      <c r="AV380" s="7" t="s">
        <v>3021</v>
      </c>
      <c r="AW380" s="7" t="s">
        <v>3022</v>
      </c>
      <c r="AX380">
        <v>25</v>
      </c>
      <c r="BE380" s="7" t="s">
        <v>3334</v>
      </c>
      <c r="BF380" t="s">
        <v>49</v>
      </c>
      <c r="BH380">
        <v>48</v>
      </c>
      <c r="BI380" t="s">
        <v>120</v>
      </c>
      <c r="BS380" t="s">
        <v>1616</v>
      </c>
      <c r="CH380">
        <v>555</v>
      </c>
      <c r="CI380">
        <v>594</v>
      </c>
      <c r="CJ380">
        <v>802</v>
      </c>
      <c r="CK380">
        <v>869</v>
      </c>
      <c r="CL380">
        <v>350</v>
      </c>
      <c r="CM380">
        <v>395</v>
      </c>
      <c r="CN380" s="2">
        <v>38.5</v>
      </c>
      <c r="CO380">
        <v>41</v>
      </c>
      <c r="CP380" s="2">
        <v>293</v>
      </c>
      <c r="CQ380">
        <v>349</v>
      </c>
      <c r="CR380">
        <v>825</v>
      </c>
      <c r="CS380">
        <v>870</v>
      </c>
      <c r="CT380">
        <v>196</v>
      </c>
      <c r="CU380">
        <v>257</v>
      </c>
      <c r="CV380" s="7">
        <v>10.3</v>
      </c>
      <c r="CW380" s="7">
        <v>11.9</v>
      </c>
    </row>
    <row r="381" spans="1:101" x14ac:dyDescent="0.25">
      <c r="A381" t="s">
        <v>1617</v>
      </c>
      <c r="B381" t="s">
        <v>1542</v>
      </c>
      <c r="C381" t="s">
        <v>38</v>
      </c>
      <c r="D381" t="s">
        <v>1618</v>
      </c>
      <c r="E381" t="s">
        <v>2147</v>
      </c>
      <c r="F381" t="s">
        <v>1593</v>
      </c>
      <c r="G381" t="s">
        <v>75</v>
      </c>
      <c r="H381">
        <v>76700</v>
      </c>
      <c r="I381" t="s">
        <v>3683</v>
      </c>
      <c r="J381" t="s">
        <v>1594</v>
      </c>
      <c r="K381" t="s">
        <v>1595</v>
      </c>
      <c r="L381" t="s">
        <v>49</v>
      </c>
      <c r="M381" s="7">
        <v>6.2</v>
      </c>
      <c r="N381" s="7">
        <v>6.7</v>
      </c>
      <c r="O381" s="7">
        <v>1.907</v>
      </c>
      <c r="P381" s="7">
        <v>1.8560000000000001</v>
      </c>
      <c r="Q381">
        <v>25</v>
      </c>
      <c r="R381">
        <v>10</v>
      </c>
      <c r="U381">
        <v>1</v>
      </c>
      <c r="X381">
        <v>18</v>
      </c>
      <c r="Y381">
        <v>48</v>
      </c>
      <c r="Z381">
        <v>-15</v>
      </c>
      <c r="AA381">
        <v>24</v>
      </c>
      <c r="AD381">
        <v>23</v>
      </c>
      <c r="AE381" t="s">
        <v>3687</v>
      </c>
      <c r="AF381" t="s">
        <v>3685</v>
      </c>
      <c r="AL381" t="s">
        <v>785</v>
      </c>
      <c r="AN381" s="7">
        <v>6.35</v>
      </c>
      <c r="AO381" s="7">
        <v>12.7</v>
      </c>
      <c r="AP381" s="7">
        <v>17</v>
      </c>
      <c r="AQ381" t="s">
        <v>49</v>
      </c>
      <c r="AR381" t="s">
        <v>49</v>
      </c>
      <c r="AS381" t="s">
        <v>49</v>
      </c>
      <c r="AT381" t="s">
        <v>49</v>
      </c>
      <c r="AU381" t="s">
        <v>50</v>
      </c>
      <c r="AV381" s="7" t="s">
        <v>3021</v>
      </c>
      <c r="AW381" s="7" t="s">
        <v>3022</v>
      </c>
      <c r="AX381">
        <v>32</v>
      </c>
      <c r="BE381" s="7" t="s">
        <v>3335</v>
      </c>
      <c r="BF381" t="s">
        <v>49</v>
      </c>
      <c r="BH381">
        <v>62</v>
      </c>
      <c r="BI381" t="s">
        <v>120</v>
      </c>
      <c r="BS381" t="s">
        <v>1619</v>
      </c>
      <c r="CH381">
        <v>646</v>
      </c>
      <c r="CI381">
        <v>680</v>
      </c>
      <c r="CJ381">
        <v>912</v>
      </c>
      <c r="CK381">
        <v>960</v>
      </c>
      <c r="CL381">
        <v>373</v>
      </c>
      <c r="CM381">
        <v>408</v>
      </c>
      <c r="CN381" s="2">
        <v>46.5</v>
      </c>
      <c r="CO381">
        <v>49.5</v>
      </c>
      <c r="CP381" s="2">
        <v>311</v>
      </c>
      <c r="CQ381">
        <v>377</v>
      </c>
      <c r="CR381">
        <v>982</v>
      </c>
      <c r="CS381">
        <v>1039</v>
      </c>
      <c r="CT381">
        <v>221</v>
      </c>
      <c r="CU381">
        <v>287</v>
      </c>
      <c r="CV381" s="7">
        <v>13.7</v>
      </c>
      <c r="CW381" s="7">
        <v>16</v>
      </c>
    </row>
    <row r="382" spans="1:101" x14ac:dyDescent="0.25">
      <c r="A382" t="s">
        <v>1620</v>
      </c>
      <c r="B382" t="s">
        <v>1542</v>
      </c>
      <c r="C382" t="s">
        <v>38</v>
      </c>
      <c r="D382" t="s">
        <v>1621</v>
      </c>
      <c r="E382" t="s">
        <v>2147</v>
      </c>
      <c r="F382" t="s">
        <v>1593</v>
      </c>
      <c r="G382" t="s">
        <v>41</v>
      </c>
      <c r="H382">
        <v>76700</v>
      </c>
      <c r="I382" t="s">
        <v>3683</v>
      </c>
      <c r="J382" t="s">
        <v>1594</v>
      </c>
      <c r="K382" t="s">
        <v>1595</v>
      </c>
      <c r="L382" t="s">
        <v>49</v>
      </c>
      <c r="M382" s="7">
        <v>6.1550000000000002</v>
      </c>
      <c r="N382" s="7">
        <v>6.7</v>
      </c>
      <c r="O382" s="7">
        <v>1.917</v>
      </c>
      <c r="P382" s="7">
        <v>1.8560000000000001</v>
      </c>
      <c r="Q382">
        <v>25</v>
      </c>
      <c r="R382">
        <v>10</v>
      </c>
      <c r="X382">
        <v>18</v>
      </c>
      <c r="Y382">
        <v>43</v>
      </c>
      <c r="Z382">
        <v>-15</v>
      </c>
      <c r="AA382">
        <v>24</v>
      </c>
      <c r="AE382" t="s">
        <v>3504</v>
      </c>
      <c r="AF382" t="s">
        <v>3505</v>
      </c>
      <c r="AL382" t="s">
        <v>785</v>
      </c>
      <c r="AN382" s="7">
        <v>6.35</v>
      </c>
      <c r="AO382" s="7">
        <v>12.7</v>
      </c>
      <c r="AP382" s="7">
        <v>17</v>
      </c>
      <c r="AQ382" t="s">
        <v>49</v>
      </c>
      <c r="AR382" t="s">
        <v>49</v>
      </c>
      <c r="AS382" t="s">
        <v>49</v>
      </c>
      <c r="AT382" t="s">
        <v>49</v>
      </c>
      <c r="AU382" t="s">
        <v>50</v>
      </c>
      <c r="AV382" s="7" t="s">
        <v>3021</v>
      </c>
      <c r="AW382" s="7" t="s">
        <v>3033</v>
      </c>
      <c r="AX382">
        <v>32</v>
      </c>
      <c r="BE382" s="7">
        <v>8.89</v>
      </c>
      <c r="BF382" t="s">
        <v>49</v>
      </c>
      <c r="BH382">
        <v>62</v>
      </c>
      <c r="BI382" t="s">
        <v>120</v>
      </c>
      <c r="BS382" t="s">
        <v>1622</v>
      </c>
      <c r="CH382">
        <v>555</v>
      </c>
      <c r="CI382">
        <v>591</v>
      </c>
      <c r="CJ382">
        <v>873</v>
      </c>
      <c r="CK382">
        <v>948</v>
      </c>
      <c r="CL382">
        <v>376</v>
      </c>
      <c r="CM382">
        <v>428</v>
      </c>
      <c r="CN382" s="2">
        <v>43</v>
      </c>
      <c r="CO382">
        <v>46</v>
      </c>
      <c r="CP382" s="2">
        <v>311</v>
      </c>
      <c r="CQ382">
        <v>377</v>
      </c>
      <c r="CR382">
        <v>982</v>
      </c>
      <c r="CS382">
        <v>1039</v>
      </c>
      <c r="CT382">
        <v>221</v>
      </c>
      <c r="CU382">
        <v>287</v>
      </c>
      <c r="CV382" s="7">
        <v>13.7</v>
      </c>
      <c r="CW382" s="7">
        <v>16</v>
      </c>
    </row>
    <row r="383" spans="1:101" x14ac:dyDescent="0.25">
      <c r="A383" t="s">
        <v>1623</v>
      </c>
      <c r="B383" t="s">
        <v>1542</v>
      </c>
      <c r="C383" t="s">
        <v>38</v>
      </c>
      <c r="D383" t="s">
        <v>1624</v>
      </c>
      <c r="E383" t="s">
        <v>2147</v>
      </c>
      <c r="F383" t="s">
        <v>1593</v>
      </c>
      <c r="G383" t="s">
        <v>75</v>
      </c>
      <c r="H383">
        <v>109300</v>
      </c>
      <c r="I383" t="s">
        <v>3683</v>
      </c>
      <c r="J383" t="s">
        <v>1594</v>
      </c>
      <c r="K383" t="s">
        <v>1595</v>
      </c>
      <c r="L383" t="s">
        <v>49</v>
      </c>
      <c r="M383" s="7">
        <v>8.5</v>
      </c>
      <c r="N383" s="7">
        <v>9.1999999999999993</v>
      </c>
      <c r="O383" s="7">
        <v>2.6469999999999998</v>
      </c>
      <c r="P383" s="7">
        <v>2.548</v>
      </c>
      <c r="Q383">
        <v>30</v>
      </c>
      <c r="R383">
        <v>10</v>
      </c>
      <c r="U383">
        <v>1</v>
      </c>
      <c r="X383">
        <v>18</v>
      </c>
      <c r="Y383">
        <v>43</v>
      </c>
      <c r="Z383">
        <v>-15</v>
      </c>
      <c r="AA383">
        <v>24</v>
      </c>
      <c r="AD383">
        <v>46</v>
      </c>
      <c r="AE383" t="s">
        <v>3684</v>
      </c>
      <c r="AF383" t="s">
        <v>3685</v>
      </c>
      <c r="AL383" t="s">
        <v>785</v>
      </c>
      <c r="AN383" s="7">
        <v>6.35</v>
      </c>
      <c r="AO383" s="7">
        <v>15.8</v>
      </c>
      <c r="AP383" s="7">
        <v>17</v>
      </c>
      <c r="AQ383" t="s">
        <v>49</v>
      </c>
      <c r="AR383" t="s">
        <v>49</v>
      </c>
      <c r="AS383" t="s">
        <v>49</v>
      </c>
      <c r="AT383" t="s">
        <v>49</v>
      </c>
      <c r="AU383" t="s">
        <v>50</v>
      </c>
      <c r="AV383" s="7" t="s">
        <v>3021</v>
      </c>
      <c r="AW383" s="7" t="s">
        <v>3042</v>
      </c>
      <c r="AX383">
        <v>32</v>
      </c>
      <c r="BE383" s="7" t="s">
        <v>3336</v>
      </c>
      <c r="BF383" t="s">
        <v>49</v>
      </c>
      <c r="BH383">
        <v>85</v>
      </c>
      <c r="BI383" t="s">
        <v>120</v>
      </c>
      <c r="BS383" t="s">
        <v>1625</v>
      </c>
      <c r="CH383">
        <v>700</v>
      </c>
      <c r="CI383">
        <v>735</v>
      </c>
      <c r="CJ383">
        <v>955</v>
      </c>
      <c r="CK383">
        <v>1026</v>
      </c>
      <c r="CL383">
        <v>396</v>
      </c>
      <c r="CM383">
        <v>455</v>
      </c>
      <c r="CN383" s="2">
        <v>61</v>
      </c>
      <c r="CO383">
        <v>65.5</v>
      </c>
      <c r="CP383" s="2">
        <v>333</v>
      </c>
      <c r="CQ383">
        <v>406</v>
      </c>
      <c r="CR383">
        <v>1075</v>
      </c>
      <c r="CS383">
        <v>1128</v>
      </c>
      <c r="CT383">
        <v>246</v>
      </c>
      <c r="CU383">
        <v>323</v>
      </c>
      <c r="CV383" s="7">
        <v>17</v>
      </c>
      <c r="CW383" s="7">
        <v>20</v>
      </c>
    </row>
    <row r="384" spans="1:101" x14ac:dyDescent="0.25">
      <c r="A384" t="s">
        <v>1626</v>
      </c>
      <c r="B384" t="s">
        <v>1542</v>
      </c>
      <c r="C384" t="s">
        <v>38</v>
      </c>
      <c r="D384" t="s">
        <v>1627</v>
      </c>
      <c r="E384" t="s">
        <v>2147</v>
      </c>
      <c r="F384" t="s">
        <v>1593</v>
      </c>
      <c r="G384" t="s">
        <v>41</v>
      </c>
      <c r="H384">
        <v>109300</v>
      </c>
      <c r="I384" t="s">
        <v>3683</v>
      </c>
      <c r="J384" t="s">
        <v>1594</v>
      </c>
      <c r="K384" t="s">
        <v>1595</v>
      </c>
      <c r="L384" t="s">
        <v>49</v>
      </c>
      <c r="M384" s="7">
        <v>8.5</v>
      </c>
      <c r="N384" s="7">
        <v>8.9</v>
      </c>
      <c r="O384" s="7">
        <v>2.6150000000000002</v>
      </c>
      <c r="P384" s="7">
        <v>2.4649999999999999</v>
      </c>
      <c r="Q384">
        <v>30</v>
      </c>
      <c r="R384">
        <v>10</v>
      </c>
      <c r="X384">
        <v>18</v>
      </c>
      <c r="Y384">
        <v>43</v>
      </c>
      <c r="Z384">
        <v>-15</v>
      </c>
      <c r="AA384">
        <v>24</v>
      </c>
      <c r="AE384" t="s">
        <v>3688</v>
      </c>
      <c r="AF384" t="s">
        <v>3505</v>
      </c>
      <c r="AL384" t="s">
        <v>785</v>
      </c>
      <c r="AN384" s="7">
        <v>6.35</v>
      </c>
      <c r="AO384" s="7">
        <v>15.8</v>
      </c>
      <c r="AP384" s="7">
        <v>17</v>
      </c>
      <c r="AQ384" t="s">
        <v>49</v>
      </c>
      <c r="AR384" t="s">
        <v>49</v>
      </c>
      <c r="AS384" t="s">
        <v>49</v>
      </c>
      <c r="AT384" t="s">
        <v>49</v>
      </c>
      <c r="AU384" t="s">
        <v>50</v>
      </c>
      <c r="AV384" s="7" t="s">
        <v>3021</v>
      </c>
      <c r="AW384" s="7" t="s">
        <v>3042</v>
      </c>
      <c r="AX384">
        <v>32</v>
      </c>
      <c r="BE384" s="7" t="s">
        <v>3337</v>
      </c>
      <c r="BF384" t="s">
        <v>49</v>
      </c>
      <c r="BH384">
        <v>85</v>
      </c>
      <c r="BI384" t="s">
        <v>120</v>
      </c>
      <c r="BS384" t="s">
        <v>1354</v>
      </c>
      <c r="CH384">
        <v>660</v>
      </c>
      <c r="CI384">
        <v>715</v>
      </c>
      <c r="CJ384">
        <v>958</v>
      </c>
      <c r="CK384">
        <v>1029</v>
      </c>
      <c r="CL384">
        <v>402</v>
      </c>
      <c r="CM384">
        <v>453</v>
      </c>
      <c r="CN384" s="2">
        <v>57</v>
      </c>
      <c r="CO384">
        <v>61.5</v>
      </c>
      <c r="CP384" s="2">
        <v>333</v>
      </c>
      <c r="CQ384">
        <v>406</v>
      </c>
      <c r="CR384">
        <v>1075</v>
      </c>
      <c r="CS384">
        <v>1128</v>
      </c>
      <c r="CT384">
        <v>246</v>
      </c>
      <c r="CU384">
        <v>323</v>
      </c>
      <c r="CV384" s="7">
        <v>17</v>
      </c>
      <c r="CW384" s="7">
        <v>20</v>
      </c>
    </row>
    <row r="385" spans="1:101" x14ac:dyDescent="0.25">
      <c r="A385" t="s">
        <v>1628</v>
      </c>
      <c r="B385" t="s">
        <v>1542</v>
      </c>
      <c r="C385" t="s">
        <v>38</v>
      </c>
      <c r="D385" t="s">
        <v>1629</v>
      </c>
      <c r="E385" t="s">
        <v>2147</v>
      </c>
      <c r="F385" t="s">
        <v>1593</v>
      </c>
      <c r="G385" t="s">
        <v>75</v>
      </c>
      <c r="H385">
        <v>148300</v>
      </c>
      <c r="I385" t="s">
        <v>3683</v>
      </c>
      <c r="J385" t="s">
        <v>1630</v>
      </c>
      <c r="K385" t="s">
        <v>1631</v>
      </c>
      <c r="L385" t="s">
        <v>49</v>
      </c>
      <c r="M385" s="7">
        <v>9.5</v>
      </c>
      <c r="N385" s="7">
        <v>9.8000000000000007</v>
      </c>
      <c r="O385" s="7">
        <v>2.96</v>
      </c>
      <c r="P385" s="7">
        <v>3.05</v>
      </c>
      <c r="Q385">
        <v>30</v>
      </c>
      <c r="R385">
        <v>10</v>
      </c>
      <c r="U385">
        <v>1</v>
      </c>
      <c r="X385">
        <v>18</v>
      </c>
      <c r="Y385">
        <v>43</v>
      </c>
      <c r="Z385">
        <v>-7</v>
      </c>
      <c r="AA385">
        <v>24</v>
      </c>
      <c r="AD385">
        <v>35</v>
      </c>
      <c r="AE385" t="s">
        <v>3684</v>
      </c>
      <c r="AF385" t="s">
        <v>3689</v>
      </c>
      <c r="AL385" t="s">
        <v>785</v>
      </c>
      <c r="AN385" s="7">
        <v>6.35</v>
      </c>
      <c r="AO385" s="7">
        <v>15.8</v>
      </c>
      <c r="AP385" s="7">
        <v>17</v>
      </c>
      <c r="AQ385" t="s">
        <v>49</v>
      </c>
      <c r="AR385" t="s">
        <v>49</v>
      </c>
      <c r="AS385" t="s">
        <v>49</v>
      </c>
      <c r="AT385" t="s">
        <v>49</v>
      </c>
      <c r="AU385" t="s">
        <v>50</v>
      </c>
      <c r="AV385" s="7" t="s">
        <v>3021</v>
      </c>
      <c r="AW385" s="7" t="s">
        <v>3042</v>
      </c>
      <c r="AX385">
        <v>32</v>
      </c>
      <c r="BE385" s="7" t="s">
        <v>3338</v>
      </c>
      <c r="BF385" t="s">
        <v>49</v>
      </c>
      <c r="BH385">
        <v>95</v>
      </c>
      <c r="BI385" t="s">
        <v>120</v>
      </c>
      <c r="BS385" t="s">
        <v>1632</v>
      </c>
      <c r="CH385">
        <v>790</v>
      </c>
      <c r="CI385">
        <v>855</v>
      </c>
      <c r="CJ385">
        <v>980</v>
      </c>
      <c r="CK385">
        <v>1083</v>
      </c>
      <c r="CL385">
        <v>427</v>
      </c>
      <c r="CM385">
        <v>488</v>
      </c>
      <c r="CN385" s="2">
        <v>67</v>
      </c>
      <c r="CO385">
        <v>72</v>
      </c>
      <c r="CP385" s="2">
        <v>325</v>
      </c>
      <c r="CQ385">
        <v>413</v>
      </c>
      <c r="CR385">
        <v>1078</v>
      </c>
      <c r="CS385">
        <v>1148</v>
      </c>
      <c r="CT385">
        <v>246</v>
      </c>
      <c r="CU385">
        <v>350</v>
      </c>
      <c r="CV385" s="7">
        <v>16.5</v>
      </c>
      <c r="CW385" s="7">
        <v>20</v>
      </c>
    </row>
    <row r="386" spans="1:101" x14ac:dyDescent="0.25">
      <c r="A386" t="s">
        <v>1633</v>
      </c>
      <c r="B386" t="s">
        <v>1542</v>
      </c>
      <c r="C386" t="s">
        <v>38</v>
      </c>
      <c r="D386" t="s">
        <v>1634</v>
      </c>
      <c r="E386" t="s">
        <v>2147</v>
      </c>
      <c r="F386" t="s">
        <v>1635</v>
      </c>
      <c r="G386" t="s">
        <v>75</v>
      </c>
      <c r="H386">
        <v>97300</v>
      </c>
      <c r="I386" t="s">
        <v>3690</v>
      </c>
      <c r="J386" t="s">
        <v>1636</v>
      </c>
      <c r="K386" t="s">
        <v>1637</v>
      </c>
      <c r="L386" t="s">
        <v>44</v>
      </c>
      <c r="M386" s="7" t="s">
        <v>2380</v>
      </c>
      <c r="N386" s="7" t="s">
        <v>2816</v>
      </c>
      <c r="O386" s="7" t="s">
        <v>2817</v>
      </c>
      <c r="P386" s="7" t="s">
        <v>2818</v>
      </c>
      <c r="Q386">
        <v>15</v>
      </c>
      <c r="R386">
        <v>10</v>
      </c>
      <c r="U386">
        <v>1</v>
      </c>
      <c r="X386">
        <v>-15</v>
      </c>
      <c r="Y386">
        <v>52</v>
      </c>
      <c r="Z386">
        <v>-25</v>
      </c>
      <c r="AA386">
        <v>24</v>
      </c>
      <c r="AD386">
        <v>12</v>
      </c>
      <c r="AG386" t="s">
        <v>2978</v>
      </c>
      <c r="AH386" t="s">
        <v>2979</v>
      </c>
      <c r="AL386" t="s">
        <v>785</v>
      </c>
      <c r="AN386" s="7">
        <v>6.35</v>
      </c>
      <c r="AO386" s="7">
        <v>9.52</v>
      </c>
      <c r="AP386" s="7">
        <v>17</v>
      </c>
      <c r="AQ386" t="s">
        <v>49</v>
      </c>
      <c r="AR386" t="s">
        <v>49</v>
      </c>
      <c r="AS386" t="s">
        <v>49</v>
      </c>
      <c r="AT386" t="s">
        <v>49</v>
      </c>
      <c r="AU386" t="s">
        <v>78</v>
      </c>
      <c r="AV386" s="7" t="s">
        <v>3019</v>
      </c>
      <c r="AW386" s="7" t="s">
        <v>3020</v>
      </c>
      <c r="AX386">
        <v>10</v>
      </c>
      <c r="BE386" s="7" t="s">
        <v>3339</v>
      </c>
      <c r="BF386" t="s">
        <v>49</v>
      </c>
      <c r="BH386">
        <v>27</v>
      </c>
      <c r="BI386" t="s">
        <v>120</v>
      </c>
      <c r="BS386" t="s">
        <v>1638</v>
      </c>
      <c r="CH386">
        <v>596</v>
      </c>
      <c r="CI386">
        <v>645</v>
      </c>
      <c r="CJ386">
        <v>899</v>
      </c>
      <c r="CK386">
        <v>948</v>
      </c>
      <c r="CL386">
        <v>378</v>
      </c>
      <c r="CM386">
        <v>420</v>
      </c>
      <c r="CN386" s="2">
        <v>37.5</v>
      </c>
      <c r="CO386">
        <v>40.5</v>
      </c>
      <c r="CP386" s="2">
        <v>281</v>
      </c>
      <c r="CQ386">
        <v>376</v>
      </c>
      <c r="CR386">
        <v>977</v>
      </c>
      <c r="CS386">
        <v>1086</v>
      </c>
      <c r="CT386">
        <v>295</v>
      </c>
      <c r="CU386">
        <v>402</v>
      </c>
      <c r="CV386" s="7">
        <v>17</v>
      </c>
      <c r="CW386" s="7">
        <v>21.5</v>
      </c>
    </row>
    <row r="387" spans="1:101" x14ac:dyDescent="0.25">
      <c r="A387" t="s">
        <v>1639</v>
      </c>
      <c r="B387" t="s">
        <v>1542</v>
      </c>
      <c r="C387" t="s">
        <v>38</v>
      </c>
      <c r="D387" t="s">
        <v>1640</v>
      </c>
      <c r="E387" t="s">
        <v>2147</v>
      </c>
      <c r="F387" t="s">
        <v>1635</v>
      </c>
      <c r="G387" t="s">
        <v>75</v>
      </c>
      <c r="H387">
        <v>97300</v>
      </c>
      <c r="I387" t="s">
        <v>3690</v>
      </c>
      <c r="J387" t="s">
        <v>1641</v>
      </c>
      <c r="K387" t="s">
        <v>1642</v>
      </c>
      <c r="L387" t="s">
        <v>44</v>
      </c>
      <c r="M387" s="7" t="s">
        <v>2380</v>
      </c>
      <c r="N387" s="7" t="s">
        <v>2816</v>
      </c>
      <c r="O387" s="7" t="s">
        <v>2817</v>
      </c>
      <c r="P387" s="7" t="s">
        <v>2818</v>
      </c>
      <c r="Q387">
        <v>15</v>
      </c>
      <c r="R387">
        <v>10</v>
      </c>
      <c r="U387">
        <v>1</v>
      </c>
      <c r="X387">
        <v>-15</v>
      </c>
      <c r="Y387">
        <v>52</v>
      </c>
      <c r="Z387">
        <v>-25</v>
      </c>
      <c r="AA387">
        <v>24</v>
      </c>
      <c r="AD387">
        <v>12</v>
      </c>
      <c r="AG387" t="s">
        <v>2978</v>
      </c>
      <c r="AH387" t="s">
        <v>2979</v>
      </c>
      <c r="AL387" t="s">
        <v>785</v>
      </c>
      <c r="AN387" s="7">
        <v>6.35</v>
      </c>
      <c r="AO387" s="7">
        <v>9.52</v>
      </c>
      <c r="AP387" s="7">
        <v>17</v>
      </c>
      <c r="AQ387" t="s">
        <v>49</v>
      </c>
      <c r="AR387" t="s">
        <v>49</v>
      </c>
      <c r="AS387" t="s">
        <v>49</v>
      </c>
      <c r="AT387" t="s">
        <v>49</v>
      </c>
      <c r="AU387" t="s">
        <v>78</v>
      </c>
      <c r="AV387" s="7" t="s">
        <v>3019</v>
      </c>
      <c r="AW387" s="7" t="s">
        <v>3020</v>
      </c>
      <c r="AX387">
        <v>10</v>
      </c>
      <c r="BE387" s="7" t="s">
        <v>3339</v>
      </c>
      <c r="BF387" t="s">
        <v>49</v>
      </c>
      <c r="BH387">
        <v>27</v>
      </c>
      <c r="BI387" t="s">
        <v>120</v>
      </c>
      <c r="BS387" t="s">
        <v>1638</v>
      </c>
      <c r="CH387">
        <v>596</v>
      </c>
      <c r="CI387">
        <v>645</v>
      </c>
      <c r="CJ387">
        <v>899</v>
      </c>
      <c r="CK387">
        <v>948</v>
      </c>
      <c r="CL387">
        <v>378</v>
      </c>
      <c r="CM387">
        <v>420</v>
      </c>
      <c r="CN387" s="2">
        <v>37.5</v>
      </c>
      <c r="CO387">
        <v>40.5</v>
      </c>
      <c r="CP387" s="2">
        <v>281</v>
      </c>
      <c r="CQ387">
        <v>376</v>
      </c>
      <c r="CR387">
        <v>977</v>
      </c>
      <c r="CS387">
        <v>1086</v>
      </c>
      <c r="CT387">
        <v>295</v>
      </c>
      <c r="CU387">
        <v>402</v>
      </c>
      <c r="CV387" s="7">
        <v>17</v>
      </c>
      <c r="CW387" s="7">
        <v>21.5</v>
      </c>
    </row>
    <row r="388" spans="1:101" x14ac:dyDescent="0.25">
      <c r="A388" t="s">
        <v>1643</v>
      </c>
      <c r="B388" t="s">
        <v>1542</v>
      </c>
      <c r="C388" t="s">
        <v>38</v>
      </c>
      <c r="D388" t="s">
        <v>1644</v>
      </c>
      <c r="E388" t="s">
        <v>2147</v>
      </c>
      <c r="F388" t="s">
        <v>1635</v>
      </c>
      <c r="G388" t="s">
        <v>75</v>
      </c>
      <c r="H388">
        <v>106300</v>
      </c>
      <c r="I388" t="s">
        <v>3690</v>
      </c>
      <c r="J388" t="s">
        <v>1645</v>
      </c>
      <c r="K388" t="s">
        <v>1646</v>
      </c>
      <c r="L388" t="s">
        <v>44</v>
      </c>
      <c r="M388" s="7" t="s">
        <v>2381</v>
      </c>
      <c r="N388" s="7" t="s">
        <v>2819</v>
      </c>
      <c r="O388" s="7" t="s">
        <v>2820</v>
      </c>
      <c r="P388" s="7" t="s">
        <v>2821</v>
      </c>
      <c r="Q388">
        <v>20</v>
      </c>
      <c r="R388">
        <v>10</v>
      </c>
      <c r="U388">
        <v>1</v>
      </c>
      <c r="X388">
        <v>-15</v>
      </c>
      <c r="Y388">
        <v>52</v>
      </c>
      <c r="Z388">
        <v>-25</v>
      </c>
      <c r="AA388">
        <v>24</v>
      </c>
      <c r="AD388">
        <v>16</v>
      </c>
      <c r="AG388" t="s">
        <v>1647</v>
      </c>
      <c r="AH388" t="s">
        <v>2979</v>
      </c>
      <c r="AL388" t="s">
        <v>785</v>
      </c>
      <c r="AN388" s="7">
        <v>6.35</v>
      </c>
      <c r="AO388" s="7">
        <v>9.52</v>
      </c>
      <c r="AP388" s="7">
        <v>17</v>
      </c>
      <c r="AQ388" t="s">
        <v>49</v>
      </c>
      <c r="AR388" t="s">
        <v>49</v>
      </c>
      <c r="AS388" t="s">
        <v>49</v>
      </c>
      <c r="AT388" t="s">
        <v>49</v>
      </c>
      <c r="AU388" t="s">
        <v>78</v>
      </c>
      <c r="AV388" s="7" t="s">
        <v>3019</v>
      </c>
      <c r="AW388" s="7" t="s">
        <v>3020</v>
      </c>
      <c r="AX388">
        <v>10</v>
      </c>
      <c r="BE388" s="7" t="s">
        <v>3340</v>
      </c>
      <c r="BF388" t="s">
        <v>49</v>
      </c>
      <c r="BH388">
        <v>35</v>
      </c>
      <c r="BI388" t="s">
        <v>120</v>
      </c>
      <c r="BS388" t="s">
        <v>1648</v>
      </c>
      <c r="CH388">
        <v>596</v>
      </c>
      <c r="CI388">
        <v>645</v>
      </c>
      <c r="CJ388">
        <v>899</v>
      </c>
      <c r="CK388">
        <v>948</v>
      </c>
      <c r="CL388">
        <v>378</v>
      </c>
      <c r="CM388">
        <v>420</v>
      </c>
      <c r="CN388" s="2">
        <v>37.5</v>
      </c>
      <c r="CO388">
        <v>40.5</v>
      </c>
      <c r="CP388" s="2">
        <v>281</v>
      </c>
      <c r="CQ388">
        <v>376</v>
      </c>
      <c r="CR388">
        <v>977</v>
      </c>
      <c r="CS388">
        <v>1086</v>
      </c>
      <c r="CT388">
        <v>295</v>
      </c>
      <c r="CU388">
        <v>402</v>
      </c>
      <c r="CV388" s="7">
        <v>17</v>
      </c>
      <c r="CW388" s="7">
        <v>21.5</v>
      </c>
    </row>
    <row r="389" spans="1:101" x14ac:dyDescent="0.25">
      <c r="A389" t="s">
        <v>1649</v>
      </c>
      <c r="B389" t="s">
        <v>1542</v>
      </c>
      <c r="C389" t="s">
        <v>38</v>
      </c>
      <c r="D389" t="s">
        <v>1650</v>
      </c>
      <c r="E389" t="s">
        <v>2147</v>
      </c>
      <c r="F389" t="s">
        <v>1635</v>
      </c>
      <c r="G389" t="s">
        <v>75</v>
      </c>
      <c r="H389">
        <v>106300</v>
      </c>
      <c r="I389" t="s">
        <v>3690</v>
      </c>
      <c r="J389" t="s">
        <v>1651</v>
      </c>
      <c r="K389" t="s">
        <v>1652</v>
      </c>
      <c r="L389" t="s">
        <v>44</v>
      </c>
      <c r="M389" s="7" t="s">
        <v>2381</v>
      </c>
      <c r="N389" s="7" t="s">
        <v>2819</v>
      </c>
      <c r="O389" s="7" t="s">
        <v>2820</v>
      </c>
      <c r="P389" s="7" t="s">
        <v>2821</v>
      </c>
      <c r="Q389">
        <v>20</v>
      </c>
      <c r="R389">
        <v>10</v>
      </c>
      <c r="U389">
        <v>1</v>
      </c>
      <c r="X389">
        <v>-15</v>
      </c>
      <c r="Y389">
        <v>52</v>
      </c>
      <c r="Z389">
        <v>-25</v>
      </c>
      <c r="AA389">
        <v>24</v>
      </c>
      <c r="AD389">
        <v>16</v>
      </c>
      <c r="AG389" t="s">
        <v>1647</v>
      </c>
      <c r="AH389" t="s">
        <v>2979</v>
      </c>
      <c r="AL389" t="s">
        <v>785</v>
      </c>
      <c r="AN389" s="7">
        <v>6.35</v>
      </c>
      <c r="AO389" s="7">
        <v>9.52</v>
      </c>
      <c r="AP389" s="7">
        <v>17</v>
      </c>
      <c r="AQ389" t="s">
        <v>49</v>
      </c>
      <c r="AR389" t="s">
        <v>49</v>
      </c>
      <c r="AS389" t="s">
        <v>49</v>
      </c>
      <c r="AT389" t="s">
        <v>49</v>
      </c>
      <c r="AU389" t="s">
        <v>78</v>
      </c>
      <c r="AV389" s="7" t="s">
        <v>3019</v>
      </c>
      <c r="AW389" s="7" t="s">
        <v>3020</v>
      </c>
      <c r="AX389">
        <v>10</v>
      </c>
      <c r="BE389" s="7" t="s">
        <v>3340</v>
      </c>
      <c r="BF389" t="s">
        <v>49</v>
      </c>
      <c r="BH389">
        <v>35</v>
      </c>
      <c r="BI389" t="s">
        <v>120</v>
      </c>
      <c r="BS389" t="s">
        <v>1648</v>
      </c>
      <c r="CH389">
        <v>596</v>
      </c>
      <c r="CI389">
        <v>645</v>
      </c>
      <c r="CJ389">
        <v>899</v>
      </c>
      <c r="CK389">
        <v>948</v>
      </c>
      <c r="CL389">
        <v>378</v>
      </c>
      <c r="CM389">
        <v>420</v>
      </c>
      <c r="CN389" s="2">
        <v>37.5</v>
      </c>
      <c r="CO389">
        <v>40.5</v>
      </c>
      <c r="CP389" s="2">
        <v>281</v>
      </c>
      <c r="CQ389">
        <v>376</v>
      </c>
      <c r="CR389">
        <v>977</v>
      </c>
      <c r="CS389">
        <v>1086</v>
      </c>
      <c r="CT389">
        <v>295</v>
      </c>
      <c r="CU389">
        <v>402</v>
      </c>
      <c r="CV389" s="7">
        <v>17</v>
      </c>
      <c r="CW389" s="7">
        <v>21.5</v>
      </c>
    </row>
    <row r="390" spans="1:101" x14ac:dyDescent="0.25">
      <c r="A390" t="s">
        <v>1653</v>
      </c>
      <c r="B390" t="s">
        <v>1542</v>
      </c>
      <c r="C390" t="s">
        <v>214</v>
      </c>
      <c r="D390" t="s">
        <v>1654</v>
      </c>
      <c r="E390" t="s">
        <v>2148</v>
      </c>
      <c r="F390" t="s">
        <v>1655</v>
      </c>
      <c r="G390" t="s">
        <v>41</v>
      </c>
      <c r="H390">
        <v>102200</v>
      </c>
      <c r="I390" t="s">
        <v>3691</v>
      </c>
      <c r="J390" t="s">
        <v>1656</v>
      </c>
      <c r="K390" t="s">
        <v>1657</v>
      </c>
      <c r="L390" t="s">
        <v>44</v>
      </c>
      <c r="M390" s="7" t="s">
        <v>2382</v>
      </c>
      <c r="N390" s="7" t="s">
        <v>2822</v>
      </c>
      <c r="O390" s="7" t="s">
        <v>2823</v>
      </c>
      <c r="P390" s="7" t="s">
        <v>2824</v>
      </c>
      <c r="Q390">
        <v>35</v>
      </c>
      <c r="R390">
        <v>20</v>
      </c>
      <c r="U390">
        <v>1</v>
      </c>
      <c r="X390">
        <v>-15</v>
      </c>
      <c r="Y390">
        <v>48</v>
      </c>
      <c r="Z390">
        <v>-15</v>
      </c>
      <c r="AA390">
        <v>24</v>
      </c>
      <c r="AD390">
        <v>23</v>
      </c>
      <c r="AG390" t="s">
        <v>2943</v>
      </c>
      <c r="AH390" t="s">
        <v>2938</v>
      </c>
      <c r="AL390" t="s">
        <v>785</v>
      </c>
      <c r="AN390" s="7">
        <v>6.35</v>
      </c>
      <c r="AO390" s="7">
        <v>12.7</v>
      </c>
      <c r="AP390" s="7">
        <v>26</v>
      </c>
      <c r="AQ390" t="s">
        <v>49</v>
      </c>
      <c r="AR390" t="s">
        <v>49</v>
      </c>
      <c r="AS390" t="s">
        <v>49</v>
      </c>
      <c r="AT390" t="s">
        <v>49</v>
      </c>
      <c r="AU390" t="s">
        <v>50</v>
      </c>
      <c r="AV390" s="7" t="s">
        <v>3043</v>
      </c>
      <c r="AW390" s="7" t="s">
        <v>3044</v>
      </c>
      <c r="AX390">
        <v>16</v>
      </c>
      <c r="BB390" t="s">
        <v>1658</v>
      </c>
      <c r="BC390">
        <v>25</v>
      </c>
      <c r="BE390" s="7" t="s">
        <v>3341</v>
      </c>
      <c r="BF390" t="s">
        <v>49</v>
      </c>
      <c r="BH390">
        <v>53</v>
      </c>
      <c r="BI390" t="s">
        <v>120</v>
      </c>
      <c r="BS390" t="s">
        <v>1659</v>
      </c>
      <c r="CH390">
        <v>596</v>
      </c>
      <c r="CI390">
        <v>645</v>
      </c>
      <c r="CJ390">
        <v>818</v>
      </c>
      <c r="CK390">
        <v>948</v>
      </c>
      <c r="CL390">
        <v>302</v>
      </c>
      <c r="CM390">
        <v>420</v>
      </c>
      <c r="CN390" s="2">
        <v>41</v>
      </c>
      <c r="CO390">
        <v>44</v>
      </c>
      <c r="CP390" s="2">
        <v>200</v>
      </c>
      <c r="CQ390">
        <v>275</v>
      </c>
      <c r="CR390">
        <v>1000</v>
      </c>
      <c r="CS390">
        <v>1308</v>
      </c>
      <c r="CT390">
        <v>450</v>
      </c>
      <c r="CU390">
        <v>568</v>
      </c>
      <c r="CV390" s="7">
        <v>26</v>
      </c>
      <c r="CW390" s="7">
        <v>31</v>
      </c>
    </row>
    <row r="391" spans="1:101" x14ac:dyDescent="0.25">
      <c r="A391" t="s">
        <v>1660</v>
      </c>
      <c r="B391" t="s">
        <v>1542</v>
      </c>
      <c r="C391" t="s">
        <v>214</v>
      </c>
      <c r="D391" t="s">
        <v>1661</v>
      </c>
      <c r="E391" t="s">
        <v>2148</v>
      </c>
      <c r="F391" t="s">
        <v>1655</v>
      </c>
      <c r="G391" t="s">
        <v>41</v>
      </c>
      <c r="H391">
        <v>125900</v>
      </c>
      <c r="I391" t="s">
        <v>3691</v>
      </c>
      <c r="J391" t="s">
        <v>1656</v>
      </c>
      <c r="K391" t="s">
        <v>1657</v>
      </c>
      <c r="L391" t="s">
        <v>44</v>
      </c>
      <c r="M391" s="7" t="s">
        <v>2383</v>
      </c>
      <c r="N391" s="7" t="s">
        <v>2825</v>
      </c>
      <c r="O391" s="7" t="s">
        <v>2826</v>
      </c>
      <c r="P391" s="7" t="s">
        <v>2827</v>
      </c>
      <c r="Q391">
        <v>50</v>
      </c>
      <c r="R391">
        <v>25</v>
      </c>
      <c r="U391">
        <v>1</v>
      </c>
      <c r="X391">
        <v>-15</v>
      </c>
      <c r="Y391">
        <v>48</v>
      </c>
      <c r="Z391">
        <v>-15</v>
      </c>
      <c r="AA391">
        <v>24</v>
      </c>
      <c r="AD391">
        <v>27</v>
      </c>
      <c r="AG391" t="s">
        <v>2946</v>
      </c>
      <c r="AH391" t="s">
        <v>2938</v>
      </c>
      <c r="AL391" t="s">
        <v>785</v>
      </c>
      <c r="AN391" s="7">
        <v>9.52</v>
      </c>
      <c r="AO391" s="7">
        <v>15.87</v>
      </c>
      <c r="AP391" s="7">
        <v>26</v>
      </c>
      <c r="AQ391" t="s">
        <v>49</v>
      </c>
      <c r="AR391" t="s">
        <v>49</v>
      </c>
      <c r="AS391" t="s">
        <v>49</v>
      </c>
      <c r="AT391" t="s">
        <v>49</v>
      </c>
      <c r="AU391" t="s">
        <v>50</v>
      </c>
      <c r="AV391" s="7" t="s">
        <v>3045</v>
      </c>
      <c r="AW391" s="7" t="s">
        <v>3044</v>
      </c>
      <c r="AX391">
        <v>20</v>
      </c>
      <c r="BB391" t="s">
        <v>1658</v>
      </c>
      <c r="BC391">
        <v>25</v>
      </c>
      <c r="BE391" s="7" t="s">
        <v>3342</v>
      </c>
      <c r="BF391" t="s">
        <v>49</v>
      </c>
      <c r="BH391">
        <v>72</v>
      </c>
      <c r="BI391" t="s">
        <v>120</v>
      </c>
      <c r="BS391" t="s">
        <v>1662</v>
      </c>
      <c r="CH391">
        <v>698</v>
      </c>
      <c r="CI391">
        <v>750</v>
      </c>
      <c r="CJ391">
        <v>892</v>
      </c>
      <c r="CK391">
        <v>1029</v>
      </c>
      <c r="CL391">
        <v>340</v>
      </c>
      <c r="CM391">
        <v>458</v>
      </c>
      <c r="CN391" s="2">
        <v>53</v>
      </c>
      <c r="CO391">
        <v>57</v>
      </c>
      <c r="CP391" s="2">
        <v>200</v>
      </c>
      <c r="CQ391">
        <v>275</v>
      </c>
      <c r="CR391">
        <v>1000</v>
      </c>
      <c r="CS391">
        <v>1308</v>
      </c>
      <c r="CT391">
        <v>450</v>
      </c>
      <c r="CU391">
        <v>568</v>
      </c>
      <c r="CV391" s="7">
        <v>26</v>
      </c>
      <c r="CW391" s="7">
        <v>31</v>
      </c>
    </row>
    <row r="392" spans="1:101" x14ac:dyDescent="0.25">
      <c r="A392" t="s">
        <v>1663</v>
      </c>
      <c r="B392" t="s">
        <v>1542</v>
      </c>
      <c r="C392" t="s">
        <v>214</v>
      </c>
      <c r="D392" t="s">
        <v>1664</v>
      </c>
      <c r="E392" t="s">
        <v>2148</v>
      </c>
      <c r="F392" t="s">
        <v>1655</v>
      </c>
      <c r="G392" t="s">
        <v>41</v>
      </c>
      <c r="H392">
        <v>180000</v>
      </c>
      <c r="I392" t="s">
        <v>3691</v>
      </c>
      <c r="J392" t="s">
        <v>1656</v>
      </c>
      <c r="K392" t="s">
        <v>1657</v>
      </c>
      <c r="L392" t="s">
        <v>44</v>
      </c>
      <c r="M392" s="7" t="s">
        <v>2384</v>
      </c>
      <c r="N392" s="7" t="s">
        <v>2828</v>
      </c>
      <c r="O392" s="7" t="s">
        <v>2829</v>
      </c>
      <c r="P392" s="7" t="s">
        <v>2830</v>
      </c>
      <c r="Q392">
        <v>50</v>
      </c>
      <c r="R392">
        <v>25</v>
      </c>
      <c r="U392">
        <v>1</v>
      </c>
      <c r="X392">
        <v>-15</v>
      </c>
      <c r="Y392">
        <v>48</v>
      </c>
      <c r="Z392">
        <v>-15</v>
      </c>
      <c r="AA392">
        <v>24</v>
      </c>
      <c r="AD392">
        <v>46</v>
      </c>
      <c r="AG392" t="s">
        <v>2980</v>
      </c>
      <c r="AH392" t="s">
        <v>2938</v>
      </c>
      <c r="AL392" t="s">
        <v>785</v>
      </c>
      <c r="AN392" s="7">
        <v>9.52</v>
      </c>
      <c r="AO392" s="7">
        <v>15.87</v>
      </c>
      <c r="AP392" s="7">
        <v>26</v>
      </c>
      <c r="AQ392" t="s">
        <v>49</v>
      </c>
      <c r="AR392" t="s">
        <v>49</v>
      </c>
      <c r="AS392" t="s">
        <v>49</v>
      </c>
      <c r="AT392" t="s">
        <v>49</v>
      </c>
      <c r="AU392" t="s">
        <v>50</v>
      </c>
      <c r="AV392" s="7" t="s">
        <v>3045</v>
      </c>
      <c r="AW392" s="7" t="s">
        <v>3044</v>
      </c>
      <c r="AX392">
        <v>25</v>
      </c>
      <c r="BB392" t="s">
        <v>1665</v>
      </c>
      <c r="BC392">
        <v>37</v>
      </c>
      <c r="BE392" s="7" t="s">
        <v>3343</v>
      </c>
      <c r="BF392" t="s">
        <v>49</v>
      </c>
      <c r="BH392">
        <v>101</v>
      </c>
      <c r="BI392" t="s">
        <v>120</v>
      </c>
      <c r="BS392" t="s">
        <v>1666</v>
      </c>
      <c r="CH392">
        <v>790</v>
      </c>
      <c r="CI392">
        <v>855</v>
      </c>
      <c r="CJ392">
        <v>920</v>
      </c>
      <c r="CK392">
        <v>1083</v>
      </c>
      <c r="CL392">
        <v>370</v>
      </c>
      <c r="CM392">
        <v>488</v>
      </c>
      <c r="CN392" s="2">
        <v>61</v>
      </c>
      <c r="CO392">
        <v>66</v>
      </c>
      <c r="CP392" s="2">
        <v>300</v>
      </c>
      <c r="CQ392">
        <v>360</v>
      </c>
      <c r="CR392">
        <v>1000</v>
      </c>
      <c r="CS392">
        <v>1205</v>
      </c>
      <c r="CT392">
        <v>700</v>
      </c>
      <c r="CU392">
        <v>813</v>
      </c>
      <c r="CV392" s="7">
        <v>41</v>
      </c>
      <c r="CW392" s="7">
        <v>47</v>
      </c>
    </row>
    <row r="393" spans="1:101" x14ac:dyDescent="0.25">
      <c r="A393" t="s">
        <v>1667</v>
      </c>
      <c r="B393" t="s">
        <v>1542</v>
      </c>
      <c r="C393" t="s">
        <v>214</v>
      </c>
      <c r="D393" t="s">
        <v>1668</v>
      </c>
      <c r="E393" t="s">
        <v>2148</v>
      </c>
      <c r="F393" t="s">
        <v>1655</v>
      </c>
      <c r="G393" t="s">
        <v>41</v>
      </c>
      <c r="H393">
        <v>214100</v>
      </c>
      <c r="I393" t="s">
        <v>3691</v>
      </c>
      <c r="J393" t="s">
        <v>1656</v>
      </c>
      <c r="K393" t="s">
        <v>1657</v>
      </c>
      <c r="L393" t="s">
        <v>44</v>
      </c>
      <c r="M393" s="7" t="s">
        <v>2385</v>
      </c>
      <c r="N393" s="7" t="s">
        <v>2831</v>
      </c>
      <c r="O393" s="7" t="s">
        <v>2832</v>
      </c>
      <c r="P393" s="7" t="s">
        <v>2833</v>
      </c>
      <c r="Q393">
        <v>75</v>
      </c>
      <c r="R393">
        <v>30</v>
      </c>
      <c r="U393">
        <v>1</v>
      </c>
      <c r="X393">
        <v>-15</v>
      </c>
      <c r="Y393">
        <v>48</v>
      </c>
      <c r="Z393">
        <v>-15</v>
      </c>
      <c r="AA393">
        <v>24</v>
      </c>
      <c r="AD393">
        <v>80</v>
      </c>
      <c r="AG393" t="s">
        <v>2980</v>
      </c>
      <c r="AH393" t="s">
        <v>2981</v>
      </c>
      <c r="AL393" t="s">
        <v>785</v>
      </c>
      <c r="AN393" s="7">
        <v>9.52</v>
      </c>
      <c r="AO393" s="7">
        <v>15.87</v>
      </c>
      <c r="AP393" s="7">
        <v>26</v>
      </c>
      <c r="AQ393" t="s">
        <v>49</v>
      </c>
      <c r="AR393" t="s">
        <v>49</v>
      </c>
      <c r="AS393" t="s">
        <v>49</v>
      </c>
      <c r="AT393" t="s">
        <v>49</v>
      </c>
      <c r="AU393" t="s">
        <v>50</v>
      </c>
      <c r="AV393" s="7" t="s">
        <v>3046</v>
      </c>
      <c r="AW393" s="7" t="s">
        <v>3044</v>
      </c>
      <c r="AX393">
        <v>16</v>
      </c>
      <c r="BB393" t="s">
        <v>1665</v>
      </c>
      <c r="BC393">
        <v>50</v>
      </c>
      <c r="BE393" s="7" t="s">
        <v>3344</v>
      </c>
      <c r="BF393" t="s">
        <v>49</v>
      </c>
      <c r="BH393">
        <v>140</v>
      </c>
      <c r="BI393" t="s">
        <v>241</v>
      </c>
      <c r="BS393" t="s">
        <v>1669</v>
      </c>
      <c r="CH393">
        <v>820</v>
      </c>
      <c r="CI393">
        <v>973</v>
      </c>
      <c r="CJ393">
        <v>940</v>
      </c>
      <c r="CK393">
        <v>1083</v>
      </c>
      <c r="CL393">
        <v>460</v>
      </c>
      <c r="CM393">
        <v>573</v>
      </c>
      <c r="CN393" s="2">
        <v>96</v>
      </c>
      <c r="CO393">
        <v>108</v>
      </c>
      <c r="CP393" s="2">
        <v>300</v>
      </c>
      <c r="CQ393">
        <v>365</v>
      </c>
      <c r="CR393">
        <v>1400</v>
      </c>
      <c r="CS393">
        <v>1601</v>
      </c>
      <c r="CT393">
        <v>700</v>
      </c>
      <c r="CU393">
        <v>813</v>
      </c>
      <c r="CV393" s="7">
        <v>50</v>
      </c>
      <c r="CW393" s="7">
        <v>56</v>
      </c>
    </row>
    <row r="394" spans="1:101" x14ac:dyDescent="0.25">
      <c r="A394" t="s">
        <v>1670</v>
      </c>
      <c r="B394" t="s">
        <v>1542</v>
      </c>
      <c r="C394" t="s">
        <v>214</v>
      </c>
      <c r="D394" t="s">
        <v>1671</v>
      </c>
      <c r="E394" t="s">
        <v>2148</v>
      </c>
      <c r="F394" t="s">
        <v>1655</v>
      </c>
      <c r="G394" t="s">
        <v>41</v>
      </c>
      <c r="H394">
        <v>240900</v>
      </c>
      <c r="I394" t="s">
        <v>3691</v>
      </c>
      <c r="J394" t="s">
        <v>1656</v>
      </c>
      <c r="K394" t="s">
        <v>1657</v>
      </c>
      <c r="L394" t="s">
        <v>44</v>
      </c>
      <c r="M394" s="7" t="s">
        <v>2386</v>
      </c>
      <c r="N394" s="7" t="s">
        <v>2834</v>
      </c>
      <c r="O394" s="7" t="s">
        <v>2835</v>
      </c>
      <c r="P394" s="7" t="s">
        <v>2836</v>
      </c>
      <c r="Q394">
        <v>75</v>
      </c>
      <c r="R394">
        <v>30</v>
      </c>
      <c r="U394">
        <v>1</v>
      </c>
      <c r="X394">
        <v>-15</v>
      </c>
      <c r="Y394">
        <v>48</v>
      </c>
      <c r="Z394">
        <v>-15</v>
      </c>
      <c r="AA394">
        <v>24</v>
      </c>
      <c r="AD394">
        <v>95</v>
      </c>
      <c r="AG394" t="s">
        <v>2982</v>
      </c>
      <c r="AH394" t="s">
        <v>2983</v>
      </c>
      <c r="AL394" t="s">
        <v>785</v>
      </c>
      <c r="AN394" s="7">
        <v>9.52</v>
      </c>
      <c r="AO394" s="7">
        <v>15.87</v>
      </c>
      <c r="AP394" s="7">
        <v>26</v>
      </c>
      <c r="AQ394" t="s">
        <v>49</v>
      </c>
      <c r="AR394" t="s">
        <v>49</v>
      </c>
      <c r="AS394" t="s">
        <v>49</v>
      </c>
      <c r="AT394" t="s">
        <v>49</v>
      </c>
      <c r="AU394" t="s">
        <v>50</v>
      </c>
      <c r="AV394" s="7" t="s">
        <v>3046</v>
      </c>
      <c r="AW394" s="7" t="s">
        <v>3044</v>
      </c>
      <c r="AX394">
        <v>16</v>
      </c>
      <c r="BB394" t="s">
        <v>1672</v>
      </c>
      <c r="BC394">
        <v>50</v>
      </c>
      <c r="BE394" s="7" t="s">
        <v>3345</v>
      </c>
      <c r="BF394" t="s">
        <v>49</v>
      </c>
      <c r="BH394">
        <v>156</v>
      </c>
      <c r="BI394" t="s">
        <v>241</v>
      </c>
      <c r="BS394" t="s">
        <v>1673</v>
      </c>
      <c r="CH394">
        <v>820</v>
      </c>
      <c r="CI394">
        <v>973</v>
      </c>
      <c r="CJ394">
        <v>940</v>
      </c>
      <c r="CK394">
        <v>1083</v>
      </c>
      <c r="CL394">
        <v>460</v>
      </c>
      <c r="CM394">
        <v>573</v>
      </c>
      <c r="CN394" s="2">
        <v>100</v>
      </c>
      <c r="CO394">
        <v>112</v>
      </c>
      <c r="CP394" s="2">
        <v>300</v>
      </c>
      <c r="CQ394">
        <v>365</v>
      </c>
      <c r="CR394">
        <v>1400</v>
      </c>
      <c r="CS394">
        <v>1678</v>
      </c>
      <c r="CT394">
        <v>700</v>
      </c>
      <c r="CU394">
        <v>808</v>
      </c>
      <c r="CV394" s="7">
        <v>57</v>
      </c>
      <c r="CW394" s="7">
        <v>64</v>
      </c>
    </row>
    <row r="395" spans="1:101" x14ac:dyDescent="0.25">
      <c r="A395" t="s">
        <v>1674</v>
      </c>
      <c r="B395" t="s">
        <v>1542</v>
      </c>
      <c r="C395" t="s">
        <v>214</v>
      </c>
      <c r="D395" t="s">
        <v>1675</v>
      </c>
      <c r="E395" t="s">
        <v>2148</v>
      </c>
      <c r="F395" t="s">
        <v>1676</v>
      </c>
      <c r="G395" t="s">
        <v>41</v>
      </c>
      <c r="H395">
        <v>544952</v>
      </c>
      <c r="I395" t="s">
        <v>3692</v>
      </c>
      <c r="J395" t="s">
        <v>1677</v>
      </c>
      <c r="K395" t="s">
        <v>230</v>
      </c>
      <c r="L395" t="s">
        <v>44</v>
      </c>
      <c r="M395" s="7">
        <v>20</v>
      </c>
      <c r="N395" s="7">
        <v>22</v>
      </c>
      <c r="O395" s="7">
        <v>7.8</v>
      </c>
      <c r="P395" s="7">
        <v>7</v>
      </c>
      <c r="Q395">
        <v>50</v>
      </c>
      <c r="R395">
        <v>30</v>
      </c>
      <c r="U395">
        <v>1</v>
      </c>
      <c r="X395">
        <v>-7</v>
      </c>
      <c r="Y395">
        <v>48</v>
      </c>
      <c r="Z395">
        <v>-15</v>
      </c>
      <c r="AA395">
        <v>24</v>
      </c>
      <c r="AD395">
        <v>114</v>
      </c>
      <c r="AE395" t="s">
        <v>3583</v>
      </c>
      <c r="AF395" t="s">
        <v>3693</v>
      </c>
      <c r="AL395" t="s">
        <v>1678</v>
      </c>
      <c r="AN395" s="7">
        <v>9.52</v>
      </c>
      <c r="AO395" s="7">
        <v>19</v>
      </c>
      <c r="AP395" s="7">
        <v>30</v>
      </c>
      <c r="AQ395" t="s">
        <v>49</v>
      </c>
      <c r="AR395" t="s">
        <v>49</v>
      </c>
      <c r="AS395" t="s">
        <v>49</v>
      </c>
      <c r="AT395" t="s">
        <v>49</v>
      </c>
      <c r="AU395" t="s">
        <v>50</v>
      </c>
      <c r="AV395" s="7" t="s">
        <v>3022</v>
      </c>
      <c r="AW395" s="7" t="s">
        <v>3044</v>
      </c>
      <c r="AX395">
        <v>20</v>
      </c>
      <c r="BB395" t="s">
        <v>1679</v>
      </c>
      <c r="BC395">
        <v>120</v>
      </c>
      <c r="BE395" s="7" t="s">
        <v>3346</v>
      </c>
      <c r="BF395" t="s">
        <v>49</v>
      </c>
      <c r="BH395">
        <v>200</v>
      </c>
      <c r="BI395" t="s">
        <v>241</v>
      </c>
      <c r="BS395" t="s">
        <v>1680</v>
      </c>
      <c r="CH395">
        <v>1430</v>
      </c>
      <c r="CI395">
        <v>1475</v>
      </c>
      <c r="CJ395">
        <v>940</v>
      </c>
      <c r="CK395">
        <v>1023</v>
      </c>
      <c r="CL395">
        <v>320</v>
      </c>
      <c r="CM395">
        <v>423</v>
      </c>
      <c r="CN395" s="2">
        <v>120</v>
      </c>
      <c r="CO395">
        <v>130</v>
      </c>
      <c r="CP395" s="2">
        <v>365</v>
      </c>
      <c r="CQ395">
        <v>400</v>
      </c>
      <c r="CR395">
        <v>1460</v>
      </c>
      <c r="CS395">
        <v>1578</v>
      </c>
      <c r="CT395">
        <v>790</v>
      </c>
      <c r="CU395">
        <v>883</v>
      </c>
      <c r="CV395" s="7">
        <v>82</v>
      </c>
      <c r="CW395" s="7">
        <v>104</v>
      </c>
    </row>
    <row r="396" spans="1:101" x14ac:dyDescent="0.25">
      <c r="A396" t="s">
        <v>1681</v>
      </c>
      <c r="B396" t="s">
        <v>1542</v>
      </c>
      <c r="C396" t="s">
        <v>214</v>
      </c>
      <c r="D396" t="s">
        <v>1682</v>
      </c>
      <c r="E396" t="s">
        <v>2148</v>
      </c>
      <c r="F396" t="s">
        <v>1676</v>
      </c>
      <c r="G396" t="s">
        <v>41</v>
      </c>
      <c r="H396">
        <v>643700</v>
      </c>
      <c r="I396" t="s">
        <v>3692</v>
      </c>
      <c r="J396" t="s">
        <v>1677</v>
      </c>
      <c r="K396" t="s">
        <v>230</v>
      </c>
      <c r="L396" t="s">
        <v>44</v>
      </c>
      <c r="M396" s="7">
        <v>25</v>
      </c>
      <c r="N396" s="7">
        <v>27.5</v>
      </c>
      <c r="O396" s="7">
        <v>9.4</v>
      </c>
      <c r="P396" s="7">
        <v>8.9</v>
      </c>
      <c r="Q396">
        <v>50</v>
      </c>
      <c r="R396">
        <v>30</v>
      </c>
      <c r="U396">
        <v>1</v>
      </c>
      <c r="X396">
        <v>-7</v>
      </c>
      <c r="Y396">
        <v>48</v>
      </c>
      <c r="Z396">
        <v>-15</v>
      </c>
      <c r="AA396">
        <v>24</v>
      </c>
      <c r="AD396">
        <v>142</v>
      </c>
      <c r="AE396" t="s">
        <v>3617</v>
      </c>
      <c r="AF396" t="s">
        <v>3665</v>
      </c>
      <c r="AL396" t="s">
        <v>1678</v>
      </c>
      <c r="AN396" s="7">
        <v>9.52</v>
      </c>
      <c r="AO396" s="7">
        <v>22</v>
      </c>
      <c r="AP396" s="7">
        <v>30</v>
      </c>
      <c r="AQ396" t="s">
        <v>49</v>
      </c>
      <c r="AR396" t="s">
        <v>49</v>
      </c>
      <c r="AS396" t="s">
        <v>49</v>
      </c>
      <c r="AT396" t="s">
        <v>49</v>
      </c>
      <c r="AU396" t="s">
        <v>50</v>
      </c>
      <c r="AV396" s="7" t="s">
        <v>3022</v>
      </c>
      <c r="AW396" s="7" t="s">
        <v>3044</v>
      </c>
      <c r="AX396">
        <v>20</v>
      </c>
      <c r="BB396" t="s">
        <v>1679</v>
      </c>
      <c r="BC396">
        <v>120</v>
      </c>
      <c r="BE396" s="7" t="s">
        <v>3347</v>
      </c>
      <c r="BF396" t="s">
        <v>49</v>
      </c>
      <c r="BH396">
        <v>250</v>
      </c>
      <c r="BI396" t="s">
        <v>241</v>
      </c>
      <c r="BS396" t="s">
        <v>1683</v>
      </c>
      <c r="CH396">
        <v>1615</v>
      </c>
      <c r="CI396">
        <v>563</v>
      </c>
      <c r="CJ396">
        <v>460</v>
      </c>
      <c r="CK396">
        <v>1660</v>
      </c>
      <c r="CL396">
        <v>940</v>
      </c>
      <c r="CM396">
        <v>1023</v>
      </c>
      <c r="CN396" s="2">
        <v>146</v>
      </c>
      <c r="CO396">
        <v>162</v>
      </c>
      <c r="CP396" s="2">
        <v>440</v>
      </c>
      <c r="CQ396">
        <v>988</v>
      </c>
      <c r="CR396">
        <v>1690</v>
      </c>
      <c r="CS396">
        <v>1788</v>
      </c>
      <c r="CT396">
        <v>870</v>
      </c>
      <c r="CU396">
        <v>988</v>
      </c>
      <c r="CV396" s="7">
        <v>99</v>
      </c>
      <c r="CW396" s="7">
        <v>134</v>
      </c>
    </row>
    <row r="397" spans="1:101" x14ac:dyDescent="0.25">
      <c r="A397" t="s">
        <v>1684</v>
      </c>
      <c r="B397" t="s">
        <v>1542</v>
      </c>
      <c r="C397" t="s">
        <v>214</v>
      </c>
      <c r="D397" t="s">
        <v>1685</v>
      </c>
      <c r="E397" t="s">
        <v>2148</v>
      </c>
      <c r="F397" t="s">
        <v>1676</v>
      </c>
      <c r="G397" t="s">
        <v>75</v>
      </c>
      <c r="H397">
        <v>663309</v>
      </c>
      <c r="I397" t="s">
        <v>3692</v>
      </c>
      <c r="J397" t="s">
        <v>1677</v>
      </c>
      <c r="K397" t="s">
        <v>230</v>
      </c>
      <c r="L397" t="s">
        <v>44</v>
      </c>
      <c r="M397" s="7">
        <v>30</v>
      </c>
      <c r="N397" s="7">
        <v>33</v>
      </c>
      <c r="O397" s="7">
        <v>11.3</v>
      </c>
      <c r="P397" s="7">
        <v>10.3</v>
      </c>
      <c r="Q397">
        <v>50</v>
      </c>
      <c r="R397">
        <v>30</v>
      </c>
      <c r="U397">
        <v>1</v>
      </c>
      <c r="X397">
        <v>-7</v>
      </c>
      <c r="Y397">
        <v>48</v>
      </c>
      <c r="Z397">
        <v>-15</v>
      </c>
      <c r="AA397">
        <v>24</v>
      </c>
      <c r="AD397">
        <v>171</v>
      </c>
      <c r="AE397" t="s">
        <v>3617</v>
      </c>
      <c r="AF397" t="s">
        <v>3549</v>
      </c>
      <c r="AL397" t="s">
        <v>1686</v>
      </c>
      <c r="AN397" s="7">
        <v>12.7</v>
      </c>
      <c r="AO397" s="7">
        <v>25.4</v>
      </c>
      <c r="AP397" s="7">
        <v>30</v>
      </c>
      <c r="AQ397" t="s">
        <v>49</v>
      </c>
      <c r="AR397" t="s">
        <v>49</v>
      </c>
      <c r="AS397" t="s">
        <v>49</v>
      </c>
      <c r="AT397" t="s">
        <v>49</v>
      </c>
      <c r="AU397" t="s">
        <v>50</v>
      </c>
      <c r="AV397" s="7" t="s">
        <v>330</v>
      </c>
      <c r="AW397" s="7" t="s">
        <v>3044</v>
      </c>
      <c r="AX397">
        <v>40</v>
      </c>
      <c r="BB397" t="s">
        <v>1679</v>
      </c>
      <c r="BC397">
        <v>120</v>
      </c>
      <c r="BE397" s="7" t="s">
        <v>3348</v>
      </c>
      <c r="BF397" t="s">
        <v>49</v>
      </c>
      <c r="BH397">
        <v>300</v>
      </c>
      <c r="BI397" t="s">
        <v>241</v>
      </c>
      <c r="BS397" t="s">
        <v>1687</v>
      </c>
      <c r="CH397">
        <v>1615</v>
      </c>
      <c r="CI397">
        <v>1660</v>
      </c>
      <c r="CJ397">
        <v>940</v>
      </c>
      <c r="CK397">
        <v>1023</v>
      </c>
      <c r="CL397">
        <v>460</v>
      </c>
      <c r="CM397">
        <v>563</v>
      </c>
      <c r="CN397" s="2">
        <v>175</v>
      </c>
      <c r="CO397">
        <v>190</v>
      </c>
      <c r="CP397" s="2">
        <v>440</v>
      </c>
      <c r="CQ397">
        <v>465</v>
      </c>
      <c r="CR397">
        <v>1690</v>
      </c>
      <c r="CS397">
        <v>1788</v>
      </c>
      <c r="CT397">
        <v>870</v>
      </c>
      <c r="CU397">
        <v>988</v>
      </c>
      <c r="CV397" s="7">
        <v>105</v>
      </c>
      <c r="CW397" s="7">
        <v>145</v>
      </c>
    </row>
    <row r="398" spans="1:101" x14ac:dyDescent="0.25">
      <c r="A398" t="s">
        <v>1688</v>
      </c>
      <c r="B398" t="s">
        <v>1542</v>
      </c>
      <c r="C398" t="s">
        <v>214</v>
      </c>
      <c r="D398" t="s">
        <v>1689</v>
      </c>
      <c r="E398" t="s">
        <v>2148</v>
      </c>
      <c r="F398" t="s">
        <v>1676</v>
      </c>
      <c r="G398" t="s">
        <v>41</v>
      </c>
      <c r="H398">
        <v>1055341</v>
      </c>
      <c r="I398" t="s">
        <v>3692</v>
      </c>
      <c r="J398" t="s">
        <v>1677</v>
      </c>
      <c r="K398" t="s">
        <v>230</v>
      </c>
      <c r="L398" t="s">
        <v>44</v>
      </c>
      <c r="M398" s="7">
        <v>40</v>
      </c>
      <c r="N398" s="7">
        <v>43</v>
      </c>
      <c r="O398" s="7">
        <v>15.4</v>
      </c>
      <c r="P398" s="7">
        <v>13.9</v>
      </c>
      <c r="Q398">
        <v>50</v>
      </c>
      <c r="R398">
        <v>30</v>
      </c>
      <c r="U398">
        <v>1</v>
      </c>
      <c r="X398">
        <v>-7</v>
      </c>
      <c r="Y398">
        <v>48</v>
      </c>
      <c r="Z398">
        <v>-15</v>
      </c>
      <c r="AA398">
        <v>24</v>
      </c>
      <c r="AD398">
        <v>228</v>
      </c>
      <c r="AE398" t="s">
        <v>3600</v>
      </c>
      <c r="AF398" t="s">
        <v>3665</v>
      </c>
      <c r="AL398" t="s">
        <v>1678</v>
      </c>
      <c r="AN398" s="7">
        <v>9.52</v>
      </c>
      <c r="AO398" s="7">
        <v>19</v>
      </c>
      <c r="AP398" s="7">
        <v>33</v>
      </c>
      <c r="AQ398" t="s">
        <v>49</v>
      </c>
      <c r="AR398" t="s">
        <v>49</v>
      </c>
      <c r="AS398" t="s">
        <v>49</v>
      </c>
      <c r="AT398" t="s">
        <v>49</v>
      </c>
      <c r="AU398" t="s">
        <v>50</v>
      </c>
      <c r="AV398" s="7" t="s">
        <v>3022</v>
      </c>
      <c r="AW398" s="7" t="s">
        <v>3044</v>
      </c>
      <c r="AX398">
        <v>40</v>
      </c>
      <c r="BB398" t="s">
        <v>1679</v>
      </c>
      <c r="BC398">
        <v>120</v>
      </c>
      <c r="BE398" s="7" t="s">
        <v>3349</v>
      </c>
      <c r="BF398" t="s">
        <v>49</v>
      </c>
      <c r="BH398">
        <v>400</v>
      </c>
      <c r="BI398" t="s">
        <v>241</v>
      </c>
      <c r="BS398" t="s">
        <v>1690</v>
      </c>
      <c r="CH398">
        <v>1430</v>
      </c>
      <c r="CI398">
        <v>1475</v>
      </c>
      <c r="CJ398">
        <v>940</v>
      </c>
      <c r="CK398">
        <v>1023</v>
      </c>
      <c r="CL398">
        <v>320</v>
      </c>
      <c r="CM398">
        <v>423</v>
      </c>
      <c r="CN398" s="2">
        <v>120</v>
      </c>
      <c r="CO398">
        <v>130</v>
      </c>
      <c r="CP398" s="2">
        <v>650</v>
      </c>
      <c r="CQ398">
        <v>685</v>
      </c>
      <c r="CR398">
        <v>1680</v>
      </c>
      <c r="CS398">
        <v>1803</v>
      </c>
      <c r="CT398">
        <v>900</v>
      </c>
      <c r="CU398">
        <v>1023</v>
      </c>
      <c r="CV398" s="7">
        <v>165</v>
      </c>
      <c r="CW398" s="7">
        <v>210</v>
      </c>
    </row>
    <row r="399" spans="1:101" x14ac:dyDescent="0.25">
      <c r="A399" t="s">
        <v>1691</v>
      </c>
      <c r="B399" t="s">
        <v>1542</v>
      </c>
      <c r="C399" t="s">
        <v>214</v>
      </c>
      <c r="D399" t="s">
        <v>1692</v>
      </c>
      <c r="E399" t="s">
        <v>2149</v>
      </c>
      <c r="F399" t="s">
        <v>353</v>
      </c>
      <c r="G399" t="s">
        <v>41</v>
      </c>
      <c r="H399">
        <v>89000</v>
      </c>
      <c r="I399" t="s">
        <v>3694</v>
      </c>
      <c r="J399" t="s">
        <v>1693</v>
      </c>
      <c r="K399" t="s">
        <v>1694</v>
      </c>
      <c r="L399" t="s">
        <v>44</v>
      </c>
      <c r="M399" s="7" t="s">
        <v>2286</v>
      </c>
      <c r="N399" s="7" t="s">
        <v>2837</v>
      </c>
      <c r="O399" s="7" t="s">
        <v>2838</v>
      </c>
      <c r="P399" s="7" t="s">
        <v>2839</v>
      </c>
      <c r="Q399">
        <v>30</v>
      </c>
      <c r="R399">
        <v>15</v>
      </c>
      <c r="U399">
        <v>1</v>
      </c>
      <c r="X399">
        <v>-15</v>
      </c>
      <c r="Y399">
        <v>48</v>
      </c>
      <c r="Z399">
        <v>-15</v>
      </c>
      <c r="AA399">
        <v>24</v>
      </c>
      <c r="AD399">
        <v>16</v>
      </c>
      <c r="AG399" t="s">
        <v>2984</v>
      </c>
      <c r="AH399" t="s">
        <v>2938</v>
      </c>
      <c r="AL399" t="s">
        <v>785</v>
      </c>
      <c r="AN399" s="7">
        <v>6.35</v>
      </c>
      <c r="AO399" s="7">
        <v>9.52</v>
      </c>
      <c r="AP399" s="7">
        <v>25</v>
      </c>
      <c r="AQ399" t="s">
        <v>49</v>
      </c>
      <c r="AR399" t="s">
        <v>49</v>
      </c>
      <c r="AS399" t="s">
        <v>49</v>
      </c>
      <c r="AT399" t="s">
        <v>49</v>
      </c>
      <c r="AU399" t="s">
        <v>50</v>
      </c>
      <c r="AV399" s="7" t="s">
        <v>3043</v>
      </c>
      <c r="AW399" s="7" t="s">
        <v>3044</v>
      </c>
      <c r="AX399">
        <v>16</v>
      </c>
      <c r="BE399" s="7" t="s">
        <v>3350</v>
      </c>
      <c r="BF399" t="s">
        <v>49</v>
      </c>
      <c r="BH399">
        <v>35</v>
      </c>
      <c r="BI399" t="s">
        <v>120</v>
      </c>
      <c r="BS399" t="s">
        <v>1695</v>
      </c>
      <c r="CH399">
        <v>596</v>
      </c>
      <c r="CI399">
        <v>645</v>
      </c>
      <c r="CJ399">
        <v>818</v>
      </c>
      <c r="CK399">
        <v>948</v>
      </c>
      <c r="CL399">
        <v>302</v>
      </c>
      <c r="CM399">
        <v>420</v>
      </c>
      <c r="CN399" s="2">
        <v>38</v>
      </c>
      <c r="CO399">
        <v>41</v>
      </c>
      <c r="CP399" s="2">
        <v>265</v>
      </c>
      <c r="CQ399">
        <v>295</v>
      </c>
      <c r="CR399">
        <v>570</v>
      </c>
      <c r="CS399">
        <v>653</v>
      </c>
      <c r="CT399">
        <v>570</v>
      </c>
      <c r="CU399">
        <v>698</v>
      </c>
      <c r="CV399" s="7">
        <v>17</v>
      </c>
      <c r="CW399" s="7">
        <v>22</v>
      </c>
    </row>
    <row r="400" spans="1:101" x14ac:dyDescent="0.25">
      <c r="A400" t="s">
        <v>1696</v>
      </c>
      <c r="B400" t="s">
        <v>1542</v>
      </c>
      <c r="C400" t="s">
        <v>214</v>
      </c>
      <c r="D400" t="s">
        <v>1697</v>
      </c>
      <c r="E400" t="s">
        <v>2149</v>
      </c>
      <c r="F400" t="s">
        <v>353</v>
      </c>
      <c r="G400" t="s">
        <v>41</v>
      </c>
      <c r="H400">
        <v>103500</v>
      </c>
      <c r="I400" t="s">
        <v>3694</v>
      </c>
      <c r="J400" t="s">
        <v>1693</v>
      </c>
      <c r="K400" t="s">
        <v>1694</v>
      </c>
      <c r="L400" t="s">
        <v>44</v>
      </c>
      <c r="M400" s="7" t="s">
        <v>2387</v>
      </c>
      <c r="N400" s="7" t="s">
        <v>2840</v>
      </c>
      <c r="O400" s="7" t="s">
        <v>2841</v>
      </c>
      <c r="P400" s="7" t="s">
        <v>2824</v>
      </c>
      <c r="Q400">
        <v>35</v>
      </c>
      <c r="R400">
        <v>20</v>
      </c>
      <c r="U400">
        <v>1</v>
      </c>
      <c r="X400">
        <v>-15</v>
      </c>
      <c r="Y400">
        <v>48</v>
      </c>
      <c r="Z400">
        <v>-15</v>
      </c>
      <c r="AA400">
        <v>24</v>
      </c>
      <c r="AD400">
        <v>23</v>
      </c>
      <c r="AG400" t="s">
        <v>488</v>
      </c>
      <c r="AH400" t="s">
        <v>2938</v>
      </c>
      <c r="AL400" t="s">
        <v>785</v>
      </c>
      <c r="AN400" s="7">
        <v>6.35</v>
      </c>
      <c r="AO400" s="7">
        <v>12.7</v>
      </c>
      <c r="AP400" s="7">
        <v>25</v>
      </c>
      <c r="AQ400" t="s">
        <v>49</v>
      </c>
      <c r="AR400" t="s">
        <v>49</v>
      </c>
      <c r="AS400" t="s">
        <v>49</v>
      </c>
      <c r="AT400" t="s">
        <v>49</v>
      </c>
      <c r="AU400" t="s">
        <v>50</v>
      </c>
      <c r="AV400" s="7" t="s">
        <v>3043</v>
      </c>
      <c r="AW400" s="7" t="s">
        <v>3044</v>
      </c>
      <c r="AX400">
        <v>16</v>
      </c>
      <c r="BE400" s="7" t="s">
        <v>3351</v>
      </c>
      <c r="BF400" t="s">
        <v>49</v>
      </c>
      <c r="BH400">
        <v>50</v>
      </c>
      <c r="BI400" t="s">
        <v>120</v>
      </c>
      <c r="BS400" t="s">
        <v>1698</v>
      </c>
      <c r="CH400">
        <v>596</v>
      </c>
      <c r="CI400">
        <v>645</v>
      </c>
      <c r="CJ400">
        <v>818</v>
      </c>
      <c r="CK400">
        <v>948</v>
      </c>
      <c r="CL400">
        <v>302</v>
      </c>
      <c r="CM400">
        <v>420</v>
      </c>
      <c r="CN400" s="2">
        <v>41</v>
      </c>
      <c r="CO400">
        <v>44</v>
      </c>
      <c r="CP400" s="2">
        <v>265</v>
      </c>
      <c r="CQ400">
        <v>295</v>
      </c>
      <c r="CR400">
        <v>570</v>
      </c>
      <c r="CS400">
        <v>653</v>
      </c>
      <c r="CT400">
        <v>570</v>
      </c>
      <c r="CU400">
        <v>698</v>
      </c>
      <c r="CV400" s="7">
        <v>17</v>
      </c>
      <c r="CW400" s="7">
        <v>22</v>
      </c>
    </row>
    <row r="401" spans="1:101" x14ac:dyDescent="0.25">
      <c r="A401" t="s">
        <v>1699</v>
      </c>
      <c r="B401" t="s">
        <v>1542</v>
      </c>
      <c r="C401" t="s">
        <v>214</v>
      </c>
      <c r="D401" t="s">
        <v>1700</v>
      </c>
      <c r="E401" t="s">
        <v>2149</v>
      </c>
      <c r="F401" t="s">
        <v>353</v>
      </c>
      <c r="G401" t="s">
        <v>41</v>
      </c>
      <c r="H401">
        <v>130000</v>
      </c>
      <c r="I401" t="s">
        <v>3694</v>
      </c>
      <c r="J401" t="s">
        <v>1693</v>
      </c>
      <c r="K401" t="s">
        <v>1694</v>
      </c>
      <c r="L401" t="s">
        <v>44</v>
      </c>
      <c r="M401" s="7" t="s">
        <v>2388</v>
      </c>
      <c r="N401" s="7" t="s">
        <v>2842</v>
      </c>
      <c r="O401" s="7" t="s">
        <v>2843</v>
      </c>
      <c r="P401" s="7" t="s">
        <v>2844</v>
      </c>
      <c r="Q401">
        <v>50</v>
      </c>
      <c r="R401">
        <v>25</v>
      </c>
      <c r="U401">
        <v>1</v>
      </c>
      <c r="X401">
        <v>-15</v>
      </c>
      <c r="Y401">
        <v>48</v>
      </c>
      <c r="Z401">
        <v>-15</v>
      </c>
      <c r="AA401">
        <v>24</v>
      </c>
      <c r="AD401">
        <v>27</v>
      </c>
      <c r="AG401" t="s">
        <v>488</v>
      </c>
      <c r="AH401" t="s">
        <v>2938</v>
      </c>
      <c r="AL401" t="s">
        <v>785</v>
      </c>
      <c r="AN401" s="7">
        <v>9.52</v>
      </c>
      <c r="AO401" s="7">
        <v>15.87</v>
      </c>
      <c r="AP401" s="7">
        <v>25</v>
      </c>
      <c r="AQ401" t="s">
        <v>49</v>
      </c>
      <c r="AR401" t="s">
        <v>49</v>
      </c>
      <c r="AS401" t="s">
        <v>49</v>
      </c>
      <c r="AT401" t="s">
        <v>49</v>
      </c>
      <c r="AU401" t="s">
        <v>50</v>
      </c>
      <c r="AV401" s="7" t="s">
        <v>3045</v>
      </c>
      <c r="AW401" s="7" t="s">
        <v>3044</v>
      </c>
      <c r="AX401">
        <v>20</v>
      </c>
      <c r="BE401" s="7" t="s">
        <v>3352</v>
      </c>
      <c r="BF401" t="s">
        <v>49</v>
      </c>
      <c r="BH401">
        <v>70</v>
      </c>
      <c r="BI401" t="s">
        <v>120</v>
      </c>
      <c r="BS401" t="s">
        <v>1701</v>
      </c>
      <c r="CH401">
        <v>698</v>
      </c>
      <c r="CI401">
        <v>750</v>
      </c>
      <c r="CJ401">
        <v>892</v>
      </c>
      <c r="CK401">
        <v>1029</v>
      </c>
      <c r="CL401">
        <v>340</v>
      </c>
      <c r="CM401">
        <v>458</v>
      </c>
      <c r="CN401" s="2">
        <v>53</v>
      </c>
      <c r="CO401">
        <v>57</v>
      </c>
      <c r="CP401" s="2">
        <v>200</v>
      </c>
      <c r="CQ401">
        <v>245</v>
      </c>
      <c r="CR401">
        <v>840</v>
      </c>
      <c r="CS401">
        <v>923</v>
      </c>
      <c r="CT401">
        <v>840</v>
      </c>
      <c r="CU401">
        <v>943</v>
      </c>
      <c r="CV401" s="7">
        <v>23</v>
      </c>
      <c r="CW401" s="7">
        <v>30</v>
      </c>
    </row>
    <row r="402" spans="1:101" x14ac:dyDescent="0.25">
      <c r="A402" t="s">
        <v>1702</v>
      </c>
      <c r="B402" t="s">
        <v>1542</v>
      </c>
      <c r="C402" t="s">
        <v>214</v>
      </c>
      <c r="D402" t="s">
        <v>1703</v>
      </c>
      <c r="E402" t="s">
        <v>2149</v>
      </c>
      <c r="F402" t="s">
        <v>353</v>
      </c>
      <c r="G402" t="s">
        <v>41</v>
      </c>
      <c r="H402">
        <v>182700</v>
      </c>
      <c r="I402" t="s">
        <v>3694</v>
      </c>
      <c r="J402" t="s">
        <v>1693</v>
      </c>
      <c r="K402" t="s">
        <v>1694</v>
      </c>
      <c r="L402" t="s">
        <v>44</v>
      </c>
      <c r="M402" s="7" t="s">
        <v>2384</v>
      </c>
      <c r="N402" s="7" t="s">
        <v>2845</v>
      </c>
      <c r="O402" s="7" t="s">
        <v>2829</v>
      </c>
      <c r="P402" s="7" t="s">
        <v>2846</v>
      </c>
      <c r="Q402">
        <v>50</v>
      </c>
      <c r="R402">
        <v>25</v>
      </c>
      <c r="U402">
        <v>1</v>
      </c>
      <c r="X402">
        <v>-15</v>
      </c>
      <c r="Y402">
        <v>48</v>
      </c>
      <c r="Z402">
        <v>-15</v>
      </c>
      <c r="AA402">
        <v>24</v>
      </c>
      <c r="AD402">
        <v>46</v>
      </c>
      <c r="AG402" t="s">
        <v>2985</v>
      </c>
      <c r="AH402" t="s">
        <v>2938</v>
      </c>
      <c r="AL402" t="s">
        <v>785</v>
      </c>
      <c r="AN402" s="7">
        <v>9.52</v>
      </c>
      <c r="AO402" s="7">
        <v>15.87</v>
      </c>
      <c r="AP402" s="7">
        <v>25</v>
      </c>
      <c r="AQ402" t="s">
        <v>49</v>
      </c>
      <c r="AR402" t="s">
        <v>49</v>
      </c>
      <c r="AS402" t="s">
        <v>49</v>
      </c>
      <c r="AT402" t="s">
        <v>49</v>
      </c>
      <c r="AU402" t="s">
        <v>50</v>
      </c>
      <c r="AV402" s="7" t="s">
        <v>3045</v>
      </c>
      <c r="AW402" s="7" t="s">
        <v>3044</v>
      </c>
      <c r="AX402">
        <v>25</v>
      </c>
      <c r="BE402" s="7" t="s">
        <v>3353</v>
      </c>
      <c r="BF402" t="s">
        <v>49</v>
      </c>
      <c r="BH402">
        <v>101</v>
      </c>
      <c r="BI402" t="s">
        <v>120</v>
      </c>
      <c r="BS402" t="s">
        <v>1704</v>
      </c>
      <c r="CH402">
        <v>790</v>
      </c>
      <c r="CI402">
        <v>855</v>
      </c>
      <c r="CJ402">
        <v>920</v>
      </c>
      <c r="CK402">
        <v>1083</v>
      </c>
      <c r="CL402">
        <v>370</v>
      </c>
      <c r="CM402">
        <v>488</v>
      </c>
      <c r="CN402" s="2">
        <v>61</v>
      </c>
      <c r="CO402">
        <v>66</v>
      </c>
      <c r="CP402" s="2">
        <v>240</v>
      </c>
      <c r="CQ402">
        <v>325</v>
      </c>
      <c r="CR402">
        <v>840</v>
      </c>
      <c r="CS402">
        <v>963</v>
      </c>
      <c r="CT402">
        <v>840</v>
      </c>
      <c r="CU402">
        <v>963</v>
      </c>
      <c r="CV402" s="7">
        <v>31</v>
      </c>
      <c r="CW402" s="7">
        <v>38</v>
      </c>
    </row>
    <row r="403" spans="1:101" x14ac:dyDescent="0.25">
      <c r="A403" t="s">
        <v>1705</v>
      </c>
      <c r="B403" t="s">
        <v>1542</v>
      </c>
      <c r="C403" t="s">
        <v>214</v>
      </c>
      <c r="D403" t="s">
        <v>1706</v>
      </c>
      <c r="E403" t="s">
        <v>2149</v>
      </c>
      <c r="F403" t="s">
        <v>353</v>
      </c>
      <c r="G403" t="s">
        <v>41</v>
      </c>
      <c r="H403">
        <v>220700</v>
      </c>
      <c r="I403" t="s">
        <v>3694</v>
      </c>
      <c r="J403" t="s">
        <v>1693</v>
      </c>
      <c r="K403" t="s">
        <v>1694</v>
      </c>
      <c r="L403" t="s">
        <v>44</v>
      </c>
      <c r="M403" s="7" t="s">
        <v>2385</v>
      </c>
      <c r="N403" s="7" t="s">
        <v>2847</v>
      </c>
      <c r="O403" s="7" t="s">
        <v>2832</v>
      </c>
      <c r="P403" s="7" t="s">
        <v>2833</v>
      </c>
      <c r="Q403">
        <v>75</v>
      </c>
      <c r="R403">
        <v>30</v>
      </c>
      <c r="U403">
        <v>1</v>
      </c>
      <c r="X403">
        <v>-15</v>
      </c>
      <c r="Y403">
        <v>48</v>
      </c>
      <c r="Z403">
        <v>-15</v>
      </c>
      <c r="AA403">
        <v>24</v>
      </c>
      <c r="AD403">
        <v>80</v>
      </c>
      <c r="AG403" t="s">
        <v>2986</v>
      </c>
      <c r="AH403" t="s">
        <v>2981</v>
      </c>
      <c r="AL403" t="s">
        <v>785</v>
      </c>
      <c r="AN403" s="7">
        <v>9.52</v>
      </c>
      <c r="AO403" s="7">
        <v>15.87</v>
      </c>
      <c r="AP403" s="7">
        <v>25</v>
      </c>
      <c r="AQ403" t="s">
        <v>49</v>
      </c>
      <c r="AR403" t="s">
        <v>49</v>
      </c>
      <c r="AS403" t="s">
        <v>49</v>
      </c>
      <c r="AT403" t="s">
        <v>49</v>
      </c>
      <c r="AU403" t="s">
        <v>50</v>
      </c>
      <c r="AV403" s="7" t="s">
        <v>3046</v>
      </c>
      <c r="AW403" s="7" t="s">
        <v>3044</v>
      </c>
      <c r="AX403">
        <v>16</v>
      </c>
      <c r="BE403" s="7" t="s">
        <v>3344</v>
      </c>
      <c r="BF403" t="s">
        <v>49</v>
      </c>
      <c r="BH403">
        <v>140</v>
      </c>
      <c r="BI403" t="s">
        <v>1707</v>
      </c>
      <c r="BS403" t="s">
        <v>1708</v>
      </c>
      <c r="CH403">
        <v>820</v>
      </c>
      <c r="CI403">
        <v>973</v>
      </c>
      <c r="CJ403">
        <v>940</v>
      </c>
      <c r="CK403">
        <v>1083</v>
      </c>
      <c r="CL403">
        <v>460</v>
      </c>
      <c r="CM403">
        <v>573</v>
      </c>
      <c r="CN403" s="2">
        <v>96</v>
      </c>
      <c r="CO403">
        <v>108</v>
      </c>
      <c r="CP403" s="2">
        <v>290</v>
      </c>
      <c r="CQ403">
        <v>379</v>
      </c>
      <c r="CR403">
        <v>840</v>
      </c>
      <c r="CS403">
        <v>963</v>
      </c>
      <c r="CT403">
        <v>840</v>
      </c>
      <c r="CU403">
        <v>963</v>
      </c>
      <c r="CV403" s="7">
        <v>33</v>
      </c>
      <c r="CW403" s="7">
        <v>41</v>
      </c>
    </row>
    <row r="404" spans="1:101" x14ac:dyDescent="0.25">
      <c r="A404" t="s">
        <v>1709</v>
      </c>
      <c r="B404" t="s">
        <v>1542</v>
      </c>
      <c r="C404" t="s">
        <v>214</v>
      </c>
      <c r="D404" t="s">
        <v>1710</v>
      </c>
      <c r="E404" t="s">
        <v>2149</v>
      </c>
      <c r="F404" t="s">
        <v>353</v>
      </c>
      <c r="G404" t="s">
        <v>41</v>
      </c>
      <c r="H404">
        <v>241000</v>
      </c>
      <c r="I404" t="s">
        <v>3694</v>
      </c>
      <c r="J404" t="s">
        <v>1693</v>
      </c>
      <c r="K404" t="s">
        <v>1694</v>
      </c>
      <c r="L404" t="s">
        <v>44</v>
      </c>
      <c r="M404" s="7" t="s">
        <v>2389</v>
      </c>
      <c r="N404" s="7" t="s">
        <v>2834</v>
      </c>
      <c r="O404" s="7" t="s">
        <v>2848</v>
      </c>
      <c r="P404" s="7" t="s">
        <v>2849</v>
      </c>
      <c r="Q404">
        <v>75</v>
      </c>
      <c r="R404">
        <v>30</v>
      </c>
      <c r="U404">
        <v>1</v>
      </c>
      <c r="X404">
        <v>-15</v>
      </c>
      <c r="Y404">
        <v>48</v>
      </c>
      <c r="Z404">
        <v>-15</v>
      </c>
      <c r="AA404">
        <v>24</v>
      </c>
      <c r="AD404">
        <v>95</v>
      </c>
      <c r="AG404" t="s">
        <v>2980</v>
      </c>
      <c r="AH404" t="s">
        <v>2987</v>
      </c>
      <c r="AL404" t="s">
        <v>785</v>
      </c>
      <c r="AN404" s="7">
        <v>9.52</v>
      </c>
      <c r="AO404" s="7">
        <v>15.87</v>
      </c>
      <c r="AP404" s="7">
        <v>25</v>
      </c>
      <c r="AQ404" t="s">
        <v>49</v>
      </c>
      <c r="AR404" t="s">
        <v>49</v>
      </c>
      <c r="AS404" t="s">
        <v>49</v>
      </c>
      <c r="AT404" t="s">
        <v>49</v>
      </c>
      <c r="AU404" t="s">
        <v>50</v>
      </c>
      <c r="AV404" s="7" t="s">
        <v>3046</v>
      </c>
      <c r="AW404" s="7" t="s">
        <v>3044</v>
      </c>
      <c r="AX404">
        <v>16</v>
      </c>
      <c r="BE404" s="7" t="s">
        <v>3354</v>
      </c>
      <c r="BF404" t="s">
        <v>49</v>
      </c>
      <c r="BH404">
        <v>150</v>
      </c>
      <c r="BI404" t="s">
        <v>241</v>
      </c>
      <c r="BS404" t="s">
        <v>1711</v>
      </c>
      <c r="CH404">
        <v>820</v>
      </c>
      <c r="CI404">
        <v>973</v>
      </c>
      <c r="CJ404">
        <v>940</v>
      </c>
      <c r="CK404">
        <v>1083</v>
      </c>
      <c r="CL404">
        <v>460</v>
      </c>
      <c r="CM404">
        <v>573</v>
      </c>
      <c r="CN404" s="2">
        <v>100</v>
      </c>
      <c r="CO404">
        <v>112</v>
      </c>
      <c r="CP404" s="2">
        <v>290</v>
      </c>
      <c r="CQ404">
        <v>379</v>
      </c>
      <c r="CR404">
        <v>840</v>
      </c>
      <c r="CS404">
        <v>963</v>
      </c>
      <c r="CT404">
        <v>840</v>
      </c>
      <c r="CU404">
        <v>963</v>
      </c>
      <c r="CV404" s="7">
        <v>36</v>
      </c>
      <c r="CW404" s="7">
        <v>44</v>
      </c>
    </row>
    <row r="405" spans="1:101" x14ac:dyDescent="0.25">
      <c r="A405" t="s">
        <v>1712</v>
      </c>
      <c r="B405" t="s">
        <v>1542</v>
      </c>
      <c r="C405" t="s">
        <v>214</v>
      </c>
      <c r="D405" t="s">
        <v>1713</v>
      </c>
      <c r="E405" t="s">
        <v>2150</v>
      </c>
      <c r="F405" t="s">
        <v>903</v>
      </c>
      <c r="G405" t="s">
        <v>41</v>
      </c>
      <c r="H405">
        <v>102700</v>
      </c>
      <c r="I405" t="s">
        <v>3695</v>
      </c>
      <c r="J405" t="s">
        <v>1714</v>
      </c>
      <c r="K405" t="s">
        <v>1715</v>
      </c>
      <c r="L405" t="s">
        <v>44</v>
      </c>
      <c r="M405" s="7" t="s">
        <v>2390</v>
      </c>
      <c r="N405" s="7" t="s">
        <v>2822</v>
      </c>
      <c r="O405" s="7" t="s">
        <v>2850</v>
      </c>
      <c r="P405" s="7" t="s">
        <v>2851</v>
      </c>
      <c r="Q405">
        <v>35</v>
      </c>
      <c r="R405">
        <v>20</v>
      </c>
      <c r="U405">
        <v>1</v>
      </c>
      <c r="X405">
        <v>-15</v>
      </c>
      <c r="Y405">
        <v>48</v>
      </c>
      <c r="Z405">
        <v>-15</v>
      </c>
      <c r="AA405">
        <v>24</v>
      </c>
      <c r="AD405">
        <v>23</v>
      </c>
      <c r="AG405" t="s">
        <v>2943</v>
      </c>
      <c r="AH405" t="s">
        <v>2938</v>
      </c>
      <c r="AL405" t="s">
        <v>785</v>
      </c>
      <c r="AN405" s="7">
        <v>6.35</v>
      </c>
      <c r="AO405" s="7">
        <v>12.7</v>
      </c>
      <c r="AP405" s="7">
        <v>25</v>
      </c>
      <c r="AQ405" t="s">
        <v>49</v>
      </c>
      <c r="AR405" t="s">
        <v>49</v>
      </c>
      <c r="AS405" t="s">
        <v>49</v>
      </c>
      <c r="AT405" t="s">
        <v>49</v>
      </c>
      <c r="AU405" t="s">
        <v>50</v>
      </c>
      <c r="AV405" s="7" t="s">
        <v>3043</v>
      </c>
      <c r="AW405" s="7" t="s">
        <v>3044</v>
      </c>
      <c r="AX405">
        <v>16</v>
      </c>
      <c r="BE405" s="7" t="s">
        <v>3355</v>
      </c>
      <c r="BF405" t="s">
        <v>49</v>
      </c>
      <c r="BH405">
        <v>52</v>
      </c>
      <c r="BI405" t="s">
        <v>120</v>
      </c>
      <c r="BS405" t="s">
        <v>1716</v>
      </c>
      <c r="CH405">
        <v>596</v>
      </c>
      <c r="CI405">
        <v>645</v>
      </c>
      <c r="CJ405">
        <v>818</v>
      </c>
      <c r="CK405">
        <v>948</v>
      </c>
      <c r="CL405">
        <v>302</v>
      </c>
      <c r="CM405">
        <v>420</v>
      </c>
      <c r="CN405" s="2">
        <v>41</v>
      </c>
      <c r="CO405">
        <v>44</v>
      </c>
      <c r="CP405" s="2">
        <v>665</v>
      </c>
      <c r="CQ405">
        <v>770</v>
      </c>
      <c r="CR405">
        <v>870</v>
      </c>
      <c r="CS405">
        <v>1033</v>
      </c>
      <c r="CT405">
        <v>235</v>
      </c>
      <c r="CU405">
        <v>300</v>
      </c>
      <c r="CV405" s="7">
        <v>26</v>
      </c>
      <c r="CW405" s="7">
        <v>31</v>
      </c>
    </row>
    <row r="406" spans="1:101" x14ac:dyDescent="0.25">
      <c r="A406" t="s">
        <v>1717</v>
      </c>
      <c r="B406" t="s">
        <v>1542</v>
      </c>
      <c r="C406" t="s">
        <v>214</v>
      </c>
      <c r="D406" t="s">
        <v>1718</v>
      </c>
      <c r="E406" t="s">
        <v>2150</v>
      </c>
      <c r="F406" t="s">
        <v>903</v>
      </c>
      <c r="G406" t="s">
        <v>41</v>
      </c>
      <c r="H406">
        <v>124800</v>
      </c>
      <c r="I406" t="s">
        <v>3695</v>
      </c>
      <c r="J406" t="s">
        <v>1714</v>
      </c>
      <c r="K406" t="s">
        <v>1715</v>
      </c>
      <c r="L406" t="s">
        <v>44</v>
      </c>
      <c r="M406" s="7" t="s">
        <v>2391</v>
      </c>
      <c r="N406" s="7" t="s">
        <v>2852</v>
      </c>
      <c r="O406" s="7" t="s">
        <v>2853</v>
      </c>
      <c r="P406" s="7" t="s">
        <v>2854</v>
      </c>
      <c r="Q406">
        <v>50</v>
      </c>
      <c r="R406">
        <v>25</v>
      </c>
      <c r="U406">
        <v>1</v>
      </c>
      <c r="X406">
        <v>-15</v>
      </c>
      <c r="Y406">
        <v>48</v>
      </c>
      <c r="Z406">
        <v>-15</v>
      </c>
      <c r="AA406">
        <v>24</v>
      </c>
      <c r="AD406">
        <v>27</v>
      </c>
      <c r="AG406" t="s">
        <v>2980</v>
      </c>
      <c r="AH406" t="s">
        <v>2938</v>
      </c>
      <c r="AL406" t="s">
        <v>785</v>
      </c>
      <c r="AN406" s="7">
        <v>9.52</v>
      </c>
      <c r="AO406" s="7">
        <v>15.87</v>
      </c>
      <c r="AP406" s="7">
        <v>25</v>
      </c>
      <c r="AQ406" t="s">
        <v>49</v>
      </c>
      <c r="AR406" t="s">
        <v>49</v>
      </c>
      <c r="AS406" t="s">
        <v>49</v>
      </c>
      <c r="AT406" t="s">
        <v>49</v>
      </c>
      <c r="AU406" t="s">
        <v>50</v>
      </c>
      <c r="AV406" s="7" t="s">
        <v>3045</v>
      </c>
      <c r="AW406" s="7" t="s">
        <v>3044</v>
      </c>
      <c r="AX406">
        <v>20</v>
      </c>
      <c r="BE406" s="7" t="s">
        <v>3356</v>
      </c>
      <c r="BF406" t="s">
        <v>49</v>
      </c>
      <c r="BH406">
        <v>72</v>
      </c>
      <c r="BI406" t="s">
        <v>120</v>
      </c>
      <c r="BS406" t="s">
        <v>1719</v>
      </c>
      <c r="CH406">
        <v>698</v>
      </c>
      <c r="CI406">
        <v>750</v>
      </c>
      <c r="CJ406">
        <v>892</v>
      </c>
      <c r="CK406">
        <v>1029</v>
      </c>
      <c r="CL406">
        <v>340</v>
      </c>
      <c r="CM406">
        <v>458</v>
      </c>
      <c r="CN406" s="2">
        <v>53</v>
      </c>
      <c r="CO406">
        <v>57</v>
      </c>
      <c r="CP406" s="2">
        <v>665</v>
      </c>
      <c r="CQ406">
        <v>770</v>
      </c>
      <c r="CR406">
        <v>870</v>
      </c>
      <c r="CS406">
        <v>1033</v>
      </c>
      <c r="CT406">
        <v>235</v>
      </c>
      <c r="CU406">
        <v>300</v>
      </c>
      <c r="CV406" s="7">
        <v>26</v>
      </c>
      <c r="CW406" s="7">
        <v>31</v>
      </c>
    </row>
    <row r="407" spans="1:101" x14ac:dyDescent="0.25">
      <c r="A407" t="s">
        <v>1720</v>
      </c>
      <c r="B407" t="s">
        <v>1542</v>
      </c>
      <c r="C407" t="s">
        <v>214</v>
      </c>
      <c r="D407" t="s">
        <v>1721</v>
      </c>
      <c r="E407" t="s">
        <v>2150</v>
      </c>
      <c r="F407" t="s">
        <v>903</v>
      </c>
      <c r="G407" t="s">
        <v>41</v>
      </c>
      <c r="H407">
        <v>176600</v>
      </c>
      <c r="I407" t="s">
        <v>3695</v>
      </c>
      <c r="J407" t="s">
        <v>1714</v>
      </c>
      <c r="K407" t="s">
        <v>1715</v>
      </c>
      <c r="L407" t="s">
        <v>44</v>
      </c>
      <c r="M407" s="7" t="s">
        <v>2392</v>
      </c>
      <c r="N407" s="7" t="s">
        <v>2828</v>
      </c>
      <c r="O407" s="7" t="s">
        <v>2829</v>
      </c>
      <c r="P407" s="7" t="s">
        <v>2830</v>
      </c>
      <c r="Q407">
        <v>50</v>
      </c>
      <c r="R407">
        <v>25</v>
      </c>
      <c r="U407">
        <v>1</v>
      </c>
      <c r="X407">
        <v>-15</v>
      </c>
      <c r="Y407">
        <v>48</v>
      </c>
      <c r="Z407">
        <v>-15</v>
      </c>
      <c r="AA407">
        <v>24</v>
      </c>
      <c r="AD407">
        <v>46</v>
      </c>
      <c r="AG407" t="s">
        <v>2984</v>
      </c>
      <c r="AH407" t="s">
        <v>2938</v>
      </c>
      <c r="AL407" t="s">
        <v>785</v>
      </c>
      <c r="AN407" s="7">
        <v>9.52</v>
      </c>
      <c r="AO407" s="7">
        <v>15.87</v>
      </c>
      <c r="AP407" s="7">
        <v>25</v>
      </c>
      <c r="AQ407" t="s">
        <v>49</v>
      </c>
      <c r="AR407" t="s">
        <v>49</v>
      </c>
      <c r="AS407" t="s">
        <v>49</v>
      </c>
      <c r="AT407" t="s">
        <v>49</v>
      </c>
      <c r="AU407" t="s">
        <v>50</v>
      </c>
      <c r="AV407" s="7" t="s">
        <v>3045</v>
      </c>
      <c r="AW407" s="7" t="s">
        <v>3044</v>
      </c>
      <c r="AX407">
        <v>25</v>
      </c>
      <c r="BE407" s="7" t="s">
        <v>3343</v>
      </c>
      <c r="BF407" t="s">
        <v>49</v>
      </c>
      <c r="BH407">
        <v>100</v>
      </c>
      <c r="BI407" t="s">
        <v>120</v>
      </c>
      <c r="BS407" t="s">
        <v>1722</v>
      </c>
      <c r="CH407">
        <v>790</v>
      </c>
      <c r="CI407">
        <v>855</v>
      </c>
      <c r="CJ407">
        <v>920</v>
      </c>
      <c r="CK407">
        <v>1083</v>
      </c>
      <c r="CL407">
        <v>370</v>
      </c>
      <c r="CM407">
        <v>488</v>
      </c>
      <c r="CN407" s="2">
        <v>61</v>
      </c>
      <c r="CO407">
        <v>66</v>
      </c>
      <c r="CP407" s="2">
        <v>665</v>
      </c>
      <c r="CQ407">
        <v>770</v>
      </c>
      <c r="CR407">
        <v>1200</v>
      </c>
      <c r="CS407">
        <v>1363</v>
      </c>
      <c r="CT407">
        <v>235</v>
      </c>
      <c r="CU407">
        <v>300</v>
      </c>
      <c r="CV407" s="7">
        <v>32</v>
      </c>
      <c r="CW407" s="7">
        <v>38</v>
      </c>
    </row>
    <row r="408" spans="1:101" x14ac:dyDescent="0.25">
      <c r="A408" t="s">
        <v>1723</v>
      </c>
      <c r="B408" t="s">
        <v>1542</v>
      </c>
      <c r="C408" t="s">
        <v>214</v>
      </c>
      <c r="D408" t="s">
        <v>1724</v>
      </c>
      <c r="E408" t="s">
        <v>2150</v>
      </c>
      <c r="F408" t="s">
        <v>903</v>
      </c>
      <c r="G408" t="s">
        <v>41</v>
      </c>
      <c r="H408">
        <v>218200</v>
      </c>
      <c r="I408" t="s">
        <v>3695</v>
      </c>
      <c r="J408" t="s">
        <v>1714</v>
      </c>
      <c r="K408" t="s">
        <v>1715</v>
      </c>
      <c r="L408" t="s">
        <v>44</v>
      </c>
      <c r="M408" s="7" t="s">
        <v>2385</v>
      </c>
      <c r="N408" s="7" t="s">
        <v>2831</v>
      </c>
      <c r="O408" s="7" t="s">
        <v>2855</v>
      </c>
      <c r="P408" s="7" t="s">
        <v>2833</v>
      </c>
      <c r="Q408">
        <v>75</v>
      </c>
      <c r="R408">
        <v>30</v>
      </c>
      <c r="U408">
        <v>1</v>
      </c>
      <c r="X408">
        <v>-15</v>
      </c>
      <c r="Y408">
        <v>48</v>
      </c>
      <c r="Z408">
        <v>-15</v>
      </c>
      <c r="AA408">
        <v>24</v>
      </c>
      <c r="AD408">
        <v>80</v>
      </c>
      <c r="AG408" t="s">
        <v>2980</v>
      </c>
      <c r="AH408" t="s">
        <v>2981</v>
      </c>
      <c r="AL408" t="s">
        <v>785</v>
      </c>
      <c r="AN408" s="7">
        <v>9.52</v>
      </c>
      <c r="AO408" s="7">
        <v>15.87</v>
      </c>
      <c r="AP408" s="7">
        <v>25</v>
      </c>
      <c r="AQ408" t="s">
        <v>49</v>
      </c>
      <c r="AR408" t="s">
        <v>49</v>
      </c>
      <c r="AS408" t="s">
        <v>49</v>
      </c>
      <c r="AT408" t="s">
        <v>49</v>
      </c>
      <c r="AU408" t="s">
        <v>50</v>
      </c>
      <c r="AV408" s="7" t="s">
        <v>3046</v>
      </c>
      <c r="AW408" s="7" t="s">
        <v>3044</v>
      </c>
      <c r="AX408">
        <v>16</v>
      </c>
      <c r="BE408" s="7" t="s">
        <v>3357</v>
      </c>
      <c r="BF408" t="s">
        <v>49</v>
      </c>
      <c r="BH408">
        <v>140</v>
      </c>
      <c r="BI408" t="s">
        <v>241</v>
      </c>
      <c r="BS408" t="s">
        <v>1725</v>
      </c>
      <c r="CH408">
        <v>820</v>
      </c>
      <c r="CI408">
        <v>973</v>
      </c>
      <c r="CJ408">
        <v>940</v>
      </c>
      <c r="CK408">
        <v>1083</v>
      </c>
      <c r="CL408">
        <v>460</v>
      </c>
      <c r="CM408">
        <v>573</v>
      </c>
      <c r="CN408" s="2">
        <v>96</v>
      </c>
      <c r="CO408">
        <v>108</v>
      </c>
      <c r="CP408" s="2">
        <v>665</v>
      </c>
      <c r="CQ408">
        <v>770</v>
      </c>
      <c r="CR408">
        <v>1570</v>
      </c>
      <c r="CS408">
        <v>1729</v>
      </c>
      <c r="CT408">
        <v>235</v>
      </c>
      <c r="CU408">
        <v>300</v>
      </c>
      <c r="CV408" s="7">
        <v>40</v>
      </c>
      <c r="CW408" s="7">
        <v>47</v>
      </c>
    </row>
    <row r="409" spans="1:101" x14ac:dyDescent="0.25">
      <c r="A409" t="s">
        <v>1726</v>
      </c>
      <c r="B409" t="s">
        <v>1542</v>
      </c>
      <c r="C409" t="s">
        <v>214</v>
      </c>
      <c r="D409" t="s">
        <v>1727</v>
      </c>
      <c r="E409" t="s">
        <v>2150</v>
      </c>
      <c r="F409" t="s">
        <v>903</v>
      </c>
      <c r="G409" t="s">
        <v>41</v>
      </c>
      <c r="H409">
        <v>234500</v>
      </c>
      <c r="I409" t="s">
        <v>3695</v>
      </c>
      <c r="J409" t="s">
        <v>1714</v>
      </c>
      <c r="K409" t="s">
        <v>1715</v>
      </c>
      <c r="L409" t="s">
        <v>44</v>
      </c>
      <c r="M409" s="7" t="s">
        <v>2393</v>
      </c>
      <c r="N409" s="7" t="s">
        <v>2834</v>
      </c>
      <c r="O409" s="7" t="s">
        <v>2848</v>
      </c>
      <c r="P409" s="7" t="s">
        <v>2836</v>
      </c>
      <c r="Q409">
        <v>75</v>
      </c>
      <c r="R409">
        <v>30</v>
      </c>
      <c r="U409">
        <v>1</v>
      </c>
      <c r="X409">
        <v>-15</v>
      </c>
      <c r="Y409">
        <v>48</v>
      </c>
      <c r="Z409">
        <v>-15</v>
      </c>
      <c r="AA409">
        <v>24</v>
      </c>
      <c r="AD409">
        <v>95</v>
      </c>
      <c r="AG409" t="s">
        <v>2946</v>
      </c>
      <c r="AH409" t="s">
        <v>2938</v>
      </c>
      <c r="AL409" t="s">
        <v>785</v>
      </c>
      <c r="AN409" s="7">
        <v>9.52</v>
      </c>
      <c r="AO409" s="7">
        <v>15.87</v>
      </c>
      <c r="AP409" s="7">
        <v>25</v>
      </c>
      <c r="AQ409" t="s">
        <v>49</v>
      </c>
      <c r="AR409" t="s">
        <v>49</v>
      </c>
      <c r="AS409" t="s">
        <v>49</v>
      </c>
      <c r="AT409" t="s">
        <v>49</v>
      </c>
      <c r="AU409" t="s">
        <v>50</v>
      </c>
      <c r="AV409" s="7" t="s">
        <v>3046</v>
      </c>
      <c r="AW409" s="7" t="s">
        <v>3044</v>
      </c>
      <c r="AX409">
        <v>16</v>
      </c>
      <c r="BE409" s="7" t="s">
        <v>3358</v>
      </c>
      <c r="BF409" t="s">
        <v>49</v>
      </c>
      <c r="BH409">
        <v>154</v>
      </c>
      <c r="BI409" t="s">
        <v>241</v>
      </c>
      <c r="BS409" t="s">
        <v>1728</v>
      </c>
      <c r="CH409">
        <v>820</v>
      </c>
      <c r="CI409">
        <v>973</v>
      </c>
      <c r="CJ409">
        <v>940</v>
      </c>
      <c r="CK409">
        <v>1083</v>
      </c>
      <c r="CL409">
        <v>460</v>
      </c>
      <c r="CM409">
        <v>573</v>
      </c>
      <c r="CN409" s="2">
        <v>100</v>
      </c>
      <c r="CO409">
        <v>112</v>
      </c>
      <c r="CP409" s="2">
        <v>665</v>
      </c>
      <c r="CQ409">
        <v>770</v>
      </c>
      <c r="CR409">
        <v>1570</v>
      </c>
      <c r="CS409">
        <v>1729</v>
      </c>
      <c r="CT409">
        <v>235</v>
      </c>
      <c r="CU409">
        <v>300</v>
      </c>
      <c r="CV409" s="7">
        <v>42</v>
      </c>
      <c r="CW409" s="7">
        <v>49</v>
      </c>
    </row>
    <row r="410" spans="1:101" x14ac:dyDescent="0.25">
      <c r="A410" t="s">
        <v>1734</v>
      </c>
      <c r="B410" t="s">
        <v>1542</v>
      </c>
      <c r="C410" t="s">
        <v>214</v>
      </c>
      <c r="D410" t="s">
        <v>1735</v>
      </c>
      <c r="E410" t="s">
        <v>2148</v>
      </c>
      <c r="F410" t="s">
        <v>1729</v>
      </c>
      <c r="G410" t="s">
        <v>41</v>
      </c>
      <c r="H410">
        <v>113040</v>
      </c>
      <c r="I410" t="s">
        <v>3696</v>
      </c>
      <c r="J410" t="s">
        <v>1730</v>
      </c>
      <c r="K410" t="s">
        <v>1731</v>
      </c>
      <c r="L410" t="s">
        <v>49</v>
      </c>
      <c r="M410" s="7">
        <v>12</v>
      </c>
      <c r="N410" s="7">
        <v>14.8</v>
      </c>
      <c r="O410" s="7">
        <v>4.2</v>
      </c>
      <c r="P410" s="7">
        <v>4.2</v>
      </c>
      <c r="Q410">
        <v>50</v>
      </c>
      <c r="R410">
        <v>30</v>
      </c>
      <c r="U410">
        <v>1</v>
      </c>
      <c r="V410">
        <v>58</v>
      </c>
      <c r="W410">
        <v>58</v>
      </c>
      <c r="X410">
        <v>-15</v>
      </c>
      <c r="Y410">
        <v>48</v>
      </c>
      <c r="Z410">
        <v>-15</v>
      </c>
      <c r="AA410">
        <v>24</v>
      </c>
      <c r="AL410" t="s">
        <v>785</v>
      </c>
      <c r="AN410" s="7">
        <v>9.52</v>
      </c>
      <c r="AO410" s="7">
        <v>15.8</v>
      </c>
      <c r="AP410" s="7">
        <v>25</v>
      </c>
      <c r="AQ410" t="s">
        <v>49</v>
      </c>
      <c r="AR410" t="s">
        <v>49</v>
      </c>
      <c r="AS410" t="s">
        <v>49</v>
      </c>
      <c r="AT410" t="s">
        <v>49</v>
      </c>
      <c r="AU410" t="s">
        <v>50</v>
      </c>
      <c r="AV410" s="7" t="s">
        <v>3022</v>
      </c>
      <c r="AW410" s="7" t="s">
        <v>3044</v>
      </c>
      <c r="AX410">
        <v>20</v>
      </c>
      <c r="BE410" s="7">
        <v>40002</v>
      </c>
      <c r="BF410" t="s">
        <v>49</v>
      </c>
      <c r="BI410" t="s">
        <v>241</v>
      </c>
      <c r="BK410">
        <v>820</v>
      </c>
      <c r="BL410">
        <v>460</v>
      </c>
      <c r="BM410">
        <v>940</v>
      </c>
      <c r="BN410">
        <v>97</v>
      </c>
      <c r="BO410">
        <v>108</v>
      </c>
      <c r="BP410">
        <v>973</v>
      </c>
      <c r="BQ410">
        <v>573</v>
      </c>
      <c r="BR410">
        <v>1083</v>
      </c>
    </row>
    <row r="411" spans="1:101" x14ac:dyDescent="0.25">
      <c r="A411" t="s">
        <v>1736</v>
      </c>
      <c r="B411" t="s">
        <v>1542</v>
      </c>
      <c r="C411" t="s">
        <v>214</v>
      </c>
      <c r="D411" t="s">
        <v>1737</v>
      </c>
      <c r="E411" t="s">
        <v>2148</v>
      </c>
      <c r="F411" t="s">
        <v>1729</v>
      </c>
      <c r="G411" t="s">
        <v>41</v>
      </c>
      <c r="H411">
        <v>103920</v>
      </c>
      <c r="I411" t="s">
        <v>3696</v>
      </c>
      <c r="J411" t="s">
        <v>1738</v>
      </c>
      <c r="K411" t="s">
        <v>1739</v>
      </c>
      <c r="L411" t="s">
        <v>49</v>
      </c>
      <c r="M411" s="7">
        <v>7</v>
      </c>
      <c r="N411" s="7">
        <v>7.4</v>
      </c>
      <c r="O411" s="7">
        <v>2.5</v>
      </c>
      <c r="P411" s="7">
        <v>2.2999999999999998</v>
      </c>
      <c r="Q411">
        <v>30</v>
      </c>
      <c r="R411">
        <v>15</v>
      </c>
      <c r="U411">
        <v>1</v>
      </c>
      <c r="X411">
        <v>-15</v>
      </c>
      <c r="Y411">
        <v>43</v>
      </c>
      <c r="Z411">
        <v>-15</v>
      </c>
      <c r="AA411">
        <v>24</v>
      </c>
      <c r="AC411" t="s">
        <v>1740</v>
      </c>
      <c r="AD411">
        <v>40</v>
      </c>
      <c r="AE411" t="s">
        <v>3508</v>
      </c>
      <c r="AF411" t="s">
        <v>3697</v>
      </c>
      <c r="AI411" t="s">
        <v>1741</v>
      </c>
      <c r="AJ411">
        <v>220</v>
      </c>
      <c r="AK411" t="s">
        <v>1742</v>
      </c>
      <c r="AL411" t="s">
        <v>785</v>
      </c>
      <c r="AM411">
        <v>220</v>
      </c>
      <c r="AN411" s="7">
        <v>9.52</v>
      </c>
      <c r="AO411" s="7">
        <v>15.8</v>
      </c>
      <c r="AP411" s="7" t="s">
        <v>1732</v>
      </c>
      <c r="AQ411" t="s">
        <v>49</v>
      </c>
      <c r="AR411" t="s">
        <v>49</v>
      </c>
      <c r="AS411" t="s">
        <v>44</v>
      </c>
      <c r="AT411" t="s">
        <v>44</v>
      </c>
      <c r="AU411" t="s">
        <v>50</v>
      </c>
      <c r="AV411" s="7" t="s">
        <v>3021</v>
      </c>
      <c r="AW411" s="7" t="s">
        <v>3044</v>
      </c>
      <c r="AX411">
        <v>25</v>
      </c>
      <c r="BB411" t="s">
        <v>1743</v>
      </c>
      <c r="BC411">
        <v>25</v>
      </c>
      <c r="BE411" s="7" t="s">
        <v>3359</v>
      </c>
      <c r="BF411" t="s">
        <v>49</v>
      </c>
      <c r="BH411">
        <v>66</v>
      </c>
      <c r="BI411" t="s">
        <v>120</v>
      </c>
      <c r="BS411" t="s">
        <v>1744</v>
      </c>
      <c r="CP411" s="2">
        <v>270</v>
      </c>
      <c r="CQ411">
        <v>283</v>
      </c>
      <c r="CR411">
        <v>1260</v>
      </c>
      <c r="CS411">
        <v>1348</v>
      </c>
      <c r="CT411">
        <v>555</v>
      </c>
      <c r="CU411">
        <v>597</v>
      </c>
      <c r="CV411" s="7">
        <v>33</v>
      </c>
      <c r="CW411" s="7">
        <v>38</v>
      </c>
    </row>
    <row r="412" spans="1:101" x14ac:dyDescent="0.25">
      <c r="A412" t="s">
        <v>1745</v>
      </c>
      <c r="B412" t="s">
        <v>1542</v>
      </c>
      <c r="C412" t="s">
        <v>214</v>
      </c>
      <c r="D412" t="s">
        <v>1746</v>
      </c>
      <c r="E412" t="s">
        <v>2148</v>
      </c>
      <c r="F412" t="s">
        <v>1729</v>
      </c>
      <c r="G412" t="s">
        <v>41</v>
      </c>
      <c r="H412">
        <v>137600</v>
      </c>
      <c r="I412" t="s">
        <v>3696</v>
      </c>
      <c r="J412" t="s">
        <v>1747</v>
      </c>
      <c r="K412" t="s">
        <v>1748</v>
      </c>
      <c r="L412" t="s">
        <v>49</v>
      </c>
      <c r="M412" s="7">
        <v>10.1</v>
      </c>
      <c r="N412" s="7">
        <v>12</v>
      </c>
      <c r="O412" s="7">
        <v>3.2</v>
      </c>
      <c r="P412" s="7">
        <v>3.2</v>
      </c>
      <c r="Q412">
        <v>30</v>
      </c>
      <c r="R412">
        <v>20</v>
      </c>
      <c r="U412">
        <v>1</v>
      </c>
      <c r="X412">
        <v>-15</v>
      </c>
      <c r="Y412">
        <v>48</v>
      </c>
      <c r="Z412">
        <v>15</v>
      </c>
      <c r="AA412">
        <v>24</v>
      </c>
      <c r="AE412" t="s">
        <v>3698</v>
      </c>
      <c r="AF412" t="s">
        <v>3699</v>
      </c>
      <c r="AL412" t="s">
        <v>785</v>
      </c>
      <c r="AN412" s="7">
        <v>9.52</v>
      </c>
      <c r="AO412" s="7">
        <v>15.88</v>
      </c>
      <c r="AP412" s="7" t="s">
        <v>1732</v>
      </c>
      <c r="AQ412" t="s">
        <v>49</v>
      </c>
      <c r="AR412" t="s">
        <v>49</v>
      </c>
      <c r="AS412" t="s">
        <v>49</v>
      </c>
      <c r="AT412" t="s">
        <v>49</v>
      </c>
      <c r="AU412" t="s">
        <v>50</v>
      </c>
      <c r="AV412" s="7" t="s">
        <v>3023</v>
      </c>
      <c r="AW412" s="7" t="s">
        <v>3044</v>
      </c>
      <c r="AX412">
        <v>16</v>
      </c>
      <c r="BB412" t="s">
        <v>1103</v>
      </c>
      <c r="BC412">
        <v>37</v>
      </c>
      <c r="BE412" s="7" t="s">
        <v>3360</v>
      </c>
      <c r="BF412" t="s">
        <v>49</v>
      </c>
      <c r="BI412" t="s">
        <v>241</v>
      </c>
      <c r="BS412" t="s">
        <v>1622</v>
      </c>
      <c r="CP412" s="2">
        <v>300</v>
      </c>
      <c r="CQ412">
        <v>360</v>
      </c>
      <c r="CR412">
        <v>700</v>
      </c>
      <c r="CS412">
        <v>813</v>
      </c>
      <c r="CT412">
        <v>1000</v>
      </c>
      <c r="CU412">
        <v>1205</v>
      </c>
      <c r="CV412" s="7">
        <v>41</v>
      </c>
      <c r="CW412" s="7">
        <v>47</v>
      </c>
    </row>
    <row r="413" spans="1:101" x14ac:dyDescent="0.25">
      <c r="A413" t="s">
        <v>1749</v>
      </c>
      <c r="B413" t="s">
        <v>1542</v>
      </c>
      <c r="C413" t="s">
        <v>214</v>
      </c>
      <c r="D413" t="s">
        <v>1750</v>
      </c>
      <c r="E413" t="s">
        <v>2148</v>
      </c>
      <c r="F413" t="s">
        <v>1729</v>
      </c>
      <c r="G413" t="s">
        <v>41</v>
      </c>
      <c r="H413">
        <v>162400</v>
      </c>
      <c r="I413" t="s">
        <v>3696</v>
      </c>
      <c r="J413" t="s">
        <v>1751</v>
      </c>
      <c r="K413" t="s">
        <v>1752</v>
      </c>
      <c r="L413" t="s">
        <v>49</v>
      </c>
      <c r="M413" s="7">
        <v>12</v>
      </c>
      <c r="N413" s="7">
        <v>13.5</v>
      </c>
      <c r="O413" s="7">
        <v>4.4000000000000004</v>
      </c>
      <c r="P413" s="7">
        <v>4.05</v>
      </c>
      <c r="Q413">
        <v>50</v>
      </c>
      <c r="R413">
        <v>30</v>
      </c>
      <c r="U413">
        <v>1</v>
      </c>
      <c r="X413">
        <v>-15</v>
      </c>
      <c r="Y413">
        <v>43</v>
      </c>
      <c r="Z413">
        <v>-15</v>
      </c>
      <c r="AA413">
        <v>24</v>
      </c>
      <c r="AC413" t="s">
        <v>1753</v>
      </c>
      <c r="AD413">
        <v>68</v>
      </c>
      <c r="AE413" t="s">
        <v>3700</v>
      </c>
      <c r="AF413" t="s">
        <v>3701</v>
      </c>
      <c r="AI413" t="s">
        <v>1754</v>
      </c>
      <c r="AJ413">
        <v>220</v>
      </c>
      <c r="AK413" t="s">
        <v>1755</v>
      </c>
      <c r="AL413" t="s">
        <v>1686</v>
      </c>
      <c r="AM413">
        <v>380</v>
      </c>
      <c r="AN413" s="7">
        <v>12.7</v>
      </c>
      <c r="AO413" s="7">
        <v>19</v>
      </c>
      <c r="AP413" s="7" t="s">
        <v>1732</v>
      </c>
      <c r="AQ413" t="s">
        <v>49</v>
      </c>
      <c r="AR413" t="s">
        <v>49</v>
      </c>
      <c r="AS413" t="s">
        <v>44</v>
      </c>
      <c r="AT413" t="s">
        <v>44</v>
      </c>
      <c r="AU413" t="s">
        <v>50</v>
      </c>
      <c r="AV413" s="7" t="s">
        <v>3022</v>
      </c>
      <c r="AW413" s="7" t="s">
        <v>3044</v>
      </c>
      <c r="AX413">
        <v>20</v>
      </c>
      <c r="BB413" t="s">
        <v>1756</v>
      </c>
      <c r="BC413">
        <v>37</v>
      </c>
      <c r="BE413" s="7" t="s">
        <v>3361</v>
      </c>
      <c r="BF413" t="s">
        <v>49</v>
      </c>
      <c r="BH413">
        <v>114</v>
      </c>
      <c r="BI413" t="s">
        <v>241</v>
      </c>
      <c r="BS413" t="s">
        <v>1757</v>
      </c>
      <c r="CP413" s="2">
        <v>290</v>
      </c>
      <c r="CQ413">
        <v>305</v>
      </c>
      <c r="CR413">
        <v>1230</v>
      </c>
      <c r="CS413">
        <v>1338</v>
      </c>
      <c r="CT413">
        <v>790</v>
      </c>
      <c r="CU413">
        <v>837</v>
      </c>
      <c r="CV413" s="7">
        <v>47</v>
      </c>
      <c r="CW413" s="7">
        <v>53</v>
      </c>
    </row>
    <row r="414" spans="1:101" x14ac:dyDescent="0.25">
      <c r="A414" t="s">
        <v>1758</v>
      </c>
      <c r="B414" t="s">
        <v>1542</v>
      </c>
      <c r="C414" t="s">
        <v>214</v>
      </c>
      <c r="D414" t="s">
        <v>1759</v>
      </c>
      <c r="E414" t="s">
        <v>2148</v>
      </c>
      <c r="F414" t="s">
        <v>1729</v>
      </c>
      <c r="G414" t="s">
        <v>41</v>
      </c>
      <c r="H414">
        <v>179360</v>
      </c>
      <c r="I414" t="s">
        <v>3696</v>
      </c>
      <c r="J414" t="s">
        <v>1760</v>
      </c>
      <c r="K414" t="s">
        <v>1761</v>
      </c>
      <c r="L414" t="s">
        <v>49</v>
      </c>
      <c r="M414" s="7">
        <v>14</v>
      </c>
      <c r="N414" s="7">
        <v>15</v>
      </c>
      <c r="O414" s="7">
        <v>5</v>
      </c>
      <c r="P414" s="7">
        <v>4.7</v>
      </c>
      <c r="Q414">
        <v>50</v>
      </c>
      <c r="R414">
        <v>30</v>
      </c>
      <c r="S414">
        <v>50</v>
      </c>
      <c r="T414">
        <v>52</v>
      </c>
      <c r="U414">
        <v>1</v>
      </c>
      <c r="V414">
        <v>60</v>
      </c>
      <c r="X414">
        <v>-15</v>
      </c>
      <c r="Y414">
        <v>43</v>
      </c>
      <c r="Z414">
        <v>-15</v>
      </c>
      <c r="AA414">
        <v>24</v>
      </c>
      <c r="AC414" t="s">
        <v>1762</v>
      </c>
      <c r="AD414">
        <v>80</v>
      </c>
      <c r="AI414" t="s">
        <v>1763</v>
      </c>
      <c r="AJ414">
        <v>220</v>
      </c>
      <c r="AK414" t="s">
        <v>1764</v>
      </c>
      <c r="AL414" t="s">
        <v>677</v>
      </c>
      <c r="AM414">
        <v>380</v>
      </c>
      <c r="AN414" s="7">
        <v>12.7</v>
      </c>
      <c r="AO414" s="7">
        <v>19</v>
      </c>
      <c r="AP414" s="7" t="s">
        <v>1732</v>
      </c>
      <c r="AQ414" t="s">
        <v>49</v>
      </c>
      <c r="AR414" t="s">
        <v>49</v>
      </c>
      <c r="AS414" t="s">
        <v>49</v>
      </c>
      <c r="AT414" t="s">
        <v>49</v>
      </c>
      <c r="AU414" t="s">
        <v>50</v>
      </c>
      <c r="AV414" s="7" t="s">
        <v>3022</v>
      </c>
      <c r="AW414" s="7" t="s">
        <v>3044</v>
      </c>
      <c r="AX414">
        <v>25</v>
      </c>
      <c r="BE414" s="7" t="s">
        <v>3362</v>
      </c>
      <c r="BF414" t="s">
        <v>49</v>
      </c>
      <c r="BG414" t="s">
        <v>1385</v>
      </c>
      <c r="BH414">
        <v>133</v>
      </c>
      <c r="BI414" t="s">
        <v>241</v>
      </c>
      <c r="CP414" s="2">
        <v>290</v>
      </c>
      <c r="CQ414">
        <v>305</v>
      </c>
      <c r="CR414">
        <v>1230</v>
      </c>
      <c r="CS414">
        <v>1338</v>
      </c>
      <c r="CT414">
        <v>790</v>
      </c>
      <c r="CU414">
        <v>837</v>
      </c>
      <c r="CV414" s="7">
        <v>53</v>
      </c>
      <c r="CW414" s="7">
        <v>59.83</v>
      </c>
    </row>
    <row r="415" spans="1:101" x14ac:dyDescent="0.25">
      <c r="A415" t="s">
        <v>1765</v>
      </c>
      <c r="B415" t="s">
        <v>1542</v>
      </c>
      <c r="C415" t="s">
        <v>214</v>
      </c>
      <c r="D415" t="s">
        <v>1766</v>
      </c>
      <c r="E415" t="s">
        <v>2148</v>
      </c>
      <c r="F415" t="s">
        <v>1729</v>
      </c>
      <c r="G415" t="s">
        <v>41</v>
      </c>
      <c r="H415">
        <v>199520</v>
      </c>
      <c r="I415" t="s">
        <v>3696</v>
      </c>
      <c r="J415" t="s">
        <v>1767</v>
      </c>
      <c r="K415" t="s">
        <v>1768</v>
      </c>
      <c r="L415" t="s">
        <v>49</v>
      </c>
      <c r="M415" s="7">
        <v>16</v>
      </c>
      <c r="N415" s="7">
        <v>19</v>
      </c>
      <c r="O415" s="7">
        <v>4.3</v>
      </c>
      <c r="P415" s="7">
        <v>5.4</v>
      </c>
      <c r="Q415">
        <v>50</v>
      </c>
      <c r="R415">
        <v>30</v>
      </c>
      <c r="U415">
        <v>1</v>
      </c>
      <c r="X415">
        <v>-15</v>
      </c>
      <c r="Y415">
        <v>48</v>
      </c>
      <c r="Z415">
        <v>-15</v>
      </c>
      <c r="AA415">
        <v>24</v>
      </c>
      <c r="AD415">
        <v>110</v>
      </c>
      <c r="AE415" t="s">
        <v>3477</v>
      </c>
      <c r="AF415" t="s">
        <v>3551</v>
      </c>
      <c r="AL415" t="s">
        <v>785</v>
      </c>
      <c r="AN415" s="7">
        <v>9.52</v>
      </c>
      <c r="AO415" s="7">
        <v>15.88</v>
      </c>
      <c r="AP415" s="7" t="s">
        <v>1732</v>
      </c>
      <c r="AQ415" t="s">
        <v>49</v>
      </c>
      <c r="AR415" t="s">
        <v>49</v>
      </c>
      <c r="AS415" t="s">
        <v>49</v>
      </c>
      <c r="AT415" t="s">
        <v>49</v>
      </c>
      <c r="AU415" t="s">
        <v>50</v>
      </c>
      <c r="AV415" s="7" t="s">
        <v>3022</v>
      </c>
      <c r="AW415" s="7" t="s">
        <v>3044</v>
      </c>
      <c r="AX415">
        <v>20</v>
      </c>
      <c r="BB415" t="s">
        <v>1769</v>
      </c>
      <c r="BC415">
        <v>50</v>
      </c>
      <c r="BE415" s="7" t="s">
        <v>3363</v>
      </c>
      <c r="BF415" t="s">
        <v>49</v>
      </c>
      <c r="BH415">
        <v>185</v>
      </c>
      <c r="BI415" t="s">
        <v>241</v>
      </c>
      <c r="BS415" t="s">
        <v>1770</v>
      </c>
      <c r="CP415" s="2">
        <v>300</v>
      </c>
      <c r="CQ415">
        <v>365</v>
      </c>
      <c r="CR415">
        <v>700</v>
      </c>
      <c r="CS415">
        <v>813</v>
      </c>
      <c r="CT415">
        <v>1400</v>
      </c>
      <c r="CU415">
        <v>1601</v>
      </c>
      <c r="CV415" s="7">
        <v>55</v>
      </c>
      <c r="CW415" s="7">
        <v>62</v>
      </c>
    </row>
    <row r="416" spans="1:101" x14ac:dyDescent="0.25">
      <c r="A416" t="s">
        <v>1771</v>
      </c>
      <c r="B416" t="s">
        <v>1542</v>
      </c>
      <c r="C416" t="s">
        <v>214</v>
      </c>
      <c r="D416" t="s">
        <v>1772</v>
      </c>
      <c r="E416" t="s">
        <v>2148</v>
      </c>
      <c r="F416" t="s">
        <v>1729</v>
      </c>
      <c r="G416" t="s">
        <v>41</v>
      </c>
      <c r="H416">
        <v>119920</v>
      </c>
      <c r="I416" t="s">
        <v>3696</v>
      </c>
      <c r="J416" t="s">
        <v>1773</v>
      </c>
      <c r="K416" t="s">
        <v>1774</v>
      </c>
      <c r="L416" t="s">
        <v>49</v>
      </c>
      <c r="M416" s="7">
        <v>8.3000000000000007</v>
      </c>
      <c r="N416" s="7">
        <v>8.8000000000000007</v>
      </c>
      <c r="O416" s="7">
        <v>2.8</v>
      </c>
      <c r="P416" s="7">
        <v>2.7</v>
      </c>
      <c r="Q416">
        <v>30</v>
      </c>
      <c r="R416">
        <v>15</v>
      </c>
      <c r="U416">
        <v>1</v>
      </c>
      <c r="X416">
        <v>-15</v>
      </c>
      <c r="Y416">
        <v>43</v>
      </c>
      <c r="Z416">
        <v>-15</v>
      </c>
      <c r="AA416">
        <v>24</v>
      </c>
      <c r="AC416" t="s">
        <v>1775</v>
      </c>
      <c r="AD416">
        <v>47</v>
      </c>
      <c r="AE416" t="s">
        <v>3657</v>
      </c>
      <c r="AF416" t="s">
        <v>3702</v>
      </c>
      <c r="AI416" t="s">
        <v>1776</v>
      </c>
      <c r="AJ416">
        <v>220</v>
      </c>
      <c r="AK416" t="s">
        <v>1777</v>
      </c>
      <c r="AL416" t="s">
        <v>785</v>
      </c>
      <c r="AM416">
        <v>220</v>
      </c>
      <c r="AN416" s="7">
        <v>9.52</v>
      </c>
      <c r="AO416" s="7">
        <v>15.8</v>
      </c>
      <c r="AP416" s="7" t="s">
        <v>1732</v>
      </c>
      <c r="AQ416" t="s">
        <v>49</v>
      </c>
      <c r="AR416" t="s">
        <v>49</v>
      </c>
      <c r="AS416" t="s">
        <v>44</v>
      </c>
      <c r="AT416" t="s">
        <v>44</v>
      </c>
      <c r="AU416" t="s">
        <v>50</v>
      </c>
      <c r="AV416" s="7" t="s">
        <v>3021</v>
      </c>
      <c r="AW416" s="7" t="s">
        <v>3044</v>
      </c>
      <c r="AX416">
        <v>25</v>
      </c>
      <c r="BB416" t="s">
        <v>1778</v>
      </c>
      <c r="BC416">
        <v>37</v>
      </c>
      <c r="BE416" s="7">
        <v>40674</v>
      </c>
      <c r="BF416" t="s">
        <v>49</v>
      </c>
      <c r="BH416">
        <v>79</v>
      </c>
      <c r="BI416" t="s">
        <v>120</v>
      </c>
      <c r="BS416" t="s">
        <v>1779</v>
      </c>
      <c r="CH416">
        <v>790</v>
      </c>
      <c r="CI416">
        <v>875</v>
      </c>
      <c r="CJ416">
        <v>980</v>
      </c>
      <c r="CK416">
        <v>1083</v>
      </c>
      <c r="CL416">
        <v>425</v>
      </c>
      <c r="CM416">
        <v>488</v>
      </c>
      <c r="CN416" s="2">
        <v>69</v>
      </c>
      <c r="CO416">
        <v>74</v>
      </c>
      <c r="CP416" s="2">
        <v>270</v>
      </c>
      <c r="CQ416">
        <v>283</v>
      </c>
      <c r="CR416">
        <v>1260</v>
      </c>
      <c r="CS416">
        <v>1348</v>
      </c>
      <c r="CT416">
        <v>555</v>
      </c>
      <c r="CU416">
        <v>597</v>
      </c>
      <c r="CV416" s="7">
        <v>35</v>
      </c>
      <c r="CW416" s="7">
        <v>40</v>
      </c>
    </row>
    <row r="417" spans="1:101" x14ac:dyDescent="0.25">
      <c r="A417" t="s">
        <v>1780</v>
      </c>
      <c r="B417" t="s">
        <v>1542</v>
      </c>
      <c r="C417" t="s">
        <v>214</v>
      </c>
      <c r="D417" t="s">
        <v>1781</v>
      </c>
      <c r="E417" t="s">
        <v>2148</v>
      </c>
      <c r="F417" t="s">
        <v>1729</v>
      </c>
      <c r="G417" t="s">
        <v>41</v>
      </c>
      <c r="H417">
        <v>162400</v>
      </c>
      <c r="I417" t="s">
        <v>3696</v>
      </c>
      <c r="J417" t="s">
        <v>1730</v>
      </c>
      <c r="K417" t="s">
        <v>1731</v>
      </c>
      <c r="L417" t="s">
        <v>49</v>
      </c>
      <c r="M417" s="7">
        <v>11.98</v>
      </c>
      <c r="N417" s="7">
        <v>13.5</v>
      </c>
      <c r="O417" s="7">
        <v>4.4000000000000004</v>
      </c>
      <c r="P417" s="7">
        <v>4.05</v>
      </c>
      <c r="Q417">
        <v>50</v>
      </c>
      <c r="R417">
        <v>30</v>
      </c>
      <c r="U417">
        <v>1</v>
      </c>
      <c r="X417">
        <v>-15</v>
      </c>
      <c r="Y417">
        <v>48</v>
      </c>
      <c r="Z417">
        <v>15</v>
      </c>
      <c r="AA417">
        <v>24</v>
      </c>
      <c r="AE417" t="s">
        <v>3703</v>
      </c>
      <c r="AF417" t="s">
        <v>1390</v>
      </c>
      <c r="AL417" t="s">
        <v>785</v>
      </c>
      <c r="AN417" s="7">
        <v>9.52</v>
      </c>
      <c r="AO417" s="7">
        <v>15.88</v>
      </c>
      <c r="AP417" s="7" t="s">
        <v>1732</v>
      </c>
      <c r="AQ417" t="s">
        <v>49</v>
      </c>
      <c r="AR417" t="s">
        <v>49</v>
      </c>
      <c r="AS417" t="s">
        <v>49</v>
      </c>
      <c r="AT417" t="s">
        <v>49</v>
      </c>
      <c r="AU417" t="s">
        <v>50</v>
      </c>
      <c r="AV417" s="7" t="s">
        <v>3022</v>
      </c>
      <c r="AW417" s="7" t="s">
        <v>3044</v>
      </c>
      <c r="AX417">
        <v>20</v>
      </c>
      <c r="BB417" t="s">
        <v>1103</v>
      </c>
      <c r="BC417">
        <v>37</v>
      </c>
      <c r="BE417" s="7">
        <v>40002</v>
      </c>
      <c r="BF417" t="s">
        <v>49</v>
      </c>
      <c r="BI417" t="s">
        <v>241</v>
      </c>
      <c r="BS417" t="s">
        <v>1622</v>
      </c>
      <c r="CH417">
        <v>820</v>
      </c>
      <c r="CI417">
        <v>973</v>
      </c>
      <c r="CJ417">
        <v>460</v>
      </c>
      <c r="CK417">
        <v>573</v>
      </c>
      <c r="CL417">
        <v>940</v>
      </c>
      <c r="CM417">
        <v>1083</v>
      </c>
      <c r="CN417" s="2">
        <v>97</v>
      </c>
      <c r="CO417">
        <v>108</v>
      </c>
      <c r="CP417" s="2">
        <v>300</v>
      </c>
      <c r="CQ417">
        <v>360</v>
      </c>
      <c r="CR417">
        <v>700</v>
      </c>
      <c r="CS417">
        <v>813</v>
      </c>
      <c r="CT417">
        <v>1000</v>
      </c>
      <c r="CU417">
        <v>1205</v>
      </c>
      <c r="CV417" s="7">
        <v>42</v>
      </c>
      <c r="CW417" s="7">
        <v>48</v>
      </c>
    </row>
    <row r="418" spans="1:101" x14ac:dyDescent="0.25">
      <c r="A418" t="s">
        <v>1787</v>
      </c>
      <c r="B418" t="s">
        <v>1542</v>
      </c>
      <c r="C418" t="s">
        <v>214</v>
      </c>
      <c r="D418" t="s">
        <v>1788</v>
      </c>
      <c r="E418" t="s">
        <v>2149</v>
      </c>
      <c r="F418" t="s">
        <v>1362</v>
      </c>
      <c r="G418" t="s">
        <v>41</v>
      </c>
      <c r="H418">
        <v>85920</v>
      </c>
      <c r="I418" t="s">
        <v>3704</v>
      </c>
      <c r="J418" t="s">
        <v>1789</v>
      </c>
      <c r="K418" t="s">
        <v>1790</v>
      </c>
      <c r="L418" t="s">
        <v>49</v>
      </c>
      <c r="M418" s="7">
        <v>5</v>
      </c>
      <c r="N418" s="7">
        <v>5.4</v>
      </c>
      <c r="O418" s="7">
        <v>2</v>
      </c>
      <c r="P418" s="7">
        <v>1.9</v>
      </c>
      <c r="Q418">
        <v>25</v>
      </c>
      <c r="R418">
        <v>15</v>
      </c>
      <c r="U418">
        <v>1</v>
      </c>
      <c r="X418">
        <v>-15</v>
      </c>
      <c r="Y418">
        <v>43</v>
      </c>
      <c r="Z418">
        <v>-15</v>
      </c>
      <c r="AA418">
        <v>24</v>
      </c>
      <c r="AC418" t="s">
        <v>1791</v>
      </c>
      <c r="AD418">
        <v>28</v>
      </c>
      <c r="AE418" t="s">
        <v>3482</v>
      </c>
      <c r="AF418" t="s">
        <v>3705</v>
      </c>
      <c r="AI418" t="s">
        <v>1792</v>
      </c>
      <c r="AJ418">
        <v>220</v>
      </c>
      <c r="AK418" t="s">
        <v>1793</v>
      </c>
      <c r="AL418" t="s">
        <v>785</v>
      </c>
      <c r="AM418">
        <v>220</v>
      </c>
      <c r="AN418" s="7">
        <v>6.35</v>
      </c>
      <c r="AO418" s="7">
        <v>12.7</v>
      </c>
      <c r="AP418" s="7" t="s">
        <v>1732</v>
      </c>
      <c r="AQ418" t="s">
        <v>49</v>
      </c>
      <c r="AR418" t="s">
        <v>49</v>
      </c>
      <c r="AS418" t="s">
        <v>44</v>
      </c>
      <c r="AT418" t="s">
        <v>44</v>
      </c>
      <c r="AU418" t="s">
        <v>50</v>
      </c>
      <c r="AV418" s="7" t="s">
        <v>3021</v>
      </c>
      <c r="AW418" s="7" t="s">
        <v>3044</v>
      </c>
      <c r="AX418">
        <v>20</v>
      </c>
      <c r="BA418" t="s">
        <v>1794</v>
      </c>
      <c r="BE418" s="7" t="s">
        <v>3364</v>
      </c>
      <c r="BF418" t="s">
        <v>49</v>
      </c>
      <c r="BH418">
        <v>47</v>
      </c>
      <c r="BI418" t="s">
        <v>120</v>
      </c>
      <c r="BS418" t="s">
        <v>1795</v>
      </c>
      <c r="CH418">
        <v>700</v>
      </c>
      <c r="CI418">
        <v>750</v>
      </c>
      <c r="CJ418">
        <v>955</v>
      </c>
      <c r="CK418">
        <v>1029</v>
      </c>
      <c r="CL418">
        <v>395</v>
      </c>
      <c r="CM418">
        <v>458</v>
      </c>
      <c r="CN418" s="2">
        <v>53</v>
      </c>
      <c r="CO418">
        <v>58</v>
      </c>
      <c r="CP418" s="2">
        <v>50</v>
      </c>
      <c r="CQ418">
        <v>105</v>
      </c>
      <c r="CR418">
        <v>670</v>
      </c>
      <c r="CS418">
        <v>763</v>
      </c>
      <c r="CT418">
        <v>670</v>
      </c>
      <c r="CU418">
        <v>763</v>
      </c>
      <c r="CV418" s="7">
        <v>3.5</v>
      </c>
      <c r="CW418" s="7">
        <v>5</v>
      </c>
    </row>
    <row r="419" spans="1:101" x14ac:dyDescent="0.25">
      <c r="A419" t="s">
        <v>1796</v>
      </c>
      <c r="B419" t="s">
        <v>1542</v>
      </c>
      <c r="C419" t="s">
        <v>214</v>
      </c>
      <c r="D419" t="s">
        <v>1797</v>
      </c>
      <c r="E419" t="s">
        <v>2149</v>
      </c>
      <c r="F419" t="s">
        <v>1362</v>
      </c>
      <c r="G419" t="s">
        <v>41</v>
      </c>
      <c r="H419">
        <v>86220</v>
      </c>
      <c r="I419" t="s">
        <v>1782</v>
      </c>
      <c r="J419" t="s">
        <v>1798</v>
      </c>
      <c r="K419" t="s">
        <v>1799</v>
      </c>
      <c r="L419" t="s">
        <v>49</v>
      </c>
      <c r="M419" s="7">
        <v>4.8</v>
      </c>
      <c r="N419" s="7">
        <v>5</v>
      </c>
      <c r="O419" s="7">
        <v>1.55</v>
      </c>
      <c r="P419" s="7">
        <v>1.35</v>
      </c>
      <c r="Q419">
        <v>30</v>
      </c>
      <c r="R419">
        <v>15</v>
      </c>
      <c r="U419">
        <v>1</v>
      </c>
      <c r="Y419">
        <v>48</v>
      </c>
      <c r="Z419">
        <v>-15</v>
      </c>
      <c r="AA419">
        <v>24</v>
      </c>
      <c r="AE419" t="s">
        <v>3637</v>
      </c>
      <c r="AF419" t="s">
        <v>3706</v>
      </c>
      <c r="AL419" t="s">
        <v>785</v>
      </c>
      <c r="AN419" s="7">
        <v>6.35</v>
      </c>
      <c r="AO419" s="7">
        <v>12.7</v>
      </c>
      <c r="AP419" s="7" t="s">
        <v>1800</v>
      </c>
      <c r="AQ419" t="s">
        <v>49</v>
      </c>
      <c r="AR419" t="s">
        <v>49</v>
      </c>
      <c r="AS419" t="s">
        <v>49</v>
      </c>
      <c r="AT419" t="s">
        <v>49</v>
      </c>
      <c r="AU419" t="s">
        <v>50</v>
      </c>
      <c r="AV419" s="7" t="s">
        <v>3021</v>
      </c>
      <c r="AW419" s="7" t="s">
        <v>3044</v>
      </c>
      <c r="AX419">
        <v>16</v>
      </c>
      <c r="BE419" s="7" t="s">
        <v>3365</v>
      </c>
      <c r="BF419" t="s">
        <v>49</v>
      </c>
      <c r="BI419" t="s">
        <v>120</v>
      </c>
      <c r="BS419" t="s">
        <v>1801</v>
      </c>
      <c r="CH419">
        <v>548</v>
      </c>
      <c r="CI419">
        <v>595</v>
      </c>
      <c r="CJ419">
        <v>761</v>
      </c>
      <c r="CK419">
        <v>881</v>
      </c>
      <c r="CL419">
        <v>256</v>
      </c>
      <c r="CM419">
        <v>363</v>
      </c>
      <c r="CN419" s="2">
        <v>39</v>
      </c>
      <c r="CO419">
        <v>41.5</v>
      </c>
      <c r="CP419" s="2">
        <v>47.5</v>
      </c>
      <c r="CQ419">
        <v>125</v>
      </c>
      <c r="CR419">
        <v>620</v>
      </c>
      <c r="CS419">
        <v>701</v>
      </c>
      <c r="CT419">
        <v>620</v>
      </c>
      <c r="CU419">
        <v>701</v>
      </c>
      <c r="CV419" s="7">
        <v>3</v>
      </c>
      <c r="CW419" s="7">
        <v>4.5</v>
      </c>
    </row>
    <row r="420" spans="1:101" x14ac:dyDescent="0.25">
      <c r="A420" t="s">
        <v>1802</v>
      </c>
      <c r="B420" t="s">
        <v>1542</v>
      </c>
      <c r="C420" t="s">
        <v>214</v>
      </c>
      <c r="D420" t="s">
        <v>1803</v>
      </c>
      <c r="E420" t="s">
        <v>2149</v>
      </c>
      <c r="F420" t="s">
        <v>1362</v>
      </c>
      <c r="G420" t="s">
        <v>41</v>
      </c>
      <c r="H420">
        <v>104000</v>
      </c>
      <c r="I420" t="s">
        <v>3704</v>
      </c>
      <c r="J420" t="s">
        <v>1804</v>
      </c>
      <c r="K420" t="s">
        <v>1805</v>
      </c>
      <c r="L420" t="s">
        <v>49</v>
      </c>
      <c r="M420" s="7">
        <v>7</v>
      </c>
      <c r="N420" s="7">
        <v>7.6</v>
      </c>
      <c r="O420" s="7">
        <v>2.5</v>
      </c>
      <c r="P420" s="7">
        <v>2.2999999999999998</v>
      </c>
      <c r="Q420">
        <v>30</v>
      </c>
      <c r="R420">
        <v>15</v>
      </c>
      <c r="U420">
        <v>1</v>
      </c>
      <c r="X420">
        <v>-15</v>
      </c>
      <c r="Y420">
        <v>43</v>
      </c>
      <c r="Z420">
        <v>-15</v>
      </c>
      <c r="AA420">
        <v>24</v>
      </c>
      <c r="AC420" t="s">
        <v>1806</v>
      </c>
      <c r="AD420">
        <v>40</v>
      </c>
      <c r="AE420" t="s">
        <v>3508</v>
      </c>
      <c r="AF420" t="s">
        <v>3500</v>
      </c>
      <c r="AI420" t="s">
        <v>1807</v>
      </c>
      <c r="AJ420">
        <v>220</v>
      </c>
      <c r="AK420" t="s">
        <v>1742</v>
      </c>
      <c r="AL420" t="s">
        <v>785</v>
      </c>
      <c r="AM420">
        <v>220</v>
      </c>
      <c r="AN420" s="7">
        <v>9.52</v>
      </c>
      <c r="AO420" s="7">
        <v>15.8</v>
      </c>
      <c r="AP420" s="7" t="s">
        <v>1785</v>
      </c>
      <c r="AQ420" t="s">
        <v>49</v>
      </c>
      <c r="AR420" t="s">
        <v>49</v>
      </c>
      <c r="AS420" t="s">
        <v>44</v>
      </c>
      <c r="AT420" t="s">
        <v>44</v>
      </c>
      <c r="AU420" t="s">
        <v>50</v>
      </c>
      <c r="AV420" s="7" t="s">
        <v>3021</v>
      </c>
      <c r="AW420" s="7" t="s">
        <v>3044</v>
      </c>
      <c r="AX420">
        <v>25</v>
      </c>
      <c r="BA420" t="s">
        <v>1808</v>
      </c>
      <c r="BE420" s="7" t="s">
        <v>3366</v>
      </c>
      <c r="BF420" t="s">
        <v>49</v>
      </c>
      <c r="BH420">
        <v>66</v>
      </c>
      <c r="BI420" t="s">
        <v>120</v>
      </c>
      <c r="BS420" t="s">
        <v>1809</v>
      </c>
      <c r="CH420">
        <v>700</v>
      </c>
      <c r="CI420">
        <v>750</v>
      </c>
      <c r="CJ420">
        <v>955</v>
      </c>
      <c r="CK420">
        <v>1029</v>
      </c>
      <c r="CL420">
        <v>395</v>
      </c>
      <c r="CM420">
        <v>458</v>
      </c>
      <c r="CN420" s="2">
        <v>61</v>
      </c>
      <c r="CO420">
        <v>66</v>
      </c>
      <c r="CP420" s="2">
        <v>60</v>
      </c>
      <c r="CQ420">
        <v>133</v>
      </c>
      <c r="CR420">
        <v>950</v>
      </c>
      <c r="CS420">
        <v>1038</v>
      </c>
      <c r="CT420">
        <v>950</v>
      </c>
      <c r="CU420">
        <v>1033</v>
      </c>
      <c r="CV420" s="7">
        <v>7</v>
      </c>
      <c r="CW420" s="7">
        <v>11</v>
      </c>
    </row>
    <row r="421" spans="1:101" x14ac:dyDescent="0.25">
      <c r="A421" t="s">
        <v>1810</v>
      </c>
      <c r="B421" t="s">
        <v>1542</v>
      </c>
      <c r="C421" t="s">
        <v>214</v>
      </c>
      <c r="D421" t="s">
        <v>1811</v>
      </c>
      <c r="E421" t="s">
        <v>2149</v>
      </c>
      <c r="F421" t="s">
        <v>1362</v>
      </c>
      <c r="G421" t="s">
        <v>41</v>
      </c>
      <c r="H421">
        <v>108600</v>
      </c>
      <c r="I421" t="s">
        <v>1782</v>
      </c>
      <c r="J421" t="s">
        <v>1812</v>
      </c>
      <c r="K421" t="s">
        <v>1813</v>
      </c>
      <c r="L421" t="s">
        <v>49</v>
      </c>
      <c r="M421" s="7">
        <v>7.1</v>
      </c>
      <c r="N421" s="7">
        <v>7.4</v>
      </c>
      <c r="O421" s="7">
        <v>2.15</v>
      </c>
      <c r="P421" s="7">
        <v>2.0499999999999998</v>
      </c>
      <c r="Q421">
        <v>30</v>
      </c>
      <c r="R421">
        <v>15</v>
      </c>
      <c r="U421">
        <v>1</v>
      </c>
      <c r="X421">
        <v>-15</v>
      </c>
      <c r="Y421">
        <v>48</v>
      </c>
      <c r="Z421">
        <v>-15</v>
      </c>
      <c r="AA421">
        <v>24</v>
      </c>
      <c r="AE421" t="s">
        <v>3707</v>
      </c>
      <c r="AF421" t="s">
        <v>3505</v>
      </c>
      <c r="AL421" t="s">
        <v>785</v>
      </c>
      <c r="AN421" s="7">
        <v>9.52</v>
      </c>
      <c r="AO421" s="7">
        <v>15.88</v>
      </c>
      <c r="AP421" s="7" t="s">
        <v>1800</v>
      </c>
      <c r="AQ421" t="s">
        <v>49</v>
      </c>
      <c r="AR421" t="s">
        <v>49</v>
      </c>
      <c r="AS421" t="s">
        <v>49</v>
      </c>
      <c r="AT421" t="s">
        <v>49</v>
      </c>
      <c r="AU421" t="s">
        <v>50</v>
      </c>
      <c r="AV421" s="7" t="s">
        <v>3021</v>
      </c>
      <c r="AW421" s="7" t="s">
        <v>3044</v>
      </c>
      <c r="AX421">
        <v>20</v>
      </c>
      <c r="BE421" s="7" t="s">
        <v>3367</v>
      </c>
      <c r="BF421" t="s">
        <v>49</v>
      </c>
      <c r="BI421" t="s">
        <v>120</v>
      </c>
      <c r="BS421" t="s">
        <v>1814</v>
      </c>
      <c r="CH421">
        <v>698</v>
      </c>
      <c r="CI421">
        <v>750</v>
      </c>
      <c r="CJ421">
        <v>892</v>
      </c>
      <c r="CK421">
        <v>1029</v>
      </c>
      <c r="CL421">
        <v>340</v>
      </c>
      <c r="CM421">
        <v>458</v>
      </c>
      <c r="CN421" s="2">
        <v>59</v>
      </c>
      <c r="CO421">
        <v>63</v>
      </c>
      <c r="CP421" s="2">
        <v>52</v>
      </c>
      <c r="CQ421">
        <v>112</v>
      </c>
      <c r="CR421">
        <v>950</v>
      </c>
      <c r="CS421">
        <v>1033</v>
      </c>
      <c r="CT421">
        <v>950</v>
      </c>
      <c r="CU421">
        <v>1038</v>
      </c>
      <c r="CV421" s="7">
        <v>6</v>
      </c>
      <c r="CW421" s="7">
        <v>9.5</v>
      </c>
    </row>
    <row r="422" spans="1:101" x14ac:dyDescent="0.25">
      <c r="A422" t="s">
        <v>1815</v>
      </c>
      <c r="B422" t="s">
        <v>1542</v>
      </c>
      <c r="C422" t="s">
        <v>214</v>
      </c>
      <c r="D422" t="s">
        <v>1816</v>
      </c>
      <c r="E422" t="s">
        <v>2149</v>
      </c>
      <c r="F422" t="s">
        <v>1362</v>
      </c>
      <c r="G422" t="s">
        <v>41</v>
      </c>
      <c r="H422">
        <v>120000</v>
      </c>
      <c r="I422" t="s">
        <v>3704</v>
      </c>
      <c r="J422" t="s">
        <v>1817</v>
      </c>
      <c r="K422" t="s">
        <v>1818</v>
      </c>
      <c r="L422" t="s">
        <v>49</v>
      </c>
      <c r="M422" s="7">
        <v>8.5</v>
      </c>
      <c r="N422" s="7">
        <v>9</v>
      </c>
      <c r="O422" s="7">
        <v>2.7</v>
      </c>
      <c r="P422" s="7">
        <v>2.6</v>
      </c>
      <c r="Q422">
        <v>30</v>
      </c>
      <c r="R422">
        <v>15</v>
      </c>
      <c r="U422">
        <v>1</v>
      </c>
      <c r="X422">
        <v>-15</v>
      </c>
      <c r="Y422">
        <v>43</v>
      </c>
      <c r="Z422">
        <v>-15</v>
      </c>
      <c r="AA422">
        <v>24</v>
      </c>
      <c r="AC422" t="s">
        <v>1819</v>
      </c>
      <c r="AD422">
        <v>48</v>
      </c>
      <c r="AE422" t="s">
        <v>3708</v>
      </c>
      <c r="AF422" t="s">
        <v>3646</v>
      </c>
      <c r="AI422" t="s">
        <v>1820</v>
      </c>
      <c r="AJ422">
        <v>220</v>
      </c>
      <c r="AK422" t="s">
        <v>1777</v>
      </c>
      <c r="AL422" t="s">
        <v>785</v>
      </c>
      <c r="AM422">
        <v>220</v>
      </c>
      <c r="AN422" s="7">
        <v>9.52</v>
      </c>
      <c r="AO422" s="7">
        <v>15.8</v>
      </c>
      <c r="AP422" s="7" t="s">
        <v>1785</v>
      </c>
      <c r="AQ422" t="s">
        <v>49</v>
      </c>
      <c r="AR422" t="s">
        <v>49</v>
      </c>
      <c r="AS422" t="s">
        <v>44</v>
      </c>
      <c r="AT422" t="s">
        <v>44</v>
      </c>
      <c r="AU422" t="s">
        <v>50</v>
      </c>
      <c r="AV422" s="7" t="s">
        <v>3021</v>
      </c>
      <c r="AW422" s="7" t="s">
        <v>3044</v>
      </c>
      <c r="AX422">
        <v>25</v>
      </c>
      <c r="BA422" t="s">
        <v>1808</v>
      </c>
      <c r="BE422" s="7" t="s">
        <v>1786</v>
      </c>
      <c r="BF422" t="s">
        <v>49</v>
      </c>
      <c r="BH422">
        <v>80</v>
      </c>
      <c r="BI422" t="s">
        <v>120</v>
      </c>
      <c r="BS422" t="s">
        <v>1821</v>
      </c>
      <c r="CH422">
        <v>790</v>
      </c>
      <c r="CI422">
        <v>875</v>
      </c>
      <c r="CJ422">
        <v>980</v>
      </c>
      <c r="CK422">
        <v>1083</v>
      </c>
      <c r="CL422">
        <v>425</v>
      </c>
      <c r="CM422">
        <v>488</v>
      </c>
      <c r="CN422" s="2">
        <v>69</v>
      </c>
      <c r="CO422">
        <v>74</v>
      </c>
      <c r="CP422" s="2">
        <v>60</v>
      </c>
      <c r="CQ422">
        <v>133</v>
      </c>
      <c r="CR422">
        <v>950</v>
      </c>
      <c r="CS422">
        <v>1038</v>
      </c>
      <c r="CT422">
        <v>950</v>
      </c>
      <c r="CU422">
        <v>1033</v>
      </c>
      <c r="CV422" s="7">
        <v>7</v>
      </c>
      <c r="CW422" s="7">
        <v>11</v>
      </c>
    </row>
    <row r="423" spans="1:101" x14ac:dyDescent="0.25">
      <c r="A423" t="s">
        <v>1822</v>
      </c>
      <c r="B423" t="s">
        <v>1542</v>
      </c>
      <c r="C423" t="s">
        <v>214</v>
      </c>
      <c r="D423" t="s">
        <v>1823</v>
      </c>
      <c r="E423" t="s">
        <v>2149</v>
      </c>
      <c r="F423" t="s">
        <v>1362</v>
      </c>
      <c r="G423" t="s">
        <v>41</v>
      </c>
      <c r="H423">
        <v>124600</v>
      </c>
      <c r="I423" t="s">
        <v>1782</v>
      </c>
      <c r="J423" t="s">
        <v>1783</v>
      </c>
      <c r="K423" t="s">
        <v>1784</v>
      </c>
      <c r="L423" t="s">
        <v>49</v>
      </c>
      <c r="M423" s="7">
        <v>8.3000000000000007</v>
      </c>
      <c r="N423" s="7">
        <v>8.8000000000000007</v>
      </c>
      <c r="O423" s="7">
        <v>2.8</v>
      </c>
      <c r="P423" s="7">
        <v>2.7</v>
      </c>
      <c r="Q423">
        <v>30</v>
      </c>
      <c r="R423">
        <v>15</v>
      </c>
      <c r="U423">
        <v>1</v>
      </c>
      <c r="X423">
        <v>-15</v>
      </c>
      <c r="Y423">
        <v>48</v>
      </c>
      <c r="Z423">
        <v>-15</v>
      </c>
      <c r="AA423">
        <v>24</v>
      </c>
      <c r="AE423" t="s">
        <v>3657</v>
      </c>
      <c r="AF423" t="s">
        <v>3702</v>
      </c>
      <c r="AL423" t="s">
        <v>785</v>
      </c>
      <c r="AN423" s="7">
        <v>9.52</v>
      </c>
      <c r="AO423" s="7">
        <v>15.88</v>
      </c>
      <c r="AP423" s="7" t="s">
        <v>1800</v>
      </c>
      <c r="AQ423" t="s">
        <v>49</v>
      </c>
      <c r="AR423" t="s">
        <v>49</v>
      </c>
      <c r="AS423" t="s">
        <v>49</v>
      </c>
      <c r="AT423" t="s">
        <v>49</v>
      </c>
      <c r="AU423" t="s">
        <v>50</v>
      </c>
      <c r="AV423" s="7" t="s">
        <v>3021</v>
      </c>
      <c r="AW423" s="7" t="s">
        <v>3044</v>
      </c>
      <c r="AX423">
        <v>20</v>
      </c>
      <c r="BE423" s="7" t="s">
        <v>3368</v>
      </c>
      <c r="BF423" t="s">
        <v>49</v>
      </c>
      <c r="BI423" t="s">
        <v>120</v>
      </c>
      <c r="BS423" t="s">
        <v>1824</v>
      </c>
      <c r="CH423">
        <v>698</v>
      </c>
      <c r="CI423">
        <v>750</v>
      </c>
      <c r="CJ423">
        <v>340</v>
      </c>
      <c r="CK423">
        <v>458</v>
      </c>
      <c r="CL423">
        <v>892</v>
      </c>
      <c r="CM423">
        <v>1029</v>
      </c>
      <c r="CN423" s="2">
        <v>64</v>
      </c>
      <c r="CO423">
        <v>69</v>
      </c>
      <c r="CP423" s="2">
        <v>52</v>
      </c>
      <c r="CQ423">
        <v>112</v>
      </c>
      <c r="CR423">
        <v>950</v>
      </c>
      <c r="CS423">
        <v>1033</v>
      </c>
      <c r="CT423">
        <v>950</v>
      </c>
      <c r="CU423">
        <v>1038</v>
      </c>
      <c r="CV423" s="7">
        <v>6</v>
      </c>
      <c r="CW423" s="7">
        <v>9.5</v>
      </c>
    </row>
    <row r="424" spans="1:101" x14ac:dyDescent="0.25">
      <c r="A424" t="s">
        <v>1825</v>
      </c>
      <c r="B424" t="s">
        <v>1542</v>
      </c>
      <c r="C424" t="s">
        <v>214</v>
      </c>
      <c r="D424" t="s">
        <v>1826</v>
      </c>
      <c r="E424" t="s">
        <v>2149</v>
      </c>
      <c r="F424" t="s">
        <v>1362</v>
      </c>
      <c r="G424" t="s">
        <v>41</v>
      </c>
      <c r="H424">
        <v>136080</v>
      </c>
      <c r="I424" t="s">
        <v>3704</v>
      </c>
      <c r="J424" t="s">
        <v>1827</v>
      </c>
      <c r="K424" t="s">
        <v>1828</v>
      </c>
      <c r="L424" t="s">
        <v>49</v>
      </c>
      <c r="M424" s="7">
        <v>10</v>
      </c>
      <c r="N424" s="7">
        <v>11.5</v>
      </c>
      <c r="O424" s="7">
        <v>3.5</v>
      </c>
      <c r="P424" s="7">
        <v>3.3</v>
      </c>
      <c r="Q424">
        <v>30</v>
      </c>
      <c r="R424">
        <v>15</v>
      </c>
      <c r="U424">
        <v>1</v>
      </c>
      <c r="X424">
        <v>-15</v>
      </c>
      <c r="Y424">
        <v>43</v>
      </c>
      <c r="Z424">
        <v>-15</v>
      </c>
      <c r="AA424">
        <v>24</v>
      </c>
      <c r="AC424" t="s">
        <v>1829</v>
      </c>
      <c r="AD424">
        <v>57</v>
      </c>
      <c r="AE424" t="s">
        <v>3709</v>
      </c>
      <c r="AF424" t="s">
        <v>3710</v>
      </c>
      <c r="AI424" t="s">
        <v>1830</v>
      </c>
      <c r="AJ424">
        <v>220</v>
      </c>
      <c r="AK424" t="s">
        <v>1831</v>
      </c>
      <c r="AL424" t="s">
        <v>1686</v>
      </c>
      <c r="AM424">
        <v>380</v>
      </c>
      <c r="AN424" s="7">
        <v>9.52</v>
      </c>
      <c r="AO424" s="7">
        <v>19</v>
      </c>
      <c r="AP424" s="7" t="s">
        <v>1785</v>
      </c>
      <c r="AQ424" t="s">
        <v>49</v>
      </c>
      <c r="AR424" t="s">
        <v>49</v>
      </c>
      <c r="AS424" t="s">
        <v>44</v>
      </c>
      <c r="AT424" t="s">
        <v>44</v>
      </c>
      <c r="AU424" t="s">
        <v>50</v>
      </c>
      <c r="AV424" s="7" t="s">
        <v>3023</v>
      </c>
      <c r="AW424" s="7" t="s">
        <v>3044</v>
      </c>
      <c r="AX424">
        <v>16</v>
      </c>
      <c r="BA424" t="s">
        <v>1808</v>
      </c>
      <c r="BE424" s="7">
        <v>38541</v>
      </c>
      <c r="BF424" t="s">
        <v>49</v>
      </c>
      <c r="BH424">
        <v>95</v>
      </c>
      <c r="BI424" t="s">
        <v>241</v>
      </c>
      <c r="BS424" t="s">
        <v>1832</v>
      </c>
      <c r="CH424">
        <v>790</v>
      </c>
      <c r="CI424">
        <v>875</v>
      </c>
      <c r="CJ424">
        <v>980</v>
      </c>
      <c r="CK424">
        <v>1083</v>
      </c>
      <c r="CL424">
        <v>425</v>
      </c>
      <c r="CM424">
        <v>488</v>
      </c>
      <c r="CN424" s="2">
        <v>69</v>
      </c>
      <c r="CO424">
        <v>74</v>
      </c>
      <c r="CP424" s="2">
        <v>60</v>
      </c>
      <c r="CQ424">
        <v>133</v>
      </c>
      <c r="CR424">
        <v>950</v>
      </c>
      <c r="CS424">
        <v>1038</v>
      </c>
      <c r="CT424">
        <v>950</v>
      </c>
      <c r="CU424">
        <v>1033</v>
      </c>
      <c r="CV424" s="7">
        <v>7</v>
      </c>
      <c r="CW424" s="7">
        <v>11</v>
      </c>
    </row>
    <row r="425" spans="1:101" x14ac:dyDescent="0.25">
      <c r="A425" t="s">
        <v>1833</v>
      </c>
      <c r="B425" t="s">
        <v>1542</v>
      </c>
      <c r="C425" t="s">
        <v>214</v>
      </c>
      <c r="D425" t="s">
        <v>1834</v>
      </c>
      <c r="E425" t="s">
        <v>2149</v>
      </c>
      <c r="F425" t="s">
        <v>1362</v>
      </c>
      <c r="G425" t="s">
        <v>41</v>
      </c>
      <c r="H425">
        <v>140680</v>
      </c>
      <c r="I425" t="s">
        <v>1782</v>
      </c>
      <c r="J425" t="s">
        <v>1835</v>
      </c>
      <c r="K425" t="s">
        <v>1836</v>
      </c>
      <c r="L425" t="s">
        <v>49</v>
      </c>
      <c r="M425" s="7">
        <v>10.01</v>
      </c>
      <c r="N425" s="7">
        <v>12</v>
      </c>
      <c r="O425" s="7">
        <v>3.25</v>
      </c>
      <c r="P425" s="7">
        <v>3.2</v>
      </c>
      <c r="Q425">
        <v>30</v>
      </c>
      <c r="R425">
        <v>20</v>
      </c>
      <c r="U425">
        <v>1</v>
      </c>
      <c r="X425">
        <v>-15</v>
      </c>
      <c r="Y425">
        <v>48</v>
      </c>
      <c r="Z425">
        <v>-15</v>
      </c>
      <c r="AA425">
        <v>24</v>
      </c>
      <c r="AE425" t="s">
        <v>3711</v>
      </c>
      <c r="AF425" t="s">
        <v>3699</v>
      </c>
      <c r="AL425" t="s">
        <v>785</v>
      </c>
      <c r="AN425" s="7">
        <v>9.52</v>
      </c>
      <c r="AO425" s="7">
        <v>15.88</v>
      </c>
      <c r="AP425" s="7" t="s">
        <v>1800</v>
      </c>
      <c r="AQ425" t="s">
        <v>49</v>
      </c>
      <c r="AR425" t="s">
        <v>49</v>
      </c>
      <c r="AS425" t="s">
        <v>49</v>
      </c>
      <c r="AT425" t="s">
        <v>49</v>
      </c>
      <c r="AU425" t="s">
        <v>50</v>
      </c>
      <c r="AV425" s="7" t="s">
        <v>3023</v>
      </c>
      <c r="AW425" s="7" t="s">
        <v>3044</v>
      </c>
      <c r="AX425">
        <v>16</v>
      </c>
      <c r="BE425" s="7" t="s">
        <v>3369</v>
      </c>
      <c r="BF425" t="s">
        <v>49</v>
      </c>
      <c r="BI425" t="s">
        <v>241</v>
      </c>
      <c r="BS425" t="s">
        <v>1824</v>
      </c>
      <c r="CH425">
        <v>790</v>
      </c>
      <c r="CI425">
        <v>875</v>
      </c>
      <c r="CJ425">
        <v>370</v>
      </c>
      <c r="CK425">
        <v>1083</v>
      </c>
      <c r="CL425">
        <v>920</v>
      </c>
      <c r="CM425">
        <v>488</v>
      </c>
      <c r="CN425" s="2">
        <v>70</v>
      </c>
      <c r="CO425">
        <v>75</v>
      </c>
      <c r="CP425" s="2">
        <v>52</v>
      </c>
      <c r="CQ425">
        <v>112</v>
      </c>
      <c r="CR425">
        <v>950</v>
      </c>
      <c r="CS425">
        <v>1033</v>
      </c>
      <c r="CT425">
        <v>950</v>
      </c>
      <c r="CU425">
        <v>1038</v>
      </c>
      <c r="CV425" s="7">
        <v>6</v>
      </c>
      <c r="CW425" s="7">
        <v>9.5</v>
      </c>
    </row>
    <row r="426" spans="1:101" x14ac:dyDescent="0.25">
      <c r="A426" t="s">
        <v>1837</v>
      </c>
      <c r="B426" t="s">
        <v>1542</v>
      </c>
      <c r="C426" t="s">
        <v>214</v>
      </c>
      <c r="D426" t="s">
        <v>1838</v>
      </c>
      <c r="E426" t="s">
        <v>2149</v>
      </c>
      <c r="F426" t="s">
        <v>1362</v>
      </c>
      <c r="G426" t="s">
        <v>41</v>
      </c>
      <c r="H426">
        <v>163600</v>
      </c>
      <c r="I426" t="s">
        <v>3704</v>
      </c>
      <c r="J426" t="s">
        <v>1839</v>
      </c>
      <c r="K426" t="s">
        <v>1840</v>
      </c>
      <c r="L426" t="s">
        <v>49</v>
      </c>
      <c r="M426" s="7">
        <v>12</v>
      </c>
      <c r="N426" s="7">
        <v>13.5</v>
      </c>
      <c r="O426" s="7">
        <v>4.2</v>
      </c>
      <c r="P426" s="7">
        <v>4</v>
      </c>
      <c r="Q426">
        <v>50</v>
      </c>
      <c r="R426">
        <v>30</v>
      </c>
      <c r="U426">
        <v>1</v>
      </c>
      <c r="X426">
        <v>-15</v>
      </c>
      <c r="Y426">
        <v>43</v>
      </c>
      <c r="Z426">
        <v>-15</v>
      </c>
      <c r="AA426">
        <v>24</v>
      </c>
      <c r="AC426" t="s">
        <v>1841</v>
      </c>
      <c r="AD426">
        <v>68</v>
      </c>
      <c r="AE426" t="s">
        <v>3709</v>
      </c>
      <c r="AF426" t="s">
        <v>3620</v>
      </c>
      <c r="AI426" t="s">
        <v>1842</v>
      </c>
      <c r="AJ426">
        <v>220</v>
      </c>
      <c r="AK426" t="s">
        <v>1755</v>
      </c>
      <c r="AL426" t="s">
        <v>1686</v>
      </c>
      <c r="AM426">
        <v>380</v>
      </c>
      <c r="AN426" s="7">
        <v>12.7</v>
      </c>
      <c r="AO426" s="7">
        <v>19</v>
      </c>
      <c r="AP426" s="7" t="s">
        <v>1785</v>
      </c>
      <c r="AQ426" t="s">
        <v>49</v>
      </c>
      <c r="AR426" t="s">
        <v>49</v>
      </c>
      <c r="AS426" t="s">
        <v>44</v>
      </c>
      <c r="AT426" t="s">
        <v>44</v>
      </c>
      <c r="AU426" t="s">
        <v>50</v>
      </c>
      <c r="AV426" s="7" t="s">
        <v>3022</v>
      </c>
      <c r="AW426" s="7" t="s">
        <v>3044</v>
      </c>
      <c r="AX426">
        <v>20</v>
      </c>
      <c r="BA426" t="s">
        <v>1808</v>
      </c>
      <c r="BE426" s="7">
        <v>39637</v>
      </c>
      <c r="BF426" t="s">
        <v>49</v>
      </c>
      <c r="BH426">
        <v>114</v>
      </c>
      <c r="BI426" t="s">
        <v>241</v>
      </c>
      <c r="BS426" t="s">
        <v>1832</v>
      </c>
      <c r="CH426">
        <v>1100</v>
      </c>
      <c r="CI426">
        <v>1158</v>
      </c>
      <c r="CJ426">
        <v>1120</v>
      </c>
      <c r="CK426">
        <v>1235</v>
      </c>
      <c r="CL426">
        <v>440</v>
      </c>
      <c r="CM426">
        <v>483</v>
      </c>
      <c r="CN426" s="2">
        <v>100</v>
      </c>
      <c r="CO426">
        <v>112</v>
      </c>
      <c r="CP426" s="2">
        <v>60</v>
      </c>
      <c r="CQ426">
        <v>133</v>
      </c>
      <c r="CR426">
        <v>950</v>
      </c>
      <c r="CS426">
        <v>1038</v>
      </c>
      <c r="CT426">
        <v>950</v>
      </c>
      <c r="CU426">
        <v>1033</v>
      </c>
      <c r="CV426" s="7">
        <v>7</v>
      </c>
      <c r="CW426" s="7">
        <v>11</v>
      </c>
    </row>
    <row r="427" spans="1:101" x14ac:dyDescent="0.25">
      <c r="A427" t="s">
        <v>1843</v>
      </c>
      <c r="B427" t="s">
        <v>1542</v>
      </c>
      <c r="C427" t="s">
        <v>214</v>
      </c>
      <c r="D427" t="s">
        <v>1844</v>
      </c>
      <c r="E427" t="s">
        <v>2149</v>
      </c>
      <c r="F427" t="s">
        <v>1362</v>
      </c>
      <c r="G427" t="s">
        <v>41</v>
      </c>
      <c r="H427">
        <v>172480</v>
      </c>
      <c r="I427" t="s">
        <v>3704</v>
      </c>
      <c r="J427" t="s">
        <v>1845</v>
      </c>
      <c r="K427" t="s">
        <v>1846</v>
      </c>
      <c r="L427" t="s">
        <v>49</v>
      </c>
      <c r="M427" s="7">
        <v>14</v>
      </c>
      <c r="N427" s="7">
        <v>14.8</v>
      </c>
      <c r="O427" s="7">
        <v>4.8</v>
      </c>
      <c r="P427" s="7">
        <v>4.9000000000000004</v>
      </c>
      <c r="Q427">
        <v>50</v>
      </c>
      <c r="R427">
        <v>30</v>
      </c>
      <c r="S427">
        <v>43</v>
      </c>
      <c r="T427">
        <v>47</v>
      </c>
      <c r="U427">
        <v>1</v>
      </c>
      <c r="V427">
        <v>60</v>
      </c>
      <c r="X427">
        <v>-15</v>
      </c>
      <c r="Y427">
        <v>43</v>
      </c>
      <c r="Z427">
        <v>-15</v>
      </c>
      <c r="AA427">
        <v>24</v>
      </c>
      <c r="AC427" t="s">
        <v>1847</v>
      </c>
      <c r="AD427">
        <v>80</v>
      </c>
      <c r="AE427">
        <v>2.91</v>
      </c>
      <c r="AF427">
        <v>3.02</v>
      </c>
      <c r="AI427" t="s">
        <v>1848</v>
      </c>
      <c r="AJ427">
        <v>220</v>
      </c>
      <c r="AK427" t="s">
        <v>1764</v>
      </c>
      <c r="AL427" t="s">
        <v>677</v>
      </c>
      <c r="AM427">
        <v>380</v>
      </c>
      <c r="AN427" s="7">
        <v>12.7</v>
      </c>
      <c r="AO427" s="7">
        <v>19</v>
      </c>
      <c r="AP427" s="7" t="s">
        <v>1785</v>
      </c>
      <c r="AQ427" t="s">
        <v>49</v>
      </c>
      <c r="AR427" t="s">
        <v>49</v>
      </c>
      <c r="AS427" t="s">
        <v>49</v>
      </c>
      <c r="AT427" t="s">
        <v>49</v>
      </c>
      <c r="AU427" t="s">
        <v>50</v>
      </c>
      <c r="AV427" s="7" t="s">
        <v>3022</v>
      </c>
      <c r="AW427" s="7" t="s">
        <v>3044</v>
      </c>
      <c r="AX427">
        <v>25</v>
      </c>
      <c r="BA427" t="s">
        <v>1808</v>
      </c>
      <c r="BE427" s="7" t="s">
        <v>3370</v>
      </c>
      <c r="BF427" t="s">
        <v>49</v>
      </c>
      <c r="BG427" t="s">
        <v>1385</v>
      </c>
      <c r="BH427">
        <v>133</v>
      </c>
      <c r="BI427" t="s">
        <v>241</v>
      </c>
      <c r="CH427">
        <v>1100</v>
      </c>
      <c r="CI427">
        <v>1158</v>
      </c>
      <c r="CJ427">
        <v>1120</v>
      </c>
      <c r="CK427">
        <v>1235</v>
      </c>
      <c r="CL427">
        <v>440</v>
      </c>
      <c r="CM427">
        <v>483</v>
      </c>
      <c r="CN427" s="2">
        <v>103</v>
      </c>
      <c r="CO427">
        <v>115</v>
      </c>
      <c r="CP427" s="2">
        <v>60</v>
      </c>
      <c r="CQ427">
        <v>133</v>
      </c>
      <c r="CR427">
        <v>950</v>
      </c>
      <c r="CS427">
        <v>1038</v>
      </c>
      <c r="CT427">
        <v>950</v>
      </c>
      <c r="CU427">
        <v>1033</v>
      </c>
      <c r="CV427" s="7">
        <v>7</v>
      </c>
      <c r="CW427" s="7">
        <v>11</v>
      </c>
    </row>
    <row r="428" spans="1:101" x14ac:dyDescent="0.25">
      <c r="A428" t="s">
        <v>1849</v>
      </c>
      <c r="B428" t="s">
        <v>1542</v>
      </c>
      <c r="C428" t="s">
        <v>214</v>
      </c>
      <c r="D428" t="s">
        <v>1850</v>
      </c>
      <c r="E428" t="s">
        <v>2149</v>
      </c>
      <c r="F428" t="s">
        <v>1362</v>
      </c>
      <c r="G428" t="s">
        <v>41</v>
      </c>
      <c r="H428">
        <v>177080</v>
      </c>
      <c r="I428" t="s">
        <v>1782</v>
      </c>
      <c r="J428" t="s">
        <v>1851</v>
      </c>
      <c r="K428" t="s">
        <v>1852</v>
      </c>
      <c r="L428" t="s">
        <v>49</v>
      </c>
      <c r="M428" s="7">
        <v>14.1</v>
      </c>
      <c r="N428" s="7">
        <v>15.1</v>
      </c>
      <c r="O428" s="7">
        <v>4.5</v>
      </c>
      <c r="P428" s="7">
        <v>4.3</v>
      </c>
      <c r="Q428">
        <v>50</v>
      </c>
      <c r="R428">
        <v>30</v>
      </c>
      <c r="U428">
        <v>1</v>
      </c>
      <c r="X428">
        <v>-15</v>
      </c>
      <c r="Y428">
        <v>48</v>
      </c>
      <c r="Z428">
        <v>-15</v>
      </c>
      <c r="AA428">
        <v>24</v>
      </c>
      <c r="AD428">
        <v>100</v>
      </c>
      <c r="AE428" t="s">
        <v>3638</v>
      </c>
      <c r="AF428" t="s">
        <v>3581</v>
      </c>
      <c r="AL428" t="s">
        <v>785</v>
      </c>
      <c r="AN428" s="7">
        <v>9.52</v>
      </c>
      <c r="AO428" s="7">
        <v>15.88</v>
      </c>
      <c r="AP428" s="7" t="s">
        <v>1800</v>
      </c>
      <c r="AQ428" t="s">
        <v>49</v>
      </c>
      <c r="AR428" t="s">
        <v>49</v>
      </c>
      <c r="AS428" t="s">
        <v>49</v>
      </c>
      <c r="AT428" t="s">
        <v>49</v>
      </c>
      <c r="AU428" t="s">
        <v>50</v>
      </c>
      <c r="AV428" s="7" t="s">
        <v>3022</v>
      </c>
      <c r="AW428" s="7" t="s">
        <v>3044</v>
      </c>
      <c r="AX428">
        <v>20</v>
      </c>
      <c r="BE428" s="7">
        <v>27613</v>
      </c>
      <c r="BF428" t="s">
        <v>49</v>
      </c>
      <c r="BH428">
        <v>165</v>
      </c>
      <c r="BI428" t="s">
        <v>241</v>
      </c>
      <c r="BS428" t="s">
        <v>1853</v>
      </c>
      <c r="CH428">
        <v>820</v>
      </c>
      <c r="CI428">
        <v>973</v>
      </c>
      <c r="CJ428">
        <v>460</v>
      </c>
      <c r="CK428">
        <v>573</v>
      </c>
      <c r="CL428">
        <v>940</v>
      </c>
      <c r="CM428">
        <v>1083</v>
      </c>
      <c r="CN428" s="2">
        <v>97</v>
      </c>
      <c r="CO428">
        <v>108</v>
      </c>
      <c r="CP428" s="2">
        <v>52</v>
      </c>
      <c r="CQ428">
        <v>112</v>
      </c>
      <c r="CR428">
        <v>950</v>
      </c>
      <c r="CS428">
        <v>1033</v>
      </c>
      <c r="CT428">
        <v>950</v>
      </c>
      <c r="CU428">
        <v>1038</v>
      </c>
      <c r="CV428" s="7">
        <v>6</v>
      </c>
      <c r="CW428" s="7">
        <v>9.5</v>
      </c>
    </row>
    <row r="429" spans="1:101" x14ac:dyDescent="0.25">
      <c r="A429" t="s">
        <v>1854</v>
      </c>
      <c r="B429" t="s">
        <v>1542</v>
      </c>
      <c r="C429" t="s">
        <v>214</v>
      </c>
      <c r="D429" t="s">
        <v>1855</v>
      </c>
      <c r="E429" t="s">
        <v>2149</v>
      </c>
      <c r="F429" t="s">
        <v>1362</v>
      </c>
      <c r="G429" t="s">
        <v>41</v>
      </c>
      <c r="H429">
        <v>197040</v>
      </c>
      <c r="I429" t="s">
        <v>3704</v>
      </c>
      <c r="J429" t="s">
        <v>1856</v>
      </c>
      <c r="K429" t="s">
        <v>1857</v>
      </c>
      <c r="L429" t="s">
        <v>49</v>
      </c>
      <c r="M429" s="7">
        <v>15</v>
      </c>
      <c r="N429" s="7">
        <v>16.8</v>
      </c>
      <c r="O429" s="7">
        <v>5.3</v>
      </c>
      <c r="P429" s="7">
        <v>5.2</v>
      </c>
      <c r="Q429">
        <v>50</v>
      </c>
      <c r="R429">
        <v>30</v>
      </c>
      <c r="S429">
        <v>47</v>
      </c>
      <c r="T429">
        <v>51</v>
      </c>
      <c r="U429">
        <v>1</v>
      </c>
      <c r="V429">
        <v>61</v>
      </c>
      <c r="X429">
        <v>-15</v>
      </c>
      <c r="Y429">
        <v>43</v>
      </c>
      <c r="Z429">
        <v>-15</v>
      </c>
      <c r="AA429">
        <v>24</v>
      </c>
      <c r="AC429" t="s">
        <v>1858</v>
      </c>
      <c r="AD429">
        <v>85</v>
      </c>
      <c r="AE429">
        <v>2.83</v>
      </c>
      <c r="AF429">
        <v>3.23</v>
      </c>
      <c r="AI429" t="s">
        <v>1859</v>
      </c>
      <c r="AJ429">
        <v>220</v>
      </c>
      <c r="AK429" t="s">
        <v>1860</v>
      </c>
      <c r="AL429" t="s">
        <v>677</v>
      </c>
      <c r="AM429">
        <v>380</v>
      </c>
      <c r="AN429" s="7">
        <v>12.7</v>
      </c>
      <c r="AO429" s="7">
        <v>19</v>
      </c>
      <c r="AP429" s="7" t="s">
        <v>1785</v>
      </c>
      <c r="AQ429" t="s">
        <v>49</v>
      </c>
      <c r="AR429" t="s">
        <v>49</v>
      </c>
      <c r="AS429" t="s">
        <v>49</v>
      </c>
      <c r="AT429" t="s">
        <v>49</v>
      </c>
      <c r="AU429" t="s">
        <v>50</v>
      </c>
      <c r="AV429" s="7" t="s">
        <v>3022</v>
      </c>
      <c r="AW429" s="7" t="s">
        <v>3044</v>
      </c>
      <c r="AX429">
        <v>25</v>
      </c>
      <c r="BA429" t="s">
        <v>1808</v>
      </c>
      <c r="BE429" s="7" t="s">
        <v>3371</v>
      </c>
      <c r="BF429" t="s">
        <v>49</v>
      </c>
      <c r="BG429" t="s">
        <v>1733</v>
      </c>
      <c r="BH429">
        <v>142</v>
      </c>
      <c r="BI429" t="s">
        <v>241</v>
      </c>
      <c r="CH429">
        <v>1350</v>
      </c>
      <c r="CI429">
        <v>1500</v>
      </c>
      <c r="CJ429">
        <v>980</v>
      </c>
      <c r="CK429">
        <v>1027</v>
      </c>
      <c r="CL429">
        <v>410</v>
      </c>
      <c r="CM429">
        <v>443</v>
      </c>
      <c r="CN429" s="2">
        <v>118</v>
      </c>
      <c r="CO429">
        <v>129</v>
      </c>
      <c r="CP429" s="2">
        <v>60</v>
      </c>
      <c r="CQ429">
        <v>133</v>
      </c>
      <c r="CR429">
        <v>950</v>
      </c>
      <c r="CS429">
        <v>1038</v>
      </c>
      <c r="CT429">
        <v>950</v>
      </c>
      <c r="CU429">
        <v>1033</v>
      </c>
      <c r="CV429" s="7">
        <v>7</v>
      </c>
      <c r="CW429" s="7">
        <v>11</v>
      </c>
    </row>
    <row r="430" spans="1:101" x14ac:dyDescent="0.25">
      <c r="A430" t="s">
        <v>1861</v>
      </c>
      <c r="B430" t="s">
        <v>1542</v>
      </c>
      <c r="C430" t="s">
        <v>214</v>
      </c>
      <c r="D430" t="s">
        <v>1862</v>
      </c>
      <c r="E430" t="s">
        <v>2149</v>
      </c>
      <c r="F430" t="s">
        <v>1362</v>
      </c>
      <c r="G430" t="s">
        <v>41</v>
      </c>
      <c r="H430">
        <v>201640</v>
      </c>
      <c r="I430" t="s">
        <v>1782</v>
      </c>
      <c r="J430" t="s">
        <v>1863</v>
      </c>
      <c r="K430" t="s">
        <v>1864</v>
      </c>
      <c r="L430" t="s">
        <v>49</v>
      </c>
      <c r="M430" s="7">
        <v>15</v>
      </c>
      <c r="N430" s="7">
        <v>17.399999999999999</v>
      </c>
      <c r="O430" s="7">
        <v>5.3</v>
      </c>
      <c r="P430" s="7">
        <v>5.6</v>
      </c>
      <c r="Q430">
        <v>50</v>
      </c>
      <c r="R430">
        <v>30</v>
      </c>
      <c r="U430">
        <v>1</v>
      </c>
      <c r="X430">
        <v>-15</v>
      </c>
      <c r="Y430">
        <v>48</v>
      </c>
      <c r="Z430">
        <v>-15</v>
      </c>
      <c r="AA430">
        <v>24</v>
      </c>
      <c r="AD430">
        <v>110</v>
      </c>
      <c r="AE430" t="s">
        <v>3499</v>
      </c>
      <c r="AF430" t="s">
        <v>3663</v>
      </c>
      <c r="AL430" t="s">
        <v>785</v>
      </c>
      <c r="AN430" s="7">
        <v>9.52</v>
      </c>
      <c r="AO430" s="7">
        <v>15.88</v>
      </c>
      <c r="AP430" s="7" t="s">
        <v>1800</v>
      </c>
      <c r="AQ430" t="s">
        <v>49</v>
      </c>
      <c r="AR430" t="s">
        <v>49</v>
      </c>
      <c r="AS430" t="s">
        <v>49</v>
      </c>
      <c r="AT430" t="s">
        <v>49</v>
      </c>
      <c r="AU430" t="s">
        <v>50</v>
      </c>
      <c r="AV430" s="7" t="s">
        <v>3022</v>
      </c>
      <c r="AW430" s="7" t="s">
        <v>3044</v>
      </c>
      <c r="AX430">
        <v>20</v>
      </c>
      <c r="BE430" s="7" t="s">
        <v>3372</v>
      </c>
      <c r="BF430" t="s">
        <v>49</v>
      </c>
      <c r="BH430">
        <v>185</v>
      </c>
      <c r="BI430" t="s">
        <v>241</v>
      </c>
      <c r="BS430" t="s">
        <v>1865</v>
      </c>
      <c r="CH430">
        <v>820</v>
      </c>
      <c r="CI430">
        <v>973</v>
      </c>
      <c r="CJ430">
        <v>460</v>
      </c>
      <c r="CK430">
        <v>573</v>
      </c>
      <c r="CL430">
        <v>940</v>
      </c>
      <c r="CM430">
        <v>1083</v>
      </c>
      <c r="CN430" s="2">
        <v>103</v>
      </c>
      <c r="CO430">
        <v>114</v>
      </c>
      <c r="CP430" s="2">
        <v>52</v>
      </c>
      <c r="CQ430">
        <v>112</v>
      </c>
      <c r="CR430">
        <v>950</v>
      </c>
      <c r="CS430">
        <v>1033</v>
      </c>
      <c r="CT430">
        <v>950</v>
      </c>
      <c r="CU430">
        <v>1038</v>
      </c>
      <c r="CV430" s="7">
        <v>6</v>
      </c>
      <c r="CW430" s="7">
        <v>9.5</v>
      </c>
    </row>
    <row r="431" spans="1:101" x14ac:dyDescent="0.25">
      <c r="A431" t="s">
        <v>1866</v>
      </c>
      <c r="B431" t="s">
        <v>1542</v>
      </c>
      <c r="C431" t="s">
        <v>214</v>
      </c>
      <c r="D431" t="s">
        <v>1867</v>
      </c>
      <c r="E431" t="s">
        <v>2152</v>
      </c>
      <c r="F431" t="s">
        <v>1868</v>
      </c>
      <c r="G431" t="s">
        <v>41</v>
      </c>
      <c r="H431">
        <v>130200</v>
      </c>
      <c r="I431" t="s">
        <v>1869</v>
      </c>
      <c r="J431" t="s">
        <v>1870</v>
      </c>
      <c r="K431" t="s">
        <v>1871</v>
      </c>
      <c r="L431" t="s">
        <v>49</v>
      </c>
      <c r="M431" s="7">
        <v>7.06</v>
      </c>
      <c r="N431" s="7">
        <v>7.8</v>
      </c>
      <c r="O431" s="7">
        <v>2.4300000000000002</v>
      </c>
      <c r="P431" s="7">
        <v>2.35</v>
      </c>
      <c r="Q431">
        <v>25</v>
      </c>
      <c r="R431">
        <v>10</v>
      </c>
      <c r="U431">
        <v>1</v>
      </c>
      <c r="X431">
        <v>18</v>
      </c>
      <c r="Y431">
        <v>43</v>
      </c>
      <c r="Z431">
        <v>-15</v>
      </c>
      <c r="AA431">
        <v>24</v>
      </c>
      <c r="AD431">
        <v>32</v>
      </c>
      <c r="AE431" t="s">
        <v>3614</v>
      </c>
      <c r="AF431" t="s">
        <v>3712</v>
      </c>
      <c r="AL431" t="s">
        <v>785</v>
      </c>
      <c r="AN431" s="7">
        <v>6.35</v>
      </c>
      <c r="AO431" s="7">
        <v>15.88</v>
      </c>
      <c r="AP431" s="7">
        <v>17</v>
      </c>
      <c r="AQ431" t="s">
        <v>49</v>
      </c>
      <c r="AR431" t="s">
        <v>49</v>
      </c>
      <c r="AS431" t="s">
        <v>49</v>
      </c>
      <c r="AT431" t="s">
        <v>49</v>
      </c>
      <c r="AU431" t="s">
        <v>50</v>
      </c>
      <c r="AV431" s="7" t="s">
        <v>3021</v>
      </c>
      <c r="AW431" s="7" t="s">
        <v>3023</v>
      </c>
      <c r="AX431">
        <v>25</v>
      </c>
      <c r="BE431" s="7" t="s">
        <v>3373</v>
      </c>
      <c r="BF431" t="s">
        <v>49</v>
      </c>
      <c r="BH431">
        <v>71</v>
      </c>
      <c r="BI431" t="s">
        <v>120</v>
      </c>
      <c r="BS431" t="s">
        <v>1872</v>
      </c>
      <c r="CH431">
        <v>700</v>
      </c>
      <c r="CI431">
        <v>750</v>
      </c>
      <c r="CJ431">
        <v>955</v>
      </c>
      <c r="CK431">
        <v>1029</v>
      </c>
      <c r="CL431">
        <v>396</v>
      </c>
      <c r="CM431">
        <v>458</v>
      </c>
      <c r="CN431" s="2">
        <v>60</v>
      </c>
      <c r="CO431">
        <v>64.5</v>
      </c>
      <c r="CP431" s="2">
        <v>1770</v>
      </c>
      <c r="CQ431">
        <v>1988</v>
      </c>
      <c r="CR431">
        <v>507</v>
      </c>
      <c r="CS431">
        <v>623</v>
      </c>
      <c r="CT431">
        <v>320</v>
      </c>
      <c r="CU431">
        <v>440</v>
      </c>
      <c r="CV431" s="7">
        <v>40</v>
      </c>
      <c r="CW431" s="7">
        <v>52</v>
      </c>
    </row>
    <row r="432" spans="1:101" x14ac:dyDescent="0.25">
      <c r="A432" t="s">
        <v>1873</v>
      </c>
      <c r="B432" t="s">
        <v>1542</v>
      </c>
      <c r="C432" t="s">
        <v>214</v>
      </c>
      <c r="D432" t="s">
        <v>1874</v>
      </c>
      <c r="E432" t="s">
        <v>2152</v>
      </c>
      <c r="F432" t="s">
        <v>1868</v>
      </c>
      <c r="G432" t="s">
        <v>75</v>
      </c>
      <c r="H432">
        <v>214800</v>
      </c>
      <c r="I432" t="s">
        <v>1869</v>
      </c>
      <c r="J432" t="s">
        <v>1870</v>
      </c>
      <c r="K432" t="s">
        <v>1871</v>
      </c>
      <c r="L432" t="s">
        <v>49</v>
      </c>
      <c r="M432" s="7">
        <v>14.1</v>
      </c>
      <c r="N432" s="7">
        <v>15.5</v>
      </c>
      <c r="O432" s="7">
        <v>5</v>
      </c>
      <c r="P432" s="7">
        <v>4.83</v>
      </c>
      <c r="Q432">
        <v>30</v>
      </c>
      <c r="R432">
        <v>20</v>
      </c>
      <c r="U432">
        <v>1</v>
      </c>
      <c r="X432">
        <v>18</v>
      </c>
      <c r="Y432">
        <v>43</v>
      </c>
      <c r="Z432">
        <v>-15</v>
      </c>
      <c r="AA432">
        <v>24</v>
      </c>
      <c r="AD432">
        <v>55</v>
      </c>
      <c r="AE432" t="s">
        <v>3713</v>
      </c>
      <c r="AF432" t="s">
        <v>3689</v>
      </c>
      <c r="AL432" t="s">
        <v>785</v>
      </c>
      <c r="AN432" s="7">
        <v>12.7</v>
      </c>
      <c r="AO432" s="7">
        <v>19.05</v>
      </c>
      <c r="AP432" s="7">
        <v>17</v>
      </c>
      <c r="AQ432" t="s">
        <v>49</v>
      </c>
      <c r="AR432" t="s">
        <v>49</v>
      </c>
      <c r="AS432" t="s">
        <v>49</v>
      </c>
      <c r="AT432" t="s">
        <v>49</v>
      </c>
      <c r="AU432" t="s">
        <v>50</v>
      </c>
      <c r="AV432" s="7" t="s">
        <v>3022</v>
      </c>
      <c r="AW432" s="7" t="s">
        <v>3036</v>
      </c>
      <c r="AX432">
        <v>25</v>
      </c>
      <c r="BE432" s="7" t="s">
        <v>3374</v>
      </c>
      <c r="BF432" t="s">
        <v>49</v>
      </c>
      <c r="BH432">
        <v>141</v>
      </c>
      <c r="BI432" t="s">
        <v>241</v>
      </c>
      <c r="BS432" t="s">
        <v>1824</v>
      </c>
      <c r="CH432">
        <v>1250</v>
      </c>
      <c r="CI432">
        <v>1400</v>
      </c>
      <c r="CJ432">
        <v>1032</v>
      </c>
      <c r="CK432">
        <v>1113</v>
      </c>
      <c r="CL432">
        <v>412</v>
      </c>
      <c r="CM432">
        <v>453</v>
      </c>
      <c r="CN432" s="2">
        <v>107</v>
      </c>
      <c r="CO432">
        <v>118</v>
      </c>
      <c r="CP432" s="2">
        <v>1882</v>
      </c>
      <c r="CQ432">
        <v>2153</v>
      </c>
      <c r="CR432">
        <v>587</v>
      </c>
      <c r="CS432">
        <v>738</v>
      </c>
      <c r="CT432">
        <v>394</v>
      </c>
      <c r="CU432">
        <v>545</v>
      </c>
      <c r="CV432" s="7">
        <v>61</v>
      </c>
      <c r="CW432" s="7">
        <v>83.5</v>
      </c>
    </row>
    <row r="433" spans="1:101" x14ac:dyDescent="0.25">
      <c r="A433" t="s">
        <v>1875</v>
      </c>
      <c r="B433" t="s">
        <v>1542</v>
      </c>
      <c r="C433" t="s">
        <v>214</v>
      </c>
      <c r="D433" t="s">
        <v>1876</v>
      </c>
      <c r="E433" t="s">
        <v>2152</v>
      </c>
      <c r="F433" t="s">
        <v>1868</v>
      </c>
      <c r="G433" t="s">
        <v>75</v>
      </c>
      <c r="H433">
        <v>231200</v>
      </c>
      <c r="I433" t="s">
        <v>1869</v>
      </c>
      <c r="J433" t="s">
        <v>1870</v>
      </c>
      <c r="K433" t="s">
        <v>1871</v>
      </c>
      <c r="L433" t="s">
        <v>49</v>
      </c>
      <c r="M433" s="7">
        <v>15.2</v>
      </c>
      <c r="N433" s="7">
        <v>17</v>
      </c>
      <c r="O433" s="7">
        <v>5.41</v>
      </c>
      <c r="P433" s="7">
        <v>5.29</v>
      </c>
      <c r="Q433">
        <v>30</v>
      </c>
      <c r="R433">
        <v>20</v>
      </c>
      <c r="U433">
        <v>1</v>
      </c>
      <c r="X433">
        <v>18</v>
      </c>
      <c r="Y433">
        <v>43</v>
      </c>
      <c r="Z433">
        <v>-15</v>
      </c>
      <c r="AA433">
        <v>24</v>
      </c>
      <c r="AD433">
        <v>80</v>
      </c>
      <c r="AE433" t="s">
        <v>3714</v>
      </c>
      <c r="AF433" t="s">
        <v>3689</v>
      </c>
      <c r="AL433" t="s">
        <v>785</v>
      </c>
      <c r="AN433" s="7">
        <v>12.7</v>
      </c>
      <c r="AO433" s="7">
        <v>19.05</v>
      </c>
      <c r="AP433" s="7">
        <v>17</v>
      </c>
      <c r="AQ433" t="s">
        <v>49</v>
      </c>
      <c r="AR433" t="s">
        <v>49</v>
      </c>
      <c r="AS433" t="s">
        <v>49</v>
      </c>
      <c r="AT433" t="s">
        <v>49</v>
      </c>
      <c r="AU433" t="s">
        <v>50</v>
      </c>
      <c r="AV433" s="7" t="s">
        <v>3022</v>
      </c>
      <c r="AW433" s="7" t="s">
        <v>3036</v>
      </c>
      <c r="AX433">
        <v>25</v>
      </c>
      <c r="BE433" s="7" t="s">
        <v>3375</v>
      </c>
      <c r="BF433" t="s">
        <v>49</v>
      </c>
      <c r="BH433">
        <v>152</v>
      </c>
      <c r="BI433" t="s">
        <v>241</v>
      </c>
      <c r="BS433" t="s">
        <v>1877</v>
      </c>
      <c r="CH433">
        <v>1250</v>
      </c>
      <c r="CI433">
        <v>1400</v>
      </c>
      <c r="CJ433">
        <v>1032</v>
      </c>
      <c r="CK433">
        <v>1113</v>
      </c>
      <c r="CL433">
        <v>412</v>
      </c>
      <c r="CM433">
        <v>453</v>
      </c>
      <c r="CN433" s="2">
        <v>107</v>
      </c>
      <c r="CO433">
        <v>118</v>
      </c>
      <c r="CP433" s="2">
        <v>1882</v>
      </c>
      <c r="CQ433">
        <v>2153</v>
      </c>
      <c r="CR433">
        <v>587</v>
      </c>
      <c r="CS433">
        <v>738</v>
      </c>
      <c r="CT433">
        <v>394</v>
      </c>
      <c r="CU433">
        <v>545</v>
      </c>
      <c r="CV433" s="7">
        <v>61</v>
      </c>
      <c r="CW433" s="7">
        <v>83.5</v>
      </c>
    </row>
    <row r="434" spans="1:101" x14ac:dyDescent="0.25">
      <c r="A434" t="s">
        <v>1882</v>
      </c>
      <c r="B434" t="s">
        <v>1542</v>
      </c>
      <c r="C434" t="s">
        <v>214</v>
      </c>
      <c r="D434" t="s">
        <v>1883</v>
      </c>
      <c r="E434" t="s">
        <v>2150</v>
      </c>
      <c r="F434" t="s">
        <v>1450</v>
      </c>
      <c r="G434" t="s">
        <v>41</v>
      </c>
      <c r="H434">
        <v>88800</v>
      </c>
      <c r="I434" t="s">
        <v>3715</v>
      </c>
      <c r="J434" t="s">
        <v>1884</v>
      </c>
      <c r="K434" t="s">
        <v>1885</v>
      </c>
      <c r="L434" t="s">
        <v>49</v>
      </c>
      <c r="M434" s="7">
        <v>5.5</v>
      </c>
      <c r="N434" s="7">
        <v>5.7</v>
      </c>
      <c r="O434" s="7">
        <v>2</v>
      </c>
      <c r="P434" s="7">
        <v>2</v>
      </c>
      <c r="Q434">
        <v>25</v>
      </c>
      <c r="R434">
        <v>15</v>
      </c>
      <c r="U434">
        <v>1</v>
      </c>
      <c r="X434">
        <v>-15</v>
      </c>
      <c r="Y434">
        <v>43</v>
      </c>
      <c r="Z434">
        <v>-15</v>
      </c>
      <c r="AA434">
        <v>24</v>
      </c>
      <c r="AC434" t="s">
        <v>1886</v>
      </c>
      <c r="AD434">
        <v>31</v>
      </c>
      <c r="AE434" t="s">
        <v>3510</v>
      </c>
      <c r="AF434" t="s">
        <v>3716</v>
      </c>
      <c r="AI434" t="s">
        <v>1887</v>
      </c>
      <c r="AJ434">
        <v>220</v>
      </c>
      <c r="AK434" t="s">
        <v>1793</v>
      </c>
      <c r="AL434" t="s">
        <v>785</v>
      </c>
      <c r="AM434">
        <v>220</v>
      </c>
      <c r="AN434" s="7">
        <v>6.35</v>
      </c>
      <c r="AO434" s="7">
        <v>12.7</v>
      </c>
      <c r="AP434" s="7" t="s">
        <v>1880</v>
      </c>
      <c r="AQ434" t="s">
        <v>49</v>
      </c>
      <c r="AR434" t="s">
        <v>49</v>
      </c>
      <c r="AS434" t="s">
        <v>44</v>
      </c>
      <c r="AT434" t="s">
        <v>44</v>
      </c>
      <c r="AU434" t="s">
        <v>50</v>
      </c>
      <c r="AV434" s="7" t="s">
        <v>3021</v>
      </c>
      <c r="AW434" s="7" t="s">
        <v>3044</v>
      </c>
      <c r="AX434">
        <v>20</v>
      </c>
      <c r="BE434" s="7" t="s">
        <v>3364</v>
      </c>
      <c r="BF434" t="s">
        <v>49</v>
      </c>
      <c r="BH434">
        <v>52</v>
      </c>
      <c r="BI434" t="s">
        <v>120</v>
      </c>
      <c r="BS434" t="s">
        <v>1888</v>
      </c>
      <c r="CP434" s="2">
        <v>665</v>
      </c>
      <c r="CQ434">
        <v>782</v>
      </c>
      <c r="CR434">
        <v>1200</v>
      </c>
      <c r="CS434">
        <v>1363</v>
      </c>
      <c r="CT434">
        <v>235</v>
      </c>
      <c r="CU434">
        <v>288</v>
      </c>
      <c r="CV434" s="7">
        <v>31</v>
      </c>
      <c r="CW434" s="7">
        <v>38</v>
      </c>
    </row>
    <row r="435" spans="1:101" x14ac:dyDescent="0.25">
      <c r="A435" t="s">
        <v>1889</v>
      </c>
      <c r="B435" t="s">
        <v>1542</v>
      </c>
      <c r="C435" t="s">
        <v>214</v>
      </c>
      <c r="D435" t="s">
        <v>1890</v>
      </c>
      <c r="E435" t="s">
        <v>2150</v>
      </c>
      <c r="F435" t="s">
        <v>1450</v>
      </c>
      <c r="G435" t="s">
        <v>41</v>
      </c>
      <c r="H435">
        <v>88800</v>
      </c>
      <c r="I435" t="s">
        <v>3715</v>
      </c>
      <c r="J435" t="s">
        <v>1891</v>
      </c>
      <c r="K435" t="s">
        <v>1892</v>
      </c>
      <c r="L435" t="s">
        <v>49</v>
      </c>
      <c r="M435" s="7">
        <v>5</v>
      </c>
      <c r="N435" s="7">
        <v>5.2</v>
      </c>
      <c r="O435" s="7">
        <v>1.65</v>
      </c>
      <c r="P435" s="7">
        <v>1.45</v>
      </c>
      <c r="Q435">
        <v>30</v>
      </c>
      <c r="R435">
        <v>15</v>
      </c>
      <c r="U435">
        <v>1</v>
      </c>
      <c r="X435">
        <v>-15</v>
      </c>
      <c r="Y435">
        <v>48</v>
      </c>
      <c r="Z435">
        <v>-15</v>
      </c>
      <c r="AA435">
        <v>24</v>
      </c>
      <c r="AE435" t="s">
        <v>3654</v>
      </c>
      <c r="AF435" t="s">
        <v>3717</v>
      </c>
      <c r="AL435" t="s">
        <v>785</v>
      </c>
      <c r="AN435" s="7">
        <v>6.35</v>
      </c>
      <c r="AO435" s="7">
        <v>12.7</v>
      </c>
      <c r="AP435" s="7" t="s">
        <v>1880</v>
      </c>
      <c r="AQ435" t="s">
        <v>49</v>
      </c>
      <c r="AR435" t="s">
        <v>49</v>
      </c>
      <c r="AS435" t="s">
        <v>49</v>
      </c>
      <c r="AT435" t="s">
        <v>49</v>
      </c>
      <c r="AU435" t="s">
        <v>50</v>
      </c>
      <c r="AV435" s="7" t="s">
        <v>3021</v>
      </c>
      <c r="AW435" s="7" t="s">
        <v>3044</v>
      </c>
      <c r="AX435">
        <v>16</v>
      </c>
      <c r="BE435" s="7" t="s">
        <v>3376</v>
      </c>
      <c r="BF435" t="s">
        <v>49</v>
      </c>
      <c r="BI435" t="s">
        <v>120</v>
      </c>
      <c r="BS435" t="s">
        <v>1893</v>
      </c>
      <c r="CP435" s="2">
        <v>665</v>
      </c>
      <c r="CQ435">
        <v>770</v>
      </c>
      <c r="CR435">
        <v>235</v>
      </c>
      <c r="CS435">
        <v>300</v>
      </c>
      <c r="CT435">
        <v>870</v>
      </c>
      <c r="CU435">
        <v>1033</v>
      </c>
      <c r="CV435" s="7">
        <v>25</v>
      </c>
      <c r="CW435" s="7">
        <v>30</v>
      </c>
    </row>
    <row r="436" spans="1:101" x14ac:dyDescent="0.25">
      <c r="A436" t="s">
        <v>1894</v>
      </c>
      <c r="B436" t="s">
        <v>1542</v>
      </c>
      <c r="C436" t="s">
        <v>214</v>
      </c>
      <c r="D436" t="s">
        <v>1895</v>
      </c>
      <c r="E436" t="s">
        <v>2150</v>
      </c>
      <c r="F436" t="s">
        <v>1450</v>
      </c>
      <c r="G436" t="s">
        <v>41</v>
      </c>
      <c r="H436">
        <v>102400</v>
      </c>
      <c r="I436" t="s">
        <v>3715</v>
      </c>
      <c r="J436" t="s">
        <v>1896</v>
      </c>
      <c r="K436" t="s">
        <v>1897</v>
      </c>
      <c r="L436" t="s">
        <v>49</v>
      </c>
      <c r="M436" s="7">
        <v>7.2</v>
      </c>
      <c r="N436" s="7">
        <v>8.1999999999999993</v>
      </c>
      <c r="O436" s="7">
        <v>2.5</v>
      </c>
      <c r="P436" s="7">
        <v>2.4</v>
      </c>
      <c r="Q436">
        <v>30</v>
      </c>
      <c r="R436">
        <v>15</v>
      </c>
      <c r="U436">
        <v>1</v>
      </c>
      <c r="X436">
        <v>-15</v>
      </c>
      <c r="Y436">
        <v>43</v>
      </c>
      <c r="Z436">
        <v>-15</v>
      </c>
      <c r="AA436">
        <v>24</v>
      </c>
      <c r="AC436" t="s">
        <v>1898</v>
      </c>
      <c r="AD436">
        <v>41</v>
      </c>
      <c r="AE436" t="s">
        <v>3674</v>
      </c>
      <c r="AF436" t="s">
        <v>3718</v>
      </c>
      <c r="AI436" t="s">
        <v>1899</v>
      </c>
      <c r="AJ436">
        <v>220</v>
      </c>
      <c r="AK436" t="s">
        <v>1742</v>
      </c>
      <c r="AL436" t="s">
        <v>785</v>
      </c>
      <c r="AM436">
        <v>220</v>
      </c>
      <c r="AN436" s="7">
        <v>9.52</v>
      </c>
      <c r="AO436" s="7">
        <v>15.8</v>
      </c>
      <c r="AP436" s="7" t="s">
        <v>1880</v>
      </c>
      <c r="AQ436" t="s">
        <v>49</v>
      </c>
      <c r="AR436" t="s">
        <v>49</v>
      </c>
      <c r="AS436" t="s">
        <v>44</v>
      </c>
      <c r="AT436" t="s">
        <v>44</v>
      </c>
      <c r="AU436" t="s">
        <v>50</v>
      </c>
      <c r="AV436" s="7" t="s">
        <v>3021</v>
      </c>
      <c r="AW436" s="7" t="s">
        <v>3044</v>
      </c>
      <c r="AX436">
        <v>25</v>
      </c>
      <c r="BE436" s="7" t="s">
        <v>3377</v>
      </c>
      <c r="BF436" t="s">
        <v>49</v>
      </c>
      <c r="BH436">
        <v>68</v>
      </c>
      <c r="BI436" t="s">
        <v>120</v>
      </c>
      <c r="BS436" t="s">
        <v>1900</v>
      </c>
      <c r="CP436" s="2">
        <v>665</v>
      </c>
      <c r="CQ436">
        <v>782</v>
      </c>
      <c r="CR436">
        <v>1200</v>
      </c>
      <c r="CS436">
        <v>1363</v>
      </c>
      <c r="CT436">
        <v>235</v>
      </c>
      <c r="CU436">
        <v>288</v>
      </c>
      <c r="CV436" s="7">
        <v>32</v>
      </c>
      <c r="CW436" s="7">
        <v>39</v>
      </c>
    </row>
    <row r="437" spans="1:101" x14ac:dyDescent="0.25">
      <c r="A437" t="s">
        <v>1901</v>
      </c>
      <c r="B437" t="s">
        <v>1542</v>
      </c>
      <c r="C437" t="s">
        <v>214</v>
      </c>
      <c r="D437" t="s">
        <v>1902</v>
      </c>
      <c r="E437" t="s">
        <v>2150</v>
      </c>
      <c r="F437" t="s">
        <v>1450</v>
      </c>
      <c r="G437" t="s">
        <v>41</v>
      </c>
      <c r="H437">
        <v>102400</v>
      </c>
      <c r="I437" t="s">
        <v>3715</v>
      </c>
      <c r="J437" t="s">
        <v>1903</v>
      </c>
      <c r="K437" t="s">
        <v>1904</v>
      </c>
      <c r="L437" t="s">
        <v>49</v>
      </c>
      <c r="M437" s="7">
        <v>7.3</v>
      </c>
      <c r="N437" s="7">
        <v>7.7</v>
      </c>
      <c r="O437" s="7">
        <v>2.25</v>
      </c>
      <c r="P437" s="7">
        <v>2.2000000000000002</v>
      </c>
      <c r="Q437">
        <v>30</v>
      </c>
      <c r="R437">
        <v>15</v>
      </c>
      <c r="U437">
        <v>1</v>
      </c>
      <c r="X437">
        <v>-15</v>
      </c>
      <c r="Y437">
        <v>48</v>
      </c>
      <c r="Z437">
        <v>-15</v>
      </c>
      <c r="AA437">
        <v>24</v>
      </c>
      <c r="AE437" t="s">
        <v>3719</v>
      </c>
      <c r="AF437" t="s">
        <v>3496</v>
      </c>
      <c r="AL437" t="s">
        <v>785</v>
      </c>
      <c r="AN437" s="7">
        <v>9.52</v>
      </c>
      <c r="AO437" s="7">
        <v>15.88</v>
      </c>
      <c r="AP437" s="7" t="s">
        <v>1880</v>
      </c>
      <c r="AQ437" t="s">
        <v>49</v>
      </c>
      <c r="AR437" t="s">
        <v>49</v>
      </c>
      <c r="AS437" t="s">
        <v>49</v>
      </c>
      <c r="AT437" t="s">
        <v>49</v>
      </c>
      <c r="AU437" t="s">
        <v>50</v>
      </c>
      <c r="AV437" s="7" t="s">
        <v>3021</v>
      </c>
      <c r="AW437" s="7" t="s">
        <v>3044</v>
      </c>
      <c r="AX437">
        <v>20</v>
      </c>
      <c r="BE437" s="7" t="s">
        <v>3378</v>
      </c>
      <c r="BF437" t="s">
        <v>49</v>
      </c>
      <c r="BI437" t="s">
        <v>120</v>
      </c>
      <c r="BS437" t="s">
        <v>1905</v>
      </c>
      <c r="CP437" s="2">
        <v>665</v>
      </c>
      <c r="CQ437">
        <v>770</v>
      </c>
      <c r="CR437">
        <v>235</v>
      </c>
      <c r="CS437">
        <v>300</v>
      </c>
      <c r="CT437">
        <v>1200</v>
      </c>
      <c r="CU437">
        <v>1363</v>
      </c>
      <c r="CV437" s="7">
        <v>33</v>
      </c>
      <c r="CW437" s="7">
        <v>39</v>
      </c>
    </row>
    <row r="438" spans="1:101" x14ac:dyDescent="0.25">
      <c r="A438" t="s">
        <v>1906</v>
      </c>
      <c r="B438" t="s">
        <v>1542</v>
      </c>
      <c r="C438" t="s">
        <v>214</v>
      </c>
      <c r="D438" t="s">
        <v>1907</v>
      </c>
      <c r="E438" t="s">
        <v>2150</v>
      </c>
      <c r="F438" t="s">
        <v>1450</v>
      </c>
      <c r="G438" t="s">
        <v>41</v>
      </c>
      <c r="H438">
        <v>136960</v>
      </c>
      <c r="I438" t="s">
        <v>3715</v>
      </c>
      <c r="J438" t="s">
        <v>1908</v>
      </c>
      <c r="K438" t="s">
        <v>1909</v>
      </c>
      <c r="L438" t="s">
        <v>49</v>
      </c>
      <c r="M438" s="7">
        <v>10.6</v>
      </c>
      <c r="N438" s="7">
        <v>11.8</v>
      </c>
      <c r="O438" s="7">
        <v>3.6</v>
      </c>
      <c r="P438" s="7">
        <v>3.6</v>
      </c>
      <c r="Q438">
        <v>30</v>
      </c>
      <c r="R438">
        <v>15</v>
      </c>
      <c r="U438">
        <v>1</v>
      </c>
      <c r="X438">
        <v>-15</v>
      </c>
      <c r="Y438">
        <v>43</v>
      </c>
      <c r="Z438">
        <v>-15</v>
      </c>
      <c r="AA438">
        <v>24</v>
      </c>
      <c r="AC438" t="s">
        <v>1910</v>
      </c>
      <c r="AD438">
        <v>60</v>
      </c>
      <c r="AE438" t="s">
        <v>3497</v>
      </c>
      <c r="AF438" t="s">
        <v>3720</v>
      </c>
      <c r="AI438" t="s">
        <v>1911</v>
      </c>
      <c r="AJ438">
        <v>220</v>
      </c>
      <c r="AK438" t="s">
        <v>1831</v>
      </c>
      <c r="AL438" t="s">
        <v>1686</v>
      </c>
      <c r="AM438">
        <v>380</v>
      </c>
      <c r="AN438" s="7">
        <v>9.52</v>
      </c>
      <c r="AO438" s="7">
        <v>19</v>
      </c>
      <c r="AP438" s="7" t="s">
        <v>1880</v>
      </c>
      <c r="AQ438" t="s">
        <v>49</v>
      </c>
      <c r="AR438" t="s">
        <v>49</v>
      </c>
      <c r="AS438" t="s">
        <v>44</v>
      </c>
      <c r="AT438" t="s">
        <v>44</v>
      </c>
      <c r="AU438" t="s">
        <v>50</v>
      </c>
      <c r="AV438" s="7" t="s">
        <v>3023</v>
      </c>
      <c r="AW438" s="7" t="s">
        <v>3044</v>
      </c>
      <c r="AX438">
        <v>16</v>
      </c>
      <c r="BE438" s="7">
        <v>38541</v>
      </c>
      <c r="BF438" t="s">
        <v>49</v>
      </c>
      <c r="BH438">
        <v>100</v>
      </c>
      <c r="BI438" t="s">
        <v>241</v>
      </c>
      <c r="BS438" t="s">
        <v>1912</v>
      </c>
      <c r="CP438" s="2">
        <v>665</v>
      </c>
      <c r="CQ438">
        <v>782</v>
      </c>
      <c r="CR438">
        <v>1200</v>
      </c>
      <c r="CS438">
        <v>1363</v>
      </c>
      <c r="CT438">
        <v>235</v>
      </c>
      <c r="CU438">
        <v>288</v>
      </c>
      <c r="CV438" s="7">
        <v>36</v>
      </c>
      <c r="CW438" s="7">
        <v>43</v>
      </c>
    </row>
    <row r="439" spans="1:101" x14ac:dyDescent="0.25">
      <c r="A439" t="s">
        <v>1913</v>
      </c>
      <c r="B439" t="s">
        <v>1542</v>
      </c>
      <c r="C439" t="s">
        <v>214</v>
      </c>
      <c r="D439" t="s">
        <v>1914</v>
      </c>
      <c r="E439" t="s">
        <v>2150</v>
      </c>
      <c r="F439" t="s">
        <v>1450</v>
      </c>
      <c r="G439" t="s">
        <v>41</v>
      </c>
      <c r="H439">
        <v>136960</v>
      </c>
      <c r="I439" t="s">
        <v>3715</v>
      </c>
      <c r="J439" t="s">
        <v>1915</v>
      </c>
      <c r="K439" t="s">
        <v>1916</v>
      </c>
      <c r="L439" t="s">
        <v>49</v>
      </c>
      <c r="M439" s="7">
        <v>10.1</v>
      </c>
      <c r="N439" s="7">
        <v>12</v>
      </c>
      <c r="O439" s="7">
        <v>3.2</v>
      </c>
      <c r="P439" s="7">
        <v>3.4</v>
      </c>
      <c r="Q439">
        <v>30</v>
      </c>
      <c r="R439">
        <v>20</v>
      </c>
      <c r="U439">
        <v>1</v>
      </c>
      <c r="X439">
        <v>-15</v>
      </c>
      <c r="Y439">
        <v>48</v>
      </c>
      <c r="Z439">
        <v>-15</v>
      </c>
      <c r="AA439">
        <v>24</v>
      </c>
      <c r="AE439" t="s">
        <v>3698</v>
      </c>
      <c r="AF439" t="s">
        <v>3721</v>
      </c>
      <c r="AL439" t="s">
        <v>785</v>
      </c>
      <c r="AN439" s="7">
        <v>9.52</v>
      </c>
      <c r="AO439" s="7">
        <v>15.88</v>
      </c>
      <c r="AP439" s="7" t="s">
        <v>1880</v>
      </c>
      <c r="AQ439" t="s">
        <v>49</v>
      </c>
      <c r="AR439" t="s">
        <v>49</v>
      </c>
      <c r="AS439" t="s">
        <v>49</v>
      </c>
      <c r="AT439" t="s">
        <v>49</v>
      </c>
      <c r="AU439" t="s">
        <v>50</v>
      </c>
      <c r="AV439" s="7" t="s">
        <v>3023</v>
      </c>
      <c r="AW439" s="7" t="s">
        <v>3044</v>
      </c>
      <c r="AX439">
        <v>16</v>
      </c>
      <c r="BE439" s="7" t="s">
        <v>3379</v>
      </c>
      <c r="BF439" t="s">
        <v>49</v>
      </c>
      <c r="BI439" t="s">
        <v>241</v>
      </c>
      <c r="BS439" t="s">
        <v>1917</v>
      </c>
      <c r="CP439" s="2">
        <v>665</v>
      </c>
      <c r="CQ439">
        <v>770</v>
      </c>
      <c r="CR439">
        <v>235</v>
      </c>
      <c r="CS439">
        <v>300</v>
      </c>
      <c r="CT439">
        <v>1200</v>
      </c>
      <c r="CU439">
        <v>1363</v>
      </c>
      <c r="CV439" s="7">
        <v>36</v>
      </c>
      <c r="CW439" s="7">
        <v>42</v>
      </c>
    </row>
    <row r="440" spans="1:101" x14ac:dyDescent="0.25">
      <c r="A440" t="s">
        <v>1918</v>
      </c>
      <c r="B440" t="s">
        <v>1542</v>
      </c>
      <c r="C440" t="s">
        <v>214</v>
      </c>
      <c r="D440" t="s">
        <v>1919</v>
      </c>
      <c r="E440" t="s">
        <v>2150</v>
      </c>
      <c r="F440" t="s">
        <v>1450</v>
      </c>
      <c r="G440" t="s">
        <v>41</v>
      </c>
      <c r="H440">
        <v>165360</v>
      </c>
      <c r="I440" t="s">
        <v>3715</v>
      </c>
      <c r="J440" t="s">
        <v>1920</v>
      </c>
      <c r="K440" t="s">
        <v>1921</v>
      </c>
      <c r="L440" t="s">
        <v>49</v>
      </c>
      <c r="M440" s="7">
        <v>12</v>
      </c>
      <c r="N440" s="7">
        <v>13.2</v>
      </c>
      <c r="O440" s="7">
        <v>4.3</v>
      </c>
      <c r="P440" s="7">
        <v>4.0999999999999996</v>
      </c>
      <c r="Q440">
        <v>50</v>
      </c>
      <c r="R440">
        <v>30</v>
      </c>
      <c r="U440">
        <v>1</v>
      </c>
      <c r="X440">
        <v>-15</v>
      </c>
      <c r="Y440">
        <v>43</v>
      </c>
      <c r="Z440">
        <v>-15</v>
      </c>
      <c r="AA440">
        <v>24</v>
      </c>
      <c r="AC440" t="s">
        <v>1922</v>
      </c>
      <c r="AD440">
        <v>68</v>
      </c>
      <c r="AE440" t="s">
        <v>3722</v>
      </c>
      <c r="AF440" t="s">
        <v>3723</v>
      </c>
      <c r="AI440" t="s">
        <v>1923</v>
      </c>
      <c r="AJ440">
        <v>220</v>
      </c>
      <c r="AK440" t="s">
        <v>1755</v>
      </c>
      <c r="AL440" t="s">
        <v>1686</v>
      </c>
      <c r="AM440">
        <v>380</v>
      </c>
      <c r="AN440" s="7">
        <v>12.7</v>
      </c>
      <c r="AO440" s="7">
        <v>19</v>
      </c>
      <c r="AP440" s="7" t="s">
        <v>1880</v>
      </c>
      <c r="AQ440" t="s">
        <v>49</v>
      </c>
      <c r="AR440" t="s">
        <v>49</v>
      </c>
      <c r="AS440" t="s">
        <v>44</v>
      </c>
      <c r="AT440" t="s">
        <v>44</v>
      </c>
      <c r="AU440" t="s">
        <v>50</v>
      </c>
      <c r="AV440" s="7" t="s">
        <v>3022</v>
      </c>
      <c r="AW440" s="7" t="s">
        <v>3044</v>
      </c>
      <c r="AX440">
        <v>20</v>
      </c>
      <c r="BE440" s="7">
        <v>39637</v>
      </c>
      <c r="BF440" t="s">
        <v>49</v>
      </c>
      <c r="BH440">
        <v>114</v>
      </c>
      <c r="BI440" t="s">
        <v>241</v>
      </c>
      <c r="BS440" t="s">
        <v>1912</v>
      </c>
      <c r="CP440" s="2">
        <v>665</v>
      </c>
      <c r="CQ440">
        <v>782</v>
      </c>
      <c r="CR440">
        <v>1200</v>
      </c>
      <c r="CS440">
        <v>1363</v>
      </c>
      <c r="CT440">
        <v>235</v>
      </c>
      <c r="CU440">
        <v>288</v>
      </c>
      <c r="CV440" s="7">
        <v>38</v>
      </c>
      <c r="CW440" s="7">
        <v>45</v>
      </c>
    </row>
    <row r="441" spans="1:101" x14ac:dyDescent="0.25">
      <c r="A441" t="s">
        <v>1924</v>
      </c>
      <c r="B441" t="s">
        <v>1542</v>
      </c>
      <c r="C441" t="s">
        <v>214</v>
      </c>
      <c r="D441" t="s">
        <v>1925</v>
      </c>
      <c r="E441" t="s">
        <v>2150</v>
      </c>
      <c r="F441" t="s">
        <v>1450</v>
      </c>
      <c r="G441" t="s">
        <v>41</v>
      </c>
      <c r="H441">
        <v>174240</v>
      </c>
      <c r="I441" t="s">
        <v>3715</v>
      </c>
      <c r="J441" t="s">
        <v>1926</v>
      </c>
      <c r="K441" t="s">
        <v>1927</v>
      </c>
      <c r="L441" t="s">
        <v>49</v>
      </c>
      <c r="M441" s="7">
        <v>14.2</v>
      </c>
      <c r="N441" s="7">
        <v>16</v>
      </c>
      <c r="O441" s="7">
        <v>5</v>
      </c>
      <c r="P441" s="7">
        <v>4.7</v>
      </c>
      <c r="Q441">
        <v>50</v>
      </c>
      <c r="R441">
        <v>30</v>
      </c>
      <c r="S441">
        <v>52</v>
      </c>
      <c r="T441">
        <v>55</v>
      </c>
      <c r="U441">
        <v>1</v>
      </c>
      <c r="V441">
        <v>60</v>
      </c>
      <c r="X441">
        <v>-15</v>
      </c>
      <c r="Y441">
        <v>43</v>
      </c>
      <c r="Z441">
        <v>-15</v>
      </c>
      <c r="AA441">
        <v>24</v>
      </c>
      <c r="AC441" t="s">
        <v>1928</v>
      </c>
      <c r="AD441">
        <v>81</v>
      </c>
      <c r="AE441">
        <v>2.84</v>
      </c>
      <c r="AF441">
        <v>3.4</v>
      </c>
      <c r="AI441" t="s">
        <v>1929</v>
      </c>
      <c r="AJ441">
        <v>220</v>
      </c>
      <c r="AK441" t="s">
        <v>1764</v>
      </c>
      <c r="AL441" t="s">
        <v>677</v>
      </c>
      <c r="AM441">
        <v>380</v>
      </c>
      <c r="AN441" s="7">
        <v>12.7</v>
      </c>
      <c r="AO441" s="7">
        <v>19</v>
      </c>
      <c r="AP441" s="7" t="s">
        <v>1880</v>
      </c>
      <c r="AQ441" t="s">
        <v>49</v>
      </c>
      <c r="AR441" t="s">
        <v>49</v>
      </c>
      <c r="AS441" t="s">
        <v>49</v>
      </c>
      <c r="AT441" t="s">
        <v>49</v>
      </c>
      <c r="AU441" t="s">
        <v>50</v>
      </c>
      <c r="AV441" s="7" t="s">
        <v>3022</v>
      </c>
      <c r="AW441" s="7" t="s">
        <v>3044</v>
      </c>
      <c r="AX441">
        <v>25</v>
      </c>
      <c r="BE441" s="7" t="s">
        <v>1881</v>
      </c>
      <c r="BF441" t="s">
        <v>49</v>
      </c>
      <c r="BG441" t="s">
        <v>1385</v>
      </c>
      <c r="BH441">
        <v>135</v>
      </c>
      <c r="BI441" t="s">
        <v>241</v>
      </c>
      <c r="CP441" s="2">
        <v>665</v>
      </c>
      <c r="CQ441">
        <v>782</v>
      </c>
      <c r="CR441">
        <v>1570</v>
      </c>
      <c r="CS441">
        <v>1729</v>
      </c>
      <c r="CT441">
        <v>235</v>
      </c>
      <c r="CU441">
        <v>288</v>
      </c>
      <c r="CV441" s="7">
        <v>46</v>
      </c>
      <c r="CW441" s="7">
        <v>53</v>
      </c>
    </row>
    <row r="442" spans="1:101" x14ac:dyDescent="0.25">
      <c r="A442" t="s">
        <v>1930</v>
      </c>
      <c r="B442" t="s">
        <v>1542</v>
      </c>
      <c r="C442" t="s">
        <v>214</v>
      </c>
      <c r="D442" t="s">
        <v>1931</v>
      </c>
      <c r="E442" t="s">
        <v>2150</v>
      </c>
      <c r="F442" t="s">
        <v>1450</v>
      </c>
      <c r="G442" t="s">
        <v>41</v>
      </c>
      <c r="H442">
        <v>174240</v>
      </c>
      <c r="I442" t="s">
        <v>3715</v>
      </c>
      <c r="J442" t="s">
        <v>1878</v>
      </c>
      <c r="K442" t="s">
        <v>1879</v>
      </c>
      <c r="L442" t="s">
        <v>49</v>
      </c>
      <c r="M442" s="7">
        <v>14.1</v>
      </c>
      <c r="N442" s="7">
        <v>16.5</v>
      </c>
      <c r="O442" s="7">
        <v>4.5</v>
      </c>
      <c r="P442" s="7">
        <v>5.48</v>
      </c>
      <c r="Q442">
        <v>50</v>
      </c>
      <c r="R442">
        <v>30</v>
      </c>
      <c r="U442">
        <v>1</v>
      </c>
      <c r="X442">
        <v>-15</v>
      </c>
      <c r="Y442">
        <v>48</v>
      </c>
      <c r="Z442">
        <v>-15</v>
      </c>
      <c r="AA442">
        <v>24</v>
      </c>
      <c r="AD442">
        <v>100</v>
      </c>
      <c r="AE442" t="s">
        <v>3711</v>
      </c>
      <c r="AF442" t="s">
        <v>3699</v>
      </c>
      <c r="AL442" t="s">
        <v>785</v>
      </c>
      <c r="AN442" s="7">
        <v>9.52</v>
      </c>
      <c r="AO442" s="7">
        <v>15.88</v>
      </c>
      <c r="AP442" s="7" t="s">
        <v>1880</v>
      </c>
      <c r="AQ442" t="s">
        <v>49</v>
      </c>
      <c r="AR442" t="s">
        <v>49</v>
      </c>
      <c r="AS442" t="s">
        <v>49</v>
      </c>
      <c r="AT442" t="s">
        <v>49</v>
      </c>
      <c r="AU442" t="s">
        <v>50</v>
      </c>
      <c r="AV442" s="7" t="s">
        <v>3022</v>
      </c>
      <c r="AW442" s="7" t="s">
        <v>3044</v>
      </c>
      <c r="AX442">
        <v>20</v>
      </c>
      <c r="BE442" s="7" t="s">
        <v>3380</v>
      </c>
      <c r="BF442" t="s">
        <v>49</v>
      </c>
      <c r="BH442">
        <v>165</v>
      </c>
      <c r="BI442" t="s">
        <v>241</v>
      </c>
      <c r="BS442" t="s">
        <v>1932</v>
      </c>
      <c r="CP442" s="2">
        <v>665</v>
      </c>
      <c r="CQ442">
        <v>770</v>
      </c>
      <c r="CR442">
        <v>235</v>
      </c>
      <c r="CS442">
        <v>300</v>
      </c>
      <c r="CT442">
        <v>1570</v>
      </c>
      <c r="CU442">
        <v>1729</v>
      </c>
      <c r="CV442" s="7">
        <v>43</v>
      </c>
      <c r="CW442" s="7">
        <v>50</v>
      </c>
    </row>
    <row r="443" spans="1:101" x14ac:dyDescent="0.25">
      <c r="A443" t="s">
        <v>1933</v>
      </c>
      <c r="B443" t="s">
        <v>1542</v>
      </c>
      <c r="C443" t="s">
        <v>214</v>
      </c>
      <c r="D443" t="s">
        <v>1934</v>
      </c>
      <c r="E443" t="s">
        <v>2150</v>
      </c>
      <c r="F443" t="s">
        <v>1450</v>
      </c>
      <c r="G443" t="s">
        <v>41</v>
      </c>
      <c r="H443">
        <v>193840</v>
      </c>
      <c r="I443" t="s">
        <v>3715</v>
      </c>
      <c r="J443" t="s">
        <v>1935</v>
      </c>
      <c r="K443" t="s">
        <v>1936</v>
      </c>
      <c r="L443" t="s">
        <v>49</v>
      </c>
      <c r="M443" s="7">
        <v>15.8</v>
      </c>
      <c r="N443" s="7">
        <v>18.2</v>
      </c>
      <c r="O443" s="7">
        <v>5.5</v>
      </c>
      <c r="P443" s="7">
        <v>5.45</v>
      </c>
      <c r="Q443">
        <v>50</v>
      </c>
      <c r="R443">
        <v>30</v>
      </c>
      <c r="S443">
        <v>52</v>
      </c>
      <c r="T443">
        <v>55</v>
      </c>
      <c r="U443">
        <v>1</v>
      </c>
      <c r="V443">
        <v>61</v>
      </c>
      <c r="X443">
        <v>-15</v>
      </c>
      <c r="Y443">
        <v>43</v>
      </c>
      <c r="Z443">
        <v>-15</v>
      </c>
      <c r="AA443">
        <v>24</v>
      </c>
      <c r="AC443" t="s">
        <v>1937</v>
      </c>
      <c r="AD443">
        <v>90</v>
      </c>
      <c r="AE443">
        <v>2.87</v>
      </c>
      <c r="AF443">
        <v>3.34</v>
      </c>
      <c r="AI443" t="s">
        <v>1938</v>
      </c>
      <c r="AJ443">
        <v>220</v>
      </c>
      <c r="AK443" t="s">
        <v>1860</v>
      </c>
      <c r="AL443" t="s">
        <v>677</v>
      </c>
      <c r="AM443">
        <v>380</v>
      </c>
      <c r="AN443" s="7">
        <v>12.7</v>
      </c>
      <c r="AO443" s="7">
        <v>19</v>
      </c>
      <c r="AP443" s="7" t="s">
        <v>1880</v>
      </c>
      <c r="AQ443" t="s">
        <v>49</v>
      </c>
      <c r="AR443" t="s">
        <v>49</v>
      </c>
      <c r="AS443" t="s">
        <v>49</v>
      </c>
      <c r="AT443" t="s">
        <v>49</v>
      </c>
      <c r="AU443" t="s">
        <v>50</v>
      </c>
      <c r="AV443" s="7" t="s">
        <v>3022</v>
      </c>
      <c r="AW443" s="7" t="s">
        <v>3044</v>
      </c>
      <c r="AX443">
        <v>25</v>
      </c>
      <c r="BE443" s="7" t="s">
        <v>3381</v>
      </c>
      <c r="BF443" t="s">
        <v>49</v>
      </c>
      <c r="BG443" t="s">
        <v>1385</v>
      </c>
      <c r="BH443">
        <v>150</v>
      </c>
      <c r="BI443" t="s">
        <v>241</v>
      </c>
      <c r="CP443" s="2">
        <v>665</v>
      </c>
      <c r="CQ443">
        <v>782</v>
      </c>
      <c r="CR443">
        <v>1570</v>
      </c>
      <c r="CS443">
        <v>1729</v>
      </c>
      <c r="CT443">
        <v>235</v>
      </c>
      <c r="CU443">
        <v>288</v>
      </c>
      <c r="CV443" s="7">
        <v>46</v>
      </c>
      <c r="CW443" s="7">
        <v>53</v>
      </c>
    </row>
    <row r="444" spans="1:101" x14ac:dyDescent="0.25">
      <c r="A444" t="s">
        <v>1939</v>
      </c>
      <c r="B444" t="s">
        <v>1542</v>
      </c>
      <c r="C444" t="s">
        <v>214</v>
      </c>
      <c r="D444" t="s">
        <v>1940</v>
      </c>
      <c r="E444" t="s">
        <v>2150</v>
      </c>
      <c r="F444" t="s">
        <v>1450</v>
      </c>
      <c r="G444" t="s">
        <v>41</v>
      </c>
      <c r="H444">
        <v>193760</v>
      </c>
      <c r="I444" t="s">
        <v>3715</v>
      </c>
      <c r="J444" t="s">
        <v>1941</v>
      </c>
      <c r="K444" t="s">
        <v>1942</v>
      </c>
      <c r="L444" t="s">
        <v>49</v>
      </c>
      <c r="M444" s="7">
        <v>15.8</v>
      </c>
      <c r="N444" s="7">
        <v>19.100000000000001</v>
      </c>
      <c r="O444" s="7">
        <v>5.48</v>
      </c>
      <c r="P444" s="7">
        <v>5.4</v>
      </c>
      <c r="Q444">
        <v>50</v>
      </c>
      <c r="R444">
        <v>30</v>
      </c>
      <c r="U444">
        <v>1</v>
      </c>
      <c r="X444">
        <v>-15</v>
      </c>
      <c r="Y444">
        <v>48</v>
      </c>
      <c r="Z444">
        <v>-15</v>
      </c>
      <c r="AA444">
        <v>24</v>
      </c>
      <c r="AD444">
        <v>110</v>
      </c>
      <c r="AE444" t="s">
        <v>3674</v>
      </c>
      <c r="AF444" t="s">
        <v>3576</v>
      </c>
      <c r="AL444" t="s">
        <v>785</v>
      </c>
      <c r="AN444" s="7">
        <v>9.52</v>
      </c>
      <c r="AO444" s="7">
        <v>15.88</v>
      </c>
      <c r="AP444" s="7" t="s">
        <v>1880</v>
      </c>
      <c r="AQ444" t="s">
        <v>49</v>
      </c>
      <c r="AR444" t="s">
        <v>49</v>
      </c>
      <c r="AS444" t="s">
        <v>49</v>
      </c>
      <c r="AT444" t="s">
        <v>49</v>
      </c>
      <c r="AU444" t="s">
        <v>50</v>
      </c>
      <c r="AV444" s="7" t="s">
        <v>3022</v>
      </c>
      <c r="AW444" s="7" t="s">
        <v>3044</v>
      </c>
      <c r="AX444">
        <v>20</v>
      </c>
      <c r="BE444" s="7" t="s">
        <v>3363</v>
      </c>
      <c r="BF444" t="s">
        <v>49</v>
      </c>
      <c r="BH444">
        <v>185</v>
      </c>
      <c r="BI444" t="s">
        <v>241</v>
      </c>
      <c r="BS444" t="s">
        <v>1932</v>
      </c>
      <c r="CP444" s="2">
        <v>665</v>
      </c>
      <c r="CQ444">
        <v>770</v>
      </c>
      <c r="CR444">
        <v>235</v>
      </c>
      <c r="CS444">
        <v>300</v>
      </c>
      <c r="CT444">
        <v>1570</v>
      </c>
      <c r="CU444">
        <v>1729</v>
      </c>
      <c r="CV444" s="7">
        <v>45</v>
      </c>
      <c r="CW444" s="7">
        <v>52</v>
      </c>
    </row>
    <row r="445" spans="1:101" x14ac:dyDescent="0.25">
      <c r="A445" t="s">
        <v>1943</v>
      </c>
      <c r="B445" t="s">
        <v>1542</v>
      </c>
      <c r="C445" t="s">
        <v>214</v>
      </c>
      <c r="D445" t="s">
        <v>1944</v>
      </c>
      <c r="E445" t="s">
        <v>2150</v>
      </c>
      <c r="F445" t="s">
        <v>1450</v>
      </c>
      <c r="G445" t="s">
        <v>41</v>
      </c>
      <c r="H445">
        <v>124800</v>
      </c>
      <c r="I445" t="s">
        <v>3715</v>
      </c>
      <c r="J445" t="s">
        <v>1945</v>
      </c>
      <c r="K445" t="s">
        <v>1946</v>
      </c>
      <c r="L445" t="s">
        <v>49</v>
      </c>
      <c r="M445" s="7">
        <v>8.5</v>
      </c>
      <c r="N445" s="7">
        <v>9.8000000000000007</v>
      </c>
      <c r="O445" s="7">
        <v>2.8</v>
      </c>
      <c r="P445" s="7">
        <v>2.8</v>
      </c>
      <c r="Q445">
        <v>30</v>
      </c>
      <c r="R445">
        <v>15</v>
      </c>
      <c r="U445">
        <v>1</v>
      </c>
      <c r="X445">
        <v>-15</v>
      </c>
      <c r="Y445">
        <v>43</v>
      </c>
      <c r="Z445">
        <v>-15</v>
      </c>
      <c r="AA445">
        <v>24</v>
      </c>
      <c r="AC445" t="s">
        <v>1947</v>
      </c>
      <c r="AD445">
        <v>48</v>
      </c>
      <c r="AE445" t="s">
        <v>3724</v>
      </c>
      <c r="AF445" t="s">
        <v>3496</v>
      </c>
      <c r="AI445" t="s">
        <v>1948</v>
      </c>
      <c r="AJ445">
        <v>220</v>
      </c>
      <c r="AK445" t="s">
        <v>1777</v>
      </c>
      <c r="AL445" t="s">
        <v>785</v>
      </c>
      <c r="AM445">
        <v>220</v>
      </c>
      <c r="AN445" s="7">
        <v>9.52</v>
      </c>
      <c r="AO445" s="7">
        <v>15.8</v>
      </c>
      <c r="AP445" s="7" t="s">
        <v>1880</v>
      </c>
      <c r="AQ445" t="s">
        <v>49</v>
      </c>
      <c r="AR445" t="s">
        <v>49</v>
      </c>
      <c r="AS445" t="s">
        <v>44</v>
      </c>
      <c r="AT445" t="s">
        <v>44</v>
      </c>
      <c r="AU445" t="s">
        <v>50</v>
      </c>
      <c r="AV445" s="7" t="s">
        <v>3021</v>
      </c>
      <c r="AW445" s="7" t="s">
        <v>3044</v>
      </c>
      <c r="AX445">
        <v>25</v>
      </c>
      <c r="BE445" s="7" t="s">
        <v>3382</v>
      </c>
      <c r="BF445" t="s">
        <v>49</v>
      </c>
      <c r="BH445">
        <v>80</v>
      </c>
      <c r="BI445" t="s">
        <v>120</v>
      </c>
      <c r="BS445" t="s">
        <v>1949</v>
      </c>
      <c r="CH445">
        <v>790</v>
      </c>
      <c r="CI445">
        <v>875</v>
      </c>
      <c r="CJ445">
        <v>980</v>
      </c>
      <c r="CK445">
        <v>1083</v>
      </c>
      <c r="CL445">
        <v>425</v>
      </c>
      <c r="CM445">
        <v>488</v>
      </c>
      <c r="CN445" s="2">
        <v>69</v>
      </c>
      <c r="CO445">
        <v>74</v>
      </c>
      <c r="CP445" s="2">
        <v>665</v>
      </c>
      <c r="CQ445">
        <v>782</v>
      </c>
      <c r="CR445">
        <v>1200</v>
      </c>
      <c r="CS445">
        <v>1363</v>
      </c>
      <c r="CT445">
        <v>235</v>
      </c>
      <c r="CU445">
        <v>288</v>
      </c>
      <c r="CV445" s="7">
        <v>32</v>
      </c>
      <c r="CW445" s="7">
        <v>39</v>
      </c>
    </row>
    <row r="446" spans="1:101" x14ac:dyDescent="0.25">
      <c r="A446" t="s">
        <v>1950</v>
      </c>
      <c r="B446" t="s">
        <v>1542</v>
      </c>
      <c r="C446" t="s">
        <v>526</v>
      </c>
      <c r="D446" t="s">
        <v>1951</v>
      </c>
      <c r="E446" t="s">
        <v>2148</v>
      </c>
      <c r="F446" t="s">
        <v>528</v>
      </c>
      <c r="G446" t="s">
        <v>75</v>
      </c>
      <c r="H446">
        <v>35900</v>
      </c>
      <c r="I446" t="s">
        <v>3725</v>
      </c>
      <c r="J446" t="s">
        <v>1952</v>
      </c>
      <c r="K446" t="s">
        <v>1953</v>
      </c>
      <c r="L446" t="s">
        <v>44</v>
      </c>
      <c r="M446" s="7">
        <v>2.5</v>
      </c>
      <c r="N446" s="7">
        <v>2.8</v>
      </c>
      <c r="O446" s="7">
        <v>7.4999999999999997E-2</v>
      </c>
      <c r="P446" s="7">
        <v>7.4999999999999997E-2</v>
      </c>
      <c r="AD446">
        <v>18</v>
      </c>
      <c r="AI446" t="s">
        <v>1954</v>
      </c>
      <c r="AJ446">
        <v>220</v>
      </c>
      <c r="AN446" s="7">
        <v>6.35</v>
      </c>
      <c r="AO446" s="7">
        <v>9.5</v>
      </c>
      <c r="AP446" s="7">
        <v>20</v>
      </c>
      <c r="AQ446" t="s">
        <v>49</v>
      </c>
      <c r="AR446" t="s">
        <v>49</v>
      </c>
      <c r="AS446" t="s">
        <v>49</v>
      </c>
      <c r="AT446" t="s">
        <v>49</v>
      </c>
      <c r="AU446" t="s">
        <v>50</v>
      </c>
      <c r="AV446" s="7" t="s">
        <v>3032</v>
      </c>
      <c r="AW446" s="7" t="s">
        <v>3026</v>
      </c>
      <c r="BC446">
        <v>15</v>
      </c>
      <c r="BF446" t="s">
        <v>49</v>
      </c>
      <c r="BH446">
        <v>25</v>
      </c>
      <c r="BI446" t="s">
        <v>120</v>
      </c>
      <c r="BK446">
        <v>200</v>
      </c>
      <c r="BL446">
        <v>700</v>
      </c>
      <c r="BM446">
        <v>615</v>
      </c>
      <c r="BN446">
        <v>22</v>
      </c>
      <c r="BO446">
        <v>27</v>
      </c>
      <c r="BP446">
        <v>305</v>
      </c>
      <c r="BQ446">
        <v>893</v>
      </c>
      <c r="BR446">
        <v>743</v>
      </c>
      <c r="BS446" t="s">
        <v>1955</v>
      </c>
    </row>
    <row r="447" spans="1:101" x14ac:dyDescent="0.25">
      <c r="A447" t="s">
        <v>1956</v>
      </c>
      <c r="B447" t="s">
        <v>1542</v>
      </c>
      <c r="C447" t="s">
        <v>526</v>
      </c>
      <c r="D447" t="s">
        <v>1957</v>
      </c>
      <c r="E447" t="s">
        <v>2148</v>
      </c>
      <c r="F447" t="s">
        <v>528</v>
      </c>
      <c r="G447" t="s">
        <v>75</v>
      </c>
      <c r="H447">
        <v>35900</v>
      </c>
      <c r="I447" t="s">
        <v>3726</v>
      </c>
      <c r="J447" t="s">
        <v>1958</v>
      </c>
      <c r="K447" t="s">
        <v>1959</v>
      </c>
      <c r="L447" t="s">
        <v>44</v>
      </c>
      <c r="M447" s="7">
        <v>2.5</v>
      </c>
      <c r="N447" s="7">
        <v>2.8</v>
      </c>
      <c r="O447" s="7">
        <v>6.5000000000000002E-2</v>
      </c>
      <c r="AN447" s="7">
        <v>6.35</v>
      </c>
      <c r="AO447" s="7">
        <v>9.52</v>
      </c>
      <c r="AP447" s="7">
        <v>26</v>
      </c>
      <c r="AQ447" t="s">
        <v>49</v>
      </c>
      <c r="AR447" t="s">
        <v>49</v>
      </c>
      <c r="AS447" t="s">
        <v>49</v>
      </c>
      <c r="AT447" t="s">
        <v>49</v>
      </c>
      <c r="AU447" t="s">
        <v>78</v>
      </c>
      <c r="AW447" s="7" t="s">
        <v>3020</v>
      </c>
      <c r="BC447">
        <v>15</v>
      </c>
      <c r="BF447" t="s">
        <v>49</v>
      </c>
      <c r="BH447">
        <v>25</v>
      </c>
      <c r="BI447" t="s">
        <v>120</v>
      </c>
      <c r="BK447">
        <v>200</v>
      </c>
      <c r="BL447">
        <v>700</v>
      </c>
      <c r="BM447">
        <v>615</v>
      </c>
      <c r="BN447">
        <v>21</v>
      </c>
      <c r="BO447">
        <v>26</v>
      </c>
      <c r="BP447">
        <v>290</v>
      </c>
      <c r="BQ447">
        <v>740</v>
      </c>
      <c r="BR447">
        <v>890</v>
      </c>
      <c r="BS447" t="s">
        <v>1960</v>
      </c>
    </row>
    <row r="448" spans="1:101" x14ac:dyDescent="0.25">
      <c r="A448" t="s">
        <v>1961</v>
      </c>
      <c r="B448" t="s">
        <v>1542</v>
      </c>
      <c r="C448" t="s">
        <v>526</v>
      </c>
      <c r="D448" t="s">
        <v>1962</v>
      </c>
      <c r="E448" t="s">
        <v>2148</v>
      </c>
      <c r="F448" t="s">
        <v>528</v>
      </c>
      <c r="G448" t="s">
        <v>75</v>
      </c>
      <c r="H448">
        <v>39300</v>
      </c>
      <c r="I448" t="s">
        <v>3725</v>
      </c>
      <c r="J448" t="s">
        <v>1963</v>
      </c>
      <c r="K448" t="s">
        <v>1964</v>
      </c>
      <c r="L448" t="s">
        <v>44</v>
      </c>
      <c r="M448" s="7">
        <v>3.5</v>
      </c>
      <c r="N448" s="7">
        <v>3.85</v>
      </c>
      <c r="O448" s="7">
        <v>7.4999999999999997E-2</v>
      </c>
      <c r="P448" s="7">
        <v>7.4999999999999997E-2</v>
      </c>
      <c r="AD448">
        <v>25</v>
      </c>
      <c r="AI448" t="s">
        <v>1965</v>
      </c>
      <c r="AJ448">
        <v>220</v>
      </c>
      <c r="AN448" s="7">
        <v>6.35</v>
      </c>
      <c r="AO448" s="7">
        <v>9.5</v>
      </c>
      <c r="AP448" s="7">
        <v>20</v>
      </c>
      <c r="AQ448" t="s">
        <v>49</v>
      </c>
      <c r="AR448" t="s">
        <v>49</v>
      </c>
      <c r="AS448" t="s">
        <v>49</v>
      </c>
      <c r="AT448" t="s">
        <v>49</v>
      </c>
      <c r="AU448" t="s">
        <v>50</v>
      </c>
      <c r="AV448" s="7" t="s">
        <v>3032</v>
      </c>
      <c r="AW448" s="7" t="s">
        <v>3026</v>
      </c>
      <c r="BC448">
        <v>15</v>
      </c>
      <c r="BF448" t="s">
        <v>49</v>
      </c>
      <c r="BH448">
        <v>35</v>
      </c>
      <c r="BI448" t="s">
        <v>120</v>
      </c>
      <c r="BK448">
        <v>200</v>
      </c>
      <c r="BL448">
        <v>700</v>
      </c>
      <c r="BM448">
        <v>615</v>
      </c>
      <c r="BN448">
        <v>23</v>
      </c>
      <c r="BO448">
        <v>29</v>
      </c>
      <c r="BP448">
        <v>305</v>
      </c>
      <c r="BQ448">
        <v>893</v>
      </c>
      <c r="BR448">
        <v>743</v>
      </c>
      <c r="BS448" t="s">
        <v>1966</v>
      </c>
    </row>
    <row r="449" spans="1:101" x14ac:dyDescent="0.25">
      <c r="A449" t="s">
        <v>1967</v>
      </c>
      <c r="B449" t="s">
        <v>1542</v>
      </c>
      <c r="C449" t="s">
        <v>526</v>
      </c>
      <c r="D449" t="s">
        <v>1968</v>
      </c>
      <c r="E449" t="s">
        <v>2148</v>
      </c>
      <c r="F449" t="s">
        <v>528</v>
      </c>
      <c r="G449" t="s">
        <v>75</v>
      </c>
      <c r="H449">
        <v>39300</v>
      </c>
      <c r="I449" t="s">
        <v>3726</v>
      </c>
      <c r="J449" t="s">
        <v>1958</v>
      </c>
      <c r="K449" t="s">
        <v>1959</v>
      </c>
      <c r="L449" t="s">
        <v>44</v>
      </c>
      <c r="M449" s="7">
        <v>3.5</v>
      </c>
      <c r="N449" s="7">
        <v>3.85</v>
      </c>
      <c r="O449" s="7">
        <v>7.4999999999999997E-2</v>
      </c>
      <c r="AN449" s="7">
        <v>6.35</v>
      </c>
      <c r="AO449" s="7">
        <v>9.52</v>
      </c>
      <c r="AP449" s="7">
        <v>26</v>
      </c>
      <c r="AQ449" t="s">
        <v>49</v>
      </c>
      <c r="AR449" t="s">
        <v>49</v>
      </c>
      <c r="AS449" t="s">
        <v>49</v>
      </c>
      <c r="AT449" t="s">
        <v>49</v>
      </c>
      <c r="AU449" t="s">
        <v>78</v>
      </c>
      <c r="AW449" s="7" t="s">
        <v>3020</v>
      </c>
      <c r="BC449">
        <v>15</v>
      </c>
      <c r="BF449" t="s">
        <v>49</v>
      </c>
      <c r="BH449">
        <v>35</v>
      </c>
      <c r="BI449" t="s">
        <v>120</v>
      </c>
      <c r="BK449">
        <v>200</v>
      </c>
      <c r="BL449">
        <v>700</v>
      </c>
      <c r="BM449">
        <v>615</v>
      </c>
      <c r="BN449">
        <v>22</v>
      </c>
      <c r="BO449">
        <v>28</v>
      </c>
      <c r="BP449">
        <v>290</v>
      </c>
      <c r="BQ449">
        <v>740</v>
      </c>
      <c r="BR449">
        <v>890</v>
      </c>
      <c r="BS449" t="s">
        <v>1969</v>
      </c>
    </row>
    <row r="450" spans="1:101" x14ac:dyDescent="0.25">
      <c r="A450" t="s">
        <v>1970</v>
      </c>
      <c r="B450" t="s">
        <v>1542</v>
      </c>
      <c r="C450" t="s">
        <v>526</v>
      </c>
      <c r="D450" t="s">
        <v>1971</v>
      </c>
      <c r="E450" t="s">
        <v>2148</v>
      </c>
      <c r="F450" t="s">
        <v>528</v>
      </c>
      <c r="G450" t="s">
        <v>41</v>
      </c>
      <c r="H450">
        <v>46600</v>
      </c>
      <c r="I450" t="s">
        <v>3725</v>
      </c>
      <c r="J450" t="s">
        <v>1972</v>
      </c>
      <c r="K450" t="s">
        <v>1973</v>
      </c>
      <c r="L450" t="s">
        <v>44</v>
      </c>
      <c r="M450" s="7">
        <v>5</v>
      </c>
      <c r="N450" s="7">
        <v>5.5</v>
      </c>
      <c r="O450" s="7">
        <v>0.08</v>
      </c>
      <c r="P450" s="7">
        <v>0.08</v>
      </c>
      <c r="AD450">
        <v>35</v>
      </c>
      <c r="AI450" t="s">
        <v>1974</v>
      </c>
      <c r="AJ450">
        <v>220</v>
      </c>
      <c r="AN450" s="7">
        <v>6.35</v>
      </c>
      <c r="AO450" s="7">
        <v>12.7</v>
      </c>
      <c r="AP450" s="7">
        <v>20</v>
      </c>
      <c r="AQ450" t="s">
        <v>49</v>
      </c>
      <c r="AR450" t="s">
        <v>49</v>
      </c>
      <c r="AS450" t="s">
        <v>49</v>
      </c>
      <c r="AT450" t="s">
        <v>49</v>
      </c>
      <c r="AU450" t="s">
        <v>50</v>
      </c>
      <c r="AV450" s="7" t="s">
        <v>3032</v>
      </c>
      <c r="AW450" s="7" t="s">
        <v>3026</v>
      </c>
      <c r="BC450">
        <v>15</v>
      </c>
      <c r="BF450" t="s">
        <v>49</v>
      </c>
      <c r="BH450">
        <v>50</v>
      </c>
      <c r="BI450" t="s">
        <v>120</v>
      </c>
      <c r="BK450">
        <v>200</v>
      </c>
      <c r="BL450">
        <v>900</v>
      </c>
      <c r="BM450">
        <v>615</v>
      </c>
      <c r="BN450">
        <v>27</v>
      </c>
      <c r="BO450">
        <v>36</v>
      </c>
      <c r="BP450">
        <v>305</v>
      </c>
      <c r="BQ450">
        <v>1123</v>
      </c>
      <c r="BR450">
        <v>743</v>
      </c>
      <c r="BS450" t="s">
        <v>1975</v>
      </c>
    </row>
    <row r="451" spans="1:101" x14ac:dyDescent="0.25">
      <c r="A451" t="s">
        <v>1976</v>
      </c>
      <c r="B451" t="s">
        <v>1542</v>
      </c>
      <c r="C451" t="s">
        <v>526</v>
      </c>
      <c r="D451" t="s">
        <v>1977</v>
      </c>
      <c r="E451" t="s">
        <v>2148</v>
      </c>
      <c r="F451" t="s">
        <v>528</v>
      </c>
      <c r="G451" t="s">
        <v>75</v>
      </c>
      <c r="H451">
        <v>46600</v>
      </c>
      <c r="I451" t="s">
        <v>3726</v>
      </c>
      <c r="J451" t="s">
        <v>1958</v>
      </c>
      <c r="K451" t="s">
        <v>1959</v>
      </c>
      <c r="L451" t="s">
        <v>44</v>
      </c>
      <c r="M451" s="7">
        <v>5</v>
      </c>
      <c r="N451" s="7">
        <v>5.5</v>
      </c>
      <c r="O451" s="7">
        <v>9.5000000000000001E-2</v>
      </c>
      <c r="AN451" s="7">
        <v>6.35</v>
      </c>
      <c r="AO451" s="7">
        <v>12.7</v>
      </c>
      <c r="AP451" s="7">
        <v>26</v>
      </c>
      <c r="AQ451" t="s">
        <v>49</v>
      </c>
      <c r="AR451" t="s">
        <v>49</v>
      </c>
      <c r="AS451" t="s">
        <v>49</v>
      </c>
      <c r="AT451" t="s">
        <v>49</v>
      </c>
      <c r="AU451" t="s">
        <v>78</v>
      </c>
      <c r="AW451" s="7" t="s">
        <v>3020</v>
      </c>
      <c r="BC451">
        <v>15</v>
      </c>
      <c r="BF451" t="s">
        <v>49</v>
      </c>
      <c r="BH451">
        <v>50</v>
      </c>
      <c r="BI451" t="s">
        <v>120</v>
      </c>
      <c r="BK451">
        <v>200</v>
      </c>
      <c r="BL451">
        <v>900</v>
      </c>
      <c r="BM451">
        <v>615</v>
      </c>
      <c r="BN451">
        <v>26</v>
      </c>
      <c r="BO451">
        <v>32</v>
      </c>
      <c r="BP451">
        <v>290</v>
      </c>
      <c r="BQ451">
        <v>740</v>
      </c>
      <c r="BR451">
        <v>1120</v>
      </c>
      <c r="BS451" t="s">
        <v>1978</v>
      </c>
    </row>
    <row r="452" spans="1:101" x14ac:dyDescent="0.25">
      <c r="A452" t="s">
        <v>1979</v>
      </c>
      <c r="B452" t="s">
        <v>1542</v>
      </c>
      <c r="C452" t="s">
        <v>526</v>
      </c>
      <c r="D452" t="s">
        <v>1980</v>
      </c>
      <c r="E452" t="s">
        <v>2148</v>
      </c>
      <c r="F452" t="s">
        <v>528</v>
      </c>
      <c r="G452" t="s">
        <v>75</v>
      </c>
      <c r="H452">
        <v>51100</v>
      </c>
      <c r="I452" t="s">
        <v>3725</v>
      </c>
      <c r="J452" t="s">
        <v>1981</v>
      </c>
      <c r="K452" t="s">
        <v>1982</v>
      </c>
      <c r="L452" t="s">
        <v>44</v>
      </c>
      <c r="M452" s="7">
        <v>6</v>
      </c>
      <c r="N452" s="7">
        <v>6.6</v>
      </c>
      <c r="O452" s="7">
        <v>0.11</v>
      </c>
      <c r="P452" s="7">
        <v>0.11</v>
      </c>
      <c r="AD452">
        <v>40</v>
      </c>
      <c r="AI452" t="s">
        <v>1983</v>
      </c>
      <c r="AJ452">
        <v>220</v>
      </c>
      <c r="AN452" s="7">
        <v>9.5</v>
      </c>
      <c r="AO452" s="7">
        <v>15.8</v>
      </c>
      <c r="AP452" s="7">
        <v>20</v>
      </c>
      <c r="AQ452" t="s">
        <v>49</v>
      </c>
      <c r="AR452" t="s">
        <v>49</v>
      </c>
      <c r="AS452" t="s">
        <v>49</v>
      </c>
      <c r="AT452" t="s">
        <v>49</v>
      </c>
      <c r="AU452" t="s">
        <v>50</v>
      </c>
      <c r="AV452" s="7" t="s">
        <v>3032</v>
      </c>
      <c r="AW452" s="7" t="s">
        <v>3026</v>
      </c>
      <c r="BC452">
        <v>15</v>
      </c>
      <c r="BF452" t="s">
        <v>49</v>
      </c>
      <c r="BH452">
        <v>60</v>
      </c>
      <c r="BI452" t="s">
        <v>120</v>
      </c>
      <c r="BK452">
        <v>200</v>
      </c>
      <c r="BL452">
        <v>1100</v>
      </c>
      <c r="BM452">
        <v>615</v>
      </c>
      <c r="BN452">
        <v>31</v>
      </c>
      <c r="BO452">
        <v>41</v>
      </c>
      <c r="BP452">
        <v>205</v>
      </c>
      <c r="BQ452">
        <v>1323</v>
      </c>
      <c r="BR452">
        <v>743</v>
      </c>
      <c r="BS452" t="s">
        <v>1984</v>
      </c>
    </row>
    <row r="453" spans="1:101" x14ac:dyDescent="0.25">
      <c r="A453" t="s">
        <v>1985</v>
      </c>
      <c r="B453" t="s">
        <v>1542</v>
      </c>
      <c r="C453" t="s">
        <v>526</v>
      </c>
      <c r="D453" t="s">
        <v>1986</v>
      </c>
      <c r="E453" t="s">
        <v>2148</v>
      </c>
      <c r="F453" t="s">
        <v>528</v>
      </c>
      <c r="G453" t="s">
        <v>75</v>
      </c>
      <c r="H453">
        <v>51100</v>
      </c>
      <c r="I453" t="s">
        <v>3726</v>
      </c>
      <c r="J453" t="s">
        <v>1958</v>
      </c>
      <c r="K453" t="s">
        <v>1959</v>
      </c>
      <c r="L453" t="s">
        <v>44</v>
      </c>
      <c r="M453" s="7">
        <v>6</v>
      </c>
      <c r="N453" s="7">
        <v>6.6</v>
      </c>
      <c r="O453" s="7">
        <v>0.11</v>
      </c>
      <c r="AN453" s="7">
        <v>9.52</v>
      </c>
      <c r="AO453" s="7">
        <v>15.8</v>
      </c>
      <c r="AP453" s="7">
        <v>26</v>
      </c>
      <c r="AQ453" t="s">
        <v>49</v>
      </c>
      <c r="AR453" t="s">
        <v>49</v>
      </c>
      <c r="AS453" t="s">
        <v>49</v>
      </c>
      <c r="AT453" t="s">
        <v>49</v>
      </c>
      <c r="AU453" t="s">
        <v>78</v>
      </c>
      <c r="AW453" s="7" t="s">
        <v>3020</v>
      </c>
      <c r="BC453">
        <v>15</v>
      </c>
      <c r="BF453" t="s">
        <v>49</v>
      </c>
      <c r="BH453">
        <v>60</v>
      </c>
      <c r="BI453" t="s">
        <v>120</v>
      </c>
      <c r="BK453">
        <v>200</v>
      </c>
      <c r="BL453">
        <v>1100</v>
      </c>
      <c r="BM453">
        <v>615</v>
      </c>
      <c r="BN453">
        <v>30</v>
      </c>
      <c r="BO453">
        <v>40</v>
      </c>
      <c r="BP453">
        <v>290</v>
      </c>
      <c r="BQ453">
        <v>740</v>
      </c>
      <c r="BR453">
        <v>1320</v>
      </c>
      <c r="BS453" t="s">
        <v>1987</v>
      </c>
    </row>
    <row r="454" spans="1:101" x14ac:dyDescent="0.25">
      <c r="A454" t="s">
        <v>1988</v>
      </c>
      <c r="B454" t="s">
        <v>1542</v>
      </c>
      <c r="C454" t="s">
        <v>526</v>
      </c>
      <c r="D454" t="s">
        <v>1989</v>
      </c>
      <c r="E454" t="s">
        <v>2148</v>
      </c>
      <c r="F454" t="s">
        <v>528</v>
      </c>
      <c r="G454" t="s">
        <v>75</v>
      </c>
      <c r="H454">
        <v>53300</v>
      </c>
      <c r="I454" t="s">
        <v>3725</v>
      </c>
      <c r="J454" t="s">
        <v>1990</v>
      </c>
      <c r="K454" t="s">
        <v>1991</v>
      </c>
      <c r="L454" t="s">
        <v>44</v>
      </c>
      <c r="M454" s="7">
        <v>7.1</v>
      </c>
      <c r="N454" s="7">
        <v>8</v>
      </c>
      <c r="O454" s="7">
        <v>0.11</v>
      </c>
      <c r="P454" s="7">
        <v>0.11</v>
      </c>
      <c r="AD454">
        <v>50</v>
      </c>
      <c r="AI454" t="s">
        <v>1992</v>
      </c>
      <c r="AJ454">
        <v>220</v>
      </c>
      <c r="AN454" s="7">
        <v>9.5</v>
      </c>
      <c r="AO454" s="7">
        <v>15.8</v>
      </c>
      <c r="AP454" s="7">
        <v>20</v>
      </c>
      <c r="AQ454" t="s">
        <v>49</v>
      </c>
      <c r="AR454" t="s">
        <v>49</v>
      </c>
      <c r="AS454" t="s">
        <v>49</v>
      </c>
      <c r="AT454" t="s">
        <v>49</v>
      </c>
      <c r="AU454" t="s">
        <v>50</v>
      </c>
      <c r="AV454" s="7" t="s">
        <v>3032</v>
      </c>
      <c r="AW454" s="7" t="s">
        <v>3026</v>
      </c>
      <c r="BC454">
        <v>15</v>
      </c>
      <c r="BF454" t="s">
        <v>49</v>
      </c>
      <c r="BH454">
        <v>71</v>
      </c>
      <c r="BI454" t="s">
        <v>120</v>
      </c>
      <c r="BK454">
        <v>200</v>
      </c>
      <c r="BL454">
        <v>1100</v>
      </c>
      <c r="BM454">
        <v>615</v>
      </c>
      <c r="BN454">
        <v>31</v>
      </c>
      <c r="BO454">
        <v>41</v>
      </c>
      <c r="BP454">
        <v>205</v>
      </c>
      <c r="BQ454">
        <v>1323</v>
      </c>
      <c r="BR454">
        <v>743</v>
      </c>
      <c r="BS454" t="s">
        <v>1984</v>
      </c>
    </row>
    <row r="455" spans="1:101" x14ac:dyDescent="0.25">
      <c r="A455" t="s">
        <v>1993</v>
      </c>
      <c r="B455" t="s">
        <v>1542</v>
      </c>
      <c r="C455" t="s">
        <v>526</v>
      </c>
      <c r="D455" t="s">
        <v>1994</v>
      </c>
      <c r="E455" t="s">
        <v>2148</v>
      </c>
      <c r="F455" t="s">
        <v>528</v>
      </c>
      <c r="G455" t="s">
        <v>75</v>
      </c>
      <c r="H455">
        <v>53300</v>
      </c>
      <c r="I455" t="s">
        <v>3726</v>
      </c>
      <c r="J455" t="s">
        <v>1958</v>
      </c>
      <c r="K455" t="s">
        <v>1959</v>
      </c>
      <c r="L455" t="s">
        <v>44</v>
      </c>
      <c r="M455" s="7">
        <v>7.1</v>
      </c>
      <c r="N455" s="7">
        <v>8</v>
      </c>
      <c r="O455" s="7">
        <v>0.11</v>
      </c>
      <c r="AN455" s="7">
        <v>9.52</v>
      </c>
      <c r="AO455" s="7">
        <v>15.8</v>
      </c>
      <c r="AP455" s="7">
        <v>26</v>
      </c>
      <c r="AQ455" t="s">
        <v>49</v>
      </c>
      <c r="AR455" t="s">
        <v>49</v>
      </c>
      <c r="AS455" t="s">
        <v>49</v>
      </c>
      <c r="AT455" t="s">
        <v>49</v>
      </c>
      <c r="AU455" t="s">
        <v>78</v>
      </c>
      <c r="AW455" s="7" t="s">
        <v>3020</v>
      </c>
      <c r="BC455">
        <v>15</v>
      </c>
      <c r="BF455" t="s">
        <v>49</v>
      </c>
      <c r="BH455">
        <v>71</v>
      </c>
      <c r="BI455" t="s">
        <v>120</v>
      </c>
      <c r="BK455">
        <v>200</v>
      </c>
      <c r="BL455">
        <v>1100</v>
      </c>
      <c r="BM455">
        <v>615</v>
      </c>
      <c r="BN455">
        <v>30</v>
      </c>
      <c r="BO455">
        <v>40</v>
      </c>
      <c r="BP455">
        <v>290</v>
      </c>
      <c r="BQ455">
        <v>740</v>
      </c>
      <c r="BR455">
        <v>1320</v>
      </c>
      <c r="BS455" t="s">
        <v>1987</v>
      </c>
    </row>
    <row r="456" spans="1:101" x14ac:dyDescent="0.25">
      <c r="A456" t="s">
        <v>1995</v>
      </c>
      <c r="B456" t="s">
        <v>1542</v>
      </c>
      <c r="C456" t="s">
        <v>526</v>
      </c>
      <c r="D456" t="s">
        <v>1996</v>
      </c>
      <c r="E456" t="s">
        <v>2149</v>
      </c>
      <c r="F456" t="s">
        <v>1997</v>
      </c>
      <c r="G456" t="s">
        <v>75</v>
      </c>
      <c r="H456">
        <v>44900</v>
      </c>
      <c r="I456" t="s">
        <v>3727</v>
      </c>
      <c r="J456" t="s">
        <v>1998</v>
      </c>
      <c r="K456" t="s">
        <v>1999</v>
      </c>
      <c r="L456" t="s">
        <v>44</v>
      </c>
      <c r="M456" s="7">
        <v>3.5</v>
      </c>
      <c r="N456" s="7">
        <v>4</v>
      </c>
      <c r="S456">
        <v>42</v>
      </c>
      <c r="T456">
        <v>46</v>
      </c>
      <c r="AI456" t="s">
        <v>2000</v>
      </c>
      <c r="AN456" s="7">
        <v>6.35</v>
      </c>
      <c r="AO456" s="7">
        <v>9.5</v>
      </c>
      <c r="AP456" s="7">
        <v>31</v>
      </c>
      <c r="AQ456" t="s">
        <v>49</v>
      </c>
      <c r="AR456" t="s">
        <v>49</v>
      </c>
      <c r="AS456" t="s">
        <v>49</v>
      </c>
      <c r="AT456" t="s">
        <v>49</v>
      </c>
      <c r="AW456" s="7" t="s">
        <v>1154</v>
      </c>
      <c r="BA456" t="s">
        <v>2001</v>
      </c>
      <c r="BF456" t="s">
        <v>49</v>
      </c>
      <c r="CP456" s="2">
        <v>50</v>
      </c>
      <c r="CQ456">
        <v>117</v>
      </c>
      <c r="CR456">
        <v>650</v>
      </c>
      <c r="CS456">
        <v>733</v>
      </c>
      <c r="CT456">
        <v>650</v>
      </c>
      <c r="CU456">
        <v>673</v>
      </c>
      <c r="CV456" s="7">
        <v>2.5</v>
      </c>
      <c r="CW456" s="7">
        <v>3.5</v>
      </c>
    </row>
    <row r="457" spans="1:101" x14ac:dyDescent="0.25">
      <c r="A457" t="s">
        <v>2002</v>
      </c>
      <c r="B457" t="s">
        <v>1542</v>
      </c>
      <c r="C457" t="s">
        <v>526</v>
      </c>
      <c r="D457" t="s">
        <v>2003</v>
      </c>
      <c r="E457" t="s">
        <v>2149</v>
      </c>
      <c r="F457" t="s">
        <v>1997</v>
      </c>
      <c r="G457" t="s">
        <v>41</v>
      </c>
      <c r="H457">
        <v>46900</v>
      </c>
      <c r="I457" t="s">
        <v>2004</v>
      </c>
      <c r="J457" t="s">
        <v>2005</v>
      </c>
      <c r="K457" t="s">
        <v>2006</v>
      </c>
      <c r="L457" t="s">
        <v>44</v>
      </c>
      <c r="AQ457" t="s">
        <v>49</v>
      </c>
      <c r="AR457" t="s">
        <v>49</v>
      </c>
      <c r="AS457" t="s">
        <v>49</v>
      </c>
      <c r="AT457" t="s">
        <v>49</v>
      </c>
      <c r="BF457" t="s">
        <v>49</v>
      </c>
      <c r="CP457" s="2">
        <v>240</v>
      </c>
      <c r="CQ457">
        <v>285</v>
      </c>
      <c r="CR457">
        <v>596</v>
      </c>
      <c r="CS457">
        <v>735</v>
      </c>
      <c r="CT457">
        <v>596</v>
      </c>
      <c r="CU457">
        <v>775</v>
      </c>
      <c r="CV457" s="7">
        <v>20</v>
      </c>
      <c r="CW457" s="7">
        <v>24</v>
      </c>
    </row>
    <row r="458" spans="1:101" x14ac:dyDescent="0.25">
      <c r="A458" t="s">
        <v>2007</v>
      </c>
      <c r="B458" t="s">
        <v>1542</v>
      </c>
      <c r="C458" t="s">
        <v>526</v>
      </c>
      <c r="D458" t="s">
        <v>2008</v>
      </c>
      <c r="E458" t="s">
        <v>2149</v>
      </c>
      <c r="F458" t="s">
        <v>1997</v>
      </c>
      <c r="G458" t="s">
        <v>75</v>
      </c>
      <c r="H458">
        <v>48100</v>
      </c>
      <c r="I458" t="s">
        <v>3727</v>
      </c>
      <c r="J458" t="s">
        <v>2009</v>
      </c>
      <c r="K458" t="s">
        <v>2010</v>
      </c>
      <c r="L458" t="s">
        <v>44</v>
      </c>
      <c r="M458" s="7">
        <v>4.5</v>
      </c>
      <c r="N458" s="7">
        <v>5</v>
      </c>
      <c r="S458">
        <v>42</v>
      </c>
      <c r="T458">
        <v>46</v>
      </c>
      <c r="AI458" t="s">
        <v>2011</v>
      </c>
      <c r="AJ458">
        <v>220</v>
      </c>
      <c r="AN458" s="7">
        <v>6.35</v>
      </c>
      <c r="AO458" s="7">
        <v>12.7</v>
      </c>
      <c r="AP458" s="7">
        <v>31</v>
      </c>
      <c r="AQ458" t="s">
        <v>49</v>
      </c>
      <c r="AR458" t="s">
        <v>49</v>
      </c>
      <c r="AS458" t="s">
        <v>49</v>
      </c>
      <c r="AT458" t="s">
        <v>49</v>
      </c>
      <c r="AW458" s="7" t="s">
        <v>1154</v>
      </c>
      <c r="BA458" t="s">
        <v>2001</v>
      </c>
      <c r="BF458" t="s">
        <v>49</v>
      </c>
      <c r="CP458" s="2">
        <v>50</v>
      </c>
      <c r="CQ458">
        <v>117</v>
      </c>
      <c r="CR458">
        <v>650</v>
      </c>
      <c r="CS458">
        <v>733</v>
      </c>
      <c r="CT458">
        <v>650</v>
      </c>
      <c r="CU458">
        <v>673</v>
      </c>
      <c r="CV458" s="7">
        <v>2.5</v>
      </c>
      <c r="CW458" s="7">
        <v>3.5</v>
      </c>
    </row>
    <row r="459" spans="1:101" x14ac:dyDescent="0.25">
      <c r="A459" t="s">
        <v>2012</v>
      </c>
      <c r="B459" t="s">
        <v>1542</v>
      </c>
      <c r="C459" t="s">
        <v>526</v>
      </c>
      <c r="D459" t="s">
        <v>2013</v>
      </c>
      <c r="E459" t="s">
        <v>2149</v>
      </c>
      <c r="F459" t="s">
        <v>1997</v>
      </c>
      <c r="G459" t="s">
        <v>41</v>
      </c>
      <c r="H459">
        <v>48800</v>
      </c>
      <c r="I459" t="s">
        <v>2004</v>
      </c>
      <c r="J459" t="s">
        <v>2005</v>
      </c>
      <c r="K459" t="s">
        <v>2006</v>
      </c>
      <c r="L459" t="s">
        <v>44</v>
      </c>
      <c r="AQ459" t="s">
        <v>49</v>
      </c>
      <c r="AR459" t="s">
        <v>49</v>
      </c>
      <c r="AS459" t="s">
        <v>49</v>
      </c>
      <c r="AT459" t="s">
        <v>49</v>
      </c>
      <c r="BF459" t="s">
        <v>49</v>
      </c>
      <c r="CP459" s="2">
        <v>240</v>
      </c>
      <c r="CQ459">
        <v>285</v>
      </c>
      <c r="CR459">
        <v>596</v>
      </c>
      <c r="CS459">
        <v>735</v>
      </c>
      <c r="CT459">
        <v>596</v>
      </c>
      <c r="CU459">
        <v>775</v>
      </c>
      <c r="CV459" s="7">
        <v>20</v>
      </c>
      <c r="CW459" s="7">
        <v>24</v>
      </c>
    </row>
    <row r="460" spans="1:101" x14ac:dyDescent="0.25">
      <c r="A460" t="s">
        <v>2014</v>
      </c>
      <c r="B460" t="s">
        <v>1542</v>
      </c>
      <c r="C460" t="s">
        <v>526</v>
      </c>
      <c r="D460" t="s">
        <v>2015</v>
      </c>
      <c r="E460" t="s">
        <v>2149</v>
      </c>
      <c r="F460" t="s">
        <v>1997</v>
      </c>
      <c r="G460" t="s">
        <v>41</v>
      </c>
      <c r="H460">
        <v>59600</v>
      </c>
      <c r="I460" t="s">
        <v>2004</v>
      </c>
      <c r="J460" t="s">
        <v>2005</v>
      </c>
      <c r="K460" t="s">
        <v>2006</v>
      </c>
      <c r="L460" t="s">
        <v>44</v>
      </c>
      <c r="AQ460" t="s">
        <v>49</v>
      </c>
      <c r="AR460" t="s">
        <v>49</v>
      </c>
      <c r="AS460" t="s">
        <v>49</v>
      </c>
      <c r="AT460" t="s">
        <v>49</v>
      </c>
      <c r="BF460" t="s">
        <v>49</v>
      </c>
      <c r="CP460" s="2">
        <v>60</v>
      </c>
      <c r="CQ460">
        <v>133</v>
      </c>
      <c r="CR460">
        <v>950</v>
      </c>
      <c r="CS460">
        <v>1038</v>
      </c>
      <c r="CT460">
        <v>950</v>
      </c>
      <c r="CU460">
        <v>1033</v>
      </c>
      <c r="CV460" s="7">
        <v>7</v>
      </c>
      <c r="CW460" s="7">
        <v>11</v>
      </c>
    </row>
    <row r="461" spans="1:101" x14ac:dyDescent="0.25">
      <c r="A461" t="s">
        <v>2016</v>
      </c>
      <c r="B461" t="s">
        <v>1542</v>
      </c>
      <c r="C461" t="s">
        <v>526</v>
      </c>
      <c r="D461" t="s">
        <v>2017</v>
      </c>
      <c r="E461" t="s">
        <v>2149</v>
      </c>
      <c r="F461" t="s">
        <v>1997</v>
      </c>
      <c r="G461" t="s">
        <v>41</v>
      </c>
      <c r="H461">
        <v>61700</v>
      </c>
      <c r="I461" t="s">
        <v>3727</v>
      </c>
      <c r="J461" t="s">
        <v>2018</v>
      </c>
      <c r="K461" t="s">
        <v>2019</v>
      </c>
      <c r="L461" t="s">
        <v>44</v>
      </c>
      <c r="M461" s="7">
        <v>7.1</v>
      </c>
      <c r="N461" s="7">
        <v>8</v>
      </c>
      <c r="S461">
        <v>35</v>
      </c>
      <c r="T461">
        <v>39</v>
      </c>
      <c r="AI461" t="s">
        <v>2020</v>
      </c>
      <c r="AJ461">
        <v>220</v>
      </c>
      <c r="AN461" s="7">
        <v>9.5</v>
      </c>
      <c r="AO461" s="7">
        <v>15.8</v>
      </c>
      <c r="AP461" s="7">
        <v>31</v>
      </c>
      <c r="AQ461" t="s">
        <v>49</v>
      </c>
      <c r="AR461" t="s">
        <v>49</v>
      </c>
      <c r="AS461" t="s">
        <v>49</v>
      </c>
      <c r="AT461" t="s">
        <v>49</v>
      </c>
      <c r="AW461" s="7" t="s">
        <v>1154</v>
      </c>
      <c r="BA461" t="s">
        <v>2021</v>
      </c>
      <c r="BF461" t="s">
        <v>49</v>
      </c>
      <c r="CP461" s="2">
        <v>60</v>
      </c>
      <c r="CQ461">
        <v>130</v>
      </c>
      <c r="CR461">
        <v>950</v>
      </c>
      <c r="CS461">
        <v>1028</v>
      </c>
      <c r="CT461">
        <v>950</v>
      </c>
      <c r="CU461">
        <v>1043</v>
      </c>
      <c r="CV461" s="7">
        <v>6.5</v>
      </c>
      <c r="CW461" s="7">
        <v>10</v>
      </c>
    </row>
    <row r="462" spans="1:101" x14ac:dyDescent="0.25">
      <c r="A462" t="s">
        <v>2022</v>
      </c>
      <c r="B462" t="s">
        <v>1542</v>
      </c>
      <c r="C462" t="s">
        <v>526</v>
      </c>
      <c r="D462" t="s">
        <v>2023</v>
      </c>
      <c r="E462" t="s">
        <v>2150</v>
      </c>
      <c r="F462" t="s">
        <v>590</v>
      </c>
      <c r="G462" t="s">
        <v>41</v>
      </c>
      <c r="H462">
        <v>49100</v>
      </c>
      <c r="I462" t="s">
        <v>2024</v>
      </c>
      <c r="J462" t="s">
        <v>2025</v>
      </c>
      <c r="K462" t="s">
        <v>2026</v>
      </c>
      <c r="L462" t="s">
        <v>44</v>
      </c>
      <c r="M462" s="7">
        <v>2.5</v>
      </c>
      <c r="N462" s="7">
        <v>2.8</v>
      </c>
      <c r="O462" s="7">
        <v>5.5E-2</v>
      </c>
      <c r="P462" s="7">
        <v>5.5E-2</v>
      </c>
      <c r="AD462">
        <v>18</v>
      </c>
      <c r="AI462" t="s">
        <v>2027</v>
      </c>
      <c r="AJ462">
        <v>220</v>
      </c>
      <c r="AN462" s="7">
        <v>6.35</v>
      </c>
      <c r="AO462" s="7">
        <v>9.5</v>
      </c>
      <c r="AP462" s="7">
        <v>17</v>
      </c>
      <c r="AQ462" t="s">
        <v>49</v>
      </c>
      <c r="AR462" t="s">
        <v>49</v>
      </c>
      <c r="AS462" t="s">
        <v>49</v>
      </c>
      <c r="AT462" t="s">
        <v>49</v>
      </c>
      <c r="AU462" t="s">
        <v>50</v>
      </c>
      <c r="AV462" s="7" t="s">
        <v>3032</v>
      </c>
      <c r="AW462" s="7" t="s">
        <v>3026</v>
      </c>
      <c r="BF462" t="s">
        <v>49</v>
      </c>
      <c r="BH462">
        <v>25</v>
      </c>
      <c r="BI462" t="s">
        <v>120</v>
      </c>
      <c r="BK462">
        <v>700</v>
      </c>
      <c r="BL462">
        <v>1220</v>
      </c>
      <c r="BM462">
        <v>225</v>
      </c>
      <c r="BN462">
        <v>40</v>
      </c>
      <c r="BO462">
        <v>50</v>
      </c>
      <c r="BP462">
        <v>823</v>
      </c>
      <c r="BQ462">
        <v>1343</v>
      </c>
      <c r="BR462">
        <v>315</v>
      </c>
      <c r="BS462" t="s">
        <v>2028</v>
      </c>
    </row>
    <row r="463" spans="1:101" x14ac:dyDescent="0.25">
      <c r="A463" t="s">
        <v>2029</v>
      </c>
      <c r="B463" t="s">
        <v>1542</v>
      </c>
      <c r="C463" t="s">
        <v>526</v>
      </c>
      <c r="D463" t="s">
        <v>2030</v>
      </c>
      <c r="E463" t="s">
        <v>2150</v>
      </c>
      <c r="F463" t="s">
        <v>590</v>
      </c>
      <c r="G463" t="s">
        <v>41</v>
      </c>
      <c r="H463">
        <v>50200</v>
      </c>
      <c r="I463" t="s">
        <v>2031</v>
      </c>
      <c r="J463" t="s">
        <v>2032</v>
      </c>
      <c r="K463" t="s">
        <v>2033</v>
      </c>
      <c r="L463" t="s">
        <v>44</v>
      </c>
      <c r="M463" s="7">
        <v>3.5</v>
      </c>
      <c r="N463" s="7">
        <v>3.85</v>
      </c>
      <c r="O463" s="7">
        <v>5.5E-2</v>
      </c>
      <c r="P463" s="7">
        <v>5.5E-2</v>
      </c>
      <c r="AD463">
        <v>25</v>
      </c>
      <c r="AI463" t="s">
        <v>2034</v>
      </c>
      <c r="AJ463">
        <v>220</v>
      </c>
      <c r="AN463" s="7">
        <v>6.35</v>
      </c>
      <c r="AO463" s="7">
        <v>9.5</v>
      </c>
      <c r="AP463" s="7">
        <v>17</v>
      </c>
      <c r="AQ463" t="s">
        <v>49</v>
      </c>
      <c r="AR463" t="s">
        <v>49</v>
      </c>
      <c r="AS463" t="s">
        <v>49</v>
      </c>
      <c r="AT463" t="s">
        <v>49</v>
      </c>
      <c r="AU463" t="s">
        <v>50</v>
      </c>
      <c r="AV463" s="7" t="s">
        <v>3032</v>
      </c>
      <c r="AW463" s="7" t="s">
        <v>3026</v>
      </c>
      <c r="BF463" t="s">
        <v>49</v>
      </c>
      <c r="BH463">
        <v>35</v>
      </c>
      <c r="BI463" t="s">
        <v>120</v>
      </c>
      <c r="BK463">
        <v>700</v>
      </c>
      <c r="BL463">
        <v>1220</v>
      </c>
      <c r="BM463">
        <v>225</v>
      </c>
      <c r="BN463">
        <v>40</v>
      </c>
      <c r="BO463">
        <v>50</v>
      </c>
      <c r="BP463">
        <v>823</v>
      </c>
      <c r="BQ463">
        <v>1343</v>
      </c>
      <c r="BR463">
        <v>315</v>
      </c>
      <c r="BS463" t="s">
        <v>2028</v>
      </c>
    </row>
    <row r="464" spans="1:101" x14ac:dyDescent="0.25">
      <c r="A464" t="s">
        <v>2035</v>
      </c>
      <c r="B464" t="s">
        <v>1542</v>
      </c>
      <c r="C464" t="s">
        <v>526</v>
      </c>
      <c r="D464" t="s">
        <v>2036</v>
      </c>
      <c r="E464" t="s">
        <v>2150</v>
      </c>
      <c r="F464" t="s">
        <v>590</v>
      </c>
      <c r="G464" t="s">
        <v>75</v>
      </c>
      <c r="H464">
        <v>51000</v>
      </c>
      <c r="I464" t="s">
        <v>2031</v>
      </c>
      <c r="J464" t="s">
        <v>2037</v>
      </c>
      <c r="K464" t="s">
        <v>2038</v>
      </c>
      <c r="L464" t="s">
        <v>44</v>
      </c>
      <c r="M464" s="7">
        <v>5</v>
      </c>
      <c r="N464" s="7">
        <v>5.5</v>
      </c>
      <c r="O464" s="7">
        <v>0.11</v>
      </c>
      <c r="P464" s="7">
        <v>0.11</v>
      </c>
      <c r="AD464">
        <v>35</v>
      </c>
      <c r="AI464" t="s">
        <v>2039</v>
      </c>
      <c r="AJ464">
        <v>220</v>
      </c>
      <c r="AN464" s="7">
        <v>6.35</v>
      </c>
      <c r="AO464" s="7">
        <v>12.7</v>
      </c>
      <c r="AP464" s="7">
        <v>17</v>
      </c>
      <c r="AQ464" t="s">
        <v>49</v>
      </c>
      <c r="AR464" t="s">
        <v>49</v>
      </c>
      <c r="AS464" t="s">
        <v>49</v>
      </c>
      <c r="AT464" t="s">
        <v>49</v>
      </c>
      <c r="AU464" t="s">
        <v>50</v>
      </c>
      <c r="AV464" s="7" t="s">
        <v>3032</v>
      </c>
      <c r="AW464" s="7" t="s">
        <v>3026</v>
      </c>
      <c r="BF464" t="s">
        <v>49</v>
      </c>
      <c r="BH464">
        <v>50</v>
      </c>
      <c r="BI464" t="s">
        <v>120</v>
      </c>
      <c r="BK464">
        <v>700</v>
      </c>
      <c r="BL464">
        <v>1220</v>
      </c>
      <c r="BM464">
        <v>225</v>
      </c>
      <c r="BN464">
        <v>40</v>
      </c>
      <c r="BO464">
        <v>50</v>
      </c>
      <c r="BP464">
        <v>823</v>
      </c>
      <c r="BQ464">
        <v>1343</v>
      </c>
      <c r="BR464">
        <v>315</v>
      </c>
      <c r="BS464" t="s">
        <v>2040</v>
      </c>
    </row>
    <row r="465" spans="1:71" x14ac:dyDescent="0.25">
      <c r="A465" t="s">
        <v>2041</v>
      </c>
      <c r="B465" t="s">
        <v>1542</v>
      </c>
      <c r="C465" t="s">
        <v>526</v>
      </c>
      <c r="D465" t="s">
        <v>2042</v>
      </c>
      <c r="E465" t="s">
        <v>2150</v>
      </c>
      <c r="F465" t="s">
        <v>590</v>
      </c>
      <c r="G465" t="s">
        <v>41</v>
      </c>
      <c r="H465">
        <v>62500</v>
      </c>
      <c r="I465" t="s">
        <v>2031</v>
      </c>
      <c r="J465" t="s">
        <v>2043</v>
      </c>
      <c r="K465" t="s">
        <v>2044</v>
      </c>
      <c r="L465" t="s">
        <v>44</v>
      </c>
      <c r="M465" s="7">
        <v>7.1</v>
      </c>
      <c r="N465" s="7">
        <v>8</v>
      </c>
      <c r="O465" s="7">
        <v>0.11</v>
      </c>
      <c r="P465" s="7">
        <v>0.11</v>
      </c>
      <c r="AD465">
        <v>50</v>
      </c>
      <c r="AI465" t="s">
        <v>2045</v>
      </c>
      <c r="AJ465">
        <v>220</v>
      </c>
      <c r="AN465" s="7">
        <v>9.5</v>
      </c>
      <c r="AO465" s="7">
        <v>15.8</v>
      </c>
      <c r="AP465" s="7">
        <v>17</v>
      </c>
      <c r="AQ465" t="s">
        <v>49</v>
      </c>
      <c r="AR465" t="s">
        <v>49</v>
      </c>
      <c r="AS465" t="s">
        <v>49</v>
      </c>
      <c r="AT465" t="s">
        <v>49</v>
      </c>
      <c r="AU465" t="s">
        <v>50</v>
      </c>
      <c r="AV465" s="7" t="s">
        <v>3032</v>
      </c>
      <c r="AW465" s="7" t="s">
        <v>3026</v>
      </c>
      <c r="BF465" t="s">
        <v>49</v>
      </c>
      <c r="BH465">
        <v>71</v>
      </c>
      <c r="BI465" t="s">
        <v>120</v>
      </c>
      <c r="BK465">
        <v>700</v>
      </c>
      <c r="BL465">
        <v>1220</v>
      </c>
      <c r="BM465">
        <v>225</v>
      </c>
      <c r="BN465">
        <v>45</v>
      </c>
      <c r="BO465">
        <v>54</v>
      </c>
      <c r="BP465">
        <v>823</v>
      </c>
      <c r="BQ465">
        <v>1343</v>
      </c>
      <c r="BR465">
        <v>315</v>
      </c>
      <c r="BS465" t="s">
        <v>2046</v>
      </c>
    </row>
    <row r="466" spans="1:71" x14ac:dyDescent="0.25">
      <c r="A466" t="s">
        <v>2047</v>
      </c>
      <c r="B466" t="s">
        <v>1542</v>
      </c>
      <c r="C466" t="s">
        <v>526</v>
      </c>
      <c r="D466" t="s">
        <v>2048</v>
      </c>
      <c r="E466" t="s">
        <v>2151</v>
      </c>
      <c r="F466" t="s">
        <v>2049</v>
      </c>
      <c r="G466" t="s">
        <v>75</v>
      </c>
      <c r="H466">
        <v>19500</v>
      </c>
      <c r="I466" t="s">
        <v>3728</v>
      </c>
      <c r="J466" t="s">
        <v>2050</v>
      </c>
      <c r="K466" t="s">
        <v>2051</v>
      </c>
      <c r="L466" t="s">
        <v>44</v>
      </c>
      <c r="M466" s="7">
        <v>2.2000000000000002</v>
      </c>
      <c r="N466" s="7">
        <v>2.2999999999999998</v>
      </c>
      <c r="O466" s="7">
        <v>0.03</v>
      </c>
      <c r="P466" s="7">
        <v>0.03</v>
      </c>
      <c r="AN466" s="7">
        <v>6.35</v>
      </c>
      <c r="AO466" s="7">
        <v>9.52</v>
      </c>
      <c r="AP466" s="7">
        <v>17</v>
      </c>
      <c r="AQ466" t="s">
        <v>49</v>
      </c>
      <c r="AR466" t="s">
        <v>49</v>
      </c>
      <c r="AS466" t="s">
        <v>49</v>
      </c>
      <c r="AT466" t="s">
        <v>49</v>
      </c>
      <c r="AU466" t="s">
        <v>50</v>
      </c>
      <c r="AW466" s="7" t="s">
        <v>3026</v>
      </c>
      <c r="BF466" t="s">
        <v>49</v>
      </c>
      <c r="BH466">
        <v>22</v>
      </c>
      <c r="BI466" t="s">
        <v>120</v>
      </c>
      <c r="BK466">
        <v>256</v>
      </c>
      <c r="BL466">
        <v>819</v>
      </c>
      <c r="BM466">
        <v>185</v>
      </c>
      <c r="BN466">
        <v>8.5</v>
      </c>
      <c r="BO466">
        <v>10</v>
      </c>
      <c r="BP466">
        <v>330</v>
      </c>
      <c r="BQ466">
        <v>868</v>
      </c>
      <c r="BR466">
        <v>260</v>
      </c>
      <c r="BS466" t="s">
        <v>2052</v>
      </c>
    </row>
    <row r="467" spans="1:71" x14ac:dyDescent="0.25">
      <c r="A467" t="s">
        <v>2053</v>
      </c>
      <c r="B467" t="s">
        <v>1542</v>
      </c>
      <c r="C467" t="s">
        <v>526</v>
      </c>
      <c r="D467" t="s">
        <v>2054</v>
      </c>
      <c r="E467" t="s">
        <v>2151</v>
      </c>
      <c r="F467" t="s">
        <v>2049</v>
      </c>
      <c r="G467" t="s">
        <v>75</v>
      </c>
      <c r="H467">
        <v>19800</v>
      </c>
      <c r="I467" t="s">
        <v>3728</v>
      </c>
      <c r="J467" t="s">
        <v>2050</v>
      </c>
      <c r="K467" t="s">
        <v>2051</v>
      </c>
      <c r="L467" t="s">
        <v>44</v>
      </c>
      <c r="M467" s="7">
        <v>2.5</v>
      </c>
      <c r="N467" s="7">
        <v>2.5</v>
      </c>
      <c r="O467" s="7">
        <v>0.03</v>
      </c>
      <c r="P467" s="7">
        <v>0.03</v>
      </c>
      <c r="AD467">
        <v>12</v>
      </c>
      <c r="AN467" s="7">
        <v>6.35</v>
      </c>
      <c r="AO467" s="7">
        <v>9.52</v>
      </c>
      <c r="AP467" s="7">
        <v>17</v>
      </c>
      <c r="AQ467" t="s">
        <v>49</v>
      </c>
      <c r="AR467" t="s">
        <v>49</v>
      </c>
      <c r="AS467" t="s">
        <v>49</v>
      </c>
      <c r="AT467" t="s">
        <v>49</v>
      </c>
      <c r="AU467" t="s">
        <v>50</v>
      </c>
      <c r="AW467" s="7" t="s">
        <v>3026</v>
      </c>
      <c r="BF467" t="s">
        <v>49</v>
      </c>
      <c r="BH467">
        <v>25</v>
      </c>
      <c r="BI467" t="s">
        <v>120</v>
      </c>
      <c r="BK467">
        <v>256</v>
      </c>
      <c r="BL467">
        <v>819</v>
      </c>
      <c r="BM467">
        <v>185</v>
      </c>
      <c r="BN467">
        <v>8.5</v>
      </c>
      <c r="BO467">
        <v>10</v>
      </c>
      <c r="BP467">
        <v>330</v>
      </c>
      <c r="BQ467">
        <v>868</v>
      </c>
      <c r="BR467">
        <v>260</v>
      </c>
      <c r="BS467" t="s">
        <v>2055</v>
      </c>
    </row>
    <row r="468" spans="1:71" x14ac:dyDescent="0.25">
      <c r="A468" t="s">
        <v>2056</v>
      </c>
      <c r="B468" t="s">
        <v>1542</v>
      </c>
      <c r="C468" t="s">
        <v>526</v>
      </c>
      <c r="D468" t="s">
        <v>2057</v>
      </c>
      <c r="E468" t="s">
        <v>2151</v>
      </c>
      <c r="F468" t="s">
        <v>2049</v>
      </c>
      <c r="G468" t="s">
        <v>41</v>
      </c>
      <c r="H468">
        <v>22500</v>
      </c>
      <c r="I468" t="s">
        <v>3728</v>
      </c>
      <c r="J468" t="s">
        <v>2050</v>
      </c>
      <c r="K468" t="s">
        <v>2051</v>
      </c>
      <c r="L468" t="s">
        <v>44</v>
      </c>
      <c r="M468" s="7">
        <v>3.2</v>
      </c>
      <c r="N468" s="7">
        <v>3.3</v>
      </c>
      <c r="O468" s="7">
        <v>0.03</v>
      </c>
      <c r="P468" s="7">
        <v>0.03</v>
      </c>
      <c r="AD468">
        <v>16</v>
      </c>
      <c r="AN468" s="7">
        <v>6.35</v>
      </c>
      <c r="AO468" s="7">
        <v>9.52</v>
      </c>
      <c r="AP468" s="7">
        <v>17</v>
      </c>
      <c r="AQ468" t="s">
        <v>49</v>
      </c>
      <c r="AR468" t="s">
        <v>49</v>
      </c>
      <c r="AS468" t="s">
        <v>49</v>
      </c>
      <c r="AT468" t="s">
        <v>49</v>
      </c>
      <c r="AU468" t="s">
        <v>50</v>
      </c>
      <c r="AW468" s="7" t="s">
        <v>3026</v>
      </c>
      <c r="BF468" t="s">
        <v>49</v>
      </c>
      <c r="BH468">
        <v>32</v>
      </c>
      <c r="BI468" t="s">
        <v>120</v>
      </c>
      <c r="BK468">
        <v>256</v>
      </c>
      <c r="BL468">
        <v>819</v>
      </c>
      <c r="BM468">
        <v>185</v>
      </c>
      <c r="BN468">
        <v>8.5</v>
      </c>
      <c r="BO468">
        <v>10</v>
      </c>
      <c r="BP468">
        <v>330</v>
      </c>
      <c r="BQ468">
        <v>868</v>
      </c>
      <c r="BR468">
        <v>260</v>
      </c>
      <c r="BS468" t="s">
        <v>2058</v>
      </c>
    </row>
    <row r="469" spans="1:71" x14ac:dyDescent="0.25">
      <c r="A469" t="s">
        <v>2059</v>
      </c>
      <c r="B469" t="s">
        <v>1542</v>
      </c>
      <c r="C469" t="s">
        <v>526</v>
      </c>
      <c r="D469" t="s">
        <v>2060</v>
      </c>
      <c r="E469" t="s">
        <v>2151</v>
      </c>
      <c r="F469" t="s">
        <v>2049</v>
      </c>
      <c r="G469" t="s">
        <v>75</v>
      </c>
      <c r="H469">
        <v>29200</v>
      </c>
      <c r="I469" t="s">
        <v>3728</v>
      </c>
      <c r="J469" t="s">
        <v>2050</v>
      </c>
      <c r="K469" t="s">
        <v>2051</v>
      </c>
      <c r="L469" t="s">
        <v>44</v>
      </c>
      <c r="M469" s="7">
        <v>4.5999999999999996</v>
      </c>
      <c r="N469" s="7">
        <v>5</v>
      </c>
      <c r="O469" s="7">
        <v>0.04</v>
      </c>
      <c r="P469" s="7">
        <v>0.04</v>
      </c>
      <c r="AD469">
        <v>21</v>
      </c>
      <c r="AN469" s="7">
        <v>6.35</v>
      </c>
      <c r="AO469" s="7">
        <v>9.52</v>
      </c>
      <c r="AP469" s="7">
        <v>17</v>
      </c>
      <c r="AQ469" t="s">
        <v>49</v>
      </c>
      <c r="AR469" t="s">
        <v>49</v>
      </c>
      <c r="AS469" t="s">
        <v>49</v>
      </c>
      <c r="AT469" t="s">
        <v>49</v>
      </c>
      <c r="AU469" t="s">
        <v>50</v>
      </c>
      <c r="AW469" s="7" t="s">
        <v>3026</v>
      </c>
      <c r="BF469" t="s">
        <v>49</v>
      </c>
      <c r="BH469">
        <v>46</v>
      </c>
      <c r="BI469" t="s">
        <v>120</v>
      </c>
      <c r="BK469">
        <v>307</v>
      </c>
      <c r="BL469">
        <v>1013</v>
      </c>
      <c r="BM469">
        <v>221</v>
      </c>
      <c r="BN469">
        <v>13.5</v>
      </c>
      <c r="BO469">
        <v>16.5</v>
      </c>
      <c r="BP469">
        <v>378</v>
      </c>
      <c r="BQ469">
        <v>1080</v>
      </c>
      <c r="BR469">
        <v>315</v>
      </c>
      <c r="BS469" t="s">
        <v>2061</v>
      </c>
    </row>
    <row r="470" spans="1:71" x14ac:dyDescent="0.25">
      <c r="A470" t="s">
        <v>2062</v>
      </c>
      <c r="B470" t="s">
        <v>1542</v>
      </c>
      <c r="C470" t="s">
        <v>526</v>
      </c>
      <c r="D470" t="s">
        <v>2063</v>
      </c>
      <c r="E470" t="s">
        <v>2151</v>
      </c>
      <c r="F470" t="s">
        <v>2049</v>
      </c>
      <c r="G470" t="s">
        <v>75</v>
      </c>
      <c r="H470">
        <v>40500</v>
      </c>
      <c r="I470" t="s">
        <v>3728</v>
      </c>
      <c r="J470" t="s">
        <v>2050</v>
      </c>
      <c r="K470" t="s">
        <v>2051</v>
      </c>
      <c r="L470" t="s">
        <v>44</v>
      </c>
      <c r="M470" s="7">
        <v>6.16</v>
      </c>
      <c r="N470" s="7">
        <v>6.2</v>
      </c>
      <c r="O470" s="7">
        <v>0.04</v>
      </c>
      <c r="P470" s="7">
        <v>0.04</v>
      </c>
      <c r="AD470">
        <v>27</v>
      </c>
      <c r="AN470" s="7">
        <v>6.35</v>
      </c>
      <c r="AO470" s="7">
        <v>15.88</v>
      </c>
      <c r="AP470" s="7">
        <v>17</v>
      </c>
      <c r="AQ470" t="s">
        <v>49</v>
      </c>
      <c r="AR470" t="s">
        <v>49</v>
      </c>
      <c r="AS470" t="s">
        <v>49</v>
      </c>
      <c r="AT470" t="s">
        <v>49</v>
      </c>
      <c r="AU470" t="s">
        <v>50</v>
      </c>
      <c r="AW470" s="7" t="s">
        <v>3026</v>
      </c>
      <c r="BF470" t="s">
        <v>49</v>
      </c>
      <c r="BH470">
        <v>62</v>
      </c>
      <c r="BI470" t="s">
        <v>120</v>
      </c>
      <c r="BK470">
        <v>307</v>
      </c>
      <c r="BL470">
        <v>1013</v>
      </c>
      <c r="BM470">
        <v>221</v>
      </c>
      <c r="BN470">
        <v>14</v>
      </c>
      <c r="BO470">
        <v>17</v>
      </c>
      <c r="BP470">
        <v>378</v>
      </c>
      <c r="BQ470">
        <v>1080</v>
      </c>
      <c r="BR470">
        <v>315</v>
      </c>
      <c r="BS470" t="s">
        <v>2064</v>
      </c>
    </row>
    <row r="471" spans="1:71" x14ac:dyDescent="0.25">
      <c r="A471" t="s">
        <v>2065</v>
      </c>
      <c r="B471" t="s">
        <v>1542</v>
      </c>
      <c r="C471" t="s">
        <v>526</v>
      </c>
      <c r="D471" t="s">
        <v>2066</v>
      </c>
      <c r="E471" t="s">
        <v>2151</v>
      </c>
      <c r="F471" t="s">
        <v>2067</v>
      </c>
      <c r="G471" t="s">
        <v>75</v>
      </c>
      <c r="H471">
        <v>19500</v>
      </c>
      <c r="I471" t="s">
        <v>3729</v>
      </c>
      <c r="J471" t="s">
        <v>2068</v>
      </c>
      <c r="K471" t="s">
        <v>2069</v>
      </c>
      <c r="L471" t="s">
        <v>44</v>
      </c>
      <c r="M471" s="7">
        <v>2.35</v>
      </c>
      <c r="N471" s="7">
        <v>2.5</v>
      </c>
      <c r="O471" s="7">
        <v>2.1999999999999999E-2</v>
      </c>
      <c r="AN471" s="7">
        <v>6.35</v>
      </c>
      <c r="AO471" s="7">
        <v>9.52</v>
      </c>
      <c r="AP471" s="7">
        <v>17</v>
      </c>
      <c r="AQ471" t="s">
        <v>49</v>
      </c>
      <c r="AR471" t="s">
        <v>49</v>
      </c>
      <c r="AS471" t="s">
        <v>49</v>
      </c>
      <c r="AT471" t="s">
        <v>49</v>
      </c>
      <c r="AU471" t="s">
        <v>78</v>
      </c>
      <c r="AW471" s="7" t="s">
        <v>3020</v>
      </c>
      <c r="BF471" t="s">
        <v>49</v>
      </c>
      <c r="BH471">
        <v>23</v>
      </c>
      <c r="BI471" t="s">
        <v>120</v>
      </c>
      <c r="BK471">
        <v>256</v>
      </c>
      <c r="BL471">
        <v>744</v>
      </c>
      <c r="BM471">
        <v>185</v>
      </c>
      <c r="BN471">
        <v>7.7</v>
      </c>
      <c r="BO471">
        <v>9.1999999999999993</v>
      </c>
      <c r="BP471">
        <v>314</v>
      </c>
      <c r="BQ471">
        <v>788</v>
      </c>
      <c r="BR471">
        <v>249</v>
      </c>
      <c r="BS471" t="s">
        <v>786</v>
      </c>
    </row>
    <row r="472" spans="1:71" x14ac:dyDescent="0.25">
      <c r="A472" t="s">
        <v>2070</v>
      </c>
      <c r="B472" t="s">
        <v>1542</v>
      </c>
      <c r="C472" t="s">
        <v>526</v>
      </c>
      <c r="D472" t="s">
        <v>2071</v>
      </c>
      <c r="E472" t="s">
        <v>2151</v>
      </c>
      <c r="F472" t="s">
        <v>2067</v>
      </c>
      <c r="G472" t="s">
        <v>75</v>
      </c>
      <c r="H472">
        <v>19800</v>
      </c>
      <c r="I472" t="s">
        <v>3729</v>
      </c>
      <c r="J472" t="s">
        <v>2068</v>
      </c>
      <c r="K472" t="s">
        <v>2069</v>
      </c>
      <c r="L472" t="s">
        <v>44</v>
      </c>
      <c r="M472" s="7">
        <v>2.5</v>
      </c>
      <c r="N472" s="7">
        <v>2.8</v>
      </c>
      <c r="O472" s="7">
        <v>2.1999999999999999E-2</v>
      </c>
      <c r="AN472" s="7">
        <v>6.35</v>
      </c>
      <c r="AO472" s="7">
        <v>9.52</v>
      </c>
      <c r="AP472" s="7">
        <v>17</v>
      </c>
      <c r="AQ472" t="s">
        <v>49</v>
      </c>
      <c r="AR472" t="s">
        <v>49</v>
      </c>
      <c r="AS472" t="s">
        <v>49</v>
      </c>
      <c r="AT472" t="s">
        <v>49</v>
      </c>
      <c r="AU472" t="s">
        <v>78</v>
      </c>
      <c r="AW472" s="7" t="s">
        <v>3020</v>
      </c>
      <c r="BF472" t="s">
        <v>49</v>
      </c>
      <c r="BH472">
        <v>25</v>
      </c>
      <c r="BI472" t="s">
        <v>120</v>
      </c>
      <c r="BK472">
        <v>256</v>
      </c>
      <c r="BL472">
        <v>744</v>
      </c>
      <c r="BM472">
        <v>185</v>
      </c>
      <c r="BN472">
        <v>7.5</v>
      </c>
      <c r="BO472">
        <v>9</v>
      </c>
      <c r="BP472">
        <v>314</v>
      </c>
      <c r="BQ472">
        <v>788</v>
      </c>
      <c r="BR472">
        <v>249</v>
      </c>
      <c r="BS472" t="s">
        <v>1564</v>
      </c>
    </row>
    <row r="473" spans="1:71" x14ac:dyDescent="0.25">
      <c r="A473" t="s">
        <v>2072</v>
      </c>
      <c r="B473" t="s">
        <v>1542</v>
      </c>
      <c r="C473" t="s">
        <v>526</v>
      </c>
      <c r="D473" t="s">
        <v>2073</v>
      </c>
      <c r="E473" t="s">
        <v>2151</v>
      </c>
      <c r="F473" t="s">
        <v>2067</v>
      </c>
      <c r="G473" t="s">
        <v>75</v>
      </c>
      <c r="H473">
        <v>22500</v>
      </c>
      <c r="I473" t="s">
        <v>3729</v>
      </c>
      <c r="J473" t="s">
        <v>2068</v>
      </c>
      <c r="K473" t="s">
        <v>2069</v>
      </c>
      <c r="L473" t="s">
        <v>44</v>
      </c>
      <c r="M473" s="7">
        <v>3.2</v>
      </c>
      <c r="N473" s="7">
        <v>3.4</v>
      </c>
      <c r="O473" s="7">
        <v>0.03</v>
      </c>
      <c r="AN473" s="7">
        <v>6.35</v>
      </c>
      <c r="AO473" s="7">
        <v>9.52</v>
      </c>
      <c r="AP473" s="7">
        <v>17</v>
      </c>
      <c r="AQ473" t="s">
        <v>49</v>
      </c>
      <c r="AR473" t="s">
        <v>49</v>
      </c>
      <c r="AS473" t="s">
        <v>49</v>
      </c>
      <c r="AT473" t="s">
        <v>49</v>
      </c>
      <c r="AU473" t="s">
        <v>78</v>
      </c>
      <c r="AW473" s="7" t="s">
        <v>3020</v>
      </c>
      <c r="BF473" t="s">
        <v>49</v>
      </c>
      <c r="BH473">
        <v>32</v>
      </c>
      <c r="BI473" t="s">
        <v>120</v>
      </c>
      <c r="BK473">
        <v>256</v>
      </c>
      <c r="BL473">
        <v>819</v>
      </c>
      <c r="BM473">
        <v>185</v>
      </c>
      <c r="BN473">
        <v>8</v>
      </c>
      <c r="BO473">
        <v>9.5</v>
      </c>
      <c r="BP473">
        <v>314</v>
      </c>
      <c r="BQ473">
        <v>863</v>
      </c>
      <c r="BR473">
        <v>249</v>
      </c>
      <c r="BS473" t="s">
        <v>789</v>
      </c>
    </row>
    <row r="474" spans="1:71" x14ac:dyDescent="0.25">
      <c r="A474" t="s">
        <v>2074</v>
      </c>
      <c r="B474" t="s">
        <v>1542</v>
      </c>
      <c r="C474" t="s">
        <v>526</v>
      </c>
      <c r="D474" t="s">
        <v>2075</v>
      </c>
      <c r="E474" t="s">
        <v>2151</v>
      </c>
      <c r="F474" t="s">
        <v>2067</v>
      </c>
      <c r="G474" t="s">
        <v>75</v>
      </c>
      <c r="H474">
        <v>29200</v>
      </c>
      <c r="I474" t="s">
        <v>3729</v>
      </c>
      <c r="J474" t="s">
        <v>2068</v>
      </c>
      <c r="K474" t="s">
        <v>2069</v>
      </c>
      <c r="L474" t="s">
        <v>44</v>
      </c>
      <c r="M474" s="7">
        <v>4.5999999999999996</v>
      </c>
      <c r="N474" s="7">
        <v>5.2</v>
      </c>
      <c r="O474" s="7">
        <v>3.5000000000000003E-2</v>
      </c>
      <c r="AN474" s="7">
        <v>6.35</v>
      </c>
      <c r="AO474" s="7">
        <v>9.52</v>
      </c>
      <c r="AP474" s="7">
        <v>17</v>
      </c>
      <c r="AQ474" t="s">
        <v>49</v>
      </c>
      <c r="AR474" t="s">
        <v>49</v>
      </c>
      <c r="AS474" t="s">
        <v>49</v>
      </c>
      <c r="AT474" t="s">
        <v>49</v>
      </c>
      <c r="AU474" t="s">
        <v>78</v>
      </c>
      <c r="AW474" s="7" t="s">
        <v>3020</v>
      </c>
      <c r="BF474" t="s">
        <v>49</v>
      </c>
      <c r="BH474">
        <v>46</v>
      </c>
      <c r="BI474" t="s">
        <v>120</v>
      </c>
      <c r="BK474">
        <v>304</v>
      </c>
      <c r="BL474">
        <v>1017</v>
      </c>
      <c r="BM474">
        <v>221</v>
      </c>
      <c r="BN474">
        <v>14</v>
      </c>
      <c r="BO474">
        <v>17</v>
      </c>
      <c r="BP474">
        <v>375</v>
      </c>
      <c r="BQ474">
        <v>1077</v>
      </c>
      <c r="BR474">
        <v>300</v>
      </c>
      <c r="BS474" t="s">
        <v>1578</v>
      </c>
    </row>
    <row r="475" spans="1:71" x14ac:dyDescent="0.25">
      <c r="A475" t="s">
        <v>2076</v>
      </c>
      <c r="B475" t="s">
        <v>1542</v>
      </c>
      <c r="C475" t="s">
        <v>526</v>
      </c>
      <c r="D475" t="s">
        <v>2077</v>
      </c>
      <c r="E475" t="s">
        <v>2151</v>
      </c>
      <c r="F475" t="s">
        <v>2067</v>
      </c>
      <c r="G475" t="s">
        <v>75</v>
      </c>
      <c r="H475">
        <v>40500</v>
      </c>
      <c r="I475" t="s">
        <v>3729</v>
      </c>
      <c r="J475" t="s">
        <v>2068</v>
      </c>
      <c r="K475" t="s">
        <v>2069</v>
      </c>
      <c r="L475" t="s">
        <v>44</v>
      </c>
      <c r="M475" s="7">
        <v>6.16</v>
      </c>
      <c r="N475" s="7">
        <v>6.45</v>
      </c>
      <c r="O475" s="7">
        <v>0.06</v>
      </c>
      <c r="AN475" s="7">
        <v>6.35</v>
      </c>
      <c r="AO475" s="7">
        <v>15.88</v>
      </c>
      <c r="AP475" s="7">
        <v>17</v>
      </c>
      <c r="AQ475" t="s">
        <v>49</v>
      </c>
      <c r="AR475" t="s">
        <v>49</v>
      </c>
      <c r="AS475" t="s">
        <v>49</v>
      </c>
      <c r="AT475" t="s">
        <v>49</v>
      </c>
      <c r="AU475" t="s">
        <v>78</v>
      </c>
      <c r="AW475" s="7" t="s">
        <v>3020</v>
      </c>
      <c r="BF475" t="s">
        <v>49</v>
      </c>
      <c r="BH475">
        <v>61</v>
      </c>
      <c r="BI475" t="s">
        <v>120</v>
      </c>
      <c r="BK475">
        <v>304</v>
      </c>
      <c r="BL475">
        <v>1017</v>
      </c>
      <c r="BM475">
        <v>221</v>
      </c>
      <c r="BN475">
        <v>14</v>
      </c>
      <c r="BO475">
        <v>17</v>
      </c>
      <c r="BP475">
        <v>375</v>
      </c>
      <c r="BQ475">
        <v>1077</v>
      </c>
      <c r="BR475">
        <v>300</v>
      </c>
      <c r="BS475" t="s">
        <v>1585</v>
      </c>
    </row>
    <row r="476" spans="1:71" x14ac:dyDescent="0.25">
      <c r="A476" t="s">
        <v>2078</v>
      </c>
      <c r="B476" t="s">
        <v>1542</v>
      </c>
      <c r="C476" t="s">
        <v>526</v>
      </c>
      <c r="D476" t="s">
        <v>2079</v>
      </c>
      <c r="E476" t="s">
        <v>2151</v>
      </c>
      <c r="F476" t="s">
        <v>2080</v>
      </c>
      <c r="G476" t="s">
        <v>41</v>
      </c>
      <c r="H476">
        <v>87700</v>
      </c>
      <c r="I476" t="s">
        <v>3730</v>
      </c>
      <c r="J476" t="s">
        <v>2081</v>
      </c>
      <c r="K476" t="s">
        <v>2082</v>
      </c>
      <c r="L476" t="s">
        <v>44</v>
      </c>
      <c r="M476" s="7" t="s">
        <v>2394</v>
      </c>
      <c r="N476" s="7" t="s">
        <v>2856</v>
      </c>
      <c r="O476" s="7">
        <v>1.2</v>
      </c>
      <c r="P476" s="7">
        <v>1.18</v>
      </c>
      <c r="Q476">
        <v>20</v>
      </c>
      <c r="R476">
        <v>5</v>
      </c>
      <c r="U476">
        <v>1</v>
      </c>
      <c r="X476">
        <v>-15</v>
      </c>
      <c r="Y476">
        <v>43</v>
      </c>
      <c r="Z476">
        <v>-20</v>
      </c>
      <c r="AA476">
        <v>24</v>
      </c>
      <c r="AB476">
        <v>2</v>
      </c>
      <c r="AD476">
        <v>41</v>
      </c>
      <c r="AG476" t="s">
        <v>2950</v>
      </c>
      <c r="AH476" t="s">
        <v>63</v>
      </c>
      <c r="AK476" t="s">
        <v>2083</v>
      </c>
      <c r="AL476" t="s">
        <v>785</v>
      </c>
      <c r="AM476">
        <v>220</v>
      </c>
      <c r="AN476" s="7" t="s">
        <v>2895</v>
      </c>
      <c r="AO476" s="7" t="s">
        <v>2907</v>
      </c>
      <c r="AQ476" t="s">
        <v>49</v>
      </c>
      <c r="AR476" t="s">
        <v>49</v>
      </c>
      <c r="AS476" t="s">
        <v>49</v>
      </c>
      <c r="AT476" t="s">
        <v>49</v>
      </c>
      <c r="AU476" t="s">
        <v>50</v>
      </c>
      <c r="AV476" s="7" t="s">
        <v>3021</v>
      </c>
      <c r="AW476" s="7" t="s">
        <v>3020</v>
      </c>
      <c r="AX476">
        <v>20</v>
      </c>
      <c r="AY476">
        <v>10</v>
      </c>
      <c r="AZ476">
        <v>5</v>
      </c>
      <c r="BE476" s="7" t="s">
        <v>3383</v>
      </c>
      <c r="BF476" t="s">
        <v>49</v>
      </c>
      <c r="BI476" t="s">
        <v>120</v>
      </c>
      <c r="BK476">
        <v>596</v>
      </c>
      <c r="BL476">
        <v>899</v>
      </c>
      <c r="BM476">
        <v>378</v>
      </c>
      <c r="BN476">
        <v>43</v>
      </c>
      <c r="BO476">
        <v>46</v>
      </c>
      <c r="BP476">
        <v>630</v>
      </c>
      <c r="BQ476">
        <v>945</v>
      </c>
      <c r="BR476">
        <v>417</v>
      </c>
    </row>
    <row r="477" spans="1:71" x14ac:dyDescent="0.25">
      <c r="A477" t="s">
        <v>2084</v>
      </c>
      <c r="B477" t="s">
        <v>1542</v>
      </c>
      <c r="C477" t="s">
        <v>526</v>
      </c>
      <c r="D477" t="s">
        <v>2085</v>
      </c>
      <c r="E477" t="s">
        <v>2151</v>
      </c>
      <c r="F477" t="s">
        <v>2080</v>
      </c>
      <c r="G477" t="s">
        <v>75</v>
      </c>
      <c r="H477">
        <v>100200</v>
      </c>
      <c r="I477" t="s">
        <v>3730</v>
      </c>
      <c r="J477" t="s">
        <v>2086</v>
      </c>
      <c r="K477" t="s">
        <v>2082</v>
      </c>
      <c r="L477" t="s">
        <v>44</v>
      </c>
      <c r="M477" s="7" t="s">
        <v>2395</v>
      </c>
      <c r="N477" s="7" t="s">
        <v>2857</v>
      </c>
      <c r="O477" s="7">
        <v>1.45</v>
      </c>
      <c r="P477" s="7">
        <v>1.45</v>
      </c>
      <c r="Q477">
        <v>20</v>
      </c>
      <c r="R477">
        <v>5</v>
      </c>
      <c r="U477">
        <v>1</v>
      </c>
      <c r="X477">
        <v>-15</v>
      </c>
      <c r="Y477">
        <v>43</v>
      </c>
      <c r="Z477">
        <v>-20</v>
      </c>
      <c r="AA477">
        <v>24</v>
      </c>
      <c r="AB477">
        <v>2</v>
      </c>
      <c r="AD477">
        <v>52</v>
      </c>
      <c r="AG477" t="s">
        <v>2922</v>
      </c>
      <c r="AH477" t="s">
        <v>63</v>
      </c>
      <c r="AK477" t="s">
        <v>2087</v>
      </c>
      <c r="AL477" t="s">
        <v>785</v>
      </c>
      <c r="AM477">
        <v>220</v>
      </c>
      <c r="AN477" s="7" t="s">
        <v>2895</v>
      </c>
      <c r="AO477" s="7" t="s">
        <v>2907</v>
      </c>
      <c r="AQ477" t="s">
        <v>49</v>
      </c>
      <c r="AR477" t="s">
        <v>49</v>
      </c>
      <c r="AS477" t="s">
        <v>49</v>
      </c>
      <c r="AT477" t="s">
        <v>49</v>
      </c>
      <c r="AU477" t="s">
        <v>50</v>
      </c>
      <c r="AV477" s="7" t="s">
        <v>3021</v>
      </c>
      <c r="AW477" s="7" t="s">
        <v>3020</v>
      </c>
      <c r="AX477">
        <v>20</v>
      </c>
      <c r="AY477">
        <v>10</v>
      </c>
      <c r="AZ477">
        <v>5</v>
      </c>
      <c r="BE477" s="7" t="s">
        <v>3384</v>
      </c>
      <c r="BF477" t="s">
        <v>49</v>
      </c>
      <c r="BI477" t="s">
        <v>120</v>
      </c>
      <c r="BK477">
        <v>700</v>
      </c>
      <c r="BL477">
        <v>955</v>
      </c>
      <c r="BM477">
        <v>396</v>
      </c>
      <c r="BN477">
        <v>51</v>
      </c>
      <c r="BO477">
        <v>55.5</v>
      </c>
      <c r="BP477">
        <v>735</v>
      </c>
      <c r="BQ477">
        <v>1026</v>
      </c>
      <c r="BR477">
        <v>455</v>
      </c>
    </row>
    <row r="478" spans="1:71" x14ac:dyDescent="0.25">
      <c r="A478" t="s">
        <v>2088</v>
      </c>
      <c r="B478" t="s">
        <v>1542</v>
      </c>
      <c r="C478" t="s">
        <v>526</v>
      </c>
      <c r="D478" t="s">
        <v>2089</v>
      </c>
      <c r="E478" t="s">
        <v>2151</v>
      </c>
      <c r="F478" t="s">
        <v>2080</v>
      </c>
      <c r="G478" t="s">
        <v>41</v>
      </c>
      <c r="H478">
        <v>123600</v>
      </c>
      <c r="I478" t="s">
        <v>3730</v>
      </c>
      <c r="J478" t="s">
        <v>2090</v>
      </c>
      <c r="K478" t="s">
        <v>2082</v>
      </c>
      <c r="L478" t="s">
        <v>44</v>
      </c>
      <c r="M478" s="7" t="s">
        <v>2396</v>
      </c>
      <c r="N478" s="7" t="s">
        <v>2858</v>
      </c>
      <c r="O478" s="7">
        <v>1.91</v>
      </c>
      <c r="P478" s="7">
        <v>1.73</v>
      </c>
      <c r="Q478">
        <v>60</v>
      </c>
      <c r="R478">
        <v>10</v>
      </c>
      <c r="U478">
        <v>2</v>
      </c>
      <c r="X478">
        <v>-15</v>
      </c>
      <c r="Y478">
        <v>43</v>
      </c>
      <c r="Z478">
        <v>-20</v>
      </c>
      <c r="AA478">
        <v>24</v>
      </c>
      <c r="AB478">
        <v>3</v>
      </c>
      <c r="AD478">
        <v>61</v>
      </c>
      <c r="AG478" t="s">
        <v>2950</v>
      </c>
      <c r="AH478" t="s">
        <v>63</v>
      </c>
      <c r="AK478" t="s">
        <v>2091</v>
      </c>
      <c r="AL478" t="s">
        <v>785</v>
      </c>
      <c r="AM478">
        <v>220</v>
      </c>
      <c r="AN478" s="7" t="s">
        <v>2897</v>
      </c>
      <c r="AO478" s="7" t="s">
        <v>2908</v>
      </c>
      <c r="AQ478" t="s">
        <v>49</v>
      </c>
      <c r="AR478" t="s">
        <v>49</v>
      </c>
      <c r="AS478" t="s">
        <v>49</v>
      </c>
      <c r="AT478" t="s">
        <v>49</v>
      </c>
      <c r="AU478" t="s">
        <v>50</v>
      </c>
      <c r="AV478" s="7" t="s">
        <v>191</v>
      </c>
      <c r="AW478" s="7" t="s">
        <v>3020</v>
      </c>
      <c r="AX478">
        <v>25</v>
      </c>
      <c r="AY478">
        <v>20</v>
      </c>
      <c r="AZ478">
        <v>10</v>
      </c>
      <c r="BE478" s="7" t="s">
        <v>3385</v>
      </c>
      <c r="BF478" t="s">
        <v>49</v>
      </c>
      <c r="BI478" t="s">
        <v>120</v>
      </c>
      <c r="BK478">
        <v>700</v>
      </c>
      <c r="BL478">
        <v>955</v>
      </c>
      <c r="BM478">
        <v>396</v>
      </c>
      <c r="BN478">
        <v>62</v>
      </c>
      <c r="BO478">
        <v>66.5</v>
      </c>
      <c r="BP478">
        <v>735</v>
      </c>
      <c r="BQ478">
        <v>1026</v>
      </c>
      <c r="BR478">
        <v>455</v>
      </c>
    </row>
    <row r="479" spans="1:71" x14ac:dyDescent="0.25">
      <c r="A479" t="s">
        <v>2092</v>
      </c>
      <c r="B479" t="s">
        <v>1542</v>
      </c>
      <c r="C479" t="s">
        <v>526</v>
      </c>
      <c r="D479" t="s">
        <v>2093</v>
      </c>
      <c r="E479" t="s">
        <v>2151</v>
      </c>
      <c r="F479" t="s">
        <v>2080</v>
      </c>
      <c r="G479" t="s">
        <v>41</v>
      </c>
      <c r="H479">
        <v>134500</v>
      </c>
      <c r="I479" t="s">
        <v>3730</v>
      </c>
      <c r="J479" t="s">
        <v>2094</v>
      </c>
      <c r="K479" t="s">
        <v>2082</v>
      </c>
      <c r="L479" t="s">
        <v>44</v>
      </c>
      <c r="M479" s="7" t="s">
        <v>2397</v>
      </c>
      <c r="N479" s="7" t="s">
        <v>2859</v>
      </c>
      <c r="O479" s="7">
        <v>2.1800000000000002</v>
      </c>
      <c r="P479" s="7">
        <v>2.2799999999999998</v>
      </c>
      <c r="Q479">
        <v>60</v>
      </c>
      <c r="R479">
        <v>10</v>
      </c>
      <c r="U479">
        <v>2</v>
      </c>
      <c r="X479">
        <v>-15</v>
      </c>
      <c r="Y479">
        <v>43</v>
      </c>
      <c r="Z479">
        <v>-20</v>
      </c>
      <c r="AA479">
        <v>24</v>
      </c>
      <c r="AB479">
        <v>3</v>
      </c>
      <c r="AD479">
        <v>71</v>
      </c>
      <c r="AG479" t="s">
        <v>2950</v>
      </c>
      <c r="AH479" t="s">
        <v>63</v>
      </c>
      <c r="AK479" t="s">
        <v>2095</v>
      </c>
      <c r="AL479" t="s">
        <v>785</v>
      </c>
      <c r="AM479">
        <v>220</v>
      </c>
      <c r="AN479" s="7" t="s">
        <v>2897</v>
      </c>
      <c r="AO479" s="7" t="s">
        <v>2908</v>
      </c>
      <c r="AQ479" t="s">
        <v>49</v>
      </c>
      <c r="AR479" t="s">
        <v>49</v>
      </c>
      <c r="AS479" t="s">
        <v>49</v>
      </c>
      <c r="AT479" t="s">
        <v>49</v>
      </c>
      <c r="AU479" t="s">
        <v>50</v>
      </c>
      <c r="AV479" s="7" t="s">
        <v>191</v>
      </c>
      <c r="AW479" s="7" t="s">
        <v>3020</v>
      </c>
      <c r="AX479">
        <v>25</v>
      </c>
      <c r="AY479">
        <v>20</v>
      </c>
      <c r="AZ479">
        <v>10</v>
      </c>
      <c r="BE479" s="7" t="s">
        <v>3386</v>
      </c>
      <c r="BF479" t="s">
        <v>49</v>
      </c>
      <c r="BI479" t="s">
        <v>120</v>
      </c>
      <c r="BK479">
        <v>790</v>
      </c>
      <c r="BL479">
        <v>980</v>
      </c>
      <c r="BM479">
        <v>427</v>
      </c>
      <c r="BN479">
        <v>68</v>
      </c>
      <c r="BO479">
        <v>73</v>
      </c>
      <c r="BP479">
        <v>840</v>
      </c>
      <c r="BQ479">
        <v>1080</v>
      </c>
      <c r="BR479">
        <v>485</v>
      </c>
    </row>
    <row r="480" spans="1:71" x14ac:dyDescent="0.25">
      <c r="A480" t="s">
        <v>2096</v>
      </c>
      <c r="B480" t="s">
        <v>1542</v>
      </c>
      <c r="C480" t="s">
        <v>526</v>
      </c>
      <c r="D480" t="s">
        <v>2097</v>
      </c>
      <c r="E480" t="s">
        <v>2151</v>
      </c>
      <c r="F480" t="s">
        <v>2080</v>
      </c>
      <c r="G480" t="s">
        <v>41</v>
      </c>
      <c r="H480">
        <v>162000</v>
      </c>
      <c r="I480" t="s">
        <v>3730</v>
      </c>
      <c r="J480" t="s">
        <v>2098</v>
      </c>
      <c r="K480" t="s">
        <v>2082</v>
      </c>
      <c r="L480" t="s">
        <v>44</v>
      </c>
      <c r="M480" s="7" t="s">
        <v>2398</v>
      </c>
      <c r="N480" s="7" t="s">
        <v>2860</v>
      </c>
      <c r="O480" s="7">
        <v>2.54</v>
      </c>
      <c r="P480" s="7">
        <v>2.4900000000000002</v>
      </c>
      <c r="Q480">
        <v>70</v>
      </c>
      <c r="R480">
        <v>10</v>
      </c>
      <c r="U480">
        <v>2</v>
      </c>
      <c r="X480">
        <v>-15</v>
      </c>
      <c r="Y480">
        <v>43</v>
      </c>
      <c r="Z480">
        <v>-20</v>
      </c>
      <c r="AA480">
        <v>24</v>
      </c>
      <c r="AB480">
        <v>4</v>
      </c>
      <c r="AD480">
        <v>80</v>
      </c>
      <c r="AG480" t="s">
        <v>2950</v>
      </c>
      <c r="AH480" t="s">
        <v>63</v>
      </c>
      <c r="AK480" t="s">
        <v>2099</v>
      </c>
      <c r="AL480" t="s">
        <v>785</v>
      </c>
      <c r="AM480">
        <v>220</v>
      </c>
      <c r="AN480" s="7" t="s">
        <v>2899</v>
      </c>
      <c r="AO480" s="7" t="s">
        <v>2909</v>
      </c>
      <c r="AQ480" t="s">
        <v>49</v>
      </c>
      <c r="AR480" t="s">
        <v>49</v>
      </c>
      <c r="AS480" t="s">
        <v>49</v>
      </c>
      <c r="AT480" t="s">
        <v>49</v>
      </c>
      <c r="AU480" t="s">
        <v>50</v>
      </c>
      <c r="AV480" s="7" t="s">
        <v>191</v>
      </c>
      <c r="AW480" s="7" t="s">
        <v>3020</v>
      </c>
      <c r="AX480">
        <v>25</v>
      </c>
      <c r="AY480">
        <v>20</v>
      </c>
      <c r="AZ480">
        <v>10</v>
      </c>
      <c r="BE480" s="7" t="s">
        <v>3387</v>
      </c>
      <c r="BF480" t="s">
        <v>49</v>
      </c>
      <c r="BI480" t="s">
        <v>120</v>
      </c>
      <c r="BK480">
        <v>790</v>
      </c>
      <c r="BL480">
        <v>980</v>
      </c>
      <c r="BM480">
        <v>427</v>
      </c>
      <c r="BN480">
        <v>69</v>
      </c>
      <c r="BO480">
        <v>74</v>
      </c>
      <c r="BP480">
        <v>840</v>
      </c>
      <c r="BQ480">
        <v>1080</v>
      </c>
      <c r="BR480">
        <v>485</v>
      </c>
    </row>
    <row r="481" spans="1:70" x14ac:dyDescent="0.25">
      <c r="A481" t="s">
        <v>2100</v>
      </c>
      <c r="B481" t="s">
        <v>1542</v>
      </c>
      <c r="C481" t="s">
        <v>526</v>
      </c>
      <c r="D481" t="s">
        <v>2101</v>
      </c>
      <c r="E481" t="s">
        <v>2151</v>
      </c>
      <c r="F481" t="s">
        <v>2080</v>
      </c>
      <c r="G481" t="s">
        <v>75</v>
      </c>
      <c r="H481">
        <v>208300</v>
      </c>
      <c r="I481" t="s">
        <v>3730</v>
      </c>
      <c r="J481" t="s">
        <v>2102</v>
      </c>
      <c r="K481" t="s">
        <v>2082</v>
      </c>
      <c r="L481" t="s">
        <v>44</v>
      </c>
      <c r="M481" s="7" t="s">
        <v>2399</v>
      </c>
      <c r="N481" s="7" t="s">
        <v>2861</v>
      </c>
      <c r="O481" s="7">
        <v>3.5</v>
      </c>
      <c r="P481" s="7">
        <v>3.75</v>
      </c>
      <c r="Q481">
        <v>70</v>
      </c>
      <c r="R481">
        <v>15</v>
      </c>
      <c r="U481">
        <v>2</v>
      </c>
      <c r="X481">
        <v>-5</v>
      </c>
      <c r="Y481">
        <v>48</v>
      </c>
      <c r="Z481">
        <v>-15</v>
      </c>
      <c r="AA481">
        <v>27</v>
      </c>
      <c r="AB481">
        <v>4</v>
      </c>
      <c r="AD481">
        <v>105</v>
      </c>
      <c r="AG481" t="s">
        <v>2985</v>
      </c>
      <c r="AH481" t="s">
        <v>2938</v>
      </c>
      <c r="AK481" t="s">
        <v>2103</v>
      </c>
      <c r="AL481" t="s">
        <v>785</v>
      </c>
      <c r="AM481">
        <v>220</v>
      </c>
      <c r="AN481" s="7" t="s">
        <v>2910</v>
      </c>
      <c r="AO481" s="7" t="s">
        <v>2911</v>
      </c>
      <c r="AQ481" t="s">
        <v>49</v>
      </c>
      <c r="AR481" t="s">
        <v>49</v>
      </c>
      <c r="AS481" t="s">
        <v>49</v>
      </c>
      <c r="AT481" t="s">
        <v>49</v>
      </c>
      <c r="AU481" t="s">
        <v>50</v>
      </c>
      <c r="AV481" s="7" t="s">
        <v>191</v>
      </c>
      <c r="AW481" s="7" t="s">
        <v>3020</v>
      </c>
      <c r="AX481">
        <v>32</v>
      </c>
      <c r="AY481">
        <v>20</v>
      </c>
      <c r="AZ481">
        <v>7.5</v>
      </c>
      <c r="BE481" s="7" t="s">
        <v>3388</v>
      </c>
      <c r="BF481" t="s">
        <v>49</v>
      </c>
      <c r="BI481" t="s">
        <v>120</v>
      </c>
      <c r="BK481">
        <v>1103</v>
      </c>
      <c r="BL481">
        <v>1015</v>
      </c>
      <c r="BM481">
        <v>440</v>
      </c>
      <c r="BN481">
        <v>94</v>
      </c>
      <c r="BO481">
        <v>104</v>
      </c>
      <c r="BP481">
        <v>1220</v>
      </c>
      <c r="BQ481">
        <v>1155</v>
      </c>
      <c r="BR481">
        <v>490</v>
      </c>
    </row>
    <row r="482" spans="1:70" x14ac:dyDescent="0.25">
      <c r="A482" t="s">
        <v>2104</v>
      </c>
      <c r="B482" t="s">
        <v>1542</v>
      </c>
      <c r="C482" t="s">
        <v>526</v>
      </c>
      <c r="D482" t="s">
        <v>2105</v>
      </c>
      <c r="E482" t="s">
        <v>2151</v>
      </c>
      <c r="F482" t="s">
        <v>2080</v>
      </c>
      <c r="G482" t="s">
        <v>75</v>
      </c>
      <c r="H482">
        <v>236000</v>
      </c>
      <c r="I482" t="s">
        <v>3730</v>
      </c>
      <c r="J482" t="s">
        <v>2106</v>
      </c>
      <c r="K482" t="s">
        <v>2082</v>
      </c>
      <c r="L482" t="s">
        <v>44</v>
      </c>
      <c r="M482" s="7" t="s">
        <v>2400</v>
      </c>
      <c r="N482" s="7" t="s">
        <v>2862</v>
      </c>
      <c r="O482" s="7">
        <v>3.76</v>
      </c>
      <c r="P482" s="7">
        <v>3.45</v>
      </c>
      <c r="Q482">
        <v>80</v>
      </c>
      <c r="R482">
        <v>15</v>
      </c>
      <c r="U482">
        <v>2</v>
      </c>
      <c r="X482">
        <v>-5</v>
      </c>
      <c r="Y482">
        <v>48</v>
      </c>
      <c r="Z482">
        <v>-15</v>
      </c>
      <c r="AA482">
        <v>27</v>
      </c>
      <c r="AB482">
        <v>5</v>
      </c>
      <c r="AD482">
        <v>121</v>
      </c>
      <c r="AG482" t="s">
        <v>2988</v>
      </c>
      <c r="AH482" t="s">
        <v>2938</v>
      </c>
      <c r="AK482" t="s">
        <v>2107</v>
      </c>
      <c r="AL482" t="s">
        <v>785</v>
      </c>
      <c r="AM482">
        <v>220</v>
      </c>
      <c r="AN482" s="7" t="s">
        <v>2912</v>
      </c>
      <c r="AO482" s="7" t="s">
        <v>2913</v>
      </c>
      <c r="AQ482" t="s">
        <v>49</v>
      </c>
      <c r="AR482" t="s">
        <v>49</v>
      </c>
      <c r="AS482" t="s">
        <v>49</v>
      </c>
      <c r="AT482" t="s">
        <v>49</v>
      </c>
      <c r="AU482" t="s">
        <v>50</v>
      </c>
      <c r="AV482" s="7" t="s">
        <v>191</v>
      </c>
      <c r="AW482" s="7" t="s">
        <v>3020</v>
      </c>
      <c r="AX482">
        <v>32</v>
      </c>
      <c r="AY482">
        <v>25</v>
      </c>
      <c r="AZ482">
        <v>7.5</v>
      </c>
      <c r="BE482" s="7" t="s">
        <v>3389</v>
      </c>
      <c r="BF482" t="s">
        <v>49</v>
      </c>
      <c r="BI482" t="s">
        <v>120</v>
      </c>
      <c r="BK482">
        <v>1103</v>
      </c>
      <c r="BL482">
        <v>1015</v>
      </c>
      <c r="BM482">
        <v>440</v>
      </c>
      <c r="BN482">
        <v>95</v>
      </c>
      <c r="BO482">
        <v>105</v>
      </c>
      <c r="BP482">
        <v>1220</v>
      </c>
      <c r="BQ482">
        <v>1155</v>
      </c>
      <c r="BR482">
        <v>490</v>
      </c>
    </row>
    <row r="483" spans="1:70" x14ac:dyDescent="0.25">
      <c r="A483" t="s">
        <v>2108</v>
      </c>
      <c r="B483" t="s">
        <v>1542</v>
      </c>
      <c r="C483" t="s">
        <v>526</v>
      </c>
      <c r="D483" t="s">
        <v>2109</v>
      </c>
      <c r="E483" t="s">
        <v>2151</v>
      </c>
      <c r="F483" t="s">
        <v>2110</v>
      </c>
      <c r="G483" t="s">
        <v>75</v>
      </c>
      <c r="H483">
        <v>87700</v>
      </c>
      <c r="I483" t="s">
        <v>3731</v>
      </c>
      <c r="J483" t="s">
        <v>2111</v>
      </c>
      <c r="K483" t="s">
        <v>230</v>
      </c>
      <c r="L483" t="s">
        <v>44</v>
      </c>
      <c r="M483" s="7" t="s">
        <v>2401</v>
      </c>
      <c r="N483" s="7" t="s">
        <v>2863</v>
      </c>
      <c r="O483" s="7">
        <v>1.1000000000000001</v>
      </c>
      <c r="P483" s="7">
        <v>0.97</v>
      </c>
      <c r="Q483">
        <v>40</v>
      </c>
      <c r="R483">
        <v>15</v>
      </c>
      <c r="U483">
        <v>1</v>
      </c>
      <c r="X483">
        <v>-15</v>
      </c>
      <c r="Y483">
        <v>43</v>
      </c>
      <c r="Z483">
        <v>-22</v>
      </c>
      <c r="AA483">
        <v>24</v>
      </c>
      <c r="AB483">
        <v>2</v>
      </c>
      <c r="AG483" t="s">
        <v>2989</v>
      </c>
      <c r="AH483" t="s">
        <v>2965</v>
      </c>
      <c r="AL483" t="s">
        <v>785</v>
      </c>
      <c r="AN483" s="7" t="s">
        <v>2895</v>
      </c>
      <c r="AO483" s="7" t="s">
        <v>2907</v>
      </c>
      <c r="AQ483" t="s">
        <v>49</v>
      </c>
      <c r="AR483" t="s">
        <v>49</v>
      </c>
      <c r="AS483" t="s">
        <v>49</v>
      </c>
      <c r="AT483" t="s">
        <v>49</v>
      </c>
      <c r="AU483" t="s">
        <v>78</v>
      </c>
      <c r="AV483" s="7" t="s">
        <v>3021</v>
      </c>
      <c r="AW483" s="7" t="s">
        <v>3020</v>
      </c>
      <c r="AX483">
        <v>16</v>
      </c>
      <c r="AY483">
        <v>20</v>
      </c>
      <c r="AZ483">
        <v>15</v>
      </c>
      <c r="BE483" s="7" t="s">
        <v>3390</v>
      </c>
      <c r="BF483" t="s">
        <v>49</v>
      </c>
      <c r="BI483" t="s">
        <v>120</v>
      </c>
      <c r="BK483">
        <v>550</v>
      </c>
      <c r="BL483">
        <v>745</v>
      </c>
      <c r="BM483">
        <v>300</v>
      </c>
      <c r="BN483">
        <v>30</v>
      </c>
      <c r="BO483">
        <v>32.5</v>
      </c>
      <c r="BP483">
        <v>549</v>
      </c>
      <c r="BQ483">
        <v>869</v>
      </c>
      <c r="BR483">
        <v>395</v>
      </c>
    </row>
    <row r="484" spans="1:70" x14ac:dyDescent="0.25">
      <c r="A484" t="s">
        <v>2112</v>
      </c>
      <c r="B484" t="s">
        <v>1542</v>
      </c>
      <c r="C484" t="s">
        <v>526</v>
      </c>
      <c r="D484" t="s">
        <v>2113</v>
      </c>
      <c r="E484" t="s">
        <v>2151</v>
      </c>
      <c r="F484" t="s">
        <v>2110</v>
      </c>
      <c r="G484" t="s">
        <v>75</v>
      </c>
      <c r="H484">
        <v>100200</v>
      </c>
      <c r="I484" t="s">
        <v>3731</v>
      </c>
      <c r="J484" t="s">
        <v>2111</v>
      </c>
      <c r="K484" t="s">
        <v>230</v>
      </c>
      <c r="L484" t="s">
        <v>44</v>
      </c>
      <c r="M484" s="7" t="s">
        <v>2402</v>
      </c>
      <c r="N484" s="7" t="s">
        <v>2864</v>
      </c>
      <c r="O484" s="7">
        <v>1.48</v>
      </c>
      <c r="P484" s="7">
        <v>1.25</v>
      </c>
      <c r="Q484">
        <v>40</v>
      </c>
      <c r="R484">
        <v>15</v>
      </c>
      <c r="U484">
        <v>1</v>
      </c>
      <c r="X484">
        <v>-15</v>
      </c>
      <c r="Y484">
        <v>43</v>
      </c>
      <c r="Z484">
        <v>-22</v>
      </c>
      <c r="AA484">
        <v>24</v>
      </c>
      <c r="AB484">
        <v>2</v>
      </c>
      <c r="AG484" t="s">
        <v>2989</v>
      </c>
      <c r="AH484" t="s">
        <v>2965</v>
      </c>
      <c r="AL484" t="s">
        <v>785</v>
      </c>
      <c r="AN484" s="7" t="s">
        <v>2895</v>
      </c>
      <c r="AO484" s="7" t="s">
        <v>2907</v>
      </c>
      <c r="AQ484" t="s">
        <v>49</v>
      </c>
      <c r="AR484" t="s">
        <v>49</v>
      </c>
      <c r="AS484" t="s">
        <v>49</v>
      </c>
      <c r="AT484" t="s">
        <v>49</v>
      </c>
      <c r="AU484" t="s">
        <v>78</v>
      </c>
      <c r="AV484" s="7" t="s">
        <v>3021</v>
      </c>
      <c r="AW484" s="7" t="s">
        <v>3020</v>
      </c>
      <c r="AX484">
        <v>16</v>
      </c>
      <c r="AY484">
        <v>20</v>
      </c>
      <c r="AZ484">
        <v>15</v>
      </c>
      <c r="BE484" s="7" t="s">
        <v>3391</v>
      </c>
      <c r="BF484" t="s">
        <v>49</v>
      </c>
      <c r="BI484" t="s">
        <v>120</v>
      </c>
      <c r="BK484">
        <v>550</v>
      </c>
      <c r="BL484">
        <v>745</v>
      </c>
      <c r="BM484">
        <v>300</v>
      </c>
      <c r="BN484">
        <v>32</v>
      </c>
      <c r="BO484">
        <v>34.5</v>
      </c>
      <c r="BP484">
        <v>549</v>
      </c>
      <c r="BQ484">
        <v>869</v>
      </c>
      <c r="BR484">
        <v>395</v>
      </c>
    </row>
    <row r="485" spans="1:70" x14ac:dyDescent="0.25">
      <c r="A485" t="s">
        <v>2114</v>
      </c>
      <c r="B485" t="s">
        <v>1542</v>
      </c>
      <c r="C485" t="s">
        <v>526</v>
      </c>
      <c r="D485" t="s">
        <v>2115</v>
      </c>
      <c r="E485" t="s">
        <v>2151</v>
      </c>
      <c r="F485" t="s">
        <v>2110</v>
      </c>
      <c r="G485" t="s">
        <v>75</v>
      </c>
      <c r="H485">
        <v>123600</v>
      </c>
      <c r="I485" t="s">
        <v>3731</v>
      </c>
      <c r="J485" t="s">
        <v>2111</v>
      </c>
      <c r="K485" t="s">
        <v>230</v>
      </c>
      <c r="L485" t="s">
        <v>44</v>
      </c>
      <c r="M485" s="7" t="s">
        <v>2403</v>
      </c>
      <c r="N485" s="7" t="s">
        <v>2858</v>
      </c>
      <c r="O485" s="7">
        <v>1.48</v>
      </c>
      <c r="P485" s="7">
        <v>1.43</v>
      </c>
      <c r="Q485">
        <v>60</v>
      </c>
      <c r="R485">
        <v>15</v>
      </c>
      <c r="U485">
        <v>2</v>
      </c>
      <c r="X485">
        <v>-15</v>
      </c>
      <c r="Y485">
        <v>43</v>
      </c>
      <c r="Z485">
        <v>-22</v>
      </c>
      <c r="AA485">
        <v>24</v>
      </c>
      <c r="AB485">
        <v>3</v>
      </c>
      <c r="AG485" t="s">
        <v>2990</v>
      </c>
      <c r="AH485" t="s">
        <v>2963</v>
      </c>
      <c r="AL485" t="s">
        <v>785</v>
      </c>
      <c r="AN485" s="7" t="s">
        <v>2897</v>
      </c>
      <c r="AO485" s="7" t="s">
        <v>2908</v>
      </c>
      <c r="AQ485" t="s">
        <v>49</v>
      </c>
      <c r="AR485" t="s">
        <v>49</v>
      </c>
      <c r="AS485" t="s">
        <v>49</v>
      </c>
      <c r="AT485" t="s">
        <v>49</v>
      </c>
      <c r="AU485" t="s">
        <v>78</v>
      </c>
      <c r="AV485" s="7" t="s">
        <v>191</v>
      </c>
      <c r="AW485" s="7" t="s">
        <v>3020</v>
      </c>
      <c r="AX485">
        <v>25</v>
      </c>
      <c r="AY485">
        <v>20</v>
      </c>
      <c r="AZ485">
        <v>15</v>
      </c>
      <c r="BE485" s="7" t="s">
        <v>3392</v>
      </c>
      <c r="BF485" t="s">
        <v>49</v>
      </c>
      <c r="BI485" t="s">
        <v>120</v>
      </c>
      <c r="BK485">
        <v>654</v>
      </c>
      <c r="BL485">
        <v>889</v>
      </c>
      <c r="BM485">
        <v>340</v>
      </c>
      <c r="BN485">
        <v>47.5</v>
      </c>
      <c r="BO485">
        <v>52</v>
      </c>
      <c r="BP485">
        <v>715</v>
      </c>
      <c r="BQ485">
        <v>1029</v>
      </c>
      <c r="BR485">
        <v>453</v>
      </c>
    </row>
    <row r="486" spans="1:70" x14ac:dyDescent="0.25">
      <c r="A486" t="s">
        <v>2116</v>
      </c>
      <c r="B486" t="s">
        <v>1542</v>
      </c>
      <c r="C486" t="s">
        <v>526</v>
      </c>
      <c r="D486" t="s">
        <v>2117</v>
      </c>
      <c r="E486" t="s">
        <v>2151</v>
      </c>
      <c r="F486" t="s">
        <v>2110</v>
      </c>
      <c r="G486" t="s">
        <v>75</v>
      </c>
      <c r="H486">
        <v>134500</v>
      </c>
      <c r="I486" t="s">
        <v>3731</v>
      </c>
      <c r="J486" t="s">
        <v>2111</v>
      </c>
      <c r="K486" t="s">
        <v>230</v>
      </c>
      <c r="L486" t="s">
        <v>44</v>
      </c>
      <c r="M486" s="7" t="s">
        <v>2404</v>
      </c>
      <c r="N486" s="7" t="s">
        <v>2865</v>
      </c>
      <c r="O486" s="7">
        <v>1.88</v>
      </c>
      <c r="P486" s="7">
        <v>2.23</v>
      </c>
      <c r="Q486">
        <v>60</v>
      </c>
      <c r="R486">
        <v>15</v>
      </c>
      <c r="U486">
        <v>2</v>
      </c>
      <c r="X486">
        <v>-15</v>
      </c>
      <c r="Y486">
        <v>43</v>
      </c>
      <c r="Z486">
        <v>-22</v>
      </c>
      <c r="AA486">
        <v>24</v>
      </c>
      <c r="AB486">
        <v>3</v>
      </c>
      <c r="AG486" t="s">
        <v>2991</v>
      </c>
      <c r="AH486" t="s">
        <v>2963</v>
      </c>
      <c r="AL486" t="s">
        <v>785</v>
      </c>
      <c r="AN486" s="7" t="s">
        <v>2897</v>
      </c>
      <c r="AO486" s="7" t="s">
        <v>2908</v>
      </c>
      <c r="AQ486" t="s">
        <v>49</v>
      </c>
      <c r="AR486" t="s">
        <v>49</v>
      </c>
      <c r="AS486" t="s">
        <v>49</v>
      </c>
      <c r="AT486" t="s">
        <v>49</v>
      </c>
      <c r="AU486" t="s">
        <v>78</v>
      </c>
      <c r="AV486" s="7" t="s">
        <v>191</v>
      </c>
      <c r="AW486" s="7" t="s">
        <v>3020</v>
      </c>
      <c r="AX486">
        <v>25</v>
      </c>
      <c r="AY486">
        <v>20</v>
      </c>
      <c r="AZ486">
        <v>15</v>
      </c>
      <c r="BE486" s="7" t="s">
        <v>3393</v>
      </c>
      <c r="BF486" t="s">
        <v>49</v>
      </c>
      <c r="BI486" t="s">
        <v>120</v>
      </c>
      <c r="BK486">
        <v>654</v>
      </c>
      <c r="BL486">
        <v>889</v>
      </c>
      <c r="BM486">
        <v>340</v>
      </c>
      <c r="BN486">
        <v>47.5</v>
      </c>
      <c r="BO486">
        <v>52</v>
      </c>
      <c r="BP486">
        <v>715</v>
      </c>
      <c r="BQ486">
        <v>1029</v>
      </c>
      <c r="BR486">
        <v>453</v>
      </c>
    </row>
    <row r="487" spans="1:70" x14ac:dyDescent="0.25">
      <c r="A487" t="s">
        <v>2118</v>
      </c>
      <c r="B487" t="s">
        <v>1542</v>
      </c>
      <c r="C487" t="s">
        <v>526</v>
      </c>
      <c r="D487" t="s">
        <v>2119</v>
      </c>
      <c r="E487" t="s">
        <v>2151</v>
      </c>
      <c r="F487" t="s">
        <v>2110</v>
      </c>
      <c r="G487" t="s">
        <v>75</v>
      </c>
      <c r="H487">
        <v>162000</v>
      </c>
      <c r="I487" t="s">
        <v>3731</v>
      </c>
      <c r="J487" t="s">
        <v>2111</v>
      </c>
      <c r="K487" t="s">
        <v>230</v>
      </c>
      <c r="L487" t="s">
        <v>44</v>
      </c>
      <c r="M487" s="7" t="s">
        <v>2405</v>
      </c>
      <c r="N487" s="7" t="s">
        <v>2866</v>
      </c>
      <c r="O487" s="7">
        <v>2.12</v>
      </c>
      <c r="P487" s="7">
        <v>2.2000000000000002</v>
      </c>
      <c r="Q487">
        <v>70</v>
      </c>
      <c r="R487">
        <v>15</v>
      </c>
      <c r="U487">
        <v>2</v>
      </c>
      <c r="X487">
        <v>-15</v>
      </c>
      <c r="Y487">
        <v>43</v>
      </c>
      <c r="Z487">
        <v>-22</v>
      </c>
      <c r="AA487">
        <v>24</v>
      </c>
      <c r="AB487">
        <v>4</v>
      </c>
      <c r="AG487" t="s">
        <v>2989</v>
      </c>
      <c r="AH487" t="s">
        <v>2965</v>
      </c>
      <c r="AL487" t="s">
        <v>785</v>
      </c>
      <c r="AN487" s="7" t="s">
        <v>2899</v>
      </c>
      <c r="AO487" s="7" t="s">
        <v>2909</v>
      </c>
      <c r="AQ487" t="s">
        <v>49</v>
      </c>
      <c r="AR487" t="s">
        <v>49</v>
      </c>
      <c r="AS487" t="s">
        <v>49</v>
      </c>
      <c r="AT487" t="s">
        <v>49</v>
      </c>
      <c r="AU487" t="s">
        <v>78</v>
      </c>
      <c r="AV487" s="7" t="s">
        <v>191</v>
      </c>
      <c r="AW487" s="7" t="s">
        <v>3020</v>
      </c>
      <c r="AX487">
        <v>25</v>
      </c>
      <c r="AY487">
        <v>20</v>
      </c>
      <c r="AZ487">
        <v>15</v>
      </c>
      <c r="BE487" s="7" t="s">
        <v>3394</v>
      </c>
      <c r="BF487" t="s">
        <v>49</v>
      </c>
      <c r="BI487" t="s">
        <v>120</v>
      </c>
      <c r="BK487">
        <v>654</v>
      </c>
      <c r="BL487">
        <v>889</v>
      </c>
      <c r="BM487">
        <v>340</v>
      </c>
      <c r="BN487">
        <v>51</v>
      </c>
      <c r="BO487">
        <v>55.5</v>
      </c>
      <c r="BP487">
        <v>715</v>
      </c>
      <c r="BQ487">
        <v>1029</v>
      </c>
      <c r="BR487">
        <v>453</v>
      </c>
    </row>
    <row r="488" spans="1:70" x14ac:dyDescent="0.25">
      <c r="A488" t="s">
        <v>2120</v>
      </c>
      <c r="B488" t="s">
        <v>1542</v>
      </c>
      <c r="C488" t="s">
        <v>526</v>
      </c>
      <c r="D488" t="s">
        <v>2121</v>
      </c>
      <c r="E488" t="s">
        <v>2151</v>
      </c>
      <c r="F488" t="s">
        <v>2110</v>
      </c>
      <c r="G488" t="s">
        <v>75</v>
      </c>
      <c r="H488">
        <v>208300</v>
      </c>
      <c r="I488" t="s">
        <v>3731</v>
      </c>
      <c r="J488" t="s">
        <v>2111</v>
      </c>
      <c r="K488" t="s">
        <v>230</v>
      </c>
      <c r="L488" t="s">
        <v>44</v>
      </c>
      <c r="M488" s="7" t="s">
        <v>2406</v>
      </c>
      <c r="N488" s="7" t="s">
        <v>2867</v>
      </c>
      <c r="O488" s="7">
        <v>3.1</v>
      </c>
      <c r="P488" s="7">
        <v>3.2</v>
      </c>
      <c r="Q488">
        <v>75</v>
      </c>
      <c r="R488">
        <v>15</v>
      </c>
      <c r="U488">
        <v>2</v>
      </c>
      <c r="X488">
        <v>-15</v>
      </c>
      <c r="Y488">
        <v>43</v>
      </c>
      <c r="Z488">
        <v>-22</v>
      </c>
      <c r="AA488">
        <v>24</v>
      </c>
      <c r="AB488">
        <v>4</v>
      </c>
      <c r="AG488" t="s">
        <v>2970</v>
      </c>
      <c r="AH488" t="s">
        <v>659</v>
      </c>
      <c r="AL488" t="s">
        <v>785</v>
      </c>
      <c r="AN488" s="7" t="s">
        <v>2899</v>
      </c>
      <c r="AO488" s="7" t="s">
        <v>2909</v>
      </c>
      <c r="AQ488" t="s">
        <v>49</v>
      </c>
      <c r="AR488" t="s">
        <v>49</v>
      </c>
      <c r="AS488" t="s">
        <v>49</v>
      </c>
      <c r="AT488" t="s">
        <v>49</v>
      </c>
      <c r="AU488" t="s">
        <v>78</v>
      </c>
      <c r="AV488" s="7" t="s">
        <v>191</v>
      </c>
      <c r="AW488" s="7" t="s">
        <v>3020</v>
      </c>
      <c r="AX488">
        <v>32</v>
      </c>
      <c r="AY488">
        <v>25</v>
      </c>
      <c r="AZ488">
        <v>7.5</v>
      </c>
      <c r="BE488" s="7" t="s">
        <v>2122</v>
      </c>
      <c r="BF488" t="s">
        <v>49</v>
      </c>
      <c r="BI488" t="s">
        <v>120</v>
      </c>
      <c r="BK488">
        <v>1106</v>
      </c>
      <c r="BL488">
        <v>1089</v>
      </c>
      <c r="BM488">
        <v>440</v>
      </c>
      <c r="BN488">
        <v>90</v>
      </c>
      <c r="BO488">
        <v>96</v>
      </c>
      <c r="BP488">
        <v>1155</v>
      </c>
      <c r="BQ488">
        <v>1115</v>
      </c>
      <c r="BR488">
        <v>480</v>
      </c>
    </row>
    <row r="489" spans="1:70" x14ac:dyDescent="0.25">
      <c r="A489" t="s">
        <v>2123</v>
      </c>
      <c r="B489" t="s">
        <v>1542</v>
      </c>
      <c r="C489" t="s">
        <v>526</v>
      </c>
      <c r="D489" t="s">
        <v>2124</v>
      </c>
      <c r="E489" t="s">
        <v>2151</v>
      </c>
      <c r="F489" t="s">
        <v>2110</v>
      </c>
      <c r="G489" t="s">
        <v>75</v>
      </c>
      <c r="H489">
        <v>236000</v>
      </c>
      <c r="I489" t="s">
        <v>3731</v>
      </c>
      <c r="J489" t="s">
        <v>2111</v>
      </c>
      <c r="K489" t="s">
        <v>230</v>
      </c>
      <c r="L489" t="s">
        <v>44</v>
      </c>
      <c r="M489" s="7" t="s">
        <v>2407</v>
      </c>
      <c r="N489" s="7" t="s">
        <v>2868</v>
      </c>
      <c r="O489" s="7">
        <v>3.45</v>
      </c>
      <c r="P489" s="7">
        <v>3.5</v>
      </c>
      <c r="Q489">
        <v>75</v>
      </c>
      <c r="R489">
        <v>15</v>
      </c>
      <c r="U489">
        <v>2</v>
      </c>
      <c r="X489">
        <v>-15</v>
      </c>
      <c r="Y489">
        <v>43</v>
      </c>
      <c r="Z489">
        <v>-22</v>
      </c>
      <c r="AA489">
        <v>24</v>
      </c>
      <c r="AB489">
        <v>5</v>
      </c>
      <c r="AG489" t="s">
        <v>2970</v>
      </c>
      <c r="AH489" t="s">
        <v>659</v>
      </c>
      <c r="AL489" t="s">
        <v>785</v>
      </c>
      <c r="AN489" s="7" t="s">
        <v>2901</v>
      </c>
      <c r="AO489" s="7" t="s">
        <v>2914</v>
      </c>
      <c r="AQ489" t="s">
        <v>49</v>
      </c>
      <c r="AR489" t="s">
        <v>49</v>
      </c>
      <c r="AS489" t="s">
        <v>49</v>
      </c>
      <c r="AT489" t="s">
        <v>49</v>
      </c>
      <c r="AU489" t="s">
        <v>78</v>
      </c>
      <c r="AV489" s="7" t="s">
        <v>191</v>
      </c>
      <c r="AW489" s="7" t="s">
        <v>3020</v>
      </c>
      <c r="AX489">
        <v>32</v>
      </c>
      <c r="AY489">
        <v>25</v>
      </c>
      <c r="AZ489">
        <v>7.5</v>
      </c>
      <c r="BE489" s="7" t="s">
        <v>2125</v>
      </c>
      <c r="BF489" t="s">
        <v>49</v>
      </c>
      <c r="BI489" t="s">
        <v>120</v>
      </c>
      <c r="BK489">
        <v>1106</v>
      </c>
      <c r="BL489">
        <v>1089</v>
      </c>
      <c r="BM489">
        <v>440</v>
      </c>
      <c r="BN489">
        <v>90</v>
      </c>
      <c r="BO489">
        <v>96</v>
      </c>
      <c r="BP489">
        <v>1155</v>
      </c>
      <c r="BQ489">
        <v>1115</v>
      </c>
      <c r="BR489">
        <v>480</v>
      </c>
    </row>
    <row r="490" spans="1:70" x14ac:dyDescent="0.25">
      <c r="A490" t="s">
        <v>2126</v>
      </c>
      <c r="B490" t="s">
        <v>1542</v>
      </c>
      <c r="C490" t="s">
        <v>526</v>
      </c>
      <c r="D490" t="s">
        <v>2127</v>
      </c>
      <c r="E490" t="s">
        <v>2151</v>
      </c>
      <c r="F490" t="s">
        <v>2128</v>
      </c>
      <c r="G490" t="s">
        <v>75</v>
      </c>
      <c r="H490">
        <v>298400</v>
      </c>
      <c r="I490" t="s">
        <v>3732</v>
      </c>
      <c r="J490" t="s">
        <v>2129</v>
      </c>
      <c r="K490" t="s">
        <v>230</v>
      </c>
      <c r="L490" t="s">
        <v>44</v>
      </c>
      <c r="M490" s="7" t="s">
        <v>2408</v>
      </c>
      <c r="N490" s="7" t="s">
        <v>2869</v>
      </c>
      <c r="O490" s="7">
        <v>4.0999999999999996</v>
      </c>
      <c r="P490" s="7">
        <v>3.7</v>
      </c>
      <c r="Q490">
        <v>115</v>
      </c>
      <c r="R490">
        <v>30</v>
      </c>
      <c r="U490">
        <v>2</v>
      </c>
      <c r="X490">
        <v>18</v>
      </c>
      <c r="Y490">
        <v>48</v>
      </c>
      <c r="Z490">
        <v>-10</v>
      </c>
      <c r="AA490">
        <v>24</v>
      </c>
      <c r="AB490">
        <v>6</v>
      </c>
      <c r="AD490">
        <v>121</v>
      </c>
      <c r="AG490" t="s">
        <v>2945</v>
      </c>
      <c r="AH490" t="s">
        <v>2919</v>
      </c>
      <c r="AK490" t="s">
        <v>2130</v>
      </c>
      <c r="AL490" t="s">
        <v>785</v>
      </c>
      <c r="AM490">
        <v>220</v>
      </c>
      <c r="AN490" s="7">
        <v>9.5</v>
      </c>
      <c r="AO490" s="7">
        <v>16</v>
      </c>
      <c r="AQ490" t="s">
        <v>49</v>
      </c>
      <c r="AR490" t="s">
        <v>49</v>
      </c>
      <c r="AS490" t="s">
        <v>49</v>
      </c>
      <c r="AT490" t="s">
        <v>49</v>
      </c>
      <c r="AU490" t="s">
        <v>50</v>
      </c>
      <c r="AV490" s="7" t="s">
        <v>308</v>
      </c>
      <c r="AW490" s="7" t="s">
        <v>3047</v>
      </c>
      <c r="AX490">
        <v>32</v>
      </c>
      <c r="AY490">
        <v>70</v>
      </c>
      <c r="AZ490">
        <v>15</v>
      </c>
      <c r="BE490" s="7" t="s">
        <v>3395</v>
      </c>
      <c r="BF490" t="s">
        <v>49</v>
      </c>
      <c r="BI490" t="s">
        <v>120</v>
      </c>
      <c r="BK490">
        <v>1345</v>
      </c>
      <c r="BL490">
        <v>900</v>
      </c>
      <c r="BM490">
        <v>340</v>
      </c>
      <c r="BN490">
        <v>116</v>
      </c>
      <c r="BO490">
        <v>128</v>
      </c>
      <c r="BP490">
        <v>1380</v>
      </c>
      <c r="BQ490">
        <v>980</v>
      </c>
      <c r="BR490">
        <v>440</v>
      </c>
    </row>
    <row r="491" spans="1:70" x14ac:dyDescent="0.25">
      <c r="A491" t="s">
        <v>2131</v>
      </c>
      <c r="B491" t="s">
        <v>1542</v>
      </c>
      <c r="C491" t="s">
        <v>526</v>
      </c>
      <c r="D491" t="s">
        <v>2132</v>
      </c>
      <c r="E491" t="s">
        <v>2151</v>
      </c>
      <c r="F491" t="s">
        <v>2128</v>
      </c>
      <c r="G491" t="s">
        <v>75</v>
      </c>
      <c r="H491">
        <v>327100</v>
      </c>
      <c r="I491" t="s">
        <v>3732</v>
      </c>
      <c r="J491" t="s">
        <v>2133</v>
      </c>
      <c r="K491" t="s">
        <v>230</v>
      </c>
      <c r="L491" t="s">
        <v>44</v>
      </c>
      <c r="M491" s="7" t="s">
        <v>2409</v>
      </c>
      <c r="N491" s="7" t="s">
        <v>2870</v>
      </c>
      <c r="O491" s="7">
        <v>4.9000000000000004</v>
      </c>
      <c r="P491" s="7">
        <v>4.3</v>
      </c>
      <c r="Q491">
        <v>135</v>
      </c>
      <c r="R491">
        <v>30</v>
      </c>
      <c r="U491">
        <v>2</v>
      </c>
      <c r="X491">
        <v>18</v>
      </c>
      <c r="Y491">
        <v>48</v>
      </c>
      <c r="Z491">
        <v>-10</v>
      </c>
      <c r="AA491">
        <v>24</v>
      </c>
      <c r="AB491">
        <v>8</v>
      </c>
      <c r="AD491">
        <v>140</v>
      </c>
      <c r="AG491" t="s">
        <v>2992</v>
      </c>
      <c r="AH491" t="s">
        <v>2993</v>
      </c>
      <c r="AK491" t="s">
        <v>2134</v>
      </c>
      <c r="AL491" t="s">
        <v>785</v>
      </c>
      <c r="AM491">
        <v>220</v>
      </c>
      <c r="AN491" s="7">
        <v>9.5</v>
      </c>
      <c r="AO491" s="7">
        <v>16</v>
      </c>
      <c r="AQ491" t="s">
        <v>49</v>
      </c>
      <c r="AR491" t="s">
        <v>49</v>
      </c>
      <c r="AS491" t="s">
        <v>49</v>
      </c>
      <c r="AT491" t="s">
        <v>49</v>
      </c>
      <c r="AU491" t="s">
        <v>50</v>
      </c>
      <c r="AV491" s="7" t="s">
        <v>308</v>
      </c>
      <c r="AW491" s="7" t="s">
        <v>3047</v>
      </c>
      <c r="AX491">
        <v>40</v>
      </c>
      <c r="AY491">
        <v>70</v>
      </c>
      <c r="AZ491">
        <v>15</v>
      </c>
      <c r="BE491" s="7" t="s">
        <v>3396</v>
      </c>
      <c r="BF491" t="s">
        <v>49</v>
      </c>
      <c r="BI491" t="s">
        <v>120</v>
      </c>
      <c r="BK491">
        <v>1345</v>
      </c>
      <c r="BL491">
        <v>900</v>
      </c>
      <c r="BM491">
        <v>340</v>
      </c>
      <c r="BN491">
        <v>116</v>
      </c>
      <c r="BO491">
        <v>128</v>
      </c>
      <c r="BP491">
        <v>1380</v>
      </c>
      <c r="BQ491">
        <v>980</v>
      </c>
      <c r="BR491">
        <v>440</v>
      </c>
    </row>
    <row r="492" spans="1:70" x14ac:dyDescent="0.25">
      <c r="A492" t="s">
        <v>2135</v>
      </c>
      <c r="B492" t="s">
        <v>1542</v>
      </c>
      <c r="C492" t="s">
        <v>526</v>
      </c>
      <c r="D492" t="s">
        <v>2136</v>
      </c>
      <c r="E492" t="s">
        <v>2151</v>
      </c>
      <c r="F492" t="s">
        <v>2128</v>
      </c>
      <c r="G492" t="s">
        <v>75</v>
      </c>
      <c r="H492">
        <v>312600</v>
      </c>
      <c r="I492" t="s">
        <v>3732</v>
      </c>
      <c r="J492" t="s">
        <v>2137</v>
      </c>
      <c r="K492" t="s">
        <v>230</v>
      </c>
      <c r="L492" t="s">
        <v>44</v>
      </c>
      <c r="M492" s="7" t="s">
        <v>2409</v>
      </c>
      <c r="N492" s="7" t="s">
        <v>2871</v>
      </c>
      <c r="O492" s="7">
        <v>4.4000000000000004</v>
      </c>
      <c r="P492" s="7">
        <v>4.25</v>
      </c>
      <c r="Q492">
        <v>135</v>
      </c>
      <c r="R492">
        <v>30</v>
      </c>
      <c r="U492">
        <v>2</v>
      </c>
      <c r="X492">
        <v>10</v>
      </c>
      <c r="Y492">
        <v>48</v>
      </c>
      <c r="Z492">
        <v>-15</v>
      </c>
      <c r="AA492">
        <v>27</v>
      </c>
      <c r="AB492">
        <v>8</v>
      </c>
      <c r="AD492">
        <v>140</v>
      </c>
      <c r="AE492" t="s">
        <v>3578</v>
      </c>
      <c r="AF492" t="s">
        <v>3549</v>
      </c>
      <c r="AK492" t="s">
        <v>2138</v>
      </c>
      <c r="AL492" t="s">
        <v>785</v>
      </c>
      <c r="AM492">
        <v>380</v>
      </c>
      <c r="AN492" s="7">
        <v>9.5</v>
      </c>
      <c r="AO492" s="7">
        <v>16</v>
      </c>
      <c r="AQ492" t="s">
        <v>49</v>
      </c>
      <c r="AR492" t="s">
        <v>49</v>
      </c>
      <c r="AS492" t="s">
        <v>49</v>
      </c>
      <c r="AT492" t="s">
        <v>49</v>
      </c>
      <c r="AU492" t="s">
        <v>50</v>
      </c>
      <c r="AV492" s="7" t="s">
        <v>3022</v>
      </c>
      <c r="AW492" s="7" t="s">
        <v>3047</v>
      </c>
      <c r="AX492">
        <v>25</v>
      </c>
      <c r="AY492">
        <v>70</v>
      </c>
      <c r="AZ492">
        <v>15</v>
      </c>
      <c r="BE492" s="7" t="s">
        <v>3397</v>
      </c>
      <c r="BF492" t="s">
        <v>49</v>
      </c>
      <c r="BI492" t="s">
        <v>241</v>
      </c>
      <c r="BK492">
        <v>1345</v>
      </c>
      <c r="BL492">
        <v>900</v>
      </c>
      <c r="BM492">
        <v>340</v>
      </c>
      <c r="BN492">
        <v>116</v>
      </c>
      <c r="BO492">
        <v>123</v>
      </c>
      <c r="BP492">
        <v>1380</v>
      </c>
      <c r="BQ492">
        <v>980</v>
      </c>
      <c r="BR492">
        <v>440</v>
      </c>
    </row>
    <row r="493" spans="1:70" x14ac:dyDescent="0.25">
      <c r="A493" t="s">
        <v>2139</v>
      </c>
      <c r="B493" t="s">
        <v>1542</v>
      </c>
      <c r="C493" t="s">
        <v>526</v>
      </c>
      <c r="D493" t="s">
        <v>2140</v>
      </c>
      <c r="E493" t="s">
        <v>2151</v>
      </c>
      <c r="F493" t="s">
        <v>2128</v>
      </c>
      <c r="G493" t="s">
        <v>75</v>
      </c>
      <c r="H493">
        <v>341300</v>
      </c>
      <c r="I493" t="s">
        <v>3732</v>
      </c>
      <c r="J493" t="s">
        <v>2141</v>
      </c>
      <c r="K493" t="s">
        <v>230</v>
      </c>
      <c r="L493" t="s">
        <v>44</v>
      </c>
      <c r="M493" s="7" t="s">
        <v>2410</v>
      </c>
      <c r="N493" s="7" t="s">
        <v>2872</v>
      </c>
      <c r="O493" s="7">
        <v>5.3</v>
      </c>
      <c r="P493" s="7">
        <v>4.8</v>
      </c>
      <c r="Q493">
        <v>145</v>
      </c>
      <c r="R493">
        <v>30</v>
      </c>
      <c r="U493">
        <v>2</v>
      </c>
      <c r="X493">
        <v>18</v>
      </c>
      <c r="Y493">
        <v>48</v>
      </c>
      <c r="Z493">
        <v>-10</v>
      </c>
      <c r="AA493">
        <v>24</v>
      </c>
      <c r="AB493">
        <v>9</v>
      </c>
      <c r="AD493">
        <v>155</v>
      </c>
      <c r="AG493" t="s">
        <v>2994</v>
      </c>
      <c r="AH493" t="s">
        <v>2995</v>
      </c>
      <c r="AK493" t="s">
        <v>2142</v>
      </c>
      <c r="AL493" t="s">
        <v>785</v>
      </c>
      <c r="AM493">
        <v>220</v>
      </c>
      <c r="AN493" s="7">
        <v>9.5</v>
      </c>
      <c r="AO493" s="7">
        <v>16</v>
      </c>
      <c r="AQ493" t="s">
        <v>49</v>
      </c>
      <c r="AR493" t="s">
        <v>49</v>
      </c>
      <c r="AS493" t="s">
        <v>49</v>
      </c>
      <c r="AT493" t="s">
        <v>49</v>
      </c>
      <c r="AU493" t="s">
        <v>50</v>
      </c>
      <c r="AV493" s="7" t="s">
        <v>308</v>
      </c>
      <c r="AW493" s="7" t="s">
        <v>3047</v>
      </c>
      <c r="AX493">
        <v>40</v>
      </c>
      <c r="AY493">
        <v>70</v>
      </c>
      <c r="AZ493">
        <v>15</v>
      </c>
      <c r="BE493" s="7" t="s">
        <v>3398</v>
      </c>
      <c r="BF493" t="s">
        <v>49</v>
      </c>
      <c r="BI493" t="s">
        <v>120</v>
      </c>
      <c r="BK493">
        <v>1345</v>
      </c>
      <c r="BL493">
        <v>900</v>
      </c>
      <c r="BM493">
        <v>340</v>
      </c>
      <c r="BN493">
        <v>116</v>
      </c>
      <c r="BO493">
        <v>128</v>
      </c>
      <c r="BP493">
        <v>1380</v>
      </c>
      <c r="BQ493">
        <v>980</v>
      </c>
      <c r="BR493">
        <v>440</v>
      </c>
    </row>
    <row r="494" spans="1:70" x14ac:dyDescent="0.25">
      <c r="A494" t="s">
        <v>2143</v>
      </c>
      <c r="B494" t="s">
        <v>1542</v>
      </c>
      <c r="C494" t="s">
        <v>526</v>
      </c>
      <c r="D494" t="s">
        <v>2144</v>
      </c>
      <c r="E494" t="s">
        <v>2151</v>
      </c>
      <c r="F494" t="s">
        <v>2128</v>
      </c>
      <c r="G494" t="s">
        <v>41</v>
      </c>
      <c r="H494">
        <v>331300</v>
      </c>
      <c r="I494" t="s">
        <v>3732</v>
      </c>
      <c r="J494" t="s">
        <v>2145</v>
      </c>
      <c r="K494" t="s">
        <v>230</v>
      </c>
      <c r="L494" t="s">
        <v>44</v>
      </c>
      <c r="M494" s="7" t="s">
        <v>2411</v>
      </c>
      <c r="N494" s="7" t="s">
        <v>2873</v>
      </c>
      <c r="O494" s="7">
        <v>5</v>
      </c>
      <c r="P494" s="7">
        <v>4.7</v>
      </c>
      <c r="Q494">
        <v>145</v>
      </c>
      <c r="R494">
        <v>30</v>
      </c>
      <c r="U494">
        <v>2</v>
      </c>
      <c r="X494">
        <v>10</v>
      </c>
      <c r="Y494">
        <v>48</v>
      </c>
      <c r="Z494">
        <v>-15</v>
      </c>
      <c r="AA494">
        <v>27</v>
      </c>
      <c r="AB494">
        <v>9</v>
      </c>
      <c r="AD494">
        <v>160</v>
      </c>
      <c r="AE494" t="s">
        <v>3508</v>
      </c>
      <c r="AF494" t="s">
        <v>3496</v>
      </c>
      <c r="AK494" t="s">
        <v>2146</v>
      </c>
      <c r="AL494" t="s">
        <v>785</v>
      </c>
      <c r="AM494">
        <v>380</v>
      </c>
      <c r="AN494" s="7">
        <v>9.5</v>
      </c>
      <c r="AO494" s="7">
        <v>19</v>
      </c>
      <c r="AQ494" t="s">
        <v>49</v>
      </c>
      <c r="AR494" t="s">
        <v>49</v>
      </c>
      <c r="AS494" t="s">
        <v>49</v>
      </c>
      <c r="AT494" t="s">
        <v>49</v>
      </c>
      <c r="AU494" t="s">
        <v>50</v>
      </c>
      <c r="AV494" s="7" t="s">
        <v>3022</v>
      </c>
      <c r="AW494" s="7" t="s">
        <v>3047</v>
      </c>
      <c r="AX494">
        <v>25</v>
      </c>
      <c r="AY494">
        <v>70</v>
      </c>
      <c r="AZ494">
        <v>15</v>
      </c>
      <c r="BE494" s="7" t="s">
        <v>3399</v>
      </c>
      <c r="BF494" t="s">
        <v>49</v>
      </c>
      <c r="BI494" t="s">
        <v>241</v>
      </c>
      <c r="BK494">
        <v>1398</v>
      </c>
      <c r="BL494">
        <v>900</v>
      </c>
      <c r="BM494">
        <v>340</v>
      </c>
      <c r="BN494">
        <v>116</v>
      </c>
      <c r="BO494">
        <v>123</v>
      </c>
      <c r="BP494">
        <v>1380</v>
      </c>
      <c r="BQ494">
        <v>980</v>
      </c>
      <c r="BR494">
        <v>440</v>
      </c>
    </row>
  </sheetData>
  <sheetProtection formatCells="0" formatColumns="0" formatRows="0" insertColumns="0" insertRows="0" insertHyperlinks="0" deleteColumns="0" deleteRows="0" sort="0" autoFilter="0" pivotTables="0"/>
  <autoFilter ref="A1:DE49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E502"/>
  <sheetViews>
    <sheetView topLeftCell="A4" workbookViewId="0">
      <pane xSplit="3" ySplit="2" topLeftCell="D50" activePane="bottomRight" state="frozen"/>
      <selection activeCell="A4" sqref="A4"/>
      <selection pane="topRight" activeCell="D4" sqref="D4"/>
      <selection pane="bottomLeft" activeCell="A6" sqref="A6"/>
      <selection pane="bottomRight" activeCell="A63" sqref="A63"/>
    </sheetView>
  </sheetViews>
  <sheetFormatPr defaultRowHeight="15" x14ac:dyDescent="0.25"/>
  <cols>
    <col min="2" max="25" width="14.42578125" customWidth="1"/>
    <col min="26" max="27" width="14.42578125" style="17" customWidth="1"/>
    <col min="28" max="29" width="14.42578125" customWidth="1"/>
  </cols>
  <sheetData>
    <row r="1" spans="1:31" x14ac:dyDescent="0.25">
      <c r="A1" s="6" t="s">
        <v>5803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s="17">
        <v>25</v>
      </c>
      <c r="AA1" s="17">
        <v>26</v>
      </c>
      <c r="AB1">
        <v>27</v>
      </c>
      <c r="AC1">
        <v>28</v>
      </c>
      <c r="AD1">
        <v>29</v>
      </c>
      <c r="AE1" s="6"/>
    </row>
    <row r="2" spans="1:31" s="4" customFormat="1" ht="97.5" customHeight="1" x14ac:dyDescent="0.25">
      <c r="A2" s="20" t="s">
        <v>5804</v>
      </c>
      <c r="B2" s="4" t="s">
        <v>2154</v>
      </c>
      <c r="C2" s="4" t="s">
        <v>2155</v>
      </c>
      <c r="D2" s="4" t="s">
        <v>2156</v>
      </c>
      <c r="E2" s="4" t="s">
        <v>2157</v>
      </c>
      <c r="F2" s="4" t="s">
        <v>2158</v>
      </c>
      <c r="G2" s="4" t="s">
        <v>2159</v>
      </c>
      <c r="H2" s="4" t="s">
        <v>2160</v>
      </c>
      <c r="I2" s="5" t="s">
        <v>2161</v>
      </c>
      <c r="J2" s="5" t="s">
        <v>2162</v>
      </c>
      <c r="K2" s="4" t="s">
        <v>2163</v>
      </c>
      <c r="L2" s="4" t="s">
        <v>2164</v>
      </c>
      <c r="M2" s="5" t="s">
        <v>2165</v>
      </c>
      <c r="N2" s="5" t="s">
        <v>2166</v>
      </c>
      <c r="O2" s="4" t="s">
        <v>2167</v>
      </c>
      <c r="P2" s="4" t="s">
        <v>2168</v>
      </c>
      <c r="Q2" s="4" t="s">
        <v>2169</v>
      </c>
      <c r="R2" s="4" t="s">
        <v>2170</v>
      </c>
      <c r="S2" s="4" t="s">
        <v>2171</v>
      </c>
      <c r="T2" s="4" t="s">
        <v>2172</v>
      </c>
      <c r="U2" s="4" t="s">
        <v>2173</v>
      </c>
      <c r="V2" s="4" t="s">
        <v>2174</v>
      </c>
      <c r="W2" s="5" t="s">
        <v>2175</v>
      </c>
      <c r="X2" s="4" t="s">
        <v>2176</v>
      </c>
      <c r="Y2" s="4" t="s">
        <v>2177</v>
      </c>
      <c r="Z2" s="18" t="s">
        <v>2178</v>
      </c>
      <c r="AA2" s="18" t="s">
        <v>2179</v>
      </c>
      <c r="AB2" s="4" t="s">
        <v>2180</v>
      </c>
      <c r="AC2" s="4" t="s">
        <v>2181</v>
      </c>
      <c r="AE2" s="20"/>
    </row>
    <row r="3" spans="1:31" s="4" customFormat="1" ht="97.5" customHeight="1" x14ac:dyDescent="0.25">
      <c r="A3" s="4" t="s">
        <v>5806</v>
      </c>
      <c r="B3" s="4" t="s">
        <v>3761</v>
      </c>
      <c r="C3" s="4" t="s">
        <v>3762</v>
      </c>
      <c r="D3" s="4" t="s">
        <v>3762</v>
      </c>
      <c r="E3" s="4" t="s">
        <v>3761</v>
      </c>
      <c r="F3" s="4" t="s">
        <v>3762</v>
      </c>
      <c r="G3" s="4" t="s">
        <v>3762</v>
      </c>
      <c r="H3" s="4" t="s">
        <v>3761</v>
      </c>
      <c r="I3" s="4" t="s">
        <v>3761</v>
      </c>
      <c r="J3" s="4" t="s">
        <v>3761</v>
      </c>
      <c r="K3" s="4" t="s">
        <v>3761</v>
      </c>
      <c r="L3" s="4" t="s">
        <v>3761</v>
      </c>
      <c r="M3" s="4" t="s">
        <v>3762</v>
      </c>
      <c r="N3" s="4" t="s">
        <v>3761</v>
      </c>
      <c r="O3" s="4" t="s">
        <v>3761</v>
      </c>
      <c r="P3" s="4" t="s">
        <v>3761</v>
      </c>
      <c r="Q3" s="4" t="s">
        <v>3761</v>
      </c>
      <c r="R3" s="4" t="s">
        <v>3761</v>
      </c>
      <c r="S3" s="4" t="s">
        <v>3761</v>
      </c>
      <c r="T3" s="4" t="s">
        <v>3761</v>
      </c>
      <c r="U3" s="4" t="s">
        <v>3761</v>
      </c>
      <c r="V3" s="4" t="s">
        <v>3761</v>
      </c>
      <c r="W3" s="4" t="s">
        <v>3762</v>
      </c>
      <c r="X3" s="4" t="s">
        <v>3762</v>
      </c>
      <c r="Y3" s="4" t="s">
        <v>3762</v>
      </c>
      <c r="Z3" s="18" t="s">
        <v>3762</v>
      </c>
      <c r="AA3" s="18" t="s">
        <v>3761</v>
      </c>
      <c r="AB3" s="4" t="s">
        <v>3761</v>
      </c>
      <c r="AC3" s="4" t="s">
        <v>3761</v>
      </c>
    </row>
    <row r="4" spans="1:31" s="4" customFormat="1" ht="87" customHeight="1" x14ac:dyDescent="0.25">
      <c r="A4" s="16" t="s">
        <v>5805</v>
      </c>
      <c r="B4" s="16" t="s">
        <v>2182</v>
      </c>
      <c r="C4" s="16" t="s">
        <v>2183</v>
      </c>
      <c r="D4" s="4" t="s">
        <v>2184</v>
      </c>
      <c r="E4" s="4" t="s">
        <v>2185</v>
      </c>
      <c r="F4" s="4" t="s">
        <v>2186</v>
      </c>
      <c r="G4" s="4" t="s">
        <v>2187</v>
      </c>
      <c r="H4" s="4" t="s">
        <v>2188</v>
      </c>
      <c r="I4" s="5" t="s">
        <v>2189</v>
      </c>
      <c r="J4" s="5" t="s">
        <v>2190</v>
      </c>
      <c r="K4" s="4" t="s">
        <v>2191</v>
      </c>
      <c r="L4" s="4" t="s">
        <v>2192</v>
      </c>
      <c r="M4" s="5" t="s">
        <v>2193</v>
      </c>
      <c r="N4" s="5" t="s">
        <v>2194</v>
      </c>
      <c r="O4" s="4" t="s">
        <v>2195</v>
      </c>
      <c r="P4" s="4" t="s">
        <v>2196</v>
      </c>
      <c r="Q4" s="4" t="s">
        <v>2197</v>
      </c>
      <c r="R4" s="4" t="s">
        <v>2198</v>
      </c>
      <c r="S4" s="4" t="s">
        <v>2199</v>
      </c>
      <c r="T4" s="4" t="s">
        <v>2200</v>
      </c>
      <c r="U4" s="4" t="s">
        <v>2201</v>
      </c>
      <c r="V4" s="4" t="s">
        <v>2202</v>
      </c>
      <c r="W4" s="5" t="s">
        <v>2203</v>
      </c>
      <c r="X4" s="4" t="s">
        <v>2204</v>
      </c>
      <c r="Y4" s="4" t="s">
        <v>2205</v>
      </c>
      <c r="Z4" s="18" t="s">
        <v>2206</v>
      </c>
      <c r="AA4" s="18" t="s">
        <v>2207</v>
      </c>
      <c r="AB4" s="4" t="s">
        <v>2208</v>
      </c>
      <c r="AC4" s="4" t="s">
        <v>2209</v>
      </c>
      <c r="AE4" s="16"/>
    </row>
    <row r="5" spans="1:31" s="1" customFormat="1" x14ac:dyDescent="0.25">
      <c r="A5" s="14" t="s">
        <v>926</v>
      </c>
      <c r="B5" s="14" t="s">
        <v>2210</v>
      </c>
      <c r="C5" s="14" t="s">
        <v>2211</v>
      </c>
      <c r="D5" s="14" t="s">
        <v>2213</v>
      </c>
      <c r="E5" s="14" t="s">
        <v>2212</v>
      </c>
      <c r="F5" s="14" t="s">
        <v>49</v>
      </c>
      <c r="G5" s="14" t="s">
        <v>2214</v>
      </c>
      <c r="H5" s="14" t="s">
        <v>2215</v>
      </c>
      <c r="I5" s="14" t="s">
        <v>230</v>
      </c>
      <c r="J5" s="14" t="s">
        <v>230</v>
      </c>
      <c r="K5" s="14" t="s">
        <v>2216</v>
      </c>
      <c r="L5" s="14" t="s">
        <v>2217</v>
      </c>
      <c r="M5" s="14" t="s">
        <v>230</v>
      </c>
      <c r="N5" s="14" t="s">
        <v>230</v>
      </c>
      <c r="O5" s="14" t="s">
        <v>2218</v>
      </c>
      <c r="P5" s="14" t="s">
        <v>2219</v>
      </c>
      <c r="Q5" s="14" t="s">
        <v>2220</v>
      </c>
      <c r="R5" s="14" t="s">
        <v>2221</v>
      </c>
      <c r="S5" s="14" t="s">
        <v>2222</v>
      </c>
      <c r="T5" s="14" t="s">
        <v>2223</v>
      </c>
      <c r="U5" s="14" t="s">
        <v>2224</v>
      </c>
      <c r="V5" s="14" t="s">
        <v>2225</v>
      </c>
      <c r="W5" s="14" t="s">
        <v>230</v>
      </c>
      <c r="X5" s="14" t="s">
        <v>2226</v>
      </c>
      <c r="Y5" s="14" t="s">
        <v>2227</v>
      </c>
      <c r="Z5" s="19" t="s">
        <v>2228</v>
      </c>
      <c r="AA5" s="19" t="s">
        <v>2229</v>
      </c>
      <c r="AB5" s="14" t="s">
        <v>2230</v>
      </c>
      <c r="AC5" s="14" t="s">
        <v>2231</v>
      </c>
      <c r="AD5" s="14" t="s">
        <v>5171</v>
      </c>
      <c r="AE5" s="14"/>
    </row>
    <row r="6" spans="1:31" x14ac:dyDescent="0.25">
      <c r="A6" s="17" t="str">
        <f>IF(Worksheet!B2&lt;&gt;"",Worksheet!B2,"")</f>
        <v>FUJITSU</v>
      </c>
      <c r="B6" t="str">
        <f>Worksheet!E2</f>
        <v>Сплит система</v>
      </c>
      <c r="C6">
        <f>IF(Worksheet!M2&lt;&gt;"",Worksheet!M2,"")</f>
        <v>2</v>
      </c>
      <c r="D6">
        <f>ROUND(C6*10,0)</f>
        <v>20</v>
      </c>
      <c r="E6" t="str">
        <f>IF(Worksheet!L2&lt;&gt;"",IF(Worksheet!L2="Y","да","нет"),"")</f>
        <v>да</v>
      </c>
      <c r="F6">
        <f>IF(Worksheet!N2&lt;&gt;"",Worksheet!N2,"")</f>
        <v>2</v>
      </c>
      <c r="G6">
        <f>IF(Worksheet!O2&lt;&gt;"",Worksheet!O2,"")</f>
        <v>0.46500000000000002</v>
      </c>
      <c r="H6">
        <f>IF(Worksheet!P2&lt;&gt;"",Worksheet!P2,"")</f>
        <v>0.68500000000000005</v>
      </c>
      <c r="I6" s="6"/>
      <c r="J6" s="6"/>
      <c r="K6" t="str">
        <f>IF(Worksheet!BI2&lt;&gt;"",Worksheet!BI2,"")</f>
        <v>1 / 230 / 50</v>
      </c>
      <c r="L6" t="str">
        <f>IF(Worksheet!AU2&lt;&gt;"",Worksheet!AU2,"")</f>
        <v>R410A</v>
      </c>
      <c r="M6" s="6"/>
      <c r="N6" s="6"/>
      <c r="O6" t="str">
        <f>IF(Worksheet!CR2&lt;&gt;"",CONCATENATE(Worksheet!CR2," х ",Worksheet!CP2," х ",Worksheet!CT2),"")</f>
        <v>870 х 270 х 204</v>
      </c>
      <c r="P6" t="str">
        <f>IF(Worksheet!CS2&lt;&gt;"",CONCATENATE(Worksheet!CS2," х ",Worksheet!CU2," х ",Worksheet!CQ2),"")</f>
        <v>925 х 270 х 366</v>
      </c>
      <c r="Q6" t="str">
        <f>IF(Worksheet!CV2&lt;&gt;"",CONCATENATE(Worksheet!CV2," / ",Worksheet!CW2),"")</f>
        <v>8.5 / 10.5</v>
      </c>
      <c r="R6" t="str">
        <f>IF(Worksheet!BS2&lt;&gt;"",Worksheet!BS2,"")</f>
        <v>21/32/40/43</v>
      </c>
      <c r="S6" t="str">
        <f>IF(Worksheet!AL2&lt;&gt;"",Worksheet!AL2,"")</f>
        <v>PANASONIC</v>
      </c>
      <c r="T6" t="str">
        <f>IF(Worksheet!CJ2&lt;&gt;"",CONCATENATE(Worksheet!CJ2," х ",Worksheet!CL2," х ",Worksheet!CH2),"")</f>
        <v>663 х 293 х 535</v>
      </c>
      <c r="U6" t="str">
        <f>IF(Worksheet!CK2&lt;&gt;"",CONCATENATE(Worksheet!CK2," х ",Worksheet!CM2," х ",Worksheet!CI2),"")</f>
        <v>790 х 395 х 595</v>
      </c>
      <c r="V6" t="str">
        <f>IF(Worksheet!CN2&lt;&gt;"",CONCATENATE(Worksheet!CN2,"/",Worksheet!CO2),"")</f>
        <v>21/25</v>
      </c>
      <c r="W6" s="6"/>
      <c r="X6" s="7">
        <f>IF(Worksheet!AN2&lt;&gt;"",Worksheet!AN2,"")</f>
        <v>6.35</v>
      </c>
      <c r="Y6" s="7">
        <f>IF(Worksheet!AO2&lt;&gt;"",Worksheet!AO2,"")</f>
        <v>9.52</v>
      </c>
      <c r="Z6" s="17">
        <f>IF(Worksheet!Q2&lt;&gt;"",Worksheet!Q2,"")</f>
        <v>20</v>
      </c>
      <c r="AA6" s="17">
        <f>IF(Worksheet!R2&lt;&gt;"",Worksheet!R2,"")</f>
        <v>15</v>
      </c>
      <c r="AB6" t="str">
        <f>IF(Worksheet!X2&lt;&gt;"",CONCATENATE("от ",Worksheet!X2," до +",Worksheet!Y2),"")</f>
        <v>от -10 до +43</v>
      </c>
      <c r="AC6" t="str">
        <f>IF(Worksheet!Z2&lt;&gt;"",CONCATENATE("от ",Worksheet!Z2," до +",Worksheet!AA2),"")</f>
        <v>от -15 до +24</v>
      </c>
      <c r="AD6" s="6" t="s">
        <v>5245</v>
      </c>
      <c r="AE6" s="17"/>
    </row>
    <row r="7" spans="1:31" x14ac:dyDescent="0.25">
      <c r="A7" s="17" t="str">
        <f>IF(Worksheet!B3&lt;&gt;"",Worksheet!B3,"")</f>
        <v>FUJITSU</v>
      </c>
      <c r="B7" t="str">
        <f>Worksheet!E3</f>
        <v>Сплит система</v>
      </c>
      <c r="C7">
        <f>IF(Worksheet!M3&lt;&gt;"",Worksheet!M3,"")</f>
        <v>2.5</v>
      </c>
      <c r="D7">
        <f t="shared" ref="D7:D35" si="0">ROUND(C7*10,0)</f>
        <v>25</v>
      </c>
      <c r="E7" t="str">
        <f>IF(Worksheet!L3&lt;&gt;"",IF(Worksheet!L3="Y","да","нет"),"")</f>
        <v>да</v>
      </c>
      <c r="F7">
        <f>IF(Worksheet!N3&lt;&gt;"",Worksheet!N3,"")</f>
        <v>2.5</v>
      </c>
      <c r="G7">
        <f>IF(Worksheet!O3&lt;&gt;"",Worksheet!O3,"")</f>
        <v>0.65</v>
      </c>
      <c r="H7">
        <f>IF(Worksheet!P3&lt;&gt;"",Worksheet!P3,"")</f>
        <v>0.73</v>
      </c>
      <c r="I7" s="6"/>
      <c r="J7" s="6"/>
      <c r="K7" t="str">
        <f>IF(Worksheet!BI3&lt;&gt;"",Worksheet!BI3,"")</f>
        <v>1 / 230 / 50</v>
      </c>
      <c r="L7" t="str">
        <f>IF(Worksheet!AU3&lt;&gt;"",Worksheet!AU3,"")</f>
        <v>R410A</v>
      </c>
      <c r="M7" s="6"/>
      <c r="N7" s="6"/>
      <c r="O7" t="str">
        <f>IF(Worksheet!CR3&lt;&gt;"",CONCATENATE(Worksheet!CR3," х ",Worksheet!CP3," х ",Worksheet!CT3),"")</f>
        <v>870 х 270 х 204</v>
      </c>
      <c r="P7" t="str">
        <f>IF(Worksheet!CS3&lt;&gt;"",CONCATENATE(Worksheet!CS3," х ",Worksheet!CU3," х ",Worksheet!CQ3),"")</f>
        <v>925 х 270 х 366</v>
      </c>
      <c r="Q7" t="str">
        <f>IF(Worksheet!CV3&lt;&gt;"",CONCATENATE(Worksheet!CV3," / ",Worksheet!CW3),"")</f>
        <v>8.5 / 10.5</v>
      </c>
      <c r="R7" t="str">
        <f>IF(Worksheet!BS3&lt;&gt;"",Worksheet!BS3,"")</f>
        <v>21/32/40/43</v>
      </c>
      <c r="S7" t="str">
        <f>IF(Worksheet!AL3&lt;&gt;"",Worksheet!AL3,"")</f>
        <v>PANASONIC</v>
      </c>
      <c r="T7" t="str">
        <f>IF(Worksheet!CJ3&lt;&gt;"",CONCATENATE(Worksheet!CJ3," х ",Worksheet!CL3," х ",Worksheet!CH3),"")</f>
        <v>663 х 293 х 535</v>
      </c>
      <c r="U7" t="str">
        <f>IF(Worksheet!CK3&lt;&gt;"",CONCATENATE(Worksheet!CK3," х ",Worksheet!CM3," х ",Worksheet!CI3),"")</f>
        <v>790 х 395 х 595</v>
      </c>
      <c r="V7" t="str">
        <f>IF(Worksheet!CN3&lt;&gt;"",CONCATENATE(Worksheet!CN3,"/",Worksheet!CO3),"")</f>
        <v>21/25</v>
      </c>
      <c r="W7" s="6"/>
      <c r="X7" s="7">
        <f>IF(Worksheet!AN3&lt;&gt;"",Worksheet!AN3,"")</f>
        <v>6.35</v>
      </c>
      <c r="Y7" s="7">
        <f>IF(Worksheet!AO3&lt;&gt;"",Worksheet!AO3,"")</f>
        <v>9.52</v>
      </c>
      <c r="Z7" s="17">
        <f>IF(Worksheet!Q3&lt;&gt;"",Worksheet!Q3,"")</f>
        <v>20</v>
      </c>
      <c r="AA7" s="17">
        <f>IF(Worksheet!R3&lt;&gt;"",Worksheet!R3,"")</f>
        <v>15</v>
      </c>
      <c r="AB7" t="str">
        <f>IF(Worksheet!X3&lt;&gt;"",CONCATENATE("от ",Worksheet!X3," до +",Worksheet!Y3),"")</f>
        <v>от -10 до +43</v>
      </c>
      <c r="AC7" t="str">
        <f>IF(Worksheet!Z3&lt;&gt;"",CONCATENATE("от ",Worksheet!Z3," до +",Worksheet!AA3),"")</f>
        <v>от -15 до +24</v>
      </c>
      <c r="AD7" s="6" t="s">
        <v>5245</v>
      </c>
      <c r="AE7" s="17"/>
    </row>
    <row r="8" spans="1:31" x14ac:dyDescent="0.25">
      <c r="A8" s="17" t="str">
        <f>IF(Worksheet!B4&lt;&gt;"",Worksheet!B4,"")</f>
        <v>FUJITSU</v>
      </c>
      <c r="B8" t="str">
        <f>Worksheet!E4</f>
        <v>Сплит система</v>
      </c>
      <c r="C8">
        <f>IF(Worksheet!M4&lt;&gt;"",Worksheet!M4,"")</f>
        <v>3.5</v>
      </c>
      <c r="D8">
        <f t="shared" si="0"/>
        <v>35</v>
      </c>
      <c r="E8" t="str">
        <f>IF(Worksheet!L4&lt;&gt;"",IF(Worksheet!L4="Y","да","нет"),"")</f>
        <v>да</v>
      </c>
      <c r="F8">
        <f>IF(Worksheet!N4&lt;&gt;"",Worksheet!N4,"")</f>
        <v>3.5</v>
      </c>
      <c r="G8">
        <f>IF(Worksheet!O4&lt;&gt;"",Worksheet!O4,"")</f>
        <v>0.97</v>
      </c>
      <c r="H8">
        <f>IF(Worksheet!P4&lt;&gt;"",Worksheet!P4,"")</f>
        <v>1.02</v>
      </c>
      <c r="I8" s="6"/>
      <c r="J8" s="6"/>
      <c r="K8" t="str">
        <f>IF(Worksheet!BI4&lt;&gt;"",Worksheet!BI4,"")</f>
        <v>1 / 230 / 50</v>
      </c>
      <c r="L8" t="str">
        <f>IF(Worksheet!AU4&lt;&gt;"",Worksheet!AU4,"")</f>
        <v>R410A</v>
      </c>
      <c r="M8" s="6"/>
      <c r="N8" s="6"/>
      <c r="O8" t="str">
        <f>IF(Worksheet!CR4&lt;&gt;"",CONCATENATE(Worksheet!CR4," х ",Worksheet!CP4," х ",Worksheet!CT4),"")</f>
        <v>870 х 270 х 204</v>
      </c>
      <c r="P8" t="str">
        <f>IF(Worksheet!CS4&lt;&gt;"",CONCATENATE(Worksheet!CS4," х ",Worksheet!CU4," х ",Worksheet!CQ4),"")</f>
        <v>925 х 270 х 366</v>
      </c>
      <c r="Q8" t="str">
        <f>IF(Worksheet!CV4&lt;&gt;"",CONCATENATE(Worksheet!CV4," / ",Worksheet!CW4),"")</f>
        <v>8.5 / 10.5</v>
      </c>
      <c r="R8" t="str">
        <f>IF(Worksheet!BS4&lt;&gt;"",Worksheet!BS4,"")</f>
        <v>21/32/40/43</v>
      </c>
      <c r="S8" t="str">
        <f>IF(Worksheet!AL4&lt;&gt;"",Worksheet!AL4,"")</f>
        <v>PANASONIC</v>
      </c>
      <c r="T8" t="str">
        <f>IF(Worksheet!CJ4&lt;&gt;"",CONCATENATE(Worksheet!CJ4," х ",Worksheet!CL4," х ",Worksheet!CH4),"")</f>
        <v>663 х 293 х 535</v>
      </c>
      <c r="U8" t="str">
        <f>IF(Worksheet!CK4&lt;&gt;"",CONCATENATE(Worksheet!CK4," х ",Worksheet!CM4," х ",Worksheet!CI4),"")</f>
        <v>790 х 395 х 595</v>
      </c>
      <c r="V8" t="str">
        <f>IF(Worksheet!CN4&lt;&gt;"",CONCATENATE(Worksheet!CN4,"/",Worksheet!CO4),"")</f>
        <v>26/30</v>
      </c>
      <c r="W8" s="6"/>
      <c r="X8" s="7">
        <f>IF(Worksheet!AN4&lt;&gt;"",Worksheet!AN4,"")</f>
        <v>6.35</v>
      </c>
      <c r="Y8" s="7">
        <f>IF(Worksheet!AO4&lt;&gt;"",Worksheet!AO4,"")</f>
        <v>9.52</v>
      </c>
      <c r="Z8" s="17">
        <f>IF(Worksheet!Q4&lt;&gt;"",Worksheet!Q4,"")</f>
        <v>20</v>
      </c>
      <c r="AA8" s="17">
        <f>IF(Worksheet!R4&lt;&gt;"",Worksheet!R4,"")</f>
        <v>15</v>
      </c>
      <c r="AB8" t="str">
        <f>IF(Worksheet!X4&lt;&gt;"",CONCATENATE("от ",Worksheet!X4," до +",Worksheet!Y4),"")</f>
        <v>от -10 до +43</v>
      </c>
      <c r="AC8" t="str">
        <f>IF(Worksheet!Z4&lt;&gt;"",CONCATENATE("от ",Worksheet!Z4," до +",Worksheet!AA4),"")</f>
        <v>от -15 до +24</v>
      </c>
      <c r="AD8" s="6" t="s">
        <v>5245</v>
      </c>
      <c r="AE8" s="17"/>
    </row>
    <row r="9" spans="1:31" x14ac:dyDescent="0.25">
      <c r="A9" s="17" t="str">
        <f>IF(Worksheet!B5&lt;&gt;"",Worksheet!B5,"")</f>
        <v>FUJITSU</v>
      </c>
      <c r="B9" t="str">
        <f>Worksheet!E5</f>
        <v>Сплит система</v>
      </c>
      <c r="C9">
        <f>IF(Worksheet!M5&lt;&gt;"",Worksheet!M5,"")</f>
        <v>4</v>
      </c>
      <c r="D9">
        <f t="shared" si="0"/>
        <v>40</v>
      </c>
      <c r="E9" t="str">
        <f>IF(Worksheet!L5&lt;&gt;"",IF(Worksheet!L5="Y","да","нет"),"")</f>
        <v>да</v>
      </c>
      <c r="F9">
        <f>IF(Worksheet!N5&lt;&gt;"",Worksheet!N5,"")</f>
        <v>4</v>
      </c>
      <c r="G9">
        <f>IF(Worksheet!O5&lt;&gt;"",Worksheet!O5,"")</f>
        <v>1.135</v>
      </c>
      <c r="H9">
        <f>IF(Worksheet!P5&lt;&gt;"",Worksheet!P5,"")</f>
        <v>1.365</v>
      </c>
      <c r="I9" s="6"/>
      <c r="J9" s="6"/>
      <c r="K9" t="str">
        <f>IF(Worksheet!BI5&lt;&gt;"",Worksheet!BI5,"")</f>
        <v>1 / 230 / 50</v>
      </c>
      <c r="L9" t="str">
        <f>IF(Worksheet!AU5&lt;&gt;"",Worksheet!AU5,"")</f>
        <v>R410A</v>
      </c>
      <c r="M9" s="6"/>
      <c r="N9" s="6"/>
      <c r="O9" t="str">
        <f>IF(Worksheet!CR5&lt;&gt;"",CONCATENATE(Worksheet!CR5," х ",Worksheet!CP5," х ",Worksheet!CT5),"")</f>
        <v>870 х 270 х 204</v>
      </c>
      <c r="P9" t="str">
        <f>IF(Worksheet!CS5&lt;&gt;"",CONCATENATE(Worksheet!CS5," х ",Worksheet!CU5," х ",Worksheet!CQ5),"")</f>
        <v>925 х 270 х 366</v>
      </c>
      <c r="Q9" t="str">
        <f>IF(Worksheet!CV5&lt;&gt;"",CONCATENATE(Worksheet!CV5," / ",Worksheet!CW5),"")</f>
        <v>8.5 / 10.5</v>
      </c>
      <c r="R9" t="str">
        <f>IF(Worksheet!BS5&lt;&gt;"",Worksheet!BS5,"")</f>
        <v>25/33/40/44</v>
      </c>
      <c r="S9" t="str">
        <f>IF(Worksheet!AL5&lt;&gt;"",Worksheet!AL5,"")</f>
        <v>PANASONIC</v>
      </c>
      <c r="T9" t="str">
        <f>IF(Worksheet!CJ5&lt;&gt;"",CONCATENATE(Worksheet!CJ5," х ",Worksheet!CL5," х ",Worksheet!CH5),"")</f>
        <v>790 х 290 х 540</v>
      </c>
      <c r="U9" t="str">
        <f>IF(Worksheet!CK5&lt;&gt;"",CONCATENATE(Worksheet!CK5," х ",Worksheet!CM5," х ",Worksheet!CI5),"")</f>
        <v>938 х 400 х 648</v>
      </c>
      <c r="V9" t="str">
        <f>IF(Worksheet!CN5&lt;&gt;"",CONCATENATE(Worksheet!CN5,"/",Worksheet!CO5),"")</f>
        <v>34/37</v>
      </c>
      <c r="W9" s="6"/>
      <c r="X9" s="7">
        <f>IF(Worksheet!AN5&lt;&gt;"",Worksheet!AN5,"")</f>
        <v>6.35</v>
      </c>
      <c r="Y9" s="7">
        <f>IF(Worksheet!AO5&lt;&gt;"",Worksheet!AO5,"")</f>
        <v>12.7</v>
      </c>
      <c r="Z9" s="17">
        <f>IF(Worksheet!Q5&lt;&gt;"",Worksheet!Q5,"")</f>
        <v>20</v>
      </c>
      <c r="AA9" s="17">
        <f>IF(Worksheet!R5&lt;&gt;"",Worksheet!R5,"")</f>
        <v>15</v>
      </c>
      <c r="AB9" t="str">
        <f>IF(Worksheet!X5&lt;&gt;"",CONCATENATE("от ",Worksheet!X5," до +",Worksheet!Y5),"")</f>
        <v>от -10 до +43</v>
      </c>
      <c r="AC9" t="str">
        <f>IF(Worksheet!Z5&lt;&gt;"",CONCATENATE("от ",Worksheet!Z5," до +",Worksheet!AA5),"")</f>
        <v>от -15 до +24</v>
      </c>
      <c r="AD9" s="6" t="s">
        <v>5245</v>
      </c>
      <c r="AE9" s="17"/>
    </row>
    <row r="10" spans="1:31" x14ac:dyDescent="0.25">
      <c r="A10" s="17" t="str">
        <f>IF(Worksheet!B6&lt;&gt;"",Worksheet!B6,"")</f>
        <v>FUJITSU</v>
      </c>
      <c r="B10" t="str">
        <f>Worksheet!E6</f>
        <v>Сплит система</v>
      </c>
      <c r="C10" s="21">
        <f>IF(Worksheet!M6&lt;&gt;"",MID(Worksheet!M6,1,FIND(" ",Worksheet!M6,1)-1),"")*1</f>
        <v>2</v>
      </c>
      <c r="D10">
        <f>ROUND(LEFT(C10,3)*10,0)</f>
        <v>20</v>
      </c>
      <c r="E10" t="str">
        <f>IF(Worksheet!L6&lt;&gt;"",IF(Worksheet!L6="Y","да","нет"),"")</f>
        <v>да</v>
      </c>
      <c r="F10" s="21">
        <f>IF(Worksheet!N6&lt;&gt;"",MID(Worksheet!N6,1,FIND(" ",Worksheet!N6,1)-1),"")*1</f>
        <v>2.5</v>
      </c>
      <c r="G10" s="21">
        <f>IF(Worksheet!O6&lt;&gt;"",MID(Worksheet!O6,1,FIND(" ",Worksheet!O6,1)-1),"")*1</f>
        <v>0.48</v>
      </c>
      <c r="H10" s="21">
        <f>IF(Worksheet!P6&lt;&gt;"",MID(Worksheet!P6,1,FIND(" ",Worksheet!P6,1)-1),"")*1</f>
        <v>0.63</v>
      </c>
      <c r="I10" s="6"/>
      <c r="J10" s="6"/>
      <c r="K10" t="str">
        <f>IF(Worksheet!BI6&lt;&gt;"",Worksheet!BI6,"")</f>
        <v>1 / 230 / 50</v>
      </c>
      <c r="L10" t="str">
        <f>IF(Worksheet!AU6&lt;&gt;"",Worksheet!AU6,"")</f>
        <v>R32</v>
      </c>
      <c r="M10" s="6"/>
      <c r="N10" s="6"/>
      <c r="O10" t="str">
        <f>IF(Worksheet!CR6&lt;&gt;"",CONCATENATE(Worksheet!CR6," х ",Worksheet!CP6," х ",Worksheet!CT6),"")</f>
        <v>784 х 270 х 224</v>
      </c>
      <c r="P10" t="str">
        <f>IF(Worksheet!CS6&lt;&gt;"",CONCATENATE(Worksheet!CS6," х ",Worksheet!CU6," х ",Worksheet!CQ6),"")</f>
        <v>864 х 279 х 334</v>
      </c>
      <c r="Q10" t="str">
        <f>IF(Worksheet!CV6&lt;&gt;"",CONCATENATE(Worksheet!CV6," / ",Worksheet!CW6),"")</f>
        <v>8 / 11</v>
      </c>
      <c r="R10" t="str">
        <f>IF(Worksheet!BS6&lt;&gt;"",Worksheet!BS6,"")</f>
        <v>22/31/38/45</v>
      </c>
      <c r="S10" t="str">
        <f>IF(Worksheet!AL6&lt;&gt;"",Worksheet!AL6,"")</f>
        <v/>
      </c>
      <c r="T10" t="str">
        <f>IF(Worksheet!CJ6&lt;&gt;"",CONCATENATE(Worksheet!CJ6," х ",Worksheet!CL6," х ",Worksheet!CH6),"")</f>
        <v>663 х 290 х 541</v>
      </c>
      <c r="U10" t="str">
        <f>IF(Worksheet!CK6&lt;&gt;"",CONCATENATE(Worksheet!CK6," х ",Worksheet!CM6," х ",Worksheet!CI6),"")</f>
        <v>798 х 369 х 596</v>
      </c>
      <c r="V10" t="str">
        <f>IF(Worksheet!CN6&lt;&gt;"",CONCATENATE(Worksheet!CN6,"/",Worksheet!CO6),"")</f>
        <v>23/25</v>
      </c>
      <c r="W10" s="6"/>
      <c r="X10" s="7">
        <f>IF(Worksheet!AN6&lt;&gt;"",Worksheet!AN6,"")</f>
        <v>6.35</v>
      </c>
      <c r="Y10" s="7">
        <f>IF(Worksheet!AO6&lt;&gt;"",Worksheet!AO6,"")</f>
        <v>9.52</v>
      </c>
      <c r="Z10" s="17">
        <f>IF(Worksheet!Q6&lt;&gt;"",Worksheet!Q6,"")</f>
        <v>20</v>
      </c>
      <c r="AA10" s="17">
        <f>IF(Worksheet!R6&lt;&gt;"",Worksheet!R6,"")</f>
        <v>15</v>
      </c>
      <c r="AB10" t="str">
        <f>IF(Worksheet!X6&lt;&gt;"",CONCATENATE("от ",Worksheet!X6," до +",Worksheet!Y6),"")</f>
        <v>от -10 до +46</v>
      </c>
      <c r="AC10" t="str">
        <f>IF(Worksheet!Z6&lt;&gt;"",CONCATENATE("от ",Worksheet!Z6," до +",Worksheet!AA6),"")</f>
        <v>от -15 до +24</v>
      </c>
      <c r="AD10" s="6" t="s">
        <v>5245</v>
      </c>
      <c r="AE10" s="17"/>
    </row>
    <row r="11" spans="1:31" x14ac:dyDescent="0.25">
      <c r="A11" s="17" t="str">
        <f>IF(Worksheet!B7&lt;&gt;"",Worksheet!B7,"")</f>
        <v>FUJITSU</v>
      </c>
      <c r="B11" t="str">
        <f>Worksheet!E7</f>
        <v>Сплит система</v>
      </c>
      <c r="C11" s="21">
        <f>IF(Worksheet!M7&lt;&gt;"",MID(Worksheet!M7,1,FIND(" ",Worksheet!M7,1)-1),"")*1</f>
        <v>2</v>
      </c>
      <c r="D11">
        <f t="shared" ref="D11:D19" si="1">ROUND(LEFT(C11,3)*10,0)</f>
        <v>20</v>
      </c>
      <c r="E11" t="str">
        <f>IF(Worksheet!L7&lt;&gt;"",IF(Worksheet!L7="Y","да","нет"),"")</f>
        <v>да</v>
      </c>
      <c r="F11" s="21">
        <f>IF(Worksheet!N7&lt;&gt;"",MID(Worksheet!N7,1,FIND(" ",Worksheet!N7,1)-1),"")*1</f>
        <v>2.5</v>
      </c>
      <c r="G11">
        <f>IF(Worksheet!O7&lt;&gt;"",Worksheet!O7,"")</f>
        <v>0.48</v>
      </c>
      <c r="H11">
        <f>IF(Worksheet!P7&lt;&gt;"",Worksheet!P7,"")</f>
        <v>0.63</v>
      </c>
      <c r="I11" s="6"/>
      <c r="J11" s="6"/>
      <c r="K11" t="str">
        <f>IF(Worksheet!BI7&lt;&gt;"",Worksheet!BI7,"")</f>
        <v>1 / 230 / 50</v>
      </c>
      <c r="L11" t="str">
        <f>IF(Worksheet!AU7&lt;&gt;"",Worksheet!AU7,"")</f>
        <v>R32</v>
      </c>
      <c r="M11" s="6"/>
      <c r="N11" s="6"/>
      <c r="O11" t="str">
        <f>IF(Worksheet!CR7&lt;&gt;"",CONCATENATE(Worksheet!CR7," х ",Worksheet!CP7," х ",Worksheet!CT7),"")</f>
        <v>784 х 270 х 224</v>
      </c>
      <c r="P11" t="str">
        <f>IF(Worksheet!CS7&lt;&gt;"",CONCATENATE(Worksheet!CS7," х ",Worksheet!CU7," х ",Worksheet!CQ7),"")</f>
        <v>864 х 279 х 334</v>
      </c>
      <c r="Q11" t="str">
        <f>IF(Worksheet!CV7&lt;&gt;"",CONCATENATE(Worksheet!CV7," / ",Worksheet!CW7),"")</f>
        <v>8 / 11</v>
      </c>
      <c r="R11" t="str">
        <f>IF(Worksheet!BS7&lt;&gt;"",Worksheet!BS7,"")</f>
        <v>22/31/38/45</v>
      </c>
      <c r="S11" t="str">
        <f>IF(Worksheet!AL7&lt;&gt;"",Worksheet!AL7,"")</f>
        <v/>
      </c>
      <c r="T11" t="str">
        <f>IF(Worksheet!CJ7&lt;&gt;"",CONCATENATE(Worksheet!CJ7," х ",Worksheet!CL7," х ",Worksheet!CH7),"")</f>
        <v>663 х 290 х 541</v>
      </c>
      <c r="U11" t="str">
        <f>IF(Worksheet!CK7&lt;&gt;"",CONCATENATE(Worksheet!CK7," х ",Worksheet!CM7," х ",Worksheet!CI7),"")</f>
        <v>798 х 369 х 596</v>
      </c>
      <c r="V11" t="str">
        <f>IF(Worksheet!CN7&lt;&gt;"",CONCATENATE(Worksheet!CN7,"/",Worksheet!CO7),"")</f>
        <v>23/25</v>
      </c>
      <c r="W11" s="6"/>
      <c r="X11" s="7">
        <f>IF(Worksheet!AN7&lt;&gt;"",Worksheet!AN7,"")</f>
        <v>6.35</v>
      </c>
      <c r="Y11" s="7">
        <f>IF(Worksheet!AO7&lt;&gt;"",Worksheet!AO7,"")</f>
        <v>9.52</v>
      </c>
      <c r="Z11" s="17">
        <f>IF(Worksheet!Q7&lt;&gt;"",Worksheet!Q7,"")</f>
        <v>20</v>
      </c>
      <c r="AA11" s="17">
        <f>IF(Worksheet!R7&lt;&gt;"",Worksheet!R7,"")</f>
        <v>15</v>
      </c>
      <c r="AB11" t="str">
        <f>IF(Worksheet!X7&lt;&gt;"",CONCATENATE("от ",Worksheet!X7," до +",Worksheet!Y7),"")</f>
        <v>от -10 до +46</v>
      </c>
      <c r="AC11" t="str">
        <f>IF(Worksheet!Z7&lt;&gt;"",CONCATENATE("от ",Worksheet!Z7," до +",Worksheet!AA7),"")</f>
        <v>от -15 до +24</v>
      </c>
      <c r="AD11" s="6" t="s">
        <v>5245</v>
      </c>
      <c r="AE11" s="17"/>
    </row>
    <row r="12" spans="1:31" x14ac:dyDescent="0.25">
      <c r="A12" s="17" t="str">
        <f>IF(Worksheet!B8&lt;&gt;"",Worksheet!B8,"")</f>
        <v>FUJITSU</v>
      </c>
      <c r="B12" t="str">
        <f>Worksheet!E8</f>
        <v>Сплит система</v>
      </c>
      <c r="C12" s="21">
        <f>IF(Worksheet!M8&lt;&gt;"",MID(Worksheet!M8,1,FIND(" ",Worksheet!M8,1)-1),"")*1</f>
        <v>2.5</v>
      </c>
      <c r="D12">
        <f t="shared" si="1"/>
        <v>25</v>
      </c>
      <c r="E12" t="str">
        <f>IF(Worksheet!L8&lt;&gt;"",IF(Worksheet!L8="Y","да","нет"),"")</f>
        <v>да</v>
      </c>
      <c r="F12" s="21">
        <f>IF(Worksheet!N8&lt;&gt;"",MID(Worksheet!N8,1,FIND(" ",Worksheet!N8,1)-1),"")*1</f>
        <v>2.8</v>
      </c>
      <c r="G12" s="21">
        <f>IF(Worksheet!O8&lt;&gt;"",MID(Worksheet!O8,1,FIND(" ",Worksheet!O8,1)-1),"")*1</f>
        <v>0.71</v>
      </c>
      <c r="H12" s="21">
        <f>IF(Worksheet!P8&lt;&gt;"",MID(Worksheet!P8,1,FIND(" ",Worksheet!P8,1)-1),"")*1</f>
        <v>0.79</v>
      </c>
      <c r="I12" s="6"/>
      <c r="J12" s="6"/>
      <c r="K12" t="str">
        <f>IF(Worksheet!BI8&lt;&gt;"",Worksheet!BI8,"")</f>
        <v>1 / 230 / 50</v>
      </c>
      <c r="L12" t="str">
        <f>IF(Worksheet!AU8&lt;&gt;"",Worksheet!AU8,"")</f>
        <v>R32</v>
      </c>
      <c r="M12" s="6"/>
      <c r="N12" s="6"/>
      <c r="O12" t="str">
        <f>IF(Worksheet!CR8&lt;&gt;"",CONCATENATE(Worksheet!CR8," х ",Worksheet!CP8," х ",Worksheet!CT8),"")</f>
        <v>784 х 270 х 224</v>
      </c>
      <c r="P12" t="str">
        <f>IF(Worksheet!CS8&lt;&gt;"",CONCATENATE(Worksheet!CS8," х ",Worksheet!CU8," х ",Worksheet!CQ8),"")</f>
        <v>864 х 279 х 334</v>
      </c>
      <c r="Q12" t="str">
        <f>IF(Worksheet!CV8&lt;&gt;"",CONCATENATE(Worksheet!CV8," / ",Worksheet!CW8),"")</f>
        <v>8 / 11</v>
      </c>
      <c r="R12" t="str">
        <f>IF(Worksheet!BS8&lt;&gt;"",Worksheet!BS8,"")</f>
        <v>22/31/38/45</v>
      </c>
      <c r="S12" t="str">
        <f>IF(Worksheet!AL8&lt;&gt;"",Worksheet!AL8,"")</f>
        <v/>
      </c>
      <c r="T12" t="str">
        <f>IF(Worksheet!CJ8&lt;&gt;"",CONCATENATE(Worksheet!CJ8," х ",Worksheet!CL8," х ",Worksheet!CH8),"")</f>
        <v>663 х 290 х 541</v>
      </c>
      <c r="U12" t="str">
        <f>IF(Worksheet!CK8&lt;&gt;"",CONCATENATE(Worksheet!CK8," х ",Worksheet!CM8," х ",Worksheet!CI8),"")</f>
        <v>798 х 369 х 596</v>
      </c>
      <c r="V12" t="str">
        <f>IF(Worksheet!CN8&lt;&gt;"",CONCATENATE(Worksheet!CN8,"/",Worksheet!CO8),"")</f>
        <v>23/25</v>
      </c>
      <c r="W12" s="6"/>
      <c r="X12" s="7">
        <f>IF(Worksheet!AN8&lt;&gt;"",Worksheet!AN8,"")</f>
        <v>6.35</v>
      </c>
      <c r="Y12" s="7">
        <f>IF(Worksheet!AO8&lt;&gt;"",Worksheet!AO8,"")</f>
        <v>9.52</v>
      </c>
      <c r="Z12" s="17">
        <f>IF(Worksheet!Q8&lt;&gt;"",Worksheet!Q8,"")</f>
        <v>20</v>
      </c>
      <c r="AA12" s="17">
        <f>IF(Worksheet!R8&lt;&gt;"",Worksheet!R8,"")</f>
        <v>15</v>
      </c>
      <c r="AB12" t="str">
        <f>IF(Worksheet!X8&lt;&gt;"",CONCATENATE("от ",Worksheet!X8," до +",Worksheet!Y8),"")</f>
        <v>от -10 до +46</v>
      </c>
      <c r="AC12" t="str">
        <f>IF(Worksheet!Z8&lt;&gt;"",CONCATENATE("от ",Worksheet!Z8," до +",Worksheet!AA8),"")</f>
        <v>от -15 до +24</v>
      </c>
      <c r="AD12" s="6" t="s">
        <v>5245</v>
      </c>
      <c r="AE12" s="17"/>
    </row>
    <row r="13" spans="1:31" x14ac:dyDescent="0.25">
      <c r="A13" s="17" t="str">
        <f>IF(Worksheet!B9&lt;&gt;"",Worksheet!B9,"")</f>
        <v>FUJITSU</v>
      </c>
      <c r="B13" t="str">
        <f>Worksheet!E9</f>
        <v>Сплит система</v>
      </c>
      <c r="C13" s="21">
        <f>IF(Worksheet!M9&lt;&gt;"",MID(Worksheet!M9,1,FIND(" ",Worksheet!M9,1)-1),"")*1</f>
        <v>2.5</v>
      </c>
      <c r="D13">
        <f t="shared" si="1"/>
        <v>25</v>
      </c>
      <c r="E13" t="str">
        <f>IF(Worksheet!L9&lt;&gt;"",IF(Worksheet!L9="Y","да","нет"),"")</f>
        <v>да</v>
      </c>
      <c r="F13" s="21">
        <f>IF(Worksheet!N9&lt;&gt;"",MID(Worksheet!N9,1,FIND(" ",Worksheet!N9,1)-1),"")*1</f>
        <v>2.8</v>
      </c>
      <c r="G13">
        <f>IF(Worksheet!O9&lt;&gt;"",Worksheet!O9,"")</f>
        <v>0.71</v>
      </c>
      <c r="H13">
        <f>IF(Worksheet!P9&lt;&gt;"",Worksheet!P9,"")</f>
        <v>0.79</v>
      </c>
      <c r="I13" s="6"/>
      <c r="J13" s="6"/>
      <c r="K13" t="str">
        <f>IF(Worksheet!BI9&lt;&gt;"",Worksheet!BI9,"")</f>
        <v>1 / 230 / 50</v>
      </c>
      <c r="L13" t="str">
        <f>IF(Worksheet!AU9&lt;&gt;"",Worksheet!AU9,"")</f>
        <v>R32</v>
      </c>
      <c r="M13" s="6"/>
      <c r="N13" s="6"/>
      <c r="O13" t="str">
        <f>IF(Worksheet!CR9&lt;&gt;"",CONCATENATE(Worksheet!CR9," х ",Worksheet!CP9," х ",Worksheet!CT9),"")</f>
        <v>784 х 270 х 224</v>
      </c>
      <c r="P13" t="str">
        <f>IF(Worksheet!CS9&lt;&gt;"",CONCATENATE(Worksheet!CS9," х ",Worksheet!CU9," х ",Worksheet!CQ9),"")</f>
        <v>864 х 279 х 334</v>
      </c>
      <c r="Q13" t="str">
        <f>IF(Worksheet!CV9&lt;&gt;"",CONCATENATE(Worksheet!CV9," / ",Worksheet!CW9),"")</f>
        <v>8 / 11</v>
      </c>
      <c r="R13" t="str">
        <f>IF(Worksheet!BS9&lt;&gt;"",Worksheet!BS9,"")</f>
        <v>22/31/38/45</v>
      </c>
      <c r="S13" t="str">
        <f>IF(Worksheet!AL9&lt;&gt;"",Worksheet!AL9,"")</f>
        <v/>
      </c>
      <c r="T13" t="str">
        <f>IF(Worksheet!CJ9&lt;&gt;"",CONCATENATE(Worksheet!CJ9," х ",Worksheet!CL9," х ",Worksheet!CH9),"")</f>
        <v>663 х 290 х 541</v>
      </c>
      <c r="U13" t="str">
        <f>IF(Worksheet!CK9&lt;&gt;"",CONCATENATE(Worksheet!CK9," х ",Worksheet!CM9," х ",Worksheet!CI9),"")</f>
        <v>798 х 369 х 596</v>
      </c>
      <c r="V13" t="str">
        <f>IF(Worksheet!CN9&lt;&gt;"",CONCATENATE(Worksheet!CN9,"/",Worksheet!CO9),"")</f>
        <v>23/25</v>
      </c>
      <c r="W13" s="6"/>
      <c r="X13" s="7">
        <f>IF(Worksheet!AN9&lt;&gt;"",Worksheet!AN9,"")</f>
        <v>6.35</v>
      </c>
      <c r="Y13" s="7">
        <f>IF(Worksheet!AO9&lt;&gt;"",Worksheet!AO9,"")</f>
        <v>9.52</v>
      </c>
      <c r="Z13" s="17">
        <f>IF(Worksheet!Q9&lt;&gt;"",Worksheet!Q9,"")</f>
        <v>20</v>
      </c>
      <c r="AA13" s="17">
        <f>IF(Worksheet!R9&lt;&gt;"",Worksheet!R9,"")</f>
        <v>15</v>
      </c>
      <c r="AB13" t="str">
        <f>IF(Worksheet!X9&lt;&gt;"",CONCATENATE("от ",Worksheet!X9," до +",Worksheet!Y9),"")</f>
        <v>от -10 до +46</v>
      </c>
      <c r="AC13" t="str">
        <f>IF(Worksheet!Z9&lt;&gt;"",CONCATENATE("от ",Worksheet!Z9," до +",Worksheet!AA9),"")</f>
        <v>от -15 до +24</v>
      </c>
      <c r="AD13" s="6" t="s">
        <v>5245</v>
      </c>
      <c r="AE13" s="17"/>
    </row>
    <row r="14" spans="1:31" x14ac:dyDescent="0.25">
      <c r="A14" s="17" t="str">
        <f>IF(Worksheet!B10&lt;&gt;"",Worksheet!B10,"")</f>
        <v>FUJITSU</v>
      </c>
      <c r="B14" t="str">
        <f>Worksheet!E10</f>
        <v>Сплит система</v>
      </c>
      <c r="C14" s="21">
        <f>IF(Worksheet!M10&lt;&gt;"",MID(Worksheet!M10,1,FIND(" ",Worksheet!M10,1)-1),"")*1</f>
        <v>3.4</v>
      </c>
      <c r="D14">
        <f t="shared" si="1"/>
        <v>34</v>
      </c>
      <c r="E14" t="str">
        <f>IF(Worksheet!L10&lt;&gt;"",IF(Worksheet!L10="Y","да","нет"),"")</f>
        <v>да</v>
      </c>
      <c r="F14" s="21">
        <f>IF(Worksheet!N10&lt;&gt;"",MID(Worksheet!N10,1,FIND(" ",Worksheet!N10,1)-1),"")*1</f>
        <v>3.8</v>
      </c>
      <c r="G14" s="21">
        <f>IF(Worksheet!O10&lt;&gt;"",MID(Worksheet!O10,1,FIND(" ",Worksheet!O10,1)-1),"")*1</f>
        <v>1</v>
      </c>
      <c r="H14" s="21">
        <f>IF(Worksheet!P10&lt;&gt;"",MID(Worksheet!P10,1,FIND(" ",Worksheet!P10,1)-1),"")*1</f>
        <v>1.1399999999999999</v>
      </c>
      <c r="I14" s="6"/>
      <c r="J14" s="6"/>
      <c r="K14" t="str">
        <f>IF(Worksheet!BI10&lt;&gt;"",Worksheet!BI10,"")</f>
        <v>1 / 230 / 50</v>
      </c>
      <c r="L14" t="str">
        <f>IF(Worksheet!AU10&lt;&gt;"",Worksheet!AU10,"")</f>
        <v>R32</v>
      </c>
      <c r="M14" s="6"/>
      <c r="N14" s="6"/>
      <c r="O14" t="str">
        <f>IF(Worksheet!CR10&lt;&gt;"",CONCATENATE(Worksheet!CR10," х ",Worksheet!CP10," х ",Worksheet!CT10),"")</f>
        <v>784 х 270 х 224</v>
      </c>
      <c r="P14" t="str">
        <f>IF(Worksheet!CS10&lt;&gt;"",CONCATENATE(Worksheet!CS10," х ",Worksheet!CU10," х ",Worksheet!CQ10),"")</f>
        <v>864 х 279 х 334</v>
      </c>
      <c r="Q14" t="str">
        <f>IF(Worksheet!CV10&lt;&gt;"",CONCATENATE(Worksheet!CV10," / ",Worksheet!CW10),"")</f>
        <v>8 / 11</v>
      </c>
      <c r="R14" t="str">
        <f>IF(Worksheet!BS10&lt;&gt;"",Worksheet!BS10,"")</f>
        <v>22/33/40/46</v>
      </c>
      <c r="S14" t="str">
        <f>IF(Worksheet!AL10&lt;&gt;"",Worksheet!AL10,"")</f>
        <v/>
      </c>
      <c r="T14" t="str">
        <f>IF(Worksheet!CJ10&lt;&gt;"",CONCATENATE(Worksheet!CJ10," х ",Worksheet!CL10," х ",Worksheet!CH10),"")</f>
        <v>663 х 290 х 541</v>
      </c>
      <c r="U14" t="str">
        <f>IF(Worksheet!CK10&lt;&gt;"",CONCATENATE(Worksheet!CK10," х ",Worksheet!CM10," х ",Worksheet!CI10),"")</f>
        <v>798 х 369 х 596</v>
      </c>
      <c r="V14" t="str">
        <f>IF(Worksheet!CN10&lt;&gt;"",CONCATENATE(Worksheet!CN10,"/",Worksheet!CO10),"")</f>
        <v>25/27</v>
      </c>
      <c r="W14" s="6"/>
      <c r="X14" s="7">
        <f>IF(Worksheet!AN10&lt;&gt;"",Worksheet!AN10,"")</f>
        <v>6.35</v>
      </c>
      <c r="Y14" s="7">
        <f>IF(Worksheet!AO10&lt;&gt;"",Worksheet!AO10,"")</f>
        <v>9.52</v>
      </c>
      <c r="Z14" s="17">
        <f>IF(Worksheet!Q10&lt;&gt;"",Worksheet!Q10,"")</f>
        <v>20</v>
      </c>
      <c r="AA14" s="17">
        <f>IF(Worksheet!R10&lt;&gt;"",Worksheet!R10,"")</f>
        <v>15</v>
      </c>
      <c r="AB14" t="str">
        <f>IF(Worksheet!X10&lt;&gt;"",CONCATENATE("от ",Worksheet!X10," до +",Worksheet!Y10),"")</f>
        <v>от -10 до +46</v>
      </c>
      <c r="AC14" t="str">
        <f>IF(Worksheet!Z10&lt;&gt;"",CONCATENATE("от ",Worksheet!Z10," до +",Worksheet!AA10),"")</f>
        <v>от -15 до +24</v>
      </c>
      <c r="AD14" s="6" t="s">
        <v>5245</v>
      </c>
      <c r="AE14" s="17"/>
    </row>
    <row r="15" spans="1:31" x14ac:dyDescent="0.25">
      <c r="A15" s="17" t="str">
        <f>IF(Worksheet!B11&lt;&gt;"",Worksheet!B11,"")</f>
        <v>FUJITSU</v>
      </c>
      <c r="B15" t="str">
        <f>Worksheet!E11</f>
        <v>Сплит система</v>
      </c>
      <c r="C15" s="21">
        <f>IF(Worksheet!M11&lt;&gt;"",MID(Worksheet!M11,1,FIND(" ",Worksheet!M11,1)-1),"")*1</f>
        <v>3.4</v>
      </c>
      <c r="D15">
        <f t="shared" si="1"/>
        <v>34</v>
      </c>
      <c r="E15" t="str">
        <f>IF(Worksheet!L11&lt;&gt;"",IF(Worksheet!L11="Y","да","нет"),"")</f>
        <v>да</v>
      </c>
      <c r="F15" s="21">
        <f>IF(Worksheet!N11&lt;&gt;"",MID(Worksheet!N11,1,FIND(" ",Worksheet!N11,1)-1),"")*1</f>
        <v>3.8</v>
      </c>
      <c r="G15">
        <f>IF(Worksheet!O11&lt;&gt;"",Worksheet!O11,"")</f>
        <v>1</v>
      </c>
      <c r="H15">
        <f>IF(Worksheet!P11&lt;&gt;"",Worksheet!P11,"")</f>
        <v>1.1399999999999999</v>
      </c>
      <c r="I15" s="6"/>
      <c r="J15" s="6"/>
      <c r="K15" t="str">
        <f>IF(Worksheet!BI11&lt;&gt;"",Worksheet!BI11,"")</f>
        <v>1 / 230 / 50</v>
      </c>
      <c r="L15" t="str">
        <f>IF(Worksheet!AU11&lt;&gt;"",Worksheet!AU11,"")</f>
        <v>R32</v>
      </c>
      <c r="M15" s="6"/>
      <c r="N15" s="6"/>
      <c r="O15" t="str">
        <f>IF(Worksheet!CR11&lt;&gt;"",CONCATENATE(Worksheet!CR11," х ",Worksheet!CP11," х ",Worksheet!CT11),"")</f>
        <v>784 х 270 х 224</v>
      </c>
      <c r="P15" t="str">
        <f>IF(Worksheet!CS11&lt;&gt;"",CONCATENATE(Worksheet!CS11," х ",Worksheet!CU11," х ",Worksheet!CQ11),"")</f>
        <v>864 х 279 х 334</v>
      </c>
      <c r="Q15" t="str">
        <f>IF(Worksheet!CV11&lt;&gt;"",CONCATENATE(Worksheet!CV11," / ",Worksheet!CW11),"")</f>
        <v>8 / 11</v>
      </c>
      <c r="R15" t="str">
        <f>IF(Worksheet!BS11&lt;&gt;"",Worksheet!BS11,"")</f>
        <v>22/33/40/46</v>
      </c>
      <c r="S15" t="str">
        <f>IF(Worksheet!AL11&lt;&gt;"",Worksheet!AL11,"")</f>
        <v/>
      </c>
      <c r="T15" t="str">
        <f>IF(Worksheet!CJ11&lt;&gt;"",CONCATENATE(Worksheet!CJ11," х ",Worksheet!CL11," х ",Worksheet!CH11),"")</f>
        <v>663 х 290 х 541</v>
      </c>
      <c r="U15" t="str">
        <f>IF(Worksheet!CK11&lt;&gt;"",CONCATENATE(Worksheet!CK11," х ",Worksheet!CM11," х ",Worksheet!CI11),"")</f>
        <v>798 х 369 х 596</v>
      </c>
      <c r="V15" t="str">
        <f>IF(Worksheet!CN11&lt;&gt;"",CONCATENATE(Worksheet!CN11,"/",Worksheet!CO11),"")</f>
        <v>25/27</v>
      </c>
      <c r="W15" s="6"/>
      <c r="X15" s="7">
        <f>IF(Worksheet!AN11&lt;&gt;"",Worksheet!AN11,"")</f>
        <v>6.35</v>
      </c>
      <c r="Y15" s="7">
        <f>IF(Worksheet!AO11&lt;&gt;"",Worksheet!AO11,"")</f>
        <v>9.52</v>
      </c>
      <c r="Z15" s="17">
        <f>IF(Worksheet!Q11&lt;&gt;"",Worksheet!Q11,"")</f>
        <v>20</v>
      </c>
      <c r="AA15" s="17">
        <f>IF(Worksheet!R11&lt;&gt;"",Worksheet!R11,"")</f>
        <v>15</v>
      </c>
      <c r="AB15" t="str">
        <f>IF(Worksheet!X11&lt;&gt;"",CONCATENATE("от ",Worksheet!X11," до +",Worksheet!Y11),"")</f>
        <v>от -10 до +46</v>
      </c>
      <c r="AC15" t="str">
        <f>IF(Worksheet!Z11&lt;&gt;"",CONCATENATE("от ",Worksheet!Z11," до +",Worksheet!AA11),"")</f>
        <v>от -15 до +24</v>
      </c>
      <c r="AD15" s="6" t="s">
        <v>5245</v>
      </c>
      <c r="AE15" s="17"/>
    </row>
    <row r="16" spans="1:31" x14ac:dyDescent="0.25">
      <c r="A16" s="17" t="str">
        <f>IF(Worksheet!B12&lt;&gt;"",Worksheet!B12,"")</f>
        <v>FUJITSU</v>
      </c>
      <c r="B16" t="str">
        <f>Worksheet!E12</f>
        <v>Сплит система</v>
      </c>
      <c r="C16" s="21">
        <f>IF(Worksheet!M12&lt;&gt;"",MID(Worksheet!M12,1,FIND(" ",Worksheet!M12,1)-1),"")*1</f>
        <v>5.2</v>
      </c>
      <c r="D16">
        <f t="shared" si="1"/>
        <v>52</v>
      </c>
      <c r="E16" t="str">
        <f>IF(Worksheet!L12&lt;&gt;"",IF(Worksheet!L12="Y","да","нет"),"")</f>
        <v>да</v>
      </c>
      <c r="F16" s="21">
        <f>IF(Worksheet!N12&lt;&gt;"",MID(Worksheet!N12,1,FIND(" ",Worksheet!N12,1)-1),"")*1</f>
        <v>6.3</v>
      </c>
      <c r="G16" s="21">
        <f>IF(Worksheet!O12&lt;&gt;"",MID(Worksheet!O12,1,FIND(" ",Worksheet!O12,1)-1),"")*1</f>
        <v>1.6850000000000001</v>
      </c>
      <c r="H16" s="21">
        <f>IF(Worksheet!P12&lt;&gt;"",MID(Worksheet!P12,1,FIND(" ",Worksheet!P12,1)-1),"")*1</f>
        <v>1.8</v>
      </c>
      <c r="I16" s="6"/>
      <c r="J16" s="6"/>
      <c r="K16" t="str">
        <f>IF(Worksheet!BI12&lt;&gt;"",Worksheet!BI12,"")</f>
        <v>1 / 230 / 50</v>
      </c>
      <c r="L16" t="str">
        <f>IF(Worksheet!AU12&lt;&gt;"",Worksheet!AU12,"")</f>
        <v>R32</v>
      </c>
      <c r="M16" s="6"/>
      <c r="N16" s="6"/>
      <c r="O16" t="str">
        <f>IF(Worksheet!CR12&lt;&gt;"",CONCATENATE(Worksheet!CR12," х ",Worksheet!CP12," х ",Worksheet!CT12),"")</f>
        <v>790 х 293 х 249</v>
      </c>
      <c r="P16" t="str">
        <f>IF(Worksheet!CS12&lt;&gt;"",CONCATENATE(Worksheet!CS12," х ",Worksheet!CU12," х ",Worksheet!CQ12),"")</f>
        <v>840 х 320 х 375</v>
      </c>
      <c r="Q16" t="str">
        <f>IF(Worksheet!CV12&lt;&gt;"",CONCATENATE(Worksheet!CV12," / ",Worksheet!CW12),"")</f>
        <v>9.5 / 12</v>
      </c>
      <c r="R16" t="str">
        <f>IF(Worksheet!BS12&lt;&gt;"",Worksheet!BS12,"")</f>
        <v>35/40/44/47</v>
      </c>
      <c r="S16" t="str">
        <f>IF(Worksheet!AL12&lt;&gt;"",Worksheet!AL12,"")</f>
        <v/>
      </c>
      <c r="T16" t="str">
        <f>IF(Worksheet!CJ12&lt;&gt;"",CONCATENATE(Worksheet!CJ12," х ",Worksheet!CL12," х ",Worksheet!CH12),"")</f>
        <v>799 х 290 х 542</v>
      </c>
      <c r="U16" t="str">
        <f>IF(Worksheet!CK12&lt;&gt;"",CONCATENATE(Worksheet!CK12," х ",Worksheet!CM12," х ",Worksheet!CI12),"")</f>
        <v>940 х 375 х 602</v>
      </c>
      <c r="V16" t="str">
        <f>IF(Worksheet!CN12&lt;&gt;"",CONCATENATE(Worksheet!CN12,"/",Worksheet!CO12),"")</f>
        <v>33/37</v>
      </c>
      <c r="W16" s="6"/>
      <c r="X16" s="7">
        <f>IF(Worksheet!AN12&lt;&gt;"",Worksheet!AN12,"")</f>
        <v>6.35</v>
      </c>
      <c r="Y16" s="7">
        <f>IF(Worksheet!AO12&lt;&gt;"",Worksheet!AO12,"")</f>
        <v>9.52</v>
      </c>
      <c r="Z16" s="17">
        <f>IF(Worksheet!Q12&lt;&gt;"",Worksheet!Q12,"")</f>
        <v>25</v>
      </c>
      <c r="AA16" s="17">
        <f>IF(Worksheet!R12&lt;&gt;"",Worksheet!R12,"")</f>
        <v>20</v>
      </c>
      <c r="AB16" t="str">
        <f>IF(Worksheet!X12&lt;&gt;"",CONCATENATE("от ",Worksheet!X12," до +",Worksheet!Y12),"")</f>
        <v>от -10 до +46</v>
      </c>
      <c r="AC16" t="str">
        <f>IF(Worksheet!Z12&lt;&gt;"",CONCATENATE("от ",Worksheet!Z12," до +",Worksheet!AA12),"")</f>
        <v>от -15 до +24</v>
      </c>
      <c r="AD16" s="6" t="s">
        <v>5245</v>
      </c>
      <c r="AE16" s="17"/>
    </row>
    <row r="17" spans="1:31" x14ac:dyDescent="0.25">
      <c r="A17" s="17" t="str">
        <f>IF(Worksheet!B13&lt;&gt;"",Worksheet!B13,"")</f>
        <v>FUJITSU</v>
      </c>
      <c r="B17" t="str">
        <f>Worksheet!E13</f>
        <v>Сплит система</v>
      </c>
      <c r="C17" s="21">
        <f>IF(Worksheet!M13&lt;&gt;"",MID(Worksheet!M13,1,FIND(" ",Worksheet!M13,1)-1),"")*1</f>
        <v>5.2</v>
      </c>
      <c r="D17">
        <f t="shared" si="1"/>
        <v>52</v>
      </c>
      <c r="E17" t="str">
        <f>IF(Worksheet!L13&lt;&gt;"",IF(Worksheet!L13="Y","да","нет"),"")</f>
        <v>да</v>
      </c>
      <c r="F17" s="21">
        <f>IF(Worksheet!N13&lt;&gt;"",MID(Worksheet!N13,1,FIND(" ",Worksheet!N13,1)-1),"")*1</f>
        <v>6.3</v>
      </c>
      <c r="G17" s="21">
        <f>IF(Worksheet!O13&lt;&gt;"",MID(Worksheet!O13,1,FIND(" ",Worksheet!O13,1)-1),"")*1</f>
        <v>1.6850000000000001</v>
      </c>
      <c r="H17" s="21">
        <f>IF(Worksheet!P13&lt;&gt;"",MID(Worksheet!P13,1,FIND(" ",Worksheet!P13,1)-1),"")*1</f>
        <v>1.8</v>
      </c>
      <c r="I17" s="6"/>
      <c r="J17" s="6"/>
      <c r="K17" t="str">
        <f>IF(Worksheet!BI13&lt;&gt;"",Worksheet!BI13,"")</f>
        <v>1 / 230 / 50</v>
      </c>
      <c r="L17" t="str">
        <f>IF(Worksheet!AU13&lt;&gt;"",Worksheet!AU13,"")</f>
        <v>R32</v>
      </c>
      <c r="M17" s="6"/>
      <c r="N17" s="6"/>
      <c r="O17" t="str">
        <f>IF(Worksheet!CR13&lt;&gt;"",CONCATENATE(Worksheet!CR13," х ",Worksheet!CP13," х ",Worksheet!CT13),"")</f>
        <v>790 х 293 х 249</v>
      </c>
      <c r="P17" t="str">
        <f>IF(Worksheet!CS13&lt;&gt;"",CONCATENATE(Worksheet!CS13," х ",Worksheet!CU13," х ",Worksheet!CQ13),"")</f>
        <v>840 х 320 х 375</v>
      </c>
      <c r="Q17" t="str">
        <f>IF(Worksheet!CV13&lt;&gt;"",CONCATENATE(Worksheet!CV13," / ",Worksheet!CW13),"")</f>
        <v>9.5 / 12</v>
      </c>
      <c r="R17" t="str">
        <f>IF(Worksheet!BS13&lt;&gt;"",Worksheet!BS13,"")</f>
        <v>35/40/44/47</v>
      </c>
      <c r="S17" t="str">
        <f>IF(Worksheet!AL13&lt;&gt;"",Worksheet!AL13,"")</f>
        <v/>
      </c>
      <c r="T17" t="str">
        <f>IF(Worksheet!CJ13&lt;&gt;"",CONCATENATE(Worksheet!CJ13," х ",Worksheet!CL13," х ",Worksheet!CH13),"")</f>
        <v>799 х 290 х 542</v>
      </c>
      <c r="U17" t="str">
        <f>IF(Worksheet!CK13&lt;&gt;"",CONCATENATE(Worksheet!CK13," х ",Worksheet!CM13," х ",Worksheet!CI13),"")</f>
        <v>940 х 375 х 602</v>
      </c>
      <c r="V17" t="str">
        <f>IF(Worksheet!CN13&lt;&gt;"",CONCATENATE(Worksheet!CN13,"/",Worksheet!CO13),"")</f>
        <v>33/36</v>
      </c>
      <c r="W17" s="6"/>
      <c r="X17" s="7">
        <f>IF(Worksheet!AN13&lt;&gt;"",Worksheet!AN13,"")</f>
        <v>6.35</v>
      </c>
      <c r="Y17" s="7">
        <f>IF(Worksheet!AO13&lt;&gt;"",Worksheet!AO13,"")</f>
        <v>9.52</v>
      </c>
      <c r="Z17" s="17">
        <f>IF(Worksheet!Q13&lt;&gt;"",Worksheet!Q13,"")</f>
        <v>25</v>
      </c>
      <c r="AA17" s="17">
        <f>IF(Worksheet!R13&lt;&gt;"",Worksheet!R13,"")</f>
        <v>20</v>
      </c>
      <c r="AB17" t="str">
        <f>IF(Worksheet!X13&lt;&gt;"",CONCATENATE("от ",Worksheet!X13," до +",Worksheet!Y13),"")</f>
        <v>от -10 до +46</v>
      </c>
      <c r="AC17" t="str">
        <f>IF(Worksheet!Z13&lt;&gt;"",CONCATENATE("от ",Worksheet!Z13," до +",Worksheet!AA13),"")</f>
        <v>от -15 до +24</v>
      </c>
      <c r="AD17" s="6" t="s">
        <v>5245</v>
      </c>
      <c r="AE17" s="17"/>
    </row>
    <row r="18" spans="1:31" x14ac:dyDescent="0.25">
      <c r="A18" s="17" t="str">
        <f>IF(Worksheet!B14&lt;&gt;"",Worksheet!B14,"")</f>
        <v>FUJITSU</v>
      </c>
      <c r="B18" t="str">
        <f>Worksheet!E14</f>
        <v>Сплит система</v>
      </c>
      <c r="C18" s="21">
        <f>IF(Worksheet!M14&lt;&gt;"",MID(Worksheet!M14,1,FIND(" ",Worksheet!M14,1)-1),"")*1</f>
        <v>7.1</v>
      </c>
      <c r="D18">
        <f t="shared" si="1"/>
        <v>71</v>
      </c>
      <c r="E18" t="str">
        <f>IF(Worksheet!L14&lt;&gt;"",IF(Worksheet!L14="Y","да","нет"),"")</f>
        <v>да</v>
      </c>
      <c r="F18" s="21">
        <f>IF(Worksheet!N14&lt;&gt;"",MID(Worksheet!N14,1,FIND(" ",Worksheet!N14,1)-1),"")*1</f>
        <v>8</v>
      </c>
      <c r="G18" s="21">
        <f>IF(Worksheet!O14&lt;&gt;"",MID(Worksheet!O14,1,FIND(" ",Worksheet!O14,1)-1),"")*1</f>
        <v>2.42</v>
      </c>
      <c r="H18" s="21">
        <f>IF(Worksheet!P14&lt;&gt;"",MID(Worksheet!P14,1,FIND(" ",Worksheet!P14,1)-1),"")*1</f>
        <v>2.2250000000000001</v>
      </c>
      <c r="I18" s="6"/>
      <c r="J18" s="6"/>
      <c r="K18" t="str">
        <f>IF(Worksheet!BI14&lt;&gt;"",Worksheet!BI14,"")</f>
        <v>1 / 230 / 50</v>
      </c>
      <c r="L18" t="str">
        <f>IF(Worksheet!AU14&lt;&gt;"",Worksheet!AU14,"")</f>
        <v>R32</v>
      </c>
      <c r="M18" s="6"/>
      <c r="N18" s="6"/>
      <c r="O18" t="str">
        <f>IF(Worksheet!CR14&lt;&gt;"",CONCATENATE(Worksheet!CR14," х ",Worksheet!CP14," х ",Worksheet!CT14),"")</f>
        <v>790 х 293 х 249</v>
      </c>
      <c r="P18" t="str">
        <f>IF(Worksheet!CS14&lt;&gt;"",CONCATENATE(Worksheet!CS14," х ",Worksheet!CU14," х ",Worksheet!CQ14),"")</f>
        <v>840 х 320 х 375</v>
      </c>
      <c r="Q18" t="str">
        <f>IF(Worksheet!CV14&lt;&gt;"",CONCATENATE(Worksheet!CV14," / ",Worksheet!CW14),"")</f>
        <v>10 / 12.5</v>
      </c>
      <c r="R18" t="str">
        <f>IF(Worksheet!BS14&lt;&gt;"",Worksheet!BS14,"")</f>
        <v>33/38/45/51</v>
      </c>
      <c r="S18" t="str">
        <f>IF(Worksheet!AL14&lt;&gt;"",Worksheet!AL14,"")</f>
        <v/>
      </c>
      <c r="T18" t="str">
        <f>IF(Worksheet!CJ14&lt;&gt;"",CONCATENATE(Worksheet!CJ14," х ",Worksheet!CL14," х ",Worksheet!CH14),"")</f>
        <v>799 х 290 х 632</v>
      </c>
      <c r="U18" t="str">
        <f>IF(Worksheet!CK14&lt;&gt;"",CONCATENATE(Worksheet!CK14," х ",Worksheet!CM14," х ",Worksheet!CI14),"")</f>
        <v>940 х 375 х 692</v>
      </c>
      <c r="V18" t="str">
        <f>IF(Worksheet!CN14&lt;&gt;"",CONCATENATE(Worksheet!CN14,"/",Worksheet!CO14),"")</f>
        <v>38/42</v>
      </c>
      <c r="W18" s="6"/>
      <c r="X18" s="7">
        <f>IF(Worksheet!AN14&lt;&gt;"",Worksheet!AN14,"")</f>
        <v>6.35</v>
      </c>
      <c r="Y18" s="7">
        <f>IF(Worksheet!AO14&lt;&gt;"",Worksheet!AO14,"")</f>
        <v>12.7</v>
      </c>
      <c r="Z18" s="17">
        <f>IF(Worksheet!Q14&lt;&gt;"",Worksheet!Q14,"")</f>
        <v>30</v>
      </c>
      <c r="AA18" s="17">
        <f>IF(Worksheet!R14&lt;&gt;"",Worksheet!R14,"")</f>
        <v>25</v>
      </c>
      <c r="AB18" t="str">
        <f>IF(Worksheet!X14&lt;&gt;"",CONCATENATE("от ",Worksheet!X14," до +",Worksheet!Y14),"")</f>
        <v>от -10 до +46</v>
      </c>
      <c r="AC18" t="str">
        <f>IF(Worksheet!Z14&lt;&gt;"",CONCATENATE("от ",Worksheet!Z14," до +",Worksheet!AA14),"")</f>
        <v>от -15 до +24</v>
      </c>
      <c r="AD18" s="6" t="s">
        <v>5245</v>
      </c>
      <c r="AE18" s="17"/>
    </row>
    <row r="19" spans="1:31" x14ac:dyDescent="0.25">
      <c r="A19" s="17" t="str">
        <f>IF(Worksheet!B15&lt;&gt;"",Worksheet!B15,"")</f>
        <v>FUJITSU</v>
      </c>
      <c r="B19" t="str">
        <f>Worksheet!E15</f>
        <v>Сплит система</v>
      </c>
      <c r="C19" s="21">
        <f>IF(Worksheet!M15&lt;&gt;"",MID(Worksheet!M15,1,FIND(" ",Worksheet!M15,1)-1),"")*1</f>
        <v>7.1</v>
      </c>
      <c r="D19">
        <f t="shared" si="1"/>
        <v>71</v>
      </c>
      <c r="E19" t="str">
        <f>IF(Worksheet!L15&lt;&gt;"",IF(Worksheet!L15="Y","да","нет"),"")</f>
        <v>да</v>
      </c>
      <c r="F19" s="21">
        <f>IF(Worksheet!N15&lt;&gt;"",MID(Worksheet!N15,1,FIND(" ",Worksheet!N15,1)-1),"")*1</f>
        <v>8</v>
      </c>
      <c r="G19" s="21">
        <f>IF(Worksheet!O15&lt;&gt;"",MID(Worksheet!O15,1,FIND(" ",Worksheet!O15,1)-1),"")*1</f>
        <v>2.42</v>
      </c>
      <c r="H19" s="21">
        <f>IF(Worksheet!P15&lt;&gt;"",MID(Worksheet!P15,1,FIND(" ",Worksheet!P15,1)-1),"")*1</f>
        <v>2.2250000000000001</v>
      </c>
      <c r="I19" s="6"/>
      <c r="J19" s="6"/>
      <c r="K19" t="str">
        <f>IF(Worksheet!BI15&lt;&gt;"",Worksheet!BI15,"")</f>
        <v>1 / 230 / 50</v>
      </c>
      <c r="L19" t="str">
        <f>IF(Worksheet!AU15&lt;&gt;"",Worksheet!AU15,"")</f>
        <v>R32</v>
      </c>
      <c r="M19" s="6"/>
      <c r="N19" s="6"/>
      <c r="O19" t="str">
        <f>IF(Worksheet!CR15&lt;&gt;"",CONCATENATE(Worksheet!CR15," х ",Worksheet!CP15," х ",Worksheet!CT15),"")</f>
        <v>790 х 293 х 249</v>
      </c>
      <c r="P19" t="str">
        <f>IF(Worksheet!CS15&lt;&gt;"",CONCATENATE(Worksheet!CS15," х ",Worksheet!CU15," х ",Worksheet!CQ15),"")</f>
        <v>840 х 320 х 375</v>
      </c>
      <c r="Q19" t="str">
        <f>IF(Worksheet!CV15&lt;&gt;"",CONCATENATE(Worksheet!CV15," / ",Worksheet!CW15),"")</f>
        <v>10 / 12.5</v>
      </c>
      <c r="R19" t="str">
        <f>IF(Worksheet!BS15&lt;&gt;"",Worksheet!BS15,"")</f>
        <v>33/38/45/51</v>
      </c>
      <c r="S19" t="str">
        <f>IF(Worksheet!AL15&lt;&gt;"",Worksheet!AL15,"")</f>
        <v/>
      </c>
      <c r="T19" t="str">
        <f>IF(Worksheet!CJ15&lt;&gt;"",CONCATENATE(Worksheet!CJ15," х ",Worksheet!CL15," х ",Worksheet!CH15),"")</f>
        <v>799 х 290 х 632</v>
      </c>
      <c r="U19" t="str">
        <f>IF(Worksheet!CK15&lt;&gt;"",CONCATENATE(Worksheet!CK15," х ",Worksheet!CM15," х ",Worksheet!CI15),"")</f>
        <v>940 х 375 х 692</v>
      </c>
      <c r="V19" t="str">
        <f>IF(Worksheet!CN15&lt;&gt;"",CONCATENATE(Worksheet!CN15,"/",Worksheet!CO15),"")</f>
        <v>38/42</v>
      </c>
      <c r="W19" s="6"/>
      <c r="X19" s="7">
        <f>IF(Worksheet!AN15&lt;&gt;"",Worksheet!AN15,"")</f>
        <v>6.35</v>
      </c>
      <c r="Y19" s="7">
        <f>IF(Worksheet!AO15&lt;&gt;"",Worksheet!AO15,"")</f>
        <v>12.7</v>
      </c>
      <c r="Z19" s="17">
        <f>IF(Worksheet!Q15&lt;&gt;"",Worksheet!Q15,"")</f>
        <v>30</v>
      </c>
      <c r="AA19" s="17">
        <f>IF(Worksheet!R15&lt;&gt;"",Worksheet!R15,"")</f>
        <v>25</v>
      </c>
      <c r="AB19" t="str">
        <f>IF(Worksheet!X15&lt;&gt;"",CONCATENATE("от ",Worksheet!X15," до +",Worksheet!Y15),"")</f>
        <v>от -10 до +46</v>
      </c>
      <c r="AC19" t="str">
        <f>IF(Worksheet!Z15&lt;&gt;"",CONCATENATE("от ",Worksheet!Z15," до +",Worksheet!AA15),"")</f>
        <v>от -15 до +24</v>
      </c>
      <c r="AD19" s="6" t="s">
        <v>5245</v>
      </c>
      <c r="AE19" s="17"/>
    </row>
    <row r="20" spans="1:31" x14ac:dyDescent="0.25">
      <c r="A20" s="17" t="str">
        <f>IF(Worksheet!B16&lt;&gt;"",Worksheet!B16,"")</f>
        <v>FUJITSU</v>
      </c>
      <c r="B20" t="str">
        <f>Worksheet!E16</f>
        <v>Сплит система</v>
      </c>
      <c r="C20">
        <f>IF(Worksheet!M16&lt;&gt;"",Worksheet!M16,"")</f>
        <v>2</v>
      </c>
      <c r="D20">
        <f t="shared" si="0"/>
        <v>20</v>
      </c>
      <c r="E20" t="str">
        <f>IF(Worksheet!L16&lt;&gt;"",IF(Worksheet!L16="Y","да","нет"),"")</f>
        <v>да</v>
      </c>
      <c r="F20">
        <f>IF(Worksheet!N16&lt;&gt;"",Worksheet!N16,"")</f>
        <v>2</v>
      </c>
      <c r="G20" s="21">
        <f>IF(Worksheet!O16&lt;&gt;"",MID(Worksheet!O16,1,FIND(" ",Worksheet!O16,1)-1),"")*1</f>
        <v>0.45</v>
      </c>
      <c r="H20" s="21">
        <f>IF(Worksheet!P16&lt;&gt;"",MID(Worksheet!P16,1,FIND(" ",Worksheet!P16,1)-1),"")*1</f>
        <v>0.55500000000000005</v>
      </c>
      <c r="I20" s="6"/>
      <c r="J20" s="6"/>
      <c r="K20" t="str">
        <f>IF(Worksheet!BI16&lt;&gt;"",Worksheet!BI16,"")</f>
        <v>1 / 220 / 50</v>
      </c>
      <c r="L20" t="str">
        <f>IF(Worksheet!AU16&lt;&gt;"",Worksheet!AU16,"")</f>
        <v>R32</v>
      </c>
      <c r="M20" s="6"/>
      <c r="N20" s="6"/>
      <c r="O20" t="str">
        <f>IF(Worksheet!CR16&lt;&gt;"",CONCATENATE(Worksheet!CR16," х ",Worksheet!CP16," х ",Worksheet!CT16),"")</f>
        <v>834 х 270 х 222</v>
      </c>
      <c r="P20" t="str">
        <f>IF(Worksheet!CS16&lt;&gt;"",CONCATENATE(Worksheet!CS16," х ",Worksheet!CU16," х ",Worksheet!CQ16),"")</f>
        <v>914 х 332 х 277</v>
      </c>
      <c r="Q20" t="str">
        <f>IF(Worksheet!CV16&lt;&gt;"",CONCATENATE(Worksheet!CV16," / ",Worksheet!CW16),"")</f>
        <v>10 / 12.5</v>
      </c>
      <c r="R20" t="str">
        <f>IF(Worksheet!BS16&lt;&gt;"",Worksheet!BS16,"")</f>
        <v>20/29/33/38</v>
      </c>
      <c r="S20" t="str">
        <f>IF(Worksheet!AL16&lt;&gt;"",Worksheet!AL16,"")</f>
        <v/>
      </c>
      <c r="T20" t="str">
        <f>IF(Worksheet!CJ16&lt;&gt;"",CONCATENATE(Worksheet!CJ16," х ",Worksheet!CL16," х ",Worksheet!CH16),"")</f>
        <v>663 х 290 х 541</v>
      </c>
      <c r="U20" t="str">
        <f>IF(Worksheet!CK16&lt;&gt;"",CONCATENATE(Worksheet!CK16," х ",Worksheet!CM16," х ",Worksheet!CI16),"")</f>
        <v>804 х 375 х 602</v>
      </c>
      <c r="V20" t="str">
        <f>IF(Worksheet!CN16&lt;&gt;"",CONCATENATE(Worksheet!CN16,"/",Worksheet!CO16),"")</f>
        <v>22/25</v>
      </c>
      <c r="W20" s="6"/>
      <c r="X20" s="7">
        <f>IF(Worksheet!AN16&lt;&gt;"",Worksheet!AN16,"")</f>
        <v>6.35</v>
      </c>
      <c r="Y20" s="7">
        <f>IF(Worksheet!AO16&lt;&gt;"",Worksheet!AO16,"")</f>
        <v>9.52</v>
      </c>
      <c r="Z20" s="17">
        <f>IF(Worksheet!Q16&lt;&gt;"",Worksheet!Q16,"")</f>
        <v>20</v>
      </c>
      <c r="AA20" s="17">
        <f>IF(Worksheet!R16&lt;&gt;"",Worksheet!R16,"")</f>
        <v>15</v>
      </c>
      <c r="AB20" t="str">
        <f>IF(Worksheet!X16&lt;&gt;"",CONCATENATE("от ",Worksheet!X16," до +",Worksheet!Y16),"")</f>
        <v>от -10 до +46</v>
      </c>
      <c r="AC20" t="str">
        <f>IF(Worksheet!Z16&lt;&gt;"",CONCATENATE("от ",Worksheet!Z16," до +",Worksheet!AA16),"")</f>
        <v>от -15 до +24</v>
      </c>
      <c r="AD20" s="6" t="s">
        <v>5245</v>
      </c>
      <c r="AE20" s="17"/>
    </row>
    <row r="21" spans="1:31" x14ac:dyDescent="0.25">
      <c r="A21" s="17" t="str">
        <f>IF(Worksheet!B17&lt;&gt;"",Worksheet!B17,"")</f>
        <v>FUJITSU</v>
      </c>
      <c r="B21" t="str">
        <f>Worksheet!E17</f>
        <v>Сплит система</v>
      </c>
      <c r="C21">
        <f>IF(Worksheet!M17&lt;&gt;"",Worksheet!M17,"")</f>
        <v>2.5</v>
      </c>
      <c r="D21">
        <f t="shared" si="0"/>
        <v>25</v>
      </c>
      <c r="E21" t="str">
        <f>IF(Worksheet!L17&lt;&gt;"",IF(Worksheet!L17="Y","да","нет"),"")</f>
        <v>да</v>
      </c>
      <c r="F21">
        <f>IF(Worksheet!N17&lt;&gt;"",Worksheet!N17,"")</f>
        <v>2.5</v>
      </c>
      <c r="G21" s="21">
        <f>IF(Worksheet!O17&lt;&gt;"",MID(Worksheet!O17,1,FIND(" ",Worksheet!O17,1)-1),"")*1</f>
        <v>0.63</v>
      </c>
      <c r="H21" s="21">
        <f>IF(Worksheet!P17&lt;&gt;"",MID(Worksheet!P17,1,FIND(" ",Worksheet!P17,1)-1),"")*1</f>
        <v>0.62</v>
      </c>
      <c r="I21" s="6"/>
      <c r="J21" s="6"/>
      <c r="K21" t="str">
        <f>IF(Worksheet!BI17&lt;&gt;"",Worksheet!BI17,"")</f>
        <v>1 / 220 / 50</v>
      </c>
      <c r="L21" t="str">
        <f>IF(Worksheet!AU17&lt;&gt;"",Worksheet!AU17,"")</f>
        <v>R32</v>
      </c>
      <c r="M21" s="6"/>
      <c r="N21" s="6"/>
      <c r="O21" t="str">
        <f>IF(Worksheet!CR17&lt;&gt;"",CONCATENATE(Worksheet!CR17," х ",Worksheet!CP17," х ",Worksheet!CT17),"")</f>
        <v>834 х 270 х 222</v>
      </c>
      <c r="P21" t="str">
        <f>IF(Worksheet!CS17&lt;&gt;"",CONCATENATE(Worksheet!CS17," х ",Worksheet!CU17," х ",Worksheet!CQ17),"")</f>
        <v>914 х 332 х 277</v>
      </c>
      <c r="Q21" t="str">
        <f>IF(Worksheet!CV17&lt;&gt;"",CONCATENATE(Worksheet!CV17," / ",Worksheet!CW17),"")</f>
        <v>10 / 12.5</v>
      </c>
      <c r="R21" t="str">
        <f>IF(Worksheet!BS17&lt;&gt;"",Worksheet!BS17,"")</f>
        <v>20/29/34/40</v>
      </c>
      <c r="S21" t="str">
        <f>IF(Worksheet!AL17&lt;&gt;"",Worksheet!AL17,"")</f>
        <v/>
      </c>
      <c r="T21" t="str">
        <f>IF(Worksheet!CJ17&lt;&gt;"",CONCATENATE(Worksheet!CJ17," х ",Worksheet!CL17," х ",Worksheet!CH17),"")</f>
        <v>663 х 290 х 541</v>
      </c>
      <c r="U21" t="str">
        <f>IF(Worksheet!CK17&lt;&gt;"",CONCATENATE(Worksheet!CK17," х ",Worksheet!CM17," х ",Worksheet!CI17),"")</f>
        <v>804 х 375 х 602</v>
      </c>
      <c r="V21" t="str">
        <f>IF(Worksheet!CN17&lt;&gt;"",CONCATENATE(Worksheet!CN17,"/",Worksheet!CO17),"")</f>
        <v>22/25</v>
      </c>
      <c r="W21" s="6"/>
      <c r="X21" s="7">
        <f>IF(Worksheet!AN17&lt;&gt;"",Worksheet!AN17,"")</f>
        <v>6.35</v>
      </c>
      <c r="Y21" s="7">
        <f>IF(Worksheet!AO17&lt;&gt;"",Worksheet!AO17,"")</f>
        <v>9.52</v>
      </c>
      <c r="Z21" s="17">
        <f>IF(Worksheet!Q17&lt;&gt;"",Worksheet!Q17,"")</f>
        <v>20</v>
      </c>
      <c r="AA21" s="17">
        <f>IF(Worksheet!R17&lt;&gt;"",Worksheet!R17,"")</f>
        <v>15</v>
      </c>
      <c r="AB21" t="str">
        <f>IF(Worksheet!X17&lt;&gt;"",CONCATENATE("от ",Worksheet!X17," до +",Worksheet!Y17),"")</f>
        <v>от -10 до +46</v>
      </c>
      <c r="AC21" t="str">
        <f>IF(Worksheet!Z17&lt;&gt;"",CONCATENATE("от ",Worksheet!Z17," до +",Worksheet!AA17),"")</f>
        <v>от -15 до +24</v>
      </c>
      <c r="AD21" s="6" t="s">
        <v>5245</v>
      </c>
      <c r="AE21" s="17"/>
    </row>
    <row r="22" spans="1:31" x14ac:dyDescent="0.25">
      <c r="A22" s="17" t="str">
        <f>IF(Worksheet!B18&lt;&gt;"",Worksheet!B18,"")</f>
        <v>FUJITSU</v>
      </c>
      <c r="B22" t="str">
        <f>Worksheet!E18</f>
        <v>Сплит система</v>
      </c>
      <c r="C22">
        <f>IF(Worksheet!M18&lt;&gt;"",Worksheet!M18,"")</f>
        <v>3.5</v>
      </c>
      <c r="D22">
        <f t="shared" si="0"/>
        <v>35</v>
      </c>
      <c r="E22" t="str">
        <f>IF(Worksheet!L18&lt;&gt;"",IF(Worksheet!L18="Y","да","нет"),"")</f>
        <v>да</v>
      </c>
      <c r="F22">
        <f>IF(Worksheet!N18&lt;&gt;"",Worksheet!N18,"")</f>
        <v>3.5</v>
      </c>
      <c r="G22" s="21">
        <f>IF(Worksheet!O18&lt;&gt;"",MID(Worksheet!O18,1,FIND(" ",Worksheet!O18,1)-1),"")*1</f>
        <v>0.93500000000000005</v>
      </c>
      <c r="H22" s="21">
        <f>IF(Worksheet!P18&lt;&gt;"",MID(Worksheet!P18,1,FIND(" ",Worksheet!P18,1)-1),"")*1</f>
        <v>0.96</v>
      </c>
      <c r="I22" s="6"/>
      <c r="J22" s="6"/>
      <c r="K22" t="str">
        <f>IF(Worksheet!BI18&lt;&gt;"",Worksheet!BI18,"")</f>
        <v>1 / 220 / 50</v>
      </c>
      <c r="L22" t="str">
        <f>IF(Worksheet!AU18&lt;&gt;"",Worksheet!AU18,"")</f>
        <v>R32</v>
      </c>
      <c r="M22" s="6"/>
      <c r="N22" s="6"/>
      <c r="O22" t="str">
        <f>IF(Worksheet!CR18&lt;&gt;"",CONCATENATE(Worksheet!CR18," х ",Worksheet!CP18," х ",Worksheet!CT18),"")</f>
        <v>834 х 270 х 222</v>
      </c>
      <c r="P22" t="str">
        <f>IF(Worksheet!CS18&lt;&gt;"",CONCATENATE(Worksheet!CS18," х ",Worksheet!CU18," х ",Worksheet!CQ18),"")</f>
        <v>914 х 332 х 277</v>
      </c>
      <c r="Q22" t="str">
        <f>IF(Worksheet!CV18&lt;&gt;"",CONCATENATE(Worksheet!CV18," / ",Worksheet!CW18),"")</f>
        <v>10 / 12.5</v>
      </c>
      <c r="R22" t="str">
        <f>IF(Worksheet!BS18&lt;&gt;"",Worksheet!BS18,"")</f>
        <v>20/30/35/40</v>
      </c>
      <c r="S22" t="str">
        <f>IF(Worksheet!AL18&lt;&gt;"",Worksheet!AL18,"")</f>
        <v/>
      </c>
      <c r="T22" t="str">
        <f>IF(Worksheet!CJ18&lt;&gt;"",CONCATENATE(Worksheet!CJ18," х ",Worksheet!CL18," х ",Worksheet!CH18),"")</f>
        <v>663 х 290 х 541</v>
      </c>
      <c r="U22" t="str">
        <f>IF(Worksheet!CK18&lt;&gt;"",CONCATENATE(Worksheet!CK18," х ",Worksheet!CM18," х ",Worksheet!CI18),"")</f>
        <v>804 х 375 х 602</v>
      </c>
      <c r="V22" t="str">
        <f>IF(Worksheet!CN18&lt;&gt;"",CONCATENATE(Worksheet!CN18,"/",Worksheet!CO18),"")</f>
        <v>24/27</v>
      </c>
      <c r="W22" s="6"/>
      <c r="X22" s="7">
        <f>IF(Worksheet!AN18&lt;&gt;"",Worksheet!AN18,"")</f>
        <v>6.35</v>
      </c>
      <c r="Y22" s="7">
        <f>IF(Worksheet!AO18&lt;&gt;"",Worksheet!AO18,"")</f>
        <v>9.52</v>
      </c>
      <c r="Z22" s="17">
        <f>IF(Worksheet!Q18&lt;&gt;"",Worksheet!Q18,"")</f>
        <v>20</v>
      </c>
      <c r="AA22" s="17">
        <f>IF(Worksheet!R18&lt;&gt;"",Worksheet!R18,"")</f>
        <v>15</v>
      </c>
      <c r="AB22" t="str">
        <f>IF(Worksheet!X18&lt;&gt;"",CONCATENATE("от ",Worksheet!X18," до +",Worksheet!Y18),"")</f>
        <v>от -10 до +46</v>
      </c>
      <c r="AC22" t="str">
        <f>IF(Worksheet!Z18&lt;&gt;"",CONCATENATE("от ",Worksheet!Z18," до +",Worksheet!AA18),"")</f>
        <v>от -15 до +24</v>
      </c>
      <c r="AD22" s="6" t="s">
        <v>5245</v>
      </c>
      <c r="AE22" s="17"/>
    </row>
    <row r="23" spans="1:31" x14ac:dyDescent="0.25">
      <c r="A23" s="17" t="str">
        <f>IF(Worksheet!B19&lt;&gt;"",Worksheet!B19,"")</f>
        <v>FUJITSU</v>
      </c>
      <c r="B23" t="str">
        <f>Worksheet!E19</f>
        <v>Сплит система</v>
      </c>
      <c r="C23">
        <f>IF(Worksheet!M19&lt;&gt;"",Worksheet!M19,"")</f>
        <v>4</v>
      </c>
      <c r="D23">
        <f t="shared" si="0"/>
        <v>40</v>
      </c>
      <c r="E23" t="str">
        <f>IF(Worksheet!L19&lt;&gt;"",IF(Worksheet!L19="Y","да","нет"),"")</f>
        <v>да</v>
      </c>
      <c r="F23">
        <f>IF(Worksheet!N19&lt;&gt;"",Worksheet!N19,"")</f>
        <v>4</v>
      </c>
      <c r="G23" s="21">
        <f>IF(Worksheet!O19&lt;&gt;"",MID(Worksheet!O19,1,FIND(" ",Worksheet!O19,1)-1),"")*1</f>
        <v>1.22</v>
      </c>
      <c r="H23" s="21">
        <f>IF(Worksheet!P19&lt;&gt;"",MID(Worksheet!P19,1,FIND(" ",Worksheet!P19,1)-1),"")*1</f>
        <v>1.41</v>
      </c>
      <c r="I23" s="6"/>
      <c r="J23" s="6"/>
      <c r="K23" t="str">
        <f>IF(Worksheet!BI19&lt;&gt;"",Worksheet!BI19,"")</f>
        <v>1 / 220 / 50</v>
      </c>
      <c r="L23" t="str">
        <f>IF(Worksheet!AU19&lt;&gt;"",Worksheet!AU19,"")</f>
        <v>R32</v>
      </c>
      <c r="M23" s="6"/>
      <c r="N23" s="6"/>
      <c r="O23" t="str">
        <f>IF(Worksheet!CR19&lt;&gt;"",CONCATENATE(Worksheet!CR19," х ",Worksheet!CP19," х ",Worksheet!CT19),"")</f>
        <v>834 х 270 х 222</v>
      </c>
      <c r="P23" t="str">
        <f>IF(Worksheet!CS19&lt;&gt;"",CONCATENATE(Worksheet!CS19," х ",Worksheet!CU19," х ",Worksheet!CQ19),"")</f>
        <v>914 х 332 х 277</v>
      </c>
      <c r="Q23" t="str">
        <f>IF(Worksheet!CV19&lt;&gt;"",CONCATENATE(Worksheet!CV19," / ",Worksheet!CW19),"")</f>
        <v>10 / 13</v>
      </c>
      <c r="R23" t="str">
        <f>IF(Worksheet!BS19&lt;&gt;"",Worksheet!BS19,"")</f>
        <v>20/30/36/43</v>
      </c>
      <c r="S23" t="str">
        <f>IF(Worksheet!AL19&lt;&gt;"",Worksheet!AL19,"")</f>
        <v/>
      </c>
      <c r="T23" t="str">
        <f>IF(Worksheet!CJ19&lt;&gt;"",CONCATENATE(Worksheet!CJ19," х ",Worksheet!CL19," х ",Worksheet!CH19),"")</f>
        <v>799 х 290 х 542</v>
      </c>
      <c r="U23" t="str">
        <f>IF(Worksheet!CK19&lt;&gt;"",CONCATENATE(Worksheet!CK19," х ",Worksheet!CM19," х ",Worksheet!CI19),"")</f>
        <v>940 х 375 х 602</v>
      </c>
      <c r="V23" t="str">
        <f>IF(Worksheet!CN19&lt;&gt;"",CONCATENATE(Worksheet!CN19,"/",Worksheet!CO19),"")</f>
        <v>31/35</v>
      </c>
      <c r="W23" s="6"/>
      <c r="X23" s="7">
        <f>IF(Worksheet!AN19&lt;&gt;"",Worksheet!AN19,"")</f>
        <v>6.35</v>
      </c>
      <c r="Y23" s="7">
        <f>IF(Worksheet!AO19&lt;&gt;"",Worksheet!AO19,"")</f>
        <v>9.52</v>
      </c>
      <c r="Z23" s="17">
        <f>IF(Worksheet!Q19&lt;&gt;"",Worksheet!Q19,"")</f>
        <v>20</v>
      </c>
      <c r="AA23" s="17">
        <f>IF(Worksheet!R19&lt;&gt;"",Worksheet!R19,"")</f>
        <v>15</v>
      </c>
      <c r="AB23" t="str">
        <f>IF(Worksheet!X19&lt;&gt;"",CONCATENATE("от ",Worksheet!X19," до +",Worksheet!Y19),"")</f>
        <v>от -10 до +46</v>
      </c>
      <c r="AC23" t="str">
        <f>IF(Worksheet!Z19&lt;&gt;"",CONCATENATE("от ",Worksheet!Z19," до +",Worksheet!AA19),"")</f>
        <v>от -15 до +24</v>
      </c>
      <c r="AD23" s="6" t="s">
        <v>5245</v>
      </c>
      <c r="AE23" s="17"/>
    </row>
    <row r="24" spans="1:31" x14ac:dyDescent="0.25">
      <c r="A24" s="17" t="str">
        <f>IF(Worksheet!B20&lt;&gt;"",Worksheet!B20,"")</f>
        <v>FUJITSU</v>
      </c>
      <c r="B24" t="str">
        <f>Worksheet!E20</f>
        <v>Сплит система</v>
      </c>
      <c r="C24" s="21">
        <f>IF(Worksheet!M20&lt;&gt;"",MID(Worksheet!M20,1,FIND(" ",Worksheet!M20,1)-1),"")*1</f>
        <v>5.2</v>
      </c>
      <c r="D24">
        <f>ROUND(LEFT(C24,3)*10,0)</f>
        <v>52</v>
      </c>
      <c r="E24" t="str">
        <f>IF(Worksheet!L20&lt;&gt;"",IF(Worksheet!L20="Y","да","нет"),"")</f>
        <v>да</v>
      </c>
      <c r="F24" s="21">
        <f>IF(Worksheet!N20&lt;&gt;"",MID(Worksheet!N20,1,FIND(" ",Worksheet!N20,1)-1),"")*1</f>
        <v>6.3</v>
      </c>
      <c r="G24" s="21">
        <f>IF(Worksheet!O20&lt;&gt;"",MID(Worksheet!O20,1,FIND(" ",Worksheet!O20,1)-1),"")*1</f>
        <v>1.39</v>
      </c>
      <c r="H24" s="21">
        <f>IF(Worksheet!P20&lt;&gt;"",MID(Worksheet!P20,1,FIND(" ",Worksheet!P20,1)-1),"")*1</f>
        <v>1.56</v>
      </c>
      <c r="I24" s="6"/>
      <c r="J24" s="6"/>
      <c r="K24" t="str">
        <f>IF(Worksheet!BI20&lt;&gt;"",Worksheet!BI20,"")</f>
        <v>1 / 230 / 50</v>
      </c>
      <c r="L24" t="str">
        <f>IF(Worksheet!AU20&lt;&gt;"",Worksheet!AU20,"")</f>
        <v>R32</v>
      </c>
      <c r="M24" s="6"/>
      <c r="N24" s="6"/>
      <c r="O24" t="str">
        <f>IF(Worksheet!CR20&lt;&gt;"",CONCATENATE(Worksheet!CR20," х ",Worksheet!CP20," х ",Worksheet!CT20),"")</f>
        <v>980 х 280 х 240</v>
      </c>
      <c r="P24" t="str">
        <f>IF(Worksheet!CS20&lt;&gt;"",CONCATENATE(Worksheet!CS20," х ",Worksheet!CU20," х ",Worksheet!CQ20),"")</f>
        <v>1078 х 322 х 346</v>
      </c>
      <c r="Q24" t="str">
        <f>IF(Worksheet!CV20&lt;&gt;"",CONCATENATE(Worksheet!CV20," / ",Worksheet!CW20),"")</f>
        <v>12.5 / 18</v>
      </c>
      <c r="R24" t="str">
        <f>IF(Worksheet!BS20&lt;&gt;"",Worksheet!BS20,"")</f>
        <v>29/35/40/45</v>
      </c>
      <c r="S24" t="str">
        <f>IF(Worksheet!AL20&lt;&gt;"",Worksheet!AL20,"")</f>
        <v/>
      </c>
      <c r="T24" t="str">
        <f>IF(Worksheet!CJ20&lt;&gt;"",CONCATENATE(Worksheet!CJ20," х ",Worksheet!CL20," х ",Worksheet!CH20),"")</f>
        <v>799 х 290 х 632</v>
      </c>
      <c r="U24" t="str">
        <f>IF(Worksheet!CK20&lt;&gt;"",CONCATENATE(Worksheet!CK20," х ",Worksheet!CM20," х ",Worksheet!CI20),"")</f>
        <v>940 х 375 х 692</v>
      </c>
      <c r="V24" t="str">
        <f>IF(Worksheet!CN20&lt;&gt;"",CONCATENATE(Worksheet!CN20,"/",Worksheet!CO20),"")</f>
        <v>36/40</v>
      </c>
      <c r="W24" s="6"/>
      <c r="X24" s="7">
        <f>IF(Worksheet!AN20&lt;&gt;"",Worksheet!AN20,"")</f>
        <v>6.35</v>
      </c>
      <c r="Y24" s="7">
        <f>IF(Worksheet!AO20&lt;&gt;"",Worksheet!AO20,"")</f>
        <v>12.7</v>
      </c>
      <c r="Z24" s="17">
        <f>IF(Worksheet!Q20&lt;&gt;"",Worksheet!Q20,"")</f>
        <v>25</v>
      </c>
      <c r="AA24" s="17">
        <f>IF(Worksheet!R20&lt;&gt;"",Worksheet!R20,"")</f>
        <v>20</v>
      </c>
      <c r="AB24" t="str">
        <f>IF(Worksheet!X20&lt;&gt;"",CONCATENATE("от ",Worksheet!X20," до +",Worksheet!Y20),"")</f>
        <v>от -10 до +46</v>
      </c>
      <c r="AC24" t="str">
        <f>IF(Worksheet!Z20&lt;&gt;"",CONCATENATE("от ",Worksheet!Z20," до +",Worksheet!AA20),"")</f>
        <v>от -15 до +24</v>
      </c>
      <c r="AD24" s="6" t="s">
        <v>5245</v>
      </c>
      <c r="AE24" s="17"/>
    </row>
    <row r="25" spans="1:31" x14ac:dyDescent="0.25">
      <c r="A25" s="17" t="str">
        <f>IF(Worksheet!B21&lt;&gt;"",Worksheet!B21,"")</f>
        <v>FUJITSU</v>
      </c>
      <c r="B25" t="str">
        <f>Worksheet!E21</f>
        <v>Сплит система</v>
      </c>
      <c r="C25">
        <f>IF(Worksheet!M21&lt;&gt;"",Worksheet!M21,"")</f>
        <v>5</v>
      </c>
      <c r="D25">
        <f t="shared" si="0"/>
        <v>50</v>
      </c>
      <c r="E25" t="str">
        <f>IF(Worksheet!L21&lt;&gt;"",IF(Worksheet!L21="Y","да","нет"),"")</f>
        <v>да</v>
      </c>
      <c r="F25">
        <f>IF(Worksheet!N21&lt;&gt;"",Worksheet!N21,"")</f>
        <v>5</v>
      </c>
      <c r="G25" s="21">
        <f>IF(Worksheet!O21&lt;&gt;"",MID(Worksheet!O21,1,FIND(" ",Worksheet!O21,1)-1),"")*1</f>
        <v>1.39</v>
      </c>
      <c r="H25" s="21">
        <f>IF(Worksheet!P21&lt;&gt;"",MID(Worksheet!P21,1,FIND(" ",Worksheet!P21,1)-1),"")*1</f>
        <v>1.56</v>
      </c>
      <c r="I25" s="6"/>
      <c r="J25" s="6"/>
      <c r="K25" t="str">
        <f>IF(Worksheet!BI21&lt;&gt;"",Worksheet!BI21,"")</f>
        <v>1 / 230 / 50</v>
      </c>
      <c r="L25" t="str">
        <f>IF(Worksheet!AU21&lt;&gt;"",Worksheet!AU21,"")</f>
        <v>R32</v>
      </c>
      <c r="M25" s="6"/>
      <c r="N25" s="6"/>
      <c r="O25" t="str">
        <f>IF(Worksheet!CR21&lt;&gt;"",CONCATENATE(Worksheet!CR21," х ",Worksheet!CP21," х ",Worksheet!CT21),"")</f>
        <v>980 х 280 х 240</v>
      </c>
      <c r="P25" t="str">
        <f>IF(Worksheet!CS21&lt;&gt;"",CONCATENATE(Worksheet!CS21," х ",Worksheet!CU21," х ",Worksheet!CQ21),"")</f>
        <v>1078 х 346 х 322</v>
      </c>
      <c r="Q25" t="str">
        <f>IF(Worksheet!CV21&lt;&gt;"",CONCATENATE(Worksheet!CV21," / ",Worksheet!CW21),"")</f>
        <v>12.5 / 18</v>
      </c>
      <c r="R25" t="str">
        <f>IF(Worksheet!BS21&lt;&gt;"",Worksheet!BS21,"")</f>
        <v>29/35/40/45</v>
      </c>
      <c r="S25" t="str">
        <f>IF(Worksheet!AL21&lt;&gt;"",Worksheet!AL21,"")</f>
        <v/>
      </c>
      <c r="T25" t="str">
        <f>IF(Worksheet!CJ21&lt;&gt;"",CONCATENATE(Worksheet!CJ21," х ",Worksheet!CL21," х ",Worksheet!CH21),"")</f>
        <v>799 х 290 х 632</v>
      </c>
      <c r="U25" t="str">
        <f>IF(Worksheet!CK21&lt;&gt;"",CONCATENATE(Worksheet!CK21," х ",Worksheet!CM21," х ",Worksheet!CI21),"")</f>
        <v>940 х 375 х 692</v>
      </c>
      <c r="V25" t="str">
        <f>IF(Worksheet!CN21&lt;&gt;"",CONCATENATE(Worksheet!CN21,"/",Worksheet!CO21),"")</f>
        <v>36/40</v>
      </c>
      <c r="W25" s="6"/>
      <c r="X25" s="7">
        <f>IF(Worksheet!AN21&lt;&gt;"",Worksheet!AN21,"")</f>
        <v>6.35</v>
      </c>
      <c r="Y25" s="7">
        <f>IF(Worksheet!AO21&lt;&gt;"",Worksheet!AO21,"")</f>
        <v>12.7</v>
      </c>
      <c r="Z25" s="17">
        <f>IF(Worksheet!Q21&lt;&gt;"",Worksheet!Q21,"")</f>
        <v>25</v>
      </c>
      <c r="AA25" s="17">
        <f>IF(Worksheet!R21&lt;&gt;"",Worksheet!R21,"")</f>
        <v>20</v>
      </c>
      <c r="AB25" t="str">
        <f>IF(Worksheet!X21&lt;&gt;"",CONCATENATE("от ",Worksheet!X21," до +",Worksheet!Y21),"")</f>
        <v>от -10 до +46</v>
      </c>
      <c r="AC25" t="str">
        <f>IF(Worksheet!Z21&lt;&gt;"",CONCATENATE("от ",Worksheet!Z21," до +",Worksheet!AA21),"")</f>
        <v>от -15 до +24</v>
      </c>
      <c r="AD25" s="6" t="s">
        <v>5245</v>
      </c>
      <c r="AE25" s="17"/>
    </row>
    <row r="26" spans="1:31" x14ac:dyDescent="0.25">
      <c r="A26" s="17" t="str">
        <f>IF(Worksheet!B22&lt;&gt;"",Worksheet!B22,"")</f>
        <v>FUJITSU</v>
      </c>
      <c r="B26" t="str">
        <f>Worksheet!E22</f>
        <v>Сплит система</v>
      </c>
      <c r="C26" s="21">
        <f>IF(Worksheet!M22&lt;&gt;"",MID(Worksheet!M22,1,FIND(" ",Worksheet!M22,1)-1),"")*1</f>
        <v>7.1</v>
      </c>
      <c r="D26">
        <f>ROUND(LEFT(C26,3)*10,0)</f>
        <v>71</v>
      </c>
      <c r="E26" t="str">
        <f>IF(Worksheet!L22&lt;&gt;"",IF(Worksheet!L22="Y","да","нет"),"")</f>
        <v>да</v>
      </c>
      <c r="F26" s="21">
        <f>IF(Worksheet!N22&lt;&gt;"",MID(Worksheet!N22,1,FIND(" ",Worksheet!N22,1)-1),"")*1</f>
        <v>8</v>
      </c>
      <c r="G26" s="21">
        <f>IF(Worksheet!O22&lt;&gt;"",MID(Worksheet!O22,1,FIND(" ",Worksheet!O22,1)-1),"")*1</f>
        <v>2.08</v>
      </c>
      <c r="H26" s="21">
        <f>IF(Worksheet!P22&lt;&gt;"",MID(Worksheet!P22,1,FIND(" ",Worksheet!P22,1)-1),"")*1</f>
        <v>1.91</v>
      </c>
      <c r="I26" s="6"/>
      <c r="J26" s="6"/>
      <c r="K26" t="str">
        <f>IF(Worksheet!BI22&lt;&gt;"",Worksheet!BI22,"")</f>
        <v>1 / 230 / 50</v>
      </c>
      <c r="L26" t="str">
        <f>IF(Worksheet!AU22&lt;&gt;"",Worksheet!AU22,"")</f>
        <v>R32</v>
      </c>
      <c r="M26" s="6"/>
      <c r="N26" s="6"/>
      <c r="O26" t="str">
        <f>IF(Worksheet!CR22&lt;&gt;"",CONCATENATE(Worksheet!CR22," х ",Worksheet!CP22," х ",Worksheet!CT22),"")</f>
        <v>980 х 280 х 240</v>
      </c>
      <c r="P26" t="str">
        <f>IF(Worksheet!CS22&lt;&gt;"",CONCATENATE(Worksheet!CS22," х ",Worksheet!CU22," х ",Worksheet!CQ22),"")</f>
        <v>1078 х 322 х 346</v>
      </c>
      <c r="Q26" t="str">
        <f>IF(Worksheet!CV22&lt;&gt;"",CONCATENATE(Worksheet!CV22," / ",Worksheet!CW22),"")</f>
        <v>12.5 / 18</v>
      </c>
      <c r="R26" t="str">
        <f>IF(Worksheet!BS22&lt;&gt;"",Worksheet!BS22,"")</f>
        <v>29/35/40/49</v>
      </c>
      <c r="S26" t="str">
        <f>IF(Worksheet!AL22&lt;&gt;"",Worksheet!AL22,"")</f>
        <v/>
      </c>
      <c r="T26" t="str">
        <f>IF(Worksheet!CJ22&lt;&gt;"",CONCATENATE(Worksheet!CJ22," х ",Worksheet!CL22," х ",Worksheet!CH22),"")</f>
        <v>820 х 315 х 716</v>
      </c>
      <c r="U26" t="str">
        <f>IF(Worksheet!CK22&lt;&gt;"",CONCATENATE(Worksheet!CK22," х ",Worksheet!CM22," х ",Worksheet!CI22),"")</f>
        <v>961 х 450 х 776</v>
      </c>
      <c r="V26" t="str">
        <f>IF(Worksheet!CN22&lt;&gt;"",CONCATENATE(Worksheet!CN22,"/",Worksheet!CO22),"")</f>
        <v>42/46</v>
      </c>
      <c r="W26" s="6"/>
      <c r="X26" s="7">
        <f>IF(Worksheet!AN22&lt;&gt;"",Worksheet!AN22,"")</f>
        <v>6.35</v>
      </c>
      <c r="Y26" s="7">
        <f>IF(Worksheet!AO22&lt;&gt;"",Worksheet!AO22,"")</f>
        <v>12.7</v>
      </c>
      <c r="Z26" s="17">
        <f>IF(Worksheet!Q22&lt;&gt;"",Worksheet!Q22,"")</f>
        <v>30</v>
      </c>
      <c r="AA26" s="17">
        <f>IF(Worksheet!R22&lt;&gt;"",Worksheet!R22,"")</f>
        <v>25</v>
      </c>
      <c r="AB26" t="str">
        <f>IF(Worksheet!X22&lt;&gt;"",CONCATENATE("от ",Worksheet!X22," до +",Worksheet!Y22),"")</f>
        <v>от -10 до +46</v>
      </c>
      <c r="AC26" t="str">
        <f>IF(Worksheet!Z22&lt;&gt;"",CONCATENATE("от ",Worksheet!Z22," до +",Worksheet!AA22),"")</f>
        <v>от -15 до +24</v>
      </c>
      <c r="AD26" s="6" t="s">
        <v>5245</v>
      </c>
      <c r="AE26" s="17"/>
    </row>
    <row r="27" spans="1:31" x14ac:dyDescent="0.25">
      <c r="A27" s="17" t="str">
        <f>IF(Worksheet!B23&lt;&gt;"",Worksheet!B23,"")</f>
        <v>FUJITSU</v>
      </c>
      <c r="B27" t="str">
        <f>Worksheet!E23</f>
        <v>Сплит система</v>
      </c>
      <c r="C27">
        <f>IF(Worksheet!M23&lt;&gt;"",Worksheet!M23,"")</f>
        <v>7</v>
      </c>
      <c r="D27">
        <f t="shared" si="0"/>
        <v>70</v>
      </c>
      <c r="E27" t="str">
        <f>IF(Worksheet!L23&lt;&gt;"",IF(Worksheet!L23="Y","да","нет"),"")</f>
        <v>да</v>
      </c>
      <c r="F27">
        <f>IF(Worksheet!N23&lt;&gt;"",Worksheet!N23,"")</f>
        <v>7</v>
      </c>
      <c r="G27" s="21">
        <f>IF(Worksheet!O23&lt;&gt;"",MID(Worksheet!O23,1,FIND(" ",Worksheet!O23,1)-1),"")*1</f>
        <v>2.08</v>
      </c>
      <c r="H27" s="21">
        <f>IF(Worksheet!P23&lt;&gt;"",MID(Worksheet!P23,1,FIND(" ",Worksheet!P23,1)-1),"")*1</f>
        <v>1.91</v>
      </c>
      <c r="I27" s="6"/>
      <c r="J27" s="6"/>
      <c r="K27" t="str">
        <f>IF(Worksheet!BI23&lt;&gt;"",Worksheet!BI23,"")</f>
        <v>1 / 230 / 50</v>
      </c>
      <c r="L27" t="str">
        <f>IF(Worksheet!AU23&lt;&gt;"",Worksheet!AU23,"")</f>
        <v>R32</v>
      </c>
      <c r="M27" s="6"/>
      <c r="N27" s="6"/>
      <c r="O27" t="str">
        <f>IF(Worksheet!CR23&lt;&gt;"",CONCATENATE(Worksheet!CR23," х ",Worksheet!CP23," х ",Worksheet!CT23),"")</f>
        <v>980 х 280 х 240</v>
      </c>
      <c r="P27" t="str">
        <f>IF(Worksheet!CS23&lt;&gt;"",CONCATENATE(Worksheet!CS23," х ",Worksheet!CU23," х ",Worksheet!CQ23),"")</f>
        <v>1078 х 346 х 322</v>
      </c>
      <c r="Q27" t="str">
        <f>IF(Worksheet!CV23&lt;&gt;"",CONCATENATE(Worksheet!CV23," / ",Worksheet!CW23),"")</f>
        <v>12.5 / 18</v>
      </c>
      <c r="R27" t="str">
        <f>IF(Worksheet!BS23&lt;&gt;"",Worksheet!BS23,"")</f>
        <v>29/35/40/49</v>
      </c>
      <c r="S27" t="str">
        <f>IF(Worksheet!AL23&lt;&gt;"",Worksheet!AL23,"")</f>
        <v/>
      </c>
      <c r="T27" t="str">
        <f>IF(Worksheet!CJ23&lt;&gt;"",CONCATENATE(Worksheet!CJ23," х ",Worksheet!CL23," х ",Worksheet!CH23),"")</f>
        <v>820 х 315 х 716</v>
      </c>
      <c r="U27" t="str">
        <f>IF(Worksheet!CK23&lt;&gt;"",CONCATENATE(Worksheet!CK23," х ",Worksheet!CM23," х ",Worksheet!CI23),"")</f>
        <v>961 х 450 х 776</v>
      </c>
      <c r="V27" t="str">
        <f>IF(Worksheet!CN23&lt;&gt;"",CONCATENATE(Worksheet!CN23,"/",Worksheet!CO23),"")</f>
        <v>42/46</v>
      </c>
      <c r="W27" s="6"/>
      <c r="X27" s="7">
        <f>IF(Worksheet!AN23&lt;&gt;"",Worksheet!AN23,"")</f>
        <v>6.35</v>
      </c>
      <c r="Y27" s="7">
        <f>IF(Worksheet!AO23&lt;&gt;"",Worksheet!AO23,"")</f>
        <v>12.7</v>
      </c>
      <c r="Z27" s="17">
        <f>IF(Worksheet!Q23&lt;&gt;"",Worksheet!Q23,"")</f>
        <v>30</v>
      </c>
      <c r="AA27" s="17">
        <f>IF(Worksheet!R23&lt;&gt;"",Worksheet!R23,"")</f>
        <v>25</v>
      </c>
      <c r="AB27" t="str">
        <f>IF(Worksheet!X23&lt;&gt;"",CONCATENATE("от ",Worksheet!X23," до +",Worksheet!Y23),"")</f>
        <v>от -10 до +46</v>
      </c>
      <c r="AC27" t="str">
        <f>IF(Worksheet!Z23&lt;&gt;"",CONCATENATE("от ",Worksheet!Z23," до +",Worksheet!AA23),"")</f>
        <v>от -15 до +24</v>
      </c>
      <c r="AD27" s="6" t="s">
        <v>5245</v>
      </c>
      <c r="AE27" s="17"/>
    </row>
    <row r="28" spans="1:31" x14ac:dyDescent="0.25">
      <c r="A28" s="17" t="str">
        <f>IF(Worksheet!B24&lt;&gt;"",Worksheet!B24,"")</f>
        <v>FUJITSU</v>
      </c>
      <c r="B28" t="str">
        <f>Worksheet!E24</f>
        <v>Сплит система</v>
      </c>
      <c r="C28">
        <f>IF(Worksheet!M24&lt;&gt;"",Worksheet!M24,"")</f>
        <v>2</v>
      </c>
      <c r="D28">
        <f t="shared" si="0"/>
        <v>20</v>
      </c>
      <c r="E28" t="str">
        <f>IF(Worksheet!L24&lt;&gt;"",IF(Worksheet!L24="Y","да","нет"),"")</f>
        <v>да</v>
      </c>
      <c r="F28">
        <f>IF(Worksheet!N24&lt;&gt;"",Worksheet!N24,"")</f>
        <v>2</v>
      </c>
      <c r="G28" s="21">
        <f>IF(Worksheet!O24&lt;&gt;"",MID(Worksheet!O24,1,FIND(" ",Worksheet!O24,1)-1),"")*1</f>
        <v>0.45</v>
      </c>
      <c r="H28" s="21">
        <f>IF(Worksheet!P24&lt;&gt;"",MID(Worksheet!P24,1,FIND(" ",Worksheet!P24,1)-1),"")*1</f>
        <v>0.55500000000000005</v>
      </c>
      <c r="I28" s="6"/>
      <c r="J28" s="6"/>
      <c r="K28" t="str">
        <f>IF(Worksheet!BI24&lt;&gt;"",Worksheet!BI24,"")</f>
        <v>1 / 230 / 50</v>
      </c>
      <c r="L28" t="str">
        <f>IF(Worksheet!AU24&lt;&gt;"",Worksheet!AU24,"")</f>
        <v>R32</v>
      </c>
      <c r="M28" s="6"/>
      <c r="N28" s="6"/>
      <c r="O28" t="str">
        <f>IF(Worksheet!CR24&lt;&gt;"",CONCATENATE(Worksheet!CR24," х ",Worksheet!CP24," х ",Worksheet!CT24),"")</f>
        <v>950 х 295 х 230</v>
      </c>
      <c r="P28" t="str">
        <f>IF(Worksheet!CS24&lt;&gt;"",CONCATENATE(Worksheet!CS24," х ",Worksheet!CU24," х ",Worksheet!CQ24),"")</f>
        <v>1027 х 284 х 357</v>
      </c>
      <c r="Q28" t="str">
        <f>IF(Worksheet!CV24&lt;&gt;"",CONCATENATE(Worksheet!CV24," / ",Worksheet!CW24),"")</f>
        <v>11 / 14.5</v>
      </c>
      <c r="R28" t="str">
        <f>IF(Worksheet!BS24&lt;&gt;"",Worksheet!BS24,"")</f>
        <v>20/29/33/38</v>
      </c>
      <c r="S28" t="str">
        <f>IF(Worksheet!AL24&lt;&gt;"",Worksheet!AL24,"")</f>
        <v/>
      </c>
      <c r="T28" t="str">
        <f>IF(Worksheet!CJ24&lt;&gt;"",CONCATENATE(Worksheet!CJ24," х ",Worksheet!CL24," х ",Worksheet!CH24),"")</f>
        <v>663 х 290 х 541</v>
      </c>
      <c r="U28" t="str">
        <f>IF(Worksheet!CK24&lt;&gt;"",CONCATENATE(Worksheet!CK24," х ",Worksheet!CM24," х ",Worksheet!CI24),"")</f>
        <v>804 х 375 х 602</v>
      </c>
      <c r="V28" t="str">
        <f>IF(Worksheet!CN24&lt;&gt;"",CONCATENATE(Worksheet!CN24,"/",Worksheet!CO24),"")</f>
        <v>23/26</v>
      </c>
      <c r="W28" s="6"/>
      <c r="X28" s="7">
        <f>IF(Worksheet!AN24&lt;&gt;"",Worksheet!AN24,"")</f>
        <v>6.35</v>
      </c>
      <c r="Y28" s="7">
        <f>IF(Worksheet!AO24&lt;&gt;"",Worksheet!AO24,"")</f>
        <v>9.52</v>
      </c>
      <c r="Z28" s="17">
        <f>IF(Worksheet!Q24&lt;&gt;"",Worksheet!Q24,"")</f>
        <v>20</v>
      </c>
      <c r="AA28" s="17">
        <f>IF(Worksheet!R24&lt;&gt;"",Worksheet!R24,"")</f>
        <v>15</v>
      </c>
      <c r="AB28" t="str">
        <f>IF(Worksheet!X24&lt;&gt;"",CONCATENATE("от ",Worksheet!X24," до +",Worksheet!Y24),"")</f>
        <v>от -10 до +46</v>
      </c>
      <c r="AC28" t="str">
        <f>IF(Worksheet!Z24&lt;&gt;"",CONCATENATE("от ",Worksheet!Z24," до +",Worksheet!AA24),"")</f>
        <v>от -15 до +24</v>
      </c>
      <c r="AD28" s="6" t="s">
        <v>5245</v>
      </c>
      <c r="AE28" s="17"/>
    </row>
    <row r="29" spans="1:31" x14ac:dyDescent="0.25">
      <c r="A29" s="17" t="str">
        <f>IF(Worksheet!B25&lt;&gt;"",Worksheet!B25,"")</f>
        <v>FUJITSU</v>
      </c>
      <c r="B29" t="str">
        <f>Worksheet!E25</f>
        <v>Сплит система</v>
      </c>
      <c r="C29">
        <f>IF(Worksheet!M25&lt;&gt;"",Worksheet!M25,"")</f>
        <v>2</v>
      </c>
      <c r="D29">
        <f t="shared" si="0"/>
        <v>20</v>
      </c>
      <c r="E29" t="str">
        <f>IF(Worksheet!L25&lt;&gt;"",IF(Worksheet!L25="Y","да","нет"),"")</f>
        <v>да</v>
      </c>
      <c r="F29">
        <f>IF(Worksheet!N25&lt;&gt;"",Worksheet!N25,"")</f>
        <v>2</v>
      </c>
      <c r="G29" s="21">
        <f>IF(Worksheet!O25&lt;&gt;"",MID(Worksheet!O25,1,FIND(" ",Worksheet!O25,1)-1),"")*1</f>
        <v>0.45</v>
      </c>
      <c r="H29" s="21">
        <f>IF(Worksheet!P25&lt;&gt;"",MID(Worksheet!P25,1,FIND(" ",Worksheet!P25,1)-1),"")*1</f>
        <v>0.55500000000000005</v>
      </c>
      <c r="I29" s="6"/>
      <c r="J29" s="6"/>
      <c r="K29" t="str">
        <f>IF(Worksheet!BI25&lt;&gt;"",Worksheet!BI25,"")</f>
        <v>1 / 230 / 50</v>
      </c>
      <c r="L29" t="str">
        <f>IF(Worksheet!AU25&lt;&gt;"",Worksheet!AU25,"")</f>
        <v>R32</v>
      </c>
      <c r="M29" s="6"/>
      <c r="N29" s="6"/>
      <c r="O29" t="str">
        <f>IF(Worksheet!CR25&lt;&gt;"",CONCATENATE(Worksheet!CR25," х ",Worksheet!CP25," х ",Worksheet!CT25),"")</f>
        <v>950 х 295 х 230</v>
      </c>
      <c r="P29" t="str">
        <f>IF(Worksheet!CS25&lt;&gt;"",CONCATENATE(Worksheet!CS25," х ",Worksheet!CU25," х ",Worksheet!CQ25),"")</f>
        <v>1027 х 284 х 357</v>
      </c>
      <c r="Q29" t="str">
        <f>IF(Worksheet!CV25&lt;&gt;"",CONCATENATE(Worksheet!CV25," / ",Worksheet!CW25),"")</f>
        <v>11 / 14.5</v>
      </c>
      <c r="R29" t="str">
        <f>IF(Worksheet!BS25&lt;&gt;"",Worksheet!BS25,"")</f>
        <v>20/29/33/38</v>
      </c>
      <c r="S29" t="str">
        <f>IF(Worksheet!AL25&lt;&gt;"",Worksheet!AL25,"")</f>
        <v/>
      </c>
      <c r="T29" t="str">
        <f>IF(Worksheet!CJ25&lt;&gt;"",CONCATENATE(Worksheet!CJ25," х ",Worksheet!CL25," х ",Worksheet!CH25),"")</f>
        <v>663 х 290 х 541</v>
      </c>
      <c r="U29" t="str">
        <f>IF(Worksheet!CK25&lt;&gt;"",CONCATENATE(Worksheet!CK25," х ",Worksheet!CM25," х ",Worksheet!CI25),"")</f>
        <v>804 х 375 х 602</v>
      </c>
      <c r="V29" t="str">
        <f>IF(Worksheet!CN25&lt;&gt;"",CONCATENATE(Worksheet!CN25,"/",Worksheet!CO25),"")</f>
        <v>23/26</v>
      </c>
      <c r="W29" s="6"/>
      <c r="X29" s="7">
        <f>IF(Worksheet!AN25&lt;&gt;"",Worksheet!AN25,"")</f>
        <v>6.35</v>
      </c>
      <c r="Y29" s="7">
        <f>IF(Worksheet!AO25&lt;&gt;"",Worksheet!AO25,"")</f>
        <v>9.52</v>
      </c>
      <c r="Z29" s="17">
        <f>IF(Worksheet!Q25&lt;&gt;"",Worksheet!Q25,"")</f>
        <v>20</v>
      </c>
      <c r="AA29" s="17">
        <f>IF(Worksheet!R25&lt;&gt;"",Worksheet!R25,"")</f>
        <v>15</v>
      </c>
      <c r="AB29" t="str">
        <f>IF(Worksheet!X25&lt;&gt;"",CONCATENATE("от ",Worksheet!X25," до +",Worksheet!Y25),"")</f>
        <v>от -10 до +46</v>
      </c>
      <c r="AC29" t="str">
        <f>IF(Worksheet!Z25&lt;&gt;"",CONCATENATE("от ",Worksheet!Z25," до +",Worksheet!AA25),"")</f>
        <v>от -15 до +24</v>
      </c>
      <c r="AD29" s="6" t="s">
        <v>5245</v>
      </c>
      <c r="AE29" s="17"/>
    </row>
    <row r="30" spans="1:31" x14ac:dyDescent="0.25">
      <c r="A30" s="17" t="str">
        <f>IF(Worksheet!B26&lt;&gt;"",Worksheet!B26,"")</f>
        <v>FUJITSU</v>
      </c>
      <c r="B30" t="str">
        <f>Worksheet!E26</f>
        <v>Сплит система</v>
      </c>
      <c r="C30">
        <f>IF(Worksheet!M26&lt;&gt;"",Worksheet!M26,"")</f>
        <v>2.5</v>
      </c>
      <c r="D30">
        <f t="shared" si="0"/>
        <v>25</v>
      </c>
      <c r="E30" t="str">
        <f>IF(Worksheet!L26&lt;&gt;"",IF(Worksheet!L26="Y","да","нет"),"")</f>
        <v>да</v>
      </c>
      <c r="F30">
        <f>IF(Worksheet!N26&lt;&gt;"",Worksheet!N26,"")</f>
        <v>2.5</v>
      </c>
      <c r="G30" s="21">
        <f>IF(Worksheet!O26&lt;&gt;"",MID(Worksheet!O26,1,FIND(" ",Worksheet!O26,1)-1),"")*1</f>
        <v>0.63</v>
      </c>
      <c r="H30" s="21">
        <f>IF(Worksheet!P26&lt;&gt;"",MID(Worksheet!P26,1,FIND(" ",Worksheet!P26,1)-1),"")*1</f>
        <v>0.62</v>
      </c>
      <c r="I30" s="6"/>
      <c r="J30" s="6"/>
      <c r="K30" t="str">
        <f>IF(Worksheet!BI26&lt;&gt;"",Worksheet!BI26,"")</f>
        <v>1 / 230 / 50</v>
      </c>
      <c r="L30" t="str">
        <f>IF(Worksheet!AU26&lt;&gt;"",Worksheet!AU26,"")</f>
        <v>R32</v>
      </c>
      <c r="M30" s="6"/>
      <c r="N30" s="6"/>
      <c r="O30" t="str">
        <f>IF(Worksheet!CR26&lt;&gt;"",CONCATENATE(Worksheet!CR26," х ",Worksheet!CP26," х ",Worksheet!CT26),"")</f>
        <v>950 х 295 х 230</v>
      </c>
      <c r="P30" t="str">
        <f>IF(Worksheet!CS26&lt;&gt;"",CONCATENATE(Worksheet!CS26," х ",Worksheet!CU26," х ",Worksheet!CQ26),"")</f>
        <v>1027 х 284 х 357</v>
      </c>
      <c r="Q30" t="str">
        <f>IF(Worksheet!CV26&lt;&gt;"",CONCATENATE(Worksheet!CV26," / ",Worksheet!CW26),"")</f>
        <v>11 / 14.5</v>
      </c>
      <c r="R30" t="str">
        <f>IF(Worksheet!BS26&lt;&gt;"",Worksheet!BS26,"")</f>
        <v>20/29/34/40</v>
      </c>
      <c r="S30" t="str">
        <f>IF(Worksheet!AL26&lt;&gt;"",Worksheet!AL26,"")</f>
        <v/>
      </c>
      <c r="T30" t="str">
        <f>IF(Worksheet!CJ26&lt;&gt;"",CONCATENATE(Worksheet!CJ26," х ",Worksheet!CL26," х ",Worksheet!CH26),"")</f>
        <v>663 х 290 х 541</v>
      </c>
      <c r="U30" t="str">
        <f>IF(Worksheet!CK26&lt;&gt;"",CONCATENATE(Worksheet!CK26," х ",Worksheet!CM26," х ",Worksheet!CI26),"")</f>
        <v>804 х 375 х 602</v>
      </c>
      <c r="V30" t="str">
        <f>IF(Worksheet!CN26&lt;&gt;"",CONCATENATE(Worksheet!CN26,"/",Worksheet!CO26),"")</f>
        <v>23/26</v>
      </c>
      <c r="W30" s="6"/>
      <c r="X30" s="7">
        <f>IF(Worksheet!AN26&lt;&gt;"",Worksheet!AN26,"")</f>
        <v>6.35</v>
      </c>
      <c r="Y30" s="7">
        <f>IF(Worksheet!AO26&lt;&gt;"",Worksheet!AO26,"")</f>
        <v>9.52</v>
      </c>
      <c r="Z30" s="17">
        <f>IF(Worksheet!Q26&lt;&gt;"",Worksheet!Q26,"")</f>
        <v>20</v>
      </c>
      <c r="AA30" s="17">
        <f>IF(Worksheet!R26&lt;&gt;"",Worksheet!R26,"")</f>
        <v>15</v>
      </c>
      <c r="AB30" t="str">
        <f>IF(Worksheet!X26&lt;&gt;"",CONCATENATE("от ",Worksheet!X26," до +",Worksheet!Y26),"")</f>
        <v>от -10 до +46</v>
      </c>
      <c r="AC30" t="str">
        <f>IF(Worksheet!Z26&lt;&gt;"",CONCATENATE("от ",Worksheet!Z26," до +",Worksheet!AA26),"")</f>
        <v>от -15 до +24</v>
      </c>
      <c r="AD30" s="6" t="s">
        <v>5245</v>
      </c>
      <c r="AE30" s="17"/>
    </row>
    <row r="31" spans="1:31" x14ac:dyDescent="0.25">
      <c r="A31" s="17" t="str">
        <f>IF(Worksheet!B27&lt;&gt;"",Worksheet!B27,"")</f>
        <v>FUJITSU</v>
      </c>
      <c r="B31" t="str">
        <f>Worksheet!E27</f>
        <v>Сплит система</v>
      </c>
      <c r="C31">
        <f>IF(Worksheet!M27&lt;&gt;"",Worksheet!M27,"")</f>
        <v>2.5</v>
      </c>
      <c r="D31">
        <f t="shared" si="0"/>
        <v>25</v>
      </c>
      <c r="E31" t="str">
        <f>IF(Worksheet!L27&lt;&gt;"",IF(Worksheet!L27="Y","да","нет"),"")</f>
        <v>да</v>
      </c>
      <c r="F31">
        <f>IF(Worksheet!N27&lt;&gt;"",Worksheet!N27,"")</f>
        <v>2.5</v>
      </c>
      <c r="G31" s="21">
        <f>IF(Worksheet!O27&lt;&gt;"",MID(Worksheet!O27,1,FIND(" ",Worksheet!O27,1)-1),"")*1</f>
        <v>0.63</v>
      </c>
      <c r="H31" s="21">
        <f>IF(Worksheet!P27&lt;&gt;"",MID(Worksheet!P27,1,FIND(" ",Worksheet!P27,1)-1),"")*1</f>
        <v>0.62</v>
      </c>
      <c r="I31" s="6"/>
      <c r="J31" s="6"/>
      <c r="K31" t="str">
        <f>IF(Worksheet!BI27&lt;&gt;"",Worksheet!BI27,"")</f>
        <v>1 / 230 / 50</v>
      </c>
      <c r="L31" t="str">
        <f>IF(Worksheet!AU27&lt;&gt;"",Worksheet!AU27,"")</f>
        <v>R32</v>
      </c>
      <c r="M31" s="6"/>
      <c r="N31" s="6"/>
      <c r="O31" t="str">
        <f>IF(Worksheet!CR27&lt;&gt;"",CONCATENATE(Worksheet!CR27," х ",Worksheet!CP27," х ",Worksheet!CT27),"")</f>
        <v>950 х 295 х 230</v>
      </c>
      <c r="P31" t="str">
        <f>IF(Worksheet!CS27&lt;&gt;"",CONCATENATE(Worksheet!CS27," х ",Worksheet!CU27," х ",Worksheet!CQ27),"")</f>
        <v>1027 х 284 х 357</v>
      </c>
      <c r="Q31" t="str">
        <f>IF(Worksheet!CV27&lt;&gt;"",CONCATENATE(Worksheet!CV27," / ",Worksheet!CW27),"")</f>
        <v>11 / 14.5</v>
      </c>
      <c r="R31" t="str">
        <f>IF(Worksheet!BS27&lt;&gt;"",Worksheet!BS27,"")</f>
        <v>20/29/34/40</v>
      </c>
      <c r="S31" t="str">
        <f>IF(Worksheet!AL27&lt;&gt;"",Worksheet!AL27,"")</f>
        <v/>
      </c>
      <c r="T31" t="str">
        <f>IF(Worksheet!CJ27&lt;&gt;"",CONCATENATE(Worksheet!CJ27," х ",Worksheet!CL27," х ",Worksheet!CH27),"")</f>
        <v>663 х 290 х 541</v>
      </c>
      <c r="U31" t="str">
        <f>IF(Worksheet!CK27&lt;&gt;"",CONCATENATE(Worksheet!CK27," х ",Worksheet!CM27," х ",Worksheet!CI27),"")</f>
        <v>804 х 375 х 602</v>
      </c>
      <c r="V31" t="str">
        <f>IF(Worksheet!CN27&lt;&gt;"",CONCATENATE(Worksheet!CN27,"/",Worksheet!CO27),"")</f>
        <v>23/26</v>
      </c>
      <c r="W31" s="6"/>
      <c r="X31" s="7">
        <f>IF(Worksheet!AN27&lt;&gt;"",Worksheet!AN27,"")</f>
        <v>6.35</v>
      </c>
      <c r="Y31" s="7">
        <f>IF(Worksheet!AO27&lt;&gt;"",Worksheet!AO27,"")</f>
        <v>9.52</v>
      </c>
      <c r="Z31" s="17">
        <f>IF(Worksheet!Q27&lt;&gt;"",Worksheet!Q27,"")</f>
        <v>20</v>
      </c>
      <c r="AA31" s="17">
        <f>IF(Worksheet!R27&lt;&gt;"",Worksheet!R27,"")</f>
        <v>15</v>
      </c>
      <c r="AB31" t="str">
        <f>IF(Worksheet!X27&lt;&gt;"",CONCATENATE("от ",Worksheet!X27," до +",Worksheet!Y27),"")</f>
        <v>от -10 до +46</v>
      </c>
      <c r="AC31" t="str">
        <f>IF(Worksheet!Z27&lt;&gt;"",CONCATENATE("от ",Worksheet!Z27," до +",Worksheet!AA27),"")</f>
        <v>от -15 до +24</v>
      </c>
      <c r="AD31" s="6" t="s">
        <v>5245</v>
      </c>
      <c r="AE31" s="17"/>
    </row>
    <row r="32" spans="1:31" x14ac:dyDescent="0.25">
      <c r="A32" s="17" t="str">
        <f>IF(Worksheet!B28&lt;&gt;"",Worksheet!B28,"")</f>
        <v>FUJITSU</v>
      </c>
      <c r="B32" t="str">
        <f>Worksheet!E28</f>
        <v>Сплит система</v>
      </c>
      <c r="C32">
        <f>IF(Worksheet!M28&lt;&gt;"",Worksheet!M28,"")</f>
        <v>3.5</v>
      </c>
      <c r="D32">
        <f t="shared" si="0"/>
        <v>35</v>
      </c>
      <c r="E32" t="str">
        <f>IF(Worksheet!L28&lt;&gt;"",IF(Worksheet!L28="Y","да","нет"),"")</f>
        <v>да</v>
      </c>
      <c r="F32">
        <f>IF(Worksheet!N28&lt;&gt;"",Worksheet!N28,"")</f>
        <v>3.5</v>
      </c>
      <c r="G32" s="21">
        <f>IF(Worksheet!O28&lt;&gt;"",MID(Worksheet!O28,1,FIND(" ",Worksheet!O28,1)-1),"")*1</f>
        <v>0.93500000000000005</v>
      </c>
      <c r="H32" s="21">
        <f>IF(Worksheet!P28&lt;&gt;"",MID(Worksheet!P28,1,FIND(" ",Worksheet!P28,1)-1),"")*1</f>
        <v>0.96</v>
      </c>
      <c r="I32" s="6"/>
      <c r="J32" s="6"/>
      <c r="K32" t="str">
        <f>IF(Worksheet!BI28&lt;&gt;"",Worksheet!BI28,"")</f>
        <v>1 / 230 / 50</v>
      </c>
      <c r="L32" t="str">
        <f>IF(Worksheet!AU28&lt;&gt;"",Worksheet!AU28,"")</f>
        <v>R32</v>
      </c>
      <c r="M32" s="6"/>
      <c r="N32" s="6"/>
      <c r="O32" t="str">
        <f>IF(Worksheet!CR28&lt;&gt;"",CONCATENATE(Worksheet!CR28," х ",Worksheet!CP28," х ",Worksheet!CT28),"")</f>
        <v>950 х 295 х 230</v>
      </c>
      <c r="P32" t="str">
        <f>IF(Worksheet!CS28&lt;&gt;"",CONCATENATE(Worksheet!CS28," х ",Worksheet!CU28," х ",Worksheet!CQ28),"")</f>
        <v>1027 х 284 х 357</v>
      </c>
      <c r="Q32" t="str">
        <f>IF(Worksheet!CV28&lt;&gt;"",CONCATENATE(Worksheet!CV28," / ",Worksheet!CW28),"")</f>
        <v>11 / 14.5</v>
      </c>
      <c r="R32" t="str">
        <f>IF(Worksheet!BS28&lt;&gt;"",Worksheet!BS28,"")</f>
        <v>20/30/35/40</v>
      </c>
      <c r="S32" t="str">
        <f>IF(Worksheet!AL28&lt;&gt;"",Worksheet!AL28,"")</f>
        <v/>
      </c>
      <c r="T32" t="str">
        <f>IF(Worksheet!CJ28&lt;&gt;"",CONCATENATE(Worksheet!CJ28," х ",Worksheet!CL28," х ",Worksheet!CH28),"")</f>
        <v>663 х 290 х 541</v>
      </c>
      <c r="U32" t="str">
        <f>IF(Worksheet!CK28&lt;&gt;"",CONCATENATE(Worksheet!CK28," х ",Worksheet!CM28," х ",Worksheet!CI28),"")</f>
        <v>804 х 375 х 602</v>
      </c>
      <c r="V32" t="str">
        <f>IF(Worksheet!CN28&lt;&gt;"",CONCATENATE(Worksheet!CN28,"/",Worksheet!CO28),"")</f>
        <v>25/29</v>
      </c>
      <c r="W32" s="6"/>
      <c r="X32" s="7">
        <f>IF(Worksheet!AN28&lt;&gt;"",Worksheet!AN28,"")</f>
        <v>6.35</v>
      </c>
      <c r="Y32" s="7">
        <f>IF(Worksheet!AO28&lt;&gt;"",Worksheet!AO28,"")</f>
        <v>9.52</v>
      </c>
      <c r="Z32" s="17">
        <f>IF(Worksheet!Q28&lt;&gt;"",Worksheet!Q28,"")</f>
        <v>20</v>
      </c>
      <c r="AA32" s="17">
        <f>IF(Worksheet!R28&lt;&gt;"",Worksheet!R28,"")</f>
        <v>15</v>
      </c>
      <c r="AB32" t="str">
        <f>IF(Worksheet!X28&lt;&gt;"",CONCATENATE("от ",Worksheet!X28," до +",Worksheet!Y28),"")</f>
        <v>от -10 до +46</v>
      </c>
      <c r="AC32" t="str">
        <f>IF(Worksheet!Z28&lt;&gt;"",CONCATENATE("от ",Worksheet!Z28," до +",Worksheet!AA28),"")</f>
        <v>от -15 до +24</v>
      </c>
      <c r="AD32" s="6" t="s">
        <v>5245</v>
      </c>
      <c r="AE32" s="17"/>
    </row>
    <row r="33" spans="1:31" x14ac:dyDescent="0.25">
      <c r="A33" s="17" t="str">
        <f>IF(Worksheet!B29&lt;&gt;"",Worksheet!B29,"")</f>
        <v>FUJITSU</v>
      </c>
      <c r="B33" t="str">
        <f>Worksheet!E29</f>
        <v>Сплит система</v>
      </c>
      <c r="C33">
        <f>IF(Worksheet!M29&lt;&gt;"",Worksheet!M29,"")</f>
        <v>3.5</v>
      </c>
      <c r="D33">
        <f t="shared" si="0"/>
        <v>35</v>
      </c>
      <c r="E33" t="str">
        <f>IF(Worksheet!L29&lt;&gt;"",IF(Worksheet!L29="Y","да","нет"),"")</f>
        <v>да</v>
      </c>
      <c r="F33">
        <f>IF(Worksheet!N29&lt;&gt;"",Worksheet!N29,"")</f>
        <v>3.5</v>
      </c>
      <c r="G33" s="21">
        <f>IF(Worksheet!O29&lt;&gt;"",MID(Worksheet!O29,1,FIND(" ",Worksheet!O29,1)-1),"")*1</f>
        <v>0.93500000000000005</v>
      </c>
      <c r="H33" s="21">
        <f>IF(Worksheet!P29&lt;&gt;"",MID(Worksheet!P29,1,FIND(" ",Worksheet!P29,1)-1),"")*1</f>
        <v>0.96</v>
      </c>
      <c r="I33" s="6"/>
      <c r="J33" s="6"/>
      <c r="K33" t="str">
        <f>IF(Worksheet!BI29&lt;&gt;"",Worksheet!BI29,"")</f>
        <v>1 / 230 / 50</v>
      </c>
      <c r="L33" t="str">
        <f>IF(Worksheet!AU29&lt;&gt;"",Worksheet!AU29,"")</f>
        <v>R32</v>
      </c>
      <c r="M33" s="6"/>
      <c r="N33" s="6"/>
      <c r="O33" t="str">
        <f>IF(Worksheet!CR29&lt;&gt;"",CONCATENATE(Worksheet!CR29," х ",Worksheet!CP29," х ",Worksheet!CT29),"")</f>
        <v>950 х 295 х 230</v>
      </c>
      <c r="P33" t="str">
        <f>IF(Worksheet!CS29&lt;&gt;"",CONCATENATE(Worksheet!CS29," х ",Worksheet!CU29," х ",Worksheet!CQ29),"")</f>
        <v>1027 х 284 х 357</v>
      </c>
      <c r="Q33" t="str">
        <f>IF(Worksheet!CV29&lt;&gt;"",CONCATENATE(Worksheet!CV29," / ",Worksheet!CW29),"")</f>
        <v>11 / 14.5</v>
      </c>
      <c r="R33" t="str">
        <f>IF(Worksheet!BS29&lt;&gt;"",Worksheet!BS29,"")</f>
        <v>20/30/35/40</v>
      </c>
      <c r="S33" t="str">
        <f>IF(Worksheet!AL29&lt;&gt;"",Worksheet!AL29,"")</f>
        <v/>
      </c>
      <c r="T33" t="str">
        <f>IF(Worksheet!CJ29&lt;&gt;"",CONCATENATE(Worksheet!CJ29," х ",Worksheet!CL29," х ",Worksheet!CH29),"")</f>
        <v>663 х 290 х 541</v>
      </c>
      <c r="U33" t="str">
        <f>IF(Worksheet!CK29&lt;&gt;"",CONCATENATE(Worksheet!CK29," х ",Worksheet!CM29," х ",Worksheet!CI29),"")</f>
        <v>804 х 375 х 602</v>
      </c>
      <c r="V33" t="str">
        <f>IF(Worksheet!CN29&lt;&gt;"",CONCATENATE(Worksheet!CN29,"/",Worksheet!CO29),"")</f>
        <v>25/29</v>
      </c>
      <c r="W33" s="6"/>
      <c r="X33" s="7">
        <f>IF(Worksheet!AN29&lt;&gt;"",Worksheet!AN29,"")</f>
        <v>6.35</v>
      </c>
      <c r="Y33" s="7">
        <f>IF(Worksheet!AO29&lt;&gt;"",Worksheet!AO29,"")</f>
        <v>9.52</v>
      </c>
      <c r="Z33" s="17">
        <f>IF(Worksheet!Q29&lt;&gt;"",Worksheet!Q29,"")</f>
        <v>20</v>
      </c>
      <c r="AA33" s="17">
        <f>IF(Worksheet!R29&lt;&gt;"",Worksheet!R29,"")</f>
        <v>15</v>
      </c>
      <c r="AB33" t="str">
        <f>IF(Worksheet!X29&lt;&gt;"",CONCATENATE("от ",Worksheet!X29," до +",Worksheet!Y29),"")</f>
        <v>от -10 до +46</v>
      </c>
      <c r="AC33" t="str">
        <f>IF(Worksheet!Z29&lt;&gt;"",CONCATENATE("от ",Worksheet!Z29," до +",Worksheet!AA29),"")</f>
        <v>от -15 до +24</v>
      </c>
      <c r="AD33" s="6" t="s">
        <v>5245</v>
      </c>
      <c r="AE33" s="17"/>
    </row>
    <row r="34" spans="1:31" x14ac:dyDescent="0.25">
      <c r="A34" s="17" t="str">
        <f>IF(Worksheet!B30&lt;&gt;"",Worksheet!B30,"")</f>
        <v>FUJITSU</v>
      </c>
      <c r="B34" t="str">
        <f>Worksheet!E30</f>
        <v>Сплит система</v>
      </c>
      <c r="C34">
        <f>IF(Worksheet!M30&lt;&gt;"",Worksheet!M30,"")</f>
        <v>4</v>
      </c>
      <c r="D34">
        <f t="shared" si="0"/>
        <v>40</v>
      </c>
      <c r="E34" t="str">
        <f>IF(Worksheet!L30&lt;&gt;"",IF(Worksheet!L30="Y","да","нет"),"")</f>
        <v>да</v>
      </c>
      <c r="F34">
        <f>IF(Worksheet!N30&lt;&gt;"",Worksheet!N30,"")</f>
        <v>4</v>
      </c>
      <c r="G34" s="21">
        <f>IF(Worksheet!O30&lt;&gt;"",MID(Worksheet!O30,1,FIND(" ",Worksheet!O30,1)-1),"")*1</f>
        <v>1.22</v>
      </c>
      <c r="H34" s="21">
        <f>IF(Worksheet!P30&lt;&gt;"",MID(Worksheet!P30,1,FIND(" ",Worksheet!P30,1)-1),"")*1</f>
        <v>1.41</v>
      </c>
      <c r="I34" s="6"/>
      <c r="J34" s="6"/>
      <c r="K34" t="str">
        <f>IF(Worksheet!BI30&lt;&gt;"",Worksheet!BI30,"")</f>
        <v>1 / 230 / 50</v>
      </c>
      <c r="L34" t="str">
        <f>IF(Worksheet!AU30&lt;&gt;"",Worksheet!AU30,"")</f>
        <v>R32</v>
      </c>
      <c r="M34" s="6"/>
      <c r="N34" s="6"/>
      <c r="O34" t="str">
        <f>IF(Worksheet!CR30&lt;&gt;"",CONCATENATE(Worksheet!CR30," х ",Worksheet!CP30," х ",Worksheet!CT30),"")</f>
        <v>950 х 295 х 230</v>
      </c>
      <c r="P34" t="str">
        <f>IF(Worksheet!CS30&lt;&gt;"",CONCATENATE(Worksheet!CS30," х ",Worksheet!CU30," х ",Worksheet!CQ30),"")</f>
        <v>1027 х 284 х 357</v>
      </c>
      <c r="Q34" t="str">
        <f>IF(Worksheet!CV30&lt;&gt;"",CONCATENATE(Worksheet!CV30," / ",Worksheet!CW30),"")</f>
        <v>11.5 / 15</v>
      </c>
      <c r="R34" t="str">
        <f>IF(Worksheet!BS30&lt;&gt;"",Worksheet!BS30,"")</f>
        <v>20/30/36/43</v>
      </c>
      <c r="S34" t="str">
        <f>IF(Worksheet!AL30&lt;&gt;"",Worksheet!AL30,"")</f>
        <v/>
      </c>
      <c r="T34" t="str">
        <f>IF(Worksheet!CJ30&lt;&gt;"",CONCATENATE(Worksheet!CJ30," х ",Worksheet!CL30," х ",Worksheet!CH30),"")</f>
        <v>799 х 290 х 542</v>
      </c>
      <c r="U34" t="str">
        <f>IF(Worksheet!CK30&lt;&gt;"",CONCATENATE(Worksheet!CK30," х ",Worksheet!CM30," х ",Worksheet!CI30),"")</f>
        <v>940 х 375 х 602</v>
      </c>
      <c r="V34" t="str">
        <f>IF(Worksheet!CN30&lt;&gt;"",CONCATENATE(Worksheet!CN30,"/",Worksheet!CO30),"")</f>
        <v>31/35</v>
      </c>
      <c r="W34" s="6"/>
      <c r="X34" s="7">
        <f>IF(Worksheet!AN30&lt;&gt;"",Worksheet!AN30,"")</f>
        <v>6.35</v>
      </c>
      <c r="Y34" s="7">
        <f>IF(Worksheet!AO30&lt;&gt;"",Worksheet!AO30,"")</f>
        <v>9.52</v>
      </c>
      <c r="Z34" s="17">
        <f>IF(Worksheet!Q30&lt;&gt;"",Worksheet!Q30,"")</f>
        <v>20</v>
      </c>
      <c r="AA34" s="17">
        <f>IF(Worksheet!R30&lt;&gt;"",Worksheet!R30,"")</f>
        <v>15</v>
      </c>
      <c r="AB34" t="str">
        <f>IF(Worksheet!X30&lt;&gt;"",CONCATENATE("от ",Worksheet!X30," до +",Worksheet!Y30),"")</f>
        <v>от -10 до +46</v>
      </c>
      <c r="AC34" t="str">
        <f>IF(Worksheet!Z30&lt;&gt;"",CONCATENATE("от ",Worksheet!Z30," до +",Worksheet!AA30),"")</f>
        <v>от -15 до +24</v>
      </c>
      <c r="AD34" s="6" t="s">
        <v>5245</v>
      </c>
      <c r="AE34" s="17"/>
    </row>
    <row r="35" spans="1:31" x14ac:dyDescent="0.25">
      <c r="A35" s="17" t="str">
        <f>IF(Worksheet!B31&lt;&gt;"",Worksheet!B31,"")</f>
        <v>FUJITSU</v>
      </c>
      <c r="B35" t="str">
        <f>Worksheet!E31</f>
        <v>Сплит система</v>
      </c>
      <c r="C35">
        <f>IF(Worksheet!M31&lt;&gt;"",Worksheet!M31,"")</f>
        <v>4</v>
      </c>
      <c r="D35">
        <f t="shared" si="0"/>
        <v>40</v>
      </c>
      <c r="E35" t="str">
        <f>IF(Worksheet!L31&lt;&gt;"",IF(Worksheet!L31="Y","да","нет"),"")</f>
        <v>да</v>
      </c>
      <c r="F35">
        <f>IF(Worksheet!N31&lt;&gt;"",Worksheet!N31,"")</f>
        <v>4</v>
      </c>
      <c r="G35" s="21">
        <f>IF(Worksheet!O31&lt;&gt;"",MID(Worksheet!O31,1,FIND(" ",Worksheet!O31,1)-1),"")*1</f>
        <v>1.22</v>
      </c>
      <c r="H35" s="21">
        <f>IF(Worksheet!P31&lt;&gt;"",MID(Worksheet!P31,1,FIND(" ",Worksheet!P31,1)-1),"")*1</f>
        <v>1.41</v>
      </c>
      <c r="I35" s="6"/>
      <c r="J35" s="6"/>
      <c r="K35" t="str">
        <f>IF(Worksheet!BI31&lt;&gt;"",Worksheet!BI31,"")</f>
        <v>1 / 230 / 50</v>
      </c>
      <c r="L35" t="str">
        <f>IF(Worksheet!AU31&lt;&gt;"",Worksheet!AU31,"")</f>
        <v>R32</v>
      </c>
      <c r="M35" s="6"/>
      <c r="N35" s="6"/>
      <c r="O35" t="str">
        <f>IF(Worksheet!CR31&lt;&gt;"",CONCATENATE(Worksheet!CR31," х ",Worksheet!CP31," х ",Worksheet!CT31),"")</f>
        <v>950 х 295 х 230</v>
      </c>
      <c r="P35" t="str">
        <f>IF(Worksheet!CS31&lt;&gt;"",CONCATENATE(Worksheet!CS31," х ",Worksheet!CU31," х ",Worksheet!CQ31),"")</f>
        <v>1027 х 284 х 357</v>
      </c>
      <c r="Q35" t="str">
        <f>IF(Worksheet!CV31&lt;&gt;"",CONCATENATE(Worksheet!CV31," / ",Worksheet!CW31),"")</f>
        <v>11.5 / 15</v>
      </c>
      <c r="R35" t="str">
        <f>IF(Worksheet!BS31&lt;&gt;"",Worksheet!BS31,"")</f>
        <v>20/30/36/43</v>
      </c>
      <c r="S35" t="str">
        <f>IF(Worksheet!AL31&lt;&gt;"",Worksheet!AL31,"")</f>
        <v/>
      </c>
      <c r="T35" t="str">
        <f>IF(Worksheet!CJ31&lt;&gt;"",CONCATENATE(Worksheet!CJ31," х ",Worksheet!CL31," х ",Worksheet!CH31),"")</f>
        <v>799 х 290 х 542</v>
      </c>
      <c r="U35" t="str">
        <f>IF(Worksheet!CK31&lt;&gt;"",CONCATENATE(Worksheet!CK31," х ",Worksheet!CM31," х ",Worksheet!CI31),"")</f>
        <v>940 х 375 х 602</v>
      </c>
      <c r="V35" t="str">
        <f>IF(Worksheet!CN31&lt;&gt;"",CONCATENATE(Worksheet!CN31,"/",Worksheet!CO31),"")</f>
        <v>31/35</v>
      </c>
      <c r="W35" s="6"/>
      <c r="X35" s="7">
        <f>IF(Worksheet!AN31&lt;&gt;"",Worksheet!AN31,"")</f>
        <v>6.35</v>
      </c>
      <c r="Y35" s="7">
        <f>IF(Worksheet!AO31&lt;&gt;"",Worksheet!AO31,"")</f>
        <v>9.52</v>
      </c>
      <c r="Z35" s="17">
        <f>IF(Worksheet!Q31&lt;&gt;"",Worksheet!Q31,"")</f>
        <v>20</v>
      </c>
      <c r="AA35" s="17">
        <f>IF(Worksheet!R31&lt;&gt;"",Worksheet!R31,"")</f>
        <v>15</v>
      </c>
      <c r="AB35" t="str">
        <f>IF(Worksheet!X31&lt;&gt;"",CONCATENATE("от ",Worksheet!X31," до +",Worksheet!Y31),"")</f>
        <v>от -10 до +46</v>
      </c>
      <c r="AC35" t="str">
        <f>IF(Worksheet!Z31&lt;&gt;"",CONCATENATE("от ",Worksheet!Z31," до +",Worksheet!AA31),"")</f>
        <v>от -15 до +24</v>
      </c>
      <c r="AD35" s="6" t="s">
        <v>5245</v>
      </c>
      <c r="AE35" s="17"/>
    </row>
    <row r="36" spans="1:31" x14ac:dyDescent="0.25">
      <c r="A36" s="17" t="str">
        <f>IF(Worksheet!B32&lt;&gt;"",Worksheet!B32,"")</f>
        <v>FUJITSU</v>
      </c>
      <c r="B36" t="str">
        <f>Worksheet!E32</f>
        <v>Сплит система</v>
      </c>
      <c r="C36" s="21">
        <f>IF(Worksheet!M32&lt;&gt;"",MID(Worksheet!M32,1,FIND(" ",Worksheet!M32,1)-1),"")*1</f>
        <v>2.5</v>
      </c>
      <c r="D36">
        <f t="shared" ref="D36:D62" si="2">ROUND(LEFT(C36,3)*10,0)</f>
        <v>25</v>
      </c>
      <c r="E36" t="str">
        <f>IF(Worksheet!L32&lt;&gt;"",IF(Worksheet!L32="Y","да","нет"),"")</f>
        <v>да</v>
      </c>
      <c r="F36" s="21">
        <f>IF(Worksheet!N32&lt;&gt;"",MID(Worksheet!N32,1,FIND(" ",Worksheet!N32,1)-1),"")*1</f>
        <v>3.6</v>
      </c>
      <c r="G36">
        <f>IF(Worksheet!O32&lt;&gt;"",Worksheet!O32,"")</f>
        <v>0.46</v>
      </c>
      <c r="H36">
        <f>IF(Worksheet!P32&lt;&gt;"",Worksheet!P32,"")</f>
        <v>0.63</v>
      </c>
      <c r="I36" s="6"/>
      <c r="J36" s="6"/>
      <c r="K36" t="str">
        <f>IF(Worksheet!BI32&lt;&gt;"",Worksheet!BI32,"")</f>
        <v>1 / 230 / 50</v>
      </c>
      <c r="L36" t="str">
        <f>IF(Worksheet!AU32&lt;&gt;"",Worksheet!AU32,"")</f>
        <v>R32</v>
      </c>
      <c r="M36" s="6"/>
      <c r="N36" s="6"/>
      <c r="O36" t="str">
        <f>IF(Worksheet!CR32&lt;&gt;"",CONCATENATE(Worksheet!CR32," х ",Worksheet!CP32," х ",Worksheet!CT32),"")</f>
        <v>786 х 293 х 378</v>
      </c>
      <c r="P36" t="str">
        <f>IF(Worksheet!CS32&lt;&gt;"",CONCATENATE(Worksheet!CS32," х ",Worksheet!CU32," х ",Worksheet!CQ32),"")</f>
        <v>877 х 454 х 376</v>
      </c>
      <c r="Q36" t="str">
        <f>IF(Worksheet!CV32&lt;&gt;"",CONCATENATE(Worksheet!CV32," / ",Worksheet!CW32),"")</f>
        <v>20 / 24</v>
      </c>
      <c r="R36" t="str">
        <f>IF(Worksheet!BS32&lt;&gt;"",Worksheet!BS32,"")</f>
        <v>28/38/42/46</v>
      </c>
      <c r="S36" t="str">
        <f>IF(Worksheet!AL32&lt;&gt;"",Worksheet!AL32,"")</f>
        <v/>
      </c>
      <c r="T36" t="str">
        <f>IF(Worksheet!CJ32&lt;&gt;"",CONCATENATE(Worksheet!CJ32," х ",Worksheet!CL32," х ",Worksheet!CH32),"")</f>
        <v>820 х 315 х 704</v>
      </c>
      <c r="U36" t="str">
        <f>IF(Worksheet!CK32&lt;&gt;"",CONCATENATE(Worksheet!CK32," х ",Worksheet!CM32," х ",Worksheet!CI32),"")</f>
        <v>965 х 426 х 786</v>
      </c>
      <c r="V36" t="str">
        <f>IF(Worksheet!CN32&lt;&gt;"",CONCATENATE(Worksheet!CN32,"/",Worksheet!CO32),"")</f>
        <v>41/46</v>
      </c>
      <c r="W36" s="6"/>
      <c r="X36" s="7">
        <f>IF(Worksheet!AN32&lt;&gt;"",Worksheet!AN32,"")</f>
        <v>6.35</v>
      </c>
      <c r="Y36" s="7">
        <f>IF(Worksheet!AO32&lt;&gt;"",Worksheet!AO32,"")</f>
        <v>9.52</v>
      </c>
      <c r="Z36" s="17">
        <f>IF(Worksheet!Q32&lt;&gt;"",Worksheet!Q32,"")</f>
        <v>15</v>
      </c>
      <c r="AA36" s="17">
        <f>IF(Worksheet!R32&lt;&gt;"",Worksheet!R32,"")</f>
        <v>10</v>
      </c>
      <c r="AB36" t="str">
        <f>IF(Worksheet!X32&lt;&gt;"",CONCATENATE("от ",Worksheet!X32," до +",Worksheet!Y32),"")</f>
        <v>от -10 до +43</v>
      </c>
      <c r="AC36" t="str">
        <f>IF(Worksheet!Z32&lt;&gt;"",CONCATENATE("от ",Worksheet!Z32," до +",Worksheet!AA32),"")</f>
        <v>от -15 до +24</v>
      </c>
      <c r="AD36" s="6" t="s">
        <v>5245</v>
      </c>
      <c r="AE36" s="17"/>
    </row>
    <row r="37" spans="1:31" x14ac:dyDescent="0.25">
      <c r="A37" s="17" t="str">
        <f>IF(Worksheet!B33&lt;&gt;"",Worksheet!B33,"")</f>
        <v>FUJITSU</v>
      </c>
      <c r="B37" t="str">
        <f>Worksheet!E33</f>
        <v>Сплит система</v>
      </c>
      <c r="C37" s="21">
        <f>IF(Worksheet!M33&lt;&gt;"",MID(Worksheet!M33,1,FIND(" ",Worksheet!M33,1)-1),"")*1</f>
        <v>3.4</v>
      </c>
      <c r="D37">
        <f t="shared" si="2"/>
        <v>34</v>
      </c>
      <c r="E37" t="str">
        <f>IF(Worksheet!L33&lt;&gt;"",IF(Worksheet!L33="Y","да","нет"),"")</f>
        <v>да</v>
      </c>
      <c r="F37" s="21">
        <f>IF(Worksheet!N33&lt;&gt;"",MID(Worksheet!N33,1,FIND(" ",Worksheet!N33,1)-1),"")*1</f>
        <v>5</v>
      </c>
      <c r="G37">
        <f>IF(Worksheet!O33&lt;&gt;"",Worksheet!O33,"")</f>
        <v>0.67</v>
      </c>
      <c r="H37">
        <f>IF(Worksheet!P33&lt;&gt;"",Worksheet!P33,"")</f>
        <v>1.02</v>
      </c>
      <c r="I37" s="6"/>
      <c r="J37" s="6"/>
      <c r="K37" t="str">
        <f>IF(Worksheet!BI33&lt;&gt;"",Worksheet!BI33,"")</f>
        <v>1 / 230 / 50</v>
      </c>
      <c r="L37" t="str">
        <f>IF(Worksheet!AU33&lt;&gt;"",Worksheet!AU33,"")</f>
        <v>R32</v>
      </c>
      <c r="M37" s="6"/>
      <c r="N37" s="6"/>
      <c r="O37" t="str">
        <f>IF(Worksheet!CR33&lt;&gt;"",CONCATENATE(Worksheet!CR33," х ",Worksheet!CP33," х ",Worksheet!CT33),"")</f>
        <v>786 х 293 х 378</v>
      </c>
      <c r="P37" t="str">
        <f>IF(Worksheet!CS33&lt;&gt;"",CONCATENATE(Worksheet!CS33," х ",Worksheet!CU33," х ",Worksheet!CQ33),"")</f>
        <v>877 х 454 х 376</v>
      </c>
      <c r="Q37" t="str">
        <f>IF(Worksheet!CV33&lt;&gt;"",CONCATENATE(Worksheet!CV33," / ",Worksheet!CW33),"")</f>
        <v>20 / 24</v>
      </c>
      <c r="R37" t="str">
        <f>IF(Worksheet!BS33&lt;&gt;"",Worksheet!BS33,"")</f>
        <v>28/38/42/46</v>
      </c>
      <c r="S37" t="str">
        <f>IF(Worksheet!AL33&lt;&gt;"",Worksheet!AL33,"")</f>
        <v/>
      </c>
      <c r="T37" t="str">
        <f>IF(Worksheet!CJ33&lt;&gt;"",CONCATENATE(Worksheet!CJ33," х ",Worksheet!CL33," х ",Worksheet!CH33),"")</f>
        <v>820 х 315 х 704</v>
      </c>
      <c r="U37" t="str">
        <f>IF(Worksheet!CK33&lt;&gt;"",CONCATENATE(Worksheet!CK33," х ",Worksheet!CM33," х ",Worksheet!CI33),"")</f>
        <v>965 х 426 х 786</v>
      </c>
      <c r="V37" t="str">
        <f>IF(Worksheet!CN33&lt;&gt;"",CONCATENATE(Worksheet!CN33,"/",Worksheet!CO33),"")</f>
        <v>41/46</v>
      </c>
      <c r="W37" s="6"/>
      <c r="X37" s="7">
        <f>IF(Worksheet!AN33&lt;&gt;"",Worksheet!AN33,"")</f>
        <v>6.35</v>
      </c>
      <c r="Y37" s="7">
        <f>IF(Worksheet!AO33&lt;&gt;"",Worksheet!AO33,"")</f>
        <v>9.52</v>
      </c>
      <c r="Z37" s="17">
        <f>IF(Worksheet!Q33&lt;&gt;"",Worksheet!Q33,"")</f>
        <v>15</v>
      </c>
      <c r="AA37" s="17">
        <f>IF(Worksheet!R33&lt;&gt;"",Worksheet!R33,"")</f>
        <v>10</v>
      </c>
      <c r="AB37" t="str">
        <f>IF(Worksheet!X33&lt;&gt;"",CONCATENATE("от ",Worksheet!X33," до +",Worksheet!Y33),"")</f>
        <v>от -10 до +43</v>
      </c>
      <c r="AC37" t="str">
        <f>IF(Worksheet!Z33&lt;&gt;"",CONCATENATE("от ",Worksheet!Z33," до +",Worksheet!AA33),"")</f>
        <v>от -15 до +24</v>
      </c>
      <c r="AD37" s="6" t="s">
        <v>5245</v>
      </c>
      <c r="AE37" s="17"/>
    </row>
    <row r="38" spans="1:31" x14ac:dyDescent="0.25">
      <c r="A38" s="17" t="str">
        <f>IF(Worksheet!B34&lt;&gt;"",Worksheet!B34,"")</f>
        <v>FUJITSU</v>
      </c>
      <c r="B38" t="str">
        <f>Worksheet!E34</f>
        <v>Сплит система</v>
      </c>
      <c r="C38" s="21">
        <f>IF(Worksheet!M34&lt;&gt;"",MID(Worksheet!M34,1,FIND(" ",Worksheet!M34,1)-1),"")*1</f>
        <v>5.2</v>
      </c>
      <c r="D38">
        <f t="shared" si="2"/>
        <v>52</v>
      </c>
      <c r="E38" t="str">
        <f>IF(Worksheet!L34&lt;&gt;"",IF(Worksheet!L34="Y","да","нет"),"")</f>
        <v>да</v>
      </c>
      <c r="F38" s="21">
        <f>IF(Worksheet!N34&lt;&gt;"",MID(Worksheet!N34,1,FIND(" ",Worksheet!N34,1)-1),"")*1</f>
        <v>6.3</v>
      </c>
      <c r="G38">
        <f>IF(Worksheet!O34&lt;&gt;"",Worksheet!O34,"")</f>
        <v>1.52</v>
      </c>
      <c r="H38">
        <f>IF(Worksheet!P34&lt;&gt;"",Worksheet!P34,"")</f>
        <v>1.71</v>
      </c>
      <c r="I38" s="6"/>
      <c r="J38" s="6"/>
      <c r="K38" t="str">
        <f>IF(Worksheet!BI34&lt;&gt;"",Worksheet!BI34,"")</f>
        <v>1 / 230 / 50</v>
      </c>
      <c r="L38" t="str">
        <f>IF(Worksheet!AU34&lt;&gt;"",Worksheet!AU34,"")</f>
        <v>R410A</v>
      </c>
      <c r="M38" s="6"/>
      <c r="N38" s="6"/>
      <c r="O38" t="str">
        <f>IF(Worksheet!CR34&lt;&gt;"",CONCATENATE(Worksheet!CR34," х ",Worksheet!CP34," х ",Worksheet!CT34),"")</f>
        <v>998 х 320 х 238</v>
      </c>
      <c r="P38" t="str">
        <f>IF(Worksheet!CS34&lt;&gt;"",CONCATENATE(Worksheet!CS34," х ",Worksheet!CU34," х ",Worksheet!CQ34),"")</f>
        <v>1090 х 329 х 420</v>
      </c>
      <c r="Q38" t="str">
        <f>IF(Worksheet!CV34&lt;&gt;"",CONCATENATE(Worksheet!CV34," / ",Worksheet!CW34),"")</f>
        <v>14 / 18</v>
      </c>
      <c r="R38" t="str">
        <f>IF(Worksheet!BS34&lt;&gt;"",Worksheet!BS34,"")</f>
        <v>26/33/37/43</v>
      </c>
      <c r="S38" t="str">
        <f>IF(Worksheet!AL34&lt;&gt;"",Worksheet!AL34,"")</f>
        <v>GENERAL</v>
      </c>
      <c r="T38" t="str">
        <f>IF(Worksheet!CJ34&lt;&gt;"",CONCATENATE(Worksheet!CJ34," х ",Worksheet!CL34," х ",Worksheet!CH34),"")</f>
        <v>790 х 290 х 620</v>
      </c>
      <c r="U38" t="str">
        <f>IF(Worksheet!CK34&lt;&gt;"",CONCATENATE(Worksheet!CK34," х ",Worksheet!CM34," х ",Worksheet!CI34),"")</f>
        <v>935 х 400 х 712</v>
      </c>
      <c r="V38" t="str">
        <f>IF(Worksheet!CN34&lt;&gt;"",CONCATENATE(Worksheet!CN34,"/",Worksheet!CO34),"")</f>
        <v>41/45</v>
      </c>
      <c r="W38" s="6"/>
      <c r="X38" s="7">
        <f>IF(Worksheet!AN34&lt;&gt;"",Worksheet!AN34,"")</f>
        <v>6.35</v>
      </c>
      <c r="Y38" s="7">
        <f>IF(Worksheet!AO34&lt;&gt;"",Worksheet!AO34,"")</f>
        <v>12.7</v>
      </c>
      <c r="Z38" s="17">
        <f>IF(Worksheet!Q34&lt;&gt;"",Worksheet!Q34,"")</f>
        <v>25</v>
      </c>
      <c r="AA38" s="17">
        <f>IF(Worksheet!R34&lt;&gt;"",Worksheet!R34,"")</f>
        <v>20</v>
      </c>
      <c r="AB38" t="str">
        <f>IF(Worksheet!X34&lt;&gt;"",CONCATENATE("от ",Worksheet!X34," до +",Worksheet!Y34),"")</f>
        <v>от -10 до +46</v>
      </c>
      <c r="AC38" t="str">
        <f>IF(Worksheet!Z34&lt;&gt;"",CONCATENATE("от ",Worksheet!Z34," до +",Worksheet!AA34),"")</f>
        <v>от -15 до +24</v>
      </c>
      <c r="AD38" s="6" t="s">
        <v>5245</v>
      </c>
      <c r="AE38" s="17"/>
    </row>
    <row r="39" spans="1:31" x14ac:dyDescent="0.25">
      <c r="A39" s="17" t="str">
        <f>IF(Worksheet!B35&lt;&gt;"",Worksheet!B35,"")</f>
        <v>FUJITSU</v>
      </c>
      <c r="B39" t="str">
        <f>Worksheet!E35</f>
        <v>Сплит система</v>
      </c>
      <c r="C39" s="21">
        <f>IF(Worksheet!M35&lt;&gt;"",MID(Worksheet!M35,1,FIND(" ",Worksheet!M35,1)-1),"")*1</f>
        <v>8</v>
      </c>
      <c r="D39">
        <f t="shared" si="2"/>
        <v>80</v>
      </c>
      <c r="E39" t="str">
        <f>IF(Worksheet!L35&lt;&gt;"",IF(Worksheet!L35="Y","да","нет"),"")</f>
        <v>да</v>
      </c>
      <c r="F39" s="21">
        <f>IF(Worksheet!N35&lt;&gt;"",MID(Worksheet!N35,1,FIND(" ",Worksheet!N35,1)-1),"")*1</f>
        <v>8.8000000000000007</v>
      </c>
      <c r="G39">
        <f>IF(Worksheet!O35&lt;&gt;"",Worksheet!O35,"")</f>
        <v>2.4900000000000002</v>
      </c>
      <c r="H39">
        <f>IF(Worksheet!P35&lt;&gt;"",Worksheet!P35,"")</f>
        <v>2.44</v>
      </c>
      <c r="I39" s="6"/>
      <c r="J39" s="6"/>
      <c r="K39" t="str">
        <f>IF(Worksheet!BI35&lt;&gt;"",Worksheet!BI35,"")</f>
        <v>1 / 230 / 50</v>
      </c>
      <c r="L39" t="str">
        <f>IF(Worksheet!AU35&lt;&gt;"",Worksheet!AU35,"")</f>
        <v>R410A</v>
      </c>
      <c r="M39" s="6"/>
      <c r="N39" s="6"/>
      <c r="O39" t="str">
        <f>IF(Worksheet!CR35&lt;&gt;"",CONCATENATE(Worksheet!CR35," х ",Worksheet!CP35," х ",Worksheet!CT35),"")</f>
        <v>998 х 320 х 238</v>
      </c>
      <c r="P39" t="str">
        <f>IF(Worksheet!CS35&lt;&gt;"",CONCATENATE(Worksheet!CS35," х ",Worksheet!CU35," х ",Worksheet!CQ35),"")</f>
        <v>1090 х 329 х 420</v>
      </c>
      <c r="Q39" t="str">
        <f>IF(Worksheet!CV35&lt;&gt;"",CONCATENATE(Worksheet!CV35," / ",Worksheet!CW35),"")</f>
        <v>14 / 18</v>
      </c>
      <c r="R39" t="str">
        <f>IF(Worksheet!BS35&lt;&gt;"",Worksheet!BS35,"")</f>
        <v>33/37/42/48</v>
      </c>
      <c r="S39" t="str">
        <f>IF(Worksheet!AL35&lt;&gt;"",Worksheet!AL35,"")</f>
        <v>GENERAL</v>
      </c>
      <c r="T39" t="str">
        <f>IF(Worksheet!CJ35&lt;&gt;"",CONCATENATE(Worksheet!CJ35," х ",Worksheet!CL35," х ",Worksheet!CH35),"")</f>
        <v>900 х 330 х 830</v>
      </c>
      <c r="U39" t="str">
        <f>IF(Worksheet!CK35&lt;&gt;"",CONCATENATE(Worksheet!CK35," х ",Worksheet!CM35," х ",Worksheet!CI35),"")</f>
        <v>1050 х 445 х 1000</v>
      </c>
      <c r="V39" t="str">
        <f>IF(Worksheet!CN35&lt;&gt;"",CONCATENATE(Worksheet!CN35,"/",Worksheet!CO35),"")</f>
        <v>61/69</v>
      </c>
      <c r="W39" s="6"/>
      <c r="X39" s="7">
        <f>IF(Worksheet!AN35&lt;&gt;"",Worksheet!AN35,"")</f>
        <v>9.52</v>
      </c>
      <c r="Y39" s="7">
        <f>IF(Worksheet!AO35&lt;&gt;"",Worksheet!AO35,"")</f>
        <v>15.88</v>
      </c>
      <c r="Z39" s="17">
        <f>IF(Worksheet!Q35&lt;&gt;"",Worksheet!Q35,"")</f>
        <v>50</v>
      </c>
      <c r="AA39" s="17">
        <f>IF(Worksheet!R35&lt;&gt;"",Worksheet!R35,"")</f>
        <v>30</v>
      </c>
      <c r="AB39" t="str">
        <f>IF(Worksheet!X35&lt;&gt;"",CONCATENATE("от ",Worksheet!X35," до +",Worksheet!Y35),"")</f>
        <v>от -10 до +46</v>
      </c>
      <c r="AC39" t="str">
        <f>IF(Worksheet!Z35&lt;&gt;"",CONCATENATE("от ",Worksheet!Z35," до +",Worksheet!AA35),"")</f>
        <v>от -15 до +24</v>
      </c>
      <c r="AD39" s="6" t="s">
        <v>5245</v>
      </c>
      <c r="AE39" s="17"/>
    </row>
    <row r="40" spans="1:31" x14ac:dyDescent="0.25">
      <c r="A40" s="17" t="str">
        <f>IF(Worksheet!B36&lt;&gt;"",Worksheet!B36,"")</f>
        <v>FUJITSU</v>
      </c>
      <c r="B40" t="str">
        <f>Worksheet!E36</f>
        <v>Сплит система</v>
      </c>
      <c r="C40" s="21">
        <f>IF(Worksheet!M36&lt;&gt;"",MID(Worksheet!M36,1,FIND(" ",Worksheet!M36,1)-1),"")*1</f>
        <v>8</v>
      </c>
      <c r="D40">
        <f t="shared" si="2"/>
        <v>80</v>
      </c>
      <c r="E40" t="str">
        <f>IF(Worksheet!L36&lt;&gt;"",IF(Worksheet!L36="Y","да","нет"),"")</f>
        <v>да</v>
      </c>
      <c r="F40" s="21">
        <f>IF(Worksheet!N36&lt;&gt;"",MID(Worksheet!N36,1,FIND(" ",Worksheet!N36,1)-1),"")*1</f>
        <v>8.8000000000000007</v>
      </c>
      <c r="G40">
        <f>IF(Worksheet!O36&lt;&gt;"",Worksheet!O36,"")</f>
        <v>2.33</v>
      </c>
      <c r="H40">
        <f>IF(Worksheet!P36&lt;&gt;"",Worksheet!P36,"")</f>
        <v>2.2000000000000002</v>
      </c>
      <c r="I40" s="6"/>
      <c r="J40" s="6"/>
      <c r="K40" t="str">
        <f>IF(Worksheet!BI36&lt;&gt;"",Worksheet!BI36,"")</f>
        <v>1 / 230 / 50</v>
      </c>
      <c r="L40" t="str">
        <f>IF(Worksheet!AU36&lt;&gt;"",Worksheet!AU36,"")</f>
        <v>R32</v>
      </c>
      <c r="M40" s="6"/>
      <c r="N40" s="6"/>
      <c r="O40" t="str">
        <f>IF(Worksheet!CR36&lt;&gt;"",CONCATENATE(Worksheet!CR36," х ",Worksheet!CP36," х ",Worksheet!CT36),"")</f>
        <v>1150 х 340 х 280</v>
      </c>
      <c r="P40" t="str">
        <f>IF(Worksheet!CS36&lt;&gt;"",CONCATENATE(Worksheet!CS36," х ",Worksheet!CU36," х ",Worksheet!CQ36),"")</f>
        <v>1270 х 450 х 405</v>
      </c>
      <c r="Q40" t="str">
        <f>IF(Worksheet!CV36&lt;&gt;"",CONCATENATE(Worksheet!CV36," / ",Worksheet!CW36),"")</f>
        <v>18.5 / 24.5</v>
      </c>
      <c r="R40" t="str">
        <f>IF(Worksheet!BS36&lt;&gt;"",Worksheet!BS36,"")</f>
        <v>33/40/44/50</v>
      </c>
      <c r="S40" t="str">
        <f>IF(Worksheet!AL36&lt;&gt;"",Worksheet!AL36,"")</f>
        <v>GENERAL</v>
      </c>
      <c r="T40" t="str">
        <f>IF(Worksheet!CJ36&lt;&gt;"",CONCATENATE(Worksheet!CJ36," х ",Worksheet!CL36," х ",Worksheet!CH36),"")</f>
        <v>940 х 320 х 788</v>
      </c>
      <c r="U40" t="str">
        <f>IF(Worksheet!CK36&lt;&gt;"",CONCATENATE(Worksheet!CK36," х ",Worksheet!CM36," х ",Worksheet!CI36),"")</f>
        <v>1027 х 445 х 966</v>
      </c>
      <c r="V40" t="str">
        <f>IF(Worksheet!CN36&lt;&gt;"",CONCATENATE(Worksheet!CN36,"/",Worksheet!CO36),"")</f>
        <v>52/60</v>
      </c>
      <c r="W40" s="6"/>
      <c r="X40" s="7">
        <f>IF(Worksheet!AN36&lt;&gt;"",Worksheet!AN36,"")</f>
        <v>9.52</v>
      </c>
      <c r="Y40" s="7">
        <f>IF(Worksheet!AO36&lt;&gt;"",Worksheet!AO36,"")</f>
        <v>15.88</v>
      </c>
      <c r="Z40" s="17">
        <f>IF(Worksheet!Q36&lt;&gt;"",Worksheet!Q36,"")</f>
        <v>50</v>
      </c>
      <c r="AA40" s="17">
        <f>IF(Worksheet!R36&lt;&gt;"",Worksheet!R36,"")</f>
        <v>30</v>
      </c>
      <c r="AB40" t="str">
        <f>IF(Worksheet!X36&lt;&gt;"",CONCATENATE("от ",Worksheet!X36," до +",Worksheet!Y36),"")</f>
        <v>от -15 до +46</v>
      </c>
      <c r="AC40" t="str">
        <f>IF(Worksheet!Z36&lt;&gt;"",CONCATENATE("от ",Worksheet!Z36," до +",Worksheet!AA36),"")</f>
        <v>от -15 до +24</v>
      </c>
      <c r="AD40" s="6" t="s">
        <v>5245</v>
      </c>
      <c r="AE40" s="17"/>
    </row>
    <row r="41" spans="1:31" x14ac:dyDescent="0.25">
      <c r="A41" s="17" t="str">
        <f>IF(Worksheet!B37&lt;&gt;"",Worksheet!B37,"")</f>
        <v>FUJITSU</v>
      </c>
      <c r="B41" t="str">
        <f>Worksheet!E37</f>
        <v>Сплит система</v>
      </c>
      <c r="C41" s="21">
        <f>IF(Worksheet!M37&lt;&gt;"",MID(Worksheet!M37,1,FIND(" ",Worksheet!M37,1)-1),"")*1</f>
        <v>9.4</v>
      </c>
      <c r="D41">
        <f t="shared" si="2"/>
        <v>94</v>
      </c>
      <c r="E41" t="str">
        <f>IF(Worksheet!L37&lt;&gt;"",IF(Worksheet!L37="Y","да","нет"),"")</f>
        <v>да</v>
      </c>
      <c r="F41" s="21">
        <f>IF(Worksheet!N37&lt;&gt;"",MID(Worksheet!N37,1,FIND(" ",Worksheet!N37,1)-1),"")*1</f>
        <v>10.1</v>
      </c>
      <c r="G41">
        <f>IF(Worksheet!O37&lt;&gt;"",Worksheet!O37,"")</f>
        <v>3.16</v>
      </c>
      <c r="H41">
        <f>IF(Worksheet!P37&lt;&gt;"",Worksheet!P37,"")</f>
        <v>2.73</v>
      </c>
      <c r="I41" s="6"/>
      <c r="J41" s="6"/>
      <c r="K41" t="str">
        <f>IF(Worksheet!BI37&lt;&gt;"",Worksheet!BI37,"")</f>
        <v>1 / 230 / 50</v>
      </c>
      <c r="L41" t="str">
        <f>IF(Worksheet!AU37&lt;&gt;"",Worksheet!AU37,"")</f>
        <v>R32</v>
      </c>
      <c r="M41" s="6"/>
      <c r="N41" s="6"/>
      <c r="O41" t="str">
        <f>IF(Worksheet!CR37&lt;&gt;"",CONCATENATE(Worksheet!CR37," х ",Worksheet!CP37," х ",Worksheet!CT37),"")</f>
        <v>1150 х 340 х 280</v>
      </c>
      <c r="P41" t="str">
        <f>IF(Worksheet!CS37&lt;&gt;"",CONCATENATE(Worksheet!CS37," х ",Worksheet!CU37," х ",Worksheet!CQ37),"")</f>
        <v>1270 х 450 х 405</v>
      </c>
      <c r="Q41" t="str">
        <f>IF(Worksheet!CV37&lt;&gt;"",CONCATENATE(Worksheet!CV37," / ",Worksheet!CW37),"")</f>
        <v>18.5 / 24.5</v>
      </c>
      <c r="R41" t="str">
        <f>IF(Worksheet!BS37&lt;&gt;"",Worksheet!BS37,"")</f>
        <v>33/40/44/50</v>
      </c>
      <c r="S41" t="str">
        <f>IF(Worksheet!AL37&lt;&gt;"",Worksheet!AL37,"")</f>
        <v>GENERAL</v>
      </c>
      <c r="T41" t="str">
        <f>IF(Worksheet!CJ37&lt;&gt;"",CONCATENATE(Worksheet!CJ37," х ",Worksheet!CL37," х ",Worksheet!CH37),"")</f>
        <v>940 х 320 х 788</v>
      </c>
      <c r="U41" t="str">
        <f>IF(Worksheet!CK37&lt;&gt;"",CONCATENATE(Worksheet!CK37," х ",Worksheet!CM37," х ",Worksheet!CI37),"")</f>
        <v>1027 х 445 х 966</v>
      </c>
      <c r="V41" t="str">
        <f>IF(Worksheet!CN37&lt;&gt;"",CONCATENATE(Worksheet!CN37,"/",Worksheet!CO37),"")</f>
        <v>52/60</v>
      </c>
      <c r="W41" s="6"/>
      <c r="X41" s="7">
        <f>IF(Worksheet!AN37&lt;&gt;"",Worksheet!AN37,"")</f>
        <v>9.52</v>
      </c>
      <c r="Y41" s="7">
        <f>IF(Worksheet!AO37&lt;&gt;"",Worksheet!AO37,"")</f>
        <v>15.88</v>
      </c>
      <c r="Z41" s="17">
        <f>IF(Worksheet!Q37&lt;&gt;"",Worksheet!Q37,"")</f>
        <v>50</v>
      </c>
      <c r="AA41" s="17">
        <f>IF(Worksheet!R37&lt;&gt;"",Worksheet!R37,"")</f>
        <v>30</v>
      </c>
      <c r="AB41" t="str">
        <f>IF(Worksheet!X37&lt;&gt;"",CONCATENATE("от ",Worksheet!X37," до +",Worksheet!Y37),"")</f>
        <v>от -15 до +46</v>
      </c>
      <c r="AC41" t="str">
        <f>IF(Worksheet!Z37&lt;&gt;"",CONCATENATE("от ",Worksheet!Z37," до +",Worksheet!AA37),"")</f>
        <v>от -15 до +24</v>
      </c>
      <c r="AD41" s="6" t="s">
        <v>5245</v>
      </c>
      <c r="AE41" s="17"/>
    </row>
    <row r="42" spans="1:31" x14ac:dyDescent="0.25">
      <c r="A42" s="17" t="str">
        <f>IF(Worksheet!B38&lt;&gt;"",Worksheet!B38,"")</f>
        <v>FUJITSU</v>
      </c>
      <c r="B42" t="str">
        <f>Worksheet!E38</f>
        <v>Канальные</v>
      </c>
      <c r="C42" s="21">
        <f>IF(Worksheet!M38&lt;&gt;"",MID(Worksheet!M38,1,FIND(" ",Worksheet!M38,1)-1),"")*1</f>
        <v>12.1</v>
      </c>
      <c r="D42">
        <f t="shared" si="2"/>
        <v>120</v>
      </c>
      <c r="E42" t="str">
        <f>IF(Worksheet!L38&lt;&gt;"",IF(Worksheet!L38="Y","да","нет"),"")</f>
        <v>да</v>
      </c>
      <c r="F42" s="21">
        <f>IF(Worksheet!N38&lt;&gt;"",MID(Worksheet!N38,1,FIND(" ",Worksheet!N38,1)-1),"")*1</f>
        <v>13.5</v>
      </c>
      <c r="G42">
        <f>IF(Worksheet!O38&lt;&gt;"",Worksheet!O38,"")</f>
        <v>4.16</v>
      </c>
      <c r="H42">
        <f>IF(Worksheet!P38&lt;&gt;"",Worksheet!P38,"")</f>
        <v>3.61</v>
      </c>
      <c r="I42" s="6"/>
      <c r="J42" s="6"/>
      <c r="K42" t="str">
        <f>IF(Worksheet!BI38&lt;&gt;"",Worksheet!BI38,"")</f>
        <v>1 / 220 / 50</v>
      </c>
      <c r="L42" t="str">
        <f>IF(Worksheet!AU38&lt;&gt;"",Worksheet!AU38,"")</f>
        <v>R32</v>
      </c>
      <c r="M42" s="6"/>
      <c r="N42" s="6"/>
      <c r="O42" t="str">
        <f>IF(Worksheet!CR38&lt;&gt;"",CONCATENATE(Worksheet!CR38," х ",Worksheet!CP38," х ",Worksheet!CT38),"")</f>
        <v>1050 х 400 х 500</v>
      </c>
      <c r="P42" t="str">
        <f>IF(Worksheet!CS38&lt;&gt;"",CONCATENATE(Worksheet!CS38," х ",Worksheet!CU38," х ",Worksheet!CQ38),"")</f>
        <v>1230 х 640 х 460</v>
      </c>
      <c r="Q42" t="str">
        <f>IF(Worksheet!CV38&lt;&gt;"",CONCATENATE(Worksheet!CV38," / ",Worksheet!CW38),"")</f>
        <v>46 / 51</v>
      </c>
      <c r="R42" t="str">
        <f>IF(Worksheet!BS38&lt;&gt;"",Worksheet!BS38,"")</f>
        <v>40/43/47</v>
      </c>
      <c r="S42" t="str">
        <f>IF(Worksheet!AL38&lt;&gt;"",Worksheet!AL38,"")</f>
        <v/>
      </c>
      <c r="T42" t="str">
        <f>IF(Worksheet!CJ38&lt;&gt;"",CONCATENATE(Worksheet!CJ38," х ",Worksheet!CL38," х ",Worksheet!CH38),"")</f>
        <v>940 х 320 х 988</v>
      </c>
      <c r="U42" t="str">
        <f>IF(Worksheet!CK38&lt;&gt;"",CONCATENATE(Worksheet!CK38," х ",Worksheet!CM38," х ",Worksheet!CI38),"")</f>
        <v>1027 х 445 х 1176</v>
      </c>
      <c r="V42" t="str">
        <f>IF(Worksheet!CN38&lt;&gt;"",CONCATENATE(Worksheet!CN38,"/",Worksheet!CO38),"")</f>
        <v>67/75</v>
      </c>
      <c r="W42" s="6"/>
      <c r="X42" s="7">
        <f>IF(Worksheet!AN38&lt;&gt;"",Worksheet!AN38,"")</f>
        <v>9.52</v>
      </c>
      <c r="Y42" s="7">
        <f>IF(Worksheet!AO38&lt;&gt;"",Worksheet!AO38,"")</f>
        <v>15.88</v>
      </c>
      <c r="Z42" s="17">
        <f>IF(Worksheet!Q38&lt;&gt;"",Worksheet!Q38,"")</f>
        <v>50</v>
      </c>
      <c r="AA42" s="17">
        <f>IF(Worksheet!R38&lt;&gt;"",Worksheet!R38,"")</f>
        <v>30</v>
      </c>
      <c r="AB42" t="str">
        <f>IF(Worksheet!X38&lt;&gt;"",CONCATENATE("от ",Worksheet!X38," до +",Worksheet!Y38),"")</f>
        <v>от -15 до +46</v>
      </c>
      <c r="AC42" t="str">
        <f>IF(Worksheet!Z38&lt;&gt;"",CONCATENATE("от ",Worksheet!Z38," до +",Worksheet!AA38),"")</f>
        <v>от -15 до +24</v>
      </c>
      <c r="AD42" s="6" t="s">
        <v>5245</v>
      </c>
      <c r="AE42" s="17"/>
    </row>
    <row r="43" spans="1:31" x14ac:dyDescent="0.25">
      <c r="A43" s="17" t="str">
        <f>IF(Worksheet!B39&lt;&gt;"",Worksheet!B39,"")</f>
        <v>FUJITSU</v>
      </c>
      <c r="B43" t="str">
        <f>Worksheet!E39</f>
        <v>Канальные</v>
      </c>
      <c r="C43" s="21">
        <f>IF(Worksheet!M39&lt;&gt;"",MID(Worksheet!M39,1,FIND(" ",Worksheet!M39,1)-1),"")*1</f>
        <v>12.1</v>
      </c>
      <c r="D43">
        <f t="shared" si="2"/>
        <v>120</v>
      </c>
      <c r="E43" t="str">
        <f>IF(Worksheet!L39&lt;&gt;"",IF(Worksheet!L39="Y","да","нет"),"")</f>
        <v>да</v>
      </c>
      <c r="F43" s="21">
        <f>IF(Worksheet!N39&lt;&gt;"",MID(Worksheet!N39,1,FIND(" ",Worksheet!N39,1)-1),"")*1</f>
        <v>13.5</v>
      </c>
      <c r="G43">
        <f>IF(Worksheet!O39&lt;&gt;"",Worksheet!O39,"")</f>
        <v>4.16</v>
      </c>
      <c r="H43">
        <f>IF(Worksheet!P39&lt;&gt;"",Worksheet!P39,"")</f>
        <v>3.61</v>
      </c>
      <c r="I43" s="6"/>
      <c r="J43" s="6"/>
      <c r="K43" t="str">
        <f>IF(Worksheet!BI39&lt;&gt;"",Worksheet!BI39,"")</f>
        <v>3 / 380 / 50</v>
      </c>
      <c r="L43" t="str">
        <f>IF(Worksheet!AU39&lt;&gt;"",Worksheet!AU39,"")</f>
        <v>R32</v>
      </c>
      <c r="M43" s="6"/>
      <c r="N43" s="6"/>
      <c r="O43" t="str">
        <f>IF(Worksheet!CR39&lt;&gt;"",CONCATENATE(Worksheet!CR39," х ",Worksheet!CP39," х ",Worksheet!CT39),"")</f>
        <v>1050 х 400 х 500</v>
      </c>
      <c r="P43" t="str">
        <f>IF(Worksheet!CS39&lt;&gt;"",CONCATENATE(Worksheet!CS39," х ",Worksheet!CU39," х ",Worksheet!CQ39),"")</f>
        <v>1230 х 640 х 460</v>
      </c>
      <c r="Q43" t="str">
        <f>IF(Worksheet!CV39&lt;&gt;"",CONCATENATE(Worksheet!CV39," / ",Worksheet!CW39),"")</f>
        <v>46 / 51</v>
      </c>
      <c r="R43" t="str">
        <f>IF(Worksheet!BS39&lt;&gt;"",Worksheet!BS39,"")</f>
        <v>40/43/47</v>
      </c>
      <c r="S43" t="str">
        <f>IF(Worksheet!AL39&lt;&gt;"",Worksheet!AL39,"")</f>
        <v/>
      </c>
      <c r="T43" t="str">
        <f>IF(Worksheet!CJ39&lt;&gt;"",CONCATENATE(Worksheet!CJ39," х ",Worksheet!CL39," х ",Worksheet!CH39),"")</f>
        <v>940 х 320 х 998</v>
      </c>
      <c r="U43" t="str">
        <f>IF(Worksheet!CK39&lt;&gt;"",CONCATENATE(Worksheet!CK39," х ",Worksheet!CM39," х ",Worksheet!CI39),"")</f>
        <v>1027 х 445 х 1176</v>
      </c>
      <c r="V43" t="str">
        <f>IF(Worksheet!CN39&lt;&gt;"",CONCATENATE(Worksheet!CN39,"/",Worksheet!CO39),"")</f>
        <v>67/77</v>
      </c>
      <c r="W43" s="6"/>
      <c r="X43" s="7">
        <f>IF(Worksheet!AN39&lt;&gt;"",Worksheet!AN39,"")</f>
        <v>9.52</v>
      </c>
      <c r="Y43" s="7">
        <f>IF(Worksheet!AO39&lt;&gt;"",Worksheet!AO39,"")</f>
        <v>15.88</v>
      </c>
      <c r="Z43" s="17">
        <f>IF(Worksheet!Q39&lt;&gt;"",Worksheet!Q39,"")</f>
        <v>50</v>
      </c>
      <c r="AA43" s="17">
        <f>IF(Worksheet!R39&lt;&gt;"",Worksheet!R39,"")</f>
        <v>30</v>
      </c>
      <c r="AB43" t="str">
        <f>IF(Worksheet!X39&lt;&gt;"",CONCATENATE("от ",Worksheet!X39," до +",Worksheet!Y39),"")</f>
        <v>от -15 до +46</v>
      </c>
      <c r="AC43" t="str">
        <f>IF(Worksheet!Z39&lt;&gt;"",CONCATENATE("от ",Worksheet!Z39," до +",Worksheet!AA39),"")</f>
        <v>от -15 до +24</v>
      </c>
      <c r="AD43" s="6" t="s">
        <v>5245</v>
      </c>
      <c r="AE43" s="17"/>
    </row>
    <row r="44" spans="1:31" x14ac:dyDescent="0.25">
      <c r="A44" s="17" t="str">
        <f>IF(Worksheet!B40&lt;&gt;"",Worksheet!B40,"")</f>
        <v>FUJITSU</v>
      </c>
      <c r="B44" t="str">
        <f>Worksheet!E40</f>
        <v>Канальные</v>
      </c>
      <c r="C44" s="21">
        <f>IF(Worksheet!M40&lt;&gt;"",MID(Worksheet!M40,1,FIND(" ",Worksheet!M40,1)-1),"")*1</f>
        <v>13.4</v>
      </c>
      <c r="D44">
        <f t="shared" si="2"/>
        <v>130</v>
      </c>
      <c r="E44" t="str">
        <f>IF(Worksheet!L40&lt;&gt;"",IF(Worksheet!L40="Y","да","нет"),"")</f>
        <v>да</v>
      </c>
      <c r="F44" s="21">
        <f>IF(Worksheet!N40&lt;&gt;"",MID(Worksheet!N40,1,FIND(" ",Worksheet!N40,1)-1),"")*1</f>
        <v>15.5</v>
      </c>
      <c r="G44">
        <f>IF(Worksheet!O40&lt;&gt;"",Worksheet!O40,"")</f>
        <v>4.7699999999999996</v>
      </c>
      <c r="H44">
        <f>IF(Worksheet!P40&lt;&gt;"",Worksheet!P40,"")</f>
        <v>4.18</v>
      </c>
      <c r="I44" s="6"/>
      <c r="J44" s="6"/>
      <c r="K44" t="str">
        <f>IF(Worksheet!BI40&lt;&gt;"",Worksheet!BI40,"")</f>
        <v>1 / 220 / 50</v>
      </c>
      <c r="L44" t="str">
        <f>IF(Worksheet!AU40&lt;&gt;"",Worksheet!AU40,"")</f>
        <v>R32</v>
      </c>
      <c r="M44" s="6"/>
      <c r="N44" s="6"/>
      <c r="O44" t="str">
        <f>IF(Worksheet!CR40&lt;&gt;"",CONCATENATE(Worksheet!CR40," х ",Worksheet!CP40," х ",Worksheet!CT40),"")</f>
        <v>1050 х 400 х 500</v>
      </c>
      <c r="P44" t="str">
        <f>IF(Worksheet!CS40&lt;&gt;"",CONCATENATE(Worksheet!CS40," х ",Worksheet!CU40," х ",Worksheet!CQ40),"")</f>
        <v>1230 х 640 х 460</v>
      </c>
      <c r="Q44" t="str">
        <f>IF(Worksheet!CV40&lt;&gt;"",CONCATENATE(Worksheet!CV40," / ",Worksheet!CW40),"")</f>
        <v>46 / 51</v>
      </c>
      <c r="R44" t="str">
        <f>IF(Worksheet!BS40&lt;&gt;"",Worksheet!BS40,"")</f>
        <v>40/43/47</v>
      </c>
      <c r="S44" t="str">
        <f>IF(Worksheet!AL40&lt;&gt;"",Worksheet!AL40,"")</f>
        <v/>
      </c>
      <c r="T44" t="str">
        <f>IF(Worksheet!CJ40&lt;&gt;"",CONCATENATE(Worksheet!CJ40," х ",Worksheet!CL40," х ",Worksheet!CH40),"")</f>
        <v>940 х 320 х 998</v>
      </c>
      <c r="U44" t="str">
        <f>IF(Worksheet!CK40&lt;&gt;"",CONCATENATE(Worksheet!CK40," х ",Worksheet!CM40," х ",Worksheet!CI40),"")</f>
        <v>1027 х 445 х 1176</v>
      </c>
      <c r="V44" t="str">
        <f>IF(Worksheet!CN40&lt;&gt;"",CONCATENATE(Worksheet!CN40,"/",Worksheet!CO40),"")</f>
        <v>67/75</v>
      </c>
      <c r="W44" s="6"/>
      <c r="X44" s="7">
        <f>IF(Worksheet!AN40&lt;&gt;"",Worksheet!AN40,"")</f>
        <v>9.52</v>
      </c>
      <c r="Y44" s="7">
        <f>IF(Worksheet!AO40&lt;&gt;"",Worksheet!AO40,"")</f>
        <v>15.88</v>
      </c>
      <c r="Z44" s="17">
        <f>IF(Worksheet!Q40&lt;&gt;"",Worksheet!Q40,"")</f>
        <v>50</v>
      </c>
      <c r="AA44" s="17">
        <f>IF(Worksheet!R40&lt;&gt;"",Worksheet!R40,"")</f>
        <v>30</v>
      </c>
      <c r="AB44" t="str">
        <f>IF(Worksheet!X40&lt;&gt;"",CONCATENATE("от ",Worksheet!X40," до +",Worksheet!Y40),"")</f>
        <v>от -15 до +46</v>
      </c>
      <c r="AC44" t="str">
        <f>IF(Worksheet!Z40&lt;&gt;"",CONCATENATE("от ",Worksheet!Z40," до +",Worksheet!AA40),"")</f>
        <v>от -15 до +24</v>
      </c>
      <c r="AD44" s="6" t="s">
        <v>5245</v>
      </c>
      <c r="AE44" s="17"/>
    </row>
    <row r="45" spans="1:31" x14ac:dyDescent="0.25">
      <c r="A45" s="17" t="str">
        <f>IF(Worksheet!B41&lt;&gt;"",Worksheet!B41,"")</f>
        <v>FUJITSU</v>
      </c>
      <c r="B45" t="str">
        <f>Worksheet!E41</f>
        <v>Канальные</v>
      </c>
      <c r="C45" s="21">
        <f>IF(Worksheet!M41&lt;&gt;"",MID(Worksheet!M41,1,FIND(" ",Worksheet!M41,1)-1),"")*1</f>
        <v>13.4</v>
      </c>
      <c r="D45">
        <f t="shared" si="2"/>
        <v>130</v>
      </c>
      <c r="E45" t="str">
        <f>IF(Worksheet!L41&lt;&gt;"",IF(Worksheet!L41="Y","да","нет"),"")</f>
        <v>да</v>
      </c>
      <c r="F45" s="21">
        <f>IF(Worksheet!N41&lt;&gt;"",MID(Worksheet!N41,1,FIND(" ",Worksheet!N41,1)-1),"")*1</f>
        <v>15.5</v>
      </c>
      <c r="G45">
        <f>IF(Worksheet!O41&lt;&gt;"",Worksheet!O41,"")</f>
        <v>4.7699999999999996</v>
      </c>
      <c r="H45">
        <f>IF(Worksheet!P41&lt;&gt;"",Worksheet!P41,"")</f>
        <v>4.18</v>
      </c>
      <c r="I45" s="6"/>
      <c r="J45" s="6"/>
      <c r="K45" t="str">
        <f>IF(Worksheet!BI41&lt;&gt;"",Worksheet!BI41,"")</f>
        <v>3 / 380 / 50</v>
      </c>
      <c r="L45" t="str">
        <f>IF(Worksheet!AU41&lt;&gt;"",Worksheet!AU41,"")</f>
        <v>R32</v>
      </c>
      <c r="M45" s="6"/>
      <c r="N45" s="6"/>
      <c r="O45" t="str">
        <f>IF(Worksheet!CR41&lt;&gt;"",CONCATENATE(Worksheet!CR41," х ",Worksheet!CP41," х ",Worksheet!CT41),"")</f>
        <v>1050 х 400 х 500</v>
      </c>
      <c r="P45" t="str">
        <f>IF(Worksheet!CS41&lt;&gt;"",CONCATENATE(Worksheet!CS41," х ",Worksheet!CU41," х ",Worksheet!CQ41),"")</f>
        <v>1230 х 640 х 460</v>
      </c>
      <c r="Q45" t="str">
        <f>IF(Worksheet!CV41&lt;&gt;"",CONCATENATE(Worksheet!CV41," / ",Worksheet!CW41),"")</f>
        <v>46 / 51</v>
      </c>
      <c r="R45" t="str">
        <f>IF(Worksheet!BS41&lt;&gt;"",Worksheet!BS41,"")</f>
        <v>40/43/47</v>
      </c>
      <c r="S45" t="str">
        <f>IF(Worksheet!AL41&lt;&gt;"",Worksheet!AL41,"")</f>
        <v/>
      </c>
      <c r="T45" t="str">
        <f>IF(Worksheet!CJ41&lt;&gt;"",CONCATENATE(Worksheet!CJ41," х ",Worksheet!CL41," х ",Worksheet!CH41),"")</f>
        <v>940 х 320 х 998</v>
      </c>
      <c r="U45" t="str">
        <f>IF(Worksheet!CK41&lt;&gt;"",CONCATENATE(Worksheet!CK41," х ",Worksheet!CM41," х ",Worksheet!CI41),"")</f>
        <v>1027 х 445 х 1176</v>
      </c>
      <c r="V45" t="str">
        <f>IF(Worksheet!CN41&lt;&gt;"",CONCATENATE(Worksheet!CN41,"/",Worksheet!CO41),"")</f>
        <v>67/77</v>
      </c>
      <c r="W45" s="6"/>
      <c r="X45" s="7">
        <f>IF(Worksheet!AN41&lt;&gt;"",Worksheet!AN41,"")</f>
        <v>9.52</v>
      </c>
      <c r="Y45" s="7">
        <f>IF(Worksheet!AO41&lt;&gt;"",Worksheet!AO41,"")</f>
        <v>15.88</v>
      </c>
      <c r="Z45" s="17">
        <f>IF(Worksheet!Q41&lt;&gt;"",Worksheet!Q41,"")</f>
        <v>50</v>
      </c>
      <c r="AA45" s="17">
        <f>IF(Worksheet!R41&lt;&gt;"",Worksheet!R41,"")</f>
        <v>30</v>
      </c>
      <c r="AB45" t="str">
        <f>IF(Worksheet!X41&lt;&gt;"",CONCATENATE("от ",Worksheet!X41," до +",Worksheet!Y41),"")</f>
        <v>от -15 до +46</v>
      </c>
      <c r="AC45" t="str">
        <f>IF(Worksheet!Z41&lt;&gt;"",CONCATENATE("от ",Worksheet!Z41," до +",Worksheet!AA41),"")</f>
        <v>от -15 до +24</v>
      </c>
      <c r="AD45" s="6" t="s">
        <v>5245</v>
      </c>
      <c r="AE45" s="17"/>
    </row>
    <row r="46" spans="1:31" x14ac:dyDescent="0.25">
      <c r="A46" s="17" t="str">
        <f>IF(Worksheet!B42&lt;&gt;"",Worksheet!B42,"")</f>
        <v>FUJITSU</v>
      </c>
      <c r="B46" t="str">
        <f>Worksheet!E42</f>
        <v>Канальные</v>
      </c>
      <c r="C46" s="21">
        <f>IF(Worksheet!M42&lt;&gt;"",MID(Worksheet!M42,1,FIND(" ",Worksheet!M42,1)-1),"")*1</f>
        <v>6.8</v>
      </c>
      <c r="D46">
        <f t="shared" si="2"/>
        <v>68</v>
      </c>
      <c r="E46" t="str">
        <f>IF(Worksheet!L42&lt;&gt;"",IF(Worksheet!L42="Y","да","нет"),"")</f>
        <v>да</v>
      </c>
      <c r="F46" s="21">
        <f>IF(Worksheet!N42&lt;&gt;"",MID(Worksheet!N42,1,FIND(" ",Worksheet!N42,1)-1),"")*1</f>
        <v>7.5</v>
      </c>
      <c r="G46">
        <f>IF(Worksheet!O42&lt;&gt;"",Worksheet!O42,"")</f>
        <v>2.19</v>
      </c>
      <c r="H46">
        <f>IF(Worksheet!P42&lt;&gt;"",Worksheet!P42,"")</f>
        <v>2</v>
      </c>
      <c r="I46" s="6"/>
      <c r="J46" s="6"/>
      <c r="K46" t="str">
        <f>IF(Worksheet!BI42&lt;&gt;"",Worksheet!BI42,"")</f>
        <v>1 / 230 / 50</v>
      </c>
      <c r="L46" t="str">
        <f>IF(Worksheet!AU42&lt;&gt;"",Worksheet!AU42,"")</f>
        <v>R32</v>
      </c>
      <c r="M46" s="6"/>
      <c r="N46" s="6"/>
      <c r="O46" t="str">
        <f>IF(Worksheet!CR42&lt;&gt;"",CONCATENATE(Worksheet!CR42," х ",Worksheet!CP42," х ",Worksheet!CT42),"")</f>
        <v>1135 х 270 х 700</v>
      </c>
      <c r="P46" t="str">
        <f>IF(Worksheet!CS42&lt;&gt;"",CONCATENATE(Worksheet!CS42," х ",Worksheet!CU42," х ",Worksheet!CQ42),"")</f>
        <v>1320 х 790 х 300</v>
      </c>
      <c r="Q46" t="str">
        <f>IF(Worksheet!CV42&lt;&gt;"",CONCATENATE(Worksheet!CV42," / ",Worksheet!CW42),"")</f>
        <v>35 / 43</v>
      </c>
      <c r="R46" t="str">
        <f>IF(Worksheet!BS42&lt;&gt;"",Worksheet!BS42,"")</f>
        <v>25/27/29/31</v>
      </c>
      <c r="S46" t="str">
        <f>IF(Worksheet!AL42&lt;&gt;"",Worksheet!AL42,"")</f>
        <v/>
      </c>
      <c r="T46" t="str">
        <f>IF(Worksheet!CJ42&lt;&gt;"",CONCATENATE(Worksheet!CJ42," х ",Worksheet!CL42," х ",Worksheet!CH42),"")</f>
        <v>799 х 290 х 632</v>
      </c>
      <c r="U46" t="str">
        <f>IF(Worksheet!CK42&lt;&gt;"",CONCATENATE(Worksheet!CK42," х ",Worksheet!CM42," х ",Worksheet!CI42),"")</f>
        <v>940 х 375 х 692</v>
      </c>
      <c r="V46" t="str">
        <f>IF(Worksheet!CN42&lt;&gt;"",CONCATENATE(Worksheet!CN42,"/",Worksheet!CO42),"")</f>
        <v>38/42</v>
      </c>
      <c r="W46" s="6"/>
      <c r="X46" s="7">
        <f>IF(Worksheet!AN42&lt;&gt;"",Worksheet!AN42,"")</f>
        <v>6.35</v>
      </c>
      <c r="Y46" s="7">
        <f>IF(Worksheet!AO42&lt;&gt;"",Worksheet!AO42,"")</f>
        <v>12.7</v>
      </c>
      <c r="Z46" s="17">
        <f>IF(Worksheet!Q42&lt;&gt;"",Worksheet!Q42,"")</f>
        <v>25</v>
      </c>
      <c r="AA46" s="17">
        <f>IF(Worksheet!R42&lt;&gt;"",Worksheet!R42,"")</f>
        <v>20</v>
      </c>
      <c r="AB46" t="str">
        <f>IF(Worksheet!X42&lt;&gt;"",CONCATENATE("от ",Worksheet!X42," до +",Worksheet!Y42),"")</f>
        <v>от -10 до +46</v>
      </c>
      <c r="AC46" t="str">
        <f>IF(Worksheet!Z42&lt;&gt;"",CONCATENATE("от ",Worksheet!Z42," до +",Worksheet!AA42),"")</f>
        <v>от -15 до +24</v>
      </c>
      <c r="AD46" s="6" t="s">
        <v>5245</v>
      </c>
      <c r="AE46" s="17"/>
    </row>
    <row r="47" spans="1:31" x14ac:dyDescent="0.25">
      <c r="A47" s="17" t="str">
        <f>IF(Worksheet!B43&lt;&gt;"",Worksheet!B43,"")</f>
        <v>FUJITSU</v>
      </c>
      <c r="B47" t="str">
        <f>Worksheet!E43</f>
        <v>Канальные</v>
      </c>
      <c r="C47" s="21">
        <f>IF(Worksheet!M43&lt;&gt;"",MID(Worksheet!M43,1,FIND(" ",Worksheet!M43,1)-1),"")*1</f>
        <v>8.5</v>
      </c>
      <c r="D47">
        <f t="shared" si="2"/>
        <v>85</v>
      </c>
      <c r="E47" t="str">
        <f>IF(Worksheet!L43&lt;&gt;"",IF(Worksheet!L43="Y","да","нет"),"")</f>
        <v>да</v>
      </c>
      <c r="F47" s="21">
        <f>IF(Worksheet!N43&lt;&gt;"",MID(Worksheet!N43,1,FIND(" ",Worksheet!N43,1)-1),"")*1</f>
        <v>10</v>
      </c>
      <c r="G47">
        <f>IF(Worksheet!O43&lt;&gt;"",Worksheet!O43,"")</f>
        <v>2.78</v>
      </c>
      <c r="H47">
        <f>IF(Worksheet!P43&lt;&gt;"",Worksheet!P43,"")</f>
        <v>2.77</v>
      </c>
      <c r="I47" s="6"/>
      <c r="J47" s="6"/>
      <c r="K47" t="str">
        <f>IF(Worksheet!BI43&lt;&gt;"",Worksheet!BI43,"")</f>
        <v>1 / 230 / 50</v>
      </c>
      <c r="L47" t="str">
        <f>IF(Worksheet!AU43&lt;&gt;"",Worksheet!AU43,"")</f>
        <v>R32</v>
      </c>
      <c r="M47" s="6"/>
      <c r="N47" s="6"/>
      <c r="O47" t="str">
        <f>IF(Worksheet!CR43&lt;&gt;"",CONCATENATE(Worksheet!CR43," х ",Worksheet!CP43," х ",Worksheet!CT43),"")</f>
        <v>1135 х 270 х 700</v>
      </c>
      <c r="P47" t="str">
        <f>IF(Worksheet!CS43&lt;&gt;"",CONCATENATE(Worksheet!CS43," х ",Worksheet!CU43," х ",Worksheet!CQ43),"")</f>
        <v>1320 х 790 х 300</v>
      </c>
      <c r="Q47" t="str">
        <f>IF(Worksheet!CV43&lt;&gt;"",CONCATENATE(Worksheet!CV43," / ",Worksheet!CW43),"")</f>
        <v>38 / 45</v>
      </c>
      <c r="R47" t="str">
        <f>IF(Worksheet!BS43&lt;&gt;"",Worksheet!BS43,"")</f>
        <v>26/30/35/39</v>
      </c>
      <c r="S47" t="str">
        <f>IF(Worksheet!AL43&lt;&gt;"",Worksheet!AL43,"")</f>
        <v/>
      </c>
      <c r="T47" t="str">
        <f>IF(Worksheet!CJ43&lt;&gt;"",CONCATENATE(Worksheet!CJ43," х ",Worksheet!CL43," х ",Worksheet!CH43),"")</f>
        <v>940 х 320 х 788</v>
      </c>
      <c r="U47" t="str">
        <f>IF(Worksheet!CK43&lt;&gt;"",CONCATENATE(Worksheet!CK43," х ",Worksheet!CM43," х ",Worksheet!CI43),"")</f>
        <v>1027 х 445 х 966</v>
      </c>
      <c r="V47" t="str">
        <f>IF(Worksheet!CN43&lt;&gt;"",CONCATENATE(Worksheet!CN43,"/",Worksheet!CO43),"")</f>
        <v>52/61</v>
      </c>
      <c r="W47" s="6"/>
      <c r="X47" s="7">
        <f>IF(Worksheet!AN43&lt;&gt;"",Worksheet!AN43,"")</f>
        <v>9.52</v>
      </c>
      <c r="Y47" s="7">
        <f>IF(Worksheet!AO43&lt;&gt;"",Worksheet!AO43,"")</f>
        <v>15.88</v>
      </c>
      <c r="Z47" s="17">
        <f>IF(Worksheet!Q43&lt;&gt;"",Worksheet!Q43,"")</f>
        <v>30</v>
      </c>
      <c r="AA47" s="17">
        <f>IF(Worksheet!R43&lt;&gt;"",Worksheet!R43,"")</f>
        <v>30</v>
      </c>
      <c r="AB47" t="str">
        <f>IF(Worksheet!X43&lt;&gt;"",CONCATENATE("от ",Worksheet!X43," до +",Worksheet!Y43),"")</f>
        <v>от -10 до +46</v>
      </c>
      <c r="AC47" t="str">
        <f>IF(Worksheet!Z43&lt;&gt;"",CONCATENATE("от ",Worksheet!Z43," до +",Worksheet!AA43),"")</f>
        <v>от -15 до +24</v>
      </c>
      <c r="AD47" s="6" t="s">
        <v>5245</v>
      </c>
      <c r="AE47" s="17"/>
    </row>
    <row r="48" spans="1:31" x14ac:dyDescent="0.25">
      <c r="A48" s="17" t="str">
        <f>IF(Worksheet!B44&lt;&gt;"",Worksheet!B44,"")</f>
        <v>FUJITSU</v>
      </c>
      <c r="B48" t="str">
        <f>Worksheet!E44</f>
        <v>Канальные</v>
      </c>
      <c r="C48" s="21">
        <f>IF(Worksheet!M44&lt;&gt;"",MID(Worksheet!M44,1,FIND(" ",Worksheet!M44,1)-1),"")*1</f>
        <v>9.5</v>
      </c>
      <c r="D48">
        <f t="shared" si="2"/>
        <v>95</v>
      </c>
      <c r="E48" t="str">
        <f>IF(Worksheet!L44&lt;&gt;"",IF(Worksheet!L44="Y","да","нет"),"")</f>
        <v>да</v>
      </c>
      <c r="F48" s="21">
        <f>IF(Worksheet!N44&lt;&gt;"",MID(Worksheet!N44,1,FIND(" ",Worksheet!N44,1)-1),"")*1</f>
        <v>10.8</v>
      </c>
      <c r="G48">
        <f>IF(Worksheet!O44&lt;&gt;"",Worksheet!O44,"")</f>
        <v>3.13</v>
      </c>
      <c r="H48">
        <f>IF(Worksheet!P44&lt;&gt;"",Worksheet!P44,"")</f>
        <v>3.03</v>
      </c>
      <c r="I48" s="6"/>
      <c r="J48" s="6"/>
      <c r="K48" t="str">
        <f>IF(Worksheet!BI44&lt;&gt;"",Worksheet!BI44,"")</f>
        <v>1 / 230 / 50</v>
      </c>
      <c r="L48" t="str">
        <f>IF(Worksheet!AU44&lt;&gt;"",Worksheet!AU44,"")</f>
        <v>R32</v>
      </c>
      <c r="M48" s="6"/>
      <c r="N48" s="6"/>
      <c r="O48" t="str">
        <f>IF(Worksheet!CR44&lt;&gt;"",CONCATENATE(Worksheet!CR44," х ",Worksheet!CP44," х ",Worksheet!CT44),"")</f>
        <v>1135 х 270 х 700</v>
      </c>
      <c r="P48" t="str">
        <f>IF(Worksheet!CS44&lt;&gt;"",CONCATENATE(Worksheet!CS44," х ",Worksheet!CU44," х ",Worksheet!CQ44),"")</f>
        <v>1320 х 790 х 300</v>
      </c>
      <c r="Q48" t="str">
        <f>IF(Worksheet!CV44&lt;&gt;"",CONCATENATE(Worksheet!CV44," / ",Worksheet!CW44),"")</f>
        <v>38 / 45</v>
      </c>
      <c r="R48" t="str">
        <f>IF(Worksheet!BS44&lt;&gt;"",Worksheet!BS44,"")</f>
        <v>26/30/35/39</v>
      </c>
      <c r="S48" t="str">
        <f>IF(Worksheet!AL44&lt;&gt;"",Worksheet!AL44,"")</f>
        <v/>
      </c>
      <c r="T48" t="str">
        <f>IF(Worksheet!CJ44&lt;&gt;"",CONCATENATE(Worksheet!CJ44," х ",Worksheet!CL44," х ",Worksheet!CH44),"")</f>
        <v>940 х 320 х 788</v>
      </c>
      <c r="U48" t="str">
        <f>IF(Worksheet!CK44&lt;&gt;"",CONCATENATE(Worksheet!CK44," х ",Worksheet!CM44," х ",Worksheet!CI44),"")</f>
        <v>1027 х 445 х 966</v>
      </c>
      <c r="V48" t="str">
        <f>IF(Worksheet!CN44&lt;&gt;"",CONCATENATE(Worksheet!CN44,"/",Worksheet!CO44),"")</f>
        <v>52/61</v>
      </c>
      <c r="W48" s="6"/>
      <c r="X48" s="7">
        <f>IF(Worksheet!AN44&lt;&gt;"",Worksheet!AN44,"")</f>
        <v>9.52</v>
      </c>
      <c r="Y48" s="7">
        <f>IF(Worksheet!AO44&lt;&gt;"",Worksheet!AO44,"")</f>
        <v>15.88</v>
      </c>
      <c r="Z48" s="17">
        <f>IF(Worksheet!Q44&lt;&gt;"",Worksheet!Q44,"")</f>
        <v>30</v>
      </c>
      <c r="AA48" s="17">
        <f>IF(Worksheet!R44&lt;&gt;"",Worksheet!R44,"")</f>
        <v>30</v>
      </c>
      <c r="AB48" t="str">
        <f>IF(Worksheet!X44&lt;&gt;"",CONCATENATE("от ",Worksheet!X44," до +",Worksheet!Y44),"")</f>
        <v>от -10 до +46</v>
      </c>
      <c r="AC48" t="str">
        <f>IF(Worksheet!Z44&lt;&gt;"",CONCATENATE("от ",Worksheet!Z44," до +",Worksheet!AA44),"")</f>
        <v>от -15 до +24</v>
      </c>
      <c r="AD48" s="6" t="s">
        <v>5245</v>
      </c>
      <c r="AE48" s="17"/>
    </row>
    <row r="49" spans="1:31" x14ac:dyDescent="0.25">
      <c r="A49" s="17" t="str">
        <f>IF(Worksheet!B45&lt;&gt;"",Worksheet!B45,"")</f>
        <v>FUJITSU</v>
      </c>
      <c r="B49" t="str">
        <f>Worksheet!E45</f>
        <v>Канальные</v>
      </c>
      <c r="C49" s="21">
        <f>IF(Worksheet!M45&lt;&gt;"",MID(Worksheet!M45,1,FIND(" ",Worksheet!M45,1)-1),"")*1</f>
        <v>9.5</v>
      </c>
      <c r="D49">
        <f t="shared" si="2"/>
        <v>95</v>
      </c>
      <c r="E49" t="str">
        <f>IF(Worksheet!L45&lt;&gt;"",IF(Worksheet!L45="Y","да","нет"),"")</f>
        <v>да</v>
      </c>
      <c r="F49" s="21">
        <f>IF(Worksheet!N45&lt;&gt;"",MID(Worksheet!N45,1,FIND(" ",Worksheet!N45,1)-1),"")*1</f>
        <v>10.8</v>
      </c>
      <c r="G49">
        <f>IF(Worksheet!O45&lt;&gt;"",Worksheet!O45,"")</f>
        <v>3.13</v>
      </c>
      <c r="H49">
        <f>IF(Worksheet!P45&lt;&gt;"",Worksheet!P45,"")</f>
        <v>3.03</v>
      </c>
      <c r="I49" s="6"/>
      <c r="J49" s="6"/>
      <c r="K49" t="str">
        <f>IF(Worksheet!BI45&lt;&gt;"",Worksheet!BI45,"")</f>
        <v>3 / 400 / 50</v>
      </c>
      <c r="L49" t="str">
        <f>IF(Worksheet!AU45&lt;&gt;"",Worksheet!AU45,"")</f>
        <v>R32</v>
      </c>
      <c r="M49" s="6"/>
      <c r="N49" s="6"/>
      <c r="O49" t="str">
        <f>IF(Worksheet!CR45&lt;&gt;"",CONCATENATE(Worksheet!CR45," х ",Worksheet!CP45," х ",Worksheet!CT45),"")</f>
        <v>1135 х 270 х 700</v>
      </c>
      <c r="P49" t="str">
        <f>IF(Worksheet!CS45&lt;&gt;"",CONCATENATE(Worksheet!CS45," х ",Worksheet!CU45," х ",Worksheet!CQ45),"")</f>
        <v>1320 х 790 х 300</v>
      </c>
      <c r="Q49" t="str">
        <f>IF(Worksheet!CV45&lt;&gt;"",CONCATENATE(Worksheet!CV45," / ",Worksheet!CW45),"")</f>
        <v>38 / 45</v>
      </c>
      <c r="R49" t="str">
        <f>IF(Worksheet!BS45&lt;&gt;"",Worksheet!BS45,"")</f>
        <v>26/30/35/39</v>
      </c>
      <c r="S49" t="str">
        <f>IF(Worksheet!AL45&lt;&gt;"",Worksheet!AL45,"")</f>
        <v/>
      </c>
      <c r="T49" t="str">
        <f>IF(Worksheet!CJ45&lt;&gt;"",CONCATENATE(Worksheet!CJ45," х ",Worksheet!CL45," х ",Worksheet!CH45),"")</f>
        <v>940 х 320 х 788</v>
      </c>
      <c r="U49" t="str">
        <f>IF(Worksheet!CK45&lt;&gt;"",CONCATENATE(Worksheet!CK45," х ",Worksheet!CM45," х ",Worksheet!CI45),"")</f>
        <v>1027 х 445 х 966</v>
      </c>
      <c r="V49" t="str">
        <f>IF(Worksheet!CN45&lt;&gt;"",CONCATENATE(Worksheet!CN45,"/",Worksheet!CO45),"")</f>
        <v>53/62</v>
      </c>
      <c r="W49" s="6"/>
      <c r="X49" s="7">
        <f>IF(Worksheet!AN45&lt;&gt;"",Worksheet!AN45,"")</f>
        <v>9.52</v>
      </c>
      <c r="Y49" s="7">
        <f>IF(Worksheet!AO45&lt;&gt;"",Worksheet!AO45,"")</f>
        <v>15.88</v>
      </c>
      <c r="Z49" s="17">
        <f>IF(Worksheet!Q45&lt;&gt;"",Worksheet!Q45,"")</f>
        <v>30</v>
      </c>
      <c r="AA49" s="17">
        <f>IF(Worksheet!R45&lt;&gt;"",Worksheet!R45,"")</f>
        <v>30</v>
      </c>
      <c r="AB49" t="str">
        <f>IF(Worksheet!X45&lt;&gt;"",CONCATENATE("от ",Worksheet!X45," до +",Worksheet!Y45),"")</f>
        <v>от -10 до +46</v>
      </c>
      <c r="AC49" t="str">
        <f>IF(Worksheet!Z45&lt;&gt;"",CONCATENATE("от ",Worksheet!Z45," до +",Worksheet!AA45),"")</f>
        <v>от -15 до +24</v>
      </c>
      <c r="AD49" s="6" t="s">
        <v>5245</v>
      </c>
      <c r="AE49" s="17"/>
    </row>
    <row r="50" spans="1:31" x14ac:dyDescent="0.25">
      <c r="A50" s="17" t="str">
        <f>IF(Worksheet!B46&lt;&gt;"",Worksheet!B46,"")</f>
        <v>FUJITSU</v>
      </c>
      <c r="B50" t="str">
        <f>Worksheet!E46</f>
        <v>Канальные</v>
      </c>
      <c r="C50" s="21">
        <f>IF(Worksheet!M46&lt;&gt;"",MID(Worksheet!M46,1,FIND(" ",Worksheet!M46,1)-1),"")*1</f>
        <v>12.1</v>
      </c>
      <c r="D50">
        <f t="shared" si="2"/>
        <v>120</v>
      </c>
      <c r="E50" t="str">
        <f>IF(Worksheet!L46&lt;&gt;"",IF(Worksheet!L46="Y","да","нет"),"")</f>
        <v>да</v>
      </c>
      <c r="F50" s="21">
        <f>IF(Worksheet!N46&lt;&gt;"",MID(Worksheet!N46,1,FIND(" ",Worksheet!N46,1)-1),"")*1</f>
        <v>13.5</v>
      </c>
      <c r="G50">
        <f>IF(Worksheet!O46&lt;&gt;"",Worksheet!O46,"")</f>
        <v>4.84</v>
      </c>
      <c r="H50">
        <f>IF(Worksheet!P46&lt;&gt;"",Worksheet!P46,"")</f>
        <v>4.18</v>
      </c>
      <c r="I50" s="6"/>
      <c r="J50" s="6"/>
      <c r="K50" t="str">
        <f>IF(Worksheet!BI46&lt;&gt;"",Worksheet!BI46,"")</f>
        <v>1 / 230 / 50</v>
      </c>
      <c r="L50" t="str">
        <f>IF(Worksheet!AU46&lt;&gt;"",Worksheet!AU46,"")</f>
        <v>R32</v>
      </c>
      <c r="M50" s="6"/>
      <c r="N50" s="6"/>
      <c r="O50" t="str">
        <f>IF(Worksheet!CR46&lt;&gt;"",CONCATENATE(Worksheet!CR46," х ",Worksheet!CP46," х ",Worksheet!CT46),"")</f>
        <v>1135 х 270 х 700</v>
      </c>
      <c r="P50" t="str">
        <f>IF(Worksheet!CS46&lt;&gt;"",CONCATENATE(Worksheet!CS46," х ",Worksheet!CU46," х ",Worksheet!CQ46),"")</f>
        <v>1320 х 790 х 300</v>
      </c>
      <c r="Q50" t="str">
        <f>IF(Worksheet!CV46&lt;&gt;"",CONCATENATE(Worksheet!CV46," / ",Worksheet!CW46),"")</f>
        <v>39 / 47</v>
      </c>
      <c r="R50" t="str">
        <f>IF(Worksheet!BS46&lt;&gt;"",Worksheet!BS46,"")</f>
        <v>28/32/38/42</v>
      </c>
      <c r="S50" t="str">
        <f>IF(Worksheet!AL46&lt;&gt;"",Worksheet!AL46,"")</f>
        <v/>
      </c>
      <c r="T50" t="str">
        <f>IF(Worksheet!CJ46&lt;&gt;"",CONCATENATE(Worksheet!CJ46," х ",Worksheet!CL46," х ",Worksheet!CH46),"")</f>
        <v>940 х 320 х 998</v>
      </c>
      <c r="U50" t="str">
        <f>IF(Worksheet!CK46&lt;&gt;"",CONCATENATE(Worksheet!CK46," х ",Worksheet!CM46," х ",Worksheet!CI46),"")</f>
        <v>1027 х 445 х 1176</v>
      </c>
      <c r="V50" t="str">
        <f>IF(Worksheet!CN46&lt;&gt;"",CONCATENATE(Worksheet!CN46,"/",Worksheet!CO46),"")</f>
        <v>61/71</v>
      </c>
      <c r="W50" s="6"/>
      <c r="X50" s="7">
        <f>IF(Worksheet!AN46&lt;&gt;"",Worksheet!AN46,"")</f>
        <v>9.52</v>
      </c>
      <c r="Y50" s="7">
        <f>IF(Worksheet!AO46&lt;&gt;"",Worksheet!AO46,"")</f>
        <v>15.88</v>
      </c>
      <c r="Z50" s="17">
        <f>IF(Worksheet!Q46&lt;&gt;"",Worksheet!Q46,"")</f>
        <v>30</v>
      </c>
      <c r="AA50" s="17">
        <f>IF(Worksheet!R46&lt;&gt;"",Worksheet!R46,"")</f>
        <v>30</v>
      </c>
      <c r="AB50" t="str">
        <f>IF(Worksheet!X46&lt;&gt;"",CONCATENATE("от ",Worksheet!X46," до +",Worksheet!Y46),"")</f>
        <v>от -10 до +46</v>
      </c>
      <c r="AC50" t="str">
        <f>IF(Worksheet!Z46&lt;&gt;"",CONCATENATE("от ",Worksheet!Z46," до +",Worksheet!AA46),"")</f>
        <v>от -15 до +24</v>
      </c>
      <c r="AD50" s="6" t="s">
        <v>5245</v>
      </c>
      <c r="AE50" s="17"/>
    </row>
    <row r="51" spans="1:31" x14ac:dyDescent="0.25">
      <c r="A51" s="17" t="str">
        <f>IF(Worksheet!B47&lt;&gt;"",Worksheet!B47,"")</f>
        <v>FUJITSU</v>
      </c>
      <c r="B51" t="str">
        <f>Worksheet!E47</f>
        <v>Канальные</v>
      </c>
      <c r="C51" s="21">
        <f>IF(Worksheet!M47&lt;&gt;"",MID(Worksheet!M47,1,FIND(" ",Worksheet!M47,1)-1),"")*1</f>
        <v>12.1</v>
      </c>
      <c r="D51">
        <f t="shared" si="2"/>
        <v>120</v>
      </c>
      <c r="E51" t="str">
        <f>IF(Worksheet!L47&lt;&gt;"",IF(Worksheet!L47="Y","да","нет"),"")</f>
        <v>да</v>
      </c>
      <c r="F51" s="21">
        <f>IF(Worksheet!N47&lt;&gt;"",MID(Worksheet!N47,1,FIND(" ",Worksheet!N47,1)-1),"")*1</f>
        <v>13.5</v>
      </c>
      <c r="G51">
        <f>IF(Worksheet!O47&lt;&gt;"",Worksheet!O47,"")</f>
        <v>4.84</v>
      </c>
      <c r="H51">
        <f>IF(Worksheet!P47&lt;&gt;"",Worksheet!P47,"")</f>
        <v>4.18</v>
      </c>
      <c r="I51" s="6"/>
      <c r="J51" s="6"/>
      <c r="K51" t="str">
        <f>IF(Worksheet!BI47&lt;&gt;"",Worksheet!BI47,"")</f>
        <v>3 / 400 / 50</v>
      </c>
      <c r="L51" t="str">
        <f>IF(Worksheet!AU47&lt;&gt;"",Worksheet!AU47,"")</f>
        <v>R32</v>
      </c>
      <c r="M51" s="6"/>
      <c r="N51" s="6"/>
      <c r="O51" t="str">
        <f>IF(Worksheet!CR47&lt;&gt;"",CONCATENATE(Worksheet!CR47," х ",Worksheet!CP47," х ",Worksheet!CT47),"")</f>
        <v>1135 х 270 х 700</v>
      </c>
      <c r="P51" t="str">
        <f>IF(Worksheet!CS47&lt;&gt;"",CONCATENATE(Worksheet!CS47," х ",Worksheet!CU47," х ",Worksheet!CQ47),"")</f>
        <v>1320 х 790 х 300</v>
      </c>
      <c r="Q51" t="str">
        <f>IF(Worksheet!CV47&lt;&gt;"",CONCATENATE(Worksheet!CV47," / ",Worksheet!CW47),"")</f>
        <v>39 / 47</v>
      </c>
      <c r="R51" t="str">
        <f>IF(Worksheet!BS47&lt;&gt;"",Worksheet!BS47,"")</f>
        <v>28/32/38/42</v>
      </c>
      <c r="S51" t="str">
        <f>IF(Worksheet!AL47&lt;&gt;"",Worksheet!AL47,"")</f>
        <v/>
      </c>
      <c r="T51" t="str">
        <f>IF(Worksheet!CJ47&lt;&gt;"",CONCATENATE(Worksheet!CJ47," х ",Worksheet!CL47," х ",Worksheet!CH47),"")</f>
        <v>940 х 320 х 998</v>
      </c>
      <c r="U51" t="str">
        <f>IF(Worksheet!CK47&lt;&gt;"",CONCATENATE(Worksheet!CK47," х ",Worksheet!CM47," х ",Worksheet!CI47),"")</f>
        <v>1027 х 445 х 1176</v>
      </c>
      <c r="V51" t="str">
        <f>IF(Worksheet!CN47&lt;&gt;"",CONCATENATE(Worksheet!CN47,"/",Worksheet!CO47),"")</f>
        <v>62/72</v>
      </c>
      <c r="W51" s="6"/>
      <c r="X51" s="7">
        <f>IF(Worksheet!AN47&lt;&gt;"",Worksheet!AN47,"")</f>
        <v>9.52</v>
      </c>
      <c r="Y51" s="7">
        <f>IF(Worksheet!AO47&lt;&gt;"",Worksheet!AO47,"")</f>
        <v>15.88</v>
      </c>
      <c r="Z51" s="17">
        <f>IF(Worksheet!Q47&lt;&gt;"",Worksheet!Q47,"")</f>
        <v>30</v>
      </c>
      <c r="AA51" s="17">
        <f>IF(Worksheet!R47&lt;&gt;"",Worksheet!R47,"")</f>
        <v>30</v>
      </c>
      <c r="AB51" t="str">
        <f>IF(Worksheet!X47&lt;&gt;"",CONCATENATE("от ",Worksheet!X47," до +",Worksheet!Y47),"")</f>
        <v>от -10 до +46</v>
      </c>
      <c r="AC51" t="str">
        <f>IF(Worksheet!Z47&lt;&gt;"",CONCATENATE("от ",Worksheet!Z47," до +",Worksheet!AA47),"")</f>
        <v>от -15 до +24</v>
      </c>
      <c r="AD51" s="6" t="s">
        <v>5245</v>
      </c>
      <c r="AE51" s="17"/>
    </row>
    <row r="52" spans="1:31" x14ac:dyDescent="0.25">
      <c r="A52" s="17" t="str">
        <f>IF(Worksheet!B48&lt;&gt;"",Worksheet!B48,"")</f>
        <v>FUJITSU</v>
      </c>
      <c r="B52" t="str">
        <f>Worksheet!E48</f>
        <v>Канальные</v>
      </c>
      <c r="C52" s="21">
        <f>IF(Worksheet!M48&lt;&gt;"",MID(Worksheet!M48,1,FIND(" ",Worksheet!M48,1)-1),"")*1</f>
        <v>3.5</v>
      </c>
      <c r="D52">
        <f t="shared" si="2"/>
        <v>35</v>
      </c>
      <c r="E52" t="str">
        <f>IF(Worksheet!L48&lt;&gt;"",IF(Worksheet!L48="Y","да","нет"),"")</f>
        <v>да</v>
      </c>
      <c r="F52" s="21">
        <f>IF(Worksheet!N48&lt;&gt;"",MID(Worksheet!N48,1,FIND(" ",Worksheet!N48,1)-1),"")*1</f>
        <v>4.0999999999999996</v>
      </c>
      <c r="G52">
        <f>IF(Worksheet!O48&lt;&gt;"",Worksheet!O48,"")</f>
        <v>0.87</v>
      </c>
      <c r="H52">
        <f>IF(Worksheet!P48&lt;&gt;"",Worksheet!P48,"")</f>
        <v>1</v>
      </c>
      <c r="I52" s="6"/>
      <c r="J52" s="6"/>
      <c r="K52" t="str">
        <f>IF(Worksheet!BI48&lt;&gt;"",Worksheet!BI48,"")</f>
        <v>1 / 220 / 50</v>
      </c>
      <c r="L52" t="str">
        <f>IF(Worksheet!AU48&lt;&gt;"",Worksheet!AU48,"")</f>
        <v>R32</v>
      </c>
      <c r="M52" s="6"/>
      <c r="N52" s="6"/>
      <c r="O52" t="str">
        <f>IF(Worksheet!CR48&lt;&gt;"",CONCATENATE(Worksheet!CR48," х ",Worksheet!CP48," х ",Worksheet!CT48),"")</f>
        <v>700 х 300 х 700</v>
      </c>
      <c r="P52" t="str">
        <f>IF(Worksheet!CS48&lt;&gt;"",CONCATENATE(Worksheet!CS48," х ",Worksheet!CU48," х ",Worksheet!CQ48),"")</f>
        <v>938 х 875 х 400</v>
      </c>
      <c r="Q52" t="str">
        <f>IF(Worksheet!CV48&lt;&gt;"",CONCATENATE(Worksheet!CV48," / ",Worksheet!CW48),"")</f>
        <v>27 / 34</v>
      </c>
      <c r="R52" t="str">
        <f>IF(Worksheet!BS48&lt;&gt;"",Worksheet!BS48,"")</f>
        <v>24/26/27/32</v>
      </c>
      <c r="S52" t="str">
        <f>IF(Worksheet!AL48&lt;&gt;"",Worksheet!AL48,"")</f>
        <v/>
      </c>
      <c r="T52" t="str">
        <f>IF(Worksheet!CJ48&lt;&gt;"",CONCATENATE(Worksheet!CJ48," х ",Worksheet!CL48," х ",Worksheet!CH48),"")</f>
        <v>799 х 290 х 542</v>
      </c>
      <c r="U52" t="str">
        <f>IF(Worksheet!CK48&lt;&gt;"",CONCATENATE(Worksheet!CK48," х ",Worksheet!CM48," х ",Worksheet!CI48),"")</f>
        <v>940 х 375 х 602</v>
      </c>
      <c r="V52" t="str">
        <f>IF(Worksheet!CN48&lt;&gt;"",CONCATENATE(Worksheet!CN48,"/",Worksheet!CO48),"")</f>
        <v>33/37</v>
      </c>
      <c r="W52" s="6"/>
      <c r="X52" s="7">
        <f>IF(Worksheet!AN48&lt;&gt;"",Worksheet!AN48,"")</f>
        <v>6.35</v>
      </c>
      <c r="Y52" s="7">
        <f>IF(Worksheet!AO48&lt;&gt;"",Worksheet!AO48,"")</f>
        <v>9.52</v>
      </c>
      <c r="Z52" s="17">
        <f>IF(Worksheet!Q48&lt;&gt;"",Worksheet!Q48,"")</f>
        <v>25</v>
      </c>
      <c r="AA52" s="17">
        <f>IF(Worksheet!R48&lt;&gt;"",Worksheet!R48,"")</f>
        <v>20</v>
      </c>
      <c r="AB52" t="str">
        <f>IF(Worksheet!X48&lt;&gt;"",CONCATENATE("от ",Worksheet!X48," до +",Worksheet!Y48),"")</f>
        <v>от -15 до +46</v>
      </c>
      <c r="AC52" t="str">
        <f>IF(Worksheet!Z48&lt;&gt;"",CONCATENATE("от ",Worksheet!Z48," до +",Worksheet!AA48),"")</f>
        <v>от -15 до +24</v>
      </c>
      <c r="AD52" s="6" t="s">
        <v>5245</v>
      </c>
      <c r="AE52" s="17"/>
    </row>
    <row r="53" spans="1:31" x14ac:dyDescent="0.25">
      <c r="A53" s="17" t="str">
        <f>IF(Worksheet!B49&lt;&gt;"",Worksheet!B49,"")</f>
        <v>FUJITSU</v>
      </c>
      <c r="B53" t="str">
        <f>Worksheet!E49</f>
        <v>Канальные</v>
      </c>
      <c r="C53" s="21">
        <f>IF(Worksheet!M49&lt;&gt;"",MID(Worksheet!M49,1,FIND(" ",Worksheet!M49,1)-1),"")*1</f>
        <v>4.3</v>
      </c>
      <c r="D53">
        <f t="shared" si="2"/>
        <v>43</v>
      </c>
      <c r="E53" t="str">
        <f>IF(Worksheet!L49&lt;&gt;"",IF(Worksheet!L49="Y","да","нет"),"")</f>
        <v>да</v>
      </c>
      <c r="F53" s="21">
        <f>IF(Worksheet!N49&lt;&gt;"",MID(Worksheet!N49,1,FIND(" ",Worksheet!N49,1)-1),"")*1</f>
        <v>5</v>
      </c>
      <c r="G53">
        <f>IF(Worksheet!O49&lt;&gt;"",Worksheet!O49,"")</f>
        <v>1.17</v>
      </c>
      <c r="H53">
        <f>IF(Worksheet!P49&lt;&gt;"",Worksheet!P49,"")</f>
        <v>1.25</v>
      </c>
      <c r="I53" s="6"/>
      <c r="J53" s="6"/>
      <c r="K53" t="str">
        <f>IF(Worksheet!BI49&lt;&gt;"",Worksheet!BI49,"")</f>
        <v>1 / 220 / 50</v>
      </c>
      <c r="L53" t="str">
        <f>IF(Worksheet!AU49&lt;&gt;"",Worksheet!AU49,"")</f>
        <v>R32</v>
      </c>
      <c r="M53" s="6"/>
      <c r="N53" s="6"/>
      <c r="O53" t="str">
        <f>IF(Worksheet!CR49&lt;&gt;"",CONCATENATE(Worksheet!CR49," х ",Worksheet!CP49," х ",Worksheet!CT49),"")</f>
        <v>700 х 300 х 700</v>
      </c>
      <c r="P53" t="str">
        <f>IF(Worksheet!CS49&lt;&gt;"",CONCATENATE(Worksheet!CS49," х ",Worksheet!CU49," х ",Worksheet!CQ49),"")</f>
        <v>938 х 875 х 400</v>
      </c>
      <c r="Q53" t="str">
        <f>IF(Worksheet!CV49&lt;&gt;"",CONCATENATE(Worksheet!CV49," / ",Worksheet!CW49),"")</f>
        <v>27 / 34</v>
      </c>
      <c r="R53" t="str">
        <f>IF(Worksheet!BS49&lt;&gt;"",Worksheet!BS49,"")</f>
        <v>25/27/28/33</v>
      </c>
      <c r="S53" t="str">
        <f>IF(Worksheet!AL49&lt;&gt;"",Worksheet!AL49,"")</f>
        <v/>
      </c>
      <c r="T53" t="str">
        <f>IF(Worksheet!CJ49&lt;&gt;"",CONCATENATE(Worksheet!CJ49," х ",Worksheet!CL49," х ",Worksheet!CH49),"")</f>
        <v>799 х 290 х 542</v>
      </c>
      <c r="U53" t="str">
        <f>IF(Worksheet!CK49&lt;&gt;"",CONCATENATE(Worksheet!CK49," х ",Worksheet!CM49," х ",Worksheet!CI49),"")</f>
        <v>940 х 375 х 602</v>
      </c>
      <c r="V53" t="str">
        <f>IF(Worksheet!CN49&lt;&gt;"",CONCATENATE(Worksheet!CN49,"/",Worksheet!CO49),"")</f>
        <v>33/37</v>
      </c>
      <c r="W53" s="6"/>
      <c r="X53" s="7">
        <f>IF(Worksheet!AN49&lt;&gt;"",Worksheet!AN49,"")</f>
        <v>6.35</v>
      </c>
      <c r="Y53" s="7">
        <f>IF(Worksheet!AO49&lt;&gt;"",Worksheet!AO49,"")</f>
        <v>9.52</v>
      </c>
      <c r="Z53" s="17">
        <f>IF(Worksheet!Q49&lt;&gt;"",Worksheet!Q49,"")</f>
        <v>25</v>
      </c>
      <c r="AA53" s="17">
        <f>IF(Worksheet!R49&lt;&gt;"",Worksheet!R49,"")</f>
        <v>20</v>
      </c>
      <c r="AB53" t="str">
        <f>IF(Worksheet!X49&lt;&gt;"",CONCATENATE("от ",Worksheet!X49," до +",Worksheet!Y49),"")</f>
        <v>от -15 до +46</v>
      </c>
      <c r="AC53" t="str">
        <f>IF(Worksheet!Z49&lt;&gt;"",CONCATENATE("от ",Worksheet!Z49," до +",Worksheet!AA49),"")</f>
        <v>от -15 до +24</v>
      </c>
      <c r="AD53" s="6" t="s">
        <v>5245</v>
      </c>
      <c r="AE53" s="17"/>
    </row>
    <row r="54" spans="1:31" x14ac:dyDescent="0.25">
      <c r="A54" s="17" t="str">
        <f>IF(Worksheet!B50&lt;&gt;"",Worksheet!B50,"")</f>
        <v>FUJITSU</v>
      </c>
      <c r="B54" t="str">
        <f>Worksheet!E50</f>
        <v>Канальные</v>
      </c>
      <c r="C54" s="21">
        <f>IF(Worksheet!M50&lt;&gt;"",MID(Worksheet!M50,1,FIND(" ",Worksheet!M50,1)-1),"")*1</f>
        <v>5.2</v>
      </c>
      <c r="D54">
        <f t="shared" si="2"/>
        <v>52</v>
      </c>
      <c r="E54" t="str">
        <f>IF(Worksheet!L50&lt;&gt;"",IF(Worksheet!L50="Y","да","нет"),"")</f>
        <v>да</v>
      </c>
      <c r="F54" s="21">
        <f>IF(Worksheet!N50&lt;&gt;"",MID(Worksheet!N50,1,FIND(" ",Worksheet!N50,1)-1),"")*1</f>
        <v>6</v>
      </c>
      <c r="G54">
        <f>IF(Worksheet!O50&lt;&gt;"",Worksheet!O50,"")</f>
        <v>1.36</v>
      </c>
      <c r="H54">
        <f>IF(Worksheet!P50&lt;&gt;"",Worksheet!P50,"")</f>
        <v>1.56</v>
      </c>
      <c r="I54" s="6"/>
      <c r="J54" s="6"/>
      <c r="K54" t="str">
        <f>IF(Worksheet!BI50&lt;&gt;"",Worksheet!BI50,"")</f>
        <v>1 / 220 / 50</v>
      </c>
      <c r="L54" t="str">
        <f>IF(Worksheet!AU50&lt;&gt;"",Worksheet!AU50,"")</f>
        <v>R32</v>
      </c>
      <c r="M54" s="6"/>
      <c r="N54" s="6"/>
      <c r="O54" t="str">
        <f>IF(Worksheet!CR50&lt;&gt;"",CONCATENATE(Worksheet!CR50," х ",Worksheet!CP50," х ",Worksheet!CT50),"")</f>
        <v>1000 х 300 х 700</v>
      </c>
      <c r="P54" t="str">
        <f>IF(Worksheet!CS50&lt;&gt;"",CONCATENATE(Worksheet!CS50," х ",Worksheet!CU50," х ",Worksheet!CQ50),"")</f>
        <v>1238 х 875 х 400</v>
      </c>
      <c r="Q54" t="str">
        <f>IF(Worksheet!CV50&lt;&gt;"",CONCATENATE(Worksheet!CV50," / ",Worksheet!CW50),"")</f>
        <v>35 / 44</v>
      </c>
      <c r="R54" t="str">
        <f>IF(Worksheet!BS50&lt;&gt;"",Worksheet!BS50,"")</f>
        <v>20/22/25/28</v>
      </c>
      <c r="S54" t="str">
        <f>IF(Worksheet!AL50&lt;&gt;"",Worksheet!AL50,"")</f>
        <v/>
      </c>
      <c r="T54" t="str">
        <f>IF(Worksheet!CJ50&lt;&gt;"",CONCATENATE(Worksheet!CJ50," х ",Worksheet!CL50," х ",Worksheet!CH50),"")</f>
        <v>799 х 290 х 632</v>
      </c>
      <c r="U54" t="str">
        <f>IF(Worksheet!CK50&lt;&gt;"",CONCATENATE(Worksheet!CK50," х ",Worksheet!CM50," х ",Worksheet!CI50),"")</f>
        <v>940 х 375 х 692</v>
      </c>
      <c r="V54" t="str">
        <f>IF(Worksheet!CN50&lt;&gt;"",CONCATENATE(Worksheet!CN50,"/",Worksheet!CO50),"")</f>
        <v>36/40</v>
      </c>
      <c r="W54" s="6"/>
      <c r="X54" s="7">
        <f>IF(Worksheet!AN50&lt;&gt;"",Worksheet!AN50,"")</f>
        <v>6.35</v>
      </c>
      <c r="Y54" s="7">
        <f>IF(Worksheet!AO50&lt;&gt;"",Worksheet!AO50,"")</f>
        <v>12.7</v>
      </c>
      <c r="Z54" s="17">
        <f>IF(Worksheet!Q50&lt;&gt;"",Worksheet!Q50,"")</f>
        <v>30</v>
      </c>
      <c r="AA54" s="17">
        <f>IF(Worksheet!R50&lt;&gt;"",Worksheet!R50,"")</f>
        <v>20</v>
      </c>
      <c r="AB54" t="str">
        <f>IF(Worksheet!X50&lt;&gt;"",CONCATENATE("от ",Worksheet!X50," до +",Worksheet!Y50),"")</f>
        <v>от -15 до +46</v>
      </c>
      <c r="AC54" t="str">
        <f>IF(Worksheet!Z50&lt;&gt;"",CONCATENATE("от ",Worksheet!Z50," до +",Worksheet!AA50),"")</f>
        <v>от -15 до +24</v>
      </c>
      <c r="AD54" s="6" t="s">
        <v>5245</v>
      </c>
      <c r="AE54" s="17"/>
    </row>
    <row r="55" spans="1:31" x14ac:dyDescent="0.25">
      <c r="A55" s="17" t="str">
        <f>IF(Worksheet!B51&lt;&gt;"",Worksheet!B51,"")</f>
        <v>FUJITSU</v>
      </c>
      <c r="B55" t="str">
        <f>Worksheet!E51</f>
        <v>Канальные</v>
      </c>
      <c r="C55" s="21">
        <f>IF(Worksheet!M51&lt;&gt;"",MID(Worksheet!M51,1,FIND(" ",Worksheet!M51,1)-1),"")*1</f>
        <v>6.8</v>
      </c>
      <c r="D55">
        <f t="shared" si="2"/>
        <v>68</v>
      </c>
      <c r="E55" t="str">
        <f>IF(Worksheet!L51&lt;&gt;"",IF(Worksheet!L51="Y","да","нет"),"")</f>
        <v>да</v>
      </c>
      <c r="F55" s="21">
        <f>IF(Worksheet!N51&lt;&gt;"",MID(Worksheet!N51,1,FIND(" ",Worksheet!N51,1)-1),"")*1</f>
        <v>7.5</v>
      </c>
      <c r="G55">
        <f>IF(Worksheet!O51&lt;&gt;"",Worksheet!O51,"")</f>
        <v>1.89</v>
      </c>
      <c r="H55">
        <f>IF(Worksheet!P51&lt;&gt;"",Worksheet!P51,"")</f>
        <v>1.85</v>
      </c>
      <c r="I55" s="6"/>
      <c r="J55" s="6"/>
      <c r="K55" t="str">
        <f>IF(Worksheet!BI51&lt;&gt;"",Worksheet!BI51,"")</f>
        <v>1 / 220 / 50</v>
      </c>
      <c r="L55" t="str">
        <f>IF(Worksheet!AU51&lt;&gt;"",Worksheet!AU51,"")</f>
        <v>R32</v>
      </c>
      <c r="M55" s="6"/>
      <c r="N55" s="6"/>
      <c r="O55" t="str">
        <f>IF(Worksheet!CR51&lt;&gt;"",CONCATENATE(Worksheet!CR51," х ",Worksheet!CP51," х ",Worksheet!CT51),"")</f>
        <v>1000 х 300 х 700</v>
      </c>
      <c r="P55" t="str">
        <f>IF(Worksheet!CS51&lt;&gt;"",CONCATENATE(Worksheet!CS51," х ",Worksheet!CU51," х ",Worksheet!CQ51),"")</f>
        <v>1238 х 875 х 400</v>
      </c>
      <c r="Q55" t="str">
        <f>IF(Worksheet!CV51&lt;&gt;"",CONCATENATE(Worksheet!CV51," / ",Worksheet!CW51),"")</f>
        <v>36 / 43</v>
      </c>
      <c r="R55" t="str">
        <f>IF(Worksheet!BS51&lt;&gt;"",Worksheet!BS51,"")</f>
        <v>21/24/28/32</v>
      </c>
      <c r="S55" t="str">
        <f>IF(Worksheet!AL51&lt;&gt;"",Worksheet!AL51,"")</f>
        <v/>
      </c>
      <c r="T55" t="str">
        <f>IF(Worksheet!CJ51&lt;&gt;"",CONCATENATE(Worksheet!CJ51," х ",Worksheet!CL51," х ",Worksheet!CH51),"")</f>
        <v>820 х 315 х 716</v>
      </c>
      <c r="U55" t="str">
        <f>IF(Worksheet!CK51&lt;&gt;"",CONCATENATE(Worksheet!CK51," х ",Worksheet!CM51," х ",Worksheet!CI51),"")</f>
        <v>961 х 450 х 776</v>
      </c>
      <c r="V55" t="str">
        <f>IF(Worksheet!CN51&lt;&gt;"",CONCATENATE(Worksheet!CN51,"/",Worksheet!CO51),"")</f>
        <v>42/48</v>
      </c>
      <c r="W55" s="6"/>
      <c r="X55" s="7">
        <f>IF(Worksheet!AN51&lt;&gt;"",Worksheet!AN51,"")</f>
        <v>6.35</v>
      </c>
      <c r="Y55" s="7">
        <f>IF(Worksheet!AO51&lt;&gt;"",Worksheet!AO51,"")</f>
        <v>12.7</v>
      </c>
      <c r="Z55" s="17">
        <f>IF(Worksheet!Q51&lt;&gt;"",Worksheet!Q51,"")</f>
        <v>30</v>
      </c>
      <c r="AA55" s="17">
        <f>IF(Worksheet!R51&lt;&gt;"",Worksheet!R51,"")</f>
        <v>25</v>
      </c>
      <c r="AB55" t="str">
        <f>IF(Worksheet!X51&lt;&gt;"",CONCATENATE("от ",Worksheet!X51," до +",Worksheet!Y51),"")</f>
        <v>от -15 до +46</v>
      </c>
      <c r="AC55" t="str">
        <f>IF(Worksheet!Z51&lt;&gt;"",CONCATENATE("от ",Worksheet!Z51," до +",Worksheet!AA51),"")</f>
        <v>от -15 до +24</v>
      </c>
      <c r="AD55" s="6" t="s">
        <v>5245</v>
      </c>
      <c r="AE55" s="17"/>
    </row>
    <row r="56" spans="1:31" x14ac:dyDescent="0.25">
      <c r="A56" s="17" t="str">
        <f>IF(Worksheet!B52&lt;&gt;"",Worksheet!B52,"")</f>
        <v>FUJITSU</v>
      </c>
      <c r="B56" t="str">
        <f>Worksheet!E52</f>
        <v>Канальные</v>
      </c>
      <c r="C56" s="21">
        <f>IF(Worksheet!M52&lt;&gt;"",MID(Worksheet!M52,1,FIND(" ",Worksheet!M52,1)-1),"")*1</f>
        <v>8.5</v>
      </c>
      <c r="D56">
        <f t="shared" si="2"/>
        <v>85</v>
      </c>
      <c r="E56" t="str">
        <f>IF(Worksheet!L52&lt;&gt;"",IF(Worksheet!L52="Y","да","нет"),"")</f>
        <v>да</v>
      </c>
      <c r="F56" s="21">
        <f>IF(Worksheet!N52&lt;&gt;"",MID(Worksheet!N52,1,FIND(" ",Worksheet!N52,1)-1),"")*1</f>
        <v>10</v>
      </c>
      <c r="G56">
        <f>IF(Worksheet!O52&lt;&gt;"",Worksheet!O52,"")</f>
        <v>2.65</v>
      </c>
      <c r="H56">
        <f>IF(Worksheet!P52&lt;&gt;"",Worksheet!P52,"")</f>
        <v>2.63</v>
      </c>
      <c r="I56" s="6"/>
      <c r="J56" s="6"/>
      <c r="K56" t="str">
        <f>IF(Worksheet!BI52&lt;&gt;"",Worksheet!BI52,"")</f>
        <v>1 / 220 / 50</v>
      </c>
      <c r="L56" t="str">
        <f>IF(Worksheet!AU52&lt;&gt;"",Worksheet!AU52,"")</f>
        <v>R32</v>
      </c>
      <c r="M56" s="6"/>
      <c r="N56" s="6"/>
      <c r="O56" t="str">
        <f>IF(Worksheet!CR52&lt;&gt;"",CONCATENATE(Worksheet!CR52," х ",Worksheet!CP52," х ",Worksheet!CT52),"")</f>
        <v>1000 х 300 х 700</v>
      </c>
      <c r="P56" t="str">
        <f>IF(Worksheet!CS52&lt;&gt;"",CONCATENATE(Worksheet!CS52," х ",Worksheet!CU52," х ",Worksheet!CQ52),"")</f>
        <v>1238 х 875 х 400</v>
      </c>
      <c r="Q56" t="str">
        <f>IF(Worksheet!CV52&lt;&gt;"",CONCATENATE(Worksheet!CV52," / ",Worksheet!CW52),"")</f>
        <v>36 / 44</v>
      </c>
      <c r="R56" t="str">
        <f>IF(Worksheet!BS52&lt;&gt;"",Worksheet!BS52,"")</f>
        <v>29/30/33/36</v>
      </c>
      <c r="S56" t="str">
        <f>IF(Worksheet!AL52&lt;&gt;"",Worksheet!AL52,"")</f>
        <v/>
      </c>
      <c r="T56" t="str">
        <f>IF(Worksheet!CJ52&lt;&gt;"",CONCATENATE(Worksheet!CJ52," х ",Worksheet!CL52," х ",Worksheet!CH52),"")</f>
        <v>940 х 320 х 788</v>
      </c>
      <c r="U56" t="str">
        <f>IF(Worksheet!CK52&lt;&gt;"",CONCATENATE(Worksheet!CK52," х ",Worksheet!CM52," х ",Worksheet!CI52),"")</f>
        <v>1027 х 445 х 966</v>
      </c>
      <c r="V56" t="str">
        <f>IF(Worksheet!CN52&lt;&gt;"",CONCATENATE(Worksheet!CN52,"/",Worksheet!CO52),"")</f>
        <v>52/60</v>
      </c>
      <c r="W56" s="6"/>
      <c r="X56" s="7">
        <f>IF(Worksheet!AN52&lt;&gt;"",Worksheet!AN52,"")</f>
        <v>9.52</v>
      </c>
      <c r="Y56" s="7">
        <f>IF(Worksheet!AO52&lt;&gt;"",Worksheet!AO52,"")</f>
        <v>15.88</v>
      </c>
      <c r="Z56" s="17">
        <f>IF(Worksheet!Q52&lt;&gt;"",Worksheet!Q52,"")</f>
        <v>50</v>
      </c>
      <c r="AA56" s="17">
        <f>IF(Worksheet!R52&lt;&gt;"",Worksheet!R52,"")</f>
        <v>30</v>
      </c>
      <c r="AB56" t="str">
        <f>IF(Worksheet!X52&lt;&gt;"",CONCATENATE("от ",Worksheet!X52," до +",Worksheet!Y52),"")</f>
        <v>от -15 до +46</v>
      </c>
      <c r="AC56" t="str">
        <f>IF(Worksheet!Z52&lt;&gt;"",CONCATENATE("от ",Worksheet!Z52," до +",Worksheet!AA52),"")</f>
        <v>от -15 до +24</v>
      </c>
      <c r="AD56" s="6" t="s">
        <v>5245</v>
      </c>
      <c r="AE56" s="17"/>
    </row>
    <row r="57" spans="1:31" x14ac:dyDescent="0.25">
      <c r="A57" s="17" t="str">
        <f>IF(Worksheet!B53&lt;&gt;"",Worksheet!B53,"")</f>
        <v>FUJITSU</v>
      </c>
      <c r="B57" t="str">
        <f>Worksheet!E53</f>
        <v>Канальные</v>
      </c>
      <c r="C57" s="21">
        <f>IF(Worksheet!M53&lt;&gt;"",MID(Worksheet!M53,1,FIND(" ",Worksheet!M53,1)-1),"")*1</f>
        <v>9.5</v>
      </c>
      <c r="D57">
        <f t="shared" si="2"/>
        <v>95</v>
      </c>
      <c r="E57" t="str">
        <f>IF(Worksheet!L53&lt;&gt;"",IF(Worksheet!L53="Y","да","нет"),"")</f>
        <v>да</v>
      </c>
      <c r="F57" s="21">
        <f>IF(Worksheet!N53&lt;&gt;"",MID(Worksheet!N53,1,FIND(" ",Worksheet!N53,1)-1),"")*1</f>
        <v>10.8</v>
      </c>
      <c r="G57">
        <f>IF(Worksheet!O53&lt;&gt;"",Worksheet!O53,"")</f>
        <v>2.86</v>
      </c>
      <c r="H57">
        <f>IF(Worksheet!P53&lt;&gt;"",Worksheet!P53,"")</f>
        <v>2.48</v>
      </c>
      <c r="I57" s="6"/>
      <c r="J57" s="6"/>
      <c r="K57" t="str">
        <f>IF(Worksheet!BI53&lt;&gt;"",Worksheet!BI53,"")</f>
        <v>1 / 220 / 50</v>
      </c>
      <c r="L57" t="str">
        <f>IF(Worksheet!AU53&lt;&gt;"",Worksheet!AU53,"")</f>
        <v>R32</v>
      </c>
      <c r="M57" s="6"/>
      <c r="N57" s="6"/>
      <c r="O57" t="str">
        <f>IF(Worksheet!CR53&lt;&gt;"",CONCATENATE(Worksheet!CR53," х ",Worksheet!CP53," х ",Worksheet!CT53),"")</f>
        <v>1400 х 300 х 700</v>
      </c>
      <c r="P57" t="str">
        <f>IF(Worksheet!CS53&lt;&gt;"",CONCATENATE(Worksheet!CS53," х ",Worksheet!CU53," х ",Worksheet!CQ53),"")</f>
        <v>1638 х 875 х 400</v>
      </c>
      <c r="Q57" t="str">
        <f>IF(Worksheet!CV53&lt;&gt;"",CONCATENATE(Worksheet!CV53," / ",Worksheet!CW53),"")</f>
        <v>46 / 56</v>
      </c>
      <c r="R57" t="str">
        <f>IF(Worksheet!BS53&lt;&gt;"",Worksheet!BS53,"")</f>
        <v>26/28/31/36</v>
      </c>
      <c r="S57" t="str">
        <f>IF(Worksheet!AL53&lt;&gt;"",Worksheet!AL53,"")</f>
        <v/>
      </c>
      <c r="T57" t="str">
        <f>IF(Worksheet!CJ53&lt;&gt;"",CONCATENATE(Worksheet!CJ53," х ",Worksheet!CL53," х ",Worksheet!CH53),"")</f>
        <v>940 х 320 х 788</v>
      </c>
      <c r="U57" t="str">
        <f>IF(Worksheet!CK53&lt;&gt;"",CONCATENATE(Worksheet!CK53," х ",Worksheet!CM53," х ",Worksheet!CI53),"")</f>
        <v>1027 х 445 х 966</v>
      </c>
      <c r="V57" t="str">
        <f>IF(Worksheet!CN53&lt;&gt;"",CONCATENATE(Worksheet!CN53,"/",Worksheet!CO53),"")</f>
        <v>52/60</v>
      </c>
      <c r="W57" s="6"/>
      <c r="X57" s="7">
        <f>IF(Worksheet!AN53&lt;&gt;"",Worksheet!AN53,"")</f>
        <v>9.52</v>
      </c>
      <c r="Y57" s="7">
        <f>IF(Worksheet!AO53&lt;&gt;"",Worksheet!AO53,"")</f>
        <v>15.88</v>
      </c>
      <c r="Z57" s="17">
        <f>IF(Worksheet!Q53&lt;&gt;"",Worksheet!Q53,"")</f>
        <v>50</v>
      </c>
      <c r="AA57" s="17">
        <f>IF(Worksheet!R53&lt;&gt;"",Worksheet!R53,"")</f>
        <v>30</v>
      </c>
      <c r="AB57" t="str">
        <f>IF(Worksheet!X53&lt;&gt;"",CONCATENATE("от ",Worksheet!X53," до +",Worksheet!Y53),"")</f>
        <v>от -15 до +46</v>
      </c>
      <c r="AC57" t="str">
        <f>IF(Worksheet!Z53&lt;&gt;"",CONCATENATE("от ",Worksheet!Z53," до +",Worksheet!AA53),"")</f>
        <v>от -15 до +24</v>
      </c>
      <c r="AD57" s="6" t="s">
        <v>5245</v>
      </c>
      <c r="AE57" s="17"/>
    </row>
    <row r="58" spans="1:31" x14ac:dyDescent="0.25">
      <c r="A58" s="17" t="str">
        <f>IF(Worksheet!B54&lt;&gt;"",Worksheet!B54,"")</f>
        <v>FUJITSU</v>
      </c>
      <c r="B58" t="str">
        <f>Worksheet!E54</f>
        <v>Канальные</v>
      </c>
      <c r="C58" s="21">
        <f>IF(Worksheet!M54&lt;&gt;"",MID(Worksheet!M54,1,FIND(" ",Worksheet!M54,1)-1),"")*1</f>
        <v>12.1</v>
      </c>
      <c r="D58">
        <f t="shared" si="2"/>
        <v>120</v>
      </c>
      <c r="E58" t="str">
        <f>IF(Worksheet!L54&lt;&gt;"",IF(Worksheet!L54="Y","да","нет"),"")</f>
        <v>да</v>
      </c>
      <c r="F58" s="21">
        <f>IF(Worksheet!N54&lt;&gt;"",MID(Worksheet!N54,1,FIND(" ",Worksheet!N54,1)-1),"")*1</f>
        <v>13.5</v>
      </c>
      <c r="G58">
        <f>IF(Worksheet!O54&lt;&gt;"",Worksheet!O54,"")</f>
        <v>3.53</v>
      </c>
      <c r="H58">
        <f>IF(Worksheet!P54&lt;&gt;"",Worksheet!P54,"")</f>
        <v>3.37</v>
      </c>
      <c r="I58" s="6"/>
      <c r="J58" s="6"/>
      <c r="K58" t="str">
        <f>IF(Worksheet!BI54&lt;&gt;"",Worksheet!BI54,"")</f>
        <v>1 / 220 / 50</v>
      </c>
      <c r="L58" t="str">
        <f>IF(Worksheet!AU54&lt;&gt;"",Worksheet!AU54,"")</f>
        <v>R32</v>
      </c>
      <c r="M58" s="6"/>
      <c r="N58" s="6"/>
      <c r="O58" t="str">
        <f>IF(Worksheet!CR54&lt;&gt;"",CONCATENATE(Worksheet!CR54," х ",Worksheet!CP54," х ",Worksheet!CT54),"")</f>
        <v>1400 х 300 х 700</v>
      </c>
      <c r="P58" t="str">
        <f>IF(Worksheet!CS54&lt;&gt;"",CONCATENATE(Worksheet!CS54," х ",Worksheet!CU54," х ",Worksheet!CQ54),"")</f>
        <v>1638 х 875 х 400</v>
      </c>
      <c r="Q58" t="str">
        <f>IF(Worksheet!CV54&lt;&gt;"",CONCATENATE(Worksheet!CV54," / ",Worksheet!CW54),"")</f>
        <v>46 / 56</v>
      </c>
      <c r="R58" t="str">
        <f>IF(Worksheet!BS54&lt;&gt;"",Worksheet!BS54,"")</f>
        <v>29/31/35/39</v>
      </c>
      <c r="S58" t="str">
        <f>IF(Worksheet!AL54&lt;&gt;"",Worksheet!AL54,"")</f>
        <v/>
      </c>
      <c r="T58" t="str">
        <f>IF(Worksheet!CJ54&lt;&gt;"",CONCATENATE(Worksheet!CJ54," х ",Worksheet!CL54," х ",Worksheet!CH54),"")</f>
        <v>940 х 320 х 988</v>
      </c>
      <c r="U58" t="str">
        <f>IF(Worksheet!CK54&lt;&gt;"",CONCATENATE(Worksheet!CK54," х ",Worksheet!CM54," х ",Worksheet!CI54),"")</f>
        <v>1027 х 445 х 1176</v>
      </c>
      <c r="V58" t="str">
        <f>IF(Worksheet!CN54&lt;&gt;"",CONCATENATE(Worksheet!CN54,"/",Worksheet!CO54),"")</f>
        <v>67/75</v>
      </c>
      <c r="W58" s="6"/>
      <c r="X58" s="7">
        <f>IF(Worksheet!AN54&lt;&gt;"",Worksheet!AN54,"")</f>
        <v>9.52</v>
      </c>
      <c r="Y58" s="7">
        <f>IF(Worksheet!AO54&lt;&gt;"",Worksheet!AO54,"")</f>
        <v>15.88</v>
      </c>
      <c r="Z58" s="17">
        <f>IF(Worksheet!Q54&lt;&gt;"",Worksheet!Q54,"")</f>
        <v>50</v>
      </c>
      <c r="AA58" s="17">
        <f>IF(Worksheet!R54&lt;&gt;"",Worksheet!R54,"")</f>
        <v>30</v>
      </c>
      <c r="AB58" t="str">
        <f>IF(Worksheet!X54&lt;&gt;"",CONCATENATE("от ",Worksheet!X54," до +",Worksheet!Y54),"")</f>
        <v>от -15 до +46</v>
      </c>
      <c r="AC58" t="str">
        <f>IF(Worksheet!Z54&lt;&gt;"",CONCATENATE("от ",Worksheet!Z54," до +",Worksheet!AA54),"")</f>
        <v>от -15 до +24</v>
      </c>
      <c r="AD58" s="6" t="s">
        <v>5245</v>
      </c>
      <c r="AE58" s="17"/>
    </row>
    <row r="59" spans="1:31" x14ac:dyDescent="0.25">
      <c r="A59" s="17" t="str">
        <f>IF(Worksheet!B55&lt;&gt;"",Worksheet!B55,"")</f>
        <v>FUJITSU</v>
      </c>
      <c r="B59" t="str">
        <f>Worksheet!E55</f>
        <v>Канальные</v>
      </c>
      <c r="C59" s="21">
        <f>IF(Worksheet!M55&lt;&gt;"",MID(Worksheet!M55,1,FIND(" ",Worksheet!M55,1)-1),"")*1</f>
        <v>13.4</v>
      </c>
      <c r="D59">
        <f t="shared" si="2"/>
        <v>130</v>
      </c>
      <c r="E59" t="str">
        <f>IF(Worksheet!L55&lt;&gt;"",IF(Worksheet!L55="Y","да","нет"),"")</f>
        <v>да</v>
      </c>
      <c r="F59" s="21">
        <f>IF(Worksheet!N55&lt;&gt;"",MID(Worksheet!N55,1,FIND(" ",Worksheet!N55,1)-1),"")*1</f>
        <v>15.5</v>
      </c>
      <c r="G59">
        <f>IF(Worksheet!O55&lt;&gt;"",Worksheet!O55,"")</f>
        <v>4.42</v>
      </c>
      <c r="H59">
        <f>IF(Worksheet!P55&lt;&gt;"",Worksheet!P55,"")</f>
        <v>3.89</v>
      </c>
      <c r="I59" s="6"/>
      <c r="J59" s="6"/>
      <c r="K59" t="str">
        <f>IF(Worksheet!BI55&lt;&gt;"",Worksheet!BI55,"")</f>
        <v>1 / 220 / 50</v>
      </c>
      <c r="L59" t="str">
        <f>IF(Worksheet!AU55&lt;&gt;"",Worksheet!AU55,"")</f>
        <v>R32</v>
      </c>
      <c r="M59" s="6"/>
      <c r="N59" s="6"/>
      <c r="O59" t="str">
        <f>IF(Worksheet!CR55&lt;&gt;"",CONCATENATE(Worksheet!CR55," х ",Worksheet!CP55," х ",Worksheet!CT55),"")</f>
        <v>1400 х 300 х 700</v>
      </c>
      <c r="P59" t="str">
        <f>IF(Worksheet!CS55&lt;&gt;"",CONCATENATE(Worksheet!CS55," х ",Worksheet!CU55," х ",Worksheet!CQ55),"")</f>
        <v>1638 х 875 х 400</v>
      </c>
      <c r="Q59" t="str">
        <f>IF(Worksheet!CV55&lt;&gt;"",CONCATENATE(Worksheet!CV55," / ",Worksheet!CW55),"")</f>
        <v>46 / 56</v>
      </c>
      <c r="R59" t="str">
        <f>IF(Worksheet!BS55&lt;&gt;"",Worksheet!BS55,"")</f>
        <v>29/31/35/39</v>
      </c>
      <c r="S59" t="str">
        <f>IF(Worksheet!AL55&lt;&gt;"",Worksheet!AL55,"")</f>
        <v/>
      </c>
      <c r="T59" t="str">
        <f>IF(Worksheet!CJ55&lt;&gt;"",CONCATENATE(Worksheet!CJ55," х ",Worksheet!CL55," х ",Worksheet!CH55),"")</f>
        <v>940 х 320 х 998</v>
      </c>
      <c r="U59" t="str">
        <f>IF(Worksheet!CK55&lt;&gt;"",CONCATENATE(Worksheet!CK55," х ",Worksheet!CM55," х ",Worksheet!CI55),"")</f>
        <v>1027 х 445 х 1176</v>
      </c>
      <c r="V59" t="str">
        <f>IF(Worksheet!CN55&lt;&gt;"",CONCATENATE(Worksheet!CN55,"/",Worksheet!CO55),"")</f>
        <v>67/75</v>
      </c>
      <c r="W59" s="6"/>
      <c r="X59" s="7">
        <f>IF(Worksheet!AN55&lt;&gt;"",Worksheet!AN55,"")</f>
        <v>9.52</v>
      </c>
      <c r="Y59" s="7">
        <f>IF(Worksheet!AO55&lt;&gt;"",Worksheet!AO55,"")</f>
        <v>15.88</v>
      </c>
      <c r="Z59" s="17">
        <f>IF(Worksheet!Q55&lt;&gt;"",Worksheet!Q55,"")</f>
        <v>50</v>
      </c>
      <c r="AA59" s="17">
        <f>IF(Worksheet!R55&lt;&gt;"",Worksheet!R55,"")</f>
        <v>30</v>
      </c>
      <c r="AB59" t="str">
        <f>IF(Worksheet!X55&lt;&gt;"",CONCATENATE("от ",Worksheet!X55," до +",Worksheet!Y55),"")</f>
        <v>от -15 до +46</v>
      </c>
      <c r="AC59" t="str">
        <f>IF(Worksheet!Z55&lt;&gt;"",CONCATENATE("от ",Worksheet!Z55," до +",Worksheet!AA55),"")</f>
        <v>от -15 до +24</v>
      </c>
      <c r="AD59" s="6" t="s">
        <v>5245</v>
      </c>
      <c r="AE59" s="17"/>
    </row>
    <row r="60" spans="1:31" x14ac:dyDescent="0.25">
      <c r="A60" s="17" t="str">
        <f>IF(Worksheet!B56&lt;&gt;"",Worksheet!B56,"")</f>
        <v>FUJITSU</v>
      </c>
      <c r="B60" t="str">
        <f>Worksheet!E56</f>
        <v>Канальные</v>
      </c>
      <c r="C60" s="21">
        <f>IF(Worksheet!M56&lt;&gt;"",MID(Worksheet!M56,1,FIND(" ",Worksheet!M56,1)-1),"")*1</f>
        <v>12.5</v>
      </c>
      <c r="D60">
        <f t="shared" si="2"/>
        <v>120</v>
      </c>
      <c r="E60" t="str">
        <f>IF(Worksheet!L56&lt;&gt;"",IF(Worksheet!L56="Y","да","нет"),"")</f>
        <v>да</v>
      </c>
      <c r="F60" s="21">
        <f>IF(Worksheet!N56&lt;&gt;"",MID(Worksheet!N56,1,FIND(" ",Worksheet!N56,1)-1),"")*1</f>
        <v>14</v>
      </c>
      <c r="G60" s="21">
        <f>IF(Worksheet!O56&lt;&gt;"",MID(Worksheet!O56,1,FIND(" ",Worksheet!O56,1)-1),"")*1</f>
        <v>4.0599999999999996</v>
      </c>
      <c r="H60" s="21">
        <f>IF(Worksheet!P56&lt;&gt;"",MID(Worksheet!P56,1,FIND(" ",Worksheet!P56,1)-1),"")*1</f>
        <v>3.67</v>
      </c>
      <c r="I60" s="6"/>
      <c r="J60" s="6"/>
      <c r="K60" t="str">
        <f>IF(Worksheet!BI56&lt;&gt;"",Worksheet!BI56,"")</f>
        <v>3 / 400 / 50</v>
      </c>
      <c r="L60" t="str">
        <f>IF(Worksheet!AU56&lt;&gt;"",Worksheet!AU56,"")</f>
        <v>R410A</v>
      </c>
      <c r="M60" s="6"/>
      <c r="N60" s="6"/>
      <c r="O60" t="str">
        <f>IF(Worksheet!CR56&lt;&gt;"",CONCATENATE(Worksheet!CR56," х ",Worksheet!CP56," х ",Worksheet!CT56),"")</f>
        <v>1050 х 400 х 500</v>
      </c>
      <c r="P60" t="str">
        <f>IF(Worksheet!CS56&lt;&gt;"",CONCATENATE(Worksheet!CS56," х ",Worksheet!CU56," х ",Worksheet!CQ56),"")</f>
        <v>1230 х 640 х 460</v>
      </c>
      <c r="Q60" t="str">
        <f>IF(Worksheet!CV56&lt;&gt;"",CONCATENATE(Worksheet!CV56," / ",Worksheet!CW56),"")</f>
        <v>46 / 51</v>
      </c>
      <c r="R60" t="str">
        <f>IF(Worksheet!BS56&lt;&gt;"",Worksheet!BS56,"")</f>
        <v>40/43/47</v>
      </c>
      <c r="S60" t="str">
        <f>IF(Worksheet!AL56&lt;&gt;"",Worksheet!AL56,"")</f>
        <v>TOSHIBA</v>
      </c>
      <c r="T60" t="str">
        <f>IF(Worksheet!CJ56&lt;&gt;"",CONCATENATE(Worksheet!CJ56," х ",Worksheet!CL56," х ",Worksheet!CH56),"")</f>
        <v>900 х 330 х 1290</v>
      </c>
      <c r="U60" t="str">
        <f>IF(Worksheet!CK56&lt;&gt;"",CONCATENATE(Worksheet!CK56," х ",Worksheet!CM56," х ",Worksheet!CI56),"")</f>
        <v>1050 х 445 х 1460</v>
      </c>
      <c r="V60" t="str">
        <f>IF(Worksheet!CN56&lt;&gt;"",CONCATENATE(Worksheet!CN56,"/",Worksheet!CO56),"")</f>
        <v>104/114</v>
      </c>
      <c r="W60" s="6"/>
      <c r="X60" s="7">
        <f>IF(Worksheet!AN56&lt;&gt;"",Worksheet!AN56,"")</f>
        <v>9.52</v>
      </c>
      <c r="Y60" s="7">
        <f>IF(Worksheet!AO56&lt;&gt;"",Worksheet!AO56,"")</f>
        <v>15.88</v>
      </c>
      <c r="Z60" s="17">
        <f>IF(Worksheet!Q56&lt;&gt;"",Worksheet!Q56,"")</f>
        <v>75</v>
      </c>
      <c r="AA60" s="17">
        <f>IF(Worksheet!R56&lt;&gt;"",Worksheet!R56,"")</f>
        <v>30</v>
      </c>
      <c r="AB60" t="str">
        <f>IF(Worksheet!X56&lt;&gt;"",CONCATENATE("от ",Worksheet!X56," до +",Worksheet!Y56),"")</f>
        <v>от -15 до +46</v>
      </c>
      <c r="AC60" t="str">
        <f>IF(Worksheet!Z56&lt;&gt;"",CONCATENATE("от ",Worksheet!Z56," до +",Worksheet!AA56),"")</f>
        <v>от -15 до +24</v>
      </c>
      <c r="AD60" s="6" t="s">
        <v>5245</v>
      </c>
      <c r="AE60" s="17"/>
    </row>
    <row r="61" spans="1:31" x14ac:dyDescent="0.25">
      <c r="A61" s="17" t="str">
        <f>IF(Worksheet!B57&lt;&gt;"",Worksheet!B57,"")</f>
        <v>FUJITSU</v>
      </c>
      <c r="B61" t="str">
        <f>Worksheet!E57</f>
        <v>Канальные</v>
      </c>
      <c r="C61" s="21">
        <f>IF(Worksheet!M57&lt;&gt;"",MID(Worksheet!M57,1,FIND(" ",Worksheet!M57,1)-1),"")*1</f>
        <v>12.5</v>
      </c>
      <c r="D61">
        <f t="shared" si="2"/>
        <v>120</v>
      </c>
      <c r="E61" t="str">
        <f>IF(Worksheet!L57&lt;&gt;"",IF(Worksheet!L57="Y","да","нет"),"")</f>
        <v>да</v>
      </c>
      <c r="F61" s="21">
        <f>IF(Worksheet!N57&lt;&gt;"",MID(Worksheet!N57,1,FIND(" ",Worksheet!N57,1)-1),"")*1</f>
        <v>14</v>
      </c>
      <c r="G61" s="21">
        <f>IF(Worksheet!O57&lt;&gt;"",MID(Worksheet!O57,1,FIND(" ",Worksheet!O57,1)-1),"")*1</f>
        <v>4.3</v>
      </c>
      <c r="H61" s="21">
        <f>IF(Worksheet!P57&lt;&gt;"",MID(Worksheet!P57,1,FIND(" ",Worksheet!P57,1)-1),"")*1</f>
        <v>3.8</v>
      </c>
      <c r="I61" s="6"/>
      <c r="J61" s="6"/>
      <c r="K61" t="str">
        <f>IF(Worksheet!BI57&lt;&gt;"",Worksheet!BI57,"")</f>
        <v>1 / 220 / 50</v>
      </c>
      <c r="L61" t="str">
        <f>IF(Worksheet!AU57&lt;&gt;"",Worksheet!AU57,"")</f>
        <v>R410A</v>
      </c>
      <c r="M61" s="6"/>
      <c r="N61" s="6"/>
      <c r="O61" t="str">
        <f>IF(Worksheet!CR57&lt;&gt;"",CONCATENATE(Worksheet!CR57," х ",Worksheet!CP57," х ",Worksheet!CT57),"")</f>
        <v>1050 х 400 х 500</v>
      </c>
      <c r="P61" t="str">
        <f>IF(Worksheet!CS57&lt;&gt;"",CONCATENATE(Worksheet!CS57," х ",Worksheet!CU57," х ",Worksheet!CQ57),"")</f>
        <v>1230 х 640 х 460</v>
      </c>
      <c r="Q61" t="str">
        <f>IF(Worksheet!CV57&lt;&gt;"",CONCATENATE(Worksheet!CV57," / ",Worksheet!CW57),"")</f>
        <v>46 / 51</v>
      </c>
      <c r="R61" t="str">
        <f>IF(Worksheet!BS57&lt;&gt;"",Worksheet!BS57,"")</f>
        <v>40/43/47</v>
      </c>
      <c r="S61" t="str">
        <f>IF(Worksheet!AL57&lt;&gt;"",Worksheet!AL57,"")</f>
        <v>GENERAL</v>
      </c>
      <c r="T61" t="str">
        <f>IF(Worksheet!CJ57&lt;&gt;"",CONCATENATE(Worksheet!CJ57," х ",Worksheet!CL57," х ",Worksheet!CH57),"")</f>
        <v>900 х 330 х 1290</v>
      </c>
      <c r="U61" t="str">
        <f>IF(Worksheet!CK57&lt;&gt;"",CONCATENATE(Worksheet!CK57," х ",Worksheet!CM57," х ",Worksheet!CI57),"")</f>
        <v>1050 х 445 х 1460</v>
      </c>
      <c r="V61" t="str">
        <f>IF(Worksheet!CN57&lt;&gt;"",CONCATENATE(Worksheet!CN57,"/",Worksheet!CO57),"")</f>
        <v>86/95</v>
      </c>
      <c r="W61" s="6"/>
      <c r="X61" s="7">
        <f>IF(Worksheet!AN57&lt;&gt;"",Worksheet!AN57,"")</f>
        <v>9.52</v>
      </c>
      <c r="Y61" s="7">
        <f>IF(Worksheet!AO57&lt;&gt;"",Worksheet!AO57,"")</f>
        <v>15.88</v>
      </c>
      <c r="Z61" s="17">
        <f>IF(Worksheet!Q57&lt;&gt;"",Worksheet!Q57,"")</f>
        <v>50</v>
      </c>
      <c r="AA61" s="17">
        <f>IF(Worksheet!R57&lt;&gt;"",Worksheet!R57,"")</f>
        <v>30</v>
      </c>
      <c r="AB61" t="str">
        <f>IF(Worksheet!X57&lt;&gt;"",CONCATENATE("от ",Worksheet!X57," до +",Worksheet!Y57),"")</f>
        <v>от -15 до +46</v>
      </c>
      <c r="AC61" t="str">
        <f>IF(Worksheet!Z57&lt;&gt;"",CONCATENATE("от ",Worksheet!Z57," до +",Worksheet!AA57),"")</f>
        <v>от -15 до +24</v>
      </c>
      <c r="AD61" s="6" t="s">
        <v>5245</v>
      </c>
      <c r="AE61" s="17"/>
    </row>
    <row r="62" spans="1:31" x14ac:dyDescent="0.25">
      <c r="A62" s="17" t="str">
        <f>IF(Worksheet!B58&lt;&gt;"",Worksheet!B58,"")</f>
        <v>FUJITSU</v>
      </c>
      <c r="B62" t="str">
        <f>Worksheet!E58</f>
        <v>Канальные</v>
      </c>
      <c r="C62" s="21">
        <f>IF(Worksheet!M58&lt;&gt;"",MID(Worksheet!M58,1,FIND(" ",Worksheet!M58,1)-1),"")*1</f>
        <v>14</v>
      </c>
      <c r="D62">
        <f t="shared" si="2"/>
        <v>140</v>
      </c>
      <c r="E62" t="str">
        <f>IF(Worksheet!L58&lt;&gt;"",IF(Worksheet!L58="Y","да","нет"),"")</f>
        <v>да</v>
      </c>
      <c r="F62" s="21">
        <f>IF(Worksheet!N58&lt;&gt;"",MID(Worksheet!N58,1,FIND(" ",Worksheet!N58,1)-1),"")*1</f>
        <v>16</v>
      </c>
      <c r="G62" s="21">
        <f>IF(Worksheet!O58&lt;&gt;"",MID(Worksheet!O58,1,FIND(" ",Worksheet!O58,1)-1),"")*1</f>
        <v>4.6500000000000004</v>
      </c>
      <c r="H62" s="21">
        <f>IF(Worksheet!P58&lt;&gt;"",MID(Worksheet!P58,1,FIND(" ",Worksheet!P58,1)-1),"")*1</f>
        <v>4.37</v>
      </c>
      <c r="I62" s="6"/>
      <c r="J62" s="6"/>
      <c r="K62" t="str">
        <f>IF(Worksheet!BI58&lt;&gt;"",Worksheet!BI58,"")</f>
        <v>3 / 400 / 50</v>
      </c>
      <c r="L62" t="str">
        <f>IF(Worksheet!AU58&lt;&gt;"",Worksheet!AU58,"")</f>
        <v>R410A</v>
      </c>
      <c r="M62" s="6"/>
      <c r="N62" s="6"/>
      <c r="O62" t="str">
        <f>IF(Worksheet!CR58&lt;&gt;"",CONCATENATE(Worksheet!CR58," х ",Worksheet!CP58," х ",Worksheet!CT58),"")</f>
        <v>1050 х 400 х 500</v>
      </c>
      <c r="P62" t="str">
        <f>IF(Worksheet!CS58&lt;&gt;"",CONCATENATE(Worksheet!CS58," х ",Worksheet!CU58," х ",Worksheet!CQ58),"")</f>
        <v>1230 х 640 х 460</v>
      </c>
      <c r="Q62" t="str">
        <f>IF(Worksheet!CV58&lt;&gt;"",CONCATENATE(Worksheet!CV58," / ",Worksheet!CW58),"")</f>
        <v>46 / 51</v>
      </c>
      <c r="R62" t="str">
        <f>IF(Worksheet!BS58&lt;&gt;"",Worksheet!BS58,"")</f>
        <v>40/43/47</v>
      </c>
      <c r="S62" t="str">
        <f>IF(Worksheet!AL58&lt;&gt;"",Worksheet!AL58,"")</f>
        <v>TOSHIBA</v>
      </c>
      <c r="T62" t="str">
        <f>IF(Worksheet!CJ58&lt;&gt;"",CONCATENATE(Worksheet!CJ58," х ",Worksheet!CL58," х ",Worksheet!CH58),"")</f>
        <v>900 х 330 х 1290</v>
      </c>
      <c r="U62" t="str">
        <f>IF(Worksheet!CK58&lt;&gt;"",CONCATENATE(Worksheet!CK58," х ",Worksheet!CM58," х ",Worksheet!CI58),"")</f>
        <v>1050 х 445 х 1460</v>
      </c>
      <c r="V62" t="str">
        <f>IF(Worksheet!CN58&lt;&gt;"",CONCATENATE(Worksheet!CN58,"/",Worksheet!CO58),"")</f>
        <v>104/114</v>
      </c>
      <c r="W62" s="6"/>
      <c r="X62" s="7">
        <f>IF(Worksheet!AN58&lt;&gt;"",Worksheet!AN58,"")</f>
        <v>9.52</v>
      </c>
      <c r="Y62" s="7">
        <f>IF(Worksheet!AO58&lt;&gt;"",Worksheet!AO58,"")</f>
        <v>15.88</v>
      </c>
      <c r="Z62" s="17">
        <f>IF(Worksheet!Q58&lt;&gt;"",Worksheet!Q58,"")</f>
        <v>75</v>
      </c>
      <c r="AA62" s="17">
        <f>IF(Worksheet!R58&lt;&gt;"",Worksheet!R58,"")</f>
        <v>30</v>
      </c>
      <c r="AB62" t="str">
        <f>IF(Worksheet!X58&lt;&gt;"",CONCATENATE("от ",Worksheet!X58," до +",Worksheet!Y58),"")</f>
        <v>от -15 до +46</v>
      </c>
      <c r="AC62" t="str">
        <f>IF(Worksheet!Z58&lt;&gt;"",CONCATENATE("от ",Worksheet!Z58," до +",Worksheet!AA58),"")</f>
        <v>от -15 до +24</v>
      </c>
      <c r="AD62" s="6" t="s">
        <v>5245</v>
      </c>
      <c r="AE62" s="17"/>
    </row>
    <row r="63" spans="1:31" x14ac:dyDescent="0.25">
      <c r="A63" s="17" t="str">
        <f>IF(Worksheet!B59&lt;&gt;"",Worksheet!B59,"")</f>
        <v>FUJITSU</v>
      </c>
      <c r="B63" t="str">
        <f>Worksheet!E59</f>
        <v>Канальные</v>
      </c>
      <c r="C63" t="str">
        <f>IF(Worksheet!M59&lt;&gt;"",Worksheet!M59,"")</f>
        <v/>
      </c>
      <c r="E63" t="str">
        <f>IF(Worksheet!L59&lt;&gt;"",IF(Worksheet!L59="Y","да","нет"),"")</f>
        <v>да</v>
      </c>
      <c r="F63" t="str">
        <f>IF(Worksheet!N59&lt;&gt;"",Worksheet!N59,"")</f>
        <v/>
      </c>
      <c r="G63" t="str">
        <f>IF(Worksheet!O59&lt;&gt;"",Worksheet!O59,"")</f>
        <v/>
      </c>
      <c r="H63" t="str">
        <f>IF(Worksheet!P59&lt;&gt;"",Worksheet!P59,"")</f>
        <v/>
      </c>
      <c r="I63" s="6"/>
      <c r="J63" s="6"/>
      <c r="K63" t="str">
        <f>IF(Worksheet!BI59&lt;&gt;"",Worksheet!BI59,"")</f>
        <v/>
      </c>
      <c r="L63" t="str">
        <f>IF(Worksheet!AU59&lt;&gt;"",Worksheet!AU59,"")</f>
        <v/>
      </c>
      <c r="M63" s="6"/>
      <c r="N63" s="6"/>
      <c r="O63" t="str">
        <f>IF(Worksheet!CR59&lt;&gt;"",CONCATENATE(Worksheet!CR59," х ",Worksheet!CP59," х ",Worksheet!CT59),"")</f>
        <v>1050 х 400 х 500</v>
      </c>
      <c r="P63" t="str">
        <f>IF(Worksheet!CS59&lt;&gt;"",CONCATENATE(Worksheet!CS59," х ",Worksheet!CU59," х ",Worksheet!CQ59),"")</f>
        <v>1230 х 640 х 460</v>
      </c>
      <c r="Q63" t="str">
        <f>IF(Worksheet!CV59&lt;&gt;"",CONCATENATE(Worksheet!CV59," / ",Worksheet!CW59),"")</f>
        <v>46 / 51</v>
      </c>
      <c r="R63" t="str">
        <f>IF(Worksheet!BS59&lt;&gt;"",Worksheet!BS59,"")</f>
        <v/>
      </c>
      <c r="S63" t="str">
        <f>IF(Worksheet!AL59&lt;&gt;"",Worksheet!AL59,"")</f>
        <v/>
      </c>
      <c r="T63" t="str">
        <f>IF(Worksheet!CJ59&lt;&gt;"",CONCATENATE(Worksheet!CJ59," х ",Worksheet!CL59," х ",Worksheet!CH59),"")</f>
        <v>900 х 330 х 1290</v>
      </c>
      <c r="U63" t="str">
        <f>IF(Worksheet!CK59&lt;&gt;"",CONCATENATE(Worksheet!CK59," х ",Worksheet!CM59," х ",Worksheet!CI59),"")</f>
        <v>1050 х 445 х 1460</v>
      </c>
      <c r="V63" t="str">
        <f>IF(Worksheet!CN59&lt;&gt;"",CONCATENATE(Worksheet!CN59,"/",Worksheet!CO59),"")</f>
        <v>86/95</v>
      </c>
      <c r="W63" s="6"/>
      <c r="X63" s="7" t="str">
        <f>IF(Worksheet!AN59&lt;&gt;"",Worksheet!AN59,"")</f>
        <v/>
      </c>
      <c r="Y63" s="7" t="str">
        <f>IF(Worksheet!AO59&lt;&gt;"",Worksheet!AO59,"")</f>
        <v/>
      </c>
      <c r="Z63" s="17" t="str">
        <f>IF(Worksheet!Q59&lt;&gt;"",Worksheet!Q59,"")</f>
        <v/>
      </c>
      <c r="AA63" s="17" t="str">
        <f>IF(Worksheet!R59&lt;&gt;"",Worksheet!R59,"")</f>
        <v/>
      </c>
      <c r="AB63" t="str">
        <f>IF(Worksheet!X59&lt;&gt;"",CONCATENATE("от ",Worksheet!X59," до +",Worksheet!Y59),"")</f>
        <v/>
      </c>
      <c r="AC63" t="str">
        <f>IF(Worksheet!Z59&lt;&gt;"",CONCATENATE("от ",Worksheet!Z59," до +",Worksheet!AA59),"")</f>
        <v/>
      </c>
      <c r="AD63" s="6" t="s">
        <v>5245</v>
      </c>
      <c r="AE63" s="17"/>
    </row>
    <row r="64" spans="1:31" x14ac:dyDescent="0.25">
      <c r="A64" s="17" t="str">
        <f>IF(Worksheet!B60&lt;&gt;"",Worksheet!B60,"")</f>
        <v>FUJITSU</v>
      </c>
      <c r="B64" t="str">
        <f>Worksheet!E60</f>
        <v>Канальные</v>
      </c>
      <c r="C64" s="21">
        <f>IF(Worksheet!M60&lt;&gt;"",MID(Worksheet!M60,1,FIND(" ",Worksheet!M60,1)-1),"")*1</f>
        <v>15</v>
      </c>
      <c r="D64">
        <f t="shared" ref="D64:D105" si="3">ROUND(LEFT(C64,3)*10,0)</f>
        <v>150</v>
      </c>
      <c r="E64" t="str">
        <f>IF(Worksheet!L60&lt;&gt;"",IF(Worksheet!L60="Y","да","нет"),"")</f>
        <v>да</v>
      </c>
      <c r="F64" s="21">
        <f>IF(Worksheet!N60&lt;&gt;"",MID(Worksheet!N60,1,FIND(" ",Worksheet!N60,1)-1),"")*1</f>
        <v>18</v>
      </c>
      <c r="G64" s="21">
        <f>IF(Worksheet!O60&lt;&gt;"",MID(Worksheet!O60,1,FIND(" ",Worksheet!O60,1)-1),"")*1</f>
        <v>4.7</v>
      </c>
      <c r="H64" s="21">
        <f>IF(Worksheet!P60&lt;&gt;"",MID(Worksheet!P60,1,FIND(" ",Worksheet!P60,1)-1),"")*1</f>
        <v>5.15</v>
      </c>
      <c r="I64" s="6"/>
      <c r="J64" s="6"/>
      <c r="K64" t="str">
        <f>IF(Worksheet!BI60&lt;&gt;"",Worksheet!BI60,"")</f>
        <v>3 / 400 / 50</v>
      </c>
      <c r="L64" t="str">
        <f>IF(Worksheet!AU60&lt;&gt;"",Worksheet!AU60,"")</f>
        <v>R410A</v>
      </c>
      <c r="M64" s="6"/>
      <c r="N64" s="6"/>
      <c r="O64" t="str">
        <f>IF(Worksheet!CR60&lt;&gt;"",CONCATENATE(Worksheet!CR60," х ",Worksheet!CP60," х ",Worksheet!CT60),"")</f>
        <v>1250 х 425 х 490</v>
      </c>
      <c r="P64" t="str">
        <f>IF(Worksheet!CS60&lt;&gt;"",CONCATENATE(Worksheet!CS60," х ",Worksheet!CU60," х ",Worksheet!CQ60),"")</f>
        <v>1440 х 655 х 490</v>
      </c>
      <c r="Q64" t="str">
        <f>IF(Worksheet!CV60&lt;&gt;"",CONCATENATE(Worksheet!CV60," / ",Worksheet!CW60),"")</f>
        <v>54 / 61</v>
      </c>
      <c r="R64" t="str">
        <f>IF(Worksheet!BS60&lt;&gt;"",Worksheet!BS60,"")</f>
        <v>36/40/45</v>
      </c>
      <c r="S64" t="str">
        <f>IF(Worksheet!AL60&lt;&gt;"",Worksheet!AL60,"")</f>
        <v>TOSHIBA</v>
      </c>
      <c r="T64" t="str">
        <f>IF(Worksheet!CJ60&lt;&gt;"",CONCATENATE(Worksheet!CJ60," х ",Worksheet!CL60," х ",Worksheet!CH60),"")</f>
        <v>900 х 330 х 1290</v>
      </c>
      <c r="U64" t="str">
        <f>IF(Worksheet!CK60&lt;&gt;"",CONCATENATE(Worksheet!CK60," х ",Worksheet!CM60," х ",Worksheet!CI60),"")</f>
        <v>1050 х 445 х 1460</v>
      </c>
      <c r="V64" t="str">
        <f>IF(Worksheet!CN60&lt;&gt;"",CONCATENATE(Worksheet!CN60,"/",Worksheet!CO60),"")</f>
        <v>104/114</v>
      </c>
      <c r="W64" s="6"/>
      <c r="X64" s="7">
        <f>IF(Worksheet!AN60&lt;&gt;"",Worksheet!AN60,"")</f>
        <v>9.52</v>
      </c>
      <c r="Y64" s="7">
        <f>IF(Worksheet!AO60&lt;&gt;"",Worksheet!AO60,"")</f>
        <v>15.88</v>
      </c>
      <c r="Z64" s="17">
        <f>IF(Worksheet!Q60&lt;&gt;"",Worksheet!Q60,"")</f>
        <v>75</v>
      </c>
      <c r="AA64" s="17">
        <f>IF(Worksheet!R60&lt;&gt;"",Worksheet!R60,"")</f>
        <v>30</v>
      </c>
      <c r="AB64" t="str">
        <f>IF(Worksheet!X60&lt;&gt;"",CONCATENATE("от ",Worksheet!X60," до +",Worksheet!Y60),"")</f>
        <v>от -15 до +46</v>
      </c>
      <c r="AC64" t="str">
        <f>IF(Worksheet!Z60&lt;&gt;"",CONCATENATE("от ",Worksheet!Z60," до +",Worksheet!AA60),"")</f>
        <v>от -15 до +24</v>
      </c>
      <c r="AD64" s="6" t="s">
        <v>5245</v>
      </c>
      <c r="AE64" s="17"/>
    </row>
    <row r="65" spans="1:31" x14ac:dyDescent="0.25">
      <c r="A65" s="17" t="str">
        <f>IF(Worksheet!B61&lt;&gt;"",Worksheet!B61,"")</f>
        <v>FUJITSU</v>
      </c>
      <c r="B65" t="str">
        <f>Worksheet!E61</f>
        <v>Канальные</v>
      </c>
      <c r="C65" s="21">
        <f>IF(Worksheet!M61&lt;&gt;"",MID(Worksheet!M61,1,FIND(" ",Worksheet!M61,1)-1),"")*1</f>
        <v>19</v>
      </c>
      <c r="D65">
        <f t="shared" si="3"/>
        <v>190</v>
      </c>
      <c r="E65" t="str">
        <f>IF(Worksheet!L61&lt;&gt;"",IF(Worksheet!L61="Y","да","нет"),"")</f>
        <v>да</v>
      </c>
      <c r="F65" s="21">
        <f>IF(Worksheet!N61&lt;&gt;"",MID(Worksheet!N61,1,FIND(" ",Worksheet!N61,1)-1),"")*1</f>
        <v>22.4</v>
      </c>
      <c r="G65">
        <f>IF(Worksheet!O61&lt;&gt;"",Worksheet!O61,"")</f>
        <v>5.99</v>
      </c>
      <c r="H65">
        <f>IF(Worksheet!P61&lt;&gt;"",Worksheet!P61,"")</f>
        <v>6.12</v>
      </c>
      <c r="I65" s="6"/>
      <c r="J65" s="6"/>
      <c r="K65" t="str">
        <f>IF(Worksheet!BI61&lt;&gt;"",Worksheet!BI61,"")</f>
        <v>3 / 400 / 50</v>
      </c>
      <c r="L65" t="str">
        <f>IF(Worksheet!AU61&lt;&gt;"",Worksheet!AU61,"")</f>
        <v>R410A</v>
      </c>
      <c r="M65" s="6"/>
      <c r="N65" s="6"/>
      <c r="O65" t="str">
        <f>IF(Worksheet!CR61&lt;&gt;"",CONCATENATE(Worksheet!CR61," х ",Worksheet!CP61," х ",Worksheet!CT61),"")</f>
        <v>1400 х 360 х 850</v>
      </c>
      <c r="P65" t="str">
        <f>IF(Worksheet!CS61&lt;&gt;"",CONCATENATE(Worksheet!CS61," х ",Worksheet!CU61," х ",Worksheet!CQ61),"")</f>
        <v>1640 х 1030 х 460</v>
      </c>
      <c r="Q65" t="str">
        <f>IF(Worksheet!CV61&lt;&gt;"",CONCATENATE(Worksheet!CV61," / ",Worksheet!CW61),"")</f>
        <v>69 / 80</v>
      </c>
      <c r="R65" t="str">
        <f>IF(Worksheet!BS61&lt;&gt;"",Worksheet!BS61,"")</f>
        <v>39/41/43/46</v>
      </c>
      <c r="S65" t="str">
        <f>IF(Worksheet!AL61&lt;&gt;"",Worksheet!AL61,"")</f>
        <v/>
      </c>
      <c r="T65" t="str">
        <f>IF(Worksheet!CJ61&lt;&gt;"",CONCATENATE(Worksheet!CJ61," х ",Worksheet!CL61," х ",Worksheet!CH61),"")</f>
        <v>1080 х 480 х 1428</v>
      </c>
      <c r="U65" t="str">
        <f>IF(Worksheet!CK61&lt;&gt;"",CONCATENATE(Worksheet!CK61," х ",Worksheet!CM61," х ",Worksheet!CI61),"")</f>
        <v>1174 х 600 х 1557</v>
      </c>
      <c r="V65" t="str">
        <f>IF(Worksheet!CN61&lt;&gt;"",CONCATENATE(Worksheet!CN61,"/",Worksheet!CO61),"")</f>
        <v>163/181</v>
      </c>
      <c r="W65" s="6"/>
      <c r="X65" s="7">
        <f>IF(Worksheet!AN61&lt;&gt;"",Worksheet!AN61,"")</f>
        <v>12.7</v>
      </c>
      <c r="Y65" s="7">
        <f>IF(Worksheet!AO61&lt;&gt;"",Worksheet!AO61,"")</f>
        <v>25.4</v>
      </c>
      <c r="Z65" s="17">
        <f>IF(Worksheet!Q61&lt;&gt;"",Worksheet!Q61,"")</f>
        <v>100</v>
      </c>
      <c r="AA65" s="17">
        <f>IF(Worksheet!R61&lt;&gt;"",Worksheet!R61,"")</f>
        <v>30</v>
      </c>
      <c r="AB65" t="str">
        <f>IF(Worksheet!X61&lt;&gt;"",CONCATENATE("от ",Worksheet!X61," до +",Worksheet!Y61),"")</f>
        <v>от -15 до +46</v>
      </c>
      <c r="AC65" t="str">
        <f>IF(Worksheet!Z61&lt;&gt;"",CONCATENATE("от ",Worksheet!Z61," до +",Worksheet!AA61),"")</f>
        <v>от -20 до +24</v>
      </c>
      <c r="AD65" s="6" t="s">
        <v>5245</v>
      </c>
      <c r="AE65" s="17"/>
    </row>
    <row r="66" spans="1:31" x14ac:dyDescent="0.25">
      <c r="A66" s="17" t="str">
        <f>IF(Worksheet!B62&lt;&gt;"",Worksheet!B62,"")</f>
        <v>FUJITSU</v>
      </c>
      <c r="B66" t="str">
        <f>Worksheet!E62</f>
        <v>Канальные</v>
      </c>
      <c r="C66" s="21">
        <f>IF(Worksheet!M62&lt;&gt;"",MID(Worksheet!M62,1,FIND(" ",Worksheet!M62,1)-1),"")*1</f>
        <v>22</v>
      </c>
      <c r="D66">
        <f t="shared" si="3"/>
        <v>220</v>
      </c>
      <c r="E66" t="str">
        <f>IF(Worksheet!L62&lt;&gt;"",IF(Worksheet!L62="Y","да","нет"),"")</f>
        <v>да</v>
      </c>
      <c r="F66" s="21">
        <f>IF(Worksheet!N62&lt;&gt;"",MID(Worksheet!N62,1,FIND(" ",Worksheet!N62,1)-1),"")*1</f>
        <v>27</v>
      </c>
      <c r="G66">
        <f>IF(Worksheet!O62&lt;&gt;"",Worksheet!O62,"")</f>
        <v>7.24</v>
      </c>
      <c r="H66">
        <f>IF(Worksheet!P62&lt;&gt;"",Worksheet!P62,"")</f>
        <v>7.65</v>
      </c>
      <c r="I66" s="6"/>
      <c r="J66" s="6"/>
      <c r="K66" t="str">
        <f>IF(Worksheet!BI62&lt;&gt;"",Worksheet!BI62,"")</f>
        <v>3 / 400 / 50</v>
      </c>
      <c r="L66" t="str">
        <f>IF(Worksheet!AU62&lt;&gt;"",Worksheet!AU62,"")</f>
        <v>R410A</v>
      </c>
      <c r="M66" s="6"/>
      <c r="N66" s="6"/>
      <c r="O66" t="str">
        <f>IF(Worksheet!CR62&lt;&gt;"",CONCATENATE(Worksheet!CR62," х ",Worksheet!CP62," х ",Worksheet!CT62),"")</f>
        <v>1400 х 360 х 850</v>
      </c>
      <c r="P66" t="str">
        <f>IF(Worksheet!CS62&lt;&gt;"",CONCATENATE(Worksheet!CS62," х ",Worksheet!CU62," х ",Worksheet!CQ62),"")</f>
        <v>1640 х 1030 х 460</v>
      </c>
      <c r="Q66" t="str">
        <f>IF(Worksheet!CV62&lt;&gt;"",CONCATENATE(Worksheet!CV62," / ",Worksheet!CW62),"")</f>
        <v>80 / 91</v>
      </c>
      <c r="R66" t="str">
        <f>IF(Worksheet!BS62&lt;&gt;"",Worksheet!BS62,"")</f>
        <v>40/42/44/47</v>
      </c>
      <c r="S66" t="str">
        <f>IF(Worksheet!AL62&lt;&gt;"",Worksheet!AL62,"")</f>
        <v/>
      </c>
      <c r="T66" t="str">
        <f>IF(Worksheet!CJ62&lt;&gt;"",CONCATENATE(Worksheet!CJ62," х ",Worksheet!CL62," х ",Worksheet!CH62),"")</f>
        <v>1080 х 480 х 1428</v>
      </c>
      <c r="U66" t="str">
        <f>IF(Worksheet!CK62&lt;&gt;"",CONCATENATE(Worksheet!CK62," х ",Worksheet!CM62," х ",Worksheet!CI62),"")</f>
        <v>1174 х 600 х 1557</v>
      </c>
      <c r="V66" t="str">
        <f>IF(Worksheet!CN62&lt;&gt;"",CONCATENATE(Worksheet!CN62,"/",Worksheet!CO62),"")</f>
        <v>172/190</v>
      </c>
      <c r="W66" s="6"/>
      <c r="X66" s="7">
        <f>IF(Worksheet!AN62&lt;&gt;"",Worksheet!AN62,"")</f>
        <v>12.7</v>
      </c>
      <c r="Y66" s="7">
        <f>IF(Worksheet!AO62&lt;&gt;"",Worksheet!AO62,"")</f>
        <v>25.4</v>
      </c>
      <c r="Z66" s="17">
        <f>IF(Worksheet!Q62&lt;&gt;"",Worksheet!Q62,"")</f>
        <v>100</v>
      </c>
      <c r="AA66" s="17">
        <f>IF(Worksheet!R62&lt;&gt;"",Worksheet!R62,"")</f>
        <v>30</v>
      </c>
      <c r="AB66" t="str">
        <f>IF(Worksheet!X62&lt;&gt;"",CONCATENATE("от ",Worksheet!X62," до +",Worksheet!Y62),"")</f>
        <v>от -15 до +46</v>
      </c>
      <c r="AC66" t="str">
        <f>IF(Worksheet!Z62&lt;&gt;"",CONCATENATE("от ",Worksheet!Z62," до +",Worksheet!AA62),"")</f>
        <v>от -20 до +24</v>
      </c>
      <c r="AD66" s="6" t="s">
        <v>5245</v>
      </c>
      <c r="AE66" s="17"/>
    </row>
    <row r="67" spans="1:31" x14ac:dyDescent="0.25">
      <c r="A67" s="17" t="str">
        <f>IF(Worksheet!B63&lt;&gt;"",Worksheet!B63,"")</f>
        <v>FUJITSU</v>
      </c>
      <c r="B67" t="str">
        <f>Worksheet!E63</f>
        <v>Канальные</v>
      </c>
      <c r="C67" s="21">
        <f>IF(Worksheet!M63&lt;&gt;"",MID(Worksheet!M63,1,FIND(" ",Worksheet!M63,1)-1),"")*1</f>
        <v>2.5</v>
      </c>
      <c r="D67">
        <f t="shared" si="3"/>
        <v>25</v>
      </c>
      <c r="E67" t="str">
        <f>IF(Worksheet!L63&lt;&gt;"",IF(Worksheet!L63="Y","да","нет"),"")</f>
        <v>да</v>
      </c>
      <c r="F67" s="21">
        <f>IF(Worksheet!N63&lt;&gt;"",MID(Worksheet!N63,1,FIND(" ",Worksheet!N63,1)-1),"")*1</f>
        <v>3.2</v>
      </c>
      <c r="G67">
        <f>IF(Worksheet!O63&lt;&gt;"",Worksheet!O63,"")</f>
        <v>0.69</v>
      </c>
      <c r="H67">
        <f>IF(Worksheet!P63&lt;&gt;"",Worksheet!P63,"")</f>
        <v>0.88</v>
      </c>
      <c r="I67" s="6"/>
      <c r="J67" s="6"/>
      <c r="K67" t="str">
        <f>IF(Worksheet!BI63&lt;&gt;"",Worksheet!BI63,"")</f>
        <v>1 / 230 / 50</v>
      </c>
      <c r="L67" t="str">
        <f>IF(Worksheet!AU63&lt;&gt;"",Worksheet!AU63,"")</f>
        <v>R32</v>
      </c>
      <c r="M67" s="6"/>
      <c r="N67" s="6"/>
      <c r="O67" t="str">
        <f>IF(Worksheet!CR63&lt;&gt;"",CONCATENATE(Worksheet!CR63," х ",Worksheet!CP63," х ",Worksheet!CT63),"")</f>
        <v>700 х 198 х 620</v>
      </c>
      <c r="P67" t="str">
        <f>IF(Worksheet!CS63&lt;&gt;"",CONCATENATE(Worksheet!CS63," х ",Worksheet!CU63," х ",Worksheet!CQ63),"")</f>
        <v>968 х 772 х 276</v>
      </c>
      <c r="Q67" t="str">
        <f>IF(Worksheet!CV63&lt;&gt;"",CONCATENATE(Worksheet!CV63," / ",Worksheet!CW63),"")</f>
        <v>17 / 22</v>
      </c>
      <c r="R67" t="str">
        <f>IF(Worksheet!BS63&lt;&gt;"",Worksheet!BS63,"")</f>
        <v>25/26/27/28</v>
      </c>
      <c r="S67" t="str">
        <f>IF(Worksheet!AL63&lt;&gt;"",Worksheet!AL63,"")</f>
        <v/>
      </c>
      <c r="T67" t="str">
        <f>IF(Worksheet!CJ63&lt;&gt;"",CONCATENATE(Worksheet!CJ63," х ",Worksheet!CL63," х ",Worksheet!CH63),"")</f>
        <v>663 х 290 х 541</v>
      </c>
      <c r="U67" t="str">
        <f>IF(Worksheet!CK63&lt;&gt;"",CONCATENATE(Worksheet!CK63," х ",Worksheet!CM63," х ",Worksheet!CI63),"")</f>
        <v>804 х 375 х 602</v>
      </c>
      <c r="V67" t="str">
        <f>IF(Worksheet!CN63&lt;&gt;"",CONCATENATE(Worksheet!CN63,"/",Worksheet!CO63),"")</f>
        <v>23/27</v>
      </c>
      <c r="W67" s="6"/>
      <c r="X67" s="7">
        <f>IF(Worksheet!AN63&lt;&gt;"",Worksheet!AN63,"")</f>
        <v>6.35</v>
      </c>
      <c r="Y67" s="7">
        <f>IF(Worksheet!AO63&lt;&gt;"",Worksheet!AO63,"")</f>
        <v>9.52</v>
      </c>
      <c r="Z67" s="17">
        <f>IF(Worksheet!Q63&lt;&gt;"",Worksheet!Q63,"")</f>
        <v>15</v>
      </c>
      <c r="AA67" s="17">
        <f>IF(Worksheet!R63&lt;&gt;"",Worksheet!R63,"")</f>
        <v>15</v>
      </c>
      <c r="AB67" t="str">
        <f>IF(Worksheet!X63&lt;&gt;"",CONCATENATE("от ",Worksheet!X63," до +",Worksheet!Y63),"")</f>
        <v>от -10 до +46</v>
      </c>
      <c r="AC67" t="str">
        <f>IF(Worksheet!Z63&lt;&gt;"",CONCATENATE("от ",Worksheet!Z63," до +",Worksheet!AA63),"")</f>
        <v>от -15 до +24</v>
      </c>
      <c r="AD67" s="6" t="s">
        <v>5245</v>
      </c>
      <c r="AE67" s="17"/>
    </row>
    <row r="68" spans="1:31" x14ac:dyDescent="0.25">
      <c r="A68" s="17" t="str">
        <f>IF(Worksheet!B64&lt;&gt;"",Worksheet!B64,"")</f>
        <v>FUJITSU</v>
      </c>
      <c r="B68" t="str">
        <f>Worksheet!E64</f>
        <v>Канальные</v>
      </c>
      <c r="C68" s="21">
        <f>IF(Worksheet!M64&lt;&gt;"",MID(Worksheet!M64,1,FIND(" ",Worksheet!M64,1)-1),"")*1</f>
        <v>3.5</v>
      </c>
      <c r="D68">
        <f t="shared" si="3"/>
        <v>35</v>
      </c>
      <c r="E68" t="str">
        <f>IF(Worksheet!L64&lt;&gt;"",IF(Worksheet!L64="Y","да","нет"),"")</f>
        <v>да</v>
      </c>
      <c r="F68" s="21">
        <f>IF(Worksheet!N64&lt;&gt;"",MID(Worksheet!N64,1,FIND(" ",Worksheet!N64,1)-1),"")*1</f>
        <v>4.0999999999999996</v>
      </c>
      <c r="G68">
        <f>IF(Worksheet!O64&lt;&gt;"",Worksheet!O64,"")</f>
        <v>1.0900000000000001</v>
      </c>
      <c r="H68">
        <f>IF(Worksheet!P64&lt;&gt;"",Worksheet!P64,"")</f>
        <v>1.17</v>
      </c>
      <c r="I68" s="6"/>
      <c r="J68" s="6"/>
      <c r="K68" t="str">
        <f>IF(Worksheet!BI64&lt;&gt;"",Worksheet!BI64,"")</f>
        <v>1 / 230 / 50</v>
      </c>
      <c r="L68" t="str">
        <f>IF(Worksheet!AU64&lt;&gt;"",Worksheet!AU64,"")</f>
        <v>R32</v>
      </c>
      <c r="M68" s="6"/>
      <c r="N68" s="6"/>
      <c r="O68" t="str">
        <f>IF(Worksheet!CR64&lt;&gt;"",CONCATENATE(Worksheet!CR64," х ",Worksheet!CP64," х ",Worksheet!CT64),"")</f>
        <v>700 х 198 х 620</v>
      </c>
      <c r="P68" t="str">
        <f>IF(Worksheet!CS64&lt;&gt;"",CONCATENATE(Worksheet!CS64," х ",Worksheet!CU64," х ",Worksheet!CQ64),"")</f>
        <v>968 х 772 х 276</v>
      </c>
      <c r="Q68" t="str">
        <f>IF(Worksheet!CV64&lt;&gt;"",CONCATENATE(Worksheet!CV64," / ",Worksheet!CW64),"")</f>
        <v>17 / 22</v>
      </c>
      <c r="R68" t="str">
        <f>IF(Worksheet!BS64&lt;&gt;"",Worksheet!BS64,"")</f>
        <v>25/26/28/29</v>
      </c>
      <c r="S68" t="str">
        <f>IF(Worksheet!AL64&lt;&gt;"",Worksheet!AL64,"")</f>
        <v/>
      </c>
      <c r="T68" t="str">
        <f>IF(Worksheet!CJ64&lt;&gt;"",CONCATENATE(Worksheet!CJ64," х ",Worksheet!CL64," х ",Worksheet!CH64),"")</f>
        <v>663 х 290 х 541</v>
      </c>
      <c r="U68" t="str">
        <f>IF(Worksheet!CK64&lt;&gt;"",CONCATENATE(Worksheet!CK64," х ",Worksheet!CM64," х ",Worksheet!CI64),"")</f>
        <v>804 х 375 х 602</v>
      </c>
      <c r="V68" t="str">
        <f>IF(Worksheet!CN64&lt;&gt;"",CONCATENATE(Worksheet!CN64,"/",Worksheet!CO64),"")</f>
        <v>25/29</v>
      </c>
      <c r="W68" s="6"/>
      <c r="X68" s="7">
        <f>IF(Worksheet!AN64&lt;&gt;"",Worksheet!AN64,"")</f>
        <v>6.35</v>
      </c>
      <c r="Y68" s="7">
        <f>IF(Worksheet!AO64&lt;&gt;"",Worksheet!AO64,"")</f>
        <v>9.52</v>
      </c>
      <c r="Z68" s="17">
        <f>IF(Worksheet!Q64&lt;&gt;"",Worksheet!Q64,"")</f>
        <v>15</v>
      </c>
      <c r="AA68" s="17">
        <f>IF(Worksheet!R64&lt;&gt;"",Worksheet!R64,"")</f>
        <v>15</v>
      </c>
      <c r="AB68" t="str">
        <f>IF(Worksheet!X64&lt;&gt;"",CONCATENATE("от ",Worksheet!X64," до +",Worksheet!Y64),"")</f>
        <v>от -10 до +46</v>
      </c>
      <c r="AC68" t="str">
        <f>IF(Worksheet!Z64&lt;&gt;"",CONCATENATE("от ",Worksheet!Z64," до +",Worksheet!AA64),"")</f>
        <v>от -15 до +24</v>
      </c>
      <c r="AD68" s="6" t="s">
        <v>5245</v>
      </c>
      <c r="AE68" s="17"/>
    </row>
    <row r="69" spans="1:31" x14ac:dyDescent="0.25">
      <c r="A69" s="17" t="str">
        <f>IF(Worksheet!B65&lt;&gt;"",Worksheet!B65,"")</f>
        <v>FUJITSU</v>
      </c>
      <c r="B69" t="str">
        <f>Worksheet!E65</f>
        <v>Канальные</v>
      </c>
      <c r="C69" s="21">
        <f>IF(Worksheet!M65&lt;&gt;"",MID(Worksheet!M65,1,FIND(" ",Worksheet!M65,1)-1),"")*1</f>
        <v>4.3</v>
      </c>
      <c r="D69">
        <f t="shared" si="3"/>
        <v>43</v>
      </c>
      <c r="E69" t="str">
        <f>IF(Worksheet!L65&lt;&gt;"",IF(Worksheet!L65="Y","да","нет"),"")</f>
        <v>да</v>
      </c>
      <c r="F69" s="21">
        <f>IF(Worksheet!N65&lt;&gt;"",MID(Worksheet!N65,1,FIND(" ",Worksheet!N65,1)-1),"")*1</f>
        <v>5</v>
      </c>
      <c r="G69">
        <f>IF(Worksheet!O65&lt;&gt;"",Worksheet!O65,"")</f>
        <v>1.37</v>
      </c>
      <c r="H69">
        <f>IF(Worksheet!P65&lt;&gt;"",Worksheet!P65,"")</f>
        <v>1.42</v>
      </c>
      <c r="I69" s="6"/>
      <c r="J69" s="6"/>
      <c r="K69" t="str">
        <f>IF(Worksheet!BI65&lt;&gt;"",Worksheet!BI65,"")</f>
        <v>1 / 230 / 50</v>
      </c>
      <c r="L69" t="str">
        <f>IF(Worksheet!AU65&lt;&gt;"",Worksheet!AU65,"")</f>
        <v>R32</v>
      </c>
      <c r="M69" s="6"/>
      <c r="N69" s="6"/>
      <c r="O69" t="str">
        <f>IF(Worksheet!CR65&lt;&gt;"",CONCATENATE(Worksheet!CR65," х ",Worksheet!CP65," х ",Worksheet!CT65),"")</f>
        <v>700 х 198 х 620</v>
      </c>
      <c r="P69" t="str">
        <f>IF(Worksheet!CS65&lt;&gt;"",CONCATENATE(Worksheet!CS65," х ",Worksheet!CU65," х ",Worksheet!CQ65),"")</f>
        <v>968 х 772 х 276</v>
      </c>
      <c r="Q69" t="str">
        <f>IF(Worksheet!CV65&lt;&gt;"",CONCATENATE(Worksheet!CV65," / ",Worksheet!CW65),"")</f>
        <v>17 / 22</v>
      </c>
      <c r="R69" t="str">
        <f>IF(Worksheet!BS65&lt;&gt;"",Worksheet!BS65,"")</f>
        <v>26/28/30/32</v>
      </c>
      <c r="S69" t="str">
        <f>IF(Worksheet!AL65&lt;&gt;"",Worksheet!AL65,"")</f>
        <v/>
      </c>
      <c r="T69" t="str">
        <f>IF(Worksheet!CJ65&lt;&gt;"",CONCATENATE(Worksheet!CJ65," х ",Worksheet!CL65," х ",Worksheet!CH65),"")</f>
        <v>799 х 290 х 542</v>
      </c>
      <c r="U69" t="str">
        <f>IF(Worksheet!CK65&lt;&gt;"",CONCATENATE(Worksheet!CK65," х ",Worksheet!CM65," х ",Worksheet!CI65),"")</f>
        <v>940 х 375 х 602</v>
      </c>
      <c r="V69" t="str">
        <f>IF(Worksheet!CN65&lt;&gt;"",CONCATENATE(Worksheet!CN65,"/",Worksheet!CO65),"")</f>
        <v>32/36</v>
      </c>
      <c r="W69" s="6"/>
      <c r="X69" s="7">
        <f>IF(Worksheet!AN65&lt;&gt;"",Worksheet!AN65,"")</f>
        <v>6.35</v>
      </c>
      <c r="Y69" s="7">
        <f>IF(Worksheet!AO65&lt;&gt;"",Worksheet!AO65,"")</f>
        <v>9.52</v>
      </c>
      <c r="Z69" s="17">
        <f>IF(Worksheet!Q65&lt;&gt;"",Worksheet!Q65,"")</f>
        <v>20</v>
      </c>
      <c r="AA69" s="17">
        <f>IF(Worksheet!R65&lt;&gt;"",Worksheet!R65,"")</f>
        <v>15</v>
      </c>
      <c r="AB69" t="str">
        <f>IF(Worksheet!X65&lt;&gt;"",CONCATENATE("от ",Worksheet!X65," до +",Worksheet!Y65),"")</f>
        <v>от -10 до +46</v>
      </c>
      <c r="AC69" t="str">
        <f>IF(Worksheet!Z65&lt;&gt;"",CONCATENATE("от ",Worksheet!Z65," до +",Worksheet!AA65),"")</f>
        <v>от -15 до +24</v>
      </c>
      <c r="AD69" s="6" t="s">
        <v>5245</v>
      </c>
      <c r="AE69" s="17"/>
    </row>
    <row r="70" spans="1:31" x14ac:dyDescent="0.25">
      <c r="A70" s="17" t="str">
        <f>IF(Worksheet!B66&lt;&gt;"",Worksheet!B66,"")</f>
        <v>FUJITSU</v>
      </c>
      <c r="B70" t="str">
        <f>Worksheet!E66</f>
        <v>Канальные</v>
      </c>
      <c r="C70" s="21">
        <f>IF(Worksheet!M66&lt;&gt;"",MID(Worksheet!M66,1,FIND(" ",Worksheet!M66,1)-1),"")*1</f>
        <v>5.2</v>
      </c>
      <c r="D70">
        <f t="shared" si="3"/>
        <v>52</v>
      </c>
      <c r="E70" t="str">
        <f>IF(Worksheet!L66&lt;&gt;"",IF(Worksheet!L66="Y","да","нет"),"")</f>
        <v>да</v>
      </c>
      <c r="F70" s="21">
        <f>IF(Worksheet!N66&lt;&gt;"",MID(Worksheet!N66,1,FIND(" ",Worksheet!N66,1)-1),"")*1</f>
        <v>6</v>
      </c>
      <c r="G70">
        <f>IF(Worksheet!O66&lt;&gt;"",Worksheet!O66,"")</f>
        <v>1.66</v>
      </c>
      <c r="H70">
        <f>IF(Worksheet!P66&lt;&gt;"",Worksheet!P66,"")</f>
        <v>1.71</v>
      </c>
      <c r="I70" s="6"/>
      <c r="J70" s="6"/>
      <c r="K70" t="str">
        <f>IF(Worksheet!BI66&lt;&gt;"",Worksheet!BI66,"")</f>
        <v>1 / 230 / 50</v>
      </c>
      <c r="L70" t="str">
        <f>IF(Worksheet!AU66&lt;&gt;"",Worksheet!AU66,"")</f>
        <v>R32</v>
      </c>
      <c r="M70" s="6"/>
      <c r="N70" s="6"/>
      <c r="O70" t="str">
        <f>IF(Worksheet!CR66&lt;&gt;"",CONCATENATE(Worksheet!CR66," х ",Worksheet!CP66," х ",Worksheet!CT66),"")</f>
        <v>900 х 198 х 620</v>
      </c>
      <c r="P70" t="str">
        <f>IF(Worksheet!CS66&lt;&gt;"",CONCATENATE(Worksheet!CS66," х ",Worksheet!CU66," х ",Worksheet!CQ66),"")</f>
        <v>1168 х 772 х 276</v>
      </c>
      <c r="Q70" t="str">
        <f>IF(Worksheet!CV66&lt;&gt;"",CONCATENATE(Worksheet!CV66," / ",Worksheet!CW66),"")</f>
        <v>20 / 26</v>
      </c>
      <c r="R70" t="str">
        <f>IF(Worksheet!BS66&lt;&gt;"",Worksheet!BS66,"")</f>
        <v>27/29/30/32</v>
      </c>
      <c r="S70" t="str">
        <f>IF(Worksheet!AL66&lt;&gt;"",Worksheet!AL66,"")</f>
        <v/>
      </c>
      <c r="T70" t="str">
        <f>IF(Worksheet!CJ66&lt;&gt;"",CONCATENATE(Worksheet!CJ66," х ",Worksheet!CL66," х ",Worksheet!CH66),"")</f>
        <v>799 х 290 х 542</v>
      </c>
      <c r="U70" t="str">
        <f>IF(Worksheet!CK66&lt;&gt;"",CONCATENATE(Worksheet!CK66," х ",Worksheet!CM66," х ",Worksheet!CI66),"")</f>
        <v>940 х 375 х 602</v>
      </c>
      <c r="V70" t="str">
        <f>IF(Worksheet!CN66&lt;&gt;"",CONCATENATE(Worksheet!CN66,"/",Worksheet!CO66),"")</f>
        <v>33/36</v>
      </c>
      <c r="W70" s="6"/>
      <c r="X70" s="7">
        <f>IF(Worksheet!AN66&lt;&gt;"",Worksheet!AN66,"")</f>
        <v>6.35</v>
      </c>
      <c r="Y70" s="7">
        <f>IF(Worksheet!AO66&lt;&gt;"",Worksheet!AO66,"")</f>
        <v>12.7</v>
      </c>
      <c r="Z70" s="17">
        <f>IF(Worksheet!Q66&lt;&gt;"",Worksheet!Q66,"")</f>
        <v>20</v>
      </c>
      <c r="AA70" s="17">
        <f>IF(Worksheet!R66&lt;&gt;"",Worksheet!R66,"")</f>
        <v>15</v>
      </c>
      <c r="AB70" t="str">
        <f>IF(Worksheet!X66&lt;&gt;"",CONCATENATE("от ",Worksheet!X66," до +",Worksheet!Y66),"")</f>
        <v>от -10 до +46</v>
      </c>
      <c r="AC70" t="str">
        <f>IF(Worksheet!Z66&lt;&gt;"",CONCATENATE("от ",Worksheet!Z66," до +",Worksheet!AA66),"")</f>
        <v>от -15 до +24</v>
      </c>
      <c r="AD70" s="6" t="s">
        <v>5245</v>
      </c>
      <c r="AE70" s="17"/>
    </row>
    <row r="71" spans="1:31" x14ac:dyDescent="0.25">
      <c r="A71" s="17" t="str">
        <f>IF(Worksheet!B67&lt;&gt;"",Worksheet!B67,"")</f>
        <v>FUJITSU</v>
      </c>
      <c r="B71" t="str">
        <f>Worksheet!E67</f>
        <v>Кассетные</v>
      </c>
      <c r="C71" s="21">
        <f>IF(Worksheet!M67&lt;&gt;"",MID(Worksheet!M67,1,FIND(" ",Worksheet!M67,1)-1),"")*1</f>
        <v>8.5</v>
      </c>
      <c r="D71">
        <f t="shared" si="3"/>
        <v>85</v>
      </c>
      <c r="E71" t="str">
        <f>IF(Worksheet!L67&lt;&gt;"",IF(Worksheet!L67="Y","да","нет"),"")</f>
        <v>да</v>
      </c>
      <c r="F71" s="21">
        <f>IF(Worksheet!N67&lt;&gt;"",MID(Worksheet!N67,1,FIND(" ",Worksheet!N67,1)-1),"")*1</f>
        <v>10</v>
      </c>
      <c r="G71" s="21">
        <f>IF(Worksheet!O67&lt;&gt;"",MID(Worksheet!O67,1,FIND(" ",Worksheet!O67,1)-1),"")*1</f>
        <v>2.65</v>
      </c>
      <c r="H71" s="21">
        <f>IF(Worksheet!P67&lt;&gt;"",MID(Worksheet!P67,1,FIND(" ",Worksheet!P67,1)-1),"")*1</f>
        <v>2.77</v>
      </c>
      <c r="I71" s="6"/>
      <c r="J71" s="6"/>
      <c r="K71" t="str">
        <f>IF(Worksheet!BI67&lt;&gt;"",Worksheet!BI67,"")</f>
        <v>1 / 220 / 50</v>
      </c>
      <c r="L71" t="str">
        <f>IF(Worksheet!AU67&lt;&gt;"",Worksheet!AU67,"")</f>
        <v>R410A</v>
      </c>
      <c r="M71" s="6"/>
      <c r="N71" s="6"/>
      <c r="O71" t="str">
        <f>IF(Worksheet!CR67&lt;&gt;"",CONCATENATE(Worksheet!CR67," х ",Worksheet!CP67," х ",Worksheet!CT67),"")</f>
        <v>950 х 50 х 950</v>
      </c>
      <c r="P71" t="str">
        <f>IF(Worksheet!CS67&lt;&gt;"",CONCATENATE(Worksheet!CS67," х ",Worksheet!CU67," х ",Worksheet!CQ67),"")</f>
        <v>1020 х 1000 х 115</v>
      </c>
      <c r="Q71" t="str">
        <f>IF(Worksheet!CV67&lt;&gt;"",CONCATENATE(Worksheet!CV67," / ",Worksheet!CW67),"")</f>
        <v>5.5 / 8.5</v>
      </c>
      <c r="R71" t="str">
        <f>IF(Worksheet!BS67&lt;&gt;"",Worksheet!BS67,"")</f>
        <v>32/36/38/40</v>
      </c>
      <c r="S71" t="str">
        <f>IF(Worksheet!AL67&lt;&gt;"",Worksheet!AL67,"")</f>
        <v>GENERAL</v>
      </c>
      <c r="T71" t="str">
        <f>IF(Worksheet!CJ67&lt;&gt;"",CONCATENATE(Worksheet!CJ67," х ",Worksheet!CL67," х ",Worksheet!CH67),"")</f>
        <v>900 х 330 х 830</v>
      </c>
      <c r="U71" t="str">
        <f>IF(Worksheet!CK67&lt;&gt;"",CONCATENATE(Worksheet!CK67," х ",Worksheet!CM67," х ",Worksheet!CI67),"")</f>
        <v>1050 х 445 х 1000</v>
      </c>
      <c r="V71" t="str">
        <f>IF(Worksheet!CN67&lt;&gt;"",CONCATENATE(Worksheet!CN67,"/",Worksheet!CO67),"")</f>
        <v>61/69</v>
      </c>
      <c r="W71" s="6"/>
      <c r="X71" s="7">
        <f>IF(Worksheet!AN67&lt;&gt;"",Worksheet!AN67,"")</f>
        <v>9.52</v>
      </c>
      <c r="Y71" s="7">
        <f>IF(Worksheet!AO67&lt;&gt;"",Worksheet!AO67,"")</f>
        <v>15.88</v>
      </c>
      <c r="Z71" s="17">
        <f>IF(Worksheet!Q67&lt;&gt;"",Worksheet!Q67,"")</f>
        <v>50</v>
      </c>
      <c r="AA71" s="17">
        <f>IF(Worksheet!R67&lt;&gt;"",Worksheet!R67,"")</f>
        <v>30</v>
      </c>
      <c r="AB71" t="str">
        <f>IF(Worksheet!X67&lt;&gt;"",CONCATENATE("от ",Worksheet!X67," до +",Worksheet!Y67),"")</f>
        <v>от -15 до +46</v>
      </c>
      <c r="AC71" t="str">
        <f>IF(Worksheet!Z67&lt;&gt;"",CONCATENATE("от ",Worksheet!Z67," до +",Worksheet!AA67),"")</f>
        <v>от -15 до +24</v>
      </c>
      <c r="AD71" s="6" t="s">
        <v>5245</v>
      </c>
      <c r="AE71" s="17"/>
    </row>
    <row r="72" spans="1:31" x14ac:dyDescent="0.25">
      <c r="A72" s="17" t="str">
        <f>IF(Worksheet!B68&lt;&gt;"",Worksheet!B68,"")</f>
        <v>FUJITSU</v>
      </c>
      <c r="B72" t="str">
        <f>Worksheet!E68</f>
        <v>Кассетные</v>
      </c>
      <c r="C72" s="21">
        <f>IF(Worksheet!M68&lt;&gt;"",MID(Worksheet!M68,1,FIND(" ",Worksheet!M68,1)-1),"")*1</f>
        <v>10</v>
      </c>
      <c r="D72">
        <f t="shared" si="3"/>
        <v>100</v>
      </c>
      <c r="E72" t="str">
        <f>IF(Worksheet!L68&lt;&gt;"",IF(Worksheet!L68="Y","да","нет"),"")</f>
        <v>да</v>
      </c>
      <c r="F72" s="21">
        <f>IF(Worksheet!N68&lt;&gt;"",MID(Worksheet!N68,1,FIND(" ",Worksheet!N68,1)-1),"")*1</f>
        <v>11.2</v>
      </c>
      <c r="G72" s="21">
        <f>IF(Worksheet!O68&lt;&gt;"",MID(Worksheet!O68,1,FIND(" ",Worksheet!O68,1)-1),"")*1</f>
        <v>2.44</v>
      </c>
      <c r="H72" s="21">
        <f>IF(Worksheet!P68&lt;&gt;"",MID(Worksheet!P68,1,FIND(" ",Worksheet!P68,1)-1),"")*1</f>
        <v>2.56</v>
      </c>
      <c r="I72" s="6"/>
      <c r="J72" s="6"/>
      <c r="K72" t="str">
        <f>IF(Worksheet!BI68&lt;&gt;"",Worksheet!BI68,"")</f>
        <v>3 / 400 / 50</v>
      </c>
      <c r="L72" t="str">
        <f>IF(Worksheet!AU68&lt;&gt;"",Worksheet!AU68,"")</f>
        <v>R410A</v>
      </c>
      <c r="M72" s="6"/>
      <c r="N72" s="6"/>
      <c r="O72" t="str">
        <f>IF(Worksheet!CR68&lt;&gt;"",CONCATENATE(Worksheet!CR68," х ",Worksheet!CP68," х ",Worksheet!CT68),"")</f>
        <v>950 х 50 х 950</v>
      </c>
      <c r="P72" t="str">
        <f>IF(Worksheet!CS68&lt;&gt;"",CONCATENATE(Worksheet!CS68," х ",Worksheet!CU68," х ",Worksheet!CQ68),"")</f>
        <v>1020 х 1000 х 115</v>
      </c>
      <c r="Q72" t="str">
        <f>IF(Worksheet!CV68&lt;&gt;"",CONCATENATE(Worksheet!CV68," / ",Worksheet!CW68),"")</f>
        <v>5.5 / 8.5</v>
      </c>
      <c r="R72" t="str">
        <f>IF(Worksheet!BS68&lt;&gt;"",Worksheet!BS68,"")</f>
        <v>33/36/39/44</v>
      </c>
      <c r="S72" t="str">
        <f>IF(Worksheet!AL68&lt;&gt;"",Worksheet!AL68,"")</f>
        <v>TOSHIBA</v>
      </c>
      <c r="T72" t="str">
        <f>IF(Worksheet!CJ68&lt;&gt;"",CONCATENATE(Worksheet!CJ68," х ",Worksheet!CL68," х ",Worksheet!CH68),"")</f>
        <v>900 х 330 х 1290</v>
      </c>
      <c r="U72" t="str">
        <f>IF(Worksheet!CK68&lt;&gt;"",CONCATENATE(Worksheet!CK68," х ",Worksheet!CM68," х ",Worksheet!CI68),"")</f>
        <v>1050 х 445 х 1460</v>
      </c>
      <c r="V72" t="str">
        <f>IF(Worksheet!CN68&lt;&gt;"",CONCATENATE(Worksheet!CN68,"/",Worksheet!CO68),"")</f>
        <v>104/114</v>
      </c>
      <c r="W72" s="6"/>
      <c r="X72" s="7">
        <f>IF(Worksheet!AN68&lt;&gt;"",Worksheet!AN68,"")</f>
        <v>9.52</v>
      </c>
      <c r="Y72" s="7">
        <f>IF(Worksheet!AO68&lt;&gt;"",Worksheet!AO68,"")</f>
        <v>15.88</v>
      </c>
      <c r="Z72" s="17">
        <f>IF(Worksheet!Q68&lt;&gt;"",Worksheet!Q68,"")</f>
        <v>75</v>
      </c>
      <c r="AA72" s="17">
        <f>IF(Worksheet!R68&lt;&gt;"",Worksheet!R68,"")</f>
        <v>30</v>
      </c>
      <c r="AB72" t="str">
        <f>IF(Worksheet!X68&lt;&gt;"",CONCATENATE("от ",Worksheet!X68," до +",Worksheet!Y68),"")</f>
        <v>от -15 до +46</v>
      </c>
      <c r="AC72" t="str">
        <f>IF(Worksheet!Z68&lt;&gt;"",CONCATENATE("от ",Worksheet!Z68," до +",Worksheet!AA68),"")</f>
        <v>от -15 до +24</v>
      </c>
      <c r="AD72" s="6" t="s">
        <v>5245</v>
      </c>
      <c r="AE72" s="17"/>
    </row>
    <row r="73" spans="1:31" x14ac:dyDescent="0.25">
      <c r="A73" s="17" t="str">
        <f>IF(Worksheet!B69&lt;&gt;"",Worksheet!B69,"")</f>
        <v>FUJITSU</v>
      </c>
      <c r="B73" t="str">
        <f>Worksheet!E69</f>
        <v>Кассетные</v>
      </c>
      <c r="C73" s="21">
        <f>IF(Worksheet!M69&lt;&gt;"",MID(Worksheet!M69,1,FIND(" ",Worksheet!M69,1)-1),"")*1</f>
        <v>10</v>
      </c>
      <c r="D73">
        <f t="shared" si="3"/>
        <v>100</v>
      </c>
      <c r="E73" t="str">
        <f>IF(Worksheet!L69&lt;&gt;"",IF(Worksheet!L69="Y","да","нет"),"")</f>
        <v>да</v>
      </c>
      <c r="F73" s="21">
        <f>IF(Worksheet!N69&lt;&gt;"",MID(Worksheet!N69,1,FIND(" ",Worksheet!N69,1)-1),"")*1</f>
        <v>11.2</v>
      </c>
      <c r="G73" s="21">
        <f>IF(Worksheet!O69&lt;&gt;"",MID(Worksheet!O69,1,FIND(" ",Worksheet!O69,1)-1),"")*1</f>
        <v>3.12</v>
      </c>
      <c r="H73" s="21">
        <f>IF(Worksheet!P69&lt;&gt;"",MID(Worksheet!P69,1,FIND(" ",Worksheet!P69,1)-1),"")*1</f>
        <v>3.02</v>
      </c>
      <c r="I73" s="6"/>
      <c r="J73" s="6"/>
      <c r="K73" t="str">
        <f>IF(Worksheet!BI69&lt;&gt;"",Worksheet!BI69,"")</f>
        <v>1 / 220 / 50</v>
      </c>
      <c r="L73" t="str">
        <f>IF(Worksheet!AU69&lt;&gt;"",Worksheet!AU69,"")</f>
        <v>R410A</v>
      </c>
      <c r="M73" s="6"/>
      <c r="N73" s="6"/>
      <c r="O73" t="str">
        <f>IF(Worksheet!CR69&lt;&gt;"",CONCATENATE(Worksheet!CR69," х ",Worksheet!CP69," х ",Worksheet!CT69),"")</f>
        <v>950 х 50 х 950</v>
      </c>
      <c r="P73" t="str">
        <f>IF(Worksheet!CS69&lt;&gt;"",CONCATENATE(Worksheet!CS69," х ",Worksheet!CU69," х ",Worksheet!CQ69),"")</f>
        <v>1020 х 1000 х 115</v>
      </c>
      <c r="Q73" t="str">
        <f>IF(Worksheet!CV69&lt;&gt;"",CONCATENATE(Worksheet!CV69," / ",Worksheet!CW69),"")</f>
        <v>5.5 / 8.5</v>
      </c>
      <c r="R73" t="str">
        <f>IF(Worksheet!BS69&lt;&gt;"",Worksheet!BS69,"")</f>
        <v>32/36/38/43</v>
      </c>
      <c r="S73" t="str">
        <f>IF(Worksheet!AL69&lt;&gt;"",Worksheet!AL69,"")</f>
        <v>GENERAL</v>
      </c>
      <c r="T73" t="str">
        <f>IF(Worksheet!CJ69&lt;&gt;"",CONCATENATE(Worksheet!CJ69," х ",Worksheet!CL69," х ",Worksheet!CH69),"")</f>
        <v>900 х 330 х 830</v>
      </c>
      <c r="U73" t="str">
        <f>IF(Worksheet!CK69&lt;&gt;"",CONCATENATE(Worksheet!CK69," х ",Worksheet!CM69," х ",Worksheet!CI69),"")</f>
        <v>1050 х 445 х 1000</v>
      </c>
      <c r="V73" t="str">
        <f>IF(Worksheet!CN69&lt;&gt;"",CONCATENATE(Worksheet!CN69,"/",Worksheet!CO69),"")</f>
        <v>61/69</v>
      </c>
      <c r="W73" s="6"/>
      <c r="X73" s="7">
        <f>IF(Worksheet!AN69&lt;&gt;"",Worksheet!AN69,"")</f>
        <v>9.52</v>
      </c>
      <c r="Y73" s="7">
        <f>IF(Worksheet!AO69&lt;&gt;"",Worksheet!AO69,"")</f>
        <v>15.88</v>
      </c>
      <c r="Z73" s="17">
        <f>IF(Worksheet!Q69&lt;&gt;"",Worksheet!Q69,"")</f>
        <v>50</v>
      </c>
      <c r="AA73" s="17">
        <f>IF(Worksheet!R69&lt;&gt;"",Worksheet!R69,"")</f>
        <v>30</v>
      </c>
      <c r="AB73" t="str">
        <f>IF(Worksheet!X69&lt;&gt;"",CONCATENATE("от ",Worksheet!X69," до +",Worksheet!Y69),"")</f>
        <v>от -15 до +46</v>
      </c>
      <c r="AC73" t="str">
        <f>IF(Worksheet!Z69&lt;&gt;"",CONCATENATE("от ",Worksheet!Z69," до +",Worksheet!AA69),"")</f>
        <v>от -15 до +24</v>
      </c>
      <c r="AD73" s="6" t="s">
        <v>5245</v>
      </c>
      <c r="AE73" s="17"/>
    </row>
    <row r="74" spans="1:31" x14ac:dyDescent="0.25">
      <c r="A74" s="17" t="str">
        <f>IF(Worksheet!B70&lt;&gt;"",Worksheet!B70,"")</f>
        <v>FUJITSU</v>
      </c>
      <c r="B74" t="str">
        <f>Worksheet!E70</f>
        <v>Кассетные</v>
      </c>
      <c r="C74" s="21">
        <f>IF(Worksheet!M70&lt;&gt;"",MID(Worksheet!M70,1,FIND(" ",Worksheet!M70,1)-1),"")*1</f>
        <v>12.5</v>
      </c>
      <c r="D74">
        <f t="shared" si="3"/>
        <v>120</v>
      </c>
      <c r="E74" t="str">
        <f>IF(Worksheet!L70&lt;&gt;"",IF(Worksheet!L70="Y","да","нет"),"")</f>
        <v>да</v>
      </c>
      <c r="F74" s="21">
        <f>IF(Worksheet!N70&lt;&gt;"",MID(Worksheet!N70,1,FIND(" ",Worksheet!N70,1)-1),"")*1</f>
        <v>14</v>
      </c>
      <c r="G74" s="21">
        <f>IF(Worksheet!O70&lt;&gt;"",MID(Worksheet!O70,1,FIND(" ",Worksheet!O70,1)-1),"")*1</f>
        <v>3.54</v>
      </c>
      <c r="H74" s="21">
        <f>IF(Worksheet!P70&lt;&gt;"",MID(Worksheet!P70,1,FIND(" ",Worksheet!P70,1)-1),"")*1</f>
        <v>3.58</v>
      </c>
      <c r="I74" s="6"/>
      <c r="J74" s="6"/>
      <c r="K74" t="str">
        <f>IF(Worksheet!BI70&lt;&gt;"",Worksheet!BI70,"")</f>
        <v>3 / 400 / 50</v>
      </c>
      <c r="L74" t="str">
        <f>IF(Worksheet!AU70&lt;&gt;"",Worksheet!AU70,"")</f>
        <v>R410A</v>
      </c>
      <c r="M74" s="6"/>
      <c r="N74" s="6"/>
      <c r="O74" t="str">
        <f>IF(Worksheet!CR70&lt;&gt;"",CONCATENATE(Worksheet!CR70," х ",Worksheet!CP70," х ",Worksheet!CT70),"")</f>
        <v>950 х 50 х 950</v>
      </c>
      <c r="P74" t="str">
        <f>IF(Worksheet!CS70&lt;&gt;"",CONCATENATE(Worksheet!CS70," х ",Worksheet!CU70," х ",Worksheet!CQ70),"")</f>
        <v>1020 х 1000 х 115</v>
      </c>
      <c r="Q74" t="str">
        <f>IF(Worksheet!CV70&lt;&gt;"",CONCATENATE(Worksheet!CV70," / ",Worksheet!CW70),"")</f>
        <v>5.5 / 8.5</v>
      </c>
      <c r="R74" t="str">
        <f>IF(Worksheet!BS70&lt;&gt;"",Worksheet!BS70,"")</f>
        <v>36/40/42/46</v>
      </c>
      <c r="S74" t="str">
        <f>IF(Worksheet!AL70&lt;&gt;"",Worksheet!AL70,"")</f>
        <v>TOSHIBA</v>
      </c>
      <c r="T74" t="str">
        <f>IF(Worksheet!CJ70&lt;&gt;"",CONCATENATE(Worksheet!CJ70," х ",Worksheet!CL70," х ",Worksheet!CH70),"")</f>
        <v>900 х 330 х 1290</v>
      </c>
      <c r="U74" t="str">
        <f>IF(Worksheet!CK70&lt;&gt;"",CONCATENATE(Worksheet!CK70," х ",Worksheet!CM70," х ",Worksheet!CI70),"")</f>
        <v>1050 х 445 х 1460</v>
      </c>
      <c r="V74" t="str">
        <f>IF(Worksheet!CN70&lt;&gt;"",CONCATENATE(Worksheet!CN70,"/",Worksheet!CO70),"")</f>
        <v>104/114</v>
      </c>
      <c r="W74" s="6"/>
      <c r="X74" s="7">
        <f>IF(Worksheet!AN70&lt;&gt;"",Worksheet!AN70,"")</f>
        <v>9.52</v>
      </c>
      <c r="Y74" s="7">
        <f>IF(Worksheet!AO70&lt;&gt;"",Worksheet!AO70,"")</f>
        <v>15.88</v>
      </c>
      <c r="Z74" s="17">
        <f>IF(Worksheet!Q70&lt;&gt;"",Worksheet!Q70,"")</f>
        <v>75</v>
      </c>
      <c r="AA74" s="17">
        <f>IF(Worksheet!R70&lt;&gt;"",Worksheet!R70,"")</f>
        <v>30</v>
      </c>
      <c r="AB74" t="str">
        <f>IF(Worksheet!X70&lt;&gt;"",CONCATENATE("от ",Worksheet!X70," до +",Worksheet!Y70),"")</f>
        <v>от -15 до +46</v>
      </c>
      <c r="AC74" t="str">
        <f>IF(Worksheet!Z70&lt;&gt;"",CONCATENATE("от ",Worksheet!Z70," до +",Worksheet!AA70),"")</f>
        <v>от -15 до +24</v>
      </c>
      <c r="AD74" s="6" t="s">
        <v>5245</v>
      </c>
      <c r="AE74" s="17"/>
    </row>
    <row r="75" spans="1:31" x14ac:dyDescent="0.25">
      <c r="A75" s="17" t="str">
        <f>IF(Worksheet!B71&lt;&gt;"",Worksheet!B71,"")</f>
        <v>FUJITSU</v>
      </c>
      <c r="B75" t="str">
        <f>Worksheet!E71</f>
        <v>Кассетные</v>
      </c>
      <c r="C75" s="21">
        <f>IF(Worksheet!M71&lt;&gt;"",MID(Worksheet!M71,1,FIND(" ",Worksheet!M71,1)-1),"")*1</f>
        <v>12.5</v>
      </c>
      <c r="D75">
        <f t="shared" si="3"/>
        <v>120</v>
      </c>
      <c r="E75" t="str">
        <f>IF(Worksheet!L71&lt;&gt;"",IF(Worksheet!L71="Y","да","нет"),"")</f>
        <v>да</v>
      </c>
      <c r="F75" s="21">
        <f>IF(Worksheet!N71&lt;&gt;"",MID(Worksheet!N71,1,FIND(" ",Worksheet!N71,1)-1),"")*1</f>
        <v>14</v>
      </c>
      <c r="G75" s="21">
        <f>IF(Worksheet!O71&lt;&gt;"",MID(Worksheet!O71,1,FIND(" ",Worksheet!O71,1)-1),"")*1</f>
        <v>3.88</v>
      </c>
      <c r="H75" s="21">
        <f>IF(Worksheet!P71&lt;&gt;"",MID(Worksheet!P71,1,FIND(" ",Worksheet!P71,1)-1),"")*1</f>
        <v>3.77</v>
      </c>
      <c r="I75" s="6"/>
      <c r="J75" s="6"/>
      <c r="K75" t="str">
        <f>IF(Worksheet!BI71&lt;&gt;"",Worksheet!BI71,"")</f>
        <v>1 / 220 / 50</v>
      </c>
      <c r="L75" t="str">
        <f>IF(Worksheet!AU71&lt;&gt;"",Worksheet!AU71,"")</f>
        <v>R410A</v>
      </c>
      <c r="M75" s="6"/>
      <c r="N75" s="6"/>
      <c r="O75" t="str">
        <f>IF(Worksheet!CR71&lt;&gt;"",CONCATENATE(Worksheet!CR71," х ",Worksheet!CP71," х ",Worksheet!CT71),"")</f>
        <v>950 х 50 х 950</v>
      </c>
      <c r="P75" t="str">
        <f>IF(Worksheet!CS71&lt;&gt;"",CONCATENATE(Worksheet!CS71," х ",Worksheet!CU71," х ",Worksheet!CQ71),"")</f>
        <v>1020 х 1000 х 115</v>
      </c>
      <c r="Q75" t="str">
        <f>IF(Worksheet!CV71&lt;&gt;"",CONCATENATE(Worksheet!CV71," / ",Worksheet!CW71),"")</f>
        <v>5.5 / 8.5</v>
      </c>
      <c r="R75" t="str">
        <f>IF(Worksheet!BS71&lt;&gt;"",Worksheet!BS71,"")</f>
        <v>36/40/42/46</v>
      </c>
      <c r="S75" t="str">
        <f>IF(Worksheet!AL71&lt;&gt;"",Worksheet!AL71,"")</f>
        <v>GENERAL</v>
      </c>
      <c r="T75" t="str">
        <f>IF(Worksheet!CJ71&lt;&gt;"",CONCATENATE(Worksheet!CJ71," х ",Worksheet!CL71," х ",Worksheet!CH71),"")</f>
        <v>900 х 330 х 1290</v>
      </c>
      <c r="U75" t="str">
        <f>IF(Worksheet!CK71&lt;&gt;"",CONCATENATE(Worksheet!CK71," х ",Worksheet!CM71," х ",Worksheet!CI71),"")</f>
        <v>1050 х 445 х 1460</v>
      </c>
      <c r="V75" t="str">
        <f>IF(Worksheet!CN71&lt;&gt;"",CONCATENATE(Worksheet!CN71,"/",Worksheet!CO71),"")</f>
        <v>86/95</v>
      </c>
      <c r="W75" s="6"/>
      <c r="X75" s="7">
        <f>IF(Worksheet!AN71&lt;&gt;"",Worksheet!AN71,"")</f>
        <v>9.52</v>
      </c>
      <c r="Y75" s="7">
        <f>IF(Worksheet!AO71&lt;&gt;"",Worksheet!AO71,"")</f>
        <v>15.88</v>
      </c>
      <c r="Z75" s="17">
        <f>IF(Worksheet!Q71&lt;&gt;"",Worksheet!Q71,"")</f>
        <v>50</v>
      </c>
      <c r="AA75" s="17">
        <f>IF(Worksheet!R71&lt;&gt;"",Worksheet!R71,"")</f>
        <v>30</v>
      </c>
      <c r="AB75" t="str">
        <f>IF(Worksheet!X71&lt;&gt;"",CONCATENATE("от ",Worksheet!X71," до +",Worksheet!Y71),"")</f>
        <v>от -15 до +46</v>
      </c>
      <c r="AC75" t="str">
        <f>IF(Worksheet!Z71&lt;&gt;"",CONCATENATE("от ",Worksheet!Z71," до +",Worksheet!AA71),"")</f>
        <v>от -15 до +24</v>
      </c>
      <c r="AD75" s="6" t="s">
        <v>5245</v>
      </c>
      <c r="AE75" s="17"/>
    </row>
    <row r="76" spans="1:31" x14ac:dyDescent="0.25">
      <c r="A76" s="17" t="str">
        <f>IF(Worksheet!B72&lt;&gt;"",Worksheet!B72,"")</f>
        <v>FUJITSU</v>
      </c>
      <c r="B76" t="str">
        <f>Worksheet!E72</f>
        <v>Кассетные</v>
      </c>
      <c r="C76" s="21">
        <f>IF(Worksheet!M72&lt;&gt;"",MID(Worksheet!M72,1,FIND(" ",Worksheet!M72,1)-1),"")*1</f>
        <v>14</v>
      </c>
      <c r="D76">
        <f t="shared" si="3"/>
        <v>140</v>
      </c>
      <c r="E76" t="str">
        <f>IF(Worksheet!L72&lt;&gt;"",IF(Worksheet!L72="Y","да","нет"),"")</f>
        <v>да</v>
      </c>
      <c r="F76" s="21">
        <f>IF(Worksheet!N72&lt;&gt;"",MID(Worksheet!N72,1,FIND(" ",Worksheet!N72,1)-1),"")*1</f>
        <v>16</v>
      </c>
      <c r="G76" s="21">
        <f>IF(Worksheet!O72&lt;&gt;"",MID(Worksheet!O72,1,FIND(" ",Worksheet!O72,1)-1),"")*1</f>
        <v>4.3600000000000003</v>
      </c>
      <c r="H76" s="21">
        <f>IF(Worksheet!P72&lt;&gt;"",MID(Worksheet!P72,1,FIND(" ",Worksheet!P72,1)-1),"")*1</f>
        <v>4.43</v>
      </c>
      <c r="I76" s="6"/>
      <c r="J76" s="6"/>
      <c r="K76" t="str">
        <f>IF(Worksheet!BI72&lt;&gt;"",Worksheet!BI72,"")</f>
        <v>3 / 400 / 50</v>
      </c>
      <c r="L76" t="str">
        <f>IF(Worksheet!AU72&lt;&gt;"",Worksheet!AU72,"")</f>
        <v>R410A</v>
      </c>
      <c r="M76" s="6"/>
      <c r="N76" s="6"/>
      <c r="O76" t="str">
        <f>IF(Worksheet!CR72&lt;&gt;"",CONCATENATE(Worksheet!CR72," х ",Worksheet!CP72," х ",Worksheet!CT72),"")</f>
        <v>950 х 50 х 950</v>
      </c>
      <c r="P76" t="str">
        <f>IF(Worksheet!CS72&lt;&gt;"",CONCATENATE(Worksheet!CS72," х ",Worksheet!CU72," х ",Worksheet!CQ72),"")</f>
        <v>1020 х 1000 х 115</v>
      </c>
      <c r="Q76" t="str">
        <f>IF(Worksheet!CV72&lt;&gt;"",CONCATENATE(Worksheet!CV72," / ",Worksheet!CW72),"")</f>
        <v>5.5 / 8.5</v>
      </c>
      <c r="R76" t="str">
        <f>IF(Worksheet!BS72&lt;&gt;"",Worksheet!BS72,"")</f>
        <v>37/41/43/47</v>
      </c>
      <c r="S76" t="str">
        <f>IF(Worksheet!AL72&lt;&gt;"",Worksheet!AL72,"")</f>
        <v>TOSHIBA</v>
      </c>
      <c r="T76" t="str">
        <f>IF(Worksheet!CJ72&lt;&gt;"",CONCATENATE(Worksheet!CJ72," х ",Worksheet!CL72," х ",Worksheet!CH72),"")</f>
        <v>900 х 330 х 1290</v>
      </c>
      <c r="U76" t="str">
        <f>IF(Worksheet!CK72&lt;&gt;"",CONCATENATE(Worksheet!CK72," х ",Worksheet!CM72," х ",Worksheet!CI72),"")</f>
        <v>1050 х 445 х 1460</v>
      </c>
      <c r="V76" t="str">
        <f>IF(Worksheet!CN72&lt;&gt;"",CONCATENATE(Worksheet!CN72,"/",Worksheet!CO72),"")</f>
        <v>104/114</v>
      </c>
      <c r="W76" s="6"/>
      <c r="X76" s="7">
        <f>IF(Worksheet!AN72&lt;&gt;"",Worksheet!AN72,"")</f>
        <v>9.52</v>
      </c>
      <c r="Y76" s="7">
        <f>IF(Worksheet!AO72&lt;&gt;"",Worksheet!AO72,"")</f>
        <v>15.88</v>
      </c>
      <c r="Z76" s="17">
        <f>IF(Worksheet!Q72&lt;&gt;"",Worksheet!Q72,"")</f>
        <v>75</v>
      </c>
      <c r="AA76" s="17">
        <f>IF(Worksheet!R72&lt;&gt;"",Worksheet!R72,"")</f>
        <v>30</v>
      </c>
      <c r="AB76" t="str">
        <f>IF(Worksheet!X72&lt;&gt;"",CONCATENATE("от ",Worksheet!X72," до +",Worksheet!Y72),"")</f>
        <v>от -15 до +46</v>
      </c>
      <c r="AC76" t="str">
        <f>IF(Worksheet!Z72&lt;&gt;"",CONCATENATE("от ",Worksheet!Z72," до +",Worksheet!AA72),"")</f>
        <v>от -15 до +24</v>
      </c>
      <c r="AD76" s="6" t="s">
        <v>5245</v>
      </c>
      <c r="AE76" s="17"/>
    </row>
    <row r="77" spans="1:31" x14ac:dyDescent="0.25">
      <c r="A77" s="17" t="str">
        <f>IF(Worksheet!B73&lt;&gt;"",Worksheet!B73,"")</f>
        <v>FUJITSU</v>
      </c>
      <c r="B77" t="str">
        <f>Worksheet!E73</f>
        <v>Кассетные</v>
      </c>
      <c r="C77" s="21">
        <f>IF(Worksheet!M73&lt;&gt;"",MID(Worksheet!M73,1,FIND(" ",Worksheet!M73,1)-1),"")*1</f>
        <v>13.3</v>
      </c>
      <c r="D77">
        <f t="shared" si="3"/>
        <v>130</v>
      </c>
      <c r="E77" t="str">
        <f>IF(Worksheet!L73&lt;&gt;"",IF(Worksheet!L73="Y","да","нет"),"")</f>
        <v>да</v>
      </c>
      <c r="F77" s="21">
        <f>IF(Worksheet!N73&lt;&gt;"",MID(Worksheet!N73,1,FIND(" ",Worksheet!N73,1)-1),"")*1</f>
        <v>16</v>
      </c>
      <c r="G77" s="21">
        <f>IF(Worksheet!O73&lt;&gt;"",MID(Worksheet!O73,1,FIND(" ",Worksheet!O73,1)-1),"")*1</f>
        <v>4.42</v>
      </c>
      <c r="H77" s="21">
        <f>IF(Worksheet!P73&lt;&gt;"",MID(Worksheet!P73,1,FIND(" ",Worksheet!P73,1)-1),"")*1</f>
        <v>4.6900000000000004</v>
      </c>
      <c r="I77" s="6"/>
      <c r="J77" s="6"/>
      <c r="K77" t="str">
        <f>IF(Worksheet!BI73&lt;&gt;"",Worksheet!BI73,"")</f>
        <v>1 / 220 / 50</v>
      </c>
      <c r="L77" t="str">
        <f>IF(Worksheet!AU73&lt;&gt;"",Worksheet!AU73,"")</f>
        <v>R410A</v>
      </c>
      <c r="M77" s="6"/>
      <c r="N77" s="6"/>
      <c r="O77" t="str">
        <f>IF(Worksheet!CR73&lt;&gt;"",CONCATENATE(Worksheet!CR73," х ",Worksheet!CP73," х ",Worksheet!CT73),"")</f>
        <v>950 х 50 х 950</v>
      </c>
      <c r="P77" t="str">
        <f>IF(Worksheet!CS73&lt;&gt;"",CONCATENATE(Worksheet!CS73," х ",Worksheet!CU73," х ",Worksheet!CQ73),"")</f>
        <v>1020 х 1000 х 115</v>
      </c>
      <c r="Q77" t="str">
        <f>IF(Worksheet!CV73&lt;&gt;"",CONCATENATE(Worksheet!CV73," / ",Worksheet!CW73),"")</f>
        <v>5.5 / 8.5</v>
      </c>
      <c r="R77" t="str">
        <f>IF(Worksheet!BS73&lt;&gt;"",Worksheet!BS73,"")</f>
        <v>37/41/43/47</v>
      </c>
      <c r="S77" t="str">
        <f>IF(Worksheet!AL73&lt;&gt;"",Worksheet!AL73,"")</f>
        <v>GENERAL</v>
      </c>
      <c r="T77" t="str">
        <f>IF(Worksheet!CJ73&lt;&gt;"",CONCATENATE(Worksheet!CJ73," х ",Worksheet!CL73," х ",Worksheet!CH73),"")</f>
        <v>900 х 330 х 1290</v>
      </c>
      <c r="U77" t="str">
        <f>IF(Worksheet!CK73&lt;&gt;"",CONCATENATE(Worksheet!CK73," х ",Worksheet!CM73," х ",Worksheet!CI73),"")</f>
        <v>1050 х 445 х 1460</v>
      </c>
      <c r="V77" t="str">
        <f>IF(Worksheet!CN73&lt;&gt;"",CONCATENATE(Worksheet!CN73,"/",Worksheet!CO73),"")</f>
        <v>86/95</v>
      </c>
      <c r="W77" s="6"/>
      <c r="X77" s="7">
        <f>IF(Worksheet!AN73&lt;&gt;"",Worksheet!AN73,"")</f>
        <v>9.52</v>
      </c>
      <c r="Y77" s="7">
        <f>IF(Worksheet!AO73&lt;&gt;"",Worksheet!AO73,"")</f>
        <v>15.88</v>
      </c>
      <c r="Z77" s="17">
        <f>IF(Worksheet!Q73&lt;&gt;"",Worksheet!Q73,"")</f>
        <v>50</v>
      </c>
      <c r="AA77" s="17">
        <f>IF(Worksheet!R73&lt;&gt;"",Worksheet!R73,"")</f>
        <v>30</v>
      </c>
      <c r="AB77" t="str">
        <f>IF(Worksheet!X73&lt;&gt;"",CONCATENATE("от ",Worksheet!X73," до +",Worksheet!Y73),"")</f>
        <v>от -15 до +46</v>
      </c>
      <c r="AC77" t="str">
        <f>IF(Worksheet!Z73&lt;&gt;"",CONCATENATE("от ",Worksheet!Z73," до +",Worksheet!AA73),"")</f>
        <v>от -15 до +24</v>
      </c>
      <c r="AD77" s="6" t="s">
        <v>5245</v>
      </c>
      <c r="AE77" s="17"/>
    </row>
    <row r="78" spans="1:31" x14ac:dyDescent="0.25">
      <c r="A78" s="17" t="str">
        <f>IF(Worksheet!B74&lt;&gt;"",Worksheet!B74,"")</f>
        <v>FUJITSU</v>
      </c>
      <c r="B78" t="str">
        <f>Worksheet!E74</f>
        <v>Кассетные</v>
      </c>
      <c r="C78" s="21">
        <f>IF(Worksheet!M74&lt;&gt;"",MID(Worksheet!M74,1,FIND(" ",Worksheet!M74,1)-1),"")*1</f>
        <v>5.2</v>
      </c>
      <c r="D78">
        <f t="shared" si="3"/>
        <v>52</v>
      </c>
      <c r="E78" t="str">
        <f>IF(Worksheet!L74&lt;&gt;"",IF(Worksheet!L74="Y","да","нет"),"")</f>
        <v>да</v>
      </c>
      <c r="F78" s="21">
        <f>IF(Worksheet!N74&lt;&gt;"",MID(Worksheet!N74,1,FIND(" ",Worksheet!N74,1)-1),"")*1</f>
        <v>6</v>
      </c>
      <c r="G78">
        <f>IF(Worksheet!O74&lt;&gt;"",Worksheet!O74,"")</f>
        <v>1.6</v>
      </c>
      <c r="H78">
        <f>IF(Worksheet!P74&lt;&gt;"",Worksheet!P74,"")</f>
        <v>1.66</v>
      </c>
      <c r="I78" s="6"/>
      <c r="J78" s="6"/>
      <c r="K78" t="str">
        <f>IF(Worksheet!BI74&lt;&gt;"",Worksheet!BI74,"")</f>
        <v>1 / 230 / 50</v>
      </c>
      <c r="L78" t="str">
        <f>IF(Worksheet!AU74&lt;&gt;"",Worksheet!AU74,"")</f>
        <v>R32</v>
      </c>
      <c r="M78" s="6"/>
      <c r="N78" s="6"/>
      <c r="O78" t="str">
        <f>IF(Worksheet!CR74&lt;&gt;"",CONCATENATE(Worksheet!CR74," х ",Worksheet!CP74," х ",Worksheet!CT74),"")</f>
        <v>950 х 53 х 950</v>
      </c>
      <c r="P78" t="str">
        <f>IF(Worksheet!CS74&lt;&gt;"",CONCATENATE(Worksheet!CS74," х ",Worksheet!CU74," х ",Worksheet!CQ74),"")</f>
        <v>1000 х 1010 х 110</v>
      </c>
      <c r="Q78" t="str">
        <f>IF(Worksheet!CV74&lt;&gt;"",CONCATENATE(Worksheet!CV74," / ",Worksheet!CW74),"")</f>
        <v>10.5 / 10.5</v>
      </c>
      <c r="R78" t="str">
        <f>IF(Worksheet!BS74&lt;&gt;"",Worksheet!BS74,"")</f>
        <v>28/31/32/33</v>
      </c>
      <c r="S78" t="str">
        <f>IF(Worksheet!AL74&lt;&gt;"",Worksheet!AL74,"")</f>
        <v/>
      </c>
      <c r="T78" t="str">
        <f>IF(Worksheet!CJ74&lt;&gt;"",CONCATENATE(Worksheet!CJ74," х ",Worksheet!CL74," х ",Worksheet!CH74),"")</f>
        <v>799 х 290 х 542</v>
      </c>
      <c r="U78" t="str">
        <f>IF(Worksheet!CK74&lt;&gt;"",CONCATENATE(Worksheet!CK74," х ",Worksheet!CM74," х ",Worksheet!CI74),"")</f>
        <v>940 х 375 х 602</v>
      </c>
      <c r="V78" t="str">
        <f>IF(Worksheet!CN74&lt;&gt;"",CONCATENATE(Worksheet!CN74,"/",Worksheet!CO74),"")</f>
        <v>33/36</v>
      </c>
      <c r="W78" s="6"/>
      <c r="X78" s="7">
        <f>IF(Worksheet!AN74&lt;&gt;"",Worksheet!AN74,"")</f>
        <v>6.35</v>
      </c>
      <c r="Y78" s="7">
        <f>IF(Worksheet!AO74&lt;&gt;"",Worksheet!AO74,"")</f>
        <v>12.7</v>
      </c>
      <c r="Z78" s="17">
        <f>IF(Worksheet!Q74&lt;&gt;"",Worksheet!Q74,"")</f>
        <v>20</v>
      </c>
      <c r="AA78" s="17">
        <f>IF(Worksheet!R74&lt;&gt;"",Worksheet!R74,"")</f>
        <v>15</v>
      </c>
      <c r="AB78" t="str">
        <f>IF(Worksheet!X74&lt;&gt;"",CONCATENATE("от ",Worksheet!X74," до +",Worksheet!Y74),"")</f>
        <v>от -10 до +46</v>
      </c>
      <c r="AC78" t="str">
        <f>IF(Worksheet!Z74&lt;&gt;"",CONCATENATE("от ",Worksheet!Z74," до +",Worksheet!AA74),"")</f>
        <v>от -15 до +24</v>
      </c>
      <c r="AD78" s="6" t="s">
        <v>5245</v>
      </c>
      <c r="AE78" s="17"/>
    </row>
    <row r="79" spans="1:31" x14ac:dyDescent="0.25">
      <c r="A79" s="17" t="str">
        <f>IF(Worksheet!B75&lt;&gt;"",Worksheet!B75,"")</f>
        <v>FUJITSU</v>
      </c>
      <c r="B79" t="str">
        <f>Worksheet!E75</f>
        <v>Кассетные</v>
      </c>
      <c r="C79" s="21">
        <f>IF(Worksheet!M75&lt;&gt;"",MID(Worksheet!M75,1,FIND(" ",Worksheet!M75,1)-1),"")*1</f>
        <v>6.8</v>
      </c>
      <c r="D79">
        <f t="shared" si="3"/>
        <v>68</v>
      </c>
      <c r="E79" t="str">
        <f>IF(Worksheet!L75&lt;&gt;"",IF(Worksheet!L75="Y","да","нет"),"")</f>
        <v>да</v>
      </c>
      <c r="F79" s="21">
        <f>IF(Worksheet!N75&lt;&gt;"",MID(Worksheet!N75,1,FIND(" ",Worksheet!N75,1)-1),"")*1</f>
        <v>7.5</v>
      </c>
      <c r="G79">
        <f>IF(Worksheet!O75&lt;&gt;"",Worksheet!O75,"")</f>
        <v>2.12</v>
      </c>
      <c r="H79">
        <f>IF(Worksheet!P75&lt;&gt;"",Worksheet!P75,"")</f>
        <v>1.97</v>
      </c>
      <c r="I79" s="6"/>
      <c r="J79" s="6"/>
      <c r="K79" t="str">
        <f>IF(Worksheet!BI75&lt;&gt;"",Worksheet!BI75,"")</f>
        <v>1 / 230 / 50</v>
      </c>
      <c r="L79" t="str">
        <f>IF(Worksheet!AU75&lt;&gt;"",Worksheet!AU75,"")</f>
        <v>R32</v>
      </c>
      <c r="M79" s="6"/>
      <c r="N79" s="6"/>
      <c r="O79" t="str">
        <f>IF(Worksheet!CR75&lt;&gt;"",CONCATENATE(Worksheet!CR75," х ",Worksheet!CP75," х ",Worksheet!CT75),"")</f>
        <v>950 х 53 х 950</v>
      </c>
      <c r="P79" t="str">
        <f>IF(Worksheet!CS75&lt;&gt;"",CONCATENATE(Worksheet!CS75," х ",Worksheet!CU75," х ",Worksheet!CQ75),"")</f>
        <v>1000 х 1010 х 110</v>
      </c>
      <c r="Q79" t="str">
        <f>IF(Worksheet!CV75&lt;&gt;"",CONCATENATE(Worksheet!CV75," / ",Worksheet!CW75),"")</f>
        <v>10.5 / 10.5</v>
      </c>
      <c r="R79" t="str">
        <f>IF(Worksheet!BS75&lt;&gt;"",Worksheet!BS75,"")</f>
        <v>29/32/33/35</v>
      </c>
      <c r="S79" t="str">
        <f>IF(Worksheet!AL75&lt;&gt;"",Worksheet!AL75,"")</f>
        <v/>
      </c>
      <c r="T79" t="str">
        <f>IF(Worksheet!CJ75&lt;&gt;"",CONCATENATE(Worksheet!CJ75," х ",Worksheet!CL75," х ",Worksheet!CH75),"")</f>
        <v>799 х 290 х 632</v>
      </c>
      <c r="U79" t="str">
        <f>IF(Worksheet!CK75&lt;&gt;"",CONCATENATE(Worksheet!CK75," х ",Worksheet!CM75," х ",Worksheet!CI75),"")</f>
        <v>940 х 375 х 692</v>
      </c>
      <c r="V79" t="str">
        <f>IF(Worksheet!CN75&lt;&gt;"",CONCATENATE(Worksheet!CN75,"/",Worksheet!CO75),"")</f>
        <v>38/42</v>
      </c>
      <c r="W79" s="6"/>
      <c r="X79" s="7">
        <f>IF(Worksheet!AN75&lt;&gt;"",Worksheet!AN75,"")</f>
        <v>6.35</v>
      </c>
      <c r="Y79" s="7">
        <f>IF(Worksheet!AO75&lt;&gt;"",Worksheet!AO75,"")</f>
        <v>12.7</v>
      </c>
      <c r="Z79" s="17">
        <f>IF(Worksheet!Q75&lt;&gt;"",Worksheet!Q75,"")</f>
        <v>25</v>
      </c>
      <c r="AA79" s="17">
        <f>IF(Worksheet!R75&lt;&gt;"",Worksheet!R75,"")</f>
        <v>20</v>
      </c>
      <c r="AB79" t="str">
        <f>IF(Worksheet!X75&lt;&gt;"",CONCATENATE("от ",Worksheet!X75," до +",Worksheet!Y75),"")</f>
        <v>от -10 до +46</v>
      </c>
      <c r="AC79" t="str">
        <f>IF(Worksheet!Z75&lt;&gt;"",CONCATENATE("от ",Worksheet!Z75," до +",Worksheet!AA75),"")</f>
        <v>от -15 до +24</v>
      </c>
      <c r="AD79" s="6" t="s">
        <v>5245</v>
      </c>
      <c r="AE79" s="17"/>
    </row>
    <row r="80" spans="1:31" x14ac:dyDescent="0.25">
      <c r="A80" s="17" t="str">
        <f>IF(Worksheet!B76&lt;&gt;"",Worksheet!B76,"")</f>
        <v>FUJITSU</v>
      </c>
      <c r="B80" t="str">
        <f>Worksheet!E76</f>
        <v>Кассетные</v>
      </c>
      <c r="C80" s="21">
        <f>IF(Worksheet!M76&lt;&gt;"",MID(Worksheet!M76,1,FIND(" ",Worksheet!M76,1)-1),"")*1</f>
        <v>8.5</v>
      </c>
      <c r="D80">
        <f t="shared" si="3"/>
        <v>85</v>
      </c>
      <c r="E80" t="str">
        <f>IF(Worksheet!L76&lt;&gt;"",IF(Worksheet!L76="Y","да","нет"),"")</f>
        <v>да</v>
      </c>
      <c r="F80" s="21">
        <f>IF(Worksheet!N76&lt;&gt;"",MID(Worksheet!N76,1,FIND(" ",Worksheet!N76,1)-1),"")*1</f>
        <v>10</v>
      </c>
      <c r="G80">
        <f>IF(Worksheet!O76&lt;&gt;"",Worksheet!O76,"")</f>
        <v>2.56</v>
      </c>
      <c r="H80">
        <f>IF(Worksheet!P76&lt;&gt;"",Worksheet!P76,"")</f>
        <v>2.64</v>
      </c>
      <c r="I80" s="6"/>
      <c r="J80" s="6"/>
      <c r="K80" t="str">
        <f>IF(Worksheet!BI76&lt;&gt;"",Worksheet!BI76,"")</f>
        <v>1 / 230 / 50</v>
      </c>
      <c r="L80" t="str">
        <f>IF(Worksheet!AU76&lt;&gt;"",Worksheet!AU76,"")</f>
        <v>R32</v>
      </c>
      <c r="M80" s="6"/>
      <c r="N80" s="6"/>
      <c r="O80" t="str">
        <f>IF(Worksheet!CR76&lt;&gt;"",CONCATENATE(Worksheet!CR76," х ",Worksheet!CP76," х ",Worksheet!CT76),"")</f>
        <v>950 х 53 х 950</v>
      </c>
      <c r="P80" t="str">
        <f>IF(Worksheet!CS76&lt;&gt;"",CONCATENATE(Worksheet!CS76," х ",Worksheet!CU76," х ",Worksheet!CQ76),"")</f>
        <v>1000 х 1010 х 110</v>
      </c>
      <c r="Q80" t="str">
        <f>IF(Worksheet!CV76&lt;&gt;"",CONCATENATE(Worksheet!CV76," / ",Worksheet!CW76),"")</f>
        <v>10.5 / 10.5</v>
      </c>
      <c r="R80" t="str">
        <f>IF(Worksheet!BS76&lt;&gt;"",Worksheet!BS76,"")</f>
        <v>33/36/38/40</v>
      </c>
      <c r="S80" t="str">
        <f>IF(Worksheet!AL76&lt;&gt;"",Worksheet!AL76,"")</f>
        <v/>
      </c>
      <c r="T80" t="str">
        <f>IF(Worksheet!CJ76&lt;&gt;"",CONCATENATE(Worksheet!CJ76," х ",Worksheet!CL76," х ",Worksheet!CH76),"")</f>
        <v>940 х 320 х 788</v>
      </c>
      <c r="U80" t="str">
        <f>IF(Worksheet!CK76&lt;&gt;"",CONCATENATE(Worksheet!CK76," х ",Worksheet!CM76," х ",Worksheet!CI76),"")</f>
        <v>1027 х 445 х 966</v>
      </c>
      <c r="V80" t="str">
        <f>IF(Worksheet!CN76&lt;&gt;"",CONCATENATE(Worksheet!CN76,"/",Worksheet!CO76),"")</f>
        <v>52/61</v>
      </c>
      <c r="W80" s="6"/>
      <c r="X80" s="7">
        <f>IF(Worksheet!AN76&lt;&gt;"",Worksheet!AN76,"")</f>
        <v>9.52</v>
      </c>
      <c r="Y80" s="7">
        <f>IF(Worksheet!AO76&lt;&gt;"",Worksheet!AO76,"")</f>
        <v>15.88</v>
      </c>
      <c r="Z80" s="17">
        <f>IF(Worksheet!Q76&lt;&gt;"",Worksheet!Q76,"")</f>
        <v>30</v>
      </c>
      <c r="AA80" s="17">
        <f>IF(Worksheet!R76&lt;&gt;"",Worksheet!R76,"")</f>
        <v>30</v>
      </c>
      <c r="AB80" t="str">
        <f>IF(Worksheet!X76&lt;&gt;"",CONCATENATE("от ",Worksheet!X76," до +",Worksheet!Y76),"")</f>
        <v>от -10 до +46</v>
      </c>
      <c r="AC80" t="str">
        <f>IF(Worksheet!Z76&lt;&gt;"",CONCATENATE("от ",Worksheet!Z76," до +",Worksheet!AA76),"")</f>
        <v>от -15 до +24</v>
      </c>
      <c r="AD80" s="6" t="s">
        <v>5245</v>
      </c>
      <c r="AE80" s="17"/>
    </row>
    <row r="81" spans="1:31" x14ac:dyDescent="0.25">
      <c r="A81" s="17" t="str">
        <f>IF(Worksheet!B77&lt;&gt;"",Worksheet!B77,"")</f>
        <v>FUJITSU</v>
      </c>
      <c r="B81" t="str">
        <f>Worksheet!E77</f>
        <v>Кассетные</v>
      </c>
      <c r="C81" s="21">
        <f>IF(Worksheet!M77&lt;&gt;"",MID(Worksheet!M77,1,FIND(" ",Worksheet!M77,1)-1),"")*1</f>
        <v>9.5</v>
      </c>
      <c r="D81">
        <f t="shared" si="3"/>
        <v>95</v>
      </c>
      <c r="E81" t="str">
        <f>IF(Worksheet!L77&lt;&gt;"",IF(Worksheet!L77="Y","да","нет"),"")</f>
        <v>да</v>
      </c>
      <c r="F81" s="21">
        <f>IF(Worksheet!N77&lt;&gt;"",MID(Worksheet!N77,1,FIND(" ",Worksheet!N77,1)-1),"")*1</f>
        <v>10.8</v>
      </c>
      <c r="G81">
        <f>IF(Worksheet!O77&lt;&gt;"",Worksheet!O77,"")</f>
        <v>3.06</v>
      </c>
      <c r="H81">
        <f>IF(Worksheet!P77&lt;&gt;"",Worksheet!P77,"")</f>
        <v>2.58</v>
      </c>
      <c r="I81" s="6"/>
      <c r="J81" s="6"/>
      <c r="K81" t="str">
        <f>IF(Worksheet!BI77&lt;&gt;"",Worksheet!BI77,"")</f>
        <v>1 / 230 / 50</v>
      </c>
      <c r="L81" t="str">
        <f>IF(Worksheet!AU77&lt;&gt;"",Worksheet!AU77,"")</f>
        <v>R32</v>
      </c>
      <c r="M81" s="6"/>
      <c r="N81" s="6"/>
      <c r="O81" t="str">
        <f>IF(Worksheet!CR77&lt;&gt;"",CONCATENATE(Worksheet!CR77," х ",Worksheet!CP77," х ",Worksheet!CT77),"")</f>
        <v>950 х 53 х 950</v>
      </c>
      <c r="P81" t="str">
        <f>IF(Worksheet!CS77&lt;&gt;"",CONCATENATE(Worksheet!CS77," х ",Worksheet!CU77," х ",Worksheet!CQ77),"")</f>
        <v>1000 х 1010 х 110</v>
      </c>
      <c r="Q81" t="str">
        <f>IF(Worksheet!CV77&lt;&gt;"",CONCATENATE(Worksheet!CV77," / ",Worksheet!CW77),"")</f>
        <v>10.5 / 10.5</v>
      </c>
      <c r="R81" t="str">
        <f>IF(Worksheet!BS77&lt;&gt;"",Worksheet!BS77,"")</f>
        <v>34/38/41/44</v>
      </c>
      <c r="S81" t="str">
        <f>IF(Worksheet!AL77&lt;&gt;"",Worksheet!AL77,"")</f>
        <v/>
      </c>
      <c r="T81" t="str">
        <f>IF(Worksheet!CJ77&lt;&gt;"",CONCATENATE(Worksheet!CJ77," х ",Worksheet!CL77," х ",Worksheet!CH77),"")</f>
        <v>940 х 320 х 788</v>
      </c>
      <c r="U81" t="str">
        <f>IF(Worksheet!CK77&lt;&gt;"",CONCATENATE(Worksheet!CK77," х ",Worksheet!CM77," х ",Worksheet!CI77),"")</f>
        <v>1027 х 445 х 966</v>
      </c>
      <c r="V81" t="str">
        <f>IF(Worksheet!CN77&lt;&gt;"",CONCATENATE(Worksheet!CN77,"/",Worksheet!CO77),"")</f>
        <v>52/61</v>
      </c>
      <c r="W81" s="6"/>
      <c r="X81" s="7">
        <f>IF(Worksheet!AN77&lt;&gt;"",Worksheet!AN77,"")</f>
        <v>9.52</v>
      </c>
      <c r="Y81" s="7">
        <f>IF(Worksheet!AO77&lt;&gt;"",Worksheet!AO77,"")</f>
        <v>15.88</v>
      </c>
      <c r="Z81" s="17">
        <f>IF(Worksheet!Q77&lt;&gt;"",Worksheet!Q77,"")</f>
        <v>30</v>
      </c>
      <c r="AA81" s="17">
        <f>IF(Worksheet!R77&lt;&gt;"",Worksheet!R77,"")</f>
        <v>30</v>
      </c>
      <c r="AB81" t="str">
        <f>IF(Worksheet!X77&lt;&gt;"",CONCATENATE("от ",Worksheet!X77," до +",Worksheet!Y77),"")</f>
        <v>от -10 до +46</v>
      </c>
      <c r="AC81" t="str">
        <f>IF(Worksheet!Z77&lt;&gt;"",CONCATENATE("от ",Worksheet!Z77," до +",Worksheet!AA77),"")</f>
        <v>от -15 до +24</v>
      </c>
      <c r="AD81" s="6" t="s">
        <v>5245</v>
      </c>
      <c r="AE81" s="17"/>
    </row>
    <row r="82" spans="1:31" x14ac:dyDescent="0.25">
      <c r="A82" s="17" t="str">
        <f>IF(Worksheet!B78&lt;&gt;"",Worksheet!B78,"")</f>
        <v>FUJITSU</v>
      </c>
      <c r="B82" t="str">
        <f>Worksheet!E78</f>
        <v>Кассетные</v>
      </c>
      <c r="C82" s="21">
        <f>IF(Worksheet!M78&lt;&gt;"",MID(Worksheet!M78,1,FIND(" ",Worksheet!M78,1)-1),"")*1</f>
        <v>9.5</v>
      </c>
      <c r="D82">
        <f t="shared" si="3"/>
        <v>95</v>
      </c>
      <c r="E82" t="str">
        <f>IF(Worksheet!L78&lt;&gt;"",IF(Worksheet!L78="Y","да","нет"),"")</f>
        <v>да</v>
      </c>
      <c r="F82" s="21">
        <f>IF(Worksheet!N78&lt;&gt;"",MID(Worksheet!N78,1,FIND(" ",Worksheet!N78,1)-1),"")*1</f>
        <v>10.8</v>
      </c>
      <c r="G82">
        <f>IF(Worksheet!O78&lt;&gt;"",Worksheet!O78,"")</f>
        <v>3.06</v>
      </c>
      <c r="H82">
        <f>IF(Worksheet!P78&lt;&gt;"",Worksheet!P78,"")</f>
        <v>2.58</v>
      </c>
      <c r="I82" s="6"/>
      <c r="J82" s="6"/>
      <c r="K82" t="str">
        <f>IF(Worksheet!BI78&lt;&gt;"",Worksheet!BI78,"")</f>
        <v>3 / 400 / 50</v>
      </c>
      <c r="L82" t="str">
        <f>IF(Worksheet!AU78&lt;&gt;"",Worksheet!AU78,"")</f>
        <v>R32</v>
      </c>
      <c r="M82" s="6"/>
      <c r="N82" s="6"/>
      <c r="O82" t="str">
        <f>IF(Worksheet!CR78&lt;&gt;"",CONCATENATE(Worksheet!CR78," х ",Worksheet!CP78," х ",Worksheet!CT78),"")</f>
        <v>950 х 53 х 950</v>
      </c>
      <c r="P82" t="str">
        <f>IF(Worksheet!CS78&lt;&gt;"",CONCATENATE(Worksheet!CS78," х ",Worksheet!CU78," х ",Worksheet!CQ78),"")</f>
        <v>1000 х 1010 х 110</v>
      </c>
      <c r="Q82" t="str">
        <f>IF(Worksheet!CV78&lt;&gt;"",CONCATENATE(Worksheet!CV78," / ",Worksheet!CW78),"")</f>
        <v>10.5 / 10.5</v>
      </c>
      <c r="R82" t="str">
        <f>IF(Worksheet!BS78&lt;&gt;"",Worksheet!BS78,"")</f>
        <v>34/38/41/44</v>
      </c>
      <c r="S82" t="str">
        <f>IF(Worksheet!AL78&lt;&gt;"",Worksheet!AL78,"")</f>
        <v/>
      </c>
      <c r="T82" t="str">
        <f>IF(Worksheet!CJ78&lt;&gt;"",CONCATENATE(Worksheet!CJ78," х ",Worksheet!CL78," х ",Worksheet!CH78),"")</f>
        <v>940 х 320 х 788</v>
      </c>
      <c r="U82" t="str">
        <f>IF(Worksheet!CK78&lt;&gt;"",CONCATENATE(Worksheet!CK78," х ",Worksheet!CM78," х ",Worksheet!CI78),"")</f>
        <v>1027 х 445 х 966</v>
      </c>
      <c r="V82" t="str">
        <f>IF(Worksheet!CN78&lt;&gt;"",CONCATENATE(Worksheet!CN78,"/",Worksheet!CO78),"")</f>
        <v>53/62</v>
      </c>
      <c r="W82" s="6"/>
      <c r="X82" s="7">
        <f>IF(Worksheet!AN78&lt;&gt;"",Worksheet!AN78,"")</f>
        <v>9.52</v>
      </c>
      <c r="Y82" s="7">
        <f>IF(Worksheet!AO78&lt;&gt;"",Worksheet!AO78,"")</f>
        <v>15.88</v>
      </c>
      <c r="Z82" s="17">
        <f>IF(Worksheet!Q78&lt;&gt;"",Worksheet!Q78,"")</f>
        <v>30</v>
      </c>
      <c r="AA82" s="17">
        <f>IF(Worksheet!R78&lt;&gt;"",Worksheet!R78,"")</f>
        <v>30</v>
      </c>
      <c r="AB82" t="str">
        <f>IF(Worksheet!X78&lt;&gt;"",CONCATENATE("от ",Worksheet!X78," до +",Worksheet!Y78),"")</f>
        <v>от -10 до +46</v>
      </c>
      <c r="AC82" t="str">
        <f>IF(Worksheet!Z78&lt;&gt;"",CONCATENATE("от ",Worksheet!Z78," до +",Worksheet!AA78),"")</f>
        <v>от -15 до +24</v>
      </c>
      <c r="AD82" s="6" t="s">
        <v>5245</v>
      </c>
      <c r="AE82" s="17"/>
    </row>
    <row r="83" spans="1:31" x14ac:dyDescent="0.25">
      <c r="A83" s="17" t="str">
        <f>IF(Worksheet!B79&lt;&gt;"",Worksheet!B79,"")</f>
        <v>FUJITSU</v>
      </c>
      <c r="B83" t="str">
        <f>Worksheet!E79</f>
        <v>Кассетные</v>
      </c>
      <c r="C83" s="21">
        <f>IF(Worksheet!M79&lt;&gt;"",MID(Worksheet!M79,1,FIND(" ",Worksheet!M79,1)-1),"")*1</f>
        <v>12.1</v>
      </c>
      <c r="D83">
        <f t="shared" si="3"/>
        <v>120</v>
      </c>
      <c r="E83" t="str">
        <f>IF(Worksheet!L79&lt;&gt;"",IF(Worksheet!L79="Y","да","нет"),"")</f>
        <v>да</v>
      </c>
      <c r="F83" s="21">
        <f>IF(Worksheet!N79&lt;&gt;"",MID(Worksheet!N79,1,FIND(" ",Worksheet!N79,1)-1),"")*1</f>
        <v>13.5</v>
      </c>
      <c r="G83">
        <f>IF(Worksheet!O79&lt;&gt;"",Worksheet!O79,"")</f>
        <v>4.32</v>
      </c>
      <c r="H83">
        <f>IF(Worksheet!P79&lt;&gt;"",Worksheet!P79,"")</f>
        <v>3.77</v>
      </c>
      <c r="I83" s="6"/>
      <c r="J83" s="6"/>
      <c r="K83" t="str">
        <f>IF(Worksheet!BI79&lt;&gt;"",Worksheet!BI79,"")</f>
        <v>1 / 230 / 50</v>
      </c>
      <c r="L83" t="str">
        <f>IF(Worksheet!AU79&lt;&gt;"",Worksheet!AU79,"")</f>
        <v>R32</v>
      </c>
      <c r="M83" s="6"/>
      <c r="N83" s="6"/>
      <c r="O83" t="str">
        <f>IF(Worksheet!CR79&lt;&gt;"",CONCATENATE(Worksheet!CR79," х ",Worksheet!CP79," х ",Worksheet!CT79),"")</f>
        <v>950 х 53 х 950</v>
      </c>
      <c r="P83" t="str">
        <f>IF(Worksheet!CS79&lt;&gt;"",CONCATENATE(Worksheet!CS79," х ",Worksheet!CU79," х ",Worksheet!CQ79),"")</f>
        <v>1000 х 1010 х 110</v>
      </c>
      <c r="Q83" t="str">
        <f>IF(Worksheet!CV79&lt;&gt;"",CONCATENATE(Worksheet!CV79," / ",Worksheet!CW79),"")</f>
        <v>10.5 / 10.5</v>
      </c>
      <c r="R83" t="str">
        <f>IF(Worksheet!BS79&lt;&gt;"",Worksheet!BS79,"")</f>
        <v>35/39/42/46</v>
      </c>
      <c r="S83" t="str">
        <f>IF(Worksheet!AL79&lt;&gt;"",Worksheet!AL79,"")</f>
        <v/>
      </c>
      <c r="T83" t="str">
        <f>IF(Worksheet!CJ79&lt;&gt;"",CONCATENATE(Worksheet!CJ79," х ",Worksheet!CL79," х ",Worksheet!CH79),"")</f>
        <v>940 х 320 х 998</v>
      </c>
      <c r="U83" t="str">
        <f>IF(Worksheet!CK79&lt;&gt;"",CONCATENATE(Worksheet!CK79," х ",Worksheet!CM79," х ",Worksheet!CI79),"")</f>
        <v>1027 х 445 х 1176</v>
      </c>
      <c r="V83" t="str">
        <f>IF(Worksheet!CN79&lt;&gt;"",CONCATENATE(Worksheet!CN79,"/",Worksheet!CO79),"")</f>
        <v>61/71</v>
      </c>
      <c r="W83" s="6"/>
      <c r="X83" s="7">
        <f>IF(Worksheet!AN79&lt;&gt;"",Worksheet!AN79,"")</f>
        <v>9.52</v>
      </c>
      <c r="Y83" s="7">
        <f>IF(Worksheet!AO79&lt;&gt;"",Worksheet!AO79,"")</f>
        <v>15.88</v>
      </c>
      <c r="Z83" s="17">
        <f>IF(Worksheet!Q79&lt;&gt;"",Worksheet!Q79,"")</f>
        <v>30</v>
      </c>
      <c r="AA83" s="17">
        <f>IF(Worksheet!R79&lt;&gt;"",Worksheet!R79,"")</f>
        <v>30</v>
      </c>
      <c r="AB83" t="str">
        <f>IF(Worksheet!X79&lt;&gt;"",CONCATENATE("от ",Worksheet!X79," до +",Worksheet!Y79),"")</f>
        <v>от -10 до +46</v>
      </c>
      <c r="AC83" t="str">
        <f>IF(Worksheet!Z79&lt;&gt;"",CONCATENATE("от ",Worksheet!Z79," до +",Worksheet!AA79),"")</f>
        <v>от -15 до +24</v>
      </c>
      <c r="AD83" s="6" t="s">
        <v>5245</v>
      </c>
      <c r="AE83" s="17"/>
    </row>
    <row r="84" spans="1:31" x14ac:dyDescent="0.25">
      <c r="A84" s="17" t="str">
        <f>IF(Worksheet!B80&lt;&gt;"",Worksheet!B80,"")</f>
        <v>FUJITSU</v>
      </c>
      <c r="B84" t="str">
        <f>Worksheet!E80</f>
        <v>Кассетные</v>
      </c>
      <c r="C84" s="21">
        <f>IF(Worksheet!M80&lt;&gt;"",MID(Worksheet!M80,1,FIND(" ",Worksheet!M80,1)-1),"")*1</f>
        <v>12.1</v>
      </c>
      <c r="D84">
        <f t="shared" si="3"/>
        <v>120</v>
      </c>
      <c r="E84" t="str">
        <f>IF(Worksheet!L80&lt;&gt;"",IF(Worksheet!L80="Y","да","нет"),"")</f>
        <v>да</v>
      </c>
      <c r="F84" s="21">
        <f>IF(Worksheet!N80&lt;&gt;"",MID(Worksheet!N80,1,FIND(" ",Worksheet!N80,1)-1),"")*1</f>
        <v>13.5</v>
      </c>
      <c r="G84">
        <f>IF(Worksheet!O80&lt;&gt;"",Worksheet!O80,"")</f>
        <v>4.32</v>
      </c>
      <c r="H84">
        <f>IF(Worksheet!P80&lt;&gt;"",Worksheet!P80,"")</f>
        <v>3.77</v>
      </c>
      <c r="I84" s="6"/>
      <c r="J84" s="6"/>
      <c r="K84" t="str">
        <f>IF(Worksheet!BI80&lt;&gt;"",Worksheet!BI80,"")</f>
        <v>3 / 400 / 50</v>
      </c>
      <c r="L84" t="str">
        <f>IF(Worksheet!AU80&lt;&gt;"",Worksheet!AU80,"")</f>
        <v>R32</v>
      </c>
      <c r="M84" s="6"/>
      <c r="N84" s="6"/>
      <c r="O84" t="str">
        <f>IF(Worksheet!CR80&lt;&gt;"",CONCATENATE(Worksheet!CR80," х ",Worksheet!CP80," х ",Worksheet!CT80),"")</f>
        <v>950 х 53 х 950</v>
      </c>
      <c r="P84" t="str">
        <f>IF(Worksheet!CS80&lt;&gt;"",CONCATENATE(Worksheet!CS80," х ",Worksheet!CU80," х ",Worksheet!CQ80),"")</f>
        <v>1000 х 1010 х 110</v>
      </c>
      <c r="Q84" t="str">
        <f>IF(Worksheet!CV80&lt;&gt;"",CONCATENATE(Worksheet!CV80," / ",Worksheet!CW80),"")</f>
        <v>10.5 / 10.5</v>
      </c>
      <c r="R84" t="str">
        <f>IF(Worksheet!BS80&lt;&gt;"",Worksheet!BS80,"")</f>
        <v>35/39/42/46</v>
      </c>
      <c r="S84" t="str">
        <f>IF(Worksheet!AL80&lt;&gt;"",Worksheet!AL80,"")</f>
        <v/>
      </c>
      <c r="T84" t="str">
        <f>IF(Worksheet!CJ80&lt;&gt;"",CONCATENATE(Worksheet!CJ80," х ",Worksheet!CL80," х ",Worksheet!CH80),"")</f>
        <v>940 х 320 х 998</v>
      </c>
      <c r="U84" t="str">
        <f>IF(Worksheet!CK80&lt;&gt;"",CONCATENATE(Worksheet!CK80," х ",Worksheet!CM80," х ",Worksheet!CI80),"")</f>
        <v>1027 х 445 х 1176</v>
      </c>
      <c r="V84" t="str">
        <f>IF(Worksheet!CN80&lt;&gt;"",CONCATENATE(Worksheet!CN80,"/",Worksheet!CO80),"")</f>
        <v>62/72</v>
      </c>
      <c r="W84" s="6"/>
      <c r="X84" s="7">
        <f>IF(Worksheet!AN80&lt;&gt;"",Worksheet!AN80,"")</f>
        <v>9.52</v>
      </c>
      <c r="Y84" s="7">
        <f>IF(Worksheet!AO80&lt;&gt;"",Worksheet!AO80,"")</f>
        <v>15.88</v>
      </c>
      <c r="Z84" s="17">
        <f>IF(Worksheet!Q80&lt;&gt;"",Worksheet!Q80,"")</f>
        <v>30</v>
      </c>
      <c r="AA84" s="17">
        <f>IF(Worksheet!R80&lt;&gt;"",Worksheet!R80,"")</f>
        <v>30</v>
      </c>
      <c r="AB84" t="str">
        <f>IF(Worksheet!X80&lt;&gt;"",CONCATENATE("от ",Worksheet!X80," до +",Worksheet!Y80),"")</f>
        <v>от -10 до +46</v>
      </c>
      <c r="AC84" t="str">
        <f>IF(Worksheet!Z80&lt;&gt;"",CONCATENATE("от ",Worksheet!Z80," до +",Worksheet!AA80),"")</f>
        <v>от -15 до +24</v>
      </c>
      <c r="AD84" s="6" t="s">
        <v>5245</v>
      </c>
      <c r="AE84" s="17"/>
    </row>
    <row r="85" spans="1:31" x14ac:dyDescent="0.25">
      <c r="A85" s="17" t="str">
        <f>IF(Worksheet!B81&lt;&gt;"",Worksheet!B81,"")</f>
        <v>FUJITSU</v>
      </c>
      <c r="B85" t="str">
        <f>Worksheet!E81</f>
        <v>Кассетные</v>
      </c>
      <c r="C85" s="21">
        <f>IF(Worksheet!M81&lt;&gt;"",MID(Worksheet!M81,1,FIND(" ",Worksheet!M81,1)-1),"")*1</f>
        <v>13.4</v>
      </c>
      <c r="D85">
        <f t="shared" si="3"/>
        <v>130</v>
      </c>
      <c r="E85" t="str">
        <f>IF(Worksheet!L81&lt;&gt;"",IF(Worksheet!L81="Y","да","нет"),"")</f>
        <v>да</v>
      </c>
      <c r="F85" s="21">
        <f>IF(Worksheet!N81&lt;&gt;"",MID(Worksheet!N81,1,FIND(" ",Worksheet!N81,1)-1),"")*1</f>
        <v>15.5</v>
      </c>
      <c r="G85">
        <f>IF(Worksheet!O81&lt;&gt;"",Worksheet!O81,"")</f>
        <v>4.87</v>
      </c>
      <c r="H85">
        <f>IF(Worksheet!P81&lt;&gt;"",Worksheet!P81,"")</f>
        <v>4.8600000000000003</v>
      </c>
      <c r="I85" s="6"/>
      <c r="J85" s="6"/>
      <c r="K85" t="str">
        <f>IF(Worksheet!BI81&lt;&gt;"",Worksheet!BI81,"")</f>
        <v>1 / 230 / 50</v>
      </c>
      <c r="L85" t="str">
        <f>IF(Worksheet!AU81&lt;&gt;"",Worksheet!AU81,"")</f>
        <v>R32</v>
      </c>
      <c r="M85" s="6"/>
      <c r="N85" s="6"/>
      <c r="O85" t="str">
        <f>IF(Worksheet!CR81&lt;&gt;"",CONCATENATE(Worksheet!CR81," х ",Worksheet!CP81," х ",Worksheet!CT81),"")</f>
        <v>950 х 53 х 950</v>
      </c>
      <c r="P85" t="str">
        <f>IF(Worksheet!CS81&lt;&gt;"",CONCATENATE(Worksheet!CS81," х ",Worksheet!CU81," х ",Worksheet!CQ81),"")</f>
        <v>1000 х 1010 х 110</v>
      </c>
      <c r="Q85" t="str">
        <f>IF(Worksheet!CV81&lt;&gt;"",CONCATENATE(Worksheet!CV81," / ",Worksheet!CW81),"")</f>
        <v>10.5 / 10.5</v>
      </c>
      <c r="R85" t="str">
        <f>IF(Worksheet!BS81&lt;&gt;"",Worksheet!BS81,"")</f>
        <v>36/40/43/47</v>
      </c>
      <c r="S85" t="str">
        <f>IF(Worksheet!AL81&lt;&gt;"",Worksheet!AL81,"")</f>
        <v/>
      </c>
      <c r="T85" t="str">
        <f>IF(Worksheet!CJ81&lt;&gt;"",CONCATENATE(Worksheet!CJ81," х ",Worksheet!CL81," х ",Worksheet!CH81),"")</f>
        <v>940 х 320 х 998</v>
      </c>
      <c r="U85" t="str">
        <f>IF(Worksheet!CK81&lt;&gt;"",CONCATENATE(Worksheet!CK81," х ",Worksheet!CM81," х ",Worksheet!CI81),"")</f>
        <v>1027 х 445 х 1176</v>
      </c>
      <c r="V85" t="str">
        <f>IF(Worksheet!CN81&lt;&gt;"",CONCATENATE(Worksheet!CN81,"/",Worksheet!CO81),"")</f>
        <v>63/72</v>
      </c>
      <c r="W85" s="6"/>
      <c r="X85" s="7">
        <f>IF(Worksheet!AN81&lt;&gt;"",Worksheet!AN81,"")</f>
        <v>9.52</v>
      </c>
      <c r="Y85" s="7">
        <f>IF(Worksheet!AO81&lt;&gt;"",Worksheet!AO81,"")</f>
        <v>15.88</v>
      </c>
      <c r="Z85" s="17">
        <f>IF(Worksheet!Q81&lt;&gt;"",Worksheet!Q81,"")</f>
        <v>30</v>
      </c>
      <c r="AA85" s="17">
        <f>IF(Worksheet!R81&lt;&gt;"",Worksheet!R81,"")</f>
        <v>30</v>
      </c>
      <c r="AB85" t="str">
        <f>IF(Worksheet!X81&lt;&gt;"",CONCATENATE("от ",Worksheet!X81," до +",Worksheet!Y81),"")</f>
        <v>от -10 до +46</v>
      </c>
      <c r="AC85" t="str">
        <f>IF(Worksheet!Z81&lt;&gt;"",CONCATENATE("от ",Worksheet!Z81," до +",Worksheet!AA81),"")</f>
        <v>от -15 до +24</v>
      </c>
      <c r="AD85" s="6" t="s">
        <v>5245</v>
      </c>
      <c r="AE85" s="17"/>
    </row>
    <row r="86" spans="1:31" x14ac:dyDescent="0.25">
      <c r="A86" s="17" t="str">
        <f>IF(Worksheet!B82&lt;&gt;"",Worksheet!B82,"")</f>
        <v>FUJITSU</v>
      </c>
      <c r="B86" t="str">
        <f>Worksheet!E82</f>
        <v>Кассетные</v>
      </c>
      <c r="C86" s="21">
        <f>IF(Worksheet!M82&lt;&gt;"",MID(Worksheet!M82,1,FIND(" ",Worksheet!M82,1)-1),"")*1</f>
        <v>13.4</v>
      </c>
      <c r="D86">
        <f t="shared" si="3"/>
        <v>130</v>
      </c>
      <c r="E86" t="str">
        <f>IF(Worksheet!L82&lt;&gt;"",IF(Worksheet!L82="Y","да","нет"),"")</f>
        <v>да</v>
      </c>
      <c r="F86" s="21">
        <f>IF(Worksheet!N82&lt;&gt;"",MID(Worksheet!N82,1,FIND(" ",Worksheet!N82,1)-1),"")*1</f>
        <v>15.5</v>
      </c>
      <c r="G86">
        <f>IF(Worksheet!O82&lt;&gt;"",Worksheet!O82,"")</f>
        <v>4.87</v>
      </c>
      <c r="H86">
        <f>IF(Worksheet!P82&lt;&gt;"",Worksheet!P82,"")</f>
        <v>4.8600000000000003</v>
      </c>
      <c r="I86" s="6"/>
      <c r="J86" s="6"/>
      <c r="K86" t="str">
        <f>IF(Worksheet!BI82&lt;&gt;"",Worksheet!BI82,"")</f>
        <v>3 / 400 / 50</v>
      </c>
      <c r="L86" t="str">
        <f>IF(Worksheet!AU82&lt;&gt;"",Worksheet!AU82,"")</f>
        <v>R32</v>
      </c>
      <c r="M86" s="6"/>
      <c r="N86" s="6"/>
      <c r="O86" t="str">
        <f>IF(Worksheet!CR82&lt;&gt;"",CONCATENATE(Worksheet!CR82," х ",Worksheet!CP82," х ",Worksheet!CT82),"")</f>
        <v>950 х 53 х 950</v>
      </c>
      <c r="P86" t="str">
        <f>IF(Worksheet!CS82&lt;&gt;"",CONCATENATE(Worksheet!CS82," х ",Worksheet!CU82," х ",Worksheet!CQ82),"")</f>
        <v>1000 х 1010 х 110</v>
      </c>
      <c r="Q86" t="str">
        <f>IF(Worksheet!CV82&lt;&gt;"",CONCATENATE(Worksheet!CV82," / ",Worksheet!CW82),"")</f>
        <v>10.5 / 10.5</v>
      </c>
      <c r="R86" t="str">
        <f>IF(Worksheet!BS82&lt;&gt;"",Worksheet!BS82,"")</f>
        <v>36/40/43/47</v>
      </c>
      <c r="S86" t="str">
        <f>IF(Worksheet!AL82&lt;&gt;"",Worksheet!AL82,"")</f>
        <v/>
      </c>
      <c r="T86" t="str">
        <f>IF(Worksheet!CJ82&lt;&gt;"",CONCATENATE(Worksheet!CJ82," х ",Worksheet!CL82," х ",Worksheet!CH82),"")</f>
        <v>940 х 320 х 998</v>
      </c>
      <c r="U86" t="str">
        <f>IF(Worksheet!CK82&lt;&gt;"",CONCATENATE(Worksheet!CK82," х ",Worksheet!CM82," х ",Worksheet!CI82),"")</f>
        <v>1027 х 445 х 1176</v>
      </c>
      <c r="V86" t="str">
        <f>IF(Worksheet!CN82&lt;&gt;"",CONCATENATE(Worksheet!CN82,"/",Worksheet!CO82),"")</f>
        <v>63/73</v>
      </c>
      <c r="W86" s="6"/>
      <c r="X86" s="7">
        <f>IF(Worksheet!AN82&lt;&gt;"",Worksheet!AN82,"")</f>
        <v>9.52</v>
      </c>
      <c r="Y86" s="7">
        <f>IF(Worksheet!AO82&lt;&gt;"",Worksheet!AO82,"")</f>
        <v>15.88</v>
      </c>
      <c r="Z86" s="17">
        <f>IF(Worksheet!Q82&lt;&gt;"",Worksheet!Q82,"")</f>
        <v>30</v>
      </c>
      <c r="AA86" s="17">
        <f>IF(Worksheet!R82&lt;&gt;"",Worksheet!R82,"")</f>
        <v>30</v>
      </c>
      <c r="AB86" t="str">
        <f>IF(Worksheet!X82&lt;&gt;"",CONCATENATE("от ",Worksheet!X82," до +",Worksheet!Y82),"")</f>
        <v>от -10 до +46</v>
      </c>
      <c r="AC86" t="str">
        <f>IF(Worksheet!Z82&lt;&gt;"",CONCATENATE("от ",Worksheet!Z82," до +",Worksheet!AA82),"")</f>
        <v>от -15 до +24</v>
      </c>
      <c r="AD86" s="6" t="s">
        <v>5245</v>
      </c>
      <c r="AE86" s="17"/>
    </row>
    <row r="87" spans="1:31" x14ac:dyDescent="0.25">
      <c r="A87" s="17" t="str">
        <f>IF(Worksheet!B83&lt;&gt;"",Worksheet!B83,"")</f>
        <v>FUJITSU</v>
      </c>
      <c r="B87" t="str">
        <f>Worksheet!E83</f>
        <v>Кассетные</v>
      </c>
      <c r="C87" s="21">
        <f>IF(Worksheet!M83&lt;&gt;"",MID(Worksheet!M83,1,FIND(" ",Worksheet!M83,1)-1),"")*1</f>
        <v>3.5</v>
      </c>
      <c r="D87">
        <f t="shared" si="3"/>
        <v>35</v>
      </c>
      <c r="E87" t="str">
        <f>IF(Worksheet!L83&lt;&gt;"",IF(Worksheet!L83="Y","да","нет"),"")</f>
        <v>да</v>
      </c>
      <c r="F87" s="21">
        <f>IF(Worksheet!N83&lt;&gt;"",MID(Worksheet!N83,1,FIND(" ",Worksheet!N83,1)-1),"")*1</f>
        <v>4.0999999999999996</v>
      </c>
      <c r="G87" s="21">
        <f>IF(Worksheet!O83&lt;&gt;"",MID(Worksheet!O83,1,FIND(" ",Worksheet!O83,1)-1),"")*1</f>
        <v>1.05</v>
      </c>
      <c r="H87" s="21">
        <f>IF(Worksheet!P83&lt;&gt;"",MID(Worksheet!P83,1,FIND(" ",Worksheet!P83,1)-1),"")*1</f>
        <v>1.1100000000000001</v>
      </c>
      <c r="I87" s="6"/>
      <c r="J87" s="6"/>
      <c r="K87" t="str">
        <f>IF(Worksheet!BI83&lt;&gt;"",Worksheet!BI83,"")</f>
        <v>1 / 220 / 50</v>
      </c>
      <c r="L87" t="str">
        <f>IF(Worksheet!AU83&lt;&gt;"",Worksheet!AU83,"")</f>
        <v>R410A</v>
      </c>
      <c r="M87" s="6"/>
      <c r="N87" s="6"/>
      <c r="O87" t="str">
        <f>IF(Worksheet!CR83&lt;&gt;"",CONCATENATE(Worksheet!CR83," х ",Worksheet!CP83," х ",Worksheet!CT83),"")</f>
        <v>700 х 50 х 700</v>
      </c>
      <c r="P87" t="str">
        <f>IF(Worksheet!CS83&lt;&gt;"",CONCATENATE(Worksheet!CS83," х ",Worksheet!CU83," х ",Worksheet!CQ83),"")</f>
        <v>755 х 765 х 120</v>
      </c>
      <c r="Q87" t="str">
        <f>IF(Worksheet!CV83&lt;&gt;"",CONCATENATE(Worksheet!CV83," / ",Worksheet!CW83),"")</f>
        <v>4.5 / 4.5</v>
      </c>
      <c r="R87" t="str">
        <f>IF(Worksheet!BS83&lt;&gt;"",Worksheet!BS83,"")</f>
        <v>27/30/34/37</v>
      </c>
      <c r="S87" t="str">
        <f>IF(Worksheet!AL83&lt;&gt;"",Worksheet!AL83,"")</f>
        <v>TOSHIBA</v>
      </c>
      <c r="T87" t="str">
        <f>IF(Worksheet!CJ83&lt;&gt;"",CONCATENATE(Worksheet!CJ83," х ",Worksheet!CL83," х ",Worksheet!CH83),"")</f>
        <v>790 х 300 х 578</v>
      </c>
      <c r="U87" t="str">
        <f>IF(Worksheet!CK83&lt;&gt;"",CONCATENATE(Worksheet!CK83," х ",Worksheet!CM83," х ",Worksheet!CI83),"")</f>
        <v>910 х 380 х 648</v>
      </c>
      <c r="V87" t="str">
        <f>IF(Worksheet!CN83&lt;&gt;"",CONCATENATE(Worksheet!CN83,"/",Worksheet!CO83),"")</f>
        <v>40/44</v>
      </c>
      <c r="W87" s="6"/>
      <c r="X87" s="7">
        <f>IF(Worksheet!AN83&lt;&gt;"",Worksheet!AN83,"")</f>
        <v>6.35</v>
      </c>
      <c r="Y87" s="7">
        <f>IF(Worksheet!AO83&lt;&gt;"",Worksheet!AO83,"")</f>
        <v>9.52</v>
      </c>
      <c r="Z87" s="17">
        <f>IF(Worksheet!Q83&lt;&gt;"",Worksheet!Q83,"")</f>
        <v>25</v>
      </c>
      <c r="AA87" s="17">
        <f>IF(Worksheet!R83&lt;&gt;"",Worksheet!R83,"")</f>
        <v>15</v>
      </c>
      <c r="AB87" t="str">
        <f>IF(Worksheet!X83&lt;&gt;"",CONCATENATE("от ",Worksheet!X83," до +",Worksheet!Y83),"")</f>
        <v>от -10 до +46</v>
      </c>
      <c r="AC87" t="str">
        <f>IF(Worksheet!Z83&lt;&gt;"",CONCATENATE("от ",Worksheet!Z83," до +",Worksheet!AA83),"")</f>
        <v>от -15 до +24</v>
      </c>
      <c r="AD87" s="6" t="s">
        <v>5245</v>
      </c>
      <c r="AE87" s="17"/>
    </row>
    <row r="88" spans="1:31" x14ac:dyDescent="0.25">
      <c r="A88" s="17" t="str">
        <f>IF(Worksheet!B84&lt;&gt;"",Worksheet!B84,"")</f>
        <v>FUJITSU</v>
      </c>
      <c r="B88" t="str">
        <f>Worksheet!E84</f>
        <v>Кассетные</v>
      </c>
      <c r="C88" s="21">
        <f>IF(Worksheet!M84&lt;&gt;"",MID(Worksheet!M84,1,FIND(" ",Worksheet!M84,1)-1),"")*1</f>
        <v>4.3</v>
      </c>
      <c r="D88">
        <f t="shared" si="3"/>
        <v>43</v>
      </c>
      <c r="E88" t="str">
        <f>IF(Worksheet!L84&lt;&gt;"",IF(Worksheet!L84="Y","да","нет"),"")</f>
        <v>да</v>
      </c>
      <c r="F88" s="21">
        <f>IF(Worksheet!N84&lt;&gt;"",MID(Worksheet!N84,1,FIND(" ",Worksheet!N84,1)-1),"")*1</f>
        <v>5</v>
      </c>
      <c r="G88" s="21">
        <f>IF(Worksheet!O84&lt;&gt;"",MID(Worksheet!O84,1,FIND(" ",Worksheet!O84,1)-1),"")*1</f>
        <v>1.33</v>
      </c>
      <c r="H88" s="21">
        <f>IF(Worksheet!P84&lt;&gt;"",MID(Worksheet!P84,1,FIND(" ",Worksheet!P84,1)-1),"")*1</f>
        <v>1.34</v>
      </c>
      <c r="I88" s="6"/>
      <c r="J88" s="6"/>
      <c r="K88" t="str">
        <f>IF(Worksheet!BI84&lt;&gt;"",Worksheet!BI84,"")</f>
        <v>1 / 220 / 50</v>
      </c>
      <c r="L88" t="str">
        <f>IF(Worksheet!AU84&lt;&gt;"",Worksheet!AU84,"")</f>
        <v>R410A</v>
      </c>
      <c r="M88" s="6"/>
      <c r="N88" s="6"/>
      <c r="O88" t="str">
        <f>IF(Worksheet!CR84&lt;&gt;"",CONCATENATE(Worksheet!CR84," х ",Worksheet!CP84," х ",Worksheet!CT84),"")</f>
        <v>700 х 50 х 700</v>
      </c>
      <c r="P88" t="str">
        <f>IF(Worksheet!CS84&lt;&gt;"",CONCATENATE(Worksheet!CS84," х ",Worksheet!CU84," х ",Worksheet!CQ84),"")</f>
        <v>755 х 765 х 120</v>
      </c>
      <c r="Q88" t="str">
        <f>IF(Worksheet!CV84&lt;&gt;"",CONCATENATE(Worksheet!CV84," / ",Worksheet!CW84),"")</f>
        <v>4.5 / 4.5</v>
      </c>
      <c r="R88" t="str">
        <f>IF(Worksheet!BS84&lt;&gt;"",Worksheet!BS84,"")</f>
        <v>27/30/34/37</v>
      </c>
      <c r="S88" t="str">
        <f>IF(Worksheet!AL84&lt;&gt;"",Worksheet!AL84,"")</f>
        <v>TOSHIBA</v>
      </c>
      <c r="T88" t="str">
        <f>IF(Worksheet!CJ84&lt;&gt;"",CONCATENATE(Worksheet!CJ84," х ",Worksheet!CL84," х ",Worksheet!CH84),"")</f>
        <v>790 х 300 х 578</v>
      </c>
      <c r="U88" t="str">
        <f>IF(Worksheet!CK84&lt;&gt;"",CONCATENATE(Worksheet!CK84," х ",Worksheet!CM84," х ",Worksheet!CI84),"")</f>
        <v>910 х 380 х 648</v>
      </c>
      <c r="V88" t="str">
        <f>IF(Worksheet!CN84&lt;&gt;"",CONCATENATE(Worksheet!CN84,"/",Worksheet!CO84),"")</f>
        <v>40/44</v>
      </c>
      <c r="W88" s="6"/>
      <c r="X88" s="7">
        <f>IF(Worksheet!AN84&lt;&gt;"",Worksheet!AN84,"")</f>
        <v>6.35</v>
      </c>
      <c r="Y88" s="7">
        <f>IF(Worksheet!AO84&lt;&gt;"",Worksheet!AO84,"")</f>
        <v>12.7</v>
      </c>
      <c r="Z88" s="17">
        <f>IF(Worksheet!Q84&lt;&gt;"",Worksheet!Q84,"")</f>
        <v>25</v>
      </c>
      <c r="AA88" s="17">
        <f>IF(Worksheet!R84&lt;&gt;"",Worksheet!R84,"")</f>
        <v>15</v>
      </c>
      <c r="AB88" t="str">
        <f>IF(Worksheet!X84&lt;&gt;"",CONCATENATE("от ",Worksheet!X84," до +",Worksheet!Y84),"")</f>
        <v>от -10 до +46</v>
      </c>
      <c r="AC88" t="str">
        <f>IF(Worksheet!Z84&lt;&gt;"",CONCATENATE("от ",Worksheet!Z84," до +",Worksheet!AA84),"")</f>
        <v>от -15 до +24</v>
      </c>
      <c r="AD88" s="6" t="s">
        <v>5245</v>
      </c>
      <c r="AE88" s="17"/>
    </row>
    <row r="89" spans="1:31" x14ac:dyDescent="0.25">
      <c r="A89" s="17" t="str">
        <f>IF(Worksheet!B85&lt;&gt;"",Worksheet!B85,"")</f>
        <v>FUJITSU</v>
      </c>
      <c r="B89" t="str">
        <f>Worksheet!E85</f>
        <v>Кассетные</v>
      </c>
      <c r="C89" s="21">
        <f>IF(Worksheet!M85&lt;&gt;"",MID(Worksheet!M85,1,FIND(" ",Worksheet!M85,1)-1),"")*1</f>
        <v>5.2</v>
      </c>
      <c r="D89">
        <f t="shared" si="3"/>
        <v>52</v>
      </c>
      <c r="E89" t="str">
        <f>IF(Worksheet!L85&lt;&gt;"",IF(Worksheet!L85="Y","да","нет"),"")</f>
        <v>да</v>
      </c>
      <c r="F89" s="21">
        <f>IF(Worksheet!N85&lt;&gt;"",MID(Worksheet!N85,1,FIND(" ",Worksheet!N85,1)-1),"")*1</f>
        <v>6</v>
      </c>
      <c r="G89" s="21">
        <f>IF(Worksheet!O85&lt;&gt;"",MID(Worksheet!O85,1,FIND(" ",Worksheet!O85,1)-1),"")*1</f>
        <v>1.62</v>
      </c>
      <c r="H89" s="21">
        <f>IF(Worksheet!P85&lt;&gt;"",MID(Worksheet!P85,1,FIND(" ",Worksheet!P85,1)-1),"")*1</f>
        <v>1.66</v>
      </c>
      <c r="I89" s="6"/>
      <c r="J89" s="6"/>
      <c r="K89" t="str">
        <f>IF(Worksheet!BI85&lt;&gt;"",Worksheet!BI85,"")</f>
        <v>1 / 220 / 50</v>
      </c>
      <c r="L89" t="str">
        <f>IF(Worksheet!AU85&lt;&gt;"",Worksheet!AU85,"")</f>
        <v>R410A</v>
      </c>
      <c r="M89" s="6"/>
      <c r="N89" s="6"/>
      <c r="O89" t="str">
        <f>IF(Worksheet!CR85&lt;&gt;"",CONCATENATE(Worksheet!CR85," х ",Worksheet!CP85," х ",Worksheet!CT85),"")</f>
        <v>700 х 50 х 700</v>
      </c>
      <c r="P89" t="str">
        <f>IF(Worksheet!CS85&lt;&gt;"",CONCATENATE(Worksheet!CS85," х ",Worksheet!CU85," х ",Worksheet!CQ85),"")</f>
        <v>755 х 765 х 120</v>
      </c>
      <c r="Q89" t="str">
        <f>IF(Worksheet!CV85&lt;&gt;"",CONCATENATE(Worksheet!CV85," / ",Worksheet!CW85),"")</f>
        <v>4.5 / 4.5</v>
      </c>
      <c r="R89" t="str">
        <f>IF(Worksheet!BS85&lt;&gt;"",Worksheet!BS85,"")</f>
        <v>26/30/34/38</v>
      </c>
      <c r="S89" t="str">
        <f>IF(Worksheet!AL85&lt;&gt;"",Worksheet!AL85,"")</f>
        <v>TOSHIBA</v>
      </c>
      <c r="T89" t="str">
        <f>IF(Worksheet!CJ85&lt;&gt;"",CONCATENATE(Worksheet!CJ85," х ",Worksheet!CL85," х ",Worksheet!CH85),"")</f>
        <v>799 х 290 х 632</v>
      </c>
      <c r="U89" t="str">
        <f>IF(Worksheet!CK85&lt;&gt;"",CONCATENATE(Worksheet!CK85," х ",Worksheet!CM85," х ",Worksheet!CI85),"")</f>
        <v>940 х 375 х 692</v>
      </c>
      <c r="V89" t="str">
        <f>IF(Worksheet!CN85&lt;&gt;"",CONCATENATE(Worksheet!CN85,"/",Worksheet!CO85),"")</f>
        <v>36/40</v>
      </c>
      <c r="W89" s="6"/>
      <c r="X89" s="7">
        <f>IF(Worksheet!AN85&lt;&gt;"",Worksheet!AN85,"")</f>
        <v>6.35</v>
      </c>
      <c r="Y89" s="7">
        <f>IF(Worksheet!AO85&lt;&gt;"",Worksheet!AO85,"")</f>
        <v>12.7</v>
      </c>
      <c r="Z89" s="17">
        <f>IF(Worksheet!Q85&lt;&gt;"",Worksheet!Q85,"")</f>
        <v>25</v>
      </c>
      <c r="AA89" s="17">
        <f>IF(Worksheet!R85&lt;&gt;"",Worksheet!R85,"")</f>
        <v>15</v>
      </c>
      <c r="AB89" t="str">
        <f>IF(Worksheet!X85&lt;&gt;"",CONCATENATE("от ",Worksheet!X85," до +",Worksheet!Y85),"")</f>
        <v>от -10 до +46</v>
      </c>
      <c r="AC89" t="str">
        <f>IF(Worksheet!Z85&lt;&gt;"",CONCATENATE("от ",Worksheet!Z85," до +",Worksheet!AA85),"")</f>
        <v>от -15 до +24</v>
      </c>
      <c r="AD89" s="6" t="s">
        <v>5245</v>
      </c>
      <c r="AE89" s="17"/>
    </row>
    <row r="90" spans="1:31" x14ac:dyDescent="0.25">
      <c r="A90" s="17" t="str">
        <f>IF(Worksheet!B86&lt;&gt;"",Worksheet!B86,"")</f>
        <v>FUJITSU</v>
      </c>
      <c r="B90" t="str">
        <f>Worksheet!E86</f>
        <v>Кассетные</v>
      </c>
      <c r="C90" s="21">
        <f>IF(Worksheet!M86&lt;&gt;"",MID(Worksheet!M86,1,FIND(" ",Worksheet!M86,1)-1),"")*1</f>
        <v>6.8</v>
      </c>
      <c r="D90">
        <f t="shared" si="3"/>
        <v>68</v>
      </c>
      <c r="E90" t="str">
        <f>IF(Worksheet!L86&lt;&gt;"",IF(Worksheet!L86="Y","да","нет"),"")</f>
        <v>да</v>
      </c>
      <c r="F90" s="21">
        <f>IF(Worksheet!N86&lt;&gt;"",MID(Worksheet!N86,1,FIND(" ",Worksheet!N86,1)-1),"")*1</f>
        <v>8</v>
      </c>
      <c r="G90" s="23">
        <v>2.21</v>
      </c>
      <c r="H90" s="21">
        <f>IF(Worksheet!P86&lt;&gt;"",MID(Worksheet!P86,1,FIND(" ",Worksheet!P86,1)-1),"")*1</f>
        <v>2.2599999999999998</v>
      </c>
      <c r="I90" s="6"/>
      <c r="J90" s="6"/>
      <c r="K90" t="str">
        <f>IF(Worksheet!BI86&lt;&gt;"",Worksheet!BI86,"")</f>
        <v>1 / 220 / 50</v>
      </c>
      <c r="L90" t="str">
        <f>IF(Worksheet!AU86&lt;&gt;"",Worksheet!AU86,"")</f>
        <v>R410A</v>
      </c>
      <c r="M90" s="6"/>
      <c r="N90" s="6"/>
      <c r="O90" t="str">
        <f>IF(Worksheet!CR86&lt;&gt;"",CONCATENATE(Worksheet!CR86," х ",Worksheet!CP86," х ",Worksheet!CT86),"")</f>
        <v>700 х 50 х 700</v>
      </c>
      <c r="P90" t="str">
        <f>IF(Worksheet!CS86&lt;&gt;"",CONCATENATE(Worksheet!CS86," х ",Worksheet!CU86," х ",Worksheet!CQ86),"")</f>
        <v>755 х 765 х 120</v>
      </c>
      <c r="Q90" t="str">
        <f>IF(Worksheet!CV86&lt;&gt;"",CONCATENATE(Worksheet!CV86," / ",Worksheet!CW86),"")</f>
        <v>4.5 / 4.5</v>
      </c>
      <c r="R90" t="str">
        <f>IF(Worksheet!BS86&lt;&gt;"",Worksheet!BS86,"")</f>
        <v>30/36/44/49</v>
      </c>
      <c r="S90" t="str">
        <f>IF(Worksheet!AL86&lt;&gt;"",Worksheet!AL86,"")</f>
        <v>TOSHIBA</v>
      </c>
      <c r="T90" t="str">
        <f>IF(Worksheet!CJ86&lt;&gt;"",CONCATENATE(Worksheet!CJ86," х ",Worksheet!CL86," х ",Worksheet!CH86),"")</f>
        <v>820 х 315 х 716</v>
      </c>
      <c r="U90" t="str">
        <f>IF(Worksheet!CK86&lt;&gt;"",CONCATENATE(Worksheet!CK86," х ",Worksheet!CM86," х ",Worksheet!CI86),"")</f>
        <v>961 х 450 х 776</v>
      </c>
      <c r="V90" t="str">
        <f>IF(Worksheet!CN86&lt;&gt;"",CONCATENATE(Worksheet!CN86,"/",Worksheet!CO86),"")</f>
        <v>42/47</v>
      </c>
      <c r="W90" s="6"/>
      <c r="X90" s="7">
        <f>IF(Worksheet!AN86&lt;&gt;"",Worksheet!AN86,"")</f>
        <v>6.35</v>
      </c>
      <c r="Y90" s="7">
        <f>IF(Worksheet!AO86&lt;&gt;"",Worksheet!AO86,"")</f>
        <v>15.88</v>
      </c>
      <c r="Z90" s="17">
        <f>IF(Worksheet!Q86&lt;&gt;"",Worksheet!Q86,"")</f>
        <v>30</v>
      </c>
      <c r="AA90" s="17">
        <f>IF(Worksheet!R86&lt;&gt;"",Worksheet!R86,"")</f>
        <v>20</v>
      </c>
      <c r="AB90" t="str">
        <f>IF(Worksheet!X86&lt;&gt;"",CONCATENATE("от ",Worksheet!X86," до +",Worksheet!Y86),"")</f>
        <v>от -10 до +46</v>
      </c>
      <c r="AC90" t="str">
        <f>IF(Worksheet!Z86&lt;&gt;"",CONCATENATE("от ",Worksheet!Z86," до +",Worksheet!AA86),"")</f>
        <v>от -15 до +24</v>
      </c>
      <c r="AD90" s="6" t="s">
        <v>5245</v>
      </c>
      <c r="AE90" s="17"/>
    </row>
    <row r="91" spans="1:31" x14ac:dyDescent="0.25">
      <c r="A91" s="17" t="str">
        <f>IF(Worksheet!B87&lt;&gt;"",Worksheet!B87,"")</f>
        <v>FUJITSU</v>
      </c>
      <c r="B91" t="str">
        <f>Worksheet!E87</f>
        <v>Кассетные</v>
      </c>
      <c r="C91" s="21">
        <f>IF(Worksheet!M87&lt;&gt;"",MID(Worksheet!M87,1,FIND(" ",Worksheet!M87,1)-1),"")*1</f>
        <v>3.5</v>
      </c>
      <c r="D91">
        <f t="shared" si="3"/>
        <v>35</v>
      </c>
      <c r="E91" t="str">
        <f>IF(Worksheet!L87&lt;&gt;"",IF(Worksheet!L87="Y","да","нет"),"")</f>
        <v>да</v>
      </c>
      <c r="F91" s="21">
        <f>IF(Worksheet!N87&lt;&gt;"",MID(Worksheet!N87,1,FIND(" ",Worksheet!N87,1)-1),"")*1</f>
        <v>4.0999999999999996</v>
      </c>
      <c r="G91">
        <f>IF(Worksheet!O87&lt;&gt;"",Worksheet!O87,"")</f>
        <v>1.0900000000000001</v>
      </c>
      <c r="H91">
        <f>IF(Worksheet!P87&lt;&gt;"",Worksheet!P87,"")</f>
        <v>1.17</v>
      </c>
      <c r="I91" s="6"/>
      <c r="J91" s="6"/>
      <c r="K91" t="str">
        <f>IF(Worksheet!BI87&lt;&gt;"",Worksheet!BI87,"")</f>
        <v>1 / 230 / 50</v>
      </c>
      <c r="L91" t="str">
        <f>IF(Worksheet!AU87&lt;&gt;"",Worksheet!AU87,"")</f>
        <v>R32</v>
      </c>
      <c r="M91" s="6"/>
      <c r="N91" s="6"/>
      <c r="O91" t="str">
        <f>IF(Worksheet!CR87&lt;&gt;"",CONCATENATE(Worksheet!CR87," х ",Worksheet!CP87," х ",Worksheet!CT87),"")</f>
        <v/>
      </c>
      <c r="P91" t="str">
        <f>IF(Worksheet!CS87&lt;&gt;"",CONCATENATE(Worksheet!CS87," х ",Worksheet!CU87," х ",Worksheet!CQ87),"")</f>
        <v/>
      </c>
      <c r="Q91" t="str">
        <f>IF(Worksheet!CV87&lt;&gt;"",CONCATENATE(Worksheet!CV87," / ",Worksheet!CW87),"")</f>
        <v/>
      </c>
      <c r="R91" t="str">
        <f>IF(Worksheet!BS87&lt;&gt;"",Worksheet!BS87,"")</f>
        <v>27/30/34/37</v>
      </c>
      <c r="S91" t="str">
        <f>IF(Worksheet!AL87&lt;&gt;"",Worksheet!AL87,"")</f>
        <v/>
      </c>
      <c r="T91" t="str">
        <f>IF(Worksheet!CJ87&lt;&gt;"",CONCATENATE(Worksheet!CJ87," х ",Worksheet!CL87," х ",Worksheet!CH87),"")</f>
        <v>663 х 290 х 541</v>
      </c>
      <c r="U91" t="str">
        <f>IF(Worksheet!CK87&lt;&gt;"",CONCATENATE(Worksheet!CK87," х ",Worksheet!CM87," х ",Worksheet!CI87),"")</f>
        <v>804 х 375 х 602</v>
      </c>
      <c r="V91" t="str">
        <f>IF(Worksheet!CN87&lt;&gt;"",CONCATENATE(Worksheet!CN87,"/",Worksheet!CO87),"")</f>
        <v>25/29</v>
      </c>
      <c r="W91" s="6"/>
      <c r="X91" s="7">
        <f>IF(Worksheet!AN87&lt;&gt;"",Worksheet!AN87,"")</f>
        <v>6.35</v>
      </c>
      <c r="Y91" s="7">
        <f>IF(Worksheet!AO87&lt;&gt;"",Worksheet!AO87,"")</f>
        <v>9.52</v>
      </c>
      <c r="Z91" s="17">
        <f>IF(Worksheet!Q87&lt;&gt;"",Worksheet!Q87,"")</f>
        <v>15</v>
      </c>
      <c r="AA91" s="17">
        <f>IF(Worksheet!R87&lt;&gt;"",Worksheet!R87,"")</f>
        <v>15</v>
      </c>
      <c r="AB91" t="str">
        <f>IF(Worksheet!X87&lt;&gt;"",CONCATENATE("от ",Worksheet!X87," до +",Worksheet!Y87),"")</f>
        <v>от -10 до +46</v>
      </c>
      <c r="AC91" t="str">
        <f>IF(Worksheet!Z87&lt;&gt;"",CONCATENATE("от ",Worksheet!Z87," до +",Worksheet!AA87),"")</f>
        <v>от -15 до +24</v>
      </c>
      <c r="AD91" s="6" t="s">
        <v>5245</v>
      </c>
      <c r="AE91" s="17"/>
    </row>
    <row r="92" spans="1:31" x14ac:dyDescent="0.25">
      <c r="A92" s="17" t="str">
        <f>IF(Worksheet!B88&lt;&gt;"",Worksheet!B88,"")</f>
        <v>FUJITSU</v>
      </c>
      <c r="B92" t="str">
        <f>Worksheet!E88</f>
        <v>Кассетные</v>
      </c>
      <c r="C92" s="21">
        <f>IF(Worksheet!M88&lt;&gt;"",MID(Worksheet!M88,1,FIND(" ",Worksheet!M88,1)-1),"")*1</f>
        <v>4.3</v>
      </c>
      <c r="D92">
        <f t="shared" si="3"/>
        <v>43</v>
      </c>
      <c r="E92" t="str">
        <f>IF(Worksheet!L88&lt;&gt;"",IF(Worksheet!L88="Y","да","нет"),"")</f>
        <v>да</v>
      </c>
      <c r="F92" s="21">
        <f>IF(Worksheet!N88&lt;&gt;"",MID(Worksheet!N88,1,FIND(" ",Worksheet!N88,1)-1),"")*1</f>
        <v>5</v>
      </c>
      <c r="G92">
        <f>IF(Worksheet!O88&lt;&gt;"",Worksheet!O88,"")</f>
        <v>1.37</v>
      </c>
      <c r="H92">
        <f>IF(Worksheet!P88&lt;&gt;"",Worksheet!P88,"")</f>
        <v>1.42</v>
      </c>
      <c r="I92" s="6"/>
      <c r="J92" s="6"/>
      <c r="K92" t="str">
        <f>IF(Worksheet!BI88&lt;&gt;"",Worksheet!BI88,"")</f>
        <v>1 / 230 / 50</v>
      </c>
      <c r="L92" t="str">
        <f>IF(Worksheet!AU88&lt;&gt;"",Worksheet!AU88,"")</f>
        <v>R32</v>
      </c>
      <c r="M92" s="6"/>
      <c r="N92" s="6"/>
      <c r="O92" t="str">
        <f>IF(Worksheet!CR88&lt;&gt;"",CONCATENATE(Worksheet!CR88," х ",Worksheet!CP88," х ",Worksheet!CT88),"")</f>
        <v/>
      </c>
      <c r="P92" t="str">
        <f>IF(Worksheet!CS88&lt;&gt;"",CONCATENATE(Worksheet!CS88," х ",Worksheet!CU88," х ",Worksheet!CQ88),"")</f>
        <v/>
      </c>
      <c r="Q92" t="str">
        <f>IF(Worksheet!CV88&lt;&gt;"",CONCATENATE(Worksheet!CV88," / ",Worksheet!CW88),"")</f>
        <v/>
      </c>
      <c r="R92" t="str">
        <f>IF(Worksheet!BS88&lt;&gt;"",Worksheet!BS88,"")</f>
        <v>27/30/34/38</v>
      </c>
      <c r="S92" t="str">
        <f>IF(Worksheet!AL88&lt;&gt;"",Worksheet!AL88,"")</f>
        <v/>
      </c>
      <c r="T92" t="str">
        <f>IF(Worksheet!CJ88&lt;&gt;"",CONCATENATE(Worksheet!CJ88," х ",Worksheet!CL88," х ",Worksheet!CH88),"")</f>
        <v>799 х 290 х 542</v>
      </c>
      <c r="U92" t="str">
        <f>IF(Worksheet!CK88&lt;&gt;"",CONCATENATE(Worksheet!CK88," х ",Worksheet!CM88," х ",Worksheet!CI88),"")</f>
        <v>940 х 375 х 602</v>
      </c>
      <c r="V92" t="str">
        <f>IF(Worksheet!CN88&lt;&gt;"",CONCATENATE(Worksheet!CN88,"/",Worksheet!CO88),"")</f>
        <v>32/36</v>
      </c>
      <c r="W92" s="6"/>
      <c r="X92" s="7">
        <f>IF(Worksheet!AN88&lt;&gt;"",Worksheet!AN88,"")</f>
        <v>6.35</v>
      </c>
      <c r="Y92" s="7">
        <f>IF(Worksheet!AO88&lt;&gt;"",Worksheet!AO88,"")</f>
        <v>9.52</v>
      </c>
      <c r="Z92" s="17">
        <f>IF(Worksheet!Q88&lt;&gt;"",Worksheet!Q88,"")</f>
        <v>20</v>
      </c>
      <c r="AA92" s="17">
        <f>IF(Worksheet!R88&lt;&gt;"",Worksheet!R88,"")</f>
        <v>15</v>
      </c>
      <c r="AB92" t="str">
        <f>IF(Worksheet!X88&lt;&gt;"",CONCATENATE("от ",Worksheet!X88," до +",Worksheet!Y88),"")</f>
        <v>от -10 до +46</v>
      </c>
      <c r="AC92" t="str">
        <f>IF(Worksheet!Z88&lt;&gt;"",CONCATENATE("от ",Worksheet!Z88," до +",Worksheet!AA88),"")</f>
        <v>от -15 до +24</v>
      </c>
      <c r="AD92" s="6" t="s">
        <v>5245</v>
      </c>
      <c r="AE92" s="17"/>
    </row>
    <row r="93" spans="1:31" x14ac:dyDescent="0.25">
      <c r="A93" s="17" t="str">
        <f>IF(Worksheet!B89&lt;&gt;"",Worksheet!B89,"")</f>
        <v>FUJITSU</v>
      </c>
      <c r="B93" t="str">
        <f>Worksheet!E89</f>
        <v>Кассетные</v>
      </c>
      <c r="C93" s="21">
        <f>IF(Worksheet!M89&lt;&gt;"",MID(Worksheet!M89,1,FIND(" ",Worksheet!M89,1)-1),"")*1</f>
        <v>5.2</v>
      </c>
      <c r="D93">
        <f t="shared" si="3"/>
        <v>52</v>
      </c>
      <c r="E93" t="str">
        <f>IF(Worksheet!L89&lt;&gt;"",IF(Worksheet!L89="Y","да","нет"),"")</f>
        <v>да</v>
      </c>
      <c r="F93" s="21">
        <f>IF(Worksheet!N89&lt;&gt;"",MID(Worksheet!N89,1,FIND(" ",Worksheet!N89,1)-1),"")*1</f>
        <v>6</v>
      </c>
      <c r="G93">
        <f>IF(Worksheet!O89&lt;&gt;"",Worksheet!O89,"")</f>
        <v>1.69</v>
      </c>
      <c r="H93">
        <f>IF(Worksheet!P89&lt;&gt;"",Worksheet!P89,"")</f>
        <v>1.72</v>
      </c>
      <c r="I93" s="6"/>
      <c r="J93" s="6"/>
      <c r="K93" t="str">
        <f>IF(Worksheet!BI89&lt;&gt;"",Worksheet!BI89,"")</f>
        <v>1 / 230 / 50</v>
      </c>
      <c r="L93" t="str">
        <f>IF(Worksheet!AU89&lt;&gt;"",Worksheet!AU89,"")</f>
        <v>R32</v>
      </c>
      <c r="M93" s="6"/>
      <c r="N93" s="6"/>
      <c r="O93" t="str">
        <f>IF(Worksheet!CR89&lt;&gt;"",CONCATENATE(Worksheet!CR89," х ",Worksheet!CP89," х ",Worksheet!CT89),"")</f>
        <v/>
      </c>
      <c r="P93" t="str">
        <f>IF(Worksheet!CS89&lt;&gt;"",CONCATENATE(Worksheet!CS89," х ",Worksheet!CU89," х ",Worksheet!CQ89),"")</f>
        <v/>
      </c>
      <c r="Q93" t="str">
        <f>IF(Worksheet!CV89&lt;&gt;"",CONCATENATE(Worksheet!CV89," / ",Worksheet!CW89),"")</f>
        <v/>
      </c>
      <c r="R93" t="str">
        <f>IF(Worksheet!BS89&lt;&gt;"",Worksheet!BS89,"")</f>
        <v>26/30/34/38</v>
      </c>
      <c r="S93" t="str">
        <f>IF(Worksheet!AL89&lt;&gt;"",Worksheet!AL89,"")</f>
        <v/>
      </c>
      <c r="T93" t="str">
        <f>IF(Worksheet!CJ89&lt;&gt;"",CONCATENATE(Worksheet!CJ89," х ",Worksheet!CL89," х ",Worksheet!CH89),"")</f>
        <v>799 х 290 х 542</v>
      </c>
      <c r="U93" t="str">
        <f>IF(Worksheet!CK89&lt;&gt;"",CONCATENATE(Worksheet!CK89," х ",Worksheet!CM89," х ",Worksheet!CI89),"")</f>
        <v>940 х 375 х 602</v>
      </c>
      <c r="V93" t="str">
        <f>IF(Worksheet!CN89&lt;&gt;"",CONCATENATE(Worksheet!CN89,"/",Worksheet!CO89),"")</f>
        <v>33/36</v>
      </c>
      <c r="W93" s="6"/>
      <c r="X93" s="7">
        <f>IF(Worksheet!AN89&lt;&gt;"",Worksheet!AN89,"")</f>
        <v>6.35</v>
      </c>
      <c r="Y93" s="7">
        <f>IF(Worksheet!AO89&lt;&gt;"",Worksheet!AO89,"")</f>
        <v>12.7</v>
      </c>
      <c r="Z93" s="17">
        <f>IF(Worksheet!Q89&lt;&gt;"",Worksheet!Q89,"")</f>
        <v>20</v>
      </c>
      <c r="AA93" s="17">
        <f>IF(Worksheet!R89&lt;&gt;"",Worksheet!R89,"")</f>
        <v>15</v>
      </c>
      <c r="AB93" t="str">
        <f>IF(Worksheet!X89&lt;&gt;"",CONCATENATE("от ",Worksheet!X89," до +",Worksheet!Y89),"")</f>
        <v>от -10 до +46</v>
      </c>
      <c r="AC93" t="str">
        <f>IF(Worksheet!Z89&lt;&gt;"",CONCATENATE("от ",Worksheet!Z89," до +",Worksheet!AA89),"")</f>
        <v>от -15 до +24</v>
      </c>
      <c r="AD93" s="6" t="s">
        <v>5245</v>
      </c>
      <c r="AE93" s="17"/>
    </row>
    <row r="94" spans="1:31" x14ac:dyDescent="0.25">
      <c r="A94" s="17" t="str">
        <f>IF(Worksheet!B90&lt;&gt;"",Worksheet!B90,"")</f>
        <v>FUJITSU</v>
      </c>
      <c r="B94" t="str">
        <f>Worksheet!E90</f>
        <v>Кассетные</v>
      </c>
      <c r="C94" s="21">
        <f>IF(Worksheet!M90&lt;&gt;"",MID(Worksheet!M90,1,FIND(" ",Worksheet!M90,1)-1),"")*1</f>
        <v>6.8</v>
      </c>
      <c r="D94">
        <f t="shared" si="3"/>
        <v>68</v>
      </c>
      <c r="E94" t="str">
        <f>IF(Worksheet!L90&lt;&gt;"",IF(Worksheet!L90="Y","да","нет"),"")</f>
        <v>да</v>
      </c>
      <c r="F94" s="21">
        <f>IF(Worksheet!N90&lt;&gt;"",MID(Worksheet!N90,1,FIND(" ",Worksheet!N90,1)-1),"")*1</f>
        <v>7.5</v>
      </c>
      <c r="G94">
        <f>IF(Worksheet!O90&lt;&gt;"",Worksheet!O90,"")</f>
        <v>2.2599999999999998</v>
      </c>
      <c r="H94">
        <f>IF(Worksheet!P90&lt;&gt;"",Worksheet!P90,"")</f>
        <v>2.08</v>
      </c>
      <c r="I94" s="6"/>
      <c r="J94" s="6"/>
      <c r="K94" t="str">
        <f>IF(Worksheet!BI90&lt;&gt;"",Worksheet!BI90,"")</f>
        <v>1 / 230 / 50</v>
      </c>
      <c r="L94" t="str">
        <f>IF(Worksheet!AU90&lt;&gt;"",Worksheet!AU90,"")</f>
        <v>R32</v>
      </c>
      <c r="M94" s="6"/>
      <c r="N94" s="6"/>
      <c r="O94" t="str">
        <f>IF(Worksheet!CR90&lt;&gt;"",CONCATENATE(Worksheet!CR90," х ",Worksheet!CP90," х ",Worksheet!CT90),"")</f>
        <v/>
      </c>
      <c r="P94" t="str">
        <f>IF(Worksheet!CS90&lt;&gt;"",CONCATENATE(Worksheet!CS90," х ",Worksheet!CU90," х ",Worksheet!CQ90),"")</f>
        <v/>
      </c>
      <c r="Q94" t="str">
        <f>IF(Worksheet!CV90&lt;&gt;"",CONCATENATE(Worksheet!CV90," / ",Worksheet!CW90),"")</f>
        <v/>
      </c>
      <c r="R94" t="str">
        <f>IF(Worksheet!BS90&lt;&gt;"",Worksheet!BS90,"")</f>
        <v>30/36/44/49</v>
      </c>
      <c r="S94" t="str">
        <f>IF(Worksheet!AL90&lt;&gt;"",Worksheet!AL90,"")</f>
        <v/>
      </c>
      <c r="T94" t="str">
        <f>IF(Worksheet!CJ90&lt;&gt;"",CONCATENATE(Worksheet!CJ90," х ",Worksheet!CL90," х ",Worksheet!CH90),"")</f>
        <v>799 х 290 х 632</v>
      </c>
      <c r="U94" t="str">
        <f>IF(Worksheet!CK90&lt;&gt;"",CONCATENATE(Worksheet!CK90," х ",Worksheet!CM90," х ",Worksheet!CI90),"")</f>
        <v>940 х 375 х 692</v>
      </c>
      <c r="V94" t="str">
        <f>IF(Worksheet!CN90&lt;&gt;"",CONCATENATE(Worksheet!CN90,"/",Worksheet!CO90),"")</f>
        <v>38/42</v>
      </c>
      <c r="W94" s="6"/>
      <c r="X94" s="7">
        <f>IF(Worksheet!AN90&lt;&gt;"",Worksheet!AN90,"")</f>
        <v>6.35</v>
      </c>
      <c r="Y94" s="7">
        <f>IF(Worksheet!AO90&lt;&gt;"",Worksheet!AO90,"")</f>
        <v>12.7</v>
      </c>
      <c r="Z94" s="17">
        <f>IF(Worksheet!Q90&lt;&gt;"",Worksheet!Q90,"")</f>
        <v>25</v>
      </c>
      <c r="AA94" s="17">
        <f>IF(Worksheet!R90&lt;&gt;"",Worksheet!R90,"")</f>
        <v>20</v>
      </c>
      <c r="AB94" t="str">
        <f>IF(Worksheet!X90&lt;&gt;"",CONCATENATE("от ",Worksheet!X90," до +",Worksheet!Y90),"")</f>
        <v>от -10 до +46</v>
      </c>
      <c r="AC94" t="str">
        <f>IF(Worksheet!Z90&lt;&gt;"",CONCATENATE("от ",Worksheet!Z90," до +",Worksheet!AA90),"")</f>
        <v>от -15 до +24</v>
      </c>
      <c r="AD94" s="6" t="s">
        <v>5245</v>
      </c>
      <c r="AE94" s="17"/>
    </row>
    <row r="95" spans="1:31" x14ac:dyDescent="0.25">
      <c r="A95" s="17" t="str">
        <f>IF(Worksheet!B91&lt;&gt;"",Worksheet!B91,"")</f>
        <v>FUJITSU</v>
      </c>
      <c r="B95" t="str">
        <f>Worksheet!E91</f>
        <v>Напольно-потолочные</v>
      </c>
      <c r="C95" s="21">
        <f>IF(Worksheet!M91&lt;&gt;"",MID(Worksheet!M91,1,FIND(" ",Worksheet!M91,1)-1),"")*1</f>
        <v>2.5</v>
      </c>
      <c r="D95">
        <f t="shared" si="3"/>
        <v>25</v>
      </c>
      <c r="E95" t="str">
        <f>IF(Worksheet!L91&lt;&gt;"",IF(Worksheet!L91="Y","да","нет"),"")</f>
        <v>да</v>
      </c>
      <c r="F95" s="21">
        <f>IF(Worksheet!N91&lt;&gt;"",MID(Worksheet!N91,1,FIND(" ",Worksheet!N91,1)-1),"")*1</f>
        <v>3.5</v>
      </c>
      <c r="G95">
        <f>IF(Worksheet!O91&lt;&gt;"",Worksheet!O91,"")</f>
        <v>0.53</v>
      </c>
      <c r="H95">
        <f>IF(Worksheet!P91&lt;&gt;"",Worksheet!P91,"")</f>
        <v>0.81</v>
      </c>
      <c r="I95" s="6"/>
      <c r="J95" s="6"/>
      <c r="K95" t="str">
        <f>IF(Worksheet!BI91&lt;&gt;"",Worksheet!BI91,"")</f>
        <v>1 / 230 / 50</v>
      </c>
      <c r="L95" t="str">
        <f>IF(Worksheet!AU91&lt;&gt;"",Worksheet!AU91,"")</f>
        <v>R32</v>
      </c>
      <c r="M95" s="6"/>
      <c r="N95" s="6"/>
      <c r="O95" t="str">
        <f>IF(Worksheet!CR91&lt;&gt;"",CONCATENATE(Worksheet!CR91," х ",Worksheet!CP91," х ",Worksheet!CT91),"")</f>
        <v>740 х 600 х 200</v>
      </c>
      <c r="P95" t="str">
        <f>IF(Worksheet!CS91&lt;&gt;"",CONCATENATE(Worksheet!CS91," х ",Worksheet!CU91," х ",Worksheet!CQ91),"")</f>
        <v>820 х 310 х 700</v>
      </c>
      <c r="Q95" t="str">
        <f>IF(Worksheet!CV91&lt;&gt;"",CONCATENATE(Worksheet!CV91," / ",Worksheet!CW91),"")</f>
        <v>14 / 18</v>
      </c>
      <c r="R95" t="str">
        <f>IF(Worksheet!BS91&lt;&gt;"",Worksheet!BS91,"")</f>
        <v>22/29/35/40</v>
      </c>
      <c r="S95" t="str">
        <f>IF(Worksheet!AL91&lt;&gt;"",Worksheet!AL91,"")</f>
        <v/>
      </c>
      <c r="T95" t="str">
        <f>IF(Worksheet!CJ91&lt;&gt;"",CONCATENATE(Worksheet!CJ91," х ",Worksheet!CL91," х ",Worksheet!CH91),"")</f>
        <v>799 х 290 х 542</v>
      </c>
      <c r="U95" t="str">
        <f>IF(Worksheet!CK91&lt;&gt;"",CONCATENATE(Worksheet!CK91," х ",Worksheet!CM91," х ",Worksheet!CI91),"")</f>
        <v>940 х 375 х 602</v>
      </c>
      <c r="V95" t="str">
        <f>IF(Worksheet!CN91&lt;&gt;"",CONCATENATE(Worksheet!CN91,"/",Worksheet!CO91),"")</f>
        <v>31/35</v>
      </c>
      <c r="W95" s="6"/>
      <c r="X95" s="7">
        <f>IF(Worksheet!AN91&lt;&gt;"",Worksheet!AN91,"")</f>
        <v>6.35</v>
      </c>
      <c r="Y95" s="7">
        <f>IF(Worksheet!AO91&lt;&gt;"",Worksheet!AO91,"")</f>
        <v>9.52</v>
      </c>
      <c r="Z95" s="17">
        <f>IF(Worksheet!Q91&lt;&gt;"",Worksheet!Q91,"")</f>
        <v>20</v>
      </c>
      <c r="AA95" s="17">
        <f>IF(Worksheet!R91&lt;&gt;"",Worksheet!R91,"")</f>
        <v>15</v>
      </c>
      <c r="AB95" t="str">
        <f>IF(Worksheet!X91&lt;&gt;"",CONCATENATE("от ",Worksheet!X91," до +",Worksheet!Y91),"")</f>
        <v>от -10 до +46</v>
      </c>
      <c r="AC95" t="str">
        <f>IF(Worksheet!Z91&lt;&gt;"",CONCATENATE("от ",Worksheet!Z91," до +",Worksheet!AA91),"")</f>
        <v>от -15 до +24</v>
      </c>
      <c r="AD95" s="6" t="s">
        <v>5245</v>
      </c>
      <c r="AE95" s="17"/>
    </row>
    <row r="96" spans="1:31" x14ac:dyDescent="0.25">
      <c r="A96" s="17" t="str">
        <f>IF(Worksheet!B92&lt;&gt;"",Worksheet!B92,"")</f>
        <v>FUJITSU</v>
      </c>
      <c r="B96" t="str">
        <f>Worksheet!E92</f>
        <v>Напольно-потолочные</v>
      </c>
      <c r="C96" s="21">
        <f>IF(Worksheet!M92&lt;&gt;"",MID(Worksheet!M92,1,FIND(" ",Worksheet!M92,1)-1),"")*1</f>
        <v>3.5</v>
      </c>
      <c r="D96">
        <f t="shared" si="3"/>
        <v>35</v>
      </c>
      <c r="E96" t="str">
        <f>IF(Worksheet!L92&lt;&gt;"",IF(Worksheet!L92="Y","да","нет"),"")</f>
        <v>да</v>
      </c>
      <c r="F96" s="21">
        <f>IF(Worksheet!N92&lt;&gt;"",MID(Worksheet!N92,1,FIND(" ",Worksheet!N92,1)-1),"")*1</f>
        <v>4.5</v>
      </c>
      <c r="G96">
        <f>IF(Worksheet!O92&lt;&gt;"",Worksheet!O92,"")</f>
        <v>0.88</v>
      </c>
      <c r="H96">
        <f>IF(Worksheet!P92&lt;&gt;"",Worksheet!P92,"")</f>
        <v>1.22</v>
      </c>
      <c r="I96" s="6"/>
      <c r="J96" s="6"/>
      <c r="K96" t="str">
        <f>IF(Worksheet!BI92&lt;&gt;"",Worksheet!BI92,"")</f>
        <v>1 / 230 / 50</v>
      </c>
      <c r="L96" t="str">
        <f>IF(Worksheet!AU92&lt;&gt;"",Worksheet!AU92,"")</f>
        <v>R32</v>
      </c>
      <c r="M96" s="6"/>
      <c r="N96" s="6"/>
      <c r="O96" t="str">
        <f>IF(Worksheet!CR92&lt;&gt;"",CONCATENATE(Worksheet!CR92," х ",Worksheet!CP92," х ",Worksheet!CT92),"")</f>
        <v>740 х 600 х 200</v>
      </c>
      <c r="P96" t="str">
        <f>IF(Worksheet!CS92&lt;&gt;"",CONCATENATE(Worksheet!CS92," х ",Worksheet!CU92," х ",Worksheet!CQ92),"")</f>
        <v>820 х 310 х 700</v>
      </c>
      <c r="Q96" t="str">
        <f>IF(Worksheet!CV92&lt;&gt;"",CONCATENATE(Worksheet!CV92," / ",Worksheet!CW92),"")</f>
        <v>14 / 18</v>
      </c>
      <c r="R96" t="str">
        <f>IF(Worksheet!BS92&lt;&gt;"",Worksheet!BS92,"")</f>
        <v>22/29/35/40</v>
      </c>
      <c r="S96" t="str">
        <f>IF(Worksheet!AL92&lt;&gt;"",Worksheet!AL92,"")</f>
        <v/>
      </c>
      <c r="T96" t="str">
        <f>IF(Worksheet!CJ92&lt;&gt;"",CONCATENATE(Worksheet!CJ92," х ",Worksheet!CL92," х ",Worksheet!CH92),"")</f>
        <v>799 х 290 х 542</v>
      </c>
      <c r="U96" t="str">
        <f>IF(Worksheet!CK92&lt;&gt;"",CONCATENATE(Worksheet!CK92," х ",Worksheet!CM92," х ",Worksheet!CI92),"")</f>
        <v>940 х 375 х 602</v>
      </c>
      <c r="V96" t="str">
        <f>IF(Worksheet!CN92&lt;&gt;"",CONCATENATE(Worksheet!CN92,"/",Worksheet!CO92),"")</f>
        <v>31/35</v>
      </c>
      <c r="W96" s="6"/>
      <c r="X96" s="7">
        <f>IF(Worksheet!AN92&lt;&gt;"",Worksheet!AN92,"")</f>
        <v>6.35</v>
      </c>
      <c r="Y96" s="7">
        <f>IF(Worksheet!AO92&lt;&gt;"",Worksheet!AO92,"")</f>
        <v>9.52</v>
      </c>
      <c r="Z96" s="17">
        <f>IF(Worksheet!Q92&lt;&gt;"",Worksheet!Q92,"")</f>
        <v>20</v>
      </c>
      <c r="AA96" s="17">
        <f>IF(Worksheet!R92&lt;&gt;"",Worksheet!R92,"")</f>
        <v>15</v>
      </c>
      <c r="AB96" t="str">
        <f>IF(Worksheet!X92&lt;&gt;"",CONCATENATE("от ",Worksheet!X92," до +",Worksheet!Y92),"")</f>
        <v>от -10 до +46</v>
      </c>
      <c r="AC96" t="str">
        <f>IF(Worksheet!Z92&lt;&gt;"",CONCATENATE("от ",Worksheet!Z92," до +",Worksheet!AA92),"")</f>
        <v>от -15 до +24</v>
      </c>
      <c r="AD96" s="6" t="s">
        <v>5245</v>
      </c>
      <c r="AE96" s="17"/>
    </row>
    <row r="97" spans="1:31" x14ac:dyDescent="0.25">
      <c r="A97" s="17" t="str">
        <f>IF(Worksheet!B93&lt;&gt;"",Worksheet!B93,"")</f>
        <v>FUJITSU</v>
      </c>
      <c r="B97" t="str">
        <f>Worksheet!E93</f>
        <v>Напольно-потолочные</v>
      </c>
      <c r="C97" s="21">
        <f>IF(Worksheet!M93&lt;&gt;"",MID(Worksheet!M93,1,FIND(" ",Worksheet!M93,1)-1),"")*1</f>
        <v>4.2</v>
      </c>
      <c r="D97">
        <f t="shared" si="3"/>
        <v>42</v>
      </c>
      <c r="E97" t="str">
        <f>IF(Worksheet!L93&lt;&gt;"",IF(Worksheet!L93="Y","да","нет"),"")</f>
        <v>да</v>
      </c>
      <c r="F97" s="21">
        <f>IF(Worksheet!N93&lt;&gt;"",MID(Worksheet!N93,1,FIND(" ",Worksheet!N93,1)-1),"")*1</f>
        <v>5.2</v>
      </c>
      <c r="G97">
        <f>IF(Worksheet!O93&lt;&gt;"",Worksheet!O93,"")</f>
        <v>1.06</v>
      </c>
      <c r="H97">
        <f>IF(Worksheet!P93&lt;&gt;"",Worksheet!P93,"")</f>
        <v>1.41</v>
      </c>
      <c r="I97" s="6"/>
      <c r="J97" s="6"/>
      <c r="K97" t="str">
        <f>IF(Worksheet!BI93&lt;&gt;"",Worksheet!BI93,"")</f>
        <v>1 / 230 / 50</v>
      </c>
      <c r="L97" t="str">
        <f>IF(Worksheet!AU93&lt;&gt;"",Worksheet!AU93,"")</f>
        <v>R32</v>
      </c>
      <c r="M97" s="6"/>
      <c r="N97" s="6"/>
      <c r="O97" t="str">
        <f>IF(Worksheet!CR93&lt;&gt;"",CONCATENATE(Worksheet!CR93," х ",Worksheet!CP93," х ",Worksheet!CT93),"")</f>
        <v>740 х 600 х 200</v>
      </c>
      <c r="P97" t="str">
        <f>IF(Worksheet!CS93&lt;&gt;"",CONCATENATE(Worksheet!CS93," х ",Worksheet!CU93," х ",Worksheet!CQ93),"")</f>
        <v>820 х 310 х 700</v>
      </c>
      <c r="Q97" t="str">
        <f>IF(Worksheet!CV93&lt;&gt;"",CONCATENATE(Worksheet!CV93," / ",Worksheet!CW93),"")</f>
        <v>14 / 18</v>
      </c>
      <c r="R97" t="str">
        <f>IF(Worksheet!BS93&lt;&gt;"",Worksheet!BS93,"")</f>
        <v>22/31/38/44</v>
      </c>
      <c r="S97" t="str">
        <f>IF(Worksheet!AL93&lt;&gt;"",Worksheet!AL93,"")</f>
        <v/>
      </c>
      <c r="T97" t="str">
        <f>IF(Worksheet!CJ93&lt;&gt;"",CONCATENATE(Worksheet!CJ93," х ",Worksheet!CL93," х ",Worksheet!CH93),"")</f>
        <v>799 х 290 х 632</v>
      </c>
      <c r="U97" t="str">
        <f>IF(Worksheet!CK93&lt;&gt;"",CONCATENATE(Worksheet!CK93," х ",Worksheet!CM93," х ",Worksheet!CI93),"")</f>
        <v>940 х 375 х 692</v>
      </c>
      <c r="V97" t="str">
        <f>IF(Worksheet!CN93&lt;&gt;"",CONCATENATE(Worksheet!CN93,"/",Worksheet!CO93),"")</f>
        <v>38/42</v>
      </c>
      <c r="W97" s="6"/>
      <c r="X97" s="7">
        <f>IF(Worksheet!AN93&lt;&gt;"",Worksheet!AN93,"")</f>
        <v>6.35</v>
      </c>
      <c r="Y97" s="7">
        <f>IF(Worksheet!AO93&lt;&gt;"",Worksheet!AO93,"")</f>
        <v>9.52</v>
      </c>
      <c r="Z97" s="17">
        <f>IF(Worksheet!Q93&lt;&gt;"",Worksheet!Q93,"")</f>
        <v>20</v>
      </c>
      <c r="AA97" s="17">
        <f>IF(Worksheet!R93&lt;&gt;"",Worksheet!R93,"")</f>
        <v>15</v>
      </c>
      <c r="AB97" t="str">
        <f>IF(Worksheet!X93&lt;&gt;"",CONCATENATE("от ",Worksheet!X93," до +",Worksheet!Y93),"")</f>
        <v>от -10 до +46</v>
      </c>
      <c r="AC97" t="str">
        <f>IF(Worksheet!Z93&lt;&gt;"",CONCATENATE("от ",Worksheet!Z93," до +",Worksheet!AA93),"")</f>
        <v>от -15 до +24</v>
      </c>
      <c r="AD97" s="6" t="s">
        <v>5245</v>
      </c>
      <c r="AE97" s="17"/>
    </row>
    <row r="98" spans="1:31" x14ac:dyDescent="0.25">
      <c r="A98" s="17" t="str">
        <f>IF(Worksheet!B94&lt;&gt;"",Worksheet!B94,"")</f>
        <v>FUJITSU</v>
      </c>
      <c r="B98" t="str">
        <f>Worksheet!E94</f>
        <v>Напольно-потолочные</v>
      </c>
      <c r="C98" s="21">
        <f>IF(Worksheet!M94&lt;&gt;"",MID(Worksheet!M94,1,FIND(" ",Worksheet!M94,1)-1),"")*1</f>
        <v>5.2</v>
      </c>
      <c r="D98">
        <f t="shared" si="3"/>
        <v>52</v>
      </c>
      <c r="E98" t="str">
        <f>IF(Worksheet!L94&lt;&gt;"",IF(Worksheet!L94="Y","да","нет"),"")</f>
        <v>да</v>
      </c>
      <c r="F98" s="21">
        <f>IF(Worksheet!N94&lt;&gt;"",MID(Worksheet!N94,1,FIND(" ",Worksheet!N94,1)-1),"")*1</f>
        <v>6</v>
      </c>
      <c r="G98">
        <f>IF(Worksheet!O94&lt;&gt;"",Worksheet!O94,"")</f>
        <v>1.66</v>
      </c>
      <c r="H98">
        <f>IF(Worksheet!P94&lt;&gt;"",Worksheet!P94,"")</f>
        <v>1.71</v>
      </c>
      <c r="I98" s="6"/>
      <c r="J98" s="6"/>
      <c r="K98" t="str">
        <f>IF(Worksheet!BI94&lt;&gt;"",Worksheet!BI94,"")</f>
        <v>1 / 230 / 50</v>
      </c>
      <c r="L98" t="str">
        <f>IF(Worksheet!AU94&lt;&gt;"",Worksheet!AU94,"")</f>
        <v>R32</v>
      </c>
      <c r="M98" s="6"/>
      <c r="N98" s="6"/>
      <c r="O98" t="str">
        <f>IF(Worksheet!CR94&lt;&gt;"",CONCATENATE(Worksheet!CR94," х ",Worksheet!CP94," х ",Worksheet!CT94),"")</f>
        <v>1080 х 235 х 705</v>
      </c>
      <c r="P98" t="str">
        <f>IF(Worksheet!CS94&lt;&gt;"",CONCATENATE(Worksheet!CS94," х ",Worksheet!CU94," х ",Worksheet!CQ94),"")</f>
        <v>1165 х 825 х 330</v>
      </c>
      <c r="Q98" t="str">
        <f>IF(Worksheet!CV94&lt;&gt;"",CONCATENATE(Worksheet!CV94," / ",Worksheet!CW94),"")</f>
        <v>24 / 33</v>
      </c>
      <c r="R98" t="str">
        <f>IF(Worksheet!BS94&lt;&gt;"",Worksheet!BS94,"")</f>
        <v>31/33/36/38</v>
      </c>
      <c r="S98" t="str">
        <f>IF(Worksheet!AL94&lt;&gt;"",Worksheet!AL94,"")</f>
        <v/>
      </c>
      <c r="T98" t="str">
        <f>IF(Worksheet!CJ94&lt;&gt;"",CONCATENATE(Worksheet!CJ94," х ",Worksheet!CL94," х ",Worksheet!CH94),"")</f>
        <v>799 х 290 х 542</v>
      </c>
      <c r="U98" t="str">
        <f>IF(Worksheet!CK94&lt;&gt;"",CONCATENATE(Worksheet!CK94," х ",Worksheet!CM94," х ",Worksheet!CI94),"")</f>
        <v>940 х 375 х 602</v>
      </c>
      <c r="V98" t="str">
        <f>IF(Worksheet!CN94&lt;&gt;"",CONCATENATE(Worksheet!CN94,"/",Worksheet!CO94),"")</f>
        <v>33/36</v>
      </c>
      <c r="W98" s="6"/>
      <c r="X98" s="7">
        <f>IF(Worksheet!AN94&lt;&gt;"",Worksheet!AN94,"")</f>
        <v>6.35</v>
      </c>
      <c r="Y98" s="7">
        <f>IF(Worksheet!AO94&lt;&gt;"",Worksheet!AO94,"")</f>
        <v>12.7</v>
      </c>
      <c r="Z98" s="17">
        <f>IF(Worksheet!Q94&lt;&gt;"",Worksheet!Q94,"")</f>
        <v>20</v>
      </c>
      <c r="AA98" s="17">
        <f>IF(Worksheet!R94&lt;&gt;"",Worksheet!R94,"")</f>
        <v>15</v>
      </c>
      <c r="AB98" t="str">
        <f>IF(Worksheet!X94&lt;&gt;"",CONCATENATE("от ",Worksheet!X94," до +",Worksheet!Y94),"")</f>
        <v>от -10 до +46</v>
      </c>
      <c r="AC98" t="str">
        <f>IF(Worksheet!Z94&lt;&gt;"",CONCATENATE("от ",Worksheet!Z94," до +",Worksheet!AA94),"")</f>
        <v>от -15 до +24</v>
      </c>
      <c r="AD98" s="6" t="s">
        <v>5245</v>
      </c>
      <c r="AE98" s="17"/>
    </row>
    <row r="99" spans="1:31" x14ac:dyDescent="0.25">
      <c r="A99" s="17" t="str">
        <f>IF(Worksheet!B95&lt;&gt;"",Worksheet!B95,"")</f>
        <v>FUJITSU</v>
      </c>
      <c r="B99" t="str">
        <f>Worksheet!E95</f>
        <v>Напольно-потолочные</v>
      </c>
      <c r="C99" s="21">
        <f>IF(Worksheet!M95&lt;&gt;"",MID(Worksheet!M95,1,FIND(" ",Worksheet!M95,1)-1),"")*1</f>
        <v>6.8</v>
      </c>
      <c r="D99">
        <f t="shared" si="3"/>
        <v>68</v>
      </c>
      <c r="E99" t="str">
        <f>IF(Worksheet!L95&lt;&gt;"",IF(Worksheet!L95="Y","да","нет"),"")</f>
        <v>да</v>
      </c>
      <c r="F99" s="21">
        <f>IF(Worksheet!N95&lt;&gt;"",MID(Worksheet!N95,1,FIND(" ",Worksheet!N95,1)-1),"")*1</f>
        <v>7.5</v>
      </c>
      <c r="G99">
        <f>IF(Worksheet!O95&lt;&gt;"",Worksheet!O95,"")</f>
        <v>2.19</v>
      </c>
      <c r="H99">
        <f>IF(Worksheet!P95&lt;&gt;"",Worksheet!P95,"")</f>
        <v>2</v>
      </c>
      <c r="I99" s="6"/>
      <c r="J99" s="6"/>
      <c r="K99" t="str">
        <f>IF(Worksheet!BI95&lt;&gt;"",Worksheet!BI95,"")</f>
        <v>1 / 230 / 50</v>
      </c>
      <c r="L99" t="str">
        <f>IF(Worksheet!AU95&lt;&gt;"",Worksheet!AU95,"")</f>
        <v>R32</v>
      </c>
      <c r="M99" s="6"/>
      <c r="N99" s="6"/>
      <c r="O99" t="str">
        <f>IF(Worksheet!CR95&lt;&gt;"",CONCATENATE(Worksheet!CR95," х ",Worksheet!CP95," х ",Worksheet!CT95),"")</f>
        <v>1390 х 235 х 705</v>
      </c>
      <c r="P99" t="str">
        <f>IF(Worksheet!CS95&lt;&gt;"",CONCATENATE(Worksheet!CS95," х ",Worksheet!CU95," х ",Worksheet!CQ95),"")</f>
        <v>1475 х 825 х 330</v>
      </c>
      <c r="Q99" t="str">
        <f>IF(Worksheet!CV95&lt;&gt;"",CONCATENATE(Worksheet!CV95," / ",Worksheet!CW95),"")</f>
        <v>31 / 41</v>
      </c>
      <c r="R99" t="str">
        <f>IF(Worksheet!BS95&lt;&gt;"",Worksheet!BS95,"")</f>
        <v>29/32/36/41</v>
      </c>
      <c r="S99" t="str">
        <f>IF(Worksheet!AL95&lt;&gt;"",Worksheet!AL95,"")</f>
        <v/>
      </c>
      <c r="T99" t="str">
        <f>IF(Worksheet!CJ95&lt;&gt;"",CONCATENATE(Worksheet!CJ95," х ",Worksheet!CL95," х ",Worksheet!CH95),"")</f>
        <v>799 х 290 х 632</v>
      </c>
      <c r="U99" t="str">
        <f>IF(Worksheet!CK95&lt;&gt;"",CONCATENATE(Worksheet!CK95," х ",Worksheet!CM95," х ",Worksheet!CI95),"")</f>
        <v>940 х 375 х 692</v>
      </c>
      <c r="V99" t="str">
        <f>IF(Worksheet!CN95&lt;&gt;"",CONCATENATE(Worksheet!CN95,"/",Worksheet!CO95),"")</f>
        <v>38/42</v>
      </c>
      <c r="W99" s="6"/>
      <c r="X99" s="7">
        <f>IF(Worksheet!AN95&lt;&gt;"",Worksheet!AN95,"")</f>
        <v>6.35</v>
      </c>
      <c r="Y99" s="7">
        <f>IF(Worksheet!AO95&lt;&gt;"",Worksheet!AO95,"")</f>
        <v>12.7</v>
      </c>
      <c r="Z99" s="17">
        <f>IF(Worksheet!Q95&lt;&gt;"",Worksheet!Q95,"")</f>
        <v>25</v>
      </c>
      <c r="AA99" s="17">
        <f>IF(Worksheet!R95&lt;&gt;"",Worksheet!R95,"")</f>
        <v>20</v>
      </c>
      <c r="AB99" t="str">
        <f>IF(Worksheet!X95&lt;&gt;"",CONCATENATE("от ",Worksheet!X95," до +",Worksheet!Y95),"")</f>
        <v>от -10 до +46</v>
      </c>
      <c r="AC99" t="str">
        <f>IF(Worksheet!Z95&lt;&gt;"",CONCATENATE("от ",Worksheet!Z95," до +",Worksheet!AA95),"")</f>
        <v>от -15 до +24</v>
      </c>
      <c r="AD99" s="6" t="s">
        <v>5245</v>
      </c>
      <c r="AE99" s="17"/>
    </row>
    <row r="100" spans="1:31" x14ac:dyDescent="0.25">
      <c r="A100" s="17" t="str">
        <f>IF(Worksheet!B96&lt;&gt;"",Worksheet!B96,"")</f>
        <v>FUJITSU</v>
      </c>
      <c r="B100" t="str">
        <f>Worksheet!E96</f>
        <v>Напольно-потолочные</v>
      </c>
      <c r="C100" s="21">
        <f>IF(Worksheet!M96&lt;&gt;"",MID(Worksheet!M96,1,FIND(" ",Worksheet!M96,1)-1),"")*1</f>
        <v>8.5</v>
      </c>
      <c r="D100">
        <f t="shared" si="3"/>
        <v>85</v>
      </c>
      <c r="E100" t="str">
        <f>IF(Worksheet!L96&lt;&gt;"",IF(Worksheet!L96="Y","да","нет"),"")</f>
        <v>да</v>
      </c>
      <c r="F100" s="21">
        <f>IF(Worksheet!N96&lt;&gt;"",MID(Worksheet!N96,1,FIND(" ",Worksheet!N96,1)-1),"")*1</f>
        <v>10</v>
      </c>
      <c r="G100">
        <f>IF(Worksheet!O96&lt;&gt;"",Worksheet!O96,"")</f>
        <v>2.78</v>
      </c>
      <c r="H100">
        <f>IF(Worksheet!P96&lt;&gt;"",Worksheet!P96,"")</f>
        <v>2.86</v>
      </c>
      <c r="I100" s="6"/>
      <c r="J100" s="6"/>
      <c r="K100" t="str">
        <f>IF(Worksheet!BI96&lt;&gt;"",Worksheet!BI96,"")</f>
        <v>1 / 230 / 50</v>
      </c>
      <c r="L100" t="str">
        <f>IF(Worksheet!AU96&lt;&gt;"",Worksheet!AU96,"")</f>
        <v>R32</v>
      </c>
      <c r="M100" s="6"/>
      <c r="N100" s="6"/>
      <c r="O100" t="str">
        <f>IF(Worksheet!CR96&lt;&gt;"",CONCATENATE(Worksheet!CR96," х ",Worksheet!CP96," х ",Worksheet!CT96),"")</f>
        <v>1390 х 235 х 705</v>
      </c>
      <c r="P100" t="str">
        <f>IF(Worksheet!CS96&lt;&gt;"",CONCATENATE(Worksheet!CS96," х ",Worksheet!CU96," х ",Worksheet!CQ96),"")</f>
        <v>1475 х 825 х 330</v>
      </c>
      <c r="Q100" t="str">
        <f>IF(Worksheet!CV96&lt;&gt;"",CONCATENATE(Worksheet!CV96," / ",Worksheet!CW96),"")</f>
        <v>31 / 41</v>
      </c>
      <c r="R100" t="str">
        <f>IF(Worksheet!BS96&lt;&gt;"",Worksheet!BS96,"")</f>
        <v>32/35/40/45</v>
      </c>
      <c r="S100" t="str">
        <f>IF(Worksheet!AL96&lt;&gt;"",Worksheet!AL96,"")</f>
        <v/>
      </c>
      <c r="T100" t="str">
        <f>IF(Worksheet!CJ96&lt;&gt;"",CONCATENATE(Worksheet!CJ96," х ",Worksheet!CL96," х ",Worksheet!CH96),"")</f>
        <v>940 х 320 х 788</v>
      </c>
      <c r="U100" t="str">
        <f>IF(Worksheet!CK96&lt;&gt;"",CONCATENATE(Worksheet!CK96," х ",Worksheet!CM96," х ",Worksheet!CI96),"")</f>
        <v>1027 х 445 х 966</v>
      </c>
      <c r="V100" t="str">
        <f>IF(Worksheet!CN96&lt;&gt;"",CONCATENATE(Worksheet!CN96,"/",Worksheet!CO96),"")</f>
        <v>52/61</v>
      </c>
      <c r="W100" s="6"/>
      <c r="X100" s="7">
        <f>IF(Worksheet!AN96&lt;&gt;"",Worksheet!AN96,"")</f>
        <v>9.52</v>
      </c>
      <c r="Y100" s="7">
        <f>IF(Worksheet!AO96&lt;&gt;"",Worksheet!AO96,"")</f>
        <v>15.88</v>
      </c>
      <c r="Z100" s="17">
        <f>IF(Worksheet!Q96&lt;&gt;"",Worksheet!Q96,"")</f>
        <v>30</v>
      </c>
      <c r="AA100" s="17">
        <f>IF(Worksheet!R96&lt;&gt;"",Worksheet!R96,"")</f>
        <v>30</v>
      </c>
      <c r="AB100" t="str">
        <f>IF(Worksheet!X96&lt;&gt;"",CONCATENATE("от ",Worksheet!X96," до +",Worksheet!Y96),"")</f>
        <v>от -10 до +46</v>
      </c>
      <c r="AC100" t="str">
        <f>IF(Worksheet!Z96&lt;&gt;"",CONCATENATE("от ",Worksheet!Z96," до +",Worksheet!AA96),"")</f>
        <v>от -15 до +24</v>
      </c>
      <c r="AD100" s="6" t="s">
        <v>5245</v>
      </c>
      <c r="AE100" s="17"/>
    </row>
    <row r="101" spans="1:31" x14ac:dyDescent="0.25">
      <c r="A101" s="17" t="str">
        <f>IF(Worksheet!B97&lt;&gt;"",Worksheet!B97,"")</f>
        <v>FUJITSU</v>
      </c>
      <c r="B101" t="str">
        <f>Worksheet!E97</f>
        <v>Напольно-потолочные</v>
      </c>
      <c r="C101" s="21">
        <f>IF(Worksheet!M97&lt;&gt;"",MID(Worksheet!M97,1,FIND(" ",Worksheet!M97,1)-1),"")*1</f>
        <v>9.5</v>
      </c>
      <c r="D101">
        <f t="shared" si="3"/>
        <v>95</v>
      </c>
      <c r="E101" t="str">
        <f>IF(Worksheet!L97&lt;&gt;"",IF(Worksheet!L97="Y","да","нет"),"")</f>
        <v>да</v>
      </c>
      <c r="F101" s="21">
        <f>IF(Worksheet!N97&lt;&gt;"",MID(Worksheet!N97,1,FIND(" ",Worksheet!N97,1)-1),"")*1</f>
        <v>10.8</v>
      </c>
      <c r="G101">
        <f>IF(Worksheet!O97&lt;&gt;"",Worksheet!O97,"")</f>
        <v>3.13</v>
      </c>
      <c r="H101">
        <f>IF(Worksheet!P97&lt;&gt;"",Worksheet!P97,"")</f>
        <v>3.03</v>
      </c>
      <c r="I101" s="6"/>
      <c r="J101" s="6"/>
      <c r="K101" t="str">
        <f>IF(Worksheet!BI97&lt;&gt;"",Worksheet!BI97,"")</f>
        <v>1 / 230 / 50</v>
      </c>
      <c r="L101" t="str">
        <f>IF(Worksheet!AU97&lt;&gt;"",Worksheet!AU97,"")</f>
        <v>R32</v>
      </c>
      <c r="M101" s="6"/>
      <c r="N101" s="6"/>
      <c r="O101" t="str">
        <f>IF(Worksheet!CR97&lt;&gt;"",CONCATENATE(Worksheet!CR97," х ",Worksheet!CP97," х ",Worksheet!CT97),"")</f>
        <v>1700 х 235 х 705</v>
      </c>
      <c r="P101" t="str">
        <f>IF(Worksheet!CS97&lt;&gt;"",CONCATENATE(Worksheet!CS97," х ",Worksheet!CU97," х ",Worksheet!CQ97),"")</f>
        <v>1785 х 825 х 330</v>
      </c>
      <c r="Q101" t="str">
        <f>IF(Worksheet!CV97&lt;&gt;"",CONCATENATE(Worksheet!CV97," / ",Worksheet!CW97),"")</f>
        <v>38 / 48</v>
      </c>
      <c r="R101" t="str">
        <f>IF(Worksheet!BS97&lt;&gt;"",Worksheet!BS97,"")</f>
        <v>32/37/40/44</v>
      </c>
      <c r="S101" t="str">
        <f>IF(Worksheet!AL97&lt;&gt;"",Worksheet!AL97,"")</f>
        <v/>
      </c>
      <c r="T101" t="str">
        <f>IF(Worksheet!CJ97&lt;&gt;"",CONCATENATE(Worksheet!CJ97," х ",Worksheet!CL97," х ",Worksheet!CH97),"")</f>
        <v>940 х 320 х 788</v>
      </c>
      <c r="U101" t="str">
        <f>IF(Worksheet!CK97&lt;&gt;"",CONCATENATE(Worksheet!CK97," х ",Worksheet!CM97," х ",Worksheet!CI97),"")</f>
        <v>1027 х 445 х 966</v>
      </c>
      <c r="V101" t="str">
        <f>IF(Worksheet!CN97&lt;&gt;"",CONCATENATE(Worksheet!CN97,"/",Worksheet!CO97),"")</f>
        <v>52/61</v>
      </c>
      <c r="W101" s="6"/>
      <c r="X101" s="7">
        <f>IF(Worksheet!AN97&lt;&gt;"",Worksheet!AN97,"")</f>
        <v>9.52</v>
      </c>
      <c r="Y101" s="7">
        <f>IF(Worksheet!AO97&lt;&gt;"",Worksheet!AO97,"")</f>
        <v>15.88</v>
      </c>
      <c r="Z101" s="17">
        <f>IF(Worksheet!Q97&lt;&gt;"",Worksheet!Q97,"")</f>
        <v>30</v>
      </c>
      <c r="AA101" s="17">
        <f>IF(Worksheet!R97&lt;&gt;"",Worksheet!R97,"")</f>
        <v>30</v>
      </c>
      <c r="AB101" t="str">
        <f>IF(Worksheet!X97&lt;&gt;"",CONCATENATE("от ",Worksheet!X97," до +",Worksheet!Y97),"")</f>
        <v>от -10 до +46</v>
      </c>
      <c r="AC101" t="str">
        <f>IF(Worksheet!Z97&lt;&gt;"",CONCATENATE("от ",Worksheet!Z97," до +",Worksheet!AA97),"")</f>
        <v>от -15 до +24</v>
      </c>
      <c r="AD101" s="6" t="s">
        <v>5245</v>
      </c>
      <c r="AE101" s="17"/>
    </row>
    <row r="102" spans="1:31" x14ac:dyDescent="0.25">
      <c r="A102" s="17" t="str">
        <f>IF(Worksheet!B98&lt;&gt;"",Worksheet!B98,"")</f>
        <v>FUJITSU</v>
      </c>
      <c r="B102" t="str">
        <f>Worksheet!E98</f>
        <v>Напольно-потолочные</v>
      </c>
      <c r="C102" s="21">
        <f>IF(Worksheet!M98&lt;&gt;"",MID(Worksheet!M98,1,FIND(" ",Worksheet!M98,1)-1),"")*1</f>
        <v>9.5</v>
      </c>
      <c r="D102">
        <f t="shared" si="3"/>
        <v>95</v>
      </c>
      <c r="E102" t="str">
        <f>IF(Worksheet!L98&lt;&gt;"",IF(Worksheet!L98="Y","да","нет"),"")</f>
        <v>да</v>
      </c>
      <c r="F102" s="21">
        <f>IF(Worksheet!N98&lt;&gt;"",MID(Worksheet!N98,1,FIND(" ",Worksheet!N98,1)-1),"")*1</f>
        <v>10.8</v>
      </c>
      <c r="G102">
        <f>IF(Worksheet!O98&lt;&gt;"",Worksheet!O98,"")</f>
        <v>3.13</v>
      </c>
      <c r="H102">
        <f>IF(Worksheet!P98&lt;&gt;"",Worksheet!P98,"")</f>
        <v>3.03</v>
      </c>
      <c r="I102" s="6"/>
      <c r="J102" s="6"/>
      <c r="K102" t="str">
        <f>IF(Worksheet!BI98&lt;&gt;"",Worksheet!BI98,"")</f>
        <v>3 / 400 / 50</v>
      </c>
      <c r="L102" t="str">
        <f>IF(Worksheet!AU98&lt;&gt;"",Worksheet!AU98,"")</f>
        <v>R32</v>
      </c>
      <c r="M102" s="6"/>
      <c r="N102" s="6"/>
      <c r="O102" t="str">
        <f>IF(Worksheet!CR98&lt;&gt;"",CONCATENATE(Worksheet!CR98," х ",Worksheet!CP98," х ",Worksheet!CT98),"")</f>
        <v>1700 х 235 х 705</v>
      </c>
      <c r="P102" t="str">
        <f>IF(Worksheet!CS98&lt;&gt;"",CONCATENATE(Worksheet!CS98," х ",Worksheet!CU98," х ",Worksheet!CQ98),"")</f>
        <v>1785 х 825 х 330</v>
      </c>
      <c r="Q102" t="str">
        <f>IF(Worksheet!CV98&lt;&gt;"",CONCATENATE(Worksheet!CV98," / ",Worksheet!CW98),"")</f>
        <v>38 / 48</v>
      </c>
      <c r="R102" t="str">
        <f>IF(Worksheet!BS98&lt;&gt;"",Worksheet!BS98,"")</f>
        <v>32/37/40/44</v>
      </c>
      <c r="S102" t="str">
        <f>IF(Worksheet!AL98&lt;&gt;"",Worksheet!AL98,"")</f>
        <v/>
      </c>
      <c r="T102" t="str">
        <f>IF(Worksheet!CJ98&lt;&gt;"",CONCATENATE(Worksheet!CJ98," х ",Worksheet!CL98," х ",Worksheet!CH98),"")</f>
        <v>940 х 320 х 788</v>
      </c>
      <c r="U102" t="str">
        <f>IF(Worksheet!CK98&lt;&gt;"",CONCATENATE(Worksheet!CK98," х ",Worksheet!CM98," х ",Worksheet!CI98),"")</f>
        <v>1027 х 445 х 966</v>
      </c>
      <c r="V102" t="str">
        <f>IF(Worksheet!CN98&lt;&gt;"",CONCATENATE(Worksheet!CN98,"/",Worksheet!CO98),"")</f>
        <v>53/62</v>
      </c>
      <c r="W102" s="6"/>
      <c r="X102" s="7">
        <f>IF(Worksheet!AN98&lt;&gt;"",Worksheet!AN98,"")</f>
        <v>9.52</v>
      </c>
      <c r="Y102" s="7">
        <f>IF(Worksheet!AO98&lt;&gt;"",Worksheet!AO98,"")</f>
        <v>15.88</v>
      </c>
      <c r="Z102" s="17">
        <f>IF(Worksheet!Q98&lt;&gt;"",Worksheet!Q98,"")</f>
        <v>30</v>
      </c>
      <c r="AA102" s="17">
        <f>IF(Worksheet!R98&lt;&gt;"",Worksheet!R98,"")</f>
        <v>30</v>
      </c>
      <c r="AB102" t="str">
        <f>IF(Worksheet!X98&lt;&gt;"",CONCATENATE("от ",Worksheet!X98," до +",Worksheet!Y98),"")</f>
        <v>от -10 до +46</v>
      </c>
      <c r="AC102" t="str">
        <f>IF(Worksheet!Z98&lt;&gt;"",CONCATENATE("от ",Worksheet!Z98," до +",Worksheet!AA98),"")</f>
        <v>от -15 до +24</v>
      </c>
      <c r="AD102" s="6" t="s">
        <v>5245</v>
      </c>
      <c r="AE102" s="17"/>
    </row>
    <row r="103" spans="1:31" x14ac:dyDescent="0.25">
      <c r="A103" s="17" t="str">
        <f>IF(Worksheet!B99&lt;&gt;"",Worksheet!B99,"")</f>
        <v>FUJITSU</v>
      </c>
      <c r="B103" t="str">
        <f>Worksheet!E99</f>
        <v>Напольно-потолочные</v>
      </c>
      <c r="C103" s="21">
        <f>IF(Worksheet!M99&lt;&gt;"",MID(Worksheet!M99,1,FIND(" ",Worksheet!M99,1)-1),"")*1</f>
        <v>12.1</v>
      </c>
      <c r="D103">
        <f t="shared" si="3"/>
        <v>120</v>
      </c>
      <c r="E103" t="str">
        <f>IF(Worksheet!L99&lt;&gt;"",IF(Worksheet!L99="Y","да","нет"),"")</f>
        <v>да</v>
      </c>
      <c r="F103" s="21">
        <f>IF(Worksheet!N99&lt;&gt;"",MID(Worksheet!N99,1,FIND(" ",Worksheet!N99,1)-1),"")*1</f>
        <v>13.5</v>
      </c>
      <c r="G103">
        <f>IF(Worksheet!O99&lt;&gt;"",Worksheet!O99,"")</f>
        <v>4.84</v>
      </c>
      <c r="H103">
        <f>IF(Worksheet!P99&lt;&gt;"",Worksheet!P99,"")</f>
        <v>4.18</v>
      </c>
      <c r="I103" s="6"/>
      <c r="J103" s="6"/>
      <c r="K103" t="str">
        <f>IF(Worksheet!BI99&lt;&gt;"",Worksheet!BI99,"")</f>
        <v>1 / 230 / 50</v>
      </c>
      <c r="L103" t="str">
        <f>IF(Worksheet!AU99&lt;&gt;"",Worksheet!AU99,"")</f>
        <v>R32</v>
      </c>
      <c r="M103" s="6"/>
      <c r="N103" s="6"/>
      <c r="O103" t="str">
        <f>IF(Worksheet!CR99&lt;&gt;"",CONCATENATE(Worksheet!CR99," х ",Worksheet!CP99," х ",Worksheet!CT99),"")</f>
        <v>1700 х 235 х 705</v>
      </c>
      <c r="P103" t="str">
        <f>IF(Worksheet!CS99&lt;&gt;"",CONCATENATE(Worksheet!CS99," х ",Worksheet!CU99," х ",Worksheet!CQ99),"")</f>
        <v>1785 х 825 х 330</v>
      </c>
      <c r="Q103" t="str">
        <f>IF(Worksheet!CV99&lt;&gt;"",CONCATENATE(Worksheet!CV99," / ",Worksheet!CW99),"")</f>
        <v>38 / 48</v>
      </c>
      <c r="R103" t="str">
        <f>IF(Worksheet!BS99&lt;&gt;"",Worksheet!BS99,"")</f>
        <v>34/39/41/45</v>
      </c>
      <c r="S103" t="str">
        <f>IF(Worksheet!AL99&lt;&gt;"",Worksheet!AL99,"")</f>
        <v/>
      </c>
      <c r="T103" t="str">
        <f>IF(Worksheet!CJ99&lt;&gt;"",CONCATENATE(Worksheet!CJ99," х ",Worksheet!CL99," х ",Worksheet!CH99),"")</f>
        <v>940 х 320 х 998</v>
      </c>
      <c r="U103" t="str">
        <f>IF(Worksheet!CK99&lt;&gt;"",CONCATENATE(Worksheet!CK99," х ",Worksheet!CM99," х ",Worksheet!CI99),"")</f>
        <v>1027 х 445 х 1176</v>
      </c>
      <c r="V103" t="str">
        <f>IF(Worksheet!CN99&lt;&gt;"",CONCATENATE(Worksheet!CN99,"/",Worksheet!CO99),"")</f>
        <v>61/71</v>
      </c>
      <c r="W103" s="6"/>
      <c r="X103" s="7">
        <f>IF(Worksheet!AN99&lt;&gt;"",Worksheet!AN99,"")</f>
        <v>9.52</v>
      </c>
      <c r="Y103" s="7">
        <f>IF(Worksheet!AO99&lt;&gt;"",Worksheet!AO99,"")</f>
        <v>15.88</v>
      </c>
      <c r="Z103" s="17">
        <f>IF(Worksheet!Q99&lt;&gt;"",Worksheet!Q99,"")</f>
        <v>30</v>
      </c>
      <c r="AA103" s="17">
        <f>IF(Worksheet!R99&lt;&gt;"",Worksheet!R99,"")</f>
        <v>30</v>
      </c>
      <c r="AB103" t="str">
        <f>IF(Worksheet!X99&lt;&gt;"",CONCATENATE("от ",Worksheet!X99," до +",Worksheet!Y99),"")</f>
        <v>от -10 до +46</v>
      </c>
      <c r="AC103" t="str">
        <f>IF(Worksheet!Z99&lt;&gt;"",CONCATENATE("от ",Worksheet!Z99," до +",Worksheet!AA99),"")</f>
        <v>от -15 до +24</v>
      </c>
      <c r="AD103" s="6" t="s">
        <v>5245</v>
      </c>
      <c r="AE103" s="17"/>
    </row>
    <row r="104" spans="1:31" x14ac:dyDescent="0.25">
      <c r="A104" s="17" t="str">
        <f>IF(Worksheet!B100&lt;&gt;"",Worksheet!B100,"")</f>
        <v>FUJITSU</v>
      </c>
      <c r="B104" t="str">
        <f>Worksheet!E100</f>
        <v>Напольно-потолочные</v>
      </c>
      <c r="C104" s="21">
        <f>IF(Worksheet!M100&lt;&gt;"",MID(Worksheet!M100,1,FIND(" ",Worksheet!M100,1)-1),"")*1</f>
        <v>12.1</v>
      </c>
      <c r="D104">
        <f t="shared" si="3"/>
        <v>120</v>
      </c>
      <c r="E104" t="str">
        <f>IF(Worksheet!L100&lt;&gt;"",IF(Worksheet!L100="Y","да","нет"),"")</f>
        <v>да</v>
      </c>
      <c r="F104" s="21">
        <f>IF(Worksheet!N100&lt;&gt;"",MID(Worksheet!N100,1,FIND(" ",Worksheet!N100,1)-1),"")*1</f>
        <v>13.5</v>
      </c>
      <c r="G104">
        <f>IF(Worksheet!O100&lt;&gt;"",Worksheet!O100,"")</f>
        <v>4.84</v>
      </c>
      <c r="H104">
        <f>IF(Worksheet!P100&lt;&gt;"",Worksheet!P100,"")</f>
        <v>4.18</v>
      </c>
      <c r="I104" s="6"/>
      <c r="J104" s="6"/>
      <c r="K104" t="str">
        <f>IF(Worksheet!BI100&lt;&gt;"",Worksheet!BI100,"")</f>
        <v>3 / 400 / 50</v>
      </c>
      <c r="L104" t="str">
        <f>IF(Worksheet!AU100&lt;&gt;"",Worksheet!AU100,"")</f>
        <v>R32</v>
      </c>
      <c r="M104" s="6"/>
      <c r="N104" s="6"/>
      <c r="O104" t="str">
        <f>IF(Worksheet!CR100&lt;&gt;"",CONCATENATE(Worksheet!CR100," х ",Worksheet!CP100," х ",Worksheet!CT100),"")</f>
        <v>1700 х 235 х 705</v>
      </c>
      <c r="P104" t="str">
        <f>IF(Worksheet!CS100&lt;&gt;"",CONCATENATE(Worksheet!CS100," х ",Worksheet!CU100," х ",Worksheet!CQ100),"")</f>
        <v>1785 х 825 х 330</v>
      </c>
      <c r="Q104" t="str">
        <f>IF(Worksheet!CV100&lt;&gt;"",CONCATENATE(Worksheet!CV100," / ",Worksheet!CW100),"")</f>
        <v>38 / 48</v>
      </c>
      <c r="R104" t="str">
        <f>IF(Worksheet!BS100&lt;&gt;"",Worksheet!BS100,"")</f>
        <v>34/39/41/45</v>
      </c>
      <c r="S104" t="str">
        <f>IF(Worksheet!AL100&lt;&gt;"",Worksheet!AL100,"")</f>
        <v/>
      </c>
      <c r="T104" t="str">
        <f>IF(Worksheet!CJ100&lt;&gt;"",CONCATENATE(Worksheet!CJ100," х ",Worksheet!CL100," х ",Worksheet!CH100),"")</f>
        <v>940 х 320 х 998</v>
      </c>
      <c r="U104" t="str">
        <f>IF(Worksheet!CK100&lt;&gt;"",CONCATENATE(Worksheet!CK100," х ",Worksheet!CM100," х ",Worksheet!CI100),"")</f>
        <v>1027 х 445 х 1176</v>
      </c>
      <c r="V104" t="str">
        <f>IF(Worksheet!CN100&lt;&gt;"",CONCATENATE(Worksheet!CN100,"/",Worksheet!CO100),"")</f>
        <v>62/72</v>
      </c>
      <c r="W104" s="6"/>
      <c r="X104" s="7">
        <f>IF(Worksheet!AN100&lt;&gt;"",Worksheet!AN100,"")</f>
        <v>9.52</v>
      </c>
      <c r="Y104" s="7">
        <f>IF(Worksheet!AO100&lt;&gt;"",Worksheet!AO100,"")</f>
        <v>15.88</v>
      </c>
      <c r="Z104" s="17">
        <f>IF(Worksheet!Q100&lt;&gt;"",Worksheet!Q100,"")</f>
        <v>30</v>
      </c>
      <c r="AA104" s="17">
        <f>IF(Worksheet!R100&lt;&gt;"",Worksheet!R100,"")</f>
        <v>30</v>
      </c>
      <c r="AB104" t="str">
        <f>IF(Worksheet!X100&lt;&gt;"",CONCATENATE("от ",Worksheet!X100," до +",Worksheet!Y100),"")</f>
        <v>от -10 до +46</v>
      </c>
      <c r="AC104" t="str">
        <f>IF(Worksheet!Z100&lt;&gt;"",CONCATENATE("от ",Worksheet!Z100," до +",Worksheet!AA100),"")</f>
        <v>от -15 до +24</v>
      </c>
      <c r="AD104" s="6" t="s">
        <v>5245</v>
      </c>
      <c r="AE104" s="17"/>
    </row>
    <row r="105" spans="1:31" x14ac:dyDescent="0.25">
      <c r="A105" s="17" t="str">
        <f>IF(Worksheet!B101&lt;&gt;"",Worksheet!B101,"")</f>
        <v>FUJITSU</v>
      </c>
      <c r="B105" t="str">
        <f>Worksheet!E101</f>
        <v>Напольно-потолочные</v>
      </c>
      <c r="C105" s="21">
        <f>IF(Worksheet!M101&lt;&gt;"",MID(Worksheet!M101,1,FIND(" ",Worksheet!M101,1)-1),"")*1</f>
        <v>12.1</v>
      </c>
      <c r="D105">
        <f t="shared" si="3"/>
        <v>120</v>
      </c>
      <c r="E105" t="str">
        <f>IF(Worksheet!L101&lt;&gt;"",IF(Worksheet!L101="Y","да","нет"),"")</f>
        <v>да</v>
      </c>
      <c r="F105" s="21">
        <f>IF(Worksheet!N101&lt;&gt;"",MID(Worksheet!N101,1,FIND(" ",Worksheet!N101,1)-1),"")*1</f>
        <v>13.5</v>
      </c>
      <c r="G105">
        <f>IF(Worksheet!O101&lt;&gt;"",Worksheet!O101,"")</f>
        <v>4.84</v>
      </c>
      <c r="H105">
        <f>IF(Worksheet!P101&lt;&gt;"",Worksheet!P101,"")</f>
        <v>4.18</v>
      </c>
      <c r="I105" s="6"/>
      <c r="J105" s="6"/>
      <c r="K105" t="str">
        <f>IF(Worksheet!BI101&lt;&gt;"",Worksheet!BI101,"")</f>
        <v>1 / 230 / 50</v>
      </c>
      <c r="L105" t="str">
        <f>IF(Worksheet!AU101&lt;&gt;"",Worksheet!AU101,"")</f>
        <v>R32</v>
      </c>
      <c r="M105" s="6"/>
      <c r="N105" s="6"/>
      <c r="O105" t="str">
        <f>IF(Worksheet!CR101&lt;&gt;"",CONCATENATE(Worksheet!CR101," х ",Worksheet!CP101," х ",Worksheet!CT101),"")</f>
        <v>1700 х 235 х 705</v>
      </c>
      <c r="P105" t="str">
        <f>IF(Worksheet!CS101&lt;&gt;"",CONCATENATE(Worksheet!CS101," х ",Worksheet!CU101," х ",Worksheet!CQ101),"")</f>
        <v>1785 х 825 х 330</v>
      </c>
      <c r="Q105" t="str">
        <f>IF(Worksheet!CV101&lt;&gt;"",CONCATENATE(Worksheet!CV101," / ",Worksheet!CW101),"")</f>
        <v>38 / 48</v>
      </c>
      <c r="R105" t="str">
        <f>IF(Worksheet!BS101&lt;&gt;"",Worksheet!BS101,"")</f>
        <v>31/39/41/45</v>
      </c>
      <c r="S105" t="str">
        <f>IF(Worksheet!AL101&lt;&gt;"",Worksheet!AL101,"")</f>
        <v/>
      </c>
      <c r="T105" t="str">
        <f>IF(Worksheet!CJ101&lt;&gt;"",CONCATENATE(Worksheet!CJ101," х ",Worksheet!CL101," х ",Worksheet!CH101),"")</f>
        <v>940 х 320 х 998</v>
      </c>
      <c r="U105" t="str">
        <f>IF(Worksheet!CK101&lt;&gt;"",CONCATENATE(Worksheet!CK101," х ",Worksheet!CM101," х ",Worksheet!CI101),"")</f>
        <v>1027 х 445 х 1176</v>
      </c>
      <c r="V105" t="str">
        <f>IF(Worksheet!CN101&lt;&gt;"",CONCATENATE(Worksheet!CN101,"/",Worksheet!CO101),"")</f>
        <v>63/72</v>
      </c>
      <c r="W105" s="6"/>
      <c r="X105" s="7">
        <f>IF(Worksheet!AN101&lt;&gt;"",Worksheet!AN101,"")</f>
        <v>9.52</v>
      </c>
      <c r="Y105" s="7">
        <f>IF(Worksheet!AO101&lt;&gt;"",Worksheet!AO101,"")</f>
        <v>15.88</v>
      </c>
      <c r="Z105" s="17">
        <f>IF(Worksheet!Q101&lt;&gt;"",Worksheet!Q101,"")</f>
        <v>30</v>
      </c>
      <c r="AA105" s="17">
        <f>IF(Worksheet!R101&lt;&gt;"",Worksheet!R101,"")</f>
        <v>30</v>
      </c>
      <c r="AB105" t="str">
        <f>IF(Worksheet!X101&lt;&gt;"",CONCATENATE("от ",Worksheet!X101," до +",Worksheet!Y101),"")</f>
        <v>от -10 до +46</v>
      </c>
      <c r="AC105" t="str">
        <f>IF(Worksheet!Z101&lt;&gt;"",CONCATENATE("от ",Worksheet!Z101," до +",Worksheet!AA101),"")</f>
        <v>от -15 до +24</v>
      </c>
      <c r="AD105" s="6" t="s">
        <v>5245</v>
      </c>
      <c r="AE105" s="17"/>
    </row>
    <row r="106" spans="1:31" x14ac:dyDescent="0.25">
      <c r="A106" s="17" t="str">
        <f>IF(Worksheet!B102&lt;&gt;"",Worksheet!B102,"")</f>
        <v>FUJITSU</v>
      </c>
      <c r="B106" t="str">
        <f>Worksheet!E102</f>
        <v>Напольно-потолочные</v>
      </c>
      <c r="C106" t="str">
        <f>IF(Worksheet!M102&lt;&gt;"",Worksheet!M102,"")</f>
        <v/>
      </c>
      <c r="E106" t="str">
        <f>IF(Worksheet!L102&lt;&gt;"",IF(Worksheet!L102="Y","да","нет"),"")</f>
        <v>да</v>
      </c>
      <c r="F106" t="str">
        <f>IF(Worksheet!N102&lt;&gt;"",Worksheet!N102,"")</f>
        <v/>
      </c>
      <c r="G106" t="str">
        <f>IF(Worksheet!O102&lt;&gt;"",Worksheet!O102,"")</f>
        <v/>
      </c>
      <c r="H106" t="str">
        <f>IF(Worksheet!P102&lt;&gt;"",Worksheet!P102,"")</f>
        <v/>
      </c>
      <c r="I106" s="6"/>
      <c r="J106" s="6"/>
      <c r="K106" t="str">
        <f>IF(Worksheet!BI102&lt;&gt;"",Worksheet!BI102,"")</f>
        <v>3 / 400 / 50</v>
      </c>
      <c r="L106" t="str">
        <f>IF(Worksheet!AU102&lt;&gt;"",Worksheet!AU102,"")</f>
        <v>R32</v>
      </c>
      <c r="M106" s="6"/>
      <c r="N106" s="6"/>
      <c r="O106" t="str">
        <f>IF(Worksheet!CR102&lt;&gt;"",CONCATENATE(Worksheet!CR102," х ",Worksheet!CP102," х ",Worksheet!CT102),"")</f>
        <v>1700 х 235 х 705</v>
      </c>
      <c r="P106" t="str">
        <f>IF(Worksheet!CS102&lt;&gt;"",CONCATENATE(Worksheet!CS102," х ",Worksheet!CU102," х ",Worksheet!CQ102),"")</f>
        <v>1785 х 825 х 330</v>
      </c>
      <c r="Q106" t="str">
        <f>IF(Worksheet!CV102&lt;&gt;"",CONCATENATE(Worksheet!CV102," / ",Worksheet!CW102),"")</f>
        <v>38 / 48</v>
      </c>
      <c r="R106" t="str">
        <f>IF(Worksheet!BS102&lt;&gt;"",Worksheet!BS102,"")</f>
        <v/>
      </c>
      <c r="S106" t="str">
        <f>IF(Worksheet!AL102&lt;&gt;"",Worksheet!AL102,"")</f>
        <v/>
      </c>
      <c r="T106" t="str">
        <f>IF(Worksheet!CJ102&lt;&gt;"",CONCATENATE(Worksheet!CJ102," х ",Worksheet!CL102," х ",Worksheet!CH102),"")</f>
        <v>940 х 320 х 998</v>
      </c>
      <c r="U106" t="str">
        <f>IF(Worksheet!CK102&lt;&gt;"",CONCATENATE(Worksheet!CK102," х ",Worksheet!CM102," х ",Worksheet!CI102),"")</f>
        <v>1027 х 445 х 1176</v>
      </c>
      <c r="V106" t="str">
        <f>IF(Worksheet!CN102&lt;&gt;"",CONCATENATE(Worksheet!CN102,"/",Worksheet!CO102),"")</f>
        <v>63/73</v>
      </c>
      <c r="W106" s="6"/>
      <c r="X106" s="7" t="str">
        <f>IF(Worksheet!AN102&lt;&gt;"",Worksheet!AN102,"")</f>
        <v/>
      </c>
      <c r="Y106" s="7" t="str">
        <f>IF(Worksheet!AO102&lt;&gt;"",Worksheet!AO102,"")</f>
        <v/>
      </c>
      <c r="Z106" s="17" t="str">
        <f>IF(Worksheet!Q102&lt;&gt;"",Worksheet!Q102,"")</f>
        <v/>
      </c>
      <c r="AA106" s="17" t="str">
        <f>IF(Worksheet!R102&lt;&gt;"",Worksheet!R102,"")</f>
        <v/>
      </c>
      <c r="AB106" t="str">
        <f>IF(Worksheet!X102&lt;&gt;"",CONCATENATE("от ",Worksheet!X102," до +",Worksheet!Y102),"")</f>
        <v>от -10 до +46</v>
      </c>
      <c r="AC106" t="str">
        <f>IF(Worksheet!Z102&lt;&gt;"",CONCATENATE("от ",Worksheet!Z102," до +",Worksheet!AA102),"")</f>
        <v>от -15 до +24</v>
      </c>
      <c r="AD106" s="6" t="s">
        <v>5245</v>
      </c>
      <c r="AE106" s="17"/>
    </row>
    <row r="107" spans="1:31" x14ac:dyDescent="0.25">
      <c r="A107" s="17" t="str">
        <f>IF(Worksheet!B103&lt;&gt;"",Worksheet!B103,"")</f>
        <v>FUJITSU</v>
      </c>
      <c r="B107" t="str">
        <f>Worksheet!E103</f>
        <v>Мульти сплит система</v>
      </c>
      <c r="C107">
        <f>IF(Worksheet!M103&lt;&gt;"",Worksheet!M103,"")</f>
        <v>10</v>
      </c>
      <c r="D107">
        <f t="shared" ref="D107:D133" si="4">ROUND(C107*10,0)</f>
        <v>100</v>
      </c>
      <c r="E107" t="str">
        <f>IF(Worksheet!L103&lt;&gt;"",IF(Worksheet!L103="Y","да","нет"),"")</f>
        <v>да</v>
      </c>
      <c r="F107">
        <f>IF(Worksheet!N103&lt;&gt;"",Worksheet!N103,"")</f>
        <v>11.2</v>
      </c>
      <c r="G107">
        <f>IF(Worksheet!O103&lt;&gt;"",Worksheet!O103,"")</f>
        <v>2.84</v>
      </c>
      <c r="H107">
        <f>IF(Worksheet!P103&lt;&gt;"",Worksheet!P103,"")</f>
        <v>2.87</v>
      </c>
      <c r="I107" s="6"/>
      <c r="J107" s="6"/>
      <c r="K107" t="str">
        <f>IF(Worksheet!BI103&lt;&gt;"",Worksheet!BI103,"")</f>
        <v>3 / 400 / 50</v>
      </c>
      <c r="L107" t="str">
        <f>IF(Worksheet!AU103&lt;&gt;"",Worksheet!AU103,"")</f>
        <v>R410A</v>
      </c>
      <c r="M107" s="6"/>
      <c r="N107" s="6"/>
      <c r="O107" t="str">
        <f>IF(Worksheet!CR103&lt;&gt;"",CONCATENATE(Worksheet!CR103," х ",Worksheet!CP103," х ",Worksheet!CT103),"")</f>
        <v/>
      </c>
      <c r="P107" t="str">
        <f>IF(Worksheet!CS103&lt;&gt;"",CONCATENATE(Worksheet!CS103," х ",Worksheet!CU103," х ",Worksheet!CQ103),"")</f>
        <v/>
      </c>
      <c r="Q107" t="str">
        <f>IF(Worksheet!CV103&lt;&gt;"",CONCATENATE(Worksheet!CV103," / ",Worksheet!CW103),"")</f>
        <v/>
      </c>
      <c r="R107" t="str">
        <f>IF(Worksheet!BS103&lt;&gt;"",Worksheet!BS103,"")</f>
        <v/>
      </c>
      <c r="S107" t="str">
        <f>IF(Worksheet!AL103&lt;&gt;"",Worksheet!AL103,"")</f>
        <v>TOSHIBA</v>
      </c>
      <c r="T107" t="str">
        <f>IF(Worksheet!CJ103&lt;&gt;"",CONCATENATE(Worksheet!CJ103," х ",Worksheet!CL103," х ",Worksheet!CH103),"")</f>
        <v/>
      </c>
      <c r="U107" t="str">
        <f>IF(Worksheet!CK103&lt;&gt;"",CONCATENATE(Worksheet!CK103," х ",Worksheet!CM103," х ",Worksheet!CI103),"")</f>
        <v/>
      </c>
      <c r="V107" t="str">
        <f>IF(Worksheet!CN103&lt;&gt;"",CONCATENATE(Worksheet!CN103,"/",Worksheet!CO103),"")</f>
        <v/>
      </c>
      <c r="W107" s="6"/>
      <c r="X107" s="7">
        <f>IF(Worksheet!AN103&lt;&gt;"",Worksheet!AN103,"")</f>
        <v>9.52</v>
      </c>
      <c r="Y107" s="7">
        <f>IF(Worksheet!AO103&lt;&gt;"",Worksheet!AO103,"")</f>
        <v>15.88</v>
      </c>
      <c r="Z107" s="17">
        <f>IF(Worksheet!Q103&lt;&gt;"",Worksheet!Q103,"")</f>
        <v>75</v>
      </c>
      <c r="AA107" s="17">
        <f>IF(Worksheet!R103&lt;&gt;"",Worksheet!R103,"")</f>
        <v>30</v>
      </c>
      <c r="AB107" t="str">
        <f>IF(Worksheet!X103&lt;&gt;"",CONCATENATE("от ",Worksheet!X103," до +",Worksheet!Y103),"")</f>
        <v>от -15 до +46</v>
      </c>
      <c r="AC107" t="str">
        <f>IF(Worksheet!Z103&lt;&gt;"",CONCATENATE("от ",Worksheet!Z103," до +",Worksheet!AA103),"")</f>
        <v>от -15 до +24</v>
      </c>
      <c r="AD107" s="6" t="s">
        <v>5173</v>
      </c>
      <c r="AE107" s="17"/>
    </row>
    <row r="108" spans="1:31" x14ac:dyDescent="0.25">
      <c r="A108" s="17" t="str">
        <f>IF(Worksheet!B104&lt;&gt;"",Worksheet!B104,"")</f>
        <v>FUJITSU</v>
      </c>
      <c r="B108" t="str">
        <f>Worksheet!E104</f>
        <v>Мульти сплит система</v>
      </c>
      <c r="C108">
        <f>IF(Worksheet!M104&lt;&gt;"",Worksheet!M104,"")</f>
        <v>14</v>
      </c>
      <c r="D108">
        <f t="shared" si="4"/>
        <v>140</v>
      </c>
      <c r="E108" t="str">
        <f>IF(Worksheet!L104&lt;&gt;"",IF(Worksheet!L104="Y","да","нет"),"")</f>
        <v>да</v>
      </c>
      <c r="F108">
        <f>IF(Worksheet!N104&lt;&gt;"",Worksheet!N104,"")</f>
        <v>16</v>
      </c>
      <c r="G108">
        <f>IF(Worksheet!O104&lt;&gt;"",Worksheet!O104,"")</f>
        <v>4.6500000000000004</v>
      </c>
      <c r="H108">
        <f>IF(Worksheet!P104&lt;&gt;"",Worksheet!P104,"")</f>
        <v>4.37</v>
      </c>
      <c r="I108" s="6"/>
      <c r="J108" s="6"/>
      <c r="K108" t="str">
        <f>IF(Worksheet!BI104&lt;&gt;"",Worksheet!BI104,"")</f>
        <v>3 / 400 / 50</v>
      </c>
      <c r="L108" t="str">
        <f>IF(Worksheet!AU104&lt;&gt;"",Worksheet!AU104,"")</f>
        <v>R410A</v>
      </c>
      <c r="M108" s="6"/>
      <c r="N108" s="6"/>
      <c r="O108" t="str">
        <f>IF(Worksheet!CR104&lt;&gt;"",CONCATENATE(Worksheet!CR104," х ",Worksheet!CP104," х ",Worksheet!CT104),"")</f>
        <v/>
      </c>
      <c r="P108" t="str">
        <f>IF(Worksheet!CS104&lt;&gt;"",CONCATENATE(Worksheet!CS104," х ",Worksheet!CU104," х ",Worksheet!CQ104),"")</f>
        <v/>
      </c>
      <c r="Q108" t="str">
        <f>IF(Worksheet!CV104&lt;&gt;"",CONCATENATE(Worksheet!CV104," / ",Worksheet!CW104),"")</f>
        <v/>
      </c>
      <c r="R108" t="str">
        <f>IF(Worksheet!BS104&lt;&gt;"",Worksheet!BS104,"")</f>
        <v/>
      </c>
      <c r="S108" t="str">
        <f>IF(Worksheet!AL104&lt;&gt;"",Worksheet!AL104,"")</f>
        <v>TOSHIBA</v>
      </c>
      <c r="T108" t="str">
        <f>IF(Worksheet!CJ104&lt;&gt;"",CONCATENATE(Worksheet!CJ104," х ",Worksheet!CL104," х ",Worksheet!CH104),"")</f>
        <v/>
      </c>
      <c r="U108" t="str">
        <f>IF(Worksheet!CK104&lt;&gt;"",CONCATENATE(Worksheet!CK104," х ",Worksheet!CM104," х ",Worksheet!CI104),"")</f>
        <v/>
      </c>
      <c r="V108" t="str">
        <f>IF(Worksheet!CN104&lt;&gt;"",CONCATENATE(Worksheet!CN104,"/",Worksheet!CO104),"")</f>
        <v/>
      </c>
      <c r="W108" s="6"/>
      <c r="X108" s="7">
        <f>IF(Worksheet!AN104&lt;&gt;"",Worksheet!AN104,"")</f>
        <v>9.52</v>
      </c>
      <c r="Y108" s="7">
        <f>IF(Worksheet!AO104&lt;&gt;"",Worksheet!AO104,"")</f>
        <v>15.88</v>
      </c>
      <c r="Z108" s="17">
        <f>IF(Worksheet!Q104&lt;&gt;"",Worksheet!Q104,"")</f>
        <v>75</v>
      </c>
      <c r="AA108" s="17">
        <f>IF(Worksheet!R104&lt;&gt;"",Worksheet!R104,"")</f>
        <v>30</v>
      </c>
      <c r="AB108" t="str">
        <f>IF(Worksheet!X104&lt;&gt;"",CONCATENATE("от ",Worksheet!X104," до +",Worksheet!Y104),"")</f>
        <v>от -15 до +46</v>
      </c>
      <c r="AC108" t="str">
        <f>IF(Worksheet!Z104&lt;&gt;"",CONCATENATE("от ",Worksheet!Z104," до +",Worksheet!AA104),"")</f>
        <v>от -15 до +24</v>
      </c>
      <c r="AD108" s="6" t="s">
        <v>5173</v>
      </c>
      <c r="AE108" s="17"/>
    </row>
    <row r="109" spans="1:31" x14ac:dyDescent="0.25">
      <c r="A109" s="17" t="str">
        <f>IF(Worksheet!B105&lt;&gt;"",Worksheet!B105,"")</f>
        <v>FUJITSU</v>
      </c>
      <c r="B109" t="str">
        <f>Worksheet!E105</f>
        <v>Мульти сплит система</v>
      </c>
      <c r="C109">
        <f>IF(Worksheet!M105&lt;&gt;"",Worksheet!M105,"")</f>
        <v>19</v>
      </c>
      <c r="D109">
        <f t="shared" si="4"/>
        <v>190</v>
      </c>
      <c r="E109" t="str">
        <f>IF(Worksheet!L105&lt;&gt;"",IF(Worksheet!L105="Y","да","нет"),"")</f>
        <v>да</v>
      </c>
      <c r="F109">
        <f>IF(Worksheet!N105&lt;&gt;"",Worksheet!N105,"")</f>
        <v>22.4</v>
      </c>
      <c r="G109">
        <f>IF(Worksheet!O105&lt;&gt;"",Worksheet!O105,"")</f>
        <v>5.99</v>
      </c>
      <c r="H109">
        <f>IF(Worksheet!P105&lt;&gt;"",Worksheet!P105,"")</f>
        <v>6.12</v>
      </c>
      <c r="I109" s="6"/>
      <c r="J109" s="6"/>
      <c r="K109" t="str">
        <f>IF(Worksheet!BI105&lt;&gt;"",Worksheet!BI105,"")</f>
        <v>3 / 400 / 50</v>
      </c>
      <c r="L109" t="str">
        <f>IF(Worksheet!AU105&lt;&gt;"",Worksheet!AU105,"")</f>
        <v>R410A</v>
      </c>
      <c r="M109" s="6"/>
      <c r="N109" s="6"/>
      <c r="O109" t="str">
        <f>IF(Worksheet!CR105&lt;&gt;"",CONCATENATE(Worksheet!CR105," х ",Worksheet!CP105," х ",Worksheet!CT105),"")</f>
        <v/>
      </c>
      <c r="P109" t="str">
        <f>IF(Worksheet!CS105&lt;&gt;"",CONCATENATE(Worksheet!CS105," х ",Worksheet!CU105," х ",Worksheet!CQ105),"")</f>
        <v/>
      </c>
      <c r="Q109" t="str">
        <f>IF(Worksheet!CV105&lt;&gt;"",CONCATENATE(Worksheet!CV105," / ",Worksheet!CW105),"")</f>
        <v/>
      </c>
      <c r="R109" t="str">
        <f>IF(Worksheet!BS105&lt;&gt;"",Worksheet!BS105,"")</f>
        <v/>
      </c>
      <c r="S109" t="str">
        <f>IF(Worksheet!AL105&lt;&gt;"",Worksheet!AL105,"")</f>
        <v/>
      </c>
      <c r="T109" t="str">
        <f>IF(Worksheet!CJ105&lt;&gt;"",CONCATENATE(Worksheet!CJ105," х ",Worksheet!CL105," х ",Worksheet!CH105),"")</f>
        <v/>
      </c>
      <c r="U109" t="str">
        <f>IF(Worksheet!CK105&lt;&gt;"",CONCATENATE(Worksheet!CK105," х ",Worksheet!CM105," х ",Worksheet!CI105),"")</f>
        <v/>
      </c>
      <c r="V109" t="str">
        <f>IF(Worksheet!CN105&lt;&gt;"",CONCATENATE(Worksheet!CN105,"/",Worksheet!CO105),"")</f>
        <v/>
      </c>
      <c r="W109" s="6"/>
      <c r="X109" s="7">
        <f>IF(Worksheet!AN105&lt;&gt;"",Worksheet!AN105,"")</f>
        <v>12.7</v>
      </c>
      <c r="Y109" s="7">
        <f>IF(Worksheet!AO105&lt;&gt;"",Worksheet!AO105,"")</f>
        <v>25.4</v>
      </c>
      <c r="Z109" s="17">
        <f>IF(Worksheet!Q105&lt;&gt;"",Worksheet!Q105,"")</f>
        <v>100</v>
      </c>
      <c r="AA109" s="17">
        <f>IF(Worksheet!R105&lt;&gt;"",Worksheet!R105,"")</f>
        <v>30</v>
      </c>
      <c r="AB109" t="str">
        <f>IF(Worksheet!X105&lt;&gt;"",CONCATENATE("от ",Worksheet!X105," до +",Worksheet!Y105),"")</f>
        <v>от -15 до +46</v>
      </c>
      <c r="AC109" t="str">
        <f>IF(Worksheet!Z105&lt;&gt;"",CONCATENATE("от ",Worksheet!Z105," до +",Worksheet!AA105),"")</f>
        <v>от -20 до +24</v>
      </c>
      <c r="AD109" s="6" t="s">
        <v>5173</v>
      </c>
      <c r="AE109" s="17"/>
    </row>
    <row r="110" spans="1:31" x14ac:dyDescent="0.25">
      <c r="A110" s="17" t="str">
        <f>IF(Worksheet!B106&lt;&gt;"",Worksheet!B106,"")</f>
        <v>FUJITSU</v>
      </c>
      <c r="B110" t="str">
        <f>Worksheet!E106</f>
        <v>Мульти сплит система</v>
      </c>
      <c r="C110">
        <f>IF(Worksheet!M106&lt;&gt;"",Worksheet!M106,"")</f>
        <v>22</v>
      </c>
      <c r="D110">
        <f t="shared" si="4"/>
        <v>220</v>
      </c>
      <c r="E110" t="str">
        <f>IF(Worksheet!L106&lt;&gt;"",IF(Worksheet!L106="Y","да","нет"),"")</f>
        <v>да</v>
      </c>
      <c r="F110">
        <f>IF(Worksheet!N106&lt;&gt;"",Worksheet!N106,"")</f>
        <v>27</v>
      </c>
      <c r="G110">
        <f>IF(Worksheet!O106&lt;&gt;"",Worksheet!O106,"")</f>
        <v>7.24</v>
      </c>
      <c r="H110">
        <f>IF(Worksheet!P106&lt;&gt;"",Worksheet!P106,"")</f>
        <v>7.65</v>
      </c>
      <c r="I110" s="6"/>
      <c r="J110" s="6"/>
      <c r="K110" t="str">
        <f>IF(Worksheet!BI106&lt;&gt;"",Worksheet!BI106,"")</f>
        <v>3 / 400 / 50</v>
      </c>
      <c r="L110" t="str">
        <f>IF(Worksheet!AU106&lt;&gt;"",Worksheet!AU106,"")</f>
        <v>R410A</v>
      </c>
      <c r="M110" s="6"/>
      <c r="N110" s="6"/>
      <c r="O110" t="str">
        <f>IF(Worksheet!CR106&lt;&gt;"",CONCATENATE(Worksheet!CR106," х ",Worksheet!CP106," х ",Worksheet!CT106),"")</f>
        <v/>
      </c>
      <c r="P110" t="str">
        <f>IF(Worksheet!CS106&lt;&gt;"",CONCATENATE(Worksheet!CS106," х ",Worksheet!CU106," х ",Worksheet!CQ106),"")</f>
        <v/>
      </c>
      <c r="Q110" t="str">
        <f>IF(Worksheet!CV106&lt;&gt;"",CONCATENATE(Worksheet!CV106," / ",Worksheet!CW106),"")</f>
        <v/>
      </c>
      <c r="R110" t="str">
        <f>IF(Worksheet!BS106&lt;&gt;"",Worksheet!BS106,"")</f>
        <v/>
      </c>
      <c r="S110" t="str">
        <f>IF(Worksheet!AL106&lt;&gt;"",Worksheet!AL106,"")</f>
        <v/>
      </c>
      <c r="T110" t="str">
        <f>IF(Worksheet!CJ106&lt;&gt;"",CONCATENATE(Worksheet!CJ106," х ",Worksheet!CL106," х ",Worksheet!CH106),"")</f>
        <v/>
      </c>
      <c r="U110" t="str">
        <f>IF(Worksheet!CK106&lt;&gt;"",CONCATENATE(Worksheet!CK106," х ",Worksheet!CM106," х ",Worksheet!CI106),"")</f>
        <v/>
      </c>
      <c r="V110" t="str">
        <f>IF(Worksheet!CN106&lt;&gt;"",CONCATENATE(Worksheet!CN106,"/",Worksheet!CO106),"")</f>
        <v/>
      </c>
      <c r="W110" s="6"/>
      <c r="X110" s="7">
        <f>IF(Worksheet!AN106&lt;&gt;"",Worksheet!AN106,"")</f>
        <v>12.7</v>
      </c>
      <c r="Y110" s="7">
        <f>IF(Worksheet!AO106&lt;&gt;"",Worksheet!AO106,"")</f>
        <v>25.4</v>
      </c>
      <c r="Z110" s="17">
        <f>IF(Worksheet!Q106&lt;&gt;"",Worksheet!Q106,"")</f>
        <v>100</v>
      </c>
      <c r="AA110" s="17">
        <f>IF(Worksheet!R106&lt;&gt;"",Worksheet!R106,"")</f>
        <v>30</v>
      </c>
      <c r="AB110" t="str">
        <f>IF(Worksheet!X106&lt;&gt;"",CONCATENATE("от ",Worksheet!X106," до +",Worksheet!Y106),"")</f>
        <v>от -15 до +46</v>
      </c>
      <c r="AC110" t="str">
        <f>IF(Worksheet!Z106&lt;&gt;"",CONCATENATE("от ",Worksheet!Z106," до +",Worksheet!AA106),"")</f>
        <v>от -20 до +24</v>
      </c>
      <c r="AD110" s="6" t="s">
        <v>5173</v>
      </c>
      <c r="AE110" s="17"/>
    </row>
    <row r="111" spans="1:31" x14ac:dyDescent="0.25">
      <c r="A111" s="17" t="str">
        <f>IF(Worksheet!B107&lt;&gt;"",Worksheet!B107,"")</f>
        <v>FUJITSU</v>
      </c>
      <c r="B111" t="str">
        <f>Worksheet!E107</f>
        <v>Канальные</v>
      </c>
      <c r="C111">
        <f>IF(Worksheet!M107&lt;&gt;"",Worksheet!M107,"")</f>
        <v>6.8</v>
      </c>
      <c r="D111">
        <f t="shared" si="4"/>
        <v>68</v>
      </c>
      <c r="E111" t="str">
        <f>IF(Worksheet!L107&lt;&gt;"",IF(Worksheet!L107="Y","да","нет"),"")</f>
        <v>да</v>
      </c>
      <c r="F111">
        <f>IF(Worksheet!N107&lt;&gt;"",Worksheet!N107,"")</f>
        <v>8</v>
      </c>
      <c r="G111">
        <f>IF(Worksheet!O107&lt;&gt;"",Worksheet!O107,"")</f>
        <v>2.21</v>
      </c>
      <c r="H111">
        <f>IF(Worksheet!P107&lt;&gt;"",Worksheet!P107,"")</f>
        <v>2.2599999999999998</v>
      </c>
      <c r="I111" s="6"/>
      <c r="J111" s="6"/>
      <c r="K111" t="str">
        <f>IF(Worksheet!BI107&lt;&gt;"",Worksheet!BI107,"")</f>
        <v>1 / 230 / 50</v>
      </c>
      <c r="L111" t="str">
        <f>IF(Worksheet!AU107&lt;&gt;"",Worksheet!AU107,"")</f>
        <v>R410A</v>
      </c>
      <c r="M111" s="6"/>
      <c r="N111" s="6"/>
      <c r="O111" s="1" t="str">
        <f>IF(Worksheet!BL107&lt;&gt;"",CONCATENATE(Worksheet!BL107," х ",Worksheet!BM107," х ",Worksheet!BK107),"")</f>
        <v>1135 х 700 х 270</v>
      </c>
      <c r="P111" s="1" t="str">
        <f>IF(Worksheet!BQ107&lt;&gt;"",CONCATENATE(Worksheet!BQ107," х ",Worksheet!BR107," х ",Worksheet!BP107),"")</f>
        <v>1320 х 790 х 300</v>
      </c>
      <c r="Q111" s="1" t="str">
        <f>IF(Worksheet!BN107&lt;&gt;"",CONCATENATE(Worksheet!BN107," / ",Worksheet!BO107),"")</f>
        <v>38 / 44</v>
      </c>
      <c r="R111" t="str">
        <f>IF(Worksheet!BS107&lt;&gt;"",Worksheet!BS107,"")</f>
        <v/>
      </c>
      <c r="S111" t="str">
        <f>IF(Worksheet!AL107&lt;&gt;"",Worksheet!AL107,"")</f>
        <v/>
      </c>
      <c r="T111" s="1" t="str">
        <f>IF(Worksheet!BL107&lt;&gt;"",CONCATENATE(Worksheet!BL107," х ",Worksheet!BM107," х ",Worksheet!BK107),"")</f>
        <v>1135 х 700 х 270</v>
      </c>
      <c r="U111" s="1" t="str">
        <f>IF(Worksheet!BQ107&lt;&gt;"",CONCATENATE(Worksheet!BQ107," х ",Worksheet!BR107," х ",Worksheet!BP107),"")</f>
        <v>1320 х 790 х 300</v>
      </c>
      <c r="V111" s="1" t="str">
        <f>IF(Worksheet!BN107&lt;&gt;"",CONCATENATE(Worksheet!BN107," / ",Worksheet!BO107),"")</f>
        <v>38 / 44</v>
      </c>
      <c r="W111" s="6"/>
      <c r="X111" s="7">
        <f>IF(Worksheet!AN107&lt;&gt;"",Worksheet!AN107,"")</f>
        <v>6.35</v>
      </c>
      <c r="Y111" s="7">
        <f>IF(Worksheet!AO107&lt;&gt;"",Worksheet!AO107,"")</f>
        <v>15.88</v>
      </c>
      <c r="Z111" s="17">
        <f>IF(Worksheet!Q107&lt;&gt;"",Worksheet!Q107,"")</f>
        <v>30</v>
      </c>
      <c r="AA111" s="17">
        <f>IF(Worksheet!R107&lt;&gt;"",Worksheet!R107,"")</f>
        <v>20</v>
      </c>
      <c r="AB111" t="str">
        <f>IF(Worksheet!X107&lt;&gt;"",CONCATENATE("от ",Worksheet!X107," до +",Worksheet!Y107),"")</f>
        <v/>
      </c>
      <c r="AC111" t="str">
        <f>IF(Worksheet!Z107&lt;&gt;"",CONCATENATE("от ",Worksheet!Z107," до +",Worksheet!AA107),"")</f>
        <v/>
      </c>
      <c r="AD111" s="6" t="s">
        <v>5172</v>
      </c>
      <c r="AE111" s="17"/>
    </row>
    <row r="112" spans="1:31" x14ac:dyDescent="0.25">
      <c r="A112" s="17" t="str">
        <f>IF(Worksheet!B108&lt;&gt;"",Worksheet!B108,"")</f>
        <v>FUJITSU</v>
      </c>
      <c r="B112" t="str">
        <f>Worksheet!E108</f>
        <v>Канальные</v>
      </c>
      <c r="C112">
        <f>IF(Worksheet!M108&lt;&gt;"",Worksheet!M108,"")</f>
        <v>6.25</v>
      </c>
      <c r="D112">
        <f t="shared" si="4"/>
        <v>63</v>
      </c>
      <c r="E112" t="str">
        <f>IF(Worksheet!L108&lt;&gt;"",IF(Worksheet!L108="Y","да","нет"),"")</f>
        <v>да</v>
      </c>
      <c r="F112">
        <f>IF(Worksheet!N108&lt;&gt;"",Worksheet!N108,"")</f>
        <v>7</v>
      </c>
      <c r="G112">
        <f>IF(Worksheet!O108&lt;&gt;"",Worksheet!O108,"")</f>
        <v>0.106</v>
      </c>
      <c r="H112">
        <f>IF(Worksheet!P108&lt;&gt;"",Worksheet!P108,"")</f>
        <v>0.11</v>
      </c>
      <c r="I112" s="6"/>
      <c r="J112" s="6"/>
      <c r="K112" t="str">
        <f>IF(Worksheet!BI108&lt;&gt;"",Worksheet!BI108,"")</f>
        <v>1 / 220 / 50</v>
      </c>
      <c r="L112" t="str">
        <f>IF(Worksheet!AU108&lt;&gt;"",Worksheet!AU108,"")</f>
        <v>R410A</v>
      </c>
      <c r="M112" s="6"/>
      <c r="N112" s="6"/>
      <c r="O112" s="1" t="str">
        <f>IF(Worksheet!BL108&lt;&gt;"",CONCATENATE(Worksheet!BL108," х ",Worksheet!BM108," х ",Worksheet!BK108),"")</f>
        <v>1135 х 700 х 270</v>
      </c>
      <c r="P112" s="1" t="str">
        <f>IF(Worksheet!BQ108&lt;&gt;"",CONCATENATE(Worksheet!BQ108," х ",Worksheet!BR108," х ",Worksheet!BP108),"")</f>
        <v>1320 х 790 х 300</v>
      </c>
      <c r="Q112" s="1" t="str">
        <f>IF(Worksheet!BN108&lt;&gt;"",CONCATENATE(Worksheet!BN108," / ",Worksheet!BO108),"")</f>
        <v>38 / 44</v>
      </c>
      <c r="R112" t="str">
        <f>IF(Worksheet!BS108&lt;&gt;"",Worksheet!BS108,"")</f>
        <v/>
      </c>
      <c r="S112" t="str">
        <f>IF(Worksheet!AL108&lt;&gt;"",Worksheet!AL108,"")</f>
        <v/>
      </c>
      <c r="T112" s="1" t="str">
        <f>IF(Worksheet!BL108&lt;&gt;"",CONCATENATE(Worksheet!BL108," х ",Worksheet!BM108," х ",Worksheet!BK108),"")</f>
        <v>1135 х 700 х 270</v>
      </c>
      <c r="U112" s="1" t="str">
        <f>IF(Worksheet!BQ108&lt;&gt;"",CONCATENATE(Worksheet!BQ108," х ",Worksheet!BR108," х ",Worksheet!BP108),"")</f>
        <v>1320 х 790 х 300</v>
      </c>
      <c r="V112" s="1" t="str">
        <f>IF(Worksheet!BN108&lt;&gt;"",CONCATENATE(Worksheet!BN108," / ",Worksheet!BO108),"")</f>
        <v>38 / 44</v>
      </c>
      <c r="W112" s="6"/>
      <c r="X112" s="7">
        <f>IF(Worksheet!AN108&lt;&gt;"",Worksheet!AN108,"")</f>
        <v>6.35</v>
      </c>
      <c r="Y112" s="7">
        <f>IF(Worksheet!AO108&lt;&gt;"",Worksheet!AO108,"")</f>
        <v>15.88</v>
      </c>
      <c r="Z112" s="17" t="str">
        <f>IF(Worksheet!Q108&lt;&gt;"",Worksheet!Q108,"")</f>
        <v/>
      </c>
      <c r="AA112" s="17" t="str">
        <f>IF(Worksheet!R108&lt;&gt;"",Worksheet!R108,"")</f>
        <v/>
      </c>
      <c r="AB112" t="str">
        <f>IF(Worksheet!X108&lt;&gt;"",CONCATENATE("от ",Worksheet!X108," до +",Worksheet!Y108),"")</f>
        <v/>
      </c>
      <c r="AC112" t="str">
        <f>IF(Worksheet!Z108&lt;&gt;"",CONCATENATE("от ",Worksheet!Z108," до +",Worksheet!AA108),"")</f>
        <v/>
      </c>
      <c r="AD112" s="6" t="s">
        <v>5172</v>
      </c>
      <c r="AE112" s="17"/>
    </row>
    <row r="113" spans="1:31" x14ac:dyDescent="0.25">
      <c r="A113" s="17" t="str">
        <f>IF(Worksheet!B109&lt;&gt;"",Worksheet!B109,"")</f>
        <v>FUJITSU</v>
      </c>
      <c r="B113" t="str">
        <f>Worksheet!E109</f>
        <v>Канальные</v>
      </c>
      <c r="C113">
        <f>IF(Worksheet!M109&lt;&gt;"",Worksheet!M109,"")</f>
        <v>2</v>
      </c>
      <c r="D113">
        <f t="shared" si="4"/>
        <v>20</v>
      </c>
      <c r="E113" t="str">
        <f>IF(Worksheet!L109&lt;&gt;"",IF(Worksheet!L109="Y","да","нет"),"")</f>
        <v>да</v>
      </c>
      <c r="F113" t="str">
        <f>IF(Worksheet!N109&lt;&gt;"",Worksheet!N109,"")</f>
        <v/>
      </c>
      <c r="G113">
        <f>IF(Worksheet!O109&lt;&gt;"",Worksheet!O109,"")</f>
        <v>3.3000000000000002E-2</v>
      </c>
      <c r="H113">
        <f>IF(Worksheet!P109&lt;&gt;"",Worksheet!P109,"")</f>
        <v>3.3000000000000002E-2</v>
      </c>
      <c r="I113" s="6"/>
      <c r="J113" s="6"/>
      <c r="K113" t="str">
        <f>IF(Worksheet!BI109&lt;&gt;"",Worksheet!BI109,"")</f>
        <v>1 / 230 / 50</v>
      </c>
      <c r="L113" t="str">
        <f>IF(Worksheet!AU109&lt;&gt;"",Worksheet!AU109,"")</f>
        <v>R32</v>
      </c>
      <c r="M113" s="6"/>
      <c r="N113" s="6"/>
      <c r="O113" s="1" t="str">
        <f>IF(Worksheet!BL109&lt;&gt;"",CONCATENATE(Worksheet!BL109," х ",Worksheet!BM109," х ",Worksheet!BK109),"")</f>
        <v>700 х 620 х 198</v>
      </c>
      <c r="P113" s="1" t="str">
        <f>IF(Worksheet!BQ109&lt;&gt;"",CONCATENATE(Worksheet!BQ109," х ",Worksheet!BR109," х ",Worksheet!BP109),"")</f>
        <v>968 х 772 х 276</v>
      </c>
      <c r="Q113" s="1" t="str">
        <f>IF(Worksheet!BN109&lt;&gt;"",CONCATENATE(Worksheet!BN109," / ",Worksheet!BO109),"")</f>
        <v>16 / 21</v>
      </c>
      <c r="R113" t="str">
        <f>IF(Worksheet!BS109&lt;&gt;"",Worksheet!BS109,"")</f>
        <v>28/26/25/24</v>
      </c>
      <c r="S113" t="str">
        <f>IF(Worksheet!AL109&lt;&gt;"",Worksheet!AL109,"")</f>
        <v/>
      </c>
      <c r="T113" s="1" t="str">
        <f>IF(Worksheet!BL109&lt;&gt;"",CONCATENATE(Worksheet!BL109," х ",Worksheet!BM109," х ",Worksheet!BK109),"")</f>
        <v>700 х 620 х 198</v>
      </c>
      <c r="U113" s="1" t="str">
        <f>IF(Worksheet!BQ109&lt;&gt;"",CONCATENATE(Worksheet!BQ109," х ",Worksheet!BR109," х ",Worksheet!BP109),"")</f>
        <v>968 х 772 х 276</v>
      </c>
      <c r="V113" s="1" t="str">
        <f>IF(Worksheet!BN109&lt;&gt;"",CONCATENATE(Worksheet!BN109," / ",Worksheet!BO109),"")</f>
        <v>16 / 21</v>
      </c>
      <c r="W113" s="6"/>
      <c r="X113" s="7">
        <f>IF(Worksheet!AN109&lt;&gt;"",Worksheet!AN109,"")</f>
        <v>6.35</v>
      </c>
      <c r="Y113" s="7">
        <f>IF(Worksheet!AO109&lt;&gt;"",Worksheet!AO109,"")</f>
        <v>9.52</v>
      </c>
      <c r="Z113" s="17" t="str">
        <f>IF(Worksheet!Q109&lt;&gt;"",Worksheet!Q109,"")</f>
        <v/>
      </c>
      <c r="AA113" s="17" t="str">
        <f>IF(Worksheet!R109&lt;&gt;"",Worksheet!R109,"")</f>
        <v/>
      </c>
      <c r="AB113" t="str">
        <f>IF(Worksheet!X109&lt;&gt;"",CONCATENATE("от ",Worksheet!X109," до +",Worksheet!Y109),"")</f>
        <v/>
      </c>
      <c r="AC113" t="str">
        <f>IF(Worksheet!Z109&lt;&gt;"",CONCATENATE("от ",Worksheet!Z109," до +",Worksheet!AA109),"")</f>
        <v/>
      </c>
      <c r="AD113" s="6" t="s">
        <v>5172</v>
      </c>
      <c r="AE113" s="17"/>
    </row>
    <row r="114" spans="1:31" x14ac:dyDescent="0.25">
      <c r="A114" s="17" t="str">
        <f>IF(Worksheet!B110&lt;&gt;"",Worksheet!B110,"")</f>
        <v>FUJITSU</v>
      </c>
      <c r="B114" t="str">
        <f>Worksheet!E110</f>
        <v>Канальные</v>
      </c>
      <c r="C114">
        <f>IF(Worksheet!M110&lt;&gt;"",Worksheet!M110,"")</f>
        <v>2</v>
      </c>
      <c r="D114">
        <f t="shared" si="4"/>
        <v>20</v>
      </c>
      <c r="E114" t="str">
        <f>IF(Worksheet!L110&lt;&gt;"",IF(Worksheet!L110="Y","да","нет"),"")</f>
        <v>да</v>
      </c>
      <c r="F114">
        <f>IF(Worksheet!N110&lt;&gt;"",Worksheet!N110,"")</f>
        <v>2</v>
      </c>
      <c r="G114">
        <f>IF(Worksheet!O110&lt;&gt;"",Worksheet!O110,"")</f>
        <v>3.3000000000000002E-2</v>
      </c>
      <c r="H114">
        <f>IF(Worksheet!P110&lt;&gt;"",Worksheet!P110,"")</f>
        <v>3.3000000000000002E-2</v>
      </c>
      <c r="I114" s="6"/>
      <c r="J114" s="6"/>
      <c r="K114" t="str">
        <f>IF(Worksheet!BI110&lt;&gt;"",Worksheet!BI110,"")</f>
        <v>1 / 220 / 50</v>
      </c>
      <c r="L114" t="str">
        <f>IF(Worksheet!AU110&lt;&gt;"",Worksheet!AU110,"")</f>
        <v>R410A</v>
      </c>
      <c r="M114" s="6"/>
      <c r="N114" s="6"/>
      <c r="O114" s="1" t="str">
        <f>IF(Worksheet!BL110&lt;&gt;"",CONCATENATE(Worksheet!BL110," х ",Worksheet!BM110," х ",Worksheet!BK110),"")</f>
        <v>700 х 620 х 198</v>
      </c>
      <c r="P114" s="1" t="str">
        <f>IF(Worksheet!BQ110&lt;&gt;"",CONCATENATE(Worksheet!BQ110," х ",Worksheet!BR110," х ",Worksheet!BP110),"")</f>
        <v>968 х 772 х 276</v>
      </c>
      <c r="Q114" s="1" t="str">
        <f>IF(Worksheet!BN110&lt;&gt;"",CONCATENATE(Worksheet!BN110," / ",Worksheet!BO110),"")</f>
        <v>17 / 24</v>
      </c>
      <c r="R114" t="str">
        <f>IF(Worksheet!BS110&lt;&gt;"",Worksheet!BS110,"")</f>
        <v>28/26/25/24</v>
      </c>
      <c r="S114" t="str">
        <f>IF(Worksheet!AL110&lt;&gt;"",Worksheet!AL110,"")</f>
        <v/>
      </c>
      <c r="T114" s="1" t="str">
        <f>IF(Worksheet!BL110&lt;&gt;"",CONCATENATE(Worksheet!BL110," х ",Worksheet!BM110," х ",Worksheet!BK110),"")</f>
        <v>700 х 620 х 198</v>
      </c>
      <c r="U114" s="1" t="str">
        <f>IF(Worksheet!BQ110&lt;&gt;"",CONCATENATE(Worksheet!BQ110," х ",Worksheet!BR110," х ",Worksheet!BP110),"")</f>
        <v>968 х 772 х 276</v>
      </c>
      <c r="V114" s="1" t="str">
        <f>IF(Worksheet!BN110&lt;&gt;"",CONCATENATE(Worksheet!BN110," / ",Worksheet!BO110),"")</f>
        <v>17 / 24</v>
      </c>
      <c r="W114" s="6"/>
      <c r="X114" s="7">
        <f>IF(Worksheet!AN110&lt;&gt;"",Worksheet!AN110,"")</f>
        <v>6.35</v>
      </c>
      <c r="Y114" s="7">
        <f>IF(Worksheet!AO110&lt;&gt;"",Worksheet!AO110,"")</f>
        <v>9.52</v>
      </c>
      <c r="Z114" s="17" t="str">
        <f>IF(Worksheet!Q110&lt;&gt;"",Worksheet!Q110,"")</f>
        <v/>
      </c>
      <c r="AA114" s="17" t="str">
        <f>IF(Worksheet!R110&lt;&gt;"",Worksheet!R110,"")</f>
        <v/>
      </c>
      <c r="AB114" t="str">
        <f>IF(Worksheet!X110&lt;&gt;"",CONCATENATE("от ",Worksheet!X110," до +",Worksheet!Y110),"")</f>
        <v/>
      </c>
      <c r="AC114" t="str">
        <f>IF(Worksheet!Z110&lt;&gt;"",CONCATENATE("от ",Worksheet!Z110," до +",Worksheet!AA110),"")</f>
        <v/>
      </c>
      <c r="AD114" s="6" t="s">
        <v>5172</v>
      </c>
      <c r="AE114" s="17"/>
    </row>
    <row r="115" spans="1:31" x14ac:dyDescent="0.25">
      <c r="A115" s="17" t="str">
        <f>IF(Worksheet!B111&lt;&gt;"",Worksheet!B111,"")</f>
        <v>FUJITSU</v>
      </c>
      <c r="B115" t="str">
        <f>Worksheet!E111</f>
        <v>Канальные</v>
      </c>
      <c r="C115">
        <f>IF(Worksheet!M111&lt;&gt;"",Worksheet!M111,"")</f>
        <v>2.5</v>
      </c>
      <c r="D115">
        <f t="shared" si="4"/>
        <v>25</v>
      </c>
      <c r="E115" t="str">
        <f>IF(Worksheet!L111&lt;&gt;"",IF(Worksheet!L111="Y","да","нет"),"")</f>
        <v>да</v>
      </c>
      <c r="F115">
        <f>IF(Worksheet!N111&lt;&gt;"",Worksheet!N111,"")</f>
        <v>2.5</v>
      </c>
      <c r="G115">
        <f>IF(Worksheet!O111&lt;&gt;"",Worksheet!O111,"")</f>
        <v>4.9000000000000002E-2</v>
      </c>
      <c r="H115">
        <f>IF(Worksheet!P111&lt;&gt;"",Worksheet!P111,"")</f>
        <v>4.9000000000000002E-2</v>
      </c>
      <c r="I115" s="6"/>
      <c r="J115" s="6"/>
      <c r="K115" t="str">
        <f>IF(Worksheet!BI111&lt;&gt;"",Worksheet!BI111,"")</f>
        <v>1 / 230 / 50</v>
      </c>
      <c r="L115" t="str">
        <f>IF(Worksheet!AU111&lt;&gt;"",Worksheet!AU111,"")</f>
        <v>R410A</v>
      </c>
      <c r="M115" s="6"/>
      <c r="N115" s="6"/>
      <c r="O115" s="1" t="str">
        <f>IF(Worksheet!BL111&lt;&gt;"",CONCATENATE(Worksheet!BL111," х ",Worksheet!BM111," х ",Worksheet!BK111),"")</f>
        <v>700 х 620 х 198</v>
      </c>
      <c r="P115" s="1" t="str">
        <f>IF(Worksheet!BQ111&lt;&gt;"",CONCATENATE(Worksheet!BQ111," х ",Worksheet!BR111," х ",Worksheet!BP111),"")</f>
        <v>968 х 772 х 276</v>
      </c>
      <c r="Q115" s="1" t="str">
        <f>IF(Worksheet!BN111&lt;&gt;"",CONCATENATE(Worksheet!BN111," / ",Worksheet!BO111),"")</f>
        <v>19 / 26</v>
      </c>
      <c r="R115" t="str">
        <f>IF(Worksheet!BS111&lt;&gt;"",Worksheet!BS111,"")</f>
        <v>28/27/26/25</v>
      </c>
      <c r="S115" t="str">
        <f>IF(Worksheet!AL111&lt;&gt;"",Worksheet!AL111,"")</f>
        <v/>
      </c>
      <c r="T115" s="1" t="str">
        <f>IF(Worksheet!BL111&lt;&gt;"",CONCATENATE(Worksheet!BL111," х ",Worksheet!BM111," х ",Worksheet!BK111),"")</f>
        <v>700 х 620 х 198</v>
      </c>
      <c r="U115" s="1" t="str">
        <f>IF(Worksheet!BQ111&lt;&gt;"",CONCATENATE(Worksheet!BQ111," х ",Worksheet!BR111," х ",Worksheet!BP111),"")</f>
        <v>968 х 772 х 276</v>
      </c>
      <c r="V115" s="1" t="str">
        <f>IF(Worksheet!BN111&lt;&gt;"",CONCATENATE(Worksheet!BN111," / ",Worksheet!BO111),"")</f>
        <v>19 / 26</v>
      </c>
      <c r="W115" s="6"/>
      <c r="X115" s="7">
        <f>IF(Worksheet!AN111&lt;&gt;"",Worksheet!AN111,"")</f>
        <v>6.35</v>
      </c>
      <c r="Y115" s="7">
        <f>IF(Worksheet!AO111&lt;&gt;"",Worksheet!AO111,"")</f>
        <v>9.52</v>
      </c>
      <c r="Z115" s="17" t="str">
        <f>IF(Worksheet!Q111&lt;&gt;"",Worksheet!Q111,"")</f>
        <v/>
      </c>
      <c r="AA115" s="17" t="str">
        <f>IF(Worksheet!R111&lt;&gt;"",Worksheet!R111,"")</f>
        <v/>
      </c>
      <c r="AB115" t="str">
        <f>IF(Worksheet!X111&lt;&gt;"",CONCATENATE("от ",Worksheet!X111," до +",Worksheet!Y111),"")</f>
        <v/>
      </c>
      <c r="AC115" t="str">
        <f>IF(Worksheet!Z111&lt;&gt;"",CONCATENATE("от ",Worksheet!Z111," до +",Worksheet!AA111),"")</f>
        <v/>
      </c>
      <c r="AD115" s="6" t="s">
        <v>5172</v>
      </c>
      <c r="AE115" s="17"/>
    </row>
    <row r="116" spans="1:31" x14ac:dyDescent="0.25">
      <c r="A116" s="17" t="str">
        <f>IF(Worksheet!B112&lt;&gt;"",Worksheet!B112,"")</f>
        <v>FUJITSU</v>
      </c>
      <c r="B116" t="str">
        <f>Worksheet!E112</f>
        <v>Канальные</v>
      </c>
      <c r="C116">
        <f>IF(Worksheet!M112&lt;&gt;"",Worksheet!M112,"")</f>
        <v>3.5</v>
      </c>
      <c r="D116">
        <f t="shared" si="4"/>
        <v>35</v>
      </c>
      <c r="E116" t="str">
        <f>IF(Worksheet!L112&lt;&gt;"",IF(Worksheet!L112="Y","да","нет"),"")</f>
        <v>да</v>
      </c>
      <c r="F116">
        <f>IF(Worksheet!N112&lt;&gt;"",Worksheet!N112,"")</f>
        <v>3.5</v>
      </c>
      <c r="G116">
        <f>IF(Worksheet!O112&lt;&gt;"",Worksheet!O112,"")</f>
        <v>5.8000000000000003E-2</v>
      </c>
      <c r="H116">
        <f>IF(Worksheet!P112&lt;&gt;"",Worksheet!P112,"")</f>
        <v>5.8000000000000003E-2</v>
      </c>
      <c r="I116" s="6"/>
      <c r="J116" s="6"/>
      <c r="K116" t="str">
        <f>IF(Worksheet!BI112&lt;&gt;"",Worksheet!BI112,"")</f>
        <v>1 / 230 / 50</v>
      </c>
      <c r="L116" t="str">
        <f>IF(Worksheet!AU112&lt;&gt;"",Worksheet!AU112,"")</f>
        <v>R410A</v>
      </c>
      <c r="M116" s="6"/>
      <c r="N116" s="6"/>
      <c r="O116" s="1" t="str">
        <f>IF(Worksheet!BL112&lt;&gt;"",CONCATENATE(Worksheet!BL112," х ",Worksheet!BM112," х ",Worksheet!BK112),"")</f>
        <v>700 х 620 х 198</v>
      </c>
      <c r="P116" s="1" t="str">
        <f>IF(Worksheet!BQ112&lt;&gt;"",CONCATENATE(Worksheet!BQ112," х ",Worksheet!BR112," х ",Worksheet!BP112),"")</f>
        <v>968 х 772 х 276</v>
      </c>
      <c r="Q116" s="1" t="str">
        <f>IF(Worksheet!BN112&lt;&gt;"",CONCATENATE(Worksheet!BN112," / ",Worksheet!BO112),"")</f>
        <v>19 / 23</v>
      </c>
      <c r="R116" t="str">
        <f>IF(Worksheet!BS112&lt;&gt;"",Worksheet!BS112,"")</f>
        <v/>
      </c>
      <c r="S116" t="str">
        <f>IF(Worksheet!AL112&lt;&gt;"",Worksheet!AL112,"")</f>
        <v/>
      </c>
      <c r="T116" s="1" t="str">
        <f>IF(Worksheet!BL112&lt;&gt;"",CONCATENATE(Worksheet!BL112," х ",Worksheet!BM112," х ",Worksheet!BK112),"")</f>
        <v>700 х 620 х 198</v>
      </c>
      <c r="U116" s="1" t="str">
        <f>IF(Worksheet!BQ112&lt;&gt;"",CONCATENATE(Worksheet!BQ112," х ",Worksheet!BR112," х ",Worksheet!BP112),"")</f>
        <v>968 х 772 х 276</v>
      </c>
      <c r="V116" s="1" t="str">
        <f>IF(Worksheet!BN112&lt;&gt;"",CONCATENATE(Worksheet!BN112," / ",Worksheet!BO112),"")</f>
        <v>19 / 23</v>
      </c>
      <c r="W116" s="6"/>
      <c r="X116" s="7">
        <f>IF(Worksheet!AN112&lt;&gt;"",Worksheet!AN112,"")</f>
        <v>6.35</v>
      </c>
      <c r="Y116" s="7">
        <f>IF(Worksheet!AO112&lt;&gt;"",Worksheet!AO112,"")</f>
        <v>9.52</v>
      </c>
      <c r="Z116" s="17">
        <f>IF(Worksheet!Q112&lt;&gt;"",Worksheet!Q112,"")</f>
        <v>25</v>
      </c>
      <c r="AA116" s="17">
        <f>IF(Worksheet!R112&lt;&gt;"",Worksheet!R112,"")</f>
        <v>15</v>
      </c>
      <c r="AB116" t="str">
        <f>IF(Worksheet!X112&lt;&gt;"",CONCATENATE("от ",Worksheet!X112," до +",Worksheet!Y112),"")</f>
        <v>от -10 до +46</v>
      </c>
      <c r="AC116" t="str">
        <f>IF(Worksheet!Z112&lt;&gt;"",CONCATENATE("от ",Worksheet!Z112," до +",Worksheet!AA112),"")</f>
        <v>от -15 до +24</v>
      </c>
      <c r="AD116" s="6" t="s">
        <v>5172</v>
      </c>
      <c r="AE116" s="17"/>
    </row>
    <row r="117" spans="1:31" x14ac:dyDescent="0.25">
      <c r="A117" s="17" t="str">
        <f>IF(Worksheet!B113&lt;&gt;"",Worksheet!B113,"")</f>
        <v>FUJITSU</v>
      </c>
      <c r="B117" t="str">
        <f>Worksheet!E113</f>
        <v>Канальные</v>
      </c>
      <c r="C117">
        <f>IF(Worksheet!M113&lt;&gt;"",Worksheet!M113,"")</f>
        <v>4</v>
      </c>
      <c r="D117">
        <f t="shared" si="4"/>
        <v>40</v>
      </c>
      <c r="E117" t="str">
        <f>IF(Worksheet!L113&lt;&gt;"",IF(Worksheet!L113="Y","да","нет"),"")</f>
        <v>да</v>
      </c>
      <c r="F117">
        <f>IF(Worksheet!N113&lt;&gt;"",Worksheet!N113,"")</f>
        <v>4</v>
      </c>
      <c r="G117">
        <f>IF(Worksheet!O113&lt;&gt;"",Worksheet!O113,"")</f>
        <v>7.5999999999999998E-2</v>
      </c>
      <c r="H117">
        <f>IF(Worksheet!P113&lt;&gt;"",Worksheet!P113,"")</f>
        <v>7.5999999999999998E-2</v>
      </c>
      <c r="I117" s="6"/>
      <c r="J117" s="6"/>
      <c r="K117" t="str">
        <f>IF(Worksheet!BI113&lt;&gt;"",Worksheet!BI113,"")</f>
        <v>1 / 230 / 50</v>
      </c>
      <c r="L117" t="str">
        <f>IF(Worksheet!AU113&lt;&gt;"",Worksheet!AU113,"")</f>
        <v/>
      </c>
      <c r="M117" s="6"/>
      <c r="N117" s="6"/>
      <c r="O117" s="1" t="str">
        <f>IF(Worksheet!BL113&lt;&gt;"",CONCATENATE(Worksheet!BL113," х ",Worksheet!BM113," х ",Worksheet!BK113),"")</f>
        <v>700 х 620 х 198</v>
      </c>
      <c r="P117" s="1" t="str">
        <f>IF(Worksheet!BQ113&lt;&gt;"",CONCATENATE(Worksheet!BQ113," х ",Worksheet!BR113," х ",Worksheet!BP113),"")</f>
        <v>968 х 772 х 276</v>
      </c>
      <c r="Q117" s="1" t="str">
        <f>IF(Worksheet!BN113&lt;&gt;"",CONCATENATE(Worksheet!BN113," / ",Worksheet!BO113),"")</f>
        <v>19 / 23</v>
      </c>
      <c r="R117" t="str">
        <f>IF(Worksheet!BS113&lt;&gt;"",Worksheet!BS113,"")</f>
        <v/>
      </c>
      <c r="S117" t="str">
        <f>IF(Worksheet!AL113&lt;&gt;"",Worksheet!AL113,"")</f>
        <v/>
      </c>
      <c r="T117" s="1" t="str">
        <f>IF(Worksheet!BL113&lt;&gt;"",CONCATENATE(Worksheet!BL113," х ",Worksheet!BM113," х ",Worksheet!BK113),"")</f>
        <v>700 х 620 х 198</v>
      </c>
      <c r="U117" s="1" t="str">
        <f>IF(Worksheet!BQ113&lt;&gt;"",CONCATENATE(Worksheet!BQ113," х ",Worksheet!BR113," х ",Worksheet!BP113),"")</f>
        <v>968 х 772 х 276</v>
      </c>
      <c r="V117" s="1" t="str">
        <f>IF(Worksheet!BN113&lt;&gt;"",CONCATENATE(Worksheet!BN113," / ",Worksheet!BO113),"")</f>
        <v>19 / 23</v>
      </c>
      <c r="W117" s="6"/>
      <c r="X117" s="7">
        <f>IF(Worksheet!AN113&lt;&gt;"",Worksheet!AN113,"")</f>
        <v>6.35</v>
      </c>
      <c r="Y117" s="7">
        <f>IF(Worksheet!AO113&lt;&gt;"",Worksheet!AO113,"")</f>
        <v>12.7</v>
      </c>
      <c r="Z117" s="17">
        <f>IF(Worksheet!Q113&lt;&gt;"",Worksheet!Q113,"")</f>
        <v>25</v>
      </c>
      <c r="AA117" s="17">
        <f>IF(Worksheet!R113&lt;&gt;"",Worksheet!R113,"")</f>
        <v>15</v>
      </c>
      <c r="AB117" t="str">
        <f>IF(Worksheet!X113&lt;&gt;"",CONCATENATE("от ",Worksheet!X113," до +",Worksheet!Y113),"")</f>
        <v/>
      </c>
      <c r="AC117" t="str">
        <f>IF(Worksheet!Z113&lt;&gt;"",CONCATENATE("от ",Worksheet!Z113," до +",Worksheet!AA113),"")</f>
        <v/>
      </c>
      <c r="AD117" s="6" t="s">
        <v>5172</v>
      </c>
      <c r="AE117" s="17"/>
    </row>
    <row r="118" spans="1:31" x14ac:dyDescent="0.25">
      <c r="A118" s="17" t="str">
        <f>IF(Worksheet!B114&lt;&gt;"",Worksheet!B114,"")</f>
        <v>FUJITSU</v>
      </c>
      <c r="B118" t="str">
        <f>Worksheet!E114</f>
        <v>Канальные</v>
      </c>
      <c r="C118">
        <f>IF(Worksheet!M114&lt;&gt;"",Worksheet!M114,"")</f>
        <v>5</v>
      </c>
      <c r="D118">
        <f t="shared" si="4"/>
        <v>50</v>
      </c>
      <c r="E118" t="str">
        <f>IF(Worksheet!L114&lt;&gt;"",IF(Worksheet!L114="Y","да","нет"),"")</f>
        <v>да</v>
      </c>
      <c r="F118">
        <f>IF(Worksheet!N114&lt;&gt;"",Worksheet!N114,"")</f>
        <v>5</v>
      </c>
      <c r="G118">
        <f>IF(Worksheet!O114&lt;&gt;"",Worksheet!O114,"")</f>
        <v>7.2999999999999995E-2</v>
      </c>
      <c r="H118">
        <f>IF(Worksheet!P114&lt;&gt;"",Worksheet!P114,"")</f>
        <v>7.2999999999999995E-2</v>
      </c>
      <c r="I118" s="6"/>
      <c r="J118" s="6"/>
      <c r="K118" t="str">
        <f>IF(Worksheet!BI114&lt;&gt;"",Worksheet!BI114,"")</f>
        <v>1 / 230 / 50</v>
      </c>
      <c r="L118" t="str">
        <f>IF(Worksheet!AU114&lt;&gt;"",Worksheet!AU114,"")</f>
        <v/>
      </c>
      <c r="M118" s="6"/>
      <c r="N118" s="6"/>
      <c r="O118" s="1" t="str">
        <f>IF(Worksheet!BL114&lt;&gt;"",CONCATENATE(Worksheet!BL114," х ",Worksheet!BM114," х ",Worksheet!BK114),"")</f>
        <v>900 х 620 х 198</v>
      </c>
      <c r="P118" s="1" t="str">
        <f>IF(Worksheet!BQ114&lt;&gt;"",CONCATENATE(Worksheet!BQ114," х ",Worksheet!BR114," х ",Worksheet!BP114),"")</f>
        <v>1168 х 772 х 276</v>
      </c>
      <c r="Q118" s="1" t="str">
        <f>IF(Worksheet!BN114&lt;&gt;"",CONCATENATE(Worksheet!BN114," / ",Worksheet!BO114),"")</f>
        <v>23 / 27</v>
      </c>
      <c r="R118" t="str">
        <f>IF(Worksheet!BS114&lt;&gt;"",Worksheet!BS114,"")</f>
        <v/>
      </c>
      <c r="S118" t="str">
        <f>IF(Worksheet!AL114&lt;&gt;"",Worksheet!AL114,"")</f>
        <v/>
      </c>
      <c r="T118" s="1" t="str">
        <f>IF(Worksheet!BL114&lt;&gt;"",CONCATENATE(Worksheet!BL114," х ",Worksheet!BM114," х ",Worksheet!BK114),"")</f>
        <v>900 х 620 х 198</v>
      </c>
      <c r="U118" s="1" t="str">
        <f>IF(Worksheet!BQ114&lt;&gt;"",CONCATENATE(Worksheet!BQ114," х ",Worksheet!BR114," х ",Worksheet!BP114),"")</f>
        <v>1168 х 772 х 276</v>
      </c>
      <c r="V118" s="1" t="str">
        <f>IF(Worksheet!BN114&lt;&gt;"",CONCATENATE(Worksheet!BN114," / ",Worksheet!BO114),"")</f>
        <v>23 / 27</v>
      </c>
      <c r="W118" s="6"/>
      <c r="X118" s="7">
        <f>IF(Worksheet!AN114&lt;&gt;"",Worksheet!AN114,"")</f>
        <v>6.35</v>
      </c>
      <c r="Y118" s="7">
        <f>IF(Worksheet!AO114&lt;&gt;"",Worksheet!AO114,"")</f>
        <v>12.7</v>
      </c>
      <c r="Z118" s="17">
        <f>IF(Worksheet!Q114&lt;&gt;"",Worksheet!Q114,"")</f>
        <v>25</v>
      </c>
      <c r="AA118" s="17">
        <f>IF(Worksheet!R114&lt;&gt;"",Worksheet!R114,"")</f>
        <v>15</v>
      </c>
      <c r="AB118" t="str">
        <f>IF(Worksheet!X114&lt;&gt;"",CONCATENATE("от ",Worksheet!X114," до +",Worksheet!Y114),"")</f>
        <v/>
      </c>
      <c r="AC118" t="str">
        <f>IF(Worksheet!Z114&lt;&gt;"",CONCATENATE("от ",Worksheet!Z114," до +",Worksheet!AA114),"")</f>
        <v/>
      </c>
      <c r="AD118" s="6" t="s">
        <v>5172</v>
      </c>
      <c r="AE118" s="17"/>
    </row>
    <row r="119" spans="1:31" x14ac:dyDescent="0.25">
      <c r="A119" s="17" t="str">
        <f>IF(Worksheet!B115&lt;&gt;"",Worksheet!B115,"")</f>
        <v>FUJITSU</v>
      </c>
      <c r="B119" t="str">
        <f>Worksheet!E115</f>
        <v>Кассетные</v>
      </c>
      <c r="C119">
        <f>IF(Worksheet!M115&lt;&gt;"",Worksheet!M115,"")</f>
        <v>2</v>
      </c>
      <c r="D119">
        <f t="shared" si="4"/>
        <v>20</v>
      </c>
      <c r="E119" t="str">
        <f>IF(Worksheet!L115&lt;&gt;"",IF(Worksheet!L115="Y","да","нет"),"")</f>
        <v>да</v>
      </c>
      <c r="F119">
        <f>IF(Worksheet!N115&lt;&gt;"",Worksheet!N115,"")</f>
        <v>2</v>
      </c>
      <c r="G119">
        <f>IF(Worksheet!O115&lt;&gt;"",Worksheet!O115,"")</f>
        <v>1.7999999999999999E-2</v>
      </c>
      <c r="H119">
        <f>IF(Worksheet!P115&lt;&gt;"",Worksheet!P115,"")</f>
        <v>1.7999999999999999E-2</v>
      </c>
      <c r="I119" s="6"/>
      <c r="J119" s="6"/>
      <c r="K119" t="str">
        <f>IF(Worksheet!BI115&lt;&gt;"",Worksheet!BI115,"")</f>
        <v>1 / 230 / 50</v>
      </c>
      <c r="L119" t="str">
        <f>IF(Worksheet!AU115&lt;&gt;"",Worksheet!AU115,"")</f>
        <v>R32</v>
      </c>
      <c r="M119" s="6"/>
      <c r="N119" s="6"/>
      <c r="O119" s="1" t="str">
        <f>IF(Worksheet!BL115&lt;&gt;"",CONCATENATE(Worksheet!BL115," х ",Worksheet!BM115," х ",Worksheet!BK115),"")</f>
        <v/>
      </c>
      <c r="P119" s="1" t="str">
        <f>IF(Worksheet!BQ115&lt;&gt;"",CONCATENATE(Worksheet!BQ115," х ",Worksheet!BR115," х ",Worksheet!BP115),"")</f>
        <v/>
      </c>
      <c r="Q119" s="1" t="str">
        <f>IF(Worksheet!BN115&lt;&gt;"",CONCATENATE(Worksheet!BN115," / ",Worksheet!BO115),"")</f>
        <v/>
      </c>
      <c r="R119" t="str">
        <f>IF(Worksheet!BS115&lt;&gt;"",Worksheet!BS115,"")</f>
        <v>27/29/31/33</v>
      </c>
      <c r="S119" t="str">
        <f>IF(Worksheet!AL115&lt;&gt;"",Worksheet!AL115,"")</f>
        <v/>
      </c>
      <c r="T119" s="1" t="str">
        <f>IF(Worksheet!BL115&lt;&gt;"",CONCATENATE(Worksheet!BL115," х ",Worksheet!BM115," х ",Worksheet!BK115),"")</f>
        <v/>
      </c>
      <c r="U119" s="1" t="str">
        <f>IF(Worksheet!BQ115&lt;&gt;"",CONCATENATE(Worksheet!BQ115," х ",Worksheet!BR115," х ",Worksheet!BP115),"")</f>
        <v/>
      </c>
      <c r="V119" s="1" t="str">
        <f>IF(Worksheet!BN115&lt;&gt;"",CONCATENATE(Worksheet!BN115," / ",Worksheet!BO115),"")</f>
        <v/>
      </c>
      <c r="W119" s="6"/>
      <c r="X119" s="7">
        <f>IF(Worksheet!AN115&lt;&gt;"",Worksheet!AN115,"")</f>
        <v>6.35</v>
      </c>
      <c r="Y119" s="7">
        <f>IF(Worksheet!AO115&lt;&gt;"",Worksheet!AO115,"")</f>
        <v>9.52</v>
      </c>
      <c r="Z119" s="17" t="str">
        <f>IF(Worksheet!Q115&lt;&gt;"",Worksheet!Q115,"")</f>
        <v/>
      </c>
      <c r="AA119" s="17" t="str">
        <f>IF(Worksheet!R115&lt;&gt;"",Worksheet!R115,"")</f>
        <v/>
      </c>
      <c r="AB119" t="str">
        <f>IF(Worksheet!X115&lt;&gt;"",CONCATENATE("от ",Worksheet!X115," до +",Worksheet!Y115),"")</f>
        <v/>
      </c>
      <c r="AC119" t="str">
        <f>IF(Worksheet!Z115&lt;&gt;"",CONCATENATE("от ",Worksheet!Z115," до +",Worksheet!AA115),"")</f>
        <v/>
      </c>
      <c r="AD119" s="6" t="s">
        <v>5172</v>
      </c>
      <c r="AE119" s="17"/>
    </row>
    <row r="120" spans="1:31" x14ac:dyDescent="0.25">
      <c r="A120" s="17" t="str">
        <f>IF(Worksheet!B116&lt;&gt;"",Worksheet!B116,"")</f>
        <v>FUJITSU</v>
      </c>
      <c r="B120" t="str">
        <f>Worksheet!E116</f>
        <v>Кассетные</v>
      </c>
      <c r="C120">
        <f>IF(Worksheet!M116&lt;&gt;"",Worksheet!M116,"")</f>
        <v>2.5</v>
      </c>
      <c r="D120">
        <f t="shared" si="4"/>
        <v>25</v>
      </c>
      <c r="E120" t="str">
        <f>IF(Worksheet!L116&lt;&gt;"",IF(Worksheet!L116="Y","да","нет"),"")</f>
        <v>да</v>
      </c>
      <c r="F120">
        <f>IF(Worksheet!N116&lt;&gt;"",Worksheet!N116,"")</f>
        <v>2.5</v>
      </c>
      <c r="G120">
        <f>IF(Worksheet!O116&lt;&gt;"",Worksheet!O116,"")</f>
        <v>1.7999999999999999E-2</v>
      </c>
      <c r="H120">
        <f>IF(Worksheet!P116&lt;&gt;"",Worksheet!P116,"")</f>
        <v>1.7999999999999999E-2</v>
      </c>
      <c r="I120" s="6"/>
      <c r="J120" s="6"/>
      <c r="K120" t="str">
        <f>IF(Worksheet!BI116&lt;&gt;"",Worksheet!BI116,"")</f>
        <v>1 / 230 / 50</v>
      </c>
      <c r="L120" t="str">
        <f>IF(Worksheet!AU116&lt;&gt;"",Worksheet!AU116,"")</f>
        <v>R32</v>
      </c>
      <c r="M120" s="6"/>
      <c r="N120" s="6"/>
      <c r="O120" s="1" t="str">
        <f>IF(Worksheet!BL116&lt;&gt;"",CONCATENATE(Worksheet!BL116," х ",Worksheet!BM116," х ",Worksheet!BK116),"")</f>
        <v/>
      </c>
      <c r="P120" s="1" t="str">
        <f>IF(Worksheet!BQ116&lt;&gt;"",CONCATENATE(Worksheet!BQ116," х ",Worksheet!BR116," х ",Worksheet!BP116),"")</f>
        <v/>
      </c>
      <c r="Q120" s="1" t="str">
        <f>IF(Worksheet!BN116&lt;&gt;"",CONCATENATE(Worksheet!BN116," / ",Worksheet!BO116),"")</f>
        <v/>
      </c>
      <c r="R120" t="str">
        <f>IF(Worksheet!BS116&lt;&gt;"",Worksheet!BS116,"")</f>
        <v>27/29/31/33</v>
      </c>
      <c r="S120" t="str">
        <f>IF(Worksheet!AL116&lt;&gt;"",Worksheet!AL116,"")</f>
        <v/>
      </c>
      <c r="T120" s="1" t="str">
        <f>IF(Worksheet!BL116&lt;&gt;"",CONCATENATE(Worksheet!BL116," х ",Worksheet!BM116," х ",Worksheet!BK116),"")</f>
        <v/>
      </c>
      <c r="U120" s="1" t="str">
        <f>IF(Worksheet!BQ116&lt;&gt;"",CONCATENATE(Worksheet!BQ116," х ",Worksheet!BR116," х ",Worksheet!BP116),"")</f>
        <v/>
      </c>
      <c r="V120" s="1" t="str">
        <f>IF(Worksheet!BN116&lt;&gt;"",CONCATENATE(Worksheet!BN116," / ",Worksheet!BO116),"")</f>
        <v/>
      </c>
      <c r="W120" s="6"/>
      <c r="X120" s="7">
        <f>IF(Worksheet!AN116&lt;&gt;"",Worksheet!AN116,"")</f>
        <v>6.35</v>
      </c>
      <c r="Y120" s="7">
        <f>IF(Worksheet!AO116&lt;&gt;"",Worksheet!AO116,"")</f>
        <v>9.52</v>
      </c>
      <c r="Z120" s="17" t="str">
        <f>IF(Worksheet!Q116&lt;&gt;"",Worksheet!Q116,"")</f>
        <v/>
      </c>
      <c r="AA120" s="17" t="str">
        <f>IF(Worksheet!R116&lt;&gt;"",Worksheet!R116,"")</f>
        <v/>
      </c>
      <c r="AB120" t="str">
        <f>IF(Worksheet!X116&lt;&gt;"",CONCATENATE("от ",Worksheet!X116," до +",Worksheet!Y116),"")</f>
        <v/>
      </c>
      <c r="AC120" t="str">
        <f>IF(Worksheet!Z116&lt;&gt;"",CONCATENATE("от ",Worksheet!Z116," до +",Worksheet!AA116),"")</f>
        <v/>
      </c>
      <c r="AD120" s="6" t="s">
        <v>5172</v>
      </c>
      <c r="AE120" s="17"/>
    </row>
    <row r="121" spans="1:31" x14ac:dyDescent="0.25">
      <c r="A121" s="17" t="str">
        <f>IF(Worksheet!B117&lt;&gt;"",Worksheet!B117,"")</f>
        <v>FUJITSU</v>
      </c>
      <c r="B121" t="str">
        <f>Worksheet!E117</f>
        <v>Кассетные</v>
      </c>
      <c r="C121">
        <f>IF(Worksheet!M117&lt;&gt;"",Worksheet!M117,"")</f>
        <v>3.5</v>
      </c>
      <c r="D121">
        <f t="shared" si="4"/>
        <v>35</v>
      </c>
      <c r="E121" t="str">
        <f>IF(Worksheet!L117&lt;&gt;"",IF(Worksheet!L117="Y","да","нет"),"")</f>
        <v>да</v>
      </c>
      <c r="F121">
        <f>IF(Worksheet!N117&lt;&gt;"",Worksheet!N117,"")</f>
        <v>3.5</v>
      </c>
      <c r="G121">
        <f>IF(Worksheet!O117&lt;&gt;"",Worksheet!O117,"")</f>
        <v>2.3E-2</v>
      </c>
      <c r="H121">
        <f>IF(Worksheet!P117&lt;&gt;"",Worksheet!P117,"")</f>
        <v>2.3E-2</v>
      </c>
      <c r="I121" s="6"/>
      <c r="J121" s="6"/>
      <c r="K121" t="str">
        <f>IF(Worksheet!BI117&lt;&gt;"",Worksheet!BI117,"")</f>
        <v>1 / 230 / 50</v>
      </c>
      <c r="L121" t="str">
        <f>IF(Worksheet!AU117&lt;&gt;"",Worksheet!AU117,"")</f>
        <v/>
      </c>
      <c r="M121" s="6"/>
      <c r="N121" s="6"/>
      <c r="O121" s="1" t="str">
        <f>IF(Worksheet!BL117&lt;&gt;"",CONCATENATE(Worksheet!BL117," х ",Worksheet!BM117," х ",Worksheet!BK117),"")</f>
        <v/>
      </c>
      <c r="P121" s="1" t="str">
        <f>IF(Worksheet!BQ117&lt;&gt;"",CONCATENATE(Worksheet!BQ117," х ",Worksheet!BR117," х ",Worksheet!BP117),"")</f>
        <v/>
      </c>
      <c r="Q121" s="1" t="str">
        <f>IF(Worksheet!BN117&lt;&gt;"",CONCATENATE(Worksheet!BN117," / ",Worksheet!BO117),"")</f>
        <v/>
      </c>
      <c r="R121" t="str">
        <f>IF(Worksheet!BS117&lt;&gt;"",Worksheet!BS117,"")</f>
        <v/>
      </c>
      <c r="S121" t="str">
        <f>IF(Worksheet!AL117&lt;&gt;"",Worksheet!AL117,"")</f>
        <v/>
      </c>
      <c r="T121" s="1" t="str">
        <f>IF(Worksheet!BL117&lt;&gt;"",CONCATENATE(Worksheet!BL117," х ",Worksheet!BM117," х ",Worksheet!BK117),"")</f>
        <v/>
      </c>
      <c r="U121" s="1" t="str">
        <f>IF(Worksheet!BQ117&lt;&gt;"",CONCATENATE(Worksheet!BQ117," х ",Worksheet!BR117," х ",Worksheet!BP117),"")</f>
        <v/>
      </c>
      <c r="V121" s="1" t="str">
        <f>IF(Worksheet!BN117&lt;&gt;"",CONCATENATE(Worksheet!BN117," / ",Worksheet!BO117),"")</f>
        <v/>
      </c>
      <c r="W121" s="6"/>
      <c r="X121" s="7">
        <f>IF(Worksheet!AN117&lt;&gt;"",Worksheet!AN117,"")</f>
        <v>6.35</v>
      </c>
      <c r="Y121" s="7">
        <f>IF(Worksheet!AO117&lt;&gt;"",Worksheet!AO117,"")</f>
        <v>9.52</v>
      </c>
      <c r="Z121" s="17">
        <f>IF(Worksheet!Q117&lt;&gt;"",Worksheet!Q117,"")</f>
        <v>15</v>
      </c>
      <c r="AA121" s="17">
        <f>IF(Worksheet!R117&lt;&gt;"",Worksheet!R117,"")</f>
        <v>15</v>
      </c>
      <c r="AB121" t="str">
        <f>IF(Worksheet!X117&lt;&gt;"",CONCATENATE("от ",Worksheet!X117," до +",Worksheet!Y117),"")</f>
        <v/>
      </c>
      <c r="AC121" t="str">
        <f>IF(Worksheet!Z117&lt;&gt;"",CONCATENATE("от ",Worksheet!Z117," до +",Worksheet!AA117),"")</f>
        <v/>
      </c>
      <c r="AD121" s="6" t="s">
        <v>5172</v>
      </c>
      <c r="AE121" s="17"/>
    </row>
    <row r="122" spans="1:31" x14ac:dyDescent="0.25">
      <c r="A122" s="17" t="str">
        <f>IF(Worksheet!B118&lt;&gt;"",Worksheet!B118,"")</f>
        <v>FUJITSU</v>
      </c>
      <c r="B122" t="str">
        <f>Worksheet!E118</f>
        <v>Кассетные</v>
      </c>
      <c r="C122">
        <f>IF(Worksheet!M118&lt;&gt;"",Worksheet!M118,"")</f>
        <v>4</v>
      </c>
      <c r="D122">
        <f t="shared" si="4"/>
        <v>40</v>
      </c>
      <c r="E122" t="str">
        <f>IF(Worksheet!L118&lt;&gt;"",IF(Worksheet!L118="Y","да","нет"),"")</f>
        <v>да</v>
      </c>
      <c r="F122">
        <f>IF(Worksheet!N118&lt;&gt;"",Worksheet!N118,"")</f>
        <v>4</v>
      </c>
      <c r="G122">
        <f>IF(Worksheet!O118&lt;&gt;"",Worksheet!O118,"")</f>
        <v>2.8000000000000001E-2</v>
      </c>
      <c r="H122">
        <f>IF(Worksheet!P118&lt;&gt;"",Worksheet!P118,"")</f>
        <v>2.8000000000000001E-2</v>
      </c>
      <c r="I122" s="6"/>
      <c r="J122" s="6"/>
      <c r="K122" t="str">
        <f>IF(Worksheet!BI118&lt;&gt;"",Worksheet!BI118,"")</f>
        <v>1 / 230 / 50</v>
      </c>
      <c r="L122" t="str">
        <f>IF(Worksheet!AU118&lt;&gt;"",Worksheet!AU118,"")</f>
        <v/>
      </c>
      <c r="M122" s="6"/>
      <c r="N122" s="6"/>
      <c r="O122" s="1" t="str">
        <f>IF(Worksheet!BL118&lt;&gt;"",CONCATENATE(Worksheet!BL118," х ",Worksheet!BM118," х ",Worksheet!BK118),"")</f>
        <v/>
      </c>
      <c r="P122" s="1" t="str">
        <f>IF(Worksheet!BQ118&lt;&gt;"",CONCATENATE(Worksheet!BQ118," х ",Worksheet!BR118," х ",Worksheet!BP118),"")</f>
        <v/>
      </c>
      <c r="Q122" s="1" t="str">
        <f>IF(Worksheet!BN118&lt;&gt;"",CONCATENATE(Worksheet!BN118," / ",Worksheet!BO118),"")</f>
        <v/>
      </c>
      <c r="R122" t="str">
        <f>IF(Worksheet!BS118&lt;&gt;"",Worksheet!BS118,"")</f>
        <v/>
      </c>
      <c r="S122" t="str">
        <f>IF(Worksheet!AL118&lt;&gt;"",Worksheet!AL118,"")</f>
        <v/>
      </c>
      <c r="T122" s="1" t="str">
        <f>IF(Worksheet!BL118&lt;&gt;"",CONCATENATE(Worksheet!BL118," х ",Worksheet!BM118," х ",Worksheet!BK118),"")</f>
        <v/>
      </c>
      <c r="U122" s="1" t="str">
        <f>IF(Worksheet!BQ118&lt;&gt;"",CONCATENATE(Worksheet!BQ118," х ",Worksheet!BR118," х ",Worksheet!BP118),"")</f>
        <v/>
      </c>
      <c r="V122" s="1" t="str">
        <f>IF(Worksheet!BN118&lt;&gt;"",CONCATENATE(Worksheet!BN118," / ",Worksheet!BO118),"")</f>
        <v/>
      </c>
      <c r="W122" s="6"/>
      <c r="X122" s="7">
        <f>IF(Worksheet!AN118&lt;&gt;"",Worksheet!AN118,"")</f>
        <v>6.35</v>
      </c>
      <c r="Y122" s="7">
        <f>IF(Worksheet!AO118&lt;&gt;"",Worksheet!AO118,"")</f>
        <v>9.52</v>
      </c>
      <c r="Z122" s="17">
        <f>IF(Worksheet!Q118&lt;&gt;"",Worksheet!Q118,"")</f>
        <v>20</v>
      </c>
      <c r="AA122" s="17">
        <f>IF(Worksheet!R118&lt;&gt;"",Worksheet!R118,"")</f>
        <v>15</v>
      </c>
      <c r="AB122" t="str">
        <f>IF(Worksheet!X118&lt;&gt;"",CONCATENATE("от ",Worksheet!X118," до +",Worksheet!Y118),"")</f>
        <v/>
      </c>
      <c r="AC122" t="str">
        <f>IF(Worksheet!Z118&lt;&gt;"",CONCATENATE("от ",Worksheet!Z118," до +",Worksheet!AA118),"")</f>
        <v/>
      </c>
      <c r="AD122" s="6" t="s">
        <v>5172</v>
      </c>
      <c r="AE122" s="17"/>
    </row>
    <row r="123" spans="1:31" x14ac:dyDescent="0.25">
      <c r="A123" s="17" t="str">
        <f>IF(Worksheet!B119&lt;&gt;"",Worksheet!B119,"")</f>
        <v>FUJITSU</v>
      </c>
      <c r="B123" t="str">
        <f>Worksheet!E119</f>
        <v>Кассетные</v>
      </c>
      <c r="C123">
        <f>IF(Worksheet!M119&lt;&gt;"",Worksheet!M119,"")</f>
        <v>5</v>
      </c>
      <c r="D123">
        <f t="shared" si="4"/>
        <v>50</v>
      </c>
      <c r="E123" t="str">
        <f>IF(Worksheet!L119&lt;&gt;"",IF(Worksheet!L119="Y","да","нет"),"")</f>
        <v>да</v>
      </c>
      <c r="F123">
        <f>IF(Worksheet!N119&lt;&gt;"",Worksheet!N119,"")</f>
        <v>5</v>
      </c>
      <c r="G123">
        <f>IF(Worksheet!O119&lt;&gt;"",Worksheet!O119,"")</f>
        <v>3.9E-2</v>
      </c>
      <c r="H123">
        <f>IF(Worksheet!P119&lt;&gt;"",Worksheet!P119,"")</f>
        <v>3.9E-2</v>
      </c>
      <c r="I123" s="6"/>
      <c r="J123" s="6"/>
      <c r="K123" t="str">
        <f>IF(Worksheet!BI119&lt;&gt;"",Worksheet!BI119,"")</f>
        <v>1 / 230 / 50</v>
      </c>
      <c r="L123" t="str">
        <f>IF(Worksheet!AU119&lt;&gt;"",Worksheet!AU119,"")</f>
        <v/>
      </c>
      <c r="M123" s="6"/>
      <c r="N123" s="6"/>
      <c r="O123" s="1" t="str">
        <f>IF(Worksheet!BL119&lt;&gt;"",CONCATENATE(Worksheet!BL119," х ",Worksheet!BM119," х ",Worksheet!BK119),"")</f>
        <v/>
      </c>
      <c r="P123" s="1" t="str">
        <f>IF(Worksheet!BQ119&lt;&gt;"",CONCATENATE(Worksheet!BQ119," х ",Worksheet!BR119," х ",Worksheet!BP119),"")</f>
        <v/>
      </c>
      <c r="Q123" s="1" t="str">
        <f>IF(Worksheet!BN119&lt;&gt;"",CONCATENATE(Worksheet!BN119," / ",Worksheet!BO119),"")</f>
        <v/>
      </c>
      <c r="R123" t="str">
        <f>IF(Worksheet!BS119&lt;&gt;"",Worksheet!BS119,"")</f>
        <v/>
      </c>
      <c r="S123" t="str">
        <f>IF(Worksheet!AL119&lt;&gt;"",Worksheet!AL119,"")</f>
        <v/>
      </c>
      <c r="T123" s="1" t="str">
        <f>IF(Worksheet!BL119&lt;&gt;"",CONCATENATE(Worksheet!BL119," х ",Worksheet!BM119," х ",Worksheet!BK119),"")</f>
        <v/>
      </c>
      <c r="U123" s="1" t="str">
        <f>IF(Worksheet!BQ119&lt;&gt;"",CONCATENATE(Worksheet!BQ119," х ",Worksheet!BR119," х ",Worksheet!BP119),"")</f>
        <v/>
      </c>
      <c r="V123" s="1" t="str">
        <f>IF(Worksheet!BN119&lt;&gt;"",CONCATENATE(Worksheet!BN119," / ",Worksheet!BO119),"")</f>
        <v/>
      </c>
      <c r="W123" s="6"/>
      <c r="X123" s="7">
        <f>IF(Worksheet!AN119&lt;&gt;"",Worksheet!AN119,"")</f>
        <v>6.35</v>
      </c>
      <c r="Y123" s="7">
        <f>IF(Worksheet!AO119&lt;&gt;"",Worksheet!AO119,"")</f>
        <v>12.7</v>
      </c>
      <c r="Z123" s="17">
        <f>IF(Worksheet!Q119&lt;&gt;"",Worksheet!Q119,"")</f>
        <v>20</v>
      </c>
      <c r="AA123" s="17">
        <f>IF(Worksheet!R119&lt;&gt;"",Worksheet!R119,"")</f>
        <v>15</v>
      </c>
      <c r="AB123" t="str">
        <f>IF(Worksheet!X119&lt;&gt;"",CONCATENATE("от ",Worksheet!X119," до +",Worksheet!Y119),"")</f>
        <v/>
      </c>
      <c r="AC123" t="str">
        <f>IF(Worksheet!Z119&lt;&gt;"",CONCATENATE("от ",Worksheet!Z119," до +",Worksheet!AA119),"")</f>
        <v/>
      </c>
      <c r="AD123" s="6" t="s">
        <v>5172</v>
      </c>
      <c r="AE123" s="17"/>
    </row>
    <row r="124" spans="1:31" x14ac:dyDescent="0.25">
      <c r="A124" s="17" t="str">
        <f>IF(Worksheet!B120&lt;&gt;"",Worksheet!B120,"")</f>
        <v>FUJITSU</v>
      </c>
      <c r="B124" t="str">
        <f>Worksheet!E120</f>
        <v>Кассетные</v>
      </c>
      <c r="C124">
        <f>IF(Worksheet!M120&lt;&gt;"",Worksheet!M120,"")</f>
        <v>2</v>
      </c>
      <c r="D124">
        <f t="shared" si="4"/>
        <v>20</v>
      </c>
      <c r="E124" t="str">
        <f>IF(Worksheet!L120&lt;&gt;"",IF(Worksheet!L120="Y","да","нет"),"")</f>
        <v>да</v>
      </c>
      <c r="F124">
        <f>IF(Worksheet!N120&lt;&gt;"",Worksheet!N120,"")</f>
        <v>2</v>
      </c>
      <c r="G124">
        <f>IF(Worksheet!O120&lt;&gt;"",Worksheet!O120,"")</f>
        <v>1.7999999999999999E-2</v>
      </c>
      <c r="H124">
        <f>IF(Worksheet!P120&lt;&gt;"",Worksheet!P120,"")</f>
        <v>1.7999999999999999E-2</v>
      </c>
      <c r="I124" s="6"/>
      <c r="J124" s="6"/>
      <c r="K124" t="str">
        <f>IF(Worksheet!BI120&lt;&gt;"",Worksheet!BI120,"")</f>
        <v>1 / 220 / 50</v>
      </c>
      <c r="L124" t="str">
        <f>IF(Worksheet!AU120&lt;&gt;"",Worksheet!AU120,"")</f>
        <v>R410A</v>
      </c>
      <c r="M124" s="6"/>
      <c r="N124" s="6"/>
      <c r="O124" s="1" t="str">
        <f>IF(Worksheet!BL120&lt;&gt;"",CONCATENATE(Worksheet!BL120," х ",Worksheet!BM120," х ",Worksheet!BK120),"")</f>
        <v>570 х 570 х 245</v>
      </c>
      <c r="P124" s="1" t="str">
        <f>IF(Worksheet!BQ120&lt;&gt;"",CONCATENATE(Worksheet!BQ120," х ",Worksheet!BR120," х ",Worksheet!BP120),"")</f>
        <v>730 х 625 х 265</v>
      </c>
      <c r="Q124" s="1" t="str">
        <f>IF(Worksheet!BN120&lt;&gt;"",CONCATENATE(Worksheet!BN120," / ",Worksheet!BO120),"")</f>
        <v>15 / 18</v>
      </c>
      <c r="R124" t="str">
        <f>IF(Worksheet!BS120&lt;&gt;"",Worksheet!BS120,"")</f>
        <v>33/31/29/27</v>
      </c>
      <c r="S124" t="str">
        <f>IF(Worksheet!AL120&lt;&gt;"",Worksheet!AL120,"")</f>
        <v/>
      </c>
      <c r="T124" s="1" t="str">
        <f>IF(Worksheet!BL120&lt;&gt;"",CONCATENATE(Worksheet!BL120," х ",Worksheet!BM120," х ",Worksheet!BK120),"")</f>
        <v>570 х 570 х 245</v>
      </c>
      <c r="U124" s="1" t="str">
        <f>IF(Worksheet!BQ120&lt;&gt;"",CONCATENATE(Worksheet!BQ120," х ",Worksheet!BR120," х ",Worksheet!BP120),"")</f>
        <v>730 х 625 х 265</v>
      </c>
      <c r="V124" s="1" t="str">
        <f>IF(Worksheet!BN120&lt;&gt;"",CONCATENATE(Worksheet!BN120," / ",Worksheet!BO120),"")</f>
        <v>15 / 18</v>
      </c>
      <c r="W124" s="6"/>
      <c r="X124" s="7">
        <f>IF(Worksheet!AN120&lt;&gt;"",Worksheet!AN120,"")</f>
        <v>6.35</v>
      </c>
      <c r="Y124" s="7">
        <f>IF(Worksheet!AO120&lt;&gt;"",Worksheet!AO120,"")</f>
        <v>9.52</v>
      </c>
      <c r="Z124" s="17" t="str">
        <f>IF(Worksheet!Q120&lt;&gt;"",Worksheet!Q120,"")</f>
        <v/>
      </c>
      <c r="AA124" s="17" t="str">
        <f>IF(Worksheet!R120&lt;&gt;"",Worksheet!R120,"")</f>
        <v/>
      </c>
      <c r="AB124" t="str">
        <f>IF(Worksheet!X120&lt;&gt;"",CONCATENATE("от ",Worksheet!X120," до +",Worksheet!Y120),"")</f>
        <v/>
      </c>
      <c r="AC124" t="str">
        <f>IF(Worksheet!Z120&lt;&gt;"",CONCATENATE("от ",Worksheet!Z120," до +",Worksheet!AA120),"")</f>
        <v/>
      </c>
      <c r="AD124" s="6" t="s">
        <v>5172</v>
      </c>
      <c r="AE124" s="17"/>
    </row>
    <row r="125" spans="1:31" x14ac:dyDescent="0.25">
      <c r="A125" s="17" t="str">
        <f>IF(Worksheet!B121&lt;&gt;"",Worksheet!B121,"")</f>
        <v>FUJITSU</v>
      </c>
      <c r="B125" t="str">
        <f>Worksheet!E121</f>
        <v>Кассетные</v>
      </c>
      <c r="C125">
        <f>IF(Worksheet!M121&lt;&gt;"",Worksheet!M121,"")</f>
        <v>5.5</v>
      </c>
      <c r="D125">
        <f t="shared" si="4"/>
        <v>55</v>
      </c>
      <c r="E125" t="str">
        <f>IF(Worksheet!L121&lt;&gt;"",IF(Worksheet!L121="Y","да","нет"),"")</f>
        <v>да</v>
      </c>
      <c r="F125">
        <f>IF(Worksheet!N121&lt;&gt;"",Worksheet!N121,"")</f>
        <v>5.5</v>
      </c>
      <c r="G125">
        <f>IF(Worksheet!O121&lt;&gt;"",Worksheet!O121,"")</f>
        <v>5.5</v>
      </c>
      <c r="H125">
        <f>IF(Worksheet!P121&lt;&gt;"",Worksheet!P121,"")</f>
        <v>5.5</v>
      </c>
      <c r="I125" s="6"/>
      <c r="J125" s="6"/>
      <c r="K125" t="str">
        <f>IF(Worksheet!BI121&lt;&gt;"",Worksheet!BI121,"")</f>
        <v>1 / 230 / 50</v>
      </c>
      <c r="L125" t="str">
        <f>IF(Worksheet!AU121&lt;&gt;"",Worksheet!AU121,"")</f>
        <v/>
      </c>
      <c r="M125" s="6"/>
      <c r="N125" s="6"/>
      <c r="O125" s="1" t="str">
        <f>IF(Worksheet!BL121&lt;&gt;"",CONCATENATE(Worksheet!BL121," х ",Worksheet!BM121," х ",Worksheet!BK121),"")</f>
        <v>570 х 570 х 245</v>
      </c>
      <c r="P125" s="1" t="str">
        <f>IF(Worksheet!BQ121&lt;&gt;"",CONCATENATE(Worksheet!BQ121," х ",Worksheet!BR121," х ",Worksheet!BP121),"")</f>
        <v>730 х 625 х 265</v>
      </c>
      <c r="Q125" s="1" t="str">
        <f>IF(Worksheet!BN121&lt;&gt;"",CONCATENATE(Worksheet!BN121," / ",Worksheet!BO121),"")</f>
        <v>16 / 19</v>
      </c>
      <c r="R125" t="str">
        <f>IF(Worksheet!BS121&lt;&gt;"",Worksheet!BS121,"")</f>
        <v/>
      </c>
      <c r="S125" t="str">
        <f>IF(Worksheet!AL121&lt;&gt;"",Worksheet!AL121,"")</f>
        <v/>
      </c>
      <c r="T125" s="1" t="str">
        <f>IF(Worksheet!BL121&lt;&gt;"",CONCATENATE(Worksheet!BL121," х ",Worksheet!BM121," х ",Worksheet!BK121),"")</f>
        <v>570 х 570 х 245</v>
      </c>
      <c r="U125" s="1" t="str">
        <f>IF(Worksheet!BQ121&lt;&gt;"",CONCATENATE(Worksheet!BQ121," х ",Worksheet!BR121," х ",Worksheet!BP121),"")</f>
        <v>730 х 625 х 265</v>
      </c>
      <c r="V125" s="1" t="str">
        <f>IF(Worksheet!BN121&lt;&gt;"",CONCATENATE(Worksheet!BN121," / ",Worksheet!BO121),"")</f>
        <v>16 / 19</v>
      </c>
      <c r="W125" s="6"/>
      <c r="X125" s="7">
        <f>IF(Worksheet!AN121&lt;&gt;"",Worksheet!AN121,"")</f>
        <v>6.35</v>
      </c>
      <c r="Y125" s="7">
        <f>IF(Worksheet!AO121&lt;&gt;"",Worksheet!AO121,"")</f>
        <v>15.88</v>
      </c>
      <c r="Z125" s="17" t="str">
        <f>IF(Worksheet!Q121&lt;&gt;"",Worksheet!Q121,"")</f>
        <v/>
      </c>
      <c r="AA125" s="17" t="str">
        <f>IF(Worksheet!R121&lt;&gt;"",Worksheet!R121,"")</f>
        <v/>
      </c>
      <c r="AB125" t="str">
        <f>IF(Worksheet!X121&lt;&gt;"",CONCATENATE("от ",Worksheet!X121," до +",Worksheet!Y121),"")</f>
        <v/>
      </c>
      <c r="AC125" t="str">
        <f>IF(Worksheet!Z121&lt;&gt;"",CONCATENATE("от ",Worksheet!Z121," до +",Worksheet!AA121),"")</f>
        <v/>
      </c>
      <c r="AD125" s="6" t="s">
        <v>5172</v>
      </c>
      <c r="AE125" s="17"/>
    </row>
    <row r="126" spans="1:31" x14ac:dyDescent="0.25">
      <c r="A126" s="17" t="str">
        <f>IF(Worksheet!B122&lt;&gt;"",Worksheet!B122,"")</f>
        <v>FUJITSU</v>
      </c>
      <c r="B126" t="str">
        <f>Worksheet!E122</f>
        <v>Напольно-потолочные</v>
      </c>
      <c r="C126">
        <f>IF(Worksheet!M122&lt;&gt;"",Worksheet!M122,"")</f>
        <v>4</v>
      </c>
      <c r="D126">
        <f t="shared" si="4"/>
        <v>40</v>
      </c>
      <c r="E126" t="str">
        <f>IF(Worksheet!L122&lt;&gt;"",IF(Worksheet!L122="Y","да","нет"),"")</f>
        <v>да</v>
      </c>
      <c r="F126">
        <f>IF(Worksheet!N122&lt;&gt;"",Worksheet!N122,"")</f>
        <v>4</v>
      </c>
      <c r="G126">
        <f>IF(Worksheet!O122&lt;&gt;"",Worksheet!O122,"")</f>
        <v>2.5999999999999999E-2</v>
      </c>
      <c r="H126">
        <f>IF(Worksheet!P122&lt;&gt;"",Worksheet!P122,"")</f>
        <v>2.5999999999999999E-2</v>
      </c>
      <c r="I126" s="6"/>
      <c r="J126" s="6"/>
      <c r="K126" t="str">
        <f>IF(Worksheet!BI122&lt;&gt;"",Worksheet!BI122,"")</f>
        <v>1 / 230 / 50</v>
      </c>
      <c r="L126" t="str">
        <f>IF(Worksheet!AU122&lt;&gt;"",Worksheet!AU122,"")</f>
        <v/>
      </c>
      <c r="M126" s="6"/>
      <c r="N126" s="6"/>
      <c r="O126" s="1" t="str">
        <f>IF(Worksheet!BL122&lt;&gt;"",CONCATENATE(Worksheet!BL122," х ",Worksheet!BM122," х ",Worksheet!BK122),"")</f>
        <v>990 х 199 х 655</v>
      </c>
      <c r="P126" s="1" t="str">
        <f>IF(Worksheet!BQ122&lt;&gt;"",CONCATENATE(Worksheet!BQ122," х ",Worksheet!BR122," х ",Worksheet!BP122),"")</f>
        <v>1150 х 320 х 790</v>
      </c>
      <c r="Q126" s="1" t="str">
        <f>IF(Worksheet!BN122&lt;&gt;"",CONCATENATE(Worksheet!BN122," / ",Worksheet!BO122),"")</f>
        <v>27 / 36</v>
      </c>
      <c r="R126" t="str">
        <f>IF(Worksheet!BS122&lt;&gt;"",Worksheet!BS122,"")</f>
        <v/>
      </c>
      <c r="S126" t="str">
        <f>IF(Worksheet!AL122&lt;&gt;"",Worksheet!AL122,"")</f>
        <v/>
      </c>
      <c r="T126" s="1" t="str">
        <f>IF(Worksheet!BL122&lt;&gt;"",CONCATENATE(Worksheet!BL122," х ",Worksheet!BM122," х ",Worksheet!BK122),"")</f>
        <v>990 х 199 х 655</v>
      </c>
      <c r="U126" s="1" t="str">
        <f>IF(Worksheet!BQ122&lt;&gt;"",CONCATENATE(Worksheet!BQ122," х ",Worksheet!BR122," х ",Worksheet!BP122),"")</f>
        <v>1150 х 320 х 790</v>
      </c>
      <c r="V126" s="1" t="str">
        <f>IF(Worksheet!BN122&lt;&gt;"",CONCATENATE(Worksheet!BN122," / ",Worksheet!BO122),"")</f>
        <v>27 / 36</v>
      </c>
      <c r="W126" s="6"/>
      <c r="X126" s="7">
        <f>IF(Worksheet!AN122&lt;&gt;"",Worksheet!AN122,"")</f>
        <v>6.35</v>
      </c>
      <c r="Y126" s="7">
        <f>IF(Worksheet!AO122&lt;&gt;"",Worksheet!AO122,"")</f>
        <v>12.7</v>
      </c>
      <c r="Z126" s="17" t="str">
        <f>IF(Worksheet!Q122&lt;&gt;"",Worksheet!Q122,"")</f>
        <v/>
      </c>
      <c r="AA126" s="17" t="str">
        <f>IF(Worksheet!R122&lt;&gt;"",Worksheet!R122,"")</f>
        <v/>
      </c>
      <c r="AB126" t="str">
        <f>IF(Worksheet!X122&lt;&gt;"",CONCATENATE("от ",Worksheet!X122," до +",Worksheet!Y122),"")</f>
        <v/>
      </c>
      <c r="AC126" t="str">
        <f>IF(Worksheet!Z122&lt;&gt;"",CONCATENATE("от ",Worksheet!Z122," до +",Worksheet!AA122),"")</f>
        <v/>
      </c>
      <c r="AD126" s="6" t="s">
        <v>5172</v>
      </c>
      <c r="AE126" s="17"/>
    </row>
    <row r="127" spans="1:31" x14ac:dyDescent="0.25">
      <c r="A127" s="17" t="str">
        <f>IF(Worksheet!B123&lt;&gt;"",Worksheet!B123,"")</f>
        <v>FUJITSU</v>
      </c>
      <c r="B127" t="str">
        <f>Worksheet!E123</f>
        <v>Напольно-потолочные</v>
      </c>
      <c r="C127">
        <f>IF(Worksheet!M123&lt;&gt;"",Worksheet!M123,"")</f>
        <v>5</v>
      </c>
      <c r="D127">
        <f t="shared" si="4"/>
        <v>50</v>
      </c>
      <c r="E127" t="str">
        <f>IF(Worksheet!L123&lt;&gt;"",IF(Worksheet!L123="Y","да","нет"),"")</f>
        <v>да</v>
      </c>
      <c r="F127">
        <f>IF(Worksheet!N123&lt;&gt;"",Worksheet!N123,"")</f>
        <v>5</v>
      </c>
      <c r="G127">
        <f>IF(Worksheet!O123&lt;&gt;"",Worksheet!O123,"")</f>
        <v>4.7E-2</v>
      </c>
      <c r="H127">
        <f>IF(Worksheet!P123&lt;&gt;"",Worksheet!P123,"")</f>
        <v>4.7E-2</v>
      </c>
      <c r="I127" s="6"/>
      <c r="J127" s="6"/>
      <c r="K127" t="str">
        <f>IF(Worksheet!BI123&lt;&gt;"",Worksheet!BI123,"")</f>
        <v>1 / 230 / 50</v>
      </c>
      <c r="L127" t="str">
        <f>IF(Worksheet!AU123&lt;&gt;"",Worksheet!AU123,"")</f>
        <v/>
      </c>
      <c r="M127" s="6"/>
      <c r="N127" s="6"/>
      <c r="O127" s="1" t="str">
        <f>IF(Worksheet!BL123&lt;&gt;"",CONCATENATE(Worksheet!BL123," х ",Worksheet!BM123," х ",Worksheet!BK123),"")</f>
        <v>990 х 655 х 199</v>
      </c>
      <c r="P127" s="1" t="str">
        <f>IF(Worksheet!BQ123&lt;&gt;"",CONCATENATE(Worksheet!BQ123," х ",Worksheet!BR123," х ",Worksheet!BP123),"")</f>
        <v>1150 х 790 х 320</v>
      </c>
      <c r="Q127" s="1" t="str">
        <f>IF(Worksheet!BN123&lt;&gt;"",CONCATENATE(Worksheet!BN123," / ",Worksheet!BO123),"")</f>
        <v>27 / 36</v>
      </c>
      <c r="R127" t="str">
        <f>IF(Worksheet!BS123&lt;&gt;"",Worksheet!BS123,"")</f>
        <v/>
      </c>
      <c r="S127" t="str">
        <f>IF(Worksheet!AL123&lt;&gt;"",Worksheet!AL123,"")</f>
        <v/>
      </c>
      <c r="T127" s="1" t="str">
        <f>IF(Worksheet!BL123&lt;&gt;"",CONCATENATE(Worksheet!BL123," х ",Worksheet!BM123," х ",Worksheet!BK123),"")</f>
        <v>990 х 655 х 199</v>
      </c>
      <c r="U127" s="1" t="str">
        <f>IF(Worksheet!BQ123&lt;&gt;"",CONCATENATE(Worksheet!BQ123," х ",Worksheet!BR123," х ",Worksheet!BP123),"")</f>
        <v>1150 х 790 х 320</v>
      </c>
      <c r="V127" s="1" t="str">
        <f>IF(Worksheet!BN123&lt;&gt;"",CONCATENATE(Worksheet!BN123," / ",Worksheet!BO123),"")</f>
        <v>27 / 36</v>
      </c>
      <c r="W127" s="6"/>
      <c r="X127" s="7">
        <f>IF(Worksheet!AN123&lt;&gt;"",Worksheet!AN123,"")</f>
        <v>6.35</v>
      </c>
      <c r="Y127" s="7">
        <f>IF(Worksheet!AO123&lt;&gt;"",Worksheet!AO123,"")</f>
        <v>12.7</v>
      </c>
      <c r="Z127" s="17">
        <f>IF(Worksheet!Q123&lt;&gt;"",Worksheet!Q123,"")</f>
        <v>25</v>
      </c>
      <c r="AA127" s="17">
        <f>IF(Worksheet!R123&lt;&gt;"",Worksheet!R123,"")</f>
        <v>15</v>
      </c>
      <c r="AB127" t="str">
        <f>IF(Worksheet!X123&lt;&gt;"",CONCATENATE("от ",Worksheet!X123," до +",Worksheet!Y123),"")</f>
        <v/>
      </c>
      <c r="AC127" t="str">
        <f>IF(Worksheet!Z123&lt;&gt;"",CONCATENATE("от ",Worksheet!Z123," до +",Worksheet!AA123),"")</f>
        <v/>
      </c>
      <c r="AD127" s="6" t="s">
        <v>5172</v>
      </c>
      <c r="AE127" s="17"/>
    </row>
    <row r="128" spans="1:31" x14ac:dyDescent="0.25">
      <c r="A128" s="17" t="str">
        <f>IF(Worksheet!B124&lt;&gt;"",Worksheet!B124,"")</f>
        <v>FUJITSU</v>
      </c>
      <c r="B128" t="str">
        <f>Worksheet!E124</f>
        <v>Напольно-потолочные</v>
      </c>
      <c r="C128">
        <f>IF(Worksheet!M124&lt;&gt;"",Worksheet!M124,"")</f>
        <v>6.25</v>
      </c>
      <c r="D128">
        <f t="shared" si="4"/>
        <v>63</v>
      </c>
      <c r="E128" t="str">
        <f>IF(Worksheet!L124&lt;&gt;"",IF(Worksheet!L124="Y","да","нет"),"")</f>
        <v>да</v>
      </c>
      <c r="F128">
        <f>IF(Worksheet!N124&lt;&gt;"",Worksheet!N124,"")</f>
        <v>7</v>
      </c>
      <c r="G128">
        <f>IF(Worksheet!O124&lt;&gt;"",Worksheet!O124,"")</f>
        <v>0.08</v>
      </c>
      <c r="H128">
        <f>IF(Worksheet!P124&lt;&gt;"",Worksheet!P124,"")</f>
        <v>0.08</v>
      </c>
      <c r="I128" s="6"/>
      <c r="J128" s="6"/>
      <c r="K128" t="str">
        <f>IF(Worksheet!BI124&lt;&gt;"",Worksheet!BI124,"")</f>
        <v>1 / 230 / 50</v>
      </c>
      <c r="L128" t="str">
        <f>IF(Worksheet!AU124&lt;&gt;"",Worksheet!AU124,"")</f>
        <v/>
      </c>
      <c r="M128" s="6"/>
      <c r="N128" s="6"/>
      <c r="O128" s="1" t="str">
        <f>IF(Worksheet!BL124&lt;&gt;"",CONCATENATE(Worksheet!BL124," х ",Worksheet!BM124," х ",Worksheet!BK124),"")</f>
        <v>655 х 990 х 199</v>
      </c>
      <c r="P128" s="1" t="str">
        <f>IF(Worksheet!BQ124&lt;&gt;"",CONCATENATE(Worksheet!BQ124," х ",Worksheet!BR124," х ",Worksheet!BP124),"")</f>
        <v>655 х 990 х 199</v>
      </c>
      <c r="Q128" s="1" t="str">
        <f>IF(Worksheet!BN124&lt;&gt;"",CONCATENATE(Worksheet!BN124," / ",Worksheet!BO124),"")</f>
        <v>27 / 27</v>
      </c>
      <c r="R128" t="str">
        <f>IF(Worksheet!BS124&lt;&gt;"",Worksheet!BS124,"")</f>
        <v/>
      </c>
      <c r="S128" t="str">
        <f>IF(Worksheet!AL124&lt;&gt;"",Worksheet!AL124,"")</f>
        <v/>
      </c>
      <c r="T128" s="1" t="str">
        <f>IF(Worksheet!BL124&lt;&gt;"",CONCATENATE(Worksheet!BL124," х ",Worksheet!BM124," х ",Worksheet!BK124),"")</f>
        <v>655 х 990 х 199</v>
      </c>
      <c r="U128" s="1" t="str">
        <f>IF(Worksheet!BQ124&lt;&gt;"",CONCATENATE(Worksheet!BQ124," х ",Worksheet!BR124," х ",Worksheet!BP124),"")</f>
        <v>655 х 990 х 199</v>
      </c>
      <c r="V128" s="1" t="str">
        <f>IF(Worksheet!BN124&lt;&gt;"",CONCATENATE(Worksheet!BN124," / ",Worksheet!BO124),"")</f>
        <v>27 / 27</v>
      </c>
      <c r="W128" s="6"/>
      <c r="X128" s="7">
        <f>IF(Worksheet!AN124&lt;&gt;"",Worksheet!AN124,"")</f>
        <v>6.35</v>
      </c>
      <c r="Y128" s="7">
        <f>IF(Worksheet!AO124&lt;&gt;"",Worksheet!AO124,"")</f>
        <v>15.88</v>
      </c>
      <c r="Z128" s="17" t="str">
        <f>IF(Worksheet!Q124&lt;&gt;"",Worksheet!Q124,"")</f>
        <v/>
      </c>
      <c r="AA128" s="17" t="str">
        <f>IF(Worksheet!R124&lt;&gt;"",Worksheet!R124,"")</f>
        <v/>
      </c>
      <c r="AB128" t="str">
        <f>IF(Worksheet!X124&lt;&gt;"",CONCATENATE("от ",Worksheet!X124," до +",Worksheet!Y124),"")</f>
        <v/>
      </c>
      <c r="AC128" t="str">
        <f>IF(Worksheet!Z124&lt;&gt;"",CONCATENATE("от ",Worksheet!Z124," до +",Worksheet!AA124),"")</f>
        <v/>
      </c>
      <c r="AD128" s="6" t="s">
        <v>5172</v>
      </c>
      <c r="AE128" s="17"/>
    </row>
    <row r="129" spans="1:31" x14ac:dyDescent="0.25">
      <c r="A129" s="17" t="str">
        <f>IF(Worksheet!B125&lt;&gt;"",Worksheet!B125,"")</f>
        <v>FUJITSU</v>
      </c>
      <c r="B129" t="str">
        <f>Worksheet!E125</f>
        <v>Напольно-потолочные</v>
      </c>
      <c r="C129">
        <f>IF(Worksheet!M125&lt;&gt;"",Worksheet!M125,"")</f>
        <v>6.8</v>
      </c>
      <c r="D129">
        <f t="shared" si="4"/>
        <v>68</v>
      </c>
      <c r="E129" t="str">
        <f>IF(Worksheet!L125&lt;&gt;"",IF(Worksheet!L125="Y","да","нет"),"")</f>
        <v>да</v>
      </c>
      <c r="F129">
        <f>IF(Worksheet!N125&lt;&gt;"",Worksheet!N125,"")</f>
        <v>8</v>
      </c>
      <c r="G129">
        <f>IF(Worksheet!O125&lt;&gt;"",Worksheet!O125,"")</f>
        <v>2.21</v>
      </c>
      <c r="H129">
        <f>IF(Worksheet!P125&lt;&gt;"",Worksheet!P125,"")</f>
        <v>2.2599999999999998</v>
      </c>
      <c r="I129" s="6"/>
      <c r="J129" s="6"/>
      <c r="K129" t="str">
        <f>IF(Worksheet!BI125&lt;&gt;"",Worksheet!BI125,"")</f>
        <v>1 / 230 / 50</v>
      </c>
      <c r="L129" t="str">
        <f>IF(Worksheet!AU125&lt;&gt;"",Worksheet!AU125,"")</f>
        <v/>
      </c>
      <c r="M129" s="6"/>
      <c r="N129" s="6"/>
      <c r="O129" s="1" t="str">
        <f>IF(Worksheet!BL125&lt;&gt;"",CONCATENATE(Worksheet!BL125," х ",Worksheet!BM125," х ",Worksheet!BK125),"")</f>
        <v>990 х 655 х 199</v>
      </c>
      <c r="P129" s="1" t="str">
        <f>IF(Worksheet!BQ125&lt;&gt;"",CONCATENATE(Worksheet!BQ125," х ",Worksheet!BR125," х ",Worksheet!BP125),"")</f>
        <v>1150 х 790 х 320</v>
      </c>
      <c r="Q129" s="1" t="str">
        <f>IF(Worksheet!BN125&lt;&gt;"",CONCATENATE(Worksheet!BN125," / ",Worksheet!BO125),"")</f>
        <v>27 / 36</v>
      </c>
      <c r="R129" t="str">
        <f>IF(Worksheet!BS125&lt;&gt;"",Worksheet!BS125,"")</f>
        <v/>
      </c>
      <c r="S129" t="str">
        <f>IF(Worksheet!AL125&lt;&gt;"",Worksheet!AL125,"")</f>
        <v/>
      </c>
      <c r="T129" s="1" t="str">
        <f>IF(Worksheet!BL125&lt;&gt;"",CONCATENATE(Worksheet!BL125," х ",Worksheet!BM125," х ",Worksheet!BK125),"")</f>
        <v>990 х 655 х 199</v>
      </c>
      <c r="U129" s="1" t="str">
        <f>IF(Worksheet!BQ125&lt;&gt;"",CONCATENATE(Worksheet!BQ125," х ",Worksheet!BR125," х ",Worksheet!BP125),"")</f>
        <v>1150 х 790 х 320</v>
      </c>
      <c r="V129" s="1" t="str">
        <f>IF(Worksheet!BN125&lt;&gt;"",CONCATENATE(Worksheet!BN125," / ",Worksheet!BO125),"")</f>
        <v>27 / 36</v>
      </c>
      <c r="W129" s="6"/>
      <c r="X129" s="7">
        <f>IF(Worksheet!AN125&lt;&gt;"",Worksheet!AN125,"")</f>
        <v>6.35</v>
      </c>
      <c r="Y129" s="7">
        <f>IF(Worksheet!AO125&lt;&gt;"",Worksheet!AO125,"")</f>
        <v>15.88</v>
      </c>
      <c r="Z129" s="17">
        <f>IF(Worksheet!Q125&lt;&gt;"",Worksheet!Q125,"")</f>
        <v>30</v>
      </c>
      <c r="AA129" s="17">
        <f>IF(Worksheet!R125&lt;&gt;"",Worksheet!R125,"")</f>
        <v>20</v>
      </c>
      <c r="AB129" t="str">
        <f>IF(Worksheet!X125&lt;&gt;"",CONCATENATE("от ",Worksheet!X125," до +",Worksheet!Y125),"")</f>
        <v/>
      </c>
      <c r="AC129" t="str">
        <f>IF(Worksheet!Z125&lt;&gt;"",CONCATENATE("от ",Worksheet!Z125," до +",Worksheet!AA125),"")</f>
        <v/>
      </c>
      <c r="AD129" s="6" t="s">
        <v>5172</v>
      </c>
      <c r="AE129" s="17"/>
    </row>
    <row r="130" spans="1:31" x14ac:dyDescent="0.25">
      <c r="A130" s="17" t="str">
        <f>IF(Worksheet!B126&lt;&gt;"",Worksheet!B126,"")</f>
        <v>FUJITSU</v>
      </c>
      <c r="B130" t="str">
        <f>Worksheet!E126</f>
        <v>Напольно-потолочные</v>
      </c>
      <c r="C130">
        <f>IF(Worksheet!M126&lt;&gt;"",Worksheet!M126,"")</f>
        <v>2.5</v>
      </c>
      <c r="D130">
        <f t="shared" si="4"/>
        <v>25</v>
      </c>
      <c r="E130" t="str">
        <f>IF(Worksheet!L126&lt;&gt;"",IF(Worksheet!L126="Y","да","нет"),"")</f>
        <v>да</v>
      </c>
      <c r="F130">
        <f>IF(Worksheet!N126&lt;&gt;"",Worksheet!N126,"")</f>
        <v>2.5</v>
      </c>
      <c r="G130">
        <f>IF(Worksheet!O126&lt;&gt;"",Worksheet!O126,"")</f>
        <v>1.6E-2</v>
      </c>
      <c r="H130">
        <f>IF(Worksheet!P126&lt;&gt;"",Worksheet!P126,"")</f>
        <v>1.6E-2</v>
      </c>
      <c r="I130" s="6"/>
      <c r="J130" s="6"/>
      <c r="K130" t="str">
        <f>IF(Worksheet!BI126&lt;&gt;"",Worksheet!BI126,"")</f>
        <v>1 / 220 / 50</v>
      </c>
      <c r="L130" t="str">
        <f>IF(Worksheet!AU126&lt;&gt;"",Worksheet!AU126,"")</f>
        <v>R410A</v>
      </c>
      <c r="M130" s="6"/>
      <c r="N130" s="6"/>
      <c r="O130" s="1" t="str">
        <f>IF(Worksheet!BL126&lt;&gt;"",CONCATENATE(Worksheet!BL126," х ",Worksheet!BM126," х ",Worksheet!BK126),"")</f>
        <v>740 х 200 х 600</v>
      </c>
      <c r="P130" s="1" t="str">
        <f>IF(Worksheet!BQ126&lt;&gt;"",CONCATENATE(Worksheet!BQ126," х ",Worksheet!BR126," х ",Worksheet!BP126),"")</f>
        <v>820 х 310 х 700</v>
      </c>
      <c r="Q130" s="1" t="str">
        <f>IF(Worksheet!BN126&lt;&gt;"",CONCATENATE(Worksheet!BN126," / ",Worksheet!BO126),"")</f>
        <v>14 / 17</v>
      </c>
      <c r="R130" t="str">
        <f>IF(Worksheet!BS126&lt;&gt;"",Worksheet!BS126,"")</f>
        <v/>
      </c>
      <c r="S130" t="str">
        <f>IF(Worksheet!AL126&lt;&gt;"",Worksheet!AL126,"")</f>
        <v/>
      </c>
      <c r="T130" s="1" t="str">
        <f>IF(Worksheet!BL126&lt;&gt;"",CONCATENATE(Worksheet!BL126," х ",Worksheet!BM126," х ",Worksheet!BK126),"")</f>
        <v>740 х 200 х 600</v>
      </c>
      <c r="U130" s="1" t="str">
        <f>IF(Worksheet!BQ126&lt;&gt;"",CONCATENATE(Worksheet!BQ126," х ",Worksheet!BR126," х ",Worksheet!BP126),"")</f>
        <v>820 х 310 х 700</v>
      </c>
      <c r="V130" s="1" t="str">
        <f>IF(Worksheet!BN126&lt;&gt;"",CONCATENATE(Worksheet!BN126," / ",Worksheet!BO126),"")</f>
        <v>14 / 17</v>
      </c>
      <c r="W130" s="6"/>
      <c r="X130" s="7">
        <f>IF(Worksheet!AN126&lt;&gt;"",Worksheet!AN126,"")</f>
        <v>6.35</v>
      </c>
      <c r="Y130" s="7">
        <f>IF(Worksheet!AO126&lt;&gt;"",Worksheet!AO126,"")</f>
        <v>9.52</v>
      </c>
      <c r="Z130" s="17" t="str">
        <f>IF(Worksheet!Q126&lt;&gt;"",Worksheet!Q126,"")</f>
        <v/>
      </c>
      <c r="AA130" s="17" t="str">
        <f>IF(Worksheet!R126&lt;&gt;"",Worksheet!R126,"")</f>
        <v/>
      </c>
      <c r="AB130" t="str">
        <f>IF(Worksheet!X126&lt;&gt;"",CONCATENATE("от ",Worksheet!X126," до +",Worksheet!Y126),"")</f>
        <v/>
      </c>
      <c r="AC130" t="str">
        <f>IF(Worksheet!Z126&lt;&gt;"",CONCATENATE("от ",Worksheet!Z126," до +",Worksheet!AA126),"")</f>
        <v/>
      </c>
      <c r="AD130" s="6" t="s">
        <v>5172</v>
      </c>
      <c r="AE130" s="17"/>
    </row>
    <row r="131" spans="1:31" x14ac:dyDescent="0.25">
      <c r="A131" s="17" t="str">
        <f>IF(Worksheet!B127&lt;&gt;"",Worksheet!B127,"")</f>
        <v>FUJITSU</v>
      </c>
      <c r="B131" t="str">
        <f>Worksheet!E127</f>
        <v>Напольно-потолочные</v>
      </c>
      <c r="C131">
        <f>IF(Worksheet!M127&lt;&gt;"",Worksheet!M127,"")</f>
        <v>3.5</v>
      </c>
      <c r="D131">
        <f t="shared" si="4"/>
        <v>35</v>
      </c>
      <c r="E131" t="str">
        <f>IF(Worksheet!L127&lt;&gt;"",IF(Worksheet!L127="Y","да","нет"),"")</f>
        <v>да</v>
      </c>
      <c r="F131">
        <f>IF(Worksheet!N127&lt;&gt;"",Worksheet!N127,"")</f>
        <v>3.5</v>
      </c>
      <c r="G131">
        <f>IF(Worksheet!O127&lt;&gt;"",Worksheet!O127,"")</f>
        <v>0.02</v>
      </c>
      <c r="H131">
        <f>IF(Worksheet!P127&lt;&gt;"",Worksheet!P127,"")</f>
        <v>0.02</v>
      </c>
      <c r="I131" s="6"/>
      <c r="J131" s="6"/>
      <c r="K131" t="str">
        <f>IF(Worksheet!BI127&lt;&gt;"",Worksheet!BI127,"")</f>
        <v>1 / 220 / 50</v>
      </c>
      <c r="L131" t="str">
        <f>IF(Worksheet!AU127&lt;&gt;"",Worksheet!AU127,"")</f>
        <v>R410A</v>
      </c>
      <c r="M131" s="6"/>
      <c r="N131" s="6"/>
      <c r="O131" s="1" t="str">
        <f>IF(Worksheet!BL127&lt;&gt;"",CONCATENATE(Worksheet!BL127," х ",Worksheet!BM127," х ",Worksheet!BK127),"")</f>
        <v>740 х 200 х 600</v>
      </c>
      <c r="P131" s="1" t="str">
        <f>IF(Worksheet!BQ127&lt;&gt;"",CONCATENATE(Worksheet!BQ127," х ",Worksheet!BR127," х ",Worksheet!BP127),"")</f>
        <v>820 х 310 х 700</v>
      </c>
      <c r="Q131" s="1" t="str">
        <f>IF(Worksheet!BN127&lt;&gt;"",CONCATENATE(Worksheet!BN127," / ",Worksheet!BO127),"")</f>
        <v>14 / 17</v>
      </c>
      <c r="R131" t="str">
        <f>IF(Worksheet!BS127&lt;&gt;"",Worksheet!BS127,"")</f>
        <v/>
      </c>
      <c r="S131" t="str">
        <f>IF(Worksheet!AL127&lt;&gt;"",Worksheet!AL127,"")</f>
        <v/>
      </c>
      <c r="T131" s="1" t="str">
        <f>IF(Worksheet!BL127&lt;&gt;"",CONCATENATE(Worksheet!BL127," х ",Worksheet!BM127," х ",Worksheet!BK127),"")</f>
        <v>740 х 200 х 600</v>
      </c>
      <c r="U131" s="1" t="str">
        <f>IF(Worksheet!BQ127&lt;&gt;"",CONCATENATE(Worksheet!BQ127," х ",Worksheet!BR127," х ",Worksheet!BP127),"")</f>
        <v>820 х 310 х 700</v>
      </c>
      <c r="V131" s="1" t="str">
        <f>IF(Worksheet!BN127&lt;&gt;"",CONCATENATE(Worksheet!BN127," / ",Worksheet!BO127),"")</f>
        <v>14 / 17</v>
      </c>
      <c r="W131" s="6"/>
      <c r="X131" s="7">
        <f>IF(Worksheet!AN127&lt;&gt;"",Worksheet!AN127,"")</f>
        <v>6.35</v>
      </c>
      <c r="Y131" s="7">
        <f>IF(Worksheet!AO127&lt;&gt;"",Worksheet!AO127,"")</f>
        <v>9.52</v>
      </c>
      <c r="Z131" s="17" t="str">
        <f>IF(Worksheet!Q127&lt;&gt;"",Worksheet!Q127,"")</f>
        <v/>
      </c>
      <c r="AA131" s="17" t="str">
        <f>IF(Worksheet!R127&lt;&gt;"",Worksheet!R127,"")</f>
        <v/>
      </c>
      <c r="AB131" t="str">
        <f>IF(Worksheet!X127&lt;&gt;"",CONCATENATE("от ",Worksheet!X127," до +",Worksheet!Y127),"")</f>
        <v/>
      </c>
      <c r="AC131" t="str">
        <f>IF(Worksheet!Z127&lt;&gt;"",CONCATENATE("от ",Worksheet!Z127," до +",Worksheet!AA127),"")</f>
        <v/>
      </c>
      <c r="AD131" s="6" t="s">
        <v>5172</v>
      </c>
      <c r="AE131" s="17"/>
    </row>
    <row r="132" spans="1:31" x14ac:dyDescent="0.25">
      <c r="A132" s="17" t="str">
        <f>IF(Worksheet!B128&lt;&gt;"",Worksheet!B128,"")</f>
        <v>FUJITSU</v>
      </c>
      <c r="B132" t="str">
        <f>Worksheet!E128</f>
        <v>Напольно-потолочные</v>
      </c>
      <c r="C132">
        <f>IF(Worksheet!M128&lt;&gt;"",Worksheet!M128,"")</f>
        <v>4</v>
      </c>
      <c r="D132">
        <f t="shared" si="4"/>
        <v>40</v>
      </c>
      <c r="E132" t="str">
        <f>IF(Worksheet!L128&lt;&gt;"",IF(Worksheet!L128="Y","да","нет"),"")</f>
        <v>да</v>
      </c>
      <c r="F132">
        <f>IF(Worksheet!N128&lt;&gt;"",Worksheet!N128,"")</f>
        <v>4</v>
      </c>
      <c r="G132">
        <f>IF(Worksheet!O128&lt;&gt;"",Worksheet!O128,"")</f>
        <v>2.3E-2</v>
      </c>
      <c r="H132">
        <f>IF(Worksheet!P128&lt;&gt;"",Worksheet!P128,"")</f>
        <v>2.3E-2</v>
      </c>
      <c r="I132" s="6"/>
      <c r="J132" s="6"/>
      <c r="K132" t="str">
        <f>IF(Worksheet!BI128&lt;&gt;"",Worksheet!BI128,"")</f>
        <v>1 / 230 / 50</v>
      </c>
      <c r="L132" t="str">
        <f>IF(Worksheet!AU128&lt;&gt;"",Worksheet!AU128,"")</f>
        <v>R410A</v>
      </c>
      <c r="M132" s="6"/>
      <c r="N132" s="6"/>
      <c r="O132" s="1" t="str">
        <f>IF(Worksheet!BL128&lt;&gt;"",CONCATENATE(Worksheet!BL128," х ",Worksheet!BM128," х ",Worksheet!BK128),"")</f>
        <v>740 х 200 х 600</v>
      </c>
      <c r="P132" s="1" t="str">
        <f>IF(Worksheet!BQ128&lt;&gt;"",CONCATENATE(Worksheet!BQ128," х ",Worksheet!BR128," х ",Worksheet!BP128),"")</f>
        <v>820 х 310 х 700</v>
      </c>
      <c r="Q132" s="1" t="str">
        <f>IF(Worksheet!BN128&lt;&gt;"",CONCATENATE(Worksheet!BN128," / ",Worksheet!BO128),"")</f>
        <v>14 / 17</v>
      </c>
      <c r="R132" t="str">
        <f>IF(Worksheet!BS128&lt;&gt;"",Worksheet!BS128,"")</f>
        <v/>
      </c>
      <c r="S132" t="str">
        <f>IF(Worksheet!AL128&lt;&gt;"",Worksheet!AL128,"")</f>
        <v/>
      </c>
      <c r="T132" s="1" t="str">
        <f>IF(Worksheet!BL128&lt;&gt;"",CONCATENATE(Worksheet!BL128," х ",Worksheet!BM128," х ",Worksheet!BK128),"")</f>
        <v>740 х 200 х 600</v>
      </c>
      <c r="U132" s="1" t="str">
        <f>IF(Worksheet!BQ128&lt;&gt;"",CONCATENATE(Worksheet!BQ128," х ",Worksheet!BR128," х ",Worksheet!BP128),"")</f>
        <v>820 х 310 х 700</v>
      </c>
      <c r="V132" s="1" t="str">
        <f>IF(Worksheet!BN128&lt;&gt;"",CONCATENATE(Worksheet!BN128," / ",Worksheet!BO128),"")</f>
        <v>14 / 17</v>
      </c>
      <c r="W132" s="6"/>
      <c r="X132" s="7">
        <f>IF(Worksheet!AN128&lt;&gt;"",Worksheet!AN128,"")</f>
        <v>6.35</v>
      </c>
      <c r="Y132" s="7">
        <f>IF(Worksheet!AO128&lt;&gt;"",Worksheet!AO128,"")</f>
        <v>12.7</v>
      </c>
      <c r="Z132" s="17" t="str">
        <f>IF(Worksheet!Q128&lt;&gt;"",Worksheet!Q128,"")</f>
        <v/>
      </c>
      <c r="AA132" s="17" t="str">
        <f>IF(Worksheet!R128&lt;&gt;"",Worksheet!R128,"")</f>
        <v/>
      </c>
      <c r="AB132" t="str">
        <f>IF(Worksheet!X128&lt;&gt;"",CONCATENATE("от ",Worksheet!X128," до +",Worksheet!Y128),"")</f>
        <v/>
      </c>
      <c r="AC132" t="str">
        <f>IF(Worksheet!Z128&lt;&gt;"",CONCATENATE("от ",Worksheet!Z128," до +",Worksheet!AA128),"")</f>
        <v/>
      </c>
      <c r="AD132" s="6" t="s">
        <v>5172</v>
      </c>
      <c r="AE132" s="17"/>
    </row>
    <row r="133" spans="1:31" x14ac:dyDescent="0.25">
      <c r="A133" s="17" t="str">
        <f>IF(Worksheet!B129&lt;&gt;"",Worksheet!B129,"")</f>
        <v>FUJITSU</v>
      </c>
      <c r="B133" t="str">
        <f>Worksheet!E129</f>
        <v>Мульти сплит система</v>
      </c>
      <c r="C133">
        <f>IF(Worksheet!M129&lt;&gt;"",Worksheet!M129,"")</f>
        <v>12.5</v>
      </c>
      <c r="D133">
        <f t="shared" si="4"/>
        <v>125</v>
      </c>
      <c r="E133" t="str">
        <f>IF(Worksheet!L129&lt;&gt;"",IF(Worksheet!L129="Y","да","нет"),"")</f>
        <v>да</v>
      </c>
      <c r="F133">
        <f>IF(Worksheet!N129&lt;&gt;"",Worksheet!N129,"")</f>
        <v>14</v>
      </c>
      <c r="G133">
        <f>IF(Worksheet!O129&lt;&gt;"",Worksheet!O129,"")</f>
        <v>4.0599999999999996</v>
      </c>
      <c r="H133">
        <f>IF(Worksheet!P129&lt;&gt;"",Worksheet!P129,"")</f>
        <v>3.67</v>
      </c>
      <c r="I133" s="6"/>
      <c r="J133" s="6"/>
      <c r="K133" t="str">
        <f>IF(Worksheet!BI129&lt;&gt;"",Worksheet!BI129,"")</f>
        <v>3 / 400 / 50</v>
      </c>
      <c r="L133" t="str">
        <f>IF(Worksheet!AU129&lt;&gt;"",Worksheet!AU129,"")</f>
        <v>R410A</v>
      </c>
      <c r="M133" s="6"/>
      <c r="N133" s="6"/>
      <c r="O133" t="str">
        <f>IF(Worksheet!CR129&lt;&gt;"",CONCATENATE(Worksheet!CR129," х ",Worksheet!CP129," х ",Worksheet!CT129),"")</f>
        <v/>
      </c>
      <c r="P133" t="str">
        <f>IF(Worksheet!CS129&lt;&gt;"",CONCATENATE(Worksheet!CS129," х ",Worksheet!CU129," х ",Worksheet!CQ129),"")</f>
        <v/>
      </c>
      <c r="Q133" t="str">
        <f>IF(Worksheet!CV129&lt;&gt;"",CONCATENATE(Worksheet!CV129," / ",Worksheet!CW129),"")</f>
        <v/>
      </c>
      <c r="R133" t="str">
        <f>IF(Worksheet!BS129&lt;&gt;"",Worksheet!BS129,"")</f>
        <v/>
      </c>
      <c r="S133" t="str">
        <f>IF(Worksheet!AL129&lt;&gt;"",Worksheet!AL129,"")</f>
        <v>TOSHIBA</v>
      </c>
      <c r="T133" t="str">
        <f>IF(Worksheet!CJ129&lt;&gt;"",CONCATENATE(Worksheet!CJ129," х ",Worksheet!CL129," х ",Worksheet!CH129),"")</f>
        <v/>
      </c>
      <c r="U133" t="str">
        <f>IF(Worksheet!CK129&lt;&gt;"",CONCATENATE(Worksheet!CK129," х ",Worksheet!CM129," х ",Worksheet!CI129),"")</f>
        <v/>
      </c>
      <c r="V133" t="str">
        <f>IF(Worksheet!CN129&lt;&gt;"",CONCATENATE(Worksheet!CN129,"/",Worksheet!CO129),"")</f>
        <v/>
      </c>
      <c r="W133" s="6"/>
      <c r="X133" s="7">
        <f>IF(Worksheet!AN129&lt;&gt;"",Worksheet!AN129,"")</f>
        <v>9.52</v>
      </c>
      <c r="Y133" s="7">
        <f>IF(Worksheet!AO129&lt;&gt;"",Worksheet!AO129,"")</f>
        <v>15.88</v>
      </c>
      <c r="Z133" s="17">
        <f>IF(Worksheet!Q129&lt;&gt;"",Worksheet!Q129,"")</f>
        <v>75</v>
      </c>
      <c r="AA133" s="17">
        <f>IF(Worksheet!R129&lt;&gt;"",Worksheet!R129,"")</f>
        <v>30</v>
      </c>
      <c r="AB133" t="str">
        <f>IF(Worksheet!X129&lt;&gt;"",CONCATENATE("от ",Worksheet!X129," до +",Worksheet!Y129),"")</f>
        <v>от -15 до +46</v>
      </c>
      <c r="AC133" t="str">
        <f>IF(Worksheet!Z129&lt;&gt;"",CONCATENATE("от ",Worksheet!Z129," до +",Worksheet!AA129),"")</f>
        <v>от -15 до +24</v>
      </c>
      <c r="AD133" s="6" t="s">
        <v>5173</v>
      </c>
      <c r="AE133" s="17"/>
    </row>
    <row r="134" spans="1:31" x14ac:dyDescent="0.25">
      <c r="A134" s="17" t="str">
        <f>IF(Worksheet!B130&lt;&gt;"",Worksheet!B130,"")</f>
        <v>FUJITSU</v>
      </c>
      <c r="B134" t="str">
        <f>Worksheet!E130</f>
        <v>Мульти сплит система</v>
      </c>
      <c r="C134" s="21">
        <f>IF(Worksheet!M130&lt;&gt;"",MID(Worksheet!M130,1,FIND("(",Worksheet!M130,1)-1),"")*1</f>
        <v>4</v>
      </c>
      <c r="D134">
        <f>ROUND(LEFT(C134,1)*10,0)</f>
        <v>40</v>
      </c>
      <c r="E134" t="str">
        <f>IF(Worksheet!L130&lt;&gt;"",IF(Worksheet!L130="Y","да","нет"),"")</f>
        <v>да</v>
      </c>
      <c r="F134" s="23">
        <v>4.4000000000000004</v>
      </c>
      <c r="G134">
        <f>IF(Worksheet!O130&lt;&gt;"",Worksheet!O130,"")</f>
        <v>0.97</v>
      </c>
      <c r="H134">
        <f>IF(Worksheet!P130&lt;&gt;"",Worksheet!P130,"")</f>
        <v>0.95</v>
      </c>
      <c r="I134" s="6"/>
      <c r="J134" s="6"/>
      <c r="K134" t="str">
        <f>IF(Worksheet!BI130&lt;&gt;"",Worksheet!BI130,"")</f>
        <v>1 / 230 / 50</v>
      </c>
      <c r="L134" t="str">
        <f>IF(Worksheet!AU130&lt;&gt;"",Worksheet!AU130,"")</f>
        <v>R32</v>
      </c>
      <c r="M134" s="6"/>
      <c r="N134" s="6"/>
      <c r="O134" t="str">
        <f>IF(Worksheet!CR130&lt;&gt;"",CONCATENATE(Worksheet!CR130," х ",Worksheet!CP130," х ",Worksheet!CT130),"")</f>
        <v/>
      </c>
      <c r="P134" t="str">
        <f>IF(Worksheet!CS130&lt;&gt;"",CONCATENATE(Worksheet!CS130," х ",Worksheet!CU130," х ",Worksheet!CQ130),"")</f>
        <v/>
      </c>
      <c r="Q134" t="str">
        <f>IF(Worksheet!CV130&lt;&gt;"",CONCATENATE(Worksheet!CV130," / ",Worksheet!CW130),"")</f>
        <v/>
      </c>
      <c r="R134" t="str">
        <f>IF(Worksheet!BS130&lt;&gt;"",Worksheet!BS130,"")</f>
        <v/>
      </c>
      <c r="S134" t="str">
        <f>IF(Worksheet!AL130&lt;&gt;"",Worksheet!AL130,"")</f>
        <v/>
      </c>
      <c r="T134" t="str">
        <f>IF(Worksheet!CJ130&lt;&gt;"",CONCATENATE(Worksheet!CJ130," х ",Worksheet!CL130," х ",Worksheet!CH130),"")</f>
        <v/>
      </c>
      <c r="U134" t="str">
        <f>IF(Worksheet!CK130&lt;&gt;"",CONCATENATE(Worksheet!CK130," х ",Worksheet!CM130," х ",Worksheet!CI130),"")</f>
        <v/>
      </c>
      <c r="V134" t="str">
        <f>IF(Worksheet!CN130&lt;&gt;"",CONCATENATE(Worksheet!CN130,"/",Worksheet!CO130),"")</f>
        <v/>
      </c>
      <c r="W134" s="6"/>
      <c r="X134" s="25"/>
      <c r="Y134" s="25"/>
      <c r="Z134" s="17">
        <f>IF(Worksheet!Q130&lt;&gt;"",Worksheet!Q130,"")</f>
        <v>30</v>
      </c>
      <c r="AA134" s="17">
        <f>IF(Worksheet!R130&lt;&gt;"",Worksheet!R130,"")</f>
        <v>15</v>
      </c>
      <c r="AB134" t="str">
        <f>IF(Worksheet!X130&lt;&gt;"",CONCATENATE("от ",Worksheet!X130," до +",Worksheet!Y130),"")</f>
        <v>от -10 до +46</v>
      </c>
      <c r="AC134" t="str">
        <f>IF(Worksheet!Z130&lt;&gt;"",CONCATENATE("от ",Worksheet!Z130," до +",Worksheet!AA130),"")</f>
        <v>от -15 до +24</v>
      </c>
      <c r="AD134" s="6" t="s">
        <v>5173</v>
      </c>
      <c r="AE134" s="17"/>
    </row>
    <row r="135" spans="1:31" x14ac:dyDescent="0.25">
      <c r="A135" s="17" t="str">
        <f>IF(Worksheet!B131&lt;&gt;"",Worksheet!B131,"")</f>
        <v>FUJITSU</v>
      </c>
      <c r="B135" t="str">
        <f>Worksheet!E131</f>
        <v>Мульти сплит система</v>
      </c>
      <c r="C135" s="21">
        <f>IF(Worksheet!M131&lt;&gt;"",MID(Worksheet!M131,1,FIND("(",Worksheet!M131,1)-1),"")*1</f>
        <v>5</v>
      </c>
      <c r="D135">
        <f>ROUND(LEFT(C135,1)*10,0)</f>
        <v>50</v>
      </c>
      <c r="E135" t="str">
        <f>IF(Worksheet!L131&lt;&gt;"",IF(Worksheet!L131="Y","да","нет"),"")</f>
        <v>да</v>
      </c>
      <c r="F135" s="23">
        <v>5.6</v>
      </c>
      <c r="G135">
        <f>IF(Worksheet!O131&lt;&gt;"",Worksheet!O131,"")</f>
        <v>1.24</v>
      </c>
      <c r="H135">
        <f>IF(Worksheet!P131&lt;&gt;"",Worksheet!P131,"")</f>
        <v>1.22</v>
      </c>
      <c r="I135" s="6"/>
      <c r="J135" s="6"/>
      <c r="K135" t="str">
        <f>IF(Worksheet!BI131&lt;&gt;"",Worksheet!BI131,"")</f>
        <v>1 / 230 / 50</v>
      </c>
      <c r="L135" t="str">
        <f>IF(Worksheet!AU131&lt;&gt;"",Worksheet!AU131,"")</f>
        <v>R32</v>
      </c>
      <c r="M135" s="6"/>
      <c r="N135" s="6"/>
      <c r="O135" t="str">
        <f>IF(Worksheet!CR131&lt;&gt;"",CONCATENATE(Worksheet!CR131," х ",Worksheet!CP131," х ",Worksheet!CT131),"")</f>
        <v/>
      </c>
      <c r="P135" t="str">
        <f>IF(Worksheet!CS131&lt;&gt;"",CONCATENATE(Worksheet!CS131," х ",Worksheet!CU131," х ",Worksheet!CQ131),"")</f>
        <v/>
      </c>
      <c r="Q135" t="str">
        <f>IF(Worksheet!CV131&lt;&gt;"",CONCATENATE(Worksheet!CV131," / ",Worksheet!CW131),"")</f>
        <v/>
      </c>
      <c r="R135" t="str">
        <f>IF(Worksheet!BS131&lt;&gt;"",Worksheet!BS131,"")</f>
        <v/>
      </c>
      <c r="S135" t="str">
        <f>IF(Worksheet!AL131&lt;&gt;"",Worksheet!AL131,"")</f>
        <v/>
      </c>
      <c r="T135" t="str">
        <f>IF(Worksheet!CJ131&lt;&gt;"",CONCATENATE(Worksheet!CJ131," х ",Worksheet!CL131," х ",Worksheet!CH131),"")</f>
        <v/>
      </c>
      <c r="U135" t="str">
        <f>IF(Worksheet!CK131&lt;&gt;"",CONCATENATE(Worksheet!CK131," х ",Worksheet!CM131," х ",Worksheet!CI131),"")</f>
        <v/>
      </c>
      <c r="V135" t="str">
        <f>IF(Worksheet!CN131&lt;&gt;"",CONCATENATE(Worksheet!CN131,"/",Worksheet!CO131),"")</f>
        <v/>
      </c>
      <c r="W135" s="6"/>
      <c r="X135" s="25"/>
      <c r="Y135" s="25"/>
      <c r="Z135" s="17">
        <f>IF(Worksheet!Q131&lt;&gt;"",Worksheet!Q131,"")</f>
        <v>30</v>
      </c>
      <c r="AA135" s="17">
        <f>IF(Worksheet!R131&lt;&gt;"",Worksheet!R131,"")</f>
        <v>15</v>
      </c>
      <c r="AB135" t="str">
        <f>IF(Worksheet!X131&lt;&gt;"",CONCATENATE("от ",Worksheet!X131," до +",Worksheet!Y131),"")</f>
        <v>от -10 до +46</v>
      </c>
      <c r="AC135" t="str">
        <f>IF(Worksheet!Z131&lt;&gt;"",CONCATENATE("от ",Worksheet!Z131," до +",Worksheet!AA131),"")</f>
        <v>от -15 до +24</v>
      </c>
      <c r="AD135" s="6" t="s">
        <v>5173</v>
      </c>
      <c r="AE135" s="17"/>
    </row>
    <row r="136" spans="1:31" x14ac:dyDescent="0.25">
      <c r="A136" s="17" t="str">
        <f>IF(Worksheet!B132&lt;&gt;"",Worksheet!B132,"")</f>
        <v>FUJITSU</v>
      </c>
      <c r="B136" t="str">
        <f>Worksheet!E132</f>
        <v>Мульти сплит система</v>
      </c>
      <c r="C136" s="21">
        <f>IF(Worksheet!M132&lt;&gt;"",MID(Worksheet!M132,1,FIND("(",Worksheet!M132,1)-1),"")*1</f>
        <v>5.4</v>
      </c>
      <c r="D136">
        <f t="shared" ref="D136:D146" si="5">ROUND(LEFT(C136,3)*10,0)</f>
        <v>54</v>
      </c>
      <c r="E136" t="str">
        <f>IF(Worksheet!L132&lt;&gt;"",IF(Worksheet!L132="Y","да","нет"),"")</f>
        <v>да</v>
      </c>
      <c r="F136" s="23">
        <v>6.8</v>
      </c>
      <c r="G136">
        <f>IF(Worksheet!O132&lt;&gt;"",Worksheet!O132,"")</f>
        <v>1.1299999999999999</v>
      </c>
      <c r="H136">
        <f>IF(Worksheet!P132&lt;&gt;"",Worksheet!P132,"")</f>
        <v>1.39</v>
      </c>
      <c r="I136" s="6"/>
      <c r="J136" s="6"/>
      <c r="K136" t="str">
        <f>IF(Worksheet!BI132&lt;&gt;"",Worksheet!BI132,"")</f>
        <v>1 / 230 / 50</v>
      </c>
      <c r="L136" t="str">
        <f>IF(Worksheet!AU132&lt;&gt;"",Worksheet!AU132,"")</f>
        <v>R32</v>
      </c>
      <c r="M136" s="6"/>
      <c r="N136" s="6"/>
      <c r="O136" t="str">
        <f>IF(Worksheet!CR132&lt;&gt;"",CONCATENATE(Worksheet!CR132," х ",Worksheet!CP132," х ",Worksheet!CT132),"")</f>
        <v/>
      </c>
      <c r="P136" t="str">
        <f>IF(Worksheet!CS132&lt;&gt;"",CONCATENATE(Worksheet!CS132," х ",Worksheet!CU132," х ",Worksheet!CQ132),"")</f>
        <v/>
      </c>
      <c r="Q136" t="str">
        <f>IF(Worksheet!CV132&lt;&gt;"",CONCATENATE(Worksheet!CV132," / ",Worksheet!CW132),"")</f>
        <v/>
      </c>
      <c r="R136" t="str">
        <f>IF(Worksheet!BS132&lt;&gt;"",Worksheet!BS132,"")</f>
        <v/>
      </c>
      <c r="S136" t="str">
        <f>IF(Worksheet!AL132&lt;&gt;"",Worksheet!AL132,"")</f>
        <v/>
      </c>
      <c r="T136" t="str">
        <f>IF(Worksheet!CJ132&lt;&gt;"",CONCATENATE(Worksheet!CJ132," х ",Worksheet!CL132," х ",Worksheet!CH132),"")</f>
        <v/>
      </c>
      <c r="U136" t="str">
        <f>IF(Worksheet!CK132&lt;&gt;"",CONCATENATE(Worksheet!CK132," х ",Worksheet!CM132," х ",Worksheet!CI132),"")</f>
        <v/>
      </c>
      <c r="V136" t="str">
        <f>IF(Worksheet!CN132&lt;&gt;"",CONCATENATE(Worksheet!CN132,"/",Worksheet!CO132),"")</f>
        <v/>
      </c>
      <c r="W136" s="6"/>
      <c r="X136" s="25"/>
      <c r="Y136" s="25"/>
      <c r="Z136" s="17">
        <f>IF(Worksheet!Q132&lt;&gt;"",Worksheet!Q132,"")</f>
        <v>50</v>
      </c>
      <c r="AA136" s="17">
        <f>IF(Worksheet!R132&lt;&gt;"",Worksheet!R132,"")</f>
        <v>15</v>
      </c>
      <c r="AB136" t="str">
        <f>IF(Worksheet!X132&lt;&gt;"",CONCATENATE("от ",Worksheet!X132," до +",Worksheet!Y132),"")</f>
        <v>от -10 до +46</v>
      </c>
      <c r="AC136" t="str">
        <f>IF(Worksheet!Z132&lt;&gt;"",CONCATENATE("от ",Worksheet!Z132," до +",Worksheet!AA132),"")</f>
        <v>от -15 до +24</v>
      </c>
      <c r="AD136" s="6" t="s">
        <v>5173</v>
      </c>
      <c r="AE136" s="17"/>
    </row>
    <row r="137" spans="1:31" x14ac:dyDescent="0.25">
      <c r="A137" s="17" t="str">
        <f>IF(Worksheet!B133&lt;&gt;"",Worksheet!B133,"")</f>
        <v>FUJITSU</v>
      </c>
      <c r="B137" t="str">
        <f>Worksheet!E133</f>
        <v>Мульти сплит система</v>
      </c>
      <c r="C137" s="21">
        <f>IF(Worksheet!M133&lt;&gt;"",MID(Worksheet!M133,1,FIND("(",Worksheet!M133,1)-1),"")*1</f>
        <v>6.8</v>
      </c>
      <c r="D137">
        <f t="shared" si="5"/>
        <v>68</v>
      </c>
      <c r="E137" t="str">
        <f>IF(Worksheet!L133&lt;&gt;"",IF(Worksheet!L133="Y","да","нет"),"")</f>
        <v>да</v>
      </c>
      <c r="F137" s="23">
        <v>8</v>
      </c>
      <c r="G137">
        <f>IF(Worksheet!O133&lt;&gt;"",Worksheet!O133,"")</f>
        <v>1.74</v>
      </c>
      <c r="H137">
        <f>IF(Worksheet!P133&lt;&gt;"",Worksheet!P133,"")</f>
        <v>1.82</v>
      </c>
      <c r="I137" s="6"/>
      <c r="J137" s="6"/>
      <c r="K137" t="str">
        <f>IF(Worksheet!BI133&lt;&gt;"",Worksheet!BI133,"")</f>
        <v>1 / 230 / 50</v>
      </c>
      <c r="L137" t="str">
        <f>IF(Worksheet!AU133&lt;&gt;"",Worksheet!AU133,"")</f>
        <v>R32</v>
      </c>
      <c r="M137" s="6"/>
      <c r="N137" s="6"/>
      <c r="O137" t="str">
        <f>IF(Worksheet!CR133&lt;&gt;"",CONCATENATE(Worksheet!CR133," х ",Worksheet!CP133," х ",Worksheet!CT133),"")</f>
        <v/>
      </c>
      <c r="P137" t="str">
        <f>IF(Worksheet!CS133&lt;&gt;"",CONCATENATE(Worksheet!CS133," х ",Worksheet!CU133," х ",Worksheet!CQ133),"")</f>
        <v/>
      </c>
      <c r="Q137" t="str">
        <f>IF(Worksheet!CV133&lt;&gt;"",CONCATENATE(Worksheet!CV133," / ",Worksheet!CW133),"")</f>
        <v/>
      </c>
      <c r="R137" t="str">
        <f>IF(Worksheet!BS133&lt;&gt;"",Worksheet!BS133,"")</f>
        <v/>
      </c>
      <c r="S137" t="str">
        <f>IF(Worksheet!AL133&lt;&gt;"",Worksheet!AL133,"")</f>
        <v/>
      </c>
      <c r="T137" t="str">
        <f>IF(Worksheet!CJ133&lt;&gt;"",CONCATENATE(Worksheet!CJ133," х ",Worksheet!CL133," х ",Worksheet!CH133),"")</f>
        <v/>
      </c>
      <c r="U137" t="str">
        <f>IF(Worksheet!CK133&lt;&gt;"",CONCATENATE(Worksheet!CK133," х ",Worksheet!CM133," х ",Worksheet!CI133),"")</f>
        <v/>
      </c>
      <c r="V137" t="str">
        <f>IF(Worksheet!CN133&lt;&gt;"",CONCATENATE(Worksheet!CN133,"/",Worksheet!CO133),"")</f>
        <v/>
      </c>
      <c r="W137" s="6"/>
      <c r="X137" s="25"/>
      <c r="Y137" s="25"/>
      <c r="Z137" s="17">
        <f>IF(Worksheet!Q133&lt;&gt;"",Worksheet!Q133,"")</f>
        <v>50</v>
      </c>
      <c r="AA137" s="17">
        <f>IF(Worksheet!R133&lt;&gt;"",Worksheet!R133,"")</f>
        <v>15</v>
      </c>
      <c r="AB137" t="str">
        <f>IF(Worksheet!X133&lt;&gt;"",CONCATENATE("от ",Worksheet!X133," до +",Worksheet!Y133),"")</f>
        <v>от -10 до +46</v>
      </c>
      <c r="AC137" t="str">
        <f>IF(Worksheet!Z133&lt;&gt;"",CONCATENATE("от ",Worksheet!Z133," до +",Worksheet!AA133),"")</f>
        <v>от -15 до +24</v>
      </c>
      <c r="AD137" s="6" t="s">
        <v>5173</v>
      </c>
      <c r="AE137" s="17"/>
    </row>
    <row r="138" spans="1:31" x14ac:dyDescent="0.25">
      <c r="A138" s="17" t="str">
        <f>IF(Worksheet!B134&lt;&gt;"",Worksheet!B134,"")</f>
        <v>FUJITSU</v>
      </c>
      <c r="B138" t="str">
        <f>Worksheet!E134</f>
        <v>Мульти сплит система</v>
      </c>
      <c r="C138" s="21">
        <f>IF(Worksheet!M134&lt;&gt;"",MID(Worksheet!M134,1,FIND("(",Worksheet!M134,1)-1),"")*1</f>
        <v>8</v>
      </c>
      <c r="D138">
        <f>ROUND(LEFT(C138,1)*10,0)</f>
        <v>80</v>
      </c>
      <c r="E138" t="str">
        <f>IF(Worksheet!L134&lt;&gt;"",IF(Worksheet!L134="Y","да","нет"),"")</f>
        <v>да</v>
      </c>
      <c r="F138" s="23">
        <v>9.6</v>
      </c>
      <c r="G138">
        <f>IF(Worksheet!O134&lt;&gt;"",Worksheet!O134,"")</f>
        <v>2.0499999999999998</v>
      </c>
      <c r="H138">
        <f>IF(Worksheet!P134&lt;&gt;"",Worksheet!P134,"")</f>
        <v>2.11</v>
      </c>
      <c r="I138" s="6"/>
      <c r="J138" s="6"/>
      <c r="K138" t="str">
        <f>IF(Worksheet!BI134&lt;&gt;"",Worksheet!BI134,"")</f>
        <v>1 / 230 / 50</v>
      </c>
      <c r="L138" t="str">
        <f>IF(Worksheet!AU134&lt;&gt;"",Worksheet!AU134,"")</f>
        <v>R32</v>
      </c>
      <c r="M138" s="6"/>
      <c r="N138" s="6"/>
      <c r="O138" t="str">
        <f>IF(Worksheet!CR134&lt;&gt;"",CONCATENATE(Worksheet!CR134," х ",Worksheet!CP134," х ",Worksheet!CT134),"")</f>
        <v/>
      </c>
      <c r="P138" t="str">
        <f>IF(Worksheet!CS134&lt;&gt;"",CONCATENATE(Worksheet!CS134," х ",Worksheet!CU134," х ",Worksheet!CQ134),"")</f>
        <v/>
      </c>
      <c r="Q138" t="str">
        <f>IF(Worksheet!CV134&lt;&gt;"",CONCATENATE(Worksheet!CV134," / ",Worksheet!CW134),"")</f>
        <v/>
      </c>
      <c r="R138" t="str">
        <f>IF(Worksheet!BS134&lt;&gt;"",Worksheet!BS134,"")</f>
        <v/>
      </c>
      <c r="S138" t="str">
        <f>IF(Worksheet!AL134&lt;&gt;"",Worksheet!AL134,"")</f>
        <v/>
      </c>
      <c r="T138" t="str">
        <f>IF(Worksheet!CJ134&lt;&gt;"",CONCATENATE(Worksheet!CJ134," х ",Worksheet!CL134," х ",Worksheet!CH134),"")</f>
        <v/>
      </c>
      <c r="U138" t="str">
        <f>IF(Worksheet!CK134&lt;&gt;"",CONCATENATE(Worksheet!CK134," х ",Worksheet!CM134," х ",Worksheet!CI134),"")</f>
        <v/>
      </c>
      <c r="V138" t="str">
        <f>IF(Worksheet!CN134&lt;&gt;"",CONCATENATE(Worksheet!CN134,"/",Worksheet!CO134),"")</f>
        <v/>
      </c>
      <c r="W138" s="6"/>
      <c r="X138" s="25"/>
      <c r="Y138" s="25"/>
      <c r="Z138" s="17">
        <f>IF(Worksheet!Q134&lt;&gt;"",Worksheet!Q134,"")</f>
        <v>70</v>
      </c>
      <c r="AA138" s="17">
        <f>IF(Worksheet!R134&lt;&gt;"",Worksheet!R134,"")</f>
        <v>15</v>
      </c>
      <c r="AB138" t="str">
        <f>IF(Worksheet!X134&lt;&gt;"",CONCATENATE("от ",Worksheet!X134," до +",Worksheet!Y134),"")</f>
        <v>от -10 до +46</v>
      </c>
      <c r="AC138" t="str">
        <f>IF(Worksheet!Z134&lt;&gt;"",CONCATENATE("от ",Worksheet!Z134," до +",Worksheet!AA134),"")</f>
        <v>от -15 до +24</v>
      </c>
      <c r="AD138" s="6" t="s">
        <v>5173</v>
      </c>
      <c r="AE138" s="17"/>
    </row>
    <row r="139" spans="1:31" x14ac:dyDescent="0.25">
      <c r="A139" s="17" t="str">
        <f>IF(Worksheet!B135&lt;&gt;"",Worksheet!B135,"")</f>
        <v>FUJITSU</v>
      </c>
      <c r="B139" t="str">
        <f>Worksheet!E135</f>
        <v>Мульти сплит система</v>
      </c>
      <c r="C139" s="21">
        <f>IF(Worksheet!M135&lt;&gt;"",MID(Worksheet!M135,1,FIND("(",Worksheet!M135,1)-1),"")*1</f>
        <v>9.5</v>
      </c>
      <c r="D139">
        <f t="shared" si="5"/>
        <v>95</v>
      </c>
      <c r="E139" t="str">
        <f>IF(Worksheet!L135&lt;&gt;"",IF(Worksheet!L135="Y","да","нет"),"")</f>
        <v>да</v>
      </c>
      <c r="F139" s="23">
        <v>10.6</v>
      </c>
      <c r="G139">
        <f>IF(Worksheet!O135&lt;&gt;"",Worksheet!O135,"")</f>
        <v>2.5</v>
      </c>
      <c r="H139">
        <f>IF(Worksheet!P135&lt;&gt;"",Worksheet!P135,"")</f>
        <v>2.36</v>
      </c>
      <c r="I139" s="6"/>
      <c r="J139" s="6"/>
      <c r="K139" t="str">
        <f>IF(Worksheet!BI135&lt;&gt;"",Worksheet!BI135,"")</f>
        <v>1 / 230 / 50</v>
      </c>
      <c r="L139" t="str">
        <f>IF(Worksheet!AU135&lt;&gt;"",Worksheet!AU135,"")</f>
        <v>R32</v>
      </c>
      <c r="M139" s="6"/>
      <c r="N139" s="6"/>
      <c r="O139" t="str">
        <f>IF(Worksheet!CR135&lt;&gt;"",CONCATENATE(Worksheet!CR135," х ",Worksheet!CP135," х ",Worksheet!CT135),"")</f>
        <v/>
      </c>
      <c r="P139" t="str">
        <f>IF(Worksheet!CS135&lt;&gt;"",CONCATENATE(Worksheet!CS135," х ",Worksheet!CU135," х ",Worksheet!CQ135),"")</f>
        <v/>
      </c>
      <c r="Q139" t="str">
        <f>IF(Worksheet!CV135&lt;&gt;"",CONCATENATE(Worksheet!CV135," / ",Worksheet!CW135),"")</f>
        <v/>
      </c>
      <c r="R139" t="str">
        <f>IF(Worksheet!BS135&lt;&gt;"",Worksheet!BS135,"")</f>
        <v/>
      </c>
      <c r="S139" t="str">
        <f>IF(Worksheet!AL135&lt;&gt;"",Worksheet!AL135,"")</f>
        <v/>
      </c>
      <c r="T139" t="str">
        <f>IF(Worksheet!CJ135&lt;&gt;"",CONCATENATE(Worksheet!CJ135," х ",Worksheet!CL135," х ",Worksheet!CH135),"")</f>
        <v/>
      </c>
      <c r="U139" t="str">
        <f>IF(Worksheet!CK135&lt;&gt;"",CONCATENATE(Worksheet!CK135," х ",Worksheet!CM135," х ",Worksheet!CI135),"")</f>
        <v/>
      </c>
      <c r="V139" t="str">
        <f>IF(Worksheet!CN135&lt;&gt;"",CONCATENATE(Worksheet!CN135,"/",Worksheet!CO135),"")</f>
        <v/>
      </c>
      <c r="W139" s="6"/>
      <c r="X139" s="25"/>
      <c r="Y139" s="25"/>
      <c r="Z139" s="17">
        <f>IF(Worksheet!Q135&lt;&gt;"",Worksheet!Q135,"")</f>
        <v>75</v>
      </c>
      <c r="AA139" s="17">
        <f>IF(Worksheet!R135&lt;&gt;"",Worksheet!R135,"")</f>
        <v>15</v>
      </c>
      <c r="AB139" t="str">
        <f>IF(Worksheet!X135&lt;&gt;"",CONCATENATE("от ",Worksheet!X135," до +",Worksheet!Y135),"")</f>
        <v>от -10 до +24</v>
      </c>
      <c r="AC139" t="str">
        <f>IF(Worksheet!Z135&lt;&gt;"",CONCATENATE("от ",Worksheet!Z135," до +",Worksheet!AA135),"")</f>
        <v>от -15 до +24</v>
      </c>
      <c r="AD139" s="6" t="s">
        <v>5173</v>
      </c>
      <c r="AE139" s="17"/>
    </row>
    <row r="140" spans="1:31" x14ac:dyDescent="0.25">
      <c r="A140" s="17" t="str">
        <f>IF(Worksheet!B136&lt;&gt;"",Worksheet!B136,"")</f>
        <v>FUJITSU</v>
      </c>
      <c r="B140" t="str">
        <f>Worksheet!E136</f>
        <v>Мульти сплит система</v>
      </c>
      <c r="C140" s="21">
        <f>IF(Worksheet!M136&lt;&gt;"",MID(Worksheet!M136,1,FIND("(",Worksheet!M136,1)-1),"")*1</f>
        <v>4</v>
      </c>
      <c r="D140">
        <f>ROUND(LEFT(C140,1)*10,0)</f>
        <v>40</v>
      </c>
      <c r="E140" t="str">
        <f>IF(Worksheet!L136&lt;&gt;"",IF(Worksheet!L136="Y","да","нет"),"")</f>
        <v>да</v>
      </c>
      <c r="F140" s="21">
        <f>IF(Worksheet!N136&lt;&gt;"",MID(Worksheet!N136,1,FIND("(",Worksheet!N136,1)-1),"")*1</f>
        <v>4.4000000000000004</v>
      </c>
      <c r="G140">
        <f>IF(Worksheet!O136&lt;&gt;"",Worksheet!O136,"")</f>
        <v>1.0900000000000001</v>
      </c>
      <c r="H140">
        <f>IF(Worksheet!P136&lt;&gt;"",Worksheet!P136,"")</f>
        <v>1.03</v>
      </c>
      <c r="I140" s="6"/>
      <c r="J140" s="6"/>
      <c r="K140" t="str">
        <f>IF(Worksheet!BI136&lt;&gt;"",Worksheet!BI136,"")</f>
        <v>1 / 220 / 50</v>
      </c>
      <c r="L140" t="str">
        <f>IF(Worksheet!AU136&lt;&gt;"",Worksheet!AU136,"")</f>
        <v>R410</v>
      </c>
      <c r="M140" s="6"/>
      <c r="N140" s="6"/>
      <c r="O140" t="str">
        <f>IF(Worksheet!CR136&lt;&gt;"",CONCATENATE(Worksheet!CR136," х ",Worksheet!CP136," х ",Worksheet!CT136),"")</f>
        <v/>
      </c>
      <c r="P140" t="str">
        <f>IF(Worksheet!CS136&lt;&gt;"",CONCATENATE(Worksheet!CS136," х ",Worksheet!CU136," х ",Worksheet!CQ136),"")</f>
        <v/>
      </c>
      <c r="Q140" t="str">
        <f>IF(Worksheet!CV136&lt;&gt;"",CONCATENATE(Worksheet!CV136," / ",Worksheet!CW136),"")</f>
        <v/>
      </c>
      <c r="R140" t="str">
        <f>IF(Worksheet!BS136&lt;&gt;"",Worksheet!BS136,"")</f>
        <v/>
      </c>
      <c r="S140" t="str">
        <f>IF(Worksheet!AL136&lt;&gt;"",Worksheet!AL136,"")</f>
        <v>TOSHIBA</v>
      </c>
      <c r="T140" t="str">
        <f>IF(Worksheet!CJ136&lt;&gt;"",CONCATENATE(Worksheet!CJ136," х ",Worksheet!CL136," х ",Worksheet!CH136),"")</f>
        <v/>
      </c>
      <c r="U140" t="str">
        <f>IF(Worksheet!CK136&lt;&gt;"",CONCATENATE(Worksheet!CK136," х ",Worksheet!CM136," х ",Worksheet!CI136),"")</f>
        <v/>
      </c>
      <c r="V140" t="str">
        <f>IF(Worksheet!CN136&lt;&gt;"",CONCATENATE(Worksheet!CN136,"/",Worksheet!CO136),"")</f>
        <v/>
      </c>
      <c r="W140" s="6"/>
      <c r="X140" s="25"/>
      <c r="Y140" s="25"/>
      <c r="Z140" s="17">
        <f>IF(Worksheet!Q136&lt;&gt;"",Worksheet!Q136,"")</f>
        <v>30</v>
      </c>
      <c r="AA140" s="17">
        <f>IF(Worksheet!R136&lt;&gt;"",Worksheet!R136,"")</f>
        <v>15</v>
      </c>
      <c r="AB140" t="str">
        <f>IF(Worksheet!X136&lt;&gt;"",CONCATENATE("от ",Worksheet!X136," до +",Worksheet!Y136),"")</f>
        <v>от 10 до +46</v>
      </c>
      <c r="AC140" t="str">
        <f>IF(Worksheet!Z136&lt;&gt;"",CONCATENATE("от ",Worksheet!Z136," до +",Worksheet!AA136),"")</f>
        <v>от -15 до +24</v>
      </c>
      <c r="AD140" s="6" t="s">
        <v>5173</v>
      </c>
      <c r="AE140" s="17"/>
    </row>
    <row r="141" spans="1:31" x14ac:dyDescent="0.25">
      <c r="A141" s="17" t="str">
        <f>IF(Worksheet!B137&lt;&gt;"",Worksheet!B137,"")</f>
        <v>FUJITSU</v>
      </c>
      <c r="B141" t="str">
        <f>Worksheet!E137</f>
        <v>Мульти сплит система</v>
      </c>
      <c r="C141" s="21">
        <f>IF(Worksheet!M137&lt;&gt;"",MID(Worksheet!M137,1,FIND("(",Worksheet!M137,1)-1),"")*1</f>
        <v>5</v>
      </c>
      <c r="D141">
        <f>ROUND(LEFT(C141,1)*10,0)</f>
        <v>50</v>
      </c>
      <c r="E141" t="str">
        <f>IF(Worksheet!L137&lt;&gt;"",IF(Worksheet!L137="Y","да","нет"),"")</f>
        <v>да</v>
      </c>
      <c r="F141" s="21">
        <f>IF(Worksheet!N137&lt;&gt;"",MID(Worksheet!N137,1,FIND("(",Worksheet!N137,1)-1),"")*1</f>
        <v>5.6</v>
      </c>
      <c r="G141">
        <f>IF(Worksheet!O137&lt;&gt;"",Worksheet!O137,"")</f>
        <v>1.56</v>
      </c>
      <c r="H141">
        <f>IF(Worksheet!P137&lt;&gt;"",Worksheet!P137,"")</f>
        <v>1.41</v>
      </c>
      <c r="I141" s="6"/>
      <c r="J141" s="6"/>
      <c r="K141" t="str">
        <f>IF(Worksheet!BI137&lt;&gt;"",Worksheet!BI137,"")</f>
        <v>1 / 220 / 50</v>
      </c>
      <c r="L141" t="str">
        <f>IF(Worksheet!AU137&lt;&gt;"",Worksheet!AU137,"")</f>
        <v>R410</v>
      </c>
      <c r="M141" s="6"/>
      <c r="N141" s="6"/>
      <c r="O141" t="str">
        <f>IF(Worksheet!CR137&lt;&gt;"",CONCATENATE(Worksheet!CR137," х ",Worksheet!CP137," х ",Worksheet!CT137),"")</f>
        <v/>
      </c>
      <c r="P141" t="str">
        <f>IF(Worksheet!CS137&lt;&gt;"",CONCATENATE(Worksheet!CS137," х ",Worksheet!CU137," х ",Worksheet!CQ137),"")</f>
        <v/>
      </c>
      <c r="Q141" t="str">
        <f>IF(Worksheet!CV137&lt;&gt;"",CONCATENATE(Worksheet!CV137," / ",Worksheet!CW137),"")</f>
        <v/>
      </c>
      <c r="R141" t="str">
        <f>IF(Worksheet!BS137&lt;&gt;"",Worksheet!BS137,"")</f>
        <v/>
      </c>
      <c r="S141" t="str">
        <f>IF(Worksheet!AL137&lt;&gt;"",Worksheet!AL137,"")</f>
        <v>GENERAL</v>
      </c>
      <c r="T141" t="str">
        <f>IF(Worksheet!CJ137&lt;&gt;"",CONCATENATE(Worksheet!CJ137," х ",Worksheet!CL137," х ",Worksheet!CH137),"")</f>
        <v/>
      </c>
      <c r="U141" t="str">
        <f>IF(Worksheet!CK137&lt;&gt;"",CONCATENATE(Worksheet!CK137," х ",Worksheet!CM137," х ",Worksheet!CI137),"")</f>
        <v/>
      </c>
      <c r="V141" t="str">
        <f>IF(Worksheet!CN137&lt;&gt;"",CONCATENATE(Worksheet!CN137,"/",Worksheet!CO137),"")</f>
        <v/>
      </c>
      <c r="W141" s="6"/>
      <c r="X141" s="25"/>
      <c r="Y141" s="25"/>
      <c r="Z141" s="17">
        <f>IF(Worksheet!Q137&lt;&gt;"",Worksheet!Q137,"")</f>
        <v>30</v>
      </c>
      <c r="AA141" s="17">
        <f>IF(Worksheet!R137&lt;&gt;"",Worksheet!R137,"")</f>
        <v>15</v>
      </c>
      <c r="AB141" t="str">
        <f>IF(Worksheet!X137&lt;&gt;"",CONCATENATE("от ",Worksheet!X137," до +",Worksheet!Y137),"")</f>
        <v>от 10 до +46</v>
      </c>
      <c r="AC141" t="str">
        <f>IF(Worksheet!Z137&lt;&gt;"",CONCATENATE("от ",Worksheet!Z137," до +",Worksheet!AA137),"")</f>
        <v>от -15 до +24</v>
      </c>
      <c r="AD141" s="6" t="s">
        <v>5173</v>
      </c>
      <c r="AE141" s="17"/>
    </row>
    <row r="142" spans="1:31" x14ac:dyDescent="0.25">
      <c r="A142" s="17" t="str">
        <f>IF(Worksheet!B138&lt;&gt;"",Worksheet!B138,"")</f>
        <v>FUJITSU</v>
      </c>
      <c r="B142" t="str">
        <f>Worksheet!E138</f>
        <v>Мульти сплит система</v>
      </c>
      <c r="C142" s="21">
        <f>IF(Worksheet!M138&lt;&gt;"",MID(Worksheet!M138,1,FIND("(",Worksheet!M138,1)-1),"")*1</f>
        <v>5.4</v>
      </c>
      <c r="D142">
        <f t="shared" si="5"/>
        <v>54</v>
      </c>
      <c r="E142" t="str">
        <f>IF(Worksheet!L138&lt;&gt;"",IF(Worksheet!L138="Y","да","нет"),"")</f>
        <v>да</v>
      </c>
      <c r="F142" s="21">
        <f>IF(Worksheet!N138&lt;&gt;"",MID(Worksheet!N138,1,FIND("(",Worksheet!N138,1)-1),"")*1</f>
        <v>6.8</v>
      </c>
      <c r="G142">
        <f>IF(Worksheet!O138&lt;&gt;"",Worksheet!O138,"")</f>
        <v>1.35</v>
      </c>
      <c r="H142">
        <f>IF(Worksheet!P138&lt;&gt;"",Worksheet!P138,"")</f>
        <v>1.62</v>
      </c>
      <c r="I142" s="6"/>
      <c r="J142" s="6"/>
      <c r="K142" t="str">
        <f>IF(Worksheet!BI138&lt;&gt;"",Worksheet!BI138,"")</f>
        <v>1 / 220 / 50</v>
      </c>
      <c r="L142" t="str">
        <f>IF(Worksheet!AU138&lt;&gt;"",Worksheet!AU138,"")</f>
        <v>R410</v>
      </c>
      <c r="M142" s="6"/>
      <c r="N142" s="6"/>
      <c r="O142" t="str">
        <f>IF(Worksheet!CR138&lt;&gt;"",CONCATENATE(Worksheet!CR138," х ",Worksheet!CP138," х ",Worksheet!CT138),"")</f>
        <v/>
      </c>
      <c r="P142" t="str">
        <f>IF(Worksheet!CS138&lt;&gt;"",CONCATENATE(Worksheet!CS138," х ",Worksheet!CU138," х ",Worksheet!CQ138),"")</f>
        <v/>
      </c>
      <c r="Q142" t="str">
        <f>IF(Worksheet!CV138&lt;&gt;"",CONCATENATE(Worksheet!CV138," / ",Worksheet!CW138),"")</f>
        <v/>
      </c>
      <c r="R142" t="str">
        <f>IF(Worksheet!BS138&lt;&gt;"",Worksheet!BS138,"")</f>
        <v/>
      </c>
      <c r="S142" t="str">
        <f>IF(Worksheet!AL138&lt;&gt;"",Worksheet!AL138,"")</f>
        <v>TOSHIBA</v>
      </c>
      <c r="T142" t="str">
        <f>IF(Worksheet!CJ138&lt;&gt;"",CONCATENATE(Worksheet!CJ138," х ",Worksheet!CL138," х ",Worksheet!CH138),"")</f>
        <v/>
      </c>
      <c r="U142" t="str">
        <f>IF(Worksheet!CK138&lt;&gt;"",CONCATENATE(Worksheet!CK138," х ",Worksheet!CM138," х ",Worksheet!CI138),"")</f>
        <v/>
      </c>
      <c r="V142" t="str">
        <f>IF(Worksheet!CN138&lt;&gt;"",CONCATENATE(Worksheet!CN138,"/",Worksheet!CO138),"")</f>
        <v/>
      </c>
      <c r="W142" s="6"/>
      <c r="X142" s="25"/>
      <c r="Y142" s="25"/>
      <c r="Z142" s="17">
        <f>IF(Worksheet!Q138&lt;&gt;"",Worksheet!Q138,"")</f>
        <v>50</v>
      </c>
      <c r="AA142" s="17">
        <f>IF(Worksheet!R138&lt;&gt;"",Worksheet!R138,"")</f>
        <v>15</v>
      </c>
      <c r="AB142" t="str">
        <f>IF(Worksheet!X138&lt;&gt;"",CONCATENATE("от ",Worksheet!X138," до +",Worksheet!Y138),"")</f>
        <v>от -10 до +46</v>
      </c>
      <c r="AC142" t="str">
        <f>IF(Worksheet!Z138&lt;&gt;"",CONCATENATE("от ",Worksheet!Z138," до +",Worksheet!AA138),"")</f>
        <v>от -15 до +24</v>
      </c>
      <c r="AD142" s="6" t="s">
        <v>5173</v>
      </c>
      <c r="AE142" s="17"/>
    </row>
    <row r="143" spans="1:31" x14ac:dyDescent="0.25">
      <c r="A143" s="17" t="str">
        <f>IF(Worksheet!B139&lt;&gt;"",Worksheet!B139,"")</f>
        <v>FUJITSU</v>
      </c>
      <c r="B143" t="str">
        <f>Worksheet!E139</f>
        <v>Мульти сплит система</v>
      </c>
      <c r="C143" s="21">
        <f>IF(Worksheet!M139&lt;&gt;"",MID(Worksheet!M139,1,FIND("(",Worksheet!M139,1)-1),"")*1</f>
        <v>6.8</v>
      </c>
      <c r="D143">
        <f t="shared" si="5"/>
        <v>68</v>
      </c>
      <c r="E143" t="str">
        <f>IF(Worksheet!L139&lt;&gt;"",IF(Worksheet!L139="Y","да","нет"),"")</f>
        <v>да</v>
      </c>
      <c r="F143" s="21">
        <f>IF(Worksheet!N139&lt;&gt;"",MID(Worksheet!N139,1,FIND("(",Worksheet!N139,1)-1),"")*1</f>
        <v>8</v>
      </c>
      <c r="G143">
        <f>IF(Worksheet!O139&lt;&gt;"",Worksheet!O139,"")</f>
        <v>1.94</v>
      </c>
      <c r="H143">
        <f>IF(Worksheet!P139&lt;&gt;"",Worksheet!P139,"")</f>
        <v>2</v>
      </c>
      <c r="I143" s="6"/>
      <c r="J143" s="6"/>
      <c r="K143" t="str">
        <f>IF(Worksheet!BI139&lt;&gt;"",Worksheet!BI139,"")</f>
        <v>1 / 220 / 50</v>
      </c>
      <c r="L143" t="str">
        <f>IF(Worksheet!AU139&lt;&gt;"",Worksheet!AU139,"")</f>
        <v>R410</v>
      </c>
      <c r="M143" s="6"/>
      <c r="N143" s="6"/>
      <c r="O143" t="str">
        <f>IF(Worksheet!CR139&lt;&gt;"",CONCATENATE(Worksheet!CR139," х ",Worksheet!CP139," х ",Worksheet!CT139),"")</f>
        <v/>
      </c>
      <c r="P143" t="str">
        <f>IF(Worksheet!CS139&lt;&gt;"",CONCATENATE(Worksheet!CS139," х ",Worksheet!CU139," х ",Worksheet!CQ139),"")</f>
        <v/>
      </c>
      <c r="Q143" t="str">
        <f>IF(Worksheet!CV139&lt;&gt;"",CONCATENATE(Worksheet!CV139," / ",Worksheet!CW139),"")</f>
        <v/>
      </c>
      <c r="R143" t="str">
        <f>IF(Worksheet!BS139&lt;&gt;"",Worksheet!BS139,"")</f>
        <v/>
      </c>
      <c r="S143" t="str">
        <f>IF(Worksheet!AL139&lt;&gt;"",Worksheet!AL139,"")</f>
        <v>TOSHIBA</v>
      </c>
      <c r="T143" t="str">
        <f>IF(Worksheet!CJ139&lt;&gt;"",CONCATENATE(Worksheet!CJ139," х ",Worksheet!CL139," х ",Worksheet!CH139),"")</f>
        <v/>
      </c>
      <c r="U143" t="str">
        <f>IF(Worksheet!CK139&lt;&gt;"",CONCATENATE(Worksheet!CK139," х ",Worksheet!CM139," х ",Worksheet!CI139),"")</f>
        <v/>
      </c>
      <c r="V143" t="str">
        <f>IF(Worksheet!CN139&lt;&gt;"",CONCATENATE(Worksheet!CN139,"/",Worksheet!CO139),"")</f>
        <v/>
      </c>
      <c r="W143" s="6"/>
      <c r="X143" s="25"/>
      <c r="Y143" s="25"/>
      <c r="Z143" s="17">
        <f>IF(Worksheet!Q139&lt;&gt;"",Worksheet!Q139,"")</f>
        <v>50</v>
      </c>
      <c r="AA143" s="17">
        <f>IF(Worksheet!R139&lt;&gt;"",Worksheet!R139,"")</f>
        <v>15</v>
      </c>
      <c r="AB143" t="str">
        <f>IF(Worksheet!X139&lt;&gt;"",CONCATENATE("от ",Worksheet!X139," до +",Worksheet!Y139),"")</f>
        <v>от -10 до +46</v>
      </c>
      <c r="AC143" t="str">
        <f>IF(Worksheet!Z139&lt;&gt;"",CONCATENATE("от ",Worksheet!Z139," до +",Worksheet!AA139),"")</f>
        <v>от -15 до +24</v>
      </c>
      <c r="AD143" s="6" t="s">
        <v>5173</v>
      </c>
      <c r="AE143" s="17"/>
    </row>
    <row r="144" spans="1:31" x14ac:dyDescent="0.25">
      <c r="A144" s="17" t="str">
        <f>IF(Worksheet!B140&lt;&gt;"",Worksheet!B140,"")</f>
        <v>FUJITSU</v>
      </c>
      <c r="B144" t="str">
        <f>Worksheet!E140</f>
        <v>Мульти сплит система</v>
      </c>
      <c r="C144" s="21">
        <f>IF(Worksheet!M140&lt;&gt;"",MID(Worksheet!M140,1,FIND("(",Worksheet!M140,1)-1),"")*1</f>
        <v>8</v>
      </c>
      <c r="D144">
        <f>ROUND(LEFT(C144,1)*10,0)</f>
        <v>80</v>
      </c>
      <c r="E144" t="str">
        <f>IF(Worksheet!L140&lt;&gt;"",IF(Worksheet!L140="Y","да","нет"),"")</f>
        <v>да</v>
      </c>
      <c r="F144" s="21">
        <f>IF(Worksheet!N140&lt;&gt;"",MID(Worksheet!N140,1,FIND("(",Worksheet!N140,1)-1),"")*1</f>
        <v>9.6</v>
      </c>
      <c r="G144">
        <f>IF(Worksheet!O140&lt;&gt;"",Worksheet!O140,"")</f>
        <v>2.2200000000000002</v>
      </c>
      <c r="H144">
        <f>IF(Worksheet!P140&lt;&gt;"",Worksheet!P140,"")</f>
        <v>2.4</v>
      </c>
      <c r="I144" s="6"/>
      <c r="J144" s="6"/>
      <c r="K144" t="str">
        <f>IF(Worksheet!BI140&lt;&gt;"",Worksheet!BI140,"")</f>
        <v>1 / 220 / 50</v>
      </c>
      <c r="L144" t="str">
        <f>IF(Worksheet!AU140&lt;&gt;"",Worksheet!AU140,"")</f>
        <v>R410</v>
      </c>
      <c r="M144" s="6"/>
      <c r="N144" s="6"/>
      <c r="O144" t="str">
        <f>IF(Worksheet!CR140&lt;&gt;"",CONCATENATE(Worksheet!CR140," х ",Worksheet!CP140," х ",Worksheet!CT140),"")</f>
        <v/>
      </c>
      <c r="P144" t="str">
        <f>IF(Worksheet!CS140&lt;&gt;"",CONCATENATE(Worksheet!CS140," х ",Worksheet!CU140," х ",Worksheet!CQ140),"")</f>
        <v/>
      </c>
      <c r="Q144" t="str">
        <f>IF(Worksheet!CV140&lt;&gt;"",CONCATENATE(Worksheet!CV140," / ",Worksheet!CW140),"")</f>
        <v/>
      </c>
      <c r="R144" t="str">
        <f>IF(Worksheet!BS140&lt;&gt;"",Worksheet!BS140,"")</f>
        <v/>
      </c>
      <c r="S144" t="str">
        <f>IF(Worksheet!AL140&lt;&gt;"",Worksheet!AL140,"")</f>
        <v>SCI</v>
      </c>
      <c r="T144" t="str">
        <f>IF(Worksheet!CJ140&lt;&gt;"",CONCATENATE(Worksheet!CJ140," х ",Worksheet!CL140," х ",Worksheet!CH140),"")</f>
        <v/>
      </c>
      <c r="U144" t="str">
        <f>IF(Worksheet!CK140&lt;&gt;"",CONCATENATE(Worksheet!CK140," х ",Worksheet!CM140," х ",Worksheet!CI140),"")</f>
        <v/>
      </c>
      <c r="V144" t="str">
        <f>IF(Worksheet!CN140&lt;&gt;"",CONCATENATE(Worksheet!CN140,"/",Worksheet!CO140),"")</f>
        <v/>
      </c>
      <c r="W144" s="6"/>
      <c r="X144" s="25"/>
      <c r="Y144" s="25"/>
      <c r="Z144" s="17">
        <f>IF(Worksheet!Q140&lt;&gt;"",Worksheet!Q140,"")</f>
        <v>70</v>
      </c>
      <c r="AA144" s="17">
        <f>IF(Worksheet!R140&lt;&gt;"",Worksheet!R140,"")</f>
        <v>15</v>
      </c>
      <c r="AB144" t="str">
        <f>IF(Worksheet!X140&lt;&gt;"",CONCATENATE("от ",Worksheet!X140," до +",Worksheet!Y140),"")</f>
        <v>от -10 до +46</v>
      </c>
      <c r="AC144" t="str">
        <f>IF(Worksheet!Z140&lt;&gt;"",CONCATENATE("от ",Worksheet!Z140," до +",Worksheet!AA140),"")</f>
        <v>от -10 до +24</v>
      </c>
      <c r="AD144" s="6" t="s">
        <v>5173</v>
      </c>
      <c r="AE144" s="17"/>
    </row>
    <row r="145" spans="1:31" x14ac:dyDescent="0.25">
      <c r="A145" s="17" t="str">
        <f>IF(Worksheet!B141&lt;&gt;"",Worksheet!B141,"")</f>
        <v>FUJITSU</v>
      </c>
      <c r="B145" t="str">
        <f>Worksheet!E141</f>
        <v>Мульти сплит система</v>
      </c>
      <c r="C145" s="21">
        <f>IF(Worksheet!M141&lt;&gt;"",MID(Worksheet!M141,1,FIND("(",Worksheet!M141,1)-1),"")*1</f>
        <v>10</v>
      </c>
      <c r="D145">
        <f>ROUND(LEFT(C145,1)*10,0)</f>
        <v>10</v>
      </c>
      <c r="E145" t="str">
        <f>IF(Worksheet!L141&lt;&gt;"",IF(Worksheet!L141="Y","да","нет"),"")</f>
        <v>да</v>
      </c>
      <c r="F145" s="21">
        <f>IF(Worksheet!N141&lt;&gt;"",MID(Worksheet!N141,1,FIND("(",Worksheet!N141,1)-1),"")*1</f>
        <v>12</v>
      </c>
      <c r="G145">
        <f>IF(Worksheet!O141&lt;&gt;"",Worksheet!O141,"")</f>
        <v>2.44</v>
      </c>
      <c r="H145">
        <f>IF(Worksheet!P141&lt;&gt;"",Worksheet!P141,"")</f>
        <v>2.79</v>
      </c>
      <c r="I145" s="6"/>
      <c r="J145" s="6"/>
      <c r="K145" t="str">
        <f>IF(Worksheet!BI141&lt;&gt;"",Worksheet!BI141,"")</f>
        <v>1 / 220 / 50</v>
      </c>
      <c r="L145" t="str">
        <f>IF(Worksheet!AU141&lt;&gt;"",Worksheet!AU141,"")</f>
        <v>R410</v>
      </c>
      <c r="M145" s="6"/>
      <c r="N145" s="6"/>
      <c r="O145" t="str">
        <f>IF(Worksheet!CR141&lt;&gt;"",CONCATENATE(Worksheet!CR141," х ",Worksheet!CP141," х ",Worksheet!CT141),"")</f>
        <v/>
      </c>
      <c r="P145" t="str">
        <f>IF(Worksheet!CS141&lt;&gt;"",CONCATENATE(Worksheet!CS141," х ",Worksheet!CU141," х ",Worksheet!CQ141),"")</f>
        <v/>
      </c>
      <c r="Q145" t="str">
        <f>IF(Worksheet!CV141&lt;&gt;"",CONCATENATE(Worksheet!CV141," / ",Worksheet!CW141),"")</f>
        <v/>
      </c>
      <c r="R145" t="str">
        <f>IF(Worksheet!BS141&lt;&gt;"",Worksheet!BS141,"")</f>
        <v/>
      </c>
      <c r="S145" t="str">
        <f>IF(Worksheet!AL141&lt;&gt;"",Worksheet!AL141,"")</f>
        <v>GENERAL</v>
      </c>
      <c r="T145" t="str">
        <f>IF(Worksheet!CJ141&lt;&gt;"",CONCATENATE(Worksheet!CJ141," х ",Worksheet!CL141," х ",Worksheet!CH141),"")</f>
        <v/>
      </c>
      <c r="U145" t="str">
        <f>IF(Worksheet!CK141&lt;&gt;"",CONCATENATE(Worksheet!CK141," х ",Worksheet!CM141," х ",Worksheet!CI141),"")</f>
        <v/>
      </c>
      <c r="V145" t="str">
        <f>IF(Worksheet!CN141&lt;&gt;"",CONCATENATE(Worksheet!CN141,"/",Worksheet!CO141),"")</f>
        <v/>
      </c>
      <c r="W145" s="6"/>
      <c r="X145" s="25"/>
      <c r="Y145" s="25"/>
      <c r="Z145" s="17">
        <f>IF(Worksheet!Q141&lt;&gt;"",Worksheet!Q141,"")</f>
        <v>80</v>
      </c>
      <c r="AA145" s="17">
        <f>IF(Worksheet!R141&lt;&gt;"",Worksheet!R141,"")</f>
        <v>15</v>
      </c>
      <c r="AB145" t="str">
        <f>IF(Worksheet!X141&lt;&gt;"",CONCATENATE("от ",Worksheet!X141," до +",Worksheet!Y141),"")</f>
        <v>от -10 до +46</v>
      </c>
      <c r="AC145" t="str">
        <f>IF(Worksheet!Z141&lt;&gt;"",CONCATENATE("от ",Worksheet!Z141," до +",Worksheet!AA141),"")</f>
        <v>от -15 до +24</v>
      </c>
      <c r="AD145" s="6" t="s">
        <v>5173</v>
      </c>
      <c r="AE145" s="17"/>
    </row>
    <row r="146" spans="1:31" x14ac:dyDescent="0.25">
      <c r="A146" s="17" t="str">
        <f>IF(Worksheet!B142&lt;&gt;"",Worksheet!B142,"")</f>
        <v>FUJITSU</v>
      </c>
      <c r="B146" t="str">
        <f>Worksheet!E142</f>
        <v>Мульти сплит система</v>
      </c>
      <c r="C146" s="21">
        <f>IF(Worksheet!M142&lt;&gt;"",MID(Worksheet!M142,1,FIND(" ",Worksheet!M142,1)-1),"")*1</f>
        <v>12.5</v>
      </c>
      <c r="D146">
        <f t="shared" si="5"/>
        <v>120</v>
      </c>
      <c r="E146" t="str">
        <f>IF(Worksheet!L142&lt;&gt;"",IF(Worksheet!L142="Y","да","нет"),"")</f>
        <v>да</v>
      </c>
      <c r="F146" s="21">
        <f>IF(Worksheet!N142&lt;&gt;"",MID(Worksheet!N142,1,FIND("(",Worksheet!N142,1)-1),"")*1</f>
        <v>13.5</v>
      </c>
      <c r="G146">
        <f>IF(Worksheet!O142&lt;&gt;"",Worksheet!O142,"")</f>
        <v>3.57</v>
      </c>
      <c r="H146">
        <f>IF(Worksheet!P142&lt;&gt;"",Worksheet!P142,"")</f>
        <v>3.37</v>
      </c>
      <c r="I146" s="6"/>
      <c r="J146" s="6"/>
      <c r="K146" t="str">
        <f>IF(Worksheet!BI142&lt;&gt;"",Worksheet!BI142,"")</f>
        <v>1 / 230 / 50</v>
      </c>
      <c r="L146" t="str">
        <f>IF(Worksheet!AU142&lt;&gt;"",Worksheet!AU142,"")</f>
        <v>R410</v>
      </c>
      <c r="M146" s="6"/>
      <c r="N146" s="6"/>
      <c r="O146" t="str">
        <f>IF(Worksheet!CR142&lt;&gt;"",CONCATENATE(Worksheet!CR142," х ",Worksheet!CP142," х ",Worksheet!CT142),"")</f>
        <v/>
      </c>
      <c r="P146" t="str">
        <f>IF(Worksheet!CS142&lt;&gt;"",CONCATENATE(Worksheet!CS142," х ",Worksheet!CU142," х ",Worksheet!CQ142),"")</f>
        <v/>
      </c>
      <c r="Q146" t="str">
        <f>IF(Worksheet!CV142&lt;&gt;"",CONCATENATE(Worksheet!CV142," / ",Worksheet!CW142),"")</f>
        <v/>
      </c>
      <c r="R146" t="str">
        <f>IF(Worksheet!BS142&lt;&gt;"",Worksheet!BS142,"")</f>
        <v/>
      </c>
      <c r="S146" t="str">
        <f>IF(Worksheet!AL142&lt;&gt;"",Worksheet!AL142,"")</f>
        <v>GENERAL</v>
      </c>
      <c r="T146" t="str">
        <f>IF(Worksheet!CJ142&lt;&gt;"",CONCATENATE(Worksheet!CJ142," х ",Worksheet!CL142," х ",Worksheet!CH142),"")</f>
        <v/>
      </c>
      <c r="U146" t="str">
        <f>IF(Worksheet!CK142&lt;&gt;"",CONCATENATE(Worksheet!CK142," х ",Worksheet!CM142," х ",Worksheet!CI142),"")</f>
        <v/>
      </c>
      <c r="V146" t="str">
        <f>IF(Worksheet!CN142&lt;&gt;"",CONCATENATE(Worksheet!CN142,"/",Worksheet!CO142),"")</f>
        <v/>
      </c>
      <c r="W146" s="6"/>
      <c r="X146" s="25"/>
      <c r="Y146" s="25"/>
      <c r="Z146" s="17">
        <f>IF(Worksheet!Q142&lt;&gt;"",Worksheet!Q142,"")</f>
        <v>80</v>
      </c>
      <c r="AA146" s="17">
        <f>IF(Worksheet!R142&lt;&gt;"",Worksheet!R142,"")</f>
        <v>15</v>
      </c>
      <c r="AB146" t="str">
        <f>IF(Worksheet!X142&lt;&gt;"",CONCATENATE("от ",Worksheet!X142," до +",Worksheet!Y142),"")</f>
        <v>от -10 до +46</v>
      </c>
      <c r="AC146" t="str">
        <f>IF(Worksheet!Z142&lt;&gt;"",CONCATENATE("от ",Worksheet!Z142," до +",Worksheet!AA142),"")</f>
        <v>от -15 до +24</v>
      </c>
      <c r="AD146" s="6" t="s">
        <v>5173</v>
      </c>
      <c r="AE146" s="17"/>
    </row>
    <row r="147" spans="1:31" x14ac:dyDescent="0.25">
      <c r="A147" s="17" t="str">
        <f>IF(Worksheet!B143&lt;&gt;"",Worksheet!B143,"")</f>
        <v>FUJITSU</v>
      </c>
      <c r="B147" t="str">
        <f>Worksheet!E143</f>
        <v>Мульти сплит система</v>
      </c>
      <c r="C147">
        <f>IF(Worksheet!M143&lt;&gt;"",Worksheet!M143,"")</f>
        <v>14</v>
      </c>
      <c r="D147">
        <f t="shared" ref="D147:D187" si="6">ROUND(C147*10,0)</f>
        <v>140</v>
      </c>
      <c r="E147" t="str">
        <f>IF(Worksheet!L143&lt;&gt;"",IF(Worksheet!L143="Y","да","нет"),"")</f>
        <v>да</v>
      </c>
      <c r="F147">
        <f>IF(Worksheet!N143&lt;&gt;"",Worksheet!N143,"")</f>
        <v>16</v>
      </c>
      <c r="G147">
        <f>IF(Worksheet!O143&lt;&gt;"",Worksheet!O143,"")</f>
        <v>5.2</v>
      </c>
      <c r="H147">
        <f>IF(Worksheet!P143&lt;&gt;"",Worksheet!P143,"")</f>
        <v>5.16</v>
      </c>
      <c r="I147" s="6"/>
      <c r="J147" s="6"/>
      <c r="K147" t="str">
        <f>IF(Worksheet!BI143&lt;&gt;"",Worksheet!BI143,"")</f>
        <v>1 / 220 / 50</v>
      </c>
      <c r="L147" t="str">
        <f>IF(Worksheet!AU143&lt;&gt;"",Worksheet!AU143,"")</f>
        <v>R410</v>
      </c>
      <c r="M147" s="6"/>
      <c r="N147" s="6"/>
      <c r="O147" t="str">
        <f>IF(Worksheet!CR143&lt;&gt;"",CONCATENATE(Worksheet!CR143," х ",Worksheet!CP143," х ",Worksheet!CT143),"")</f>
        <v/>
      </c>
      <c r="P147" t="str">
        <f>IF(Worksheet!CS143&lt;&gt;"",CONCATENATE(Worksheet!CS143," х ",Worksheet!CU143," х ",Worksheet!CQ143),"")</f>
        <v/>
      </c>
      <c r="Q147" t="str">
        <f>IF(Worksheet!CV143&lt;&gt;"",CONCATENATE(Worksheet!CV143," / ",Worksheet!CW143),"")</f>
        <v/>
      </c>
      <c r="R147" t="str">
        <f>IF(Worksheet!BS143&lt;&gt;"",Worksheet!BS143,"")</f>
        <v/>
      </c>
      <c r="S147" t="str">
        <f>IF(Worksheet!AL143&lt;&gt;"",Worksheet!AL143,"")</f>
        <v>SANYO</v>
      </c>
      <c r="T147" t="str">
        <f>IF(Worksheet!CJ143&lt;&gt;"",CONCATENATE(Worksheet!CJ143," х ",Worksheet!CL143," х ",Worksheet!CH143),"")</f>
        <v/>
      </c>
      <c r="U147" t="str">
        <f>IF(Worksheet!CK143&lt;&gt;"",CONCATENATE(Worksheet!CK143," х ",Worksheet!CM143," х ",Worksheet!CI143),"")</f>
        <v/>
      </c>
      <c r="V147" t="str">
        <f>IF(Worksheet!CN143&lt;&gt;"",CONCATENATE(Worksheet!CN143,"/",Worksheet!CO143),"")</f>
        <v/>
      </c>
      <c r="W147" s="6"/>
      <c r="X147" s="7">
        <f>IF(Worksheet!AN143&lt;&gt;"",Worksheet!AN143,"")</f>
        <v>9.52</v>
      </c>
      <c r="Y147" s="7">
        <f>IF(Worksheet!AO143&lt;&gt;"",Worksheet!AO143,"")</f>
        <v>15.88</v>
      </c>
      <c r="Z147" s="17">
        <f>IF(Worksheet!Q143&lt;&gt;"",Worksheet!Q143,"")</f>
        <v>115</v>
      </c>
      <c r="AA147" s="17">
        <f>IF(Worksheet!R143&lt;&gt;"",Worksheet!R143,"")</f>
        <v>30</v>
      </c>
      <c r="AB147" t="str">
        <f>IF(Worksheet!X143&lt;&gt;"",CONCATENATE("от ",Worksheet!X143," до +",Worksheet!Y143),"")</f>
        <v>от -5 до +46</v>
      </c>
      <c r="AC147" t="str">
        <f>IF(Worksheet!Z143&lt;&gt;"",CONCATENATE("от ",Worksheet!Z143," до +",Worksheet!AA143),"")</f>
        <v>от -15 до +24</v>
      </c>
      <c r="AD147" s="6" t="s">
        <v>5173</v>
      </c>
      <c r="AE147" s="17"/>
    </row>
    <row r="148" spans="1:31" x14ac:dyDescent="0.25">
      <c r="A148" s="17" t="str">
        <f>IF(Worksheet!B144&lt;&gt;"",Worksheet!B144,"")</f>
        <v>LESSAR</v>
      </c>
      <c r="B148" t="str">
        <f>Worksheet!E144</f>
        <v>Сплит система</v>
      </c>
      <c r="C148" s="21">
        <f>IF(Worksheet!M144&lt;&gt;"",MID(Worksheet!M144,1,FIND(" ",Worksheet!M144,1)-1),"")*1</f>
        <v>2.0499999999999998</v>
      </c>
      <c r="D148">
        <f t="shared" ref="D148:D153" si="7">ROUND(LEFT(C148,3)*10,0)</f>
        <v>20</v>
      </c>
      <c r="E148" t="str">
        <f>IF(Worksheet!L144&lt;&gt;"",IF(Worksheet!L144="Y","да","нет"),"")</f>
        <v>да</v>
      </c>
      <c r="F148" s="21">
        <f>IF(Worksheet!N144&lt;&gt;"",MID(Worksheet!N144,1,FIND(" ",Worksheet!N144,1)-1),"")*1</f>
        <v>2.0499999999999998</v>
      </c>
      <c r="G148" s="21">
        <f>IF(Worksheet!O144&lt;&gt;"",MID(Worksheet!O144,1,FIND(" ",Worksheet!O144,1)-1),"")*1</f>
        <v>0.82199999999999995</v>
      </c>
      <c r="H148" s="21">
        <f>IF(Worksheet!P144&lt;&gt;"",MID(Worksheet!P144,1,FIND(" ",Worksheet!P144,1)-1),"")*1</f>
        <v>0.73099999999999998</v>
      </c>
      <c r="I148" s="6"/>
      <c r="J148" s="6"/>
      <c r="K148" t="str">
        <f>IF(Worksheet!BI144&lt;&gt;"",Worksheet!BI144,"")</f>
        <v>1 / 220 / 50</v>
      </c>
      <c r="L148" t="str">
        <f>IF(Worksheet!AU144&lt;&gt;"",Worksheet!AU144,"")</f>
        <v>R410A</v>
      </c>
      <c r="M148" s="6"/>
      <c r="N148" s="6"/>
      <c r="O148" t="str">
        <f>IF(Worksheet!CR144&lt;&gt;"",CONCATENATE(Worksheet!CR144," х ",Worksheet!CP144," х ",Worksheet!CT144),"")</f>
        <v>715 х 285 х 194</v>
      </c>
      <c r="P148" t="str">
        <f>IF(Worksheet!CS144&lt;&gt;"",CONCATENATE(Worksheet!CS144," х ",Worksheet!CU144," х ",Worksheet!CQ144),"")</f>
        <v>780 х 270 х 365</v>
      </c>
      <c r="Q148" t="str">
        <f>IF(Worksheet!CV144&lt;&gt;"",CONCATENATE(Worksheet!CV144," / ",Worksheet!CW144),"")</f>
        <v>7.7 / 9.8</v>
      </c>
      <c r="R148" t="str">
        <f>IF(Worksheet!BS144&lt;&gt;"",Worksheet!BS144,"")</f>
        <v>24/31/37.5</v>
      </c>
      <c r="S148" t="str">
        <f>IF(Worksheet!AL144&lt;&gt;"",Worksheet!AL144,"")</f>
        <v>GMCC</v>
      </c>
      <c r="T148" t="str">
        <f>IF(Worksheet!CJ144&lt;&gt;"",CONCATENATE(Worksheet!CJ144," х ",Worksheet!CL144," х ",Worksheet!CH144),"")</f>
        <v>681 х 285 х 434</v>
      </c>
      <c r="U148" t="str">
        <f>IF(Worksheet!CK144&lt;&gt;"",CONCATENATE(Worksheet!CK144," х ",Worksheet!CM144," х ",Worksheet!CI144),"")</f>
        <v>795 х 345 х 505</v>
      </c>
      <c r="V148" t="str">
        <f>IF(Worksheet!CN144&lt;&gt;"",CONCATENATE(Worksheet!CN144,"/",Worksheet!CO144),"")</f>
        <v>20.9/22.9</v>
      </c>
      <c r="W148" s="6"/>
      <c r="X148" s="7">
        <f>IF(Worksheet!AN144&lt;&gt;"",Worksheet!AN144,"")</f>
        <v>6.35</v>
      </c>
      <c r="Y148" s="7">
        <f>IF(Worksheet!AO144&lt;&gt;"",Worksheet!AO144,"")</f>
        <v>9.52</v>
      </c>
      <c r="Z148" s="17">
        <f>IF(Worksheet!Q144&lt;&gt;"",Worksheet!Q144,"")</f>
        <v>25</v>
      </c>
      <c r="AA148" s="17">
        <f>IF(Worksheet!R144&lt;&gt;"",Worksheet!R144,"")</f>
        <v>10</v>
      </c>
      <c r="AB148" t="str">
        <f>IF(Worksheet!X144&lt;&gt;"",CONCATENATE("от ",Worksheet!X144," до +",Worksheet!Y144),"")</f>
        <v/>
      </c>
      <c r="AC148" t="str">
        <f>IF(Worksheet!Z144&lt;&gt;"",CONCATENATE("от ",Worksheet!Z144," до +",Worksheet!AA144),"")</f>
        <v>от -15 до +30</v>
      </c>
      <c r="AD148" s="6" t="s">
        <v>5245</v>
      </c>
      <c r="AE148" s="17"/>
    </row>
    <row r="149" spans="1:31" x14ac:dyDescent="0.25">
      <c r="A149" s="17" t="str">
        <f>IF(Worksheet!B145&lt;&gt;"",Worksheet!B145,"")</f>
        <v>LESSAR</v>
      </c>
      <c r="B149" t="str">
        <f>Worksheet!E145</f>
        <v>Сплит система</v>
      </c>
      <c r="C149" s="21">
        <f>IF(Worksheet!M145&lt;&gt;"",MID(Worksheet!M145,1,FIND(" ",Worksheet!M145,1)-1),"")*1</f>
        <v>2.0499999999999998</v>
      </c>
      <c r="D149">
        <f t="shared" si="7"/>
        <v>20</v>
      </c>
      <c r="E149" t="str">
        <f>IF(Worksheet!L145&lt;&gt;"",IF(Worksheet!L145="Y","да","нет"),"")</f>
        <v>да</v>
      </c>
      <c r="F149" s="21">
        <f>IF(Worksheet!N145&lt;&gt;"",MID(Worksheet!N145,1,FIND(" ",Worksheet!N145,1)-1),"")*1</f>
        <v>2.34</v>
      </c>
      <c r="G149" s="21">
        <f>IF(Worksheet!O145&lt;&gt;"",MID(Worksheet!O145,1,FIND(" ",Worksheet!O145,1)-1),"")*1</f>
        <v>0.63900000000000001</v>
      </c>
      <c r="H149" s="21">
        <f>IF(Worksheet!P145&lt;&gt;"",MID(Worksheet!P145,1,FIND(" ",Worksheet!P145,1)-1),"")*1</f>
        <v>0.65</v>
      </c>
      <c r="I149" s="6"/>
      <c r="J149" s="6"/>
      <c r="K149" t="str">
        <f>IF(Worksheet!BI145&lt;&gt;"",Worksheet!BI145,"")</f>
        <v>1 / 220 / 50</v>
      </c>
      <c r="L149" t="str">
        <f>IF(Worksheet!AU145&lt;&gt;"",Worksheet!AU145,"")</f>
        <v>R410A</v>
      </c>
      <c r="M149" s="6"/>
      <c r="N149" s="6"/>
      <c r="O149" t="str">
        <f>IF(Worksheet!CR145&lt;&gt;"",CONCATENATE(Worksheet!CR145," х ",Worksheet!CP145," х ",Worksheet!CT145),"")</f>
        <v>715 х 285 х 194</v>
      </c>
      <c r="P149" t="str">
        <f>IF(Worksheet!CS145&lt;&gt;"",CONCATENATE(Worksheet!CS145," х ",Worksheet!CU145," х ",Worksheet!CQ145),"")</f>
        <v>780 х 270 х 365</v>
      </c>
      <c r="Q149" t="str">
        <f>IF(Worksheet!CV145&lt;&gt;"",CONCATENATE(Worksheet!CV145," / ",Worksheet!CW145),"")</f>
        <v>7.5 / 9.5</v>
      </c>
      <c r="R149" t="str">
        <f>IF(Worksheet!BS145&lt;&gt;"",Worksheet!BS145,"")</f>
        <v>24/30.5/36.5</v>
      </c>
      <c r="S149" t="str">
        <f>IF(Worksheet!AL145&lt;&gt;"",Worksheet!AL145,"")</f>
        <v>GMCC</v>
      </c>
      <c r="T149" t="str">
        <f>IF(Worksheet!CJ145&lt;&gt;"",CONCATENATE(Worksheet!CJ145," х ",Worksheet!CL145," х ",Worksheet!CH145),"")</f>
        <v>720 х 270 х 495</v>
      </c>
      <c r="U149" t="str">
        <f>IF(Worksheet!CK145&lt;&gt;"",CONCATENATE(Worksheet!CK145," х ",Worksheet!CM145," х ",Worksheet!CI145),"")</f>
        <v>835 х 300 х 540</v>
      </c>
      <c r="V149" t="str">
        <f>IF(Worksheet!CN145&lt;&gt;"",CONCATENATE(Worksheet!CN145,"/",Worksheet!CO145),"")</f>
        <v>22.8/24.8</v>
      </c>
      <c r="W149" s="6"/>
      <c r="X149" s="7">
        <f>IF(Worksheet!AN145&lt;&gt;"",Worksheet!AN145,"")</f>
        <v>6.35</v>
      </c>
      <c r="Y149" s="7">
        <f>IF(Worksheet!AO145&lt;&gt;"",Worksheet!AO145,"")</f>
        <v>9.52</v>
      </c>
      <c r="Z149" s="17">
        <f>IF(Worksheet!Q145&lt;&gt;"",Worksheet!Q145,"")</f>
        <v>25</v>
      </c>
      <c r="AA149" s="17">
        <f>IF(Worksheet!R145&lt;&gt;"",Worksheet!R145,"")</f>
        <v>10</v>
      </c>
      <c r="AB149" t="str">
        <f>IF(Worksheet!X145&lt;&gt;"",CONCATENATE("от ",Worksheet!X145," до +",Worksheet!Y145),"")</f>
        <v/>
      </c>
      <c r="AC149" t="str">
        <f>IF(Worksheet!Z145&lt;&gt;"",CONCATENATE("от ",Worksheet!Z145," до +",Worksheet!AA145),"")</f>
        <v>от -15 до +24</v>
      </c>
      <c r="AD149" s="6" t="s">
        <v>5245</v>
      </c>
      <c r="AE149" s="17"/>
    </row>
    <row r="150" spans="1:31" x14ac:dyDescent="0.25">
      <c r="A150" s="17" t="str">
        <f>IF(Worksheet!B146&lt;&gt;"",Worksheet!B146,"")</f>
        <v>LESSAR</v>
      </c>
      <c r="B150" t="str">
        <f>Worksheet!E146</f>
        <v>Сплит система</v>
      </c>
      <c r="C150" s="21">
        <f>IF(Worksheet!M146&lt;&gt;"",MID(Worksheet!M146,1,FIND(" ",Worksheet!M146,1)-1),"")*1</f>
        <v>2.64</v>
      </c>
      <c r="D150">
        <f t="shared" si="7"/>
        <v>26</v>
      </c>
      <c r="E150" t="str">
        <f>IF(Worksheet!L146&lt;&gt;"",IF(Worksheet!L146="Y","да","нет"),"")</f>
        <v>да</v>
      </c>
      <c r="F150" s="21">
        <f>IF(Worksheet!N146&lt;&gt;"",MID(Worksheet!N146,1,FIND(" ",Worksheet!N146,1)-1),"")*1</f>
        <v>2.64</v>
      </c>
      <c r="G150" s="21">
        <f>IF(Worksheet!O146&lt;&gt;"",MID(Worksheet!O146,1,FIND(" ",Worksheet!O146,1)-1),"")*1</f>
        <v>0.82199999999999995</v>
      </c>
      <c r="H150" s="21">
        <f>IF(Worksheet!P146&lt;&gt;"",MID(Worksheet!P146,1,FIND(" ",Worksheet!P146,1)-1),"")*1</f>
        <v>0.73099999999999998</v>
      </c>
      <c r="I150" s="6"/>
      <c r="J150" s="6"/>
      <c r="K150" t="str">
        <f>IF(Worksheet!BI146&lt;&gt;"",Worksheet!BI146,"")</f>
        <v>1 / 220 / 50</v>
      </c>
      <c r="L150" t="str">
        <f>IF(Worksheet!AU146&lt;&gt;"",Worksheet!AU146,"")</f>
        <v>R410A</v>
      </c>
      <c r="M150" s="6"/>
      <c r="N150" s="6"/>
      <c r="O150" t="str">
        <f>IF(Worksheet!CR146&lt;&gt;"",CONCATENATE(Worksheet!CR146," х ",Worksheet!CP146," х ",Worksheet!CT146),"")</f>
        <v>715 х 285 х 194</v>
      </c>
      <c r="P150" t="str">
        <f>IF(Worksheet!CS146&lt;&gt;"",CONCATENATE(Worksheet!CS146," х ",Worksheet!CU146," х ",Worksheet!CQ146),"")</f>
        <v>780 х 270 х 365</v>
      </c>
      <c r="Q150" t="str">
        <f>IF(Worksheet!CV146&lt;&gt;"",CONCATENATE(Worksheet!CV146," / ",Worksheet!CW146),"")</f>
        <v>7.7 / 9.8</v>
      </c>
      <c r="R150" t="str">
        <f>IF(Worksheet!BS146&lt;&gt;"",Worksheet!BS146,"")</f>
        <v>24/31/37.5</v>
      </c>
      <c r="S150" t="str">
        <f>IF(Worksheet!AL146&lt;&gt;"",Worksheet!AL146,"")</f>
        <v>GMCC</v>
      </c>
      <c r="T150" t="str">
        <f>IF(Worksheet!CJ146&lt;&gt;"",CONCATENATE(Worksheet!CJ146," х ",Worksheet!CL146," х ",Worksheet!CH146),"")</f>
        <v>681 х 285 х 434</v>
      </c>
      <c r="U150" t="str">
        <f>IF(Worksheet!CK146&lt;&gt;"",CONCATENATE(Worksheet!CK146," х ",Worksheet!CM146," х ",Worksheet!CI146),"")</f>
        <v>795 х 345 х 505</v>
      </c>
      <c r="V150" t="str">
        <f>IF(Worksheet!CN146&lt;&gt;"",CONCATENATE(Worksheet!CN146,"/",Worksheet!CO146),"")</f>
        <v>20.9/22.9</v>
      </c>
      <c r="W150" s="6"/>
      <c r="X150" s="7">
        <f>IF(Worksheet!AN146&lt;&gt;"",Worksheet!AN146,"")</f>
        <v>6.35</v>
      </c>
      <c r="Y150" s="7">
        <f>IF(Worksheet!AO146&lt;&gt;"",Worksheet!AO146,"")</f>
        <v>9.52</v>
      </c>
      <c r="Z150" s="17">
        <f>IF(Worksheet!Q146&lt;&gt;"",Worksheet!Q146,"")</f>
        <v>25</v>
      </c>
      <c r="AA150" s="17">
        <f>IF(Worksheet!R146&lt;&gt;"",Worksheet!R146,"")</f>
        <v>10</v>
      </c>
      <c r="AB150" t="str">
        <f>IF(Worksheet!X146&lt;&gt;"",CONCATENATE("от ",Worksheet!X146," до +",Worksheet!Y146),"")</f>
        <v/>
      </c>
      <c r="AC150" t="str">
        <f>IF(Worksheet!Z146&lt;&gt;"",CONCATENATE("от ",Worksheet!Z146," до +",Worksheet!AA146),"")</f>
        <v>от -15 до +30</v>
      </c>
      <c r="AD150" s="6" t="s">
        <v>5245</v>
      </c>
      <c r="AE150" s="17"/>
    </row>
    <row r="151" spans="1:31" x14ac:dyDescent="0.25">
      <c r="A151" s="17" t="str">
        <f>IF(Worksheet!B147&lt;&gt;"",Worksheet!B147,"")</f>
        <v>LESSAR</v>
      </c>
      <c r="B151" t="str">
        <f>Worksheet!E147</f>
        <v>Сплит система</v>
      </c>
      <c r="C151" s="21">
        <f>IF(Worksheet!M147&lt;&gt;"",MID(Worksheet!M147,1,FIND(" ",Worksheet!M147,1)-1),"")*1</f>
        <v>2.64</v>
      </c>
      <c r="D151">
        <f t="shared" si="7"/>
        <v>26</v>
      </c>
      <c r="E151" t="str">
        <f>IF(Worksheet!L147&lt;&gt;"",IF(Worksheet!L147="Y","да","нет"),"")</f>
        <v>да</v>
      </c>
      <c r="F151" s="21">
        <f>IF(Worksheet!N147&lt;&gt;"",MID(Worksheet!N147,1,FIND(" ",Worksheet!N147,1)-1),"")*1</f>
        <v>2.93</v>
      </c>
      <c r="G151" s="21">
        <f>IF(Worksheet!O147&lt;&gt;"",MID(Worksheet!O147,1,FIND(" ",Worksheet!O147,1)-1),"")*1</f>
        <v>0.82199999999999995</v>
      </c>
      <c r="H151" s="21">
        <f>IF(Worksheet!P147&lt;&gt;"",MID(Worksheet!P147,1,FIND(" ",Worksheet!P147,1)-1),"")*1</f>
        <v>0.81200000000000006</v>
      </c>
      <c r="I151" s="6"/>
      <c r="J151" s="6"/>
      <c r="K151" t="str">
        <f>IF(Worksheet!BI147&lt;&gt;"",Worksheet!BI147,"")</f>
        <v>1 / 220 / 50</v>
      </c>
      <c r="L151" t="str">
        <f>IF(Worksheet!AU147&lt;&gt;"",Worksheet!AU147,"")</f>
        <v>R410A</v>
      </c>
      <c r="M151" s="6"/>
      <c r="N151" s="6"/>
      <c r="O151" t="str">
        <f>IF(Worksheet!CR147&lt;&gt;"",CONCATENATE(Worksheet!CR147," х ",Worksheet!CP147," х ",Worksheet!CT147),"")</f>
        <v>715 х 285 х 194</v>
      </c>
      <c r="P151" t="str">
        <f>IF(Worksheet!CS147&lt;&gt;"",CONCATENATE(Worksheet!CS147," х ",Worksheet!CU147," х ",Worksheet!CQ147),"")</f>
        <v>780 х 270 х 365</v>
      </c>
      <c r="Q151" t="str">
        <f>IF(Worksheet!CV147&lt;&gt;"",CONCATENATE(Worksheet!CV147," / ",Worksheet!CW147),"")</f>
        <v>7.5 / 9.5</v>
      </c>
      <c r="R151" t="str">
        <f>IF(Worksheet!BS147&lt;&gt;"",Worksheet!BS147,"")</f>
        <v>24/30.5/36.5</v>
      </c>
      <c r="S151" t="str">
        <f>IF(Worksheet!AL147&lt;&gt;"",Worksheet!AL147,"")</f>
        <v>GMCC</v>
      </c>
      <c r="T151" t="str">
        <f>IF(Worksheet!CJ147&lt;&gt;"",CONCATENATE(Worksheet!CJ147," х ",Worksheet!CL147," х ",Worksheet!CH147),"")</f>
        <v>720 х 270 х 495</v>
      </c>
      <c r="U151" t="str">
        <f>IF(Worksheet!CK147&lt;&gt;"",CONCATENATE(Worksheet!CK147," х ",Worksheet!CM147," х ",Worksheet!CI147),"")</f>
        <v>835 х 300 х 540</v>
      </c>
      <c r="V151" t="str">
        <f>IF(Worksheet!CN147&lt;&gt;"",CONCATENATE(Worksheet!CN147,"/",Worksheet!CO147),"")</f>
        <v>22.8/24.8</v>
      </c>
      <c r="W151" s="6"/>
      <c r="X151" s="7">
        <f>IF(Worksheet!AN147&lt;&gt;"",Worksheet!AN147,"")</f>
        <v>6.35</v>
      </c>
      <c r="Y151" s="7">
        <f>IF(Worksheet!AO147&lt;&gt;"",Worksheet!AO147,"")</f>
        <v>9.52</v>
      </c>
      <c r="Z151" s="17">
        <f>IF(Worksheet!Q147&lt;&gt;"",Worksheet!Q147,"")</f>
        <v>25</v>
      </c>
      <c r="AA151" s="17">
        <f>IF(Worksheet!R147&lt;&gt;"",Worksheet!R147,"")</f>
        <v>10</v>
      </c>
      <c r="AB151" t="str">
        <f>IF(Worksheet!X147&lt;&gt;"",CONCATENATE("от ",Worksheet!X147," до +",Worksheet!Y147),"")</f>
        <v/>
      </c>
      <c r="AC151" t="str">
        <f>IF(Worksheet!Z147&lt;&gt;"",CONCATENATE("от ",Worksheet!Z147," до +",Worksheet!AA147),"")</f>
        <v>от -15 до +24</v>
      </c>
      <c r="AD151" s="6" t="s">
        <v>5245</v>
      </c>
      <c r="AE151" s="17"/>
    </row>
    <row r="152" spans="1:31" x14ac:dyDescent="0.25">
      <c r="A152" s="17" t="str">
        <f>IF(Worksheet!B148&lt;&gt;"",Worksheet!B148,"")</f>
        <v>LESSAR</v>
      </c>
      <c r="B152" t="str">
        <f>Worksheet!E148</f>
        <v>Сплит система</v>
      </c>
      <c r="C152" s="21">
        <f>IF(Worksheet!M148&lt;&gt;"",MID(Worksheet!M148,1,FIND(" ",Worksheet!M148,1)-1),"")*1</f>
        <v>3.22</v>
      </c>
      <c r="D152">
        <f t="shared" si="7"/>
        <v>32</v>
      </c>
      <c r="E152" t="str">
        <f>IF(Worksheet!L148&lt;&gt;"",IF(Worksheet!L148="Y","да","нет"),"")</f>
        <v>да</v>
      </c>
      <c r="F152" s="21">
        <f>IF(Worksheet!N148&lt;&gt;"",MID(Worksheet!N148,1,FIND(" ",Worksheet!N148,1)-1),"")*1</f>
        <v>3.52</v>
      </c>
      <c r="G152" s="21">
        <f>IF(Worksheet!O148&lt;&gt;"",MID(Worksheet!O148,1,FIND(" ",Worksheet!O148,1)-1),"")*1</f>
        <v>1.004</v>
      </c>
      <c r="H152" s="21">
        <f>IF(Worksheet!P148&lt;&gt;"",MID(Worksheet!P148,1,FIND(" ",Worksheet!P148,1)-1),"")*1</f>
        <v>0.97399999999999998</v>
      </c>
      <c r="I152" s="6"/>
      <c r="J152" s="6"/>
      <c r="K152" t="str">
        <f>IF(Worksheet!BI148&lt;&gt;"",Worksheet!BI148,"")</f>
        <v>1 / 220 / 50</v>
      </c>
      <c r="L152" t="str">
        <f>IF(Worksheet!AU148&lt;&gt;"",Worksheet!AU148,"")</f>
        <v>R410A</v>
      </c>
      <c r="M152" s="6"/>
      <c r="N152" s="6"/>
      <c r="O152" t="str">
        <f>IF(Worksheet!CR148&lt;&gt;"",CONCATENATE(Worksheet!CR148," х ",Worksheet!CP148," х ",Worksheet!CT148),"")</f>
        <v>715 х 285 х 194</v>
      </c>
      <c r="P152" t="str">
        <f>IF(Worksheet!CS148&lt;&gt;"",CONCATENATE(Worksheet!CS148," х ",Worksheet!CU148," х ",Worksheet!CQ148),"")</f>
        <v>780 х 270 х 360</v>
      </c>
      <c r="Q152" t="str">
        <f>IF(Worksheet!CV148&lt;&gt;"",CONCATENATE(Worksheet!CV148," / ",Worksheet!CW148),"")</f>
        <v>7.7 / 9.8</v>
      </c>
      <c r="R152" t="str">
        <f>IF(Worksheet!BS148&lt;&gt;"",Worksheet!BS148,"")</f>
        <v>26/34/39.5</v>
      </c>
      <c r="S152" t="str">
        <f>IF(Worksheet!AL148&lt;&gt;"",Worksheet!AL148,"")</f>
        <v>GMCC</v>
      </c>
      <c r="T152" t="str">
        <f>IF(Worksheet!CJ148&lt;&gt;"",CONCATENATE(Worksheet!CJ148," х ",Worksheet!CL148," х ",Worksheet!CH148),"")</f>
        <v>700 х 275 х 550</v>
      </c>
      <c r="U152" t="str">
        <f>IF(Worksheet!CK148&lt;&gt;"",CONCATENATE(Worksheet!CK148," х ",Worksheet!CM148," х ",Worksheet!CI148),"")</f>
        <v>815 х 325 х 615</v>
      </c>
      <c r="V152" t="str">
        <f>IF(Worksheet!CN148&lt;&gt;"",CONCATENATE(Worksheet!CN148,"/",Worksheet!CO148),"")</f>
        <v>22.7/25.1</v>
      </c>
      <c r="W152" s="6"/>
      <c r="X152" s="7">
        <f>IF(Worksheet!AN148&lt;&gt;"",Worksheet!AN148,"")</f>
        <v>6.35</v>
      </c>
      <c r="Y152" s="7">
        <f>IF(Worksheet!AO148&lt;&gt;"",Worksheet!AO148,"")</f>
        <v>9.52</v>
      </c>
      <c r="Z152" s="17">
        <f>IF(Worksheet!Q148&lt;&gt;"",Worksheet!Q148,"")</f>
        <v>25</v>
      </c>
      <c r="AA152" s="17">
        <f>IF(Worksheet!R148&lt;&gt;"",Worksheet!R148,"")</f>
        <v>10</v>
      </c>
      <c r="AB152" t="str">
        <f>IF(Worksheet!X148&lt;&gt;"",CONCATENATE("от ",Worksheet!X148," до +",Worksheet!Y148),"")</f>
        <v/>
      </c>
      <c r="AC152" t="str">
        <f>IF(Worksheet!Z148&lt;&gt;"",CONCATENATE("от ",Worksheet!Z148," до +",Worksheet!AA148),"")</f>
        <v>от -15 до +30</v>
      </c>
      <c r="AD152" s="6" t="s">
        <v>5245</v>
      </c>
      <c r="AE152" s="17"/>
    </row>
    <row r="153" spans="1:31" x14ac:dyDescent="0.25">
      <c r="A153" s="17" t="str">
        <f>IF(Worksheet!B149&lt;&gt;"",Worksheet!B149,"")</f>
        <v>LESSAR</v>
      </c>
      <c r="B153" t="str">
        <f>Worksheet!E149</f>
        <v>Сплит система</v>
      </c>
      <c r="C153" s="21">
        <f>IF(Worksheet!M149&lt;&gt;"",MID(Worksheet!M149,1,FIND(" ",Worksheet!M149,1)-1),"")*1</f>
        <v>3.36</v>
      </c>
      <c r="D153">
        <f t="shared" si="7"/>
        <v>33</v>
      </c>
      <c r="E153" t="str">
        <f>IF(Worksheet!L149&lt;&gt;"",IF(Worksheet!L149="Y","да","нет"),"")</f>
        <v>да</v>
      </c>
      <c r="F153" s="21">
        <f>IF(Worksheet!N149&lt;&gt;"",MID(Worksheet!N149,1,FIND(" ",Worksheet!N149,1)-1),"")*1</f>
        <v>3.69</v>
      </c>
      <c r="G153" s="21">
        <f>IF(Worksheet!O149&lt;&gt;"",MID(Worksheet!O149,1,FIND(" ",Worksheet!O149,1)-1),"")*1</f>
        <v>1.0449999999999999</v>
      </c>
      <c r="H153" s="21">
        <f>IF(Worksheet!P149&lt;&gt;"",MID(Worksheet!P149,1,FIND(" ",Worksheet!P149,1)-1),"")*1</f>
        <v>1.0229999999999999</v>
      </c>
      <c r="I153" s="6"/>
      <c r="J153" s="6"/>
      <c r="K153" t="str">
        <f>IF(Worksheet!BI149&lt;&gt;"",Worksheet!BI149,"")</f>
        <v>1 / 220 / 50</v>
      </c>
      <c r="L153" t="str">
        <f>IF(Worksheet!AU149&lt;&gt;"",Worksheet!AU149,"")</f>
        <v>R410A</v>
      </c>
      <c r="M153" s="6"/>
      <c r="N153" s="6"/>
      <c r="O153" t="str">
        <f>IF(Worksheet!CR149&lt;&gt;"",CONCATENATE(Worksheet!CR149," х ",Worksheet!CP149," х ",Worksheet!CT149),"")</f>
        <v>715 х 285 х 194</v>
      </c>
      <c r="P153" t="str">
        <f>IF(Worksheet!CS149&lt;&gt;"",CONCATENATE(Worksheet!CS149," х ",Worksheet!CU149," х ",Worksheet!CQ149),"")</f>
        <v>780 х 270 х 365</v>
      </c>
      <c r="Q153" t="str">
        <f>IF(Worksheet!CV149&lt;&gt;"",CONCATENATE(Worksheet!CV149," / ",Worksheet!CW149),"")</f>
        <v>7.7 / 9.8</v>
      </c>
      <c r="R153" t="str">
        <f>IF(Worksheet!BS149&lt;&gt;"",Worksheet!BS149,"")</f>
        <v>26/35.5/39.5</v>
      </c>
      <c r="S153" t="str">
        <f>IF(Worksheet!AL149&lt;&gt;"",Worksheet!AL149,"")</f>
        <v>GMCC</v>
      </c>
      <c r="T153" t="str">
        <f>IF(Worksheet!CJ149&lt;&gt;"",CONCATENATE(Worksheet!CJ149," х ",Worksheet!CL149," х ",Worksheet!CH149),"")</f>
        <v>720 х 270 х 495</v>
      </c>
      <c r="U153" t="str">
        <f>IF(Worksheet!CK149&lt;&gt;"",CONCATENATE(Worksheet!CK149," х ",Worksheet!CM149," х ",Worksheet!CI149),"")</f>
        <v>835 х 300 х 540</v>
      </c>
      <c r="V153" t="str">
        <f>IF(Worksheet!CN149&lt;&gt;"",CONCATENATE(Worksheet!CN149,"/",Worksheet!CO149),"")</f>
        <v>23.5/25.3</v>
      </c>
      <c r="W153" s="6"/>
      <c r="X153" s="7">
        <f>IF(Worksheet!AN149&lt;&gt;"",Worksheet!AN149,"")</f>
        <v>6.35</v>
      </c>
      <c r="Y153" s="7">
        <f>IF(Worksheet!AO149&lt;&gt;"",Worksheet!AO149,"")</f>
        <v>9.52</v>
      </c>
      <c r="Z153" s="17">
        <f>IF(Worksheet!Q149&lt;&gt;"",Worksheet!Q149,"")</f>
        <v>25</v>
      </c>
      <c r="AA153" s="17">
        <f>IF(Worksheet!R149&lt;&gt;"",Worksheet!R149,"")</f>
        <v>10</v>
      </c>
      <c r="AB153" t="str">
        <f>IF(Worksheet!X149&lt;&gt;"",CONCATENATE("от ",Worksheet!X149," до +",Worksheet!Y149),"")</f>
        <v/>
      </c>
      <c r="AC153" t="str">
        <f>IF(Worksheet!Z149&lt;&gt;"",CONCATENATE("от ",Worksheet!Z149," до +",Worksheet!AA149),"")</f>
        <v>от -15 до +30</v>
      </c>
      <c r="AD153" s="6" t="s">
        <v>5245</v>
      </c>
      <c r="AE153" s="17"/>
    </row>
    <row r="154" spans="1:31" x14ac:dyDescent="0.25">
      <c r="A154" s="17" t="str">
        <f>IF(Worksheet!B150&lt;&gt;"",Worksheet!B150,"")</f>
        <v>LESSAR</v>
      </c>
      <c r="B154" t="str">
        <f>Worksheet!E150</f>
        <v>Сплит система</v>
      </c>
      <c r="C154">
        <f>IF(Worksheet!M150&lt;&gt;"",Worksheet!M150,"")</f>
        <v>2.2000000000000002</v>
      </c>
      <c r="D154">
        <f t="shared" si="6"/>
        <v>22</v>
      </c>
      <c r="E154" t="str">
        <f>IF(Worksheet!L150&lt;&gt;"",IF(Worksheet!L150="Y","да","нет"),"")</f>
        <v>нет</v>
      </c>
      <c r="F154">
        <f>IF(Worksheet!N150&lt;&gt;"",Worksheet!N150,"")</f>
        <v>2.34</v>
      </c>
      <c r="G154">
        <f>IF(Worksheet!O150&lt;&gt;"",Worksheet!O150,"")</f>
        <v>0.68500000000000005</v>
      </c>
      <c r="H154">
        <f>IF(Worksheet!P150&lt;&gt;"",Worksheet!P150,"")</f>
        <v>0.64900000000000002</v>
      </c>
      <c r="I154" s="6"/>
      <c r="J154" s="6"/>
      <c r="K154" t="str">
        <f>IF(Worksheet!BI150&lt;&gt;"",Worksheet!BI150,"")</f>
        <v>1 / 220 / 50</v>
      </c>
      <c r="L154" t="str">
        <f>IF(Worksheet!AU150&lt;&gt;"",Worksheet!AU150,"")</f>
        <v>R410A</v>
      </c>
      <c r="M154" s="6"/>
      <c r="N154" s="6"/>
      <c r="O154" t="str">
        <f>IF(Worksheet!CR150&lt;&gt;"",CONCATENATE(Worksheet!CR150," х ",Worksheet!CP150," х ",Worksheet!CT150),"")</f>
        <v>722 х 290 х 187</v>
      </c>
      <c r="P154" t="str">
        <f>IF(Worksheet!CS150&lt;&gt;"",CONCATENATE(Worksheet!CS150," х ",Worksheet!CU150," х ",Worksheet!CQ150),"")</f>
        <v>790 х 270 х 375</v>
      </c>
      <c r="Q154" t="str">
        <f>IF(Worksheet!CV150&lt;&gt;"",CONCATENATE(Worksheet!CV150," / ",Worksheet!CW150),"")</f>
        <v>8.3 / 10.6</v>
      </c>
      <c r="R154" t="str">
        <f>IF(Worksheet!BS150&lt;&gt;"",Worksheet!BS150,"")</f>
        <v>26/34.5/38</v>
      </c>
      <c r="S154" t="str">
        <f>IF(Worksheet!AL150&lt;&gt;"",Worksheet!AL150,"")</f>
        <v>GMCC</v>
      </c>
      <c r="T154" t="str">
        <f>IF(Worksheet!CJ150&lt;&gt;"",CONCATENATE(Worksheet!CJ150," х ",Worksheet!CL150," х ",Worksheet!CH150),"")</f>
        <v>700 х 275 х 550</v>
      </c>
      <c r="U154" t="str">
        <f>IF(Worksheet!CK150&lt;&gt;"",CONCATENATE(Worksheet!CK150," х ",Worksheet!CM150," х ",Worksheet!CI150),"")</f>
        <v>815 х 325 х 625</v>
      </c>
      <c r="V154" t="str">
        <f>IF(Worksheet!CN150&lt;&gt;"",CONCATENATE(Worksheet!CN150,"/",Worksheet!CO150),"")</f>
        <v>23.9/26.2</v>
      </c>
      <c r="W154" s="6"/>
      <c r="X154" s="7">
        <f>IF(Worksheet!AN150&lt;&gt;"",Worksheet!AN150,"")</f>
        <v>6.35</v>
      </c>
      <c r="Y154" s="7">
        <f>IF(Worksheet!AO150&lt;&gt;"",Worksheet!AO150,"")</f>
        <v>9.52</v>
      </c>
      <c r="Z154" s="17">
        <f>IF(Worksheet!Q150&lt;&gt;"",Worksheet!Q150,"")</f>
        <v>20</v>
      </c>
      <c r="AA154" s="17">
        <f>IF(Worksheet!R150&lt;&gt;"",Worksheet!R150,"")</f>
        <v>8</v>
      </c>
      <c r="AB154" t="str">
        <f>IF(Worksheet!X150&lt;&gt;"",CONCATENATE("от ",Worksheet!X150," до +",Worksheet!Y150),"")</f>
        <v>от 18 до +43</v>
      </c>
      <c r="AC154" t="str">
        <f>IF(Worksheet!Z150&lt;&gt;"",CONCATENATE("от ",Worksheet!Z150," до +",Worksheet!AA150),"")</f>
        <v>от -7 до +24</v>
      </c>
      <c r="AD154" s="6" t="s">
        <v>5245</v>
      </c>
      <c r="AE154" s="17"/>
    </row>
    <row r="155" spans="1:31" x14ac:dyDescent="0.25">
      <c r="A155" s="17" t="str">
        <f>IF(Worksheet!B151&lt;&gt;"",Worksheet!B151,"")</f>
        <v>LESSAR</v>
      </c>
      <c r="B155" t="str">
        <f>Worksheet!E151</f>
        <v>Сплит система</v>
      </c>
      <c r="C155">
        <f>IF(Worksheet!M151&lt;&gt;"",Worksheet!M151,"")</f>
        <v>2.2799999999999998</v>
      </c>
      <c r="D155">
        <f t="shared" si="6"/>
        <v>23</v>
      </c>
      <c r="E155" t="str">
        <f>IF(Worksheet!L151&lt;&gt;"",IF(Worksheet!L151="Y","да","нет"),"")</f>
        <v>нет</v>
      </c>
      <c r="F155">
        <f>IF(Worksheet!N151&lt;&gt;"",Worksheet!N151,"")</f>
        <v>2.2799999999999998</v>
      </c>
      <c r="G155">
        <f>IF(Worksheet!O151&lt;&gt;"",Worksheet!O151,"")</f>
        <v>0.69299999999999995</v>
      </c>
      <c r="H155">
        <f>IF(Worksheet!P151&lt;&gt;"",Worksheet!P151,"")</f>
        <v>0.61699999999999999</v>
      </c>
      <c r="I155" s="6"/>
      <c r="J155" s="6"/>
      <c r="K155" t="str">
        <f>IF(Worksheet!BI151&lt;&gt;"",Worksheet!BI151,"")</f>
        <v>1 / 220 / 50</v>
      </c>
      <c r="L155" t="str">
        <f>IF(Worksheet!AU151&lt;&gt;"",Worksheet!AU151,"")</f>
        <v>R410A</v>
      </c>
      <c r="M155" s="6"/>
      <c r="N155" s="6"/>
      <c r="O155" t="str">
        <f>IF(Worksheet!CR151&lt;&gt;"",CONCATENATE(Worksheet!CR151," х ",Worksheet!CP151," х ",Worksheet!CT151),"")</f>
        <v>722 х 290 х 187</v>
      </c>
      <c r="P155" t="str">
        <f>IF(Worksheet!CS151&lt;&gt;"",CONCATENATE(Worksheet!CS151," х ",Worksheet!CU151," х ",Worksheet!CQ151),"")</f>
        <v>790 х 270 х 375</v>
      </c>
      <c r="Q155" t="str">
        <f>IF(Worksheet!CV151&lt;&gt;"",CONCATENATE(Worksheet!CV151," / ",Worksheet!CW151),"")</f>
        <v>8.1 / 10.4</v>
      </c>
      <c r="R155" t="str">
        <f>IF(Worksheet!BS151&lt;&gt;"",Worksheet!BS151,"")</f>
        <v>26/35/40.5</v>
      </c>
      <c r="S155" t="str">
        <f>IF(Worksheet!AL151&lt;&gt;"",Worksheet!AL151,"")</f>
        <v>GMCC</v>
      </c>
      <c r="T155" t="str">
        <f>IF(Worksheet!CJ151&lt;&gt;"",CONCATENATE(Worksheet!CJ151," х ",Worksheet!CL151," х ",Worksheet!CH151),"")</f>
        <v>720 х 270 х 495</v>
      </c>
      <c r="U155" t="str">
        <f>IF(Worksheet!CK151&lt;&gt;"",CONCATENATE(Worksheet!CK151," х ",Worksheet!CM151," х ",Worksheet!CI151),"")</f>
        <v>835 х 300 х 540</v>
      </c>
      <c r="V155" t="str">
        <f>IF(Worksheet!CN151&lt;&gt;"",CONCATENATE(Worksheet!CN151,"/",Worksheet!CO151),"")</f>
        <v>24.6/26.5</v>
      </c>
      <c r="W155" s="6"/>
      <c r="X155" s="7">
        <f>IF(Worksheet!AN151&lt;&gt;"",Worksheet!AN151,"")</f>
        <v>6.35</v>
      </c>
      <c r="Y155" s="7">
        <f>IF(Worksheet!AO151&lt;&gt;"",Worksheet!AO151,"")</f>
        <v>9.52</v>
      </c>
      <c r="Z155" s="17">
        <f>IF(Worksheet!Q151&lt;&gt;"",Worksheet!Q151,"")</f>
        <v>20</v>
      </c>
      <c r="AA155" s="17">
        <f>IF(Worksheet!R151&lt;&gt;"",Worksheet!R151,"")</f>
        <v>8</v>
      </c>
      <c r="AB155" t="str">
        <f>IF(Worksheet!X151&lt;&gt;"",CONCATENATE("от ",Worksheet!X151," до +",Worksheet!Y151),"")</f>
        <v>от 18 до +43</v>
      </c>
      <c r="AC155" t="str">
        <f>IF(Worksheet!Z151&lt;&gt;"",CONCATENATE("от ",Worksheet!Z151," до +",Worksheet!AA151),"")</f>
        <v>от -7 до +24</v>
      </c>
      <c r="AD155" s="6" t="s">
        <v>5245</v>
      </c>
      <c r="AE155" s="17"/>
    </row>
    <row r="156" spans="1:31" x14ac:dyDescent="0.25">
      <c r="A156" s="17" t="str">
        <f>IF(Worksheet!B152&lt;&gt;"",Worksheet!B152,"")</f>
        <v>LESSAR</v>
      </c>
      <c r="B156" t="str">
        <f>Worksheet!E152</f>
        <v>Сплит система</v>
      </c>
      <c r="C156">
        <f>IF(Worksheet!M152&lt;&gt;"",Worksheet!M152,"")</f>
        <v>2.64</v>
      </c>
      <c r="D156">
        <f t="shared" si="6"/>
        <v>26</v>
      </c>
      <c r="E156" t="str">
        <f>IF(Worksheet!L152&lt;&gt;"",IF(Worksheet!L152="Y","да","нет"),"")</f>
        <v>нет</v>
      </c>
      <c r="F156">
        <f>IF(Worksheet!N152&lt;&gt;"",Worksheet!N152,"")</f>
        <v>2.81</v>
      </c>
      <c r="G156">
        <f>IF(Worksheet!O152&lt;&gt;"",Worksheet!O152,"")</f>
        <v>0.82099999999999995</v>
      </c>
      <c r="H156">
        <f>IF(Worksheet!P152&lt;&gt;"",Worksheet!P152,"")</f>
        <v>0.77100000000000002</v>
      </c>
      <c r="I156" s="6"/>
      <c r="J156" s="6"/>
      <c r="K156" t="str">
        <f>IF(Worksheet!BI152&lt;&gt;"",Worksheet!BI152,"")</f>
        <v>1 / 220 / 50</v>
      </c>
      <c r="L156" t="str">
        <f>IF(Worksheet!AU152&lt;&gt;"",Worksheet!AU152,"")</f>
        <v>R410A</v>
      </c>
      <c r="M156" s="6"/>
      <c r="N156" s="6"/>
      <c r="O156" t="str">
        <f>IF(Worksheet!CR152&lt;&gt;"",CONCATENATE(Worksheet!CR152," х ",Worksheet!CP152," х ",Worksheet!CT152),"")</f>
        <v>722 х 290 х 187</v>
      </c>
      <c r="P156" t="str">
        <f>IF(Worksheet!CS152&lt;&gt;"",CONCATENATE(Worksheet!CS152," х ",Worksheet!CU152," х ",Worksheet!CQ152),"")</f>
        <v>790 х 270 х 375</v>
      </c>
      <c r="Q156" t="str">
        <f>IF(Worksheet!CV152&lt;&gt;"",CONCATENATE(Worksheet!CV152," / ",Worksheet!CW152),"")</f>
        <v>8.2 / 10.2</v>
      </c>
      <c r="R156" t="str">
        <f>IF(Worksheet!BS152&lt;&gt;"",Worksheet!BS152,"")</f>
        <v>26.5/33/41</v>
      </c>
      <c r="S156" t="str">
        <f>IF(Worksheet!AL152&lt;&gt;"",Worksheet!AL152,"")</f>
        <v>GMCC</v>
      </c>
      <c r="T156" t="str">
        <f>IF(Worksheet!CJ152&lt;&gt;"",CONCATENATE(Worksheet!CJ152," х ",Worksheet!CL152," х ",Worksheet!CH152),"")</f>
        <v>720 х 270 х 495</v>
      </c>
      <c r="U156" t="str">
        <f>IF(Worksheet!CK152&lt;&gt;"",CONCATENATE(Worksheet!CK152," х ",Worksheet!CM152," х ",Worksheet!CI152),"")</f>
        <v>835 х 300 х 540</v>
      </c>
      <c r="V156" t="str">
        <f>IF(Worksheet!CN152&lt;&gt;"",CONCATENATE(Worksheet!CN152,"/",Worksheet!CO152),"")</f>
        <v>24.9/26.6</v>
      </c>
      <c r="W156" s="6"/>
      <c r="X156" s="7">
        <f>IF(Worksheet!AN152&lt;&gt;"",Worksheet!AN152,"")</f>
        <v>6.35</v>
      </c>
      <c r="Y156" s="7">
        <f>IF(Worksheet!AO152&lt;&gt;"",Worksheet!AO152,"")</f>
        <v>9.52</v>
      </c>
      <c r="Z156" s="17">
        <f>IF(Worksheet!Q152&lt;&gt;"",Worksheet!Q152,"")</f>
        <v>20</v>
      </c>
      <c r="AA156" s="17">
        <f>IF(Worksheet!R152&lt;&gt;"",Worksheet!R152,"")</f>
        <v>8</v>
      </c>
      <c r="AB156" t="str">
        <f>IF(Worksheet!X152&lt;&gt;"",CONCATENATE("от ",Worksheet!X152," до +",Worksheet!Y152),"")</f>
        <v>от 18 до +43</v>
      </c>
      <c r="AC156" t="str">
        <f>IF(Worksheet!Z152&lt;&gt;"",CONCATENATE("от ",Worksheet!Z152," до +",Worksheet!AA152),"")</f>
        <v>от -7 до +24</v>
      </c>
      <c r="AD156" s="6" t="s">
        <v>5245</v>
      </c>
      <c r="AE156" s="17"/>
    </row>
    <row r="157" spans="1:31" x14ac:dyDescent="0.25">
      <c r="A157" s="17" t="str">
        <f>IF(Worksheet!B153&lt;&gt;"",Worksheet!B153,"")</f>
        <v>LESSAR</v>
      </c>
      <c r="B157" t="str">
        <f>Worksheet!E153</f>
        <v>Сплит система</v>
      </c>
      <c r="C157">
        <f>IF(Worksheet!M153&lt;&gt;"",Worksheet!M153,"")</f>
        <v>3.52</v>
      </c>
      <c r="D157">
        <f t="shared" si="6"/>
        <v>35</v>
      </c>
      <c r="E157" t="str">
        <f>IF(Worksheet!L153&lt;&gt;"",IF(Worksheet!L153="Y","да","нет"),"")</f>
        <v>нет</v>
      </c>
      <c r="F157">
        <f>IF(Worksheet!N153&lt;&gt;"",Worksheet!N153,"")</f>
        <v>3.81</v>
      </c>
      <c r="G157">
        <f>IF(Worksheet!O153&lt;&gt;"",Worksheet!O153,"")</f>
        <v>1.0960000000000001</v>
      </c>
      <c r="H157">
        <f>IF(Worksheet!P153&lt;&gt;"",Worksheet!P153,"")</f>
        <v>1.0549999999999999</v>
      </c>
      <c r="I157" s="6"/>
      <c r="J157" s="6"/>
      <c r="K157" t="str">
        <f>IF(Worksheet!BI153&lt;&gt;"",Worksheet!BI153,"")</f>
        <v>1 / 220 / 50</v>
      </c>
      <c r="L157" t="str">
        <f>IF(Worksheet!AU153&lt;&gt;"",Worksheet!AU153,"")</f>
        <v>R410A</v>
      </c>
      <c r="M157" s="6"/>
      <c r="N157" s="6"/>
      <c r="O157" t="str">
        <f>IF(Worksheet!CR153&lt;&gt;"",CONCATENATE(Worksheet!CR153," х ",Worksheet!CP153," х ",Worksheet!CT153),"")</f>
        <v>802 х 297 х 189</v>
      </c>
      <c r="P157" t="str">
        <f>IF(Worksheet!CS153&lt;&gt;"",CONCATENATE(Worksheet!CS153," х ",Worksheet!CU153," х ",Worksheet!CQ153),"")</f>
        <v>875 х 285 х 380</v>
      </c>
      <c r="Q157" t="str">
        <f>IF(Worksheet!CV153&lt;&gt;"",CONCATENATE(Worksheet!CV153," / ",Worksheet!CW153),"")</f>
        <v>8.8 / 11</v>
      </c>
      <c r="R157" t="str">
        <f>IF(Worksheet!BS153&lt;&gt;"",Worksheet!BS153,"")</f>
        <v>26.5/35.5/37.5</v>
      </c>
      <c r="S157" t="str">
        <f>IF(Worksheet!AL153&lt;&gt;"",Worksheet!AL153,"")</f>
        <v>GMCC</v>
      </c>
      <c r="T157" t="str">
        <f>IF(Worksheet!CJ153&lt;&gt;"",CONCATENATE(Worksheet!CJ153," х ",Worksheet!CL153," х ",Worksheet!CH153),"")</f>
        <v>770 х 300 х 555</v>
      </c>
      <c r="U157" t="str">
        <f>IF(Worksheet!CK153&lt;&gt;"",CONCATENATE(Worksheet!CK153," х ",Worksheet!CM153," х ",Worksheet!CI153),"")</f>
        <v>900 х 345 х 595</v>
      </c>
      <c r="V157" t="str">
        <f>IF(Worksheet!CN153&lt;&gt;"",CONCATENATE(Worksheet!CN153,"/",Worksheet!CO153),"")</f>
        <v>31.2/33.5</v>
      </c>
      <c r="W157" s="6"/>
      <c r="X157" s="7">
        <f>IF(Worksheet!AN153&lt;&gt;"",Worksheet!AN153,"")</f>
        <v>6.35</v>
      </c>
      <c r="Y157" s="7">
        <f>IF(Worksheet!AO153&lt;&gt;"",Worksheet!AO153,"")</f>
        <v>12.7</v>
      </c>
      <c r="Z157" s="17">
        <f>IF(Worksheet!Q153&lt;&gt;"",Worksheet!Q153,"")</f>
        <v>20</v>
      </c>
      <c r="AA157" s="17">
        <f>IF(Worksheet!R153&lt;&gt;"",Worksheet!R153,"")</f>
        <v>8</v>
      </c>
      <c r="AB157" t="str">
        <f>IF(Worksheet!X153&lt;&gt;"",CONCATENATE("от ",Worksheet!X153," до +",Worksheet!Y153),"")</f>
        <v>от 18 до +43</v>
      </c>
      <c r="AC157" t="str">
        <f>IF(Worksheet!Z153&lt;&gt;"",CONCATENATE("от ",Worksheet!Z153," до +",Worksheet!AA153),"")</f>
        <v>от -7 до +24</v>
      </c>
      <c r="AD157" s="6" t="s">
        <v>5245</v>
      </c>
      <c r="AE157" s="17"/>
    </row>
    <row r="158" spans="1:31" x14ac:dyDescent="0.25">
      <c r="A158" s="17" t="str">
        <f>IF(Worksheet!B154&lt;&gt;"",Worksheet!B154,"")</f>
        <v>LESSAR</v>
      </c>
      <c r="B158" t="str">
        <f>Worksheet!E154</f>
        <v>Сплит система</v>
      </c>
      <c r="C158">
        <f>IF(Worksheet!M154&lt;&gt;"",Worksheet!M154,"")</f>
        <v>5.28</v>
      </c>
      <c r="D158">
        <f t="shared" si="6"/>
        <v>53</v>
      </c>
      <c r="E158" t="str">
        <f>IF(Worksheet!L154&lt;&gt;"",IF(Worksheet!L154="Y","да","нет"),"")</f>
        <v>нет</v>
      </c>
      <c r="F158">
        <f>IF(Worksheet!N154&lt;&gt;"",Worksheet!N154,"")</f>
        <v>5.42</v>
      </c>
      <c r="G158">
        <f>IF(Worksheet!O154&lt;&gt;"",Worksheet!O154,"")</f>
        <v>1.6439999999999999</v>
      </c>
      <c r="H158">
        <f>IF(Worksheet!P154&lt;&gt;"",Worksheet!P154,"")</f>
        <v>1.502</v>
      </c>
      <c r="I158" s="6"/>
      <c r="J158" s="6"/>
      <c r="K158" t="str">
        <f>IF(Worksheet!BI154&lt;&gt;"",Worksheet!BI154,"")</f>
        <v>1 / 220 / 50</v>
      </c>
      <c r="L158" t="str">
        <f>IF(Worksheet!AU154&lt;&gt;"",Worksheet!AU154,"")</f>
        <v>R410A</v>
      </c>
      <c r="M158" s="6"/>
      <c r="N158" s="6"/>
      <c r="O158" t="str">
        <f>IF(Worksheet!CR154&lt;&gt;"",CONCATENATE(Worksheet!CR154," х ",Worksheet!CP154," х ",Worksheet!CT154),"")</f>
        <v>965 х 319 х 215</v>
      </c>
      <c r="P158" t="str">
        <f>IF(Worksheet!CS154&lt;&gt;"",CONCATENATE(Worksheet!CS154," х ",Worksheet!CU154," х ",Worksheet!CQ154),"")</f>
        <v>1045 х 305 х 410</v>
      </c>
      <c r="Q158" t="str">
        <f>IF(Worksheet!CV154&lt;&gt;"",CONCATENATE(Worksheet!CV154," / ",Worksheet!CW154),"")</f>
        <v>11.6 / 14.8</v>
      </c>
      <c r="R158" t="str">
        <f>IF(Worksheet!BS154&lt;&gt;"",Worksheet!BS154,"")</f>
        <v>30/38.5/42.5</v>
      </c>
      <c r="S158" t="str">
        <f>IF(Worksheet!AL154&lt;&gt;"",Worksheet!AL154,"")</f>
        <v>GMCC</v>
      </c>
      <c r="T158" t="str">
        <f>IF(Worksheet!CJ154&lt;&gt;"",CONCATENATE(Worksheet!CJ154," х ",Worksheet!CL154," х ",Worksheet!CH154),"")</f>
        <v>770 х 300 х 555</v>
      </c>
      <c r="U158" t="str">
        <f>IF(Worksheet!CK154&lt;&gt;"",CONCATENATE(Worksheet!CK154," х ",Worksheet!CM154," х ",Worksheet!CI154),"")</f>
        <v>900 х 348 х 625</v>
      </c>
      <c r="V158" t="str">
        <f>IF(Worksheet!CN154&lt;&gt;"",CONCATENATE(Worksheet!CN154,"/",Worksheet!CO154),"")</f>
        <v>37.7/40</v>
      </c>
      <c r="W158" s="6"/>
      <c r="X158" s="7">
        <f>IF(Worksheet!AN154&lt;&gt;"",Worksheet!AN154,"")</f>
        <v>6.35</v>
      </c>
      <c r="Y158" s="7">
        <f>IF(Worksheet!AO154&lt;&gt;"",Worksheet!AO154,"")</f>
        <v>12.7</v>
      </c>
      <c r="Z158" s="17">
        <f>IF(Worksheet!Q154&lt;&gt;"",Worksheet!Q154,"")</f>
        <v>25</v>
      </c>
      <c r="AA158" s="17">
        <f>IF(Worksheet!R154&lt;&gt;"",Worksheet!R154,"")</f>
        <v>10</v>
      </c>
      <c r="AB158" t="str">
        <f>IF(Worksheet!X154&lt;&gt;"",CONCATENATE("от ",Worksheet!X154," до +",Worksheet!Y154),"")</f>
        <v>от 18 до +43</v>
      </c>
      <c r="AC158" t="str">
        <f>IF(Worksheet!Z154&lt;&gt;"",CONCATENATE("от ",Worksheet!Z154," до +",Worksheet!AA154),"")</f>
        <v>от -7 до +24</v>
      </c>
      <c r="AD158" s="6" t="s">
        <v>5245</v>
      </c>
      <c r="AE158" s="17"/>
    </row>
    <row r="159" spans="1:31" x14ac:dyDescent="0.25">
      <c r="A159" s="17" t="str">
        <f>IF(Worksheet!B155&lt;&gt;"",Worksheet!B155,"")</f>
        <v>LESSAR</v>
      </c>
      <c r="B159" t="str">
        <f>Worksheet!E155</f>
        <v>Сплит система</v>
      </c>
      <c r="C159">
        <f>IF(Worksheet!M155&lt;&gt;"",Worksheet!M155,"")</f>
        <v>7.03</v>
      </c>
      <c r="D159">
        <f t="shared" si="6"/>
        <v>70</v>
      </c>
      <c r="E159" t="str">
        <f>IF(Worksheet!L155&lt;&gt;"",IF(Worksheet!L155="Y","да","нет"),"")</f>
        <v>нет</v>
      </c>
      <c r="F159">
        <f>IF(Worksheet!N155&lt;&gt;"",Worksheet!N155,"")</f>
        <v>7.62</v>
      </c>
      <c r="G159">
        <f>IF(Worksheet!O155&lt;&gt;"",Worksheet!O155,"")</f>
        <v>2.5030000000000001</v>
      </c>
      <c r="H159">
        <f>IF(Worksheet!P155&lt;&gt;"",Worksheet!P155,"")</f>
        <v>2.3740000000000001</v>
      </c>
      <c r="I159" s="6"/>
      <c r="J159" s="6"/>
      <c r="K159" t="str">
        <f>IF(Worksheet!BI155&lt;&gt;"",Worksheet!BI155,"")</f>
        <v>1 / 220 / 50</v>
      </c>
      <c r="L159" t="str">
        <f>IF(Worksheet!AU155&lt;&gt;"",Worksheet!AU155,"")</f>
        <v>R410A</v>
      </c>
      <c r="M159" s="6"/>
      <c r="N159" s="6"/>
      <c r="O159" t="str">
        <f>IF(Worksheet!CR155&lt;&gt;"",CONCATENATE(Worksheet!CR155," х ",Worksheet!CP155," х ",Worksheet!CT155),"")</f>
        <v>1080 х 335 х 226</v>
      </c>
      <c r="P159" t="str">
        <f>IF(Worksheet!CS155&lt;&gt;"",CONCATENATE(Worksheet!CS155," х ",Worksheet!CU155," х ",Worksheet!CQ155),"")</f>
        <v>1155 х 320 х 415</v>
      </c>
      <c r="Q159" t="str">
        <f>IF(Worksheet!CV155&lt;&gt;"",CONCATENATE(Worksheet!CV155," / ",Worksheet!CW155),"")</f>
        <v>14 / 17.5</v>
      </c>
      <c r="R159" t="str">
        <f>IF(Worksheet!BS155&lt;&gt;"",Worksheet!BS155,"")</f>
        <v>40/44/47</v>
      </c>
      <c r="S159" t="str">
        <f>IF(Worksheet!AL155&lt;&gt;"",Worksheet!AL155,"")</f>
        <v>GMCC</v>
      </c>
      <c r="T159" t="str">
        <f>IF(Worksheet!CJ155&lt;&gt;"",CONCATENATE(Worksheet!CJ155," х ",Worksheet!CL155," х ",Worksheet!CH155),"")</f>
        <v>845 х 363 х 702</v>
      </c>
      <c r="U159" t="str">
        <f>IF(Worksheet!CK155&lt;&gt;"",CONCATENATE(Worksheet!CK155," х ",Worksheet!CM155," х ",Worksheet!CI155),"")</f>
        <v>965 х 395 х 775</v>
      </c>
      <c r="V159" t="str">
        <f>IF(Worksheet!CN155&lt;&gt;"",CONCATENATE(Worksheet!CN155,"/",Worksheet!CO155),"")</f>
        <v>50.6/53.8</v>
      </c>
      <c r="W159" s="6"/>
      <c r="X159" s="7">
        <f>IF(Worksheet!AN155&lt;&gt;"",Worksheet!AN155,"")</f>
        <v>9.52</v>
      </c>
      <c r="Y159" s="7">
        <f>IF(Worksheet!AO155&lt;&gt;"",Worksheet!AO155,"")</f>
        <v>15.9</v>
      </c>
      <c r="Z159" s="17">
        <f>IF(Worksheet!Q155&lt;&gt;"",Worksheet!Q155,"")</f>
        <v>25</v>
      </c>
      <c r="AA159" s="17">
        <f>IF(Worksheet!R155&lt;&gt;"",Worksheet!R155,"")</f>
        <v>10</v>
      </c>
      <c r="AB159" t="str">
        <f>IF(Worksheet!X155&lt;&gt;"",CONCATENATE("от ",Worksheet!X155," до +",Worksheet!Y155),"")</f>
        <v>от 18 до +43</v>
      </c>
      <c r="AC159" t="str">
        <f>IF(Worksheet!Z155&lt;&gt;"",CONCATENATE("от ",Worksheet!Z155," до +",Worksheet!AA155),"")</f>
        <v>от -7 до +24</v>
      </c>
      <c r="AD159" s="6" t="s">
        <v>5245</v>
      </c>
      <c r="AE159" s="17"/>
    </row>
    <row r="160" spans="1:31" x14ac:dyDescent="0.25">
      <c r="A160" s="17" t="str">
        <f>IF(Worksheet!B156&lt;&gt;"",Worksheet!B156,"")</f>
        <v>LESSAR</v>
      </c>
      <c r="B160" t="str">
        <f>Worksheet!E156</f>
        <v>Сплит система</v>
      </c>
      <c r="C160">
        <f>IF(Worksheet!M156&lt;&gt;"",Worksheet!M156,"")</f>
        <v>8.2100000000000009</v>
      </c>
      <c r="D160">
        <f t="shared" si="6"/>
        <v>82</v>
      </c>
      <c r="E160" t="str">
        <f>IF(Worksheet!L156&lt;&gt;"",IF(Worksheet!L156="Y","да","нет"),"")</f>
        <v>нет</v>
      </c>
      <c r="F160">
        <f>IF(Worksheet!N156&lt;&gt;"",Worksheet!N156,"")</f>
        <v>8.5</v>
      </c>
      <c r="G160">
        <f>IF(Worksheet!O156&lt;&gt;"",Worksheet!O156,"")</f>
        <v>2.556</v>
      </c>
      <c r="H160">
        <f>IF(Worksheet!P156&lt;&gt;"",Worksheet!P156,"")</f>
        <v>2.3540000000000001</v>
      </c>
      <c r="I160" s="6"/>
      <c r="J160" s="6"/>
      <c r="K160" t="str">
        <f>IF(Worksheet!BI156&lt;&gt;"",Worksheet!BI156,"")</f>
        <v>1 / 220 / 50</v>
      </c>
      <c r="L160" t="str">
        <f>IF(Worksheet!AU156&lt;&gt;"",Worksheet!AU156,"")</f>
        <v>R410A</v>
      </c>
      <c r="M160" s="6"/>
      <c r="N160" s="6"/>
      <c r="O160" t="str">
        <f>IF(Worksheet!CR156&lt;&gt;"",CONCATENATE(Worksheet!CR156," х ",Worksheet!CP156," х ",Worksheet!CT156),"")</f>
        <v>1259 х 362 х 282</v>
      </c>
      <c r="P160" t="str">
        <f>IF(Worksheet!CS156&lt;&gt;"",CONCATENATE(Worksheet!CS156," х ",Worksheet!CU156," х ",Worksheet!CQ156),"")</f>
        <v>1340 х 385 х 450</v>
      </c>
      <c r="Q160" t="str">
        <f>IF(Worksheet!CV156&lt;&gt;"",CONCATENATE(Worksheet!CV156," / ",Worksheet!CW156),"")</f>
        <v>20.1 / 25.9</v>
      </c>
      <c r="R160" t="str">
        <f>IF(Worksheet!BS156&lt;&gt;"",Worksheet!BS156,"")</f>
        <v>40/47/50</v>
      </c>
      <c r="S160" t="str">
        <f>IF(Worksheet!AL156&lt;&gt;"",Worksheet!AL156,"")</f>
        <v>GMCC</v>
      </c>
      <c r="T160" t="str">
        <f>IF(Worksheet!CJ156&lt;&gt;"",CONCATENATE(Worksheet!CJ156," х ",Worksheet!CL156," х ",Worksheet!CH156),"")</f>
        <v>946 х 410 х 810</v>
      </c>
      <c r="U160" t="str">
        <f>IF(Worksheet!CK156&lt;&gt;"",CONCATENATE(Worksheet!CK156," х ",Worksheet!CM156," х ",Worksheet!CI156),"")</f>
        <v>1090 х 500 х 885</v>
      </c>
      <c r="V160" t="str">
        <f>IF(Worksheet!CN156&lt;&gt;"",CONCATENATE(Worksheet!CN156,"/",Worksheet!CO156),"")</f>
        <v>62.5/68.5</v>
      </c>
      <c r="W160" s="6"/>
      <c r="X160" s="7">
        <f>IF(Worksheet!AN156&lt;&gt;"",Worksheet!AN156,"")</f>
        <v>9.52</v>
      </c>
      <c r="Y160" s="7">
        <f>IF(Worksheet!AO156&lt;&gt;"",Worksheet!AO156,"")</f>
        <v>15.9</v>
      </c>
      <c r="Z160" s="17">
        <f>IF(Worksheet!Q156&lt;&gt;"",Worksheet!Q156,"")</f>
        <v>25</v>
      </c>
      <c r="AA160" s="17">
        <f>IF(Worksheet!R156&lt;&gt;"",Worksheet!R156,"")</f>
        <v>10</v>
      </c>
      <c r="AB160" t="str">
        <f>IF(Worksheet!X156&lt;&gt;"",CONCATENATE("от ",Worksheet!X156," до +",Worksheet!Y156),"")</f>
        <v>от 18 до +54</v>
      </c>
      <c r="AC160" t="str">
        <f>IF(Worksheet!Z156&lt;&gt;"",CONCATENATE("от ",Worksheet!Z156," до +",Worksheet!AA156),"")</f>
        <v>от -7 до +24</v>
      </c>
      <c r="AD160" s="6" t="s">
        <v>5245</v>
      </c>
      <c r="AE160" s="17"/>
    </row>
    <row r="161" spans="1:31" x14ac:dyDescent="0.25">
      <c r="A161" s="17" t="str">
        <f>IF(Worksheet!B157&lt;&gt;"",Worksheet!B157,"")</f>
        <v>LESSAR</v>
      </c>
      <c r="B161" t="str">
        <f>Worksheet!E157</f>
        <v>Сплит система</v>
      </c>
      <c r="C161">
        <f>IF(Worksheet!M157&lt;&gt;"",Worksheet!M157,"")</f>
        <v>9.9600000000000009</v>
      </c>
      <c r="D161">
        <f t="shared" si="6"/>
        <v>100</v>
      </c>
      <c r="E161" t="str">
        <f>IF(Worksheet!L157&lt;&gt;"",IF(Worksheet!L157="Y","да","нет"),"")</f>
        <v>нет</v>
      </c>
      <c r="F161">
        <f>IF(Worksheet!N157&lt;&gt;"",Worksheet!N157,"")</f>
        <v>10.84</v>
      </c>
      <c r="G161">
        <f>IF(Worksheet!O157&lt;&gt;"",Worksheet!O157,"")</f>
        <v>3.1040000000000001</v>
      </c>
      <c r="H161">
        <f>IF(Worksheet!P157&lt;&gt;"",Worksheet!P157,"")</f>
        <v>3.08</v>
      </c>
      <c r="I161" s="6"/>
      <c r="J161" s="6"/>
      <c r="K161" t="str">
        <f>IF(Worksheet!BI157&lt;&gt;"",Worksheet!BI157,"")</f>
        <v>1 / 220 / 50</v>
      </c>
      <c r="L161" t="str">
        <f>IF(Worksheet!AU157&lt;&gt;"",Worksheet!AU157,"")</f>
        <v>R410A</v>
      </c>
      <c r="M161" s="6"/>
      <c r="N161" s="6"/>
      <c r="O161" t="str">
        <f>IF(Worksheet!CR157&lt;&gt;"",CONCATENATE(Worksheet!CR157," х ",Worksheet!CP157," х ",Worksheet!CT157),"")</f>
        <v>1260 х 362 х 283</v>
      </c>
      <c r="P161" t="str">
        <f>IF(Worksheet!CS157&lt;&gt;"",CONCATENATE(Worksheet!CS157," х ",Worksheet!CU157," х ",Worksheet!CQ157),"")</f>
        <v>1340 х 385 х 450</v>
      </c>
      <c r="Q161" t="str">
        <f>IF(Worksheet!CV157&lt;&gt;"",CONCATENATE(Worksheet!CV157," / ",Worksheet!CW157),"")</f>
        <v>21.8 / 27.6</v>
      </c>
      <c r="R161" t="str">
        <f>IF(Worksheet!BS157&lt;&gt;"",Worksheet!BS157,"")</f>
        <v>42/47/51</v>
      </c>
      <c r="S161" t="str">
        <f>IF(Worksheet!AL157&lt;&gt;"",Worksheet!AL157,"")</f>
        <v>GMCC</v>
      </c>
      <c r="T161" t="str">
        <f>IF(Worksheet!CJ157&lt;&gt;"",CONCATENATE(Worksheet!CJ157," х ",Worksheet!CL157," х ",Worksheet!CH157),"")</f>
        <v>946 х 410 х 810</v>
      </c>
      <c r="U161" t="str">
        <f>IF(Worksheet!CK157&lt;&gt;"",CONCATENATE(Worksheet!CK157," х ",Worksheet!CM157," х ",Worksheet!CI157),"")</f>
        <v>1090 х 500 х 885</v>
      </c>
      <c r="V161" t="str">
        <f>IF(Worksheet!CN157&lt;&gt;"",CONCATENATE(Worksheet!CN157,"/",Worksheet!CO157),"")</f>
        <v>70/76.5</v>
      </c>
      <c r="W161" s="6"/>
      <c r="X161" s="7">
        <f>IF(Worksheet!AN157&lt;&gt;"",Worksheet!AN157,"")</f>
        <v>9.52</v>
      </c>
      <c r="Y161" s="7">
        <f>IF(Worksheet!AO157&lt;&gt;"",Worksheet!AO157,"")</f>
        <v>15.9</v>
      </c>
      <c r="Z161" s="17">
        <f>IF(Worksheet!Q157&lt;&gt;"",Worksheet!Q157,"")</f>
        <v>25</v>
      </c>
      <c r="AA161" s="17">
        <f>IF(Worksheet!R157&lt;&gt;"",Worksheet!R157,"")</f>
        <v>10</v>
      </c>
      <c r="AB161" t="str">
        <f>IF(Worksheet!X157&lt;&gt;"",CONCATENATE("от ",Worksheet!X157," до +",Worksheet!Y157),"")</f>
        <v>от 18 до +43</v>
      </c>
      <c r="AC161" t="str">
        <f>IF(Worksheet!Z157&lt;&gt;"",CONCATENATE("от ",Worksheet!Z157," до +",Worksheet!AA157),"")</f>
        <v>от -7 до +24</v>
      </c>
      <c r="AD161" s="6" t="s">
        <v>5245</v>
      </c>
      <c r="AE161" s="17"/>
    </row>
    <row r="162" spans="1:31" x14ac:dyDescent="0.25">
      <c r="A162" s="17" t="str">
        <f>IF(Worksheet!B158&lt;&gt;"",Worksheet!B158,"")</f>
        <v>LESSAR</v>
      </c>
      <c r="B162" t="str">
        <f>Worksheet!E158</f>
        <v>Сплит система</v>
      </c>
      <c r="C162">
        <f>IF(Worksheet!M158&lt;&gt;"",Worksheet!M158,"")</f>
        <v>2.0499999999999998</v>
      </c>
      <c r="D162">
        <f t="shared" si="6"/>
        <v>21</v>
      </c>
      <c r="E162" t="str">
        <f>IF(Worksheet!L158&lt;&gt;"",IF(Worksheet!L158="Y","да","нет"),"")</f>
        <v>нет</v>
      </c>
      <c r="F162">
        <f>IF(Worksheet!N158&lt;&gt;"",Worksheet!N158,"")</f>
        <v>2.34</v>
      </c>
      <c r="G162">
        <f>IF(Worksheet!O158&lt;&gt;"",Worksheet!O158,"")</f>
        <v>0.63900000000000001</v>
      </c>
      <c r="H162">
        <f>IF(Worksheet!P158&lt;&gt;"",Worksheet!P158,"")</f>
        <v>0.64900000000000002</v>
      </c>
      <c r="I162" s="6"/>
      <c r="J162" s="6"/>
      <c r="K162" t="str">
        <f>IF(Worksheet!BI158&lt;&gt;"",Worksheet!BI158,"")</f>
        <v>1 / 220 / 50</v>
      </c>
      <c r="L162" t="str">
        <f>IF(Worksheet!AU158&lt;&gt;"",Worksheet!AU158,"")</f>
        <v>R32</v>
      </c>
      <c r="M162" s="6"/>
      <c r="N162" s="6"/>
      <c r="O162" t="str">
        <f>IF(Worksheet!CR158&lt;&gt;"",CONCATENATE(Worksheet!CR158," х ",Worksheet!CP158," х ",Worksheet!CT158),"")</f>
        <v>722 х 290 х 187</v>
      </c>
      <c r="P162" t="str">
        <f>IF(Worksheet!CS158&lt;&gt;"",CONCATENATE(Worksheet!CS158," х ",Worksheet!CU158," х ",Worksheet!CQ158),"")</f>
        <v>790 х 270 х 375</v>
      </c>
      <c r="Q162" t="str">
        <f>IF(Worksheet!CV158&lt;&gt;"",CONCATENATE(Worksheet!CV158," / ",Worksheet!CW158),"")</f>
        <v>8.1 / 10.4</v>
      </c>
      <c r="R162" t="str">
        <f>IF(Worksheet!BS158&lt;&gt;"",Worksheet!BS158,"")</f>
        <v>26.5/38/41</v>
      </c>
      <c r="S162" t="str">
        <f>IF(Worksheet!AL158&lt;&gt;"",Worksheet!AL158,"")</f>
        <v>GMCC</v>
      </c>
      <c r="T162" t="str">
        <f>IF(Worksheet!CJ158&lt;&gt;"",CONCATENATE(Worksheet!CJ158," х ",Worksheet!CL158," х ",Worksheet!CH158),"")</f>
        <v>720 х 270 х 495</v>
      </c>
      <c r="U162" t="str">
        <f>IF(Worksheet!CK158&lt;&gt;"",CONCATENATE(Worksheet!CK158," х ",Worksheet!CM158," х ",Worksheet!CI158),"")</f>
        <v>835 х 300 х 540</v>
      </c>
      <c r="V162" t="str">
        <f>IF(Worksheet!CN158&lt;&gt;"",CONCATENATE(Worksheet!CN158,"/",Worksheet!CO158),"")</f>
        <v>23.9/25.6</v>
      </c>
      <c r="W162" s="6"/>
      <c r="X162" s="7">
        <f>IF(Worksheet!AN158&lt;&gt;"",Worksheet!AN158,"")</f>
        <v>6.35</v>
      </c>
      <c r="Y162" s="7">
        <f>IF(Worksheet!AO158&lt;&gt;"",Worksheet!AO158,"")</f>
        <v>9.52</v>
      </c>
      <c r="Z162" s="17">
        <f>IF(Worksheet!Q158&lt;&gt;"",Worksheet!Q158,"")</f>
        <v>20</v>
      </c>
      <c r="AA162" s="17">
        <f>IF(Worksheet!R158&lt;&gt;"",Worksheet!R158,"")</f>
        <v>8</v>
      </c>
      <c r="AB162" t="str">
        <f>IF(Worksheet!X158&lt;&gt;"",CONCATENATE("от ",Worksheet!X158," до +",Worksheet!Y158),"")</f>
        <v>от 18 до +43</v>
      </c>
      <c r="AC162" t="str">
        <f>IF(Worksheet!Z158&lt;&gt;"",CONCATENATE("от ",Worksheet!Z158," до +",Worksheet!AA158),"")</f>
        <v>от -7 до +24</v>
      </c>
      <c r="AD162" s="6" t="s">
        <v>5245</v>
      </c>
      <c r="AE162" s="17"/>
    </row>
    <row r="163" spans="1:31" x14ac:dyDescent="0.25">
      <c r="A163" s="17" t="str">
        <f>IF(Worksheet!B159&lt;&gt;"",Worksheet!B159,"")</f>
        <v>LESSAR</v>
      </c>
      <c r="B163" t="str">
        <f>Worksheet!E159</f>
        <v>Сплит система</v>
      </c>
      <c r="C163">
        <f>IF(Worksheet!M159&lt;&gt;"",Worksheet!M159,"")</f>
        <v>2.64</v>
      </c>
      <c r="D163">
        <f t="shared" si="6"/>
        <v>26</v>
      </c>
      <c r="E163" t="str">
        <f>IF(Worksheet!L159&lt;&gt;"",IF(Worksheet!L159="Y","да","нет"),"")</f>
        <v>нет</v>
      </c>
      <c r="F163">
        <f>IF(Worksheet!N159&lt;&gt;"",Worksheet!N159,"")</f>
        <v>2.64</v>
      </c>
      <c r="G163">
        <f>IF(Worksheet!O159&lt;&gt;"",Worksheet!O159,"")</f>
        <v>0.82099999999999995</v>
      </c>
      <c r="H163">
        <f>IF(Worksheet!P159&lt;&gt;"",Worksheet!P159,"")</f>
        <v>0.73</v>
      </c>
      <c r="I163" s="6"/>
      <c r="J163" s="6"/>
      <c r="K163" t="str">
        <f>IF(Worksheet!BI159&lt;&gt;"",Worksheet!BI159,"")</f>
        <v>1 / 220 / 50</v>
      </c>
      <c r="L163" t="str">
        <f>IF(Worksheet!AU159&lt;&gt;"",Worksheet!AU159,"")</f>
        <v>R32</v>
      </c>
      <c r="M163" s="6"/>
      <c r="N163" s="6"/>
      <c r="O163" t="str">
        <f>IF(Worksheet!CR159&lt;&gt;"",CONCATENATE(Worksheet!CR159," х ",Worksheet!CP159," х ",Worksheet!CT159),"")</f>
        <v>722 х 290 х 187</v>
      </c>
      <c r="P163" t="str">
        <f>IF(Worksheet!CS159&lt;&gt;"",CONCATENATE(Worksheet!CS159," х ",Worksheet!CU159," х ",Worksheet!CQ159),"")</f>
        <v>790 х 270 х 375</v>
      </c>
      <c r="Q163" t="str">
        <f>IF(Worksheet!CV159&lt;&gt;"",CONCATENATE(Worksheet!CV159," / ",Worksheet!CW159),"")</f>
        <v>8.1 / 10.4</v>
      </c>
      <c r="R163" t="str">
        <f>IF(Worksheet!BS159&lt;&gt;"",Worksheet!BS159,"")</f>
        <v>26.5/38/41</v>
      </c>
      <c r="S163" t="str">
        <f>IF(Worksheet!AL159&lt;&gt;"",Worksheet!AL159,"")</f>
        <v>GMCC</v>
      </c>
      <c r="T163" t="str">
        <f>IF(Worksheet!CJ159&lt;&gt;"",CONCATENATE(Worksheet!CJ159," х ",Worksheet!CL159," х ",Worksheet!CH159),"")</f>
        <v>720 х 270 х 495</v>
      </c>
      <c r="U163" t="str">
        <f>IF(Worksheet!CK159&lt;&gt;"",CONCATENATE(Worksheet!CK159," х ",Worksheet!CM159," х ",Worksheet!CI159),"")</f>
        <v>835 х 300 х 540</v>
      </c>
      <c r="V163" t="str">
        <f>IF(Worksheet!CN159&lt;&gt;"",CONCATENATE(Worksheet!CN159,"/",Worksheet!CO159),"")</f>
        <v>24.2/26</v>
      </c>
      <c r="W163" s="6"/>
      <c r="X163" s="7">
        <f>IF(Worksheet!AN159&lt;&gt;"",Worksheet!AN159,"")</f>
        <v>6.35</v>
      </c>
      <c r="Y163" s="7">
        <f>IF(Worksheet!AO159&lt;&gt;"",Worksheet!AO159,"")</f>
        <v>9.52</v>
      </c>
      <c r="Z163" s="17">
        <f>IF(Worksheet!Q159&lt;&gt;"",Worksheet!Q159,"")</f>
        <v>20</v>
      </c>
      <c r="AA163" s="17">
        <f>IF(Worksheet!R159&lt;&gt;"",Worksheet!R159,"")</f>
        <v>8</v>
      </c>
      <c r="AB163" t="str">
        <f>IF(Worksheet!X159&lt;&gt;"",CONCATENATE("от ",Worksheet!X159," до +",Worksheet!Y159),"")</f>
        <v>от 18 до +43</v>
      </c>
      <c r="AC163" t="str">
        <f>IF(Worksheet!Z159&lt;&gt;"",CONCATENATE("от ",Worksheet!Z159," до +",Worksheet!AA159),"")</f>
        <v>от -7 до +24</v>
      </c>
      <c r="AD163" s="6" t="s">
        <v>5245</v>
      </c>
      <c r="AE163" s="17"/>
    </row>
    <row r="164" spans="1:31" x14ac:dyDescent="0.25">
      <c r="A164" s="17" t="str">
        <f>IF(Worksheet!B160&lt;&gt;"",Worksheet!B160,"")</f>
        <v>LESSAR</v>
      </c>
      <c r="B164" t="str">
        <f>Worksheet!E160</f>
        <v>Сплит система</v>
      </c>
      <c r="C164">
        <f>IF(Worksheet!M160&lt;&gt;"",Worksheet!M160,"")</f>
        <v>3.52</v>
      </c>
      <c r="D164">
        <f t="shared" si="6"/>
        <v>35</v>
      </c>
      <c r="E164" t="str">
        <f>IF(Worksheet!L160&lt;&gt;"",IF(Worksheet!L160="Y","да","нет"),"")</f>
        <v>нет</v>
      </c>
      <c r="F164">
        <f>IF(Worksheet!N160&lt;&gt;"",Worksheet!N160,"")</f>
        <v>3.66</v>
      </c>
      <c r="G164">
        <f>IF(Worksheet!O160&lt;&gt;"",Worksheet!O160,"")</f>
        <v>1.095</v>
      </c>
      <c r="H164">
        <f>IF(Worksheet!P160&lt;&gt;"",Worksheet!P160,"")</f>
        <v>1.0149999999999999</v>
      </c>
      <c r="I164" s="6"/>
      <c r="J164" s="6"/>
      <c r="K164" t="str">
        <f>IF(Worksheet!BI160&lt;&gt;"",Worksheet!BI160,"")</f>
        <v>1 / 220 / 50</v>
      </c>
      <c r="L164" t="str">
        <f>IF(Worksheet!AU160&lt;&gt;"",Worksheet!AU160,"")</f>
        <v>R32</v>
      </c>
      <c r="M164" s="6"/>
      <c r="N164" s="6"/>
      <c r="O164" t="str">
        <f>IF(Worksheet!CR160&lt;&gt;"",CONCATENATE(Worksheet!CR160," х ",Worksheet!CP160," х ",Worksheet!CT160),"")</f>
        <v>802 х 297 х 189</v>
      </c>
      <c r="P164" t="str">
        <f>IF(Worksheet!CS160&lt;&gt;"",CONCATENATE(Worksheet!CS160," х ",Worksheet!CU160," х ",Worksheet!CQ160),"")</f>
        <v>875 х 285 х 380</v>
      </c>
      <c r="Q164" t="str">
        <f>IF(Worksheet!CV160&lt;&gt;"",CONCATENATE(Worksheet!CV160," / ",Worksheet!CW160),"")</f>
        <v>9 / 11.4</v>
      </c>
      <c r="R164" t="str">
        <f>IF(Worksheet!BS160&lt;&gt;"",Worksheet!BS160,"")</f>
        <v>26.5/34.5/37.5</v>
      </c>
      <c r="S164" t="str">
        <f>IF(Worksheet!AL160&lt;&gt;"",Worksheet!AL160,"")</f>
        <v>GMCC</v>
      </c>
      <c r="T164" t="str">
        <f>IF(Worksheet!CJ160&lt;&gt;"",CONCATENATE(Worksheet!CJ160," х ",Worksheet!CL160," х ",Worksheet!CH160),"")</f>
        <v>720 х 270 х 495</v>
      </c>
      <c r="U164" t="str">
        <f>IF(Worksheet!CK160&lt;&gt;"",CONCATENATE(Worksheet!CK160," х ",Worksheet!CM160," х ",Worksheet!CI160),"")</f>
        <v>835 х 300 х 540</v>
      </c>
      <c r="V164" t="str">
        <f>IF(Worksheet!CN160&lt;&gt;"",CONCATENATE(Worksheet!CN160,"/",Worksheet!CO160),"")</f>
        <v>26/27.7</v>
      </c>
      <c r="W164" s="6"/>
      <c r="X164" s="7">
        <f>IF(Worksheet!AN160&lt;&gt;"",Worksheet!AN160,"")</f>
        <v>6.35</v>
      </c>
      <c r="Y164" s="7">
        <f>IF(Worksheet!AO160&lt;&gt;"",Worksheet!AO160,"")</f>
        <v>12.7</v>
      </c>
      <c r="Z164" s="17">
        <f>IF(Worksheet!Q160&lt;&gt;"",Worksheet!Q160,"")</f>
        <v>20</v>
      </c>
      <c r="AA164" s="17">
        <f>IF(Worksheet!R160&lt;&gt;"",Worksheet!R160,"")</f>
        <v>8</v>
      </c>
      <c r="AB164" t="str">
        <f>IF(Worksheet!X160&lt;&gt;"",CONCATENATE("от ",Worksheet!X160," до +",Worksheet!Y160),"")</f>
        <v>от 18 до +43</v>
      </c>
      <c r="AC164" t="str">
        <f>IF(Worksheet!Z160&lt;&gt;"",CONCATENATE("от ",Worksheet!Z160," до +",Worksheet!AA160),"")</f>
        <v>от -7 до +24</v>
      </c>
      <c r="AD164" s="6" t="s">
        <v>5245</v>
      </c>
      <c r="AE164" s="17"/>
    </row>
    <row r="165" spans="1:31" x14ac:dyDescent="0.25">
      <c r="A165" s="17" t="str">
        <f>IF(Worksheet!B161&lt;&gt;"",Worksheet!B161,"")</f>
        <v>LESSAR</v>
      </c>
      <c r="B165" t="str">
        <f>Worksheet!E161</f>
        <v>Сплит система</v>
      </c>
      <c r="C165">
        <f>IF(Worksheet!M161&lt;&gt;"",Worksheet!M161,"")</f>
        <v>5.28</v>
      </c>
      <c r="D165">
        <f t="shared" si="6"/>
        <v>53</v>
      </c>
      <c r="E165" t="str">
        <f>IF(Worksheet!L161&lt;&gt;"",IF(Worksheet!L161="Y","да","нет"),"")</f>
        <v>нет</v>
      </c>
      <c r="F165">
        <f>IF(Worksheet!N161&lt;&gt;"",Worksheet!N161,"")</f>
        <v>5.57</v>
      </c>
      <c r="G165">
        <f>IF(Worksheet!O161&lt;&gt;"",Worksheet!O161,"")</f>
        <v>1.643</v>
      </c>
      <c r="H165">
        <f>IF(Worksheet!P161&lt;&gt;"",Worksheet!P161,"")</f>
        <v>1.542</v>
      </c>
      <c r="I165" s="6"/>
      <c r="J165" s="6"/>
      <c r="K165" t="str">
        <f>IF(Worksheet!BI161&lt;&gt;"",Worksheet!BI161,"")</f>
        <v>1 / 220 / 50</v>
      </c>
      <c r="L165" t="str">
        <f>IF(Worksheet!AU161&lt;&gt;"",Worksheet!AU161,"")</f>
        <v>R32</v>
      </c>
      <c r="M165" s="6"/>
      <c r="N165" s="6"/>
      <c r="O165" t="str">
        <f>IF(Worksheet!CR161&lt;&gt;"",CONCATENATE(Worksheet!CR161," х ",Worksheet!CP161," х ",Worksheet!CT161),"")</f>
        <v>965 х 319 х 215</v>
      </c>
      <c r="P165" t="str">
        <f>IF(Worksheet!CS161&lt;&gt;"",CONCATENATE(Worksheet!CS161," х ",Worksheet!CU161," х ",Worksheet!CQ161),"")</f>
        <v>1045 х 305 х 410</v>
      </c>
      <c r="Q165" t="str">
        <f>IF(Worksheet!CV161&lt;&gt;"",CONCATENATE(Worksheet!CV161," / ",Worksheet!CW161),"")</f>
        <v>12.1 / 15.3</v>
      </c>
      <c r="R165" t="str">
        <f>IF(Worksheet!BS161&lt;&gt;"",Worksheet!BS161,"")</f>
        <v>34.5/38/45</v>
      </c>
      <c r="S165" t="str">
        <f>IF(Worksheet!AL161&lt;&gt;"",Worksheet!AL161,"")</f>
        <v>GMCC</v>
      </c>
      <c r="T165" t="str">
        <f>IF(Worksheet!CJ161&lt;&gt;"",CONCATENATE(Worksheet!CJ161," х ",Worksheet!CL161," х ",Worksheet!CH161),"")</f>
        <v>765 х 303 х 555</v>
      </c>
      <c r="U165" t="str">
        <f>IF(Worksheet!CK161&lt;&gt;"",CONCATENATE(Worksheet!CK161," х ",Worksheet!CM161," х ",Worksheet!CI161),"")</f>
        <v>887 х 337 х 610</v>
      </c>
      <c r="V165" t="str">
        <f>IF(Worksheet!CN161&lt;&gt;"",CONCATENATE(Worksheet!CN161,"/",Worksheet!CO161),"")</f>
        <v>34.5/37</v>
      </c>
      <c r="W165" s="6"/>
      <c r="X165" s="7">
        <f>IF(Worksheet!AN161&lt;&gt;"",Worksheet!AN161,"")</f>
        <v>6.35</v>
      </c>
      <c r="Y165" s="7">
        <f>IF(Worksheet!AO161&lt;&gt;"",Worksheet!AO161,"")</f>
        <v>12.7</v>
      </c>
      <c r="Z165" s="17">
        <f>IF(Worksheet!Q161&lt;&gt;"",Worksheet!Q161,"")</f>
        <v>25</v>
      </c>
      <c r="AA165" s="17">
        <f>IF(Worksheet!R161&lt;&gt;"",Worksheet!R161,"")</f>
        <v>10</v>
      </c>
      <c r="AB165" t="str">
        <f>IF(Worksheet!X161&lt;&gt;"",CONCATENATE("от ",Worksheet!X161," до +",Worksheet!Y161),"")</f>
        <v>от 18 до +43</v>
      </c>
      <c r="AC165" t="str">
        <f>IF(Worksheet!Z161&lt;&gt;"",CONCATENATE("от ",Worksheet!Z161," до +",Worksheet!AA161),"")</f>
        <v>от -7 до +24</v>
      </c>
      <c r="AD165" s="6" t="s">
        <v>5245</v>
      </c>
      <c r="AE165" s="17"/>
    </row>
    <row r="166" spans="1:31" x14ac:dyDescent="0.25">
      <c r="A166" s="17" t="str">
        <f>IF(Worksheet!B162&lt;&gt;"",Worksheet!B162,"")</f>
        <v>LESSAR</v>
      </c>
      <c r="B166" t="str">
        <f>Worksheet!E162</f>
        <v>Сплит система</v>
      </c>
      <c r="C166">
        <f>IF(Worksheet!M162&lt;&gt;"",Worksheet!M162,"")</f>
        <v>7.03</v>
      </c>
      <c r="D166">
        <f t="shared" si="6"/>
        <v>70</v>
      </c>
      <c r="E166" t="str">
        <f>IF(Worksheet!L162&lt;&gt;"",IF(Worksheet!L162="Y","да","нет"),"")</f>
        <v>нет</v>
      </c>
      <c r="F166">
        <f>IF(Worksheet!N162&lt;&gt;"",Worksheet!N162,"")</f>
        <v>7.33</v>
      </c>
      <c r="G166">
        <f>IF(Worksheet!O162&lt;&gt;"",Worksheet!O162,"")</f>
        <v>2.1909999999999998</v>
      </c>
      <c r="H166">
        <f>IF(Worksheet!P162&lt;&gt;"",Worksheet!P162,"")</f>
        <v>2.0299999999999998</v>
      </c>
      <c r="I166" s="6"/>
      <c r="J166" s="6"/>
      <c r="K166" t="str">
        <f>IF(Worksheet!BI162&lt;&gt;"",Worksheet!BI162,"")</f>
        <v>1 / 220 / 50</v>
      </c>
      <c r="L166" t="str">
        <f>IF(Worksheet!AU162&lt;&gt;"",Worksheet!AU162,"")</f>
        <v>R32</v>
      </c>
      <c r="M166" s="6"/>
      <c r="N166" s="6"/>
      <c r="O166" t="str">
        <f>IF(Worksheet!CR162&lt;&gt;"",CONCATENATE(Worksheet!CR162," х ",Worksheet!CP162," х ",Worksheet!CT162),"")</f>
        <v>1080 х 335 х 226</v>
      </c>
      <c r="P166" t="str">
        <f>IF(Worksheet!CS162&lt;&gt;"",CONCATENATE(Worksheet!CS162," х ",Worksheet!CU162," х ",Worksheet!CQ162),"")</f>
        <v>1155 х 415 х 320</v>
      </c>
      <c r="Q166" t="str">
        <f>IF(Worksheet!CV162&lt;&gt;"",CONCATENATE(Worksheet!CV162," / ",Worksheet!CW162),"")</f>
        <v>15 / 18.6</v>
      </c>
      <c r="R166" t="str">
        <f>IF(Worksheet!BS162&lt;&gt;"",Worksheet!BS162,"")</f>
        <v>34.5/45.5/49</v>
      </c>
      <c r="S166" t="str">
        <f>IF(Worksheet!AL162&lt;&gt;"",Worksheet!AL162,"")</f>
        <v>GMCC</v>
      </c>
      <c r="T166" t="str">
        <f>IF(Worksheet!CJ162&lt;&gt;"",CONCATENATE(Worksheet!CJ162," х ",Worksheet!CL162," х ",Worksheet!CH162),"")</f>
        <v>890 х 342 х 673</v>
      </c>
      <c r="U166" t="str">
        <f>IF(Worksheet!CK162&lt;&gt;"",CONCATENATE(Worksheet!CK162," х ",Worksheet!CM162," х ",Worksheet!CI162),"")</f>
        <v>995 х 398 х 740</v>
      </c>
      <c r="V166" t="str">
        <f>IF(Worksheet!CN162&lt;&gt;"",CONCATENATE(Worksheet!CN162,"/",Worksheet!CO162),"")</f>
        <v>47.9/50.9</v>
      </c>
      <c r="W166" s="6"/>
      <c r="X166" s="7">
        <f>IF(Worksheet!AN162&lt;&gt;"",Worksheet!AN162,"")</f>
        <v>9.52</v>
      </c>
      <c r="Y166" s="7">
        <f>IF(Worksheet!AO162&lt;&gt;"",Worksheet!AO162,"")</f>
        <v>15.9</v>
      </c>
      <c r="Z166" s="17">
        <f>IF(Worksheet!Q162&lt;&gt;"",Worksheet!Q162,"")</f>
        <v>25</v>
      </c>
      <c r="AA166" s="17">
        <f>IF(Worksheet!R162&lt;&gt;"",Worksheet!R162,"")</f>
        <v>10</v>
      </c>
      <c r="AB166" t="str">
        <f>IF(Worksheet!X162&lt;&gt;"",CONCATENATE("от ",Worksheet!X162," до +",Worksheet!Y162),"")</f>
        <v>от 18 до +43</v>
      </c>
      <c r="AC166" t="str">
        <f>IF(Worksheet!Z162&lt;&gt;"",CONCATENATE("от ",Worksheet!Z162," до +",Worksheet!AA162),"")</f>
        <v>от -7 до +24</v>
      </c>
      <c r="AD166" s="6" t="s">
        <v>5245</v>
      </c>
      <c r="AE166" s="17"/>
    </row>
    <row r="167" spans="1:31" x14ac:dyDescent="0.25">
      <c r="A167" s="17" t="str">
        <f>IF(Worksheet!B163&lt;&gt;"",Worksheet!B163,"")</f>
        <v>LESSAR</v>
      </c>
      <c r="B167" t="str">
        <f>Worksheet!E163</f>
        <v>Сплит система</v>
      </c>
      <c r="C167" s="21">
        <f>IF(Worksheet!M163&lt;&gt;"",MID(Worksheet!M163,1,FIND(" ",Worksheet!M163,1)-1),"")*1</f>
        <v>2.64</v>
      </c>
      <c r="D167">
        <f t="shared" ref="D167:D186" si="8">ROUND(LEFT(C167,3)*10,0)</f>
        <v>26</v>
      </c>
      <c r="E167" t="str">
        <f>IF(Worksheet!L163&lt;&gt;"",IF(Worksheet!L163="Y","да","нет"),"")</f>
        <v>да</v>
      </c>
      <c r="F167" s="21">
        <f>IF(Worksheet!N163&lt;&gt;"",MID(Worksheet!N163,1,FIND(" ",Worksheet!N163,1)-1),"")*1</f>
        <v>2.93</v>
      </c>
      <c r="G167" s="21">
        <f>IF(Worksheet!O163&lt;&gt;"",MID(Worksheet!O163,1,FIND(" ",Worksheet!O163,1)-1),"")*1</f>
        <v>0.61299999999999999</v>
      </c>
      <c r="H167" s="21">
        <f>IF(Worksheet!P163&lt;&gt;"",MID(Worksheet!P163,1,FIND(" ",Worksheet!P163,1)-1),"")*1</f>
        <v>0.63700000000000001</v>
      </c>
      <c r="I167" s="6"/>
      <c r="J167" s="6"/>
      <c r="K167" t="str">
        <f>IF(Worksheet!BI163&lt;&gt;"",Worksheet!BI163,"")</f>
        <v>1 / 220 / 50</v>
      </c>
      <c r="L167" t="str">
        <f>IF(Worksheet!AU163&lt;&gt;"",Worksheet!AU163,"")</f>
        <v>R410A</v>
      </c>
      <c r="M167" s="6"/>
      <c r="N167" s="6"/>
      <c r="O167" t="str">
        <f>IF(Worksheet!CR163&lt;&gt;"",CONCATENATE(Worksheet!CR163," х ",Worksheet!CP163," х ",Worksheet!CT163),"")</f>
        <v>802 х 297 х 189</v>
      </c>
      <c r="P167" t="str">
        <f>IF(Worksheet!CS163&lt;&gt;"",CONCATENATE(Worksheet!CS163," х ",Worksheet!CU163," х ",Worksheet!CQ163),"")</f>
        <v>875 х 285 х 375</v>
      </c>
      <c r="Q167" t="str">
        <f>IF(Worksheet!CV163&lt;&gt;"",CONCATENATE(Worksheet!CV163," / ",Worksheet!CW163),"")</f>
        <v>8.2 / 10.7</v>
      </c>
      <c r="R167" t="str">
        <f>IF(Worksheet!BS163&lt;&gt;"",Worksheet!BS163,"")</f>
        <v>21/22/32/38</v>
      </c>
      <c r="S167" t="str">
        <f>IF(Worksheet!AL163&lt;&gt;"",Worksheet!AL163,"")</f>
        <v>GMCC</v>
      </c>
      <c r="T167" t="str">
        <f>IF(Worksheet!CJ163&lt;&gt;"",CONCATENATE(Worksheet!CJ163," х ",Worksheet!CL163," х ",Worksheet!CH163),"")</f>
        <v>800 х 333 х 554</v>
      </c>
      <c r="U167" t="str">
        <f>IF(Worksheet!CK163&lt;&gt;"",CONCATENATE(Worksheet!CK163," х ",Worksheet!CM163," х ",Worksheet!CI163),"")</f>
        <v>920 х 390 х 625</v>
      </c>
      <c r="V167" t="str">
        <f>IF(Worksheet!CN163&lt;&gt;"",CONCATENATE(Worksheet!CN163,"/",Worksheet!CO163),"")</f>
        <v>29.1/31.9</v>
      </c>
      <c r="W167" s="6"/>
      <c r="X167" s="7">
        <f>IF(Worksheet!AN163&lt;&gt;"",Worksheet!AN163,"")</f>
        <v>6.35</v>
      </c>
      <c r="Y167" s="7">
        <f>IF(Worksheet!AO163&lt;&gt;"",Worksheet!AO163,"")</f>
        <v>9.52</v>
      </c>
      <c r="Z167" s="17">
        <f>IF(Worksheet!Q163&lt;&gt;"",Worksheet!Q163,"")</f>
        <v>25</v>
      </c>
      <c r="AA167" s="17">
        <f>IF(Worksheet!R163&lt;&gt;"",Worksheet!R163,"")</f>
        <v>10</v>
      </c>
      <c r="AB167" t="str">
        <f>IF(Worksheet!X163&lt;&gt;"",CONCATENATE("от ",Worksheet!X163," до +",Worksheet!Y163),"")</f>
        <v>от -15 до +50</v>
      </c>
      <c r="AC167" t="str">
        <f>IF(Worksheet!Z163&lt;&gt;"",CONCATENATE("от ",Worksheet!Z163," до +",Worksheet!AA163),"")</f>
        <v>от -15 до +30</v>
      </c>
      <c r="AD167" s="6" t="s">
        <v>5245</v>
      </c>
      <c r="AE167" s="17"/>
    </row>
    <row r="168" spans="1:31" x14ac:dyDescent="0.25">
      <c r="A168" s="17" t="str">
        <f>IF(Worksheet!B164&lt;&gt;"",Worksheet!B164,"")</f>
        <v>LESSAR</v>
      </c>
      <c r="B168" t="str">
        <f>Worksheet!E164</f>
        <v>Сплит система</v>
      </c>
      <c r="C168" s="21">
        <f>IF(Worksheet!M164&lt;&gt;"",MID(Worksheet!M164,1,FIND(" ",Worksheet!M164,1)-1),"")*1</f>
        <v>3.52</v>
      </c>
      <c r="D168">
        <f t="shared" si="8"/>
        <v>35</v>
      </c>
      <c r="E168" t="str">
        <f>IF(Worksheet!L164&lt;&gt;"",IF(Worksheet!L164="Y","да","нет"),"")</f>
        <v>да</v>
      </c>
      <c r="F168" s="21">
        <f>IF(Worksheet!N164&lt;&gt;"",MID(Worksheet!N164,1,FIND(" ",Worksheet!N164,1)-1),"")*1</f>
        <v>3.81</v>
      </c>
      <c r="G168" s="21">
        <f>IF(Worksheet!O164&lt;&gt;"",MID(Worksheet!O164,1,FIND(" ",Worksheet!O164,1)-1),"")*1</f>
        <v>1.0880000000000001</v>
      </c>
      <c r="H168" s="21">
        <f>IF(Worksheet!P164&lt;&gt;"",MID(Worksheet!P164,1,FIND(" ",Worksheet!P164,1)-1),"")*1</f>
        <v>1.0249999999999999</v>
      </c>
      <c r="I168" s="6"/>
      <c r="J168" s="6"/>
      <c r="K168" t="str">
        <f>IF(Worksheet!BI164&lt;&gt;"",Worksheet!BI164,"")</f>
        <v>1 / 220 / 50</v>
      </c>
      <c r="L168" t="str">
        <f>IF(Worksheet!AU164&lt;&gt;"",Worksheet!AU164,"")</f>
        <v>R410A</v>
      </c>
      <c r="M168" s="6"/>
      <c r="N168" s="6"/>
      <c r="O168" t="str">
        <f>IF(Worksheet!CR164&lt;&gt;"",CONCATENATE(Worksheet!CR164," х ",Worksheet!CP164," х ",Worksheet!CT164),"")</f>
        <v>802 х 297 х 189</v>
      </c>
      <c r="P168" t="str">
        <f>IF(Worksheet!CS164&lt;&gt;"",CONCATENATE(Worksheet!CS164," х ",Worksheet!CU164," х ",Worksheet!CQ164),"")</f>
        <v>875 х 285 х 375</v>
      </c>
      <c r="Q168" t="str">
        <f>IF(Worksheet!CV164&lt;&gt;"",CONCATENATE(Worksheet!CV164," / ",Worksheet!CW164),"")</f>
        <v>8.2 / 10.7</v>
      </c>
      <c r="R168" t="str">
        <f>IF(Worksheet!BS164&lt;&gt;"",Worksheet!BS164,"")</f>
        <v>21/22/32/38</v>
      </c>
      <c r="S168" t="str">
        <f>IF(Worksheet!AL164&lt;&gt;"",Worksheet!AL164,"")</f>
        <v>GMCC</v>
      </c>
      <c r="T168" t="str">
        <f>IF(Worksheet!CJ164&lt;&gt;"",CONCATENATE(Worksheet!CJ164," х ",Worksheet!CL164," х ",Worksheet!CH164),"")</f>
        <v>800 х 333 х 554</v>
      </c>
      <c r="U168" t="str">
        <f>IF(Worksheet!CK164&lt;&gt;"",CONCATENATE(Worksheet!CK164," х ",Worksheet!CM164," х ",Worksheet!CI164),"")</f>
        <v>920 х 390 х 625</v>
      </c>
      <c r="V168" t="str">
        <f>IF(Worksheet!CN164&lt;&gt;"",CONCATENATE(Worksheet!CN164,"/",Worksheet!CO164),"")</f>
        <v>29.1/31.9</v>
      </c>
      <c r="W168" s="6"/>
      <c r="X168" s="7">
        <f>IF(Worksheet!AN164&lt;&gt;"",Worksheet!AN164,"")</f>
        <v>6.35</v>
      </c>
      <c r="Y168" s="7">
        <f>IF(Worksheet!AO164&lt;&gt;"",Worksheet!AO164,"")</f>
        <v>9.52</v>
      </c>
      <c r="Z168" s="17">
        <f>IF(Worksheet!Q164&lt;&gt;"",Worksheet!Q164,"")</f>
        <v>25</v>
      </c>
      <c r="AA168" s="17">
        <f>IF(Worksheet!R164&lt;&gt;"",Worksheet!R164,"")</f>
        <v>10</v>
      </c>
      <c r="AB168" t="str">
        <f>IF(Worksheet!X164&lt;&gt;"",CONCATENATE("от ",Worksheet!X164," до +",Worksheet!Y164),"")</f>
        <v>от -15 до +50</v>
      </c>
      <c r="AC168" t="str">
        <f>IF(Worksheet!Z164&lt;&gt;"",CONCATENATE("от ",Worksheet!Z164," до +",Worksheet!AA164),"")</f>
        <v>от -15 до +30</v>
      </c>
      <c r="AD168" s="6" t="s">
        <v>5245</v>
      </c>
      <c r="AE168" s="17"/>
    </row>
    <row r="169" spans="1:31" x14ac:dyDescent="0.25">
      <c r="A169" s="17" t="str">
        <f>IF(Worksheet!B165&lt;&gt;"",Worksheet!B165,"")</f>
        <v>LESSAR</v>
      </c>
      <c r="B169" t="str">
        <f>Worksheet!E165</f>
        <v>Сплит система</v>
      </c>
      <c r="C169" s="21">
        <f>IF(Worksheet!M165&lt;&gt;"",MID(Worksheet!M165,1,FIND(" ",Worksheet!M165,1)-1),"")*1</f>
        <v>2.65</v>
      </c>
      <c r="D169">
        <f t="shared" si="8"/>
        <v>26</v>
      </c>
      <c r="E169" t="str">
        <f>IF(Worksheet!L165&lt;&gt;"",IF(Worksheet!L165="Y","да","нет"),"")</f>
        <v>да</v>
      </c>
      <c r="F169" s="21">
        <f>IF(Worksheet!N165&lt;&gt;"",MID(Worksheet!N165,1,FIND(" ",Worksheet!N165,1)-1),"")*1</f>
        <v>2.85</v>
      </c>
      <c r="G169" s="21">
        <f>IF(Worksheet!O165&lt;&gt;"",MID(Worksheet!O165,1,FIND(" ",Worksheet!O165,1)-1),"")*1</f>
        <v>0.78</v>
      </c>
      <c r="H169" s="21">
        <f>IF(Worksheet!P165&lt;&gt;"",MID(Worksheet!P165,1,FIND(" ",Worksheet!P165,1)-1),"")*1</f>
        <v>0.78100000000000003</v>
      </c>
      <c r="I169" s="6"/>
      <c r="J169" s="6"/>
      <c r="K169" t="str">
        <f>IF(Worksheet!BI165&lt;&gt;"",Worksheet!BI165,"")</f>
        <v>1 / 220 / 50</v>
      </c>
      <c r="L169" t="str">
        <f>IF(Worksheet!AU165&lt;&gt;"",Worksheet!AU165,"")</f>
        <v>R32</v>
      </c>
      <c r="M169" s="6"/>
      <c r="N169" s="6"/>
      <c r="O169" t="str">
        <f>IF(Worksheet!CR165&lt;&gt;"",CONCATENATE(Worksheet!CR165," х ",Worksheet!CP165," х ",Worksheet!CT165),"")</f>
        <v>713 х 270 х 195</v>
      </c>
      <c r="P169" t="str">
        <f>IF(Worksheet!CS165&lt;&gt;"",CONCATENATE(Worksheet!CS165," х ",Worksheet!CU165," х ",Worksheet!CQ165),"")</f>
        <v>760 х 259 х 334</v>
      </c>
      <c r="Q169" t="str">
        <f>IF(Worksheet!CV165&lt;&gt;"",CONCATENATE(Worksheet!CV165," / ",Worksheet!CW165),"")</f>
        <v>8.1 / 9.6</v>
      </c>
      <c r="R169" t="str">
        <f>IF(Worksheet!BS165&lt;&gt;"",Worksheet!BS165,"")</f>
        <v>27/33/38/40</v>
      </c>
      <c r="S169" t="str">
        <f>IF(Worksheet!AL165&lt;&gt;"",Worksheet!AL165,"")</f>
        <v>Gree</v>
      </c>
      <c r="T169" t="str">
        <f>IF(Worksheet!CJ165&lt;&gt;"",CONCATENATE(Worksheet!CJ165," х ",Worksheet!CL165," х ",Worksheet!CH165),"")</f>
        <v>710 х 293 х 450</v>
      </c>
      <c r="U169" t="str">
        <f>IF(Worksheet!CK165&lt;&gt;"",CONCATENATE(Worksheet!CK165," х ",Worksheet!CM165," х ",Worksheet!CI165),"")</f>
        <v>761 х 327 х 500</v>
      </c>
      <c r="V169" t="str">
        <f>IF(Worksheet!CN165&lt;&gt;"",CONCATENATE(Worksheet!CN165,"/",Worksheet!CO165),"")</f>
        <v>21/23</v>
      </c>
      <c r="W169" s="6"/>
      <c r="X169" s="7">
        <f>IF(Worksheet!AN165&lt;&gt;"",Worksheet!AN165,"")</f>
        <v>6.35</v>
      </c>
      <c r="Y169" s="7">
        <f>IF(Worksheet!AO165&lt;&gt;"",Worksheet!AO165,"")</f>
        <v>9.52</v>
      </c>
      <c r="Z169" s="17">
        <f>IF(Worksheet!Q165&lt;&gt;"",Worksheet!Q165,"")</f>
        <v>15</v>
      </c>
      <c r="AA169" s="17">
        <f>IF(Worksheet!R165&lt;&gt;"",Worksheet!R165,"")</f>
        <v>10</v>
      </c>
      <c r="AB169" t="str">
        <f>IF(Worksheet!X165&lt;&gt;"",CONCATENATE("от ",Worksheet!X165," до +",Worksheet!Y165),"")</f>
        <v>от -15 до +43</v>
      </c>
      <c r="AC169" t="str">
        <f>IF(Worksheet!Z165&lt;&gt;"",CONCATENATE("от ",Worksheet!Z165," до +",Worksheet!AA165),"")</f>
        <v>от -15 до +24</v>
      </c>
      <c r="AD169" s="6" t="s">
        <v>5245</v>
      </c>
      <c r="AE169" s="17"/>
    </row>
    <row r="170" spans="1:31" x14ac:dyDescent="0.25">
      <c r="A170" s="17" t="str">
        <f>IF(Worksheet!B166&lt;&gt;"",Worksheet!B166,"")</f>
        <v>LESSAR</v>
      </c>
      <c r="B170" t="str">
        <f>Worksheet!E166</f>
        <v>Сплит система</v>
      </c>
      <c r="C170" s="21">
        <f>IF(Worksheet!M166&lt;&gt;"",MID(Worksheet!M166,1,FIND(" ",Worksheet!M166,1)-1),"")*1</f>
        <v>3.5</v>
      </c>
      <c r="D170">
        <f t="shared" si="8"/>
        <v>35</v>
      </c>
      <c r="E170" t="str">
        <f>IF(Worksheet!L166&lt;&gt;"",IF(Worksheet!L166="Y","да","нет"),"")</f>
        <v>да</v>
      </c>
      <c r="F170" s="21">
        <f>IF(Worksheet!N166&lt;&gt;"",MID(Worksheet!N166,1,FIND(" ",Worksheet!N166,1)-1),"")*1</f>
        <v>3.5</v>
      </c>
      <c r="G170" s="21">
        <f>IF(Worksheet!O166&lt;&gt;"",MID(Worksheet!O166,1,FIND(" ",Worksheet!O166,1)-1),"")*1</f>
        <v>1.083</v>
      </c>
      <c r="H170" s="21">
        <f>IF(Worksheet!P166&lt;&gt;"",MID(Worksheet!P166,1,FIND(" ",Worksheet!P166,1)-1),"")*1</f>
        <v>0.91800000000000004</v>
      </c>
      <c r="I170" s="6"/>
      <c r="J170" s="6"/>
      <c r="K170" t="str">
        <f>IF(Worksheet!BI166&lt;&gt;"",Worksheet!BI166,"")</f>
        <v>1 / 220 / 50</v>
      </c>
      <c r="L170" t="str">
        <f>IF(Worksheet!AU166&lt;&gt;"",Worksheet!AU166,"")</f>
        <v>R32</v>
      </c>
      <c r="M170" s="6"/>
      <c r="N170" s="6"/>
      <c r="O170" t="str">
        <f>IF(Worksheet!CR166&lt;&gt;"",CONCATENATE(Worksheet!CR166," х ",Worksheet!CP166," х ",Worksheet!CT166),"")</f>
        <v>790 х 275 х 200</v>
      </c>
      <c r="P170" t="str">
        <f>IF(Worksheet!CS166&lt;&gt;"",CONCATENATE(Worksheet!CS166," х ",Worksheet!CU166," х ",Worksheet!CQ166),"")</f>
        <v>850 х 262 х 339</v>
      </c>
      <c r="Q170" t="str">
        <f>IF(Worksheet!CV166&lt;&gt;"",CONCATENATE(Worksheet!CV166," / ",Worksheet!CW166),"")</f>
        <v>9 / 11</v>
      </c>
      <c r="R170" t="str">
        <f>IF(Worksheet!BS166&lt;&gt;"",Worksheet!BS166,"")</f>
        <v>26/33/37/41</v>
      </c>
      <c r="S170" t="str">
        <f>IF(Worksheet!AL166&lt;&gt;"",Worksheet!AL166,"")</f>
        <v>Gree</v>
      </c>
      <c r="T170" t="str">
        <f>IF(Worksheet!CJ166&lt;&gt;"",CONCATENATE(Worksheet!CJ166," х ",Worksheet!CL166," х ",Worksheet!CH166),"")</f>
        <v>732 х 330 х 550</v>
      </c>
      <c r="U170" t="str">
        <f>IF(Worksheet!CK166&lt;&gt;"",CONCATENATE(Worksheet!CK166," х ",Worksheet!CM166," х ",Worksheet!CI166),"")</f>
        <v>791 х 373 х 590</v>
      </c>
      <c r="V170" t="str">
        <f>IF(Worksheet!CN166&lt;&gt;"",CONCATENATE(Worksheet!CN166,"/",Worksheet!CO166),"")</f>
        <v>25.5/28</v>
      </c>
      <c r="W170" s="6"/>
      <c r="X170" s="7">
        <f>IF(Worksheet!AN166&lt;&gt;"",Worksheet!AN166,"")</f>
        <v>6.35</v>
      </c>
      <c r="Y170" s="7">
        <f>IF(Worksheet!AO166&lt;&gt;"",Worksheet!AO166,"")</f>
        <v>9.52</v>
      </c>
      <c r="Z170" s="17">
        <f>IF(Worksheet!Q166&lt;&gt;"",Worksheet!Q166,"")</f>
        <v>15</v>
      </c>
      <c r="AA170" s="17">
        <f>IF(Worksheet!R166&lt;&gt;"",Worksheet!R166,"")</f>
        <v>10</v>
      </c>
      <c r="AB170" t="str">
        <f>IF(Worksheet!X166&lt;&gt;"",CONCATENATE("от ",Worksheet!X166," до +",Worksheet!Y166),"")</f>
        <v>от -15 до +43</v>
      </c>
      <c r="AC170" t="str">
        <f>IF(Worksheet!Z166&lt;&gt;"",CONCATENATE("от ",Worksheet!Z166," до +",Worksheet!AA166),"")</f>
        <v>от -15 до +24</v>
      </c>
      <c r="AD170" s="6" t="s">
        <v>5245</v>
      </c>
      <c r="AE170" s="17"/>
    </row>
    <row r="171" spans="1:31" x14ac:dyDescent="0.25">
      <c r="A171" s="17" t="str">
        <f>IF(Worksheet!B167&lt;&gt;"",Worksheet!B167,"")</f>
        <v>LESSAR</v>
      </c>
      <c r="B171" t="str">
        <f>Worksheet!E167</f>
        <v>Сплит система</v>
      </c>
      <c r="C171" s="21">
        <f>IF(Worksheet!M167&lt;&gt;"",MID(Worksheet!M167,1,FIND(" ",Worksheet!M167,1)-1),"")*1</f>
        <v>4.5999999999999996</v>
      </c>
      <c r="D171">
        <f t="shared" si="8"/>
        <v>46</v>
      </c>
      <c r="E171" t="str">
        <f>IF(Worksheet!L167&lt;&gt;"",IF(Worksheet!L167="Y","да","нет"),"")</f>
        <v>да</v>
      </c>
      <c r="F171" s="21">
        <f>IF(Worksheet!N167&lt;&gt;"",MID(Worksheet!N167,1,FIND(" ",Worksheet!N167,1)-1),"")*1</f>
        <v>5.2</v>
      </c>
      <c r="G171" s="21">
        <f>IF(Worksheet!O167&lt;&gt;"",MID(Worksheet!O167,1,FIND(" ",Worksheet!O167,1)-1),"")*1</f>
        <v>1.355</v>
      </c>
      <c r="H171" s="21">
        <f>IF(Worksheet!P167&lt;&gt;"",MID(Worksheet!P167,1,FIND(" ",Worksheet!P167,1)-1),"")*1</f>
        <v>1.34</v>
      </c>
      <c r="I171" s="6"/>
      <c r="J171" s="6"/>
      <c r="K171" t="str">
        <f>IF(Worksheet!BI167&lt;&gt;"",Worksheet!BI167,"")</f>
        <v>1 / 220 / 50</v>
      </c>
      <c r="L171" t="str">
        <f>IF(Worksheet!AU167&lt;&gt;"",Worksheet!AU167,"")</f>
        <v>R32</v>
      </c>
      <c r="M171" s="6"/>
      <c r="N171" s="6"/>
      <c r="O171" t="str">
        <f>IF(Worksheet!CR167&lt;&gt;"",CONCATENATE(Worksheet!CR167," х ",Worksheet!CP167," х ",Worksheet!CT167),"")</f>
        <v>970 х 300 х 224</v>
      </c>
      <c r="P171" t="str">
        <f>IF(Worksheet!CS167&lt;&gt;"",CONCATENATE(Worksheet!CS167," х ",Worksheet!CU167," х ",Worksheet!CQ167),"")</f>
        <v>1020 х 294 х 370</v>
      </c>
      <c r="Q171" t="str">
        <f>IF(Worksheet!CV167&lt;&gt;"",CONCATENATE(Worksheet!CV167," / ",Worksheet!CW167),"")</f>
        <v>13.5 / 16</v>
      </c>
      <c r="R171" t="str">
        <f>IF(Worksheet!BS167&lt;&gt;"",Worksheet!BS167,"")</f>
        <v>34/38/42/44</v>
      </c>
      <c r="S171" t="str">
        <f>IF(Worksheet!AL167&lt;&gt;"",Worksheet!AL167,"")</f>
        <v>Gree</v>
      </c>
      <c r="T171" t="str">
        <f>IF(Worksheet!CJ167&lt;&gt;"",CONCATENATE(Worksheet!CJ167," х ",Worksheet!CL167," х ",Worksheet!CH167),"")</f>
        <v>732 х 330 х 550</v>
      </c>
      <c r="U171" t="str">
        <f>IF(Worksheet!CK167&lt;&gt;"",CONCATENATE(Worksheet!CK167," х ",Worksheet!CM167," х ",Worksheet!CI167),"")</f>
        <v>791 х 373 х 590</v>
      </c>
      <c r="V171" t="str">
        <f>IF(Worksheet!CN167&lt;&gt;"",CONCATENATE(Worksheet!CN167,"/",Worksheet!CO167),"")</f>
        <v>26.5/29</v>
      </c>
      <c r="W171" s="6"/>
      <c r="X171" s="7">
        <f>IF(Worksheet!AN167&lt;&gt;"",Worksheet!AN167,"")</f>
        <v>6.35</v>
      </c>
      <c r="Y171" s="7">
        <f>IF(Worksheet!AO167&lt;&gt;"",Worksheet!AO167,"")</f>
        <v>9.52</v>
      </c>
      <c r="Z171" s="17">
        <f>IF(Worksheet!Q167&lt;&gt;"",Worksheet!Q167,"")</f>
        <v>25</v>
      </c>
      <c r="AA171" s="17">
        <f>IF(Worksheet!R167&lt;&gt;"",Worksheet!R167,"")</f>
        <v>10</v>
      </c>
      <c r="AB171" t="str">
        <f>IF(Worksheet!X167&lt;&gt;"",CONCATENATE("от ",Worksheet!X167," до +",Worksheet!Y167),"")</f>
        <v>от -15 до +43</v>
      </c>
      <c r="AC171" t="str">
        <f>IF(Worksheet!Z167&lt;&gt;"",CONCATENATE("от ",Worksheet!Z167," до +",Worksheet!AA167),"")</f>
        <v>от -15 до +24</v>
      </c>
      <c r="AD171" s="6" t="s">
        <v>5245</v>
      </c>
      <c r="AE171" s="17"/>
    </row>
    <row r="172" spans="1:31" x14ac:dyDescent="0.25">
      <c r="A172" s="17" t="str">
        <f>IF(Worksheet!B168&lt;&gt;"",Worksheet!B168,"")</f>
        <v>LESSAR</v>
      </c>
      <c r="B172" t="str">
        <f>Worksheet!E168</f>
        <v>Сплит система</v>
      </c>
      <c r="C172" s="21">
        <f>IF(Worksheet!M168&lt;&gt;"",MID(Worksheet!M168,1,FIND(" ",Worksheet!M168,1)-1),"")*1</f>
        <v>6.16</v>
      </c>
      <c r="D172">
        <f t="shared" si="8"/>
        <v>61</v>
      </c>
      <c r="E172" t="str">
        <f>IF(Worksheet!L168&lt;&gt;"",IF(Worksheet!L168="Y","да","нет"),"")</f>
        <v>да</v>
      </c>
      <c r="F172" s="21">
        <f>IF(Worksheet!N168&lt;&gt;"",MID(Worksheet!N168,1,FIND(" ",Worksheet!N168,1)-1),"")*1</f>
        <v>6.2</v>
      </c>
      <c r="G172" s="21">
        <f>IF(Worksheet!O168&lt;&gt;"",MID(Worksheet!O168,1,FIND(" ",Worksheet!O168,1)-1),"")*1</f>
        <v>1.917</v>
      </c>
      <c r="H172" s="21">
        <f>IF(Worksheet!P168&lt;&gt;"",MID(Worksheet!P168,1,FIND(" ",Worksheet!P168,1)-1),"")*1</f>
        <v>1.698</v>
      </c>
      <c r="I172" s="6"/>
      <c r="J172" s="6"/>
      <c r="K172" t="str">
        <f>IF(Worksheet!BI168&lt;&gt;"",Worksheet!BI168,"")</f>
        <v>1 / 220 / 50</v>
      </c>
      <c r="L172" t="str">
        <f>IF(Worksheet!AU168&lt;&gt;"",Worksheet!AU168,"")</f>
        <v>R32</v>
      </c>
      <c r="M172" s="6"/>
      <c r="N172" s="6"/>
      <c r="O172" t="str">
        <f>IF(Worksheet!CR168&lt;&gt;"",CONCATENATE(Worksheet!CR168," х ",Worksheet!CP168," х ",Worksheet!CT168),"")</f>
        <v>970 х 300 х 224</v>
      </c>
      <c r="P172" t="str">
        <f>IF(Worksheet!CS168&lt;&gt;"",CONCATENATE(Worksheet!CS168," х ",Worksheet!CU168," х ",Worksheet!CQ168),"")</f>
        <v>1020 х 294 х 370</v>
      </c>
      <c r="Q172" t="str">
        <f>IF(Worksheet!CV168&lt;&gt;"",CONCATENATE(Worksheet!CV168," / ",Worksheet!CW168),"")</f>
        <v>13.5 / 16</v>
      </c>
      <c r="R172" t="str">
        <f>IF(Worksheet!BS168&lt;&gt;"",Worksheet!BS168,"")</f>
        <v>34/38/43/48</v>
      </c>
      <c r="S172" t="str">
        <f>IF(Worksheet!AL168&lt;&gt;"",Worksheet!AL168,"")</f>
        <v>Gree</v>
      </c>
      <c r="T172" t="str">
        <f>IF(Worksheet!CJ168&lt;&gt;"",CONCATENATE(Worksheet!CJ168," х ",Worksheet!CL168," х ",Worksheet!CH168),"")</f>
        <v>873 х 376 х 555</v>
      </c>
      <c r="U172" t="str">
        <f>IF(Worksheet!CK168&lt;&gt;"",CONCATENATE(Worksheet!CK168," х ",Worksheet!CM168," х ",Worksheet!CI168),"")</f>
        <v>948 х 428 х 591</v>
      </c>
      <c r="V172" t="str">
        <f>IF(Worksheet!CN168&lt;&gt;"",CONCATENATE(Worksheet!CN168,"/",Worksheet!CO168),"")</f>
        <v>35/38</v>
      </c>
      <c r="W172" s="6"/>
      <c r="X172" s="7">
        <f>IF(Worksheet!AN168&lt;&gt;"",Worksheet!AN168,"")</f>
        <v>6.35</v>
      </c>
      <c r="Y172" s="7">
        <f>IF(Worksheet!AO168&lt;&gt;"",Worksheet!AO168,"")</f>
        <v>12.7</v>
      </c>
      <c r="Z172" s="17">
        <f>IF(Worksheet!Q168&lt;&gt;"",Worksheet!Q168,"")</f>
        <v>25</v>
      </c>
      <c r="AA172" s="17">
        <f>IF(Worksheet!R168&lt;&gt;"",Worksheet!R168,"")</f>
        <v>10</v>
      </c>
      <c r="AB172" t="str">
        <f>IF(Worksheet!X168&lt;&gt;"",CONCATENATE("от ",Worksheet!X168," до +",Worksheet!Y168),"")</f>
        <v>от -15 до +43</v>
      </c>
      <c r="AC172" t="str">
        <f>IF(Worksheet!Z168&lt;&gt;"",CONCATENATE("от ",Worksheet!Z168," до +",Worksheet!AA168),"")</f>
        <v>от -15 до +24</v>
      </c>
      <c r="AD172" s="6" t="s">
        <v>5245</v>
      </c>
      <c r="AE172" s="17"/>
    </row>
    <row r="173" spans="1:31" x14ac:dyDescent="0.25">
      <c r="A173" s="17" t="str">
        <f>IF(Worksheet!B169&lt;&gt;"",Worksheet!B169,"")</f>
        <v>LESSAR</v>
      </c>
      <c r="B173" t="str">
        <f>Worksheet!E169</f>
        <v>Сплит система</v>
      </c>
      <c r="C173" s="21">
        <f>IF(Worksheet!M169&lt;&gt;"",MID(Worksheet!M169,1,FIND(" ",Worksheet!M169,1)-1),"")*1</f>
        <v>2.64</v>
      </c>
      <c r="D173">
        <f t="shared" si="8"/>
        <v>26</v>
      </c>
      <c r="E173" t="str">
        <f>IF(Worksheet!L169&lt;&gt;"",IF(Worksheet!L169="Y","да","нет"),"")</f>
        <v>да</v>
      </c>
      <c r="F173" s="21">
        <f>IF(Worksheet!N169&lt;&gt;"",MID(Worksheet!N169,1,FIND(" ",Worksheet!N169,1)-1),"")*1</f>
        <v>2.93</v>
      </c>
      <c r="G173" s="21">
        <f>IF(Worksheet!O169&lt;&gt;"",MID(Worksheet!O169,1,FIND(" ",Worksheet!O169,1)-1),"")*1</f>
        <v>0.79900000000000004</v>
      </c>
      <c r="H173" s="21">
        <f>IF(Worksheet!P169&lt;&gt;"",MID(Worksheet!P169,1,FIND(" ",Worksheet!P169,1)-1),"")*1</f>
        <v>0.81200000000000006</v>
      </c>
      <c r="I173" s="6"/>
      <c r="J173" s="6"/>
      <c r="K173" t="str">
        <f>IF(Worksheet!BI169&lt;&gt;"",Worksheet!BI169,"")</f>
        <v>1 / 220 / 50</v>
      </c>
      <c r="L173" t="str">
        <f>IF(Worksheet!AU169&lt;&gt;"",Worksheet!AU169,"")</f>
        <v>R32</v>
      </c>
      <c r="M173" s="6"/>
      <c r="N173" s="6"/>
      <c r="O173" t="str">
        <f>IF(Worksheet!CR169&lt;&gt;"",CONCATENATE(Worksheet!CR169," х ",Worksheet!CP169," х ",Worksheet!CT169),"")</f>
        <v>726 х 291 х 210</v>
      </c>
      <c r="P173" t="str">
        <f>IF(Worksheet!CS169&lt;&gt;"",CONCATENATE(Worksheet!CS169," х ",Worksheet!CU169," х ",Worksheet!CQ169),"")</f>
        <v>790 х 270 х 375</v>
      </c>
      <c r="Q173" t="str">
        <f>IF(Worksheet!CV169&lt;&gt;"",CONCATENATE(Worksheet!CV169," / ",Worksheet!CW169),"")</f>
        <v>7.8 / 10.1</v>
      </c>
      <c r="R173" t="str">
        <f>IF(Worksheet!BS169&lt;&gt;"",Worksheet!BS169,"")</f>
        <v>37.0/29.0/25.5</v>
      </c>
      <c r="S173" t="str">
        <f>IF(Worksheet!AL169&lt;&gt;"",Worksheet!AL169,"")</f>
        <v>GMCC</v>
      </c>
      <c r="T173" t="str">
        <f>IF(Worksheet!CJ169&lt;&gt;"",CONCATENATE(Worksheet!CJ169," х ",Worksheet!CL169," х ",Worksheet!CH169),"")</f>
        <v>720 х 462 х 495</v>
      </c>
      <c r="U173" t="str">
        <f>IF(Worksheet!CK169&lt;&gt;"",CONCATENATE(Worksheet!CK169," х ",Worksheet!CM169," х ",Worksheet!CI169),"")</f>
        <v>835 х 300 х 540</v>
      </c>
      <c r="V173" t="str">
        <f>IF(Worksheet!CN169&lt;&gt;"",CONCATENATE(Worksheet!CN169,"/",Worksheet!CO169),"")</f>
        <v>23.5/25.4</v>
      </c>
      <c r="W173" s="6"/>
      <c r="X173" s="7">
        <f>IF(Worksheet!AN169&lt;&gt;"",Worksheet!AN169,"")</f>
        <v>6.35</v>
      </c>
      <c r="Y173" s="7">
        <f>IF(Worksheet!AO169&lt;&gt;"",Worksheet!AO169,"")</f>
        <v>9.52</v>
      </c>
      <c r="Z173" s="17">
        <f>IF(Worksheet!Q169&lt;&gt;"",Worksheet!Q169,"")</f>
        <v>25</v>
      </c>
      <c r="AA173" s="17">
        <f>IF(Worksheet!R169&lt;&gt;"",Worksheet!R169,"")</f>
        <v>10</v>
      </c>
      <c r="AB173" t="str">
        <f>IF(Worksheet!X169&lt;&gt;"",CONCATENATE("от ",Worksheet!X169," до +",Worksheet!Y169),"")</f>
        <v>от -15 до +50</v>
      </c>
      <c r="AC173" t="str">
        <f>IF(Worksheet!Z169&lt;&gt;"",CONCATENATE("от ",Worksheet!Z169," до +",Worksheet!AA169),"")</f>
        <v>от -15 до +24</v>
      </c>
      <c r="AD173" s="6" t="s">
        <v>5245</v>
      </c>
      <c r="AE173" s="17"/>
    </row>
    <row r="174" spans="1:31" x14ac:dyDescent="0.25">
      <c r="A174" s="17" t="str">
        <f>IF(Worksheet!B170&lt;&gt;"",Worksheet!B170,"")</f>
        <v>LESSAR</v>
      </c>
      <c r="B174" t="str">
        <f>Worksheet!E170</f>
        <v>Сплит система</v>
      </c>
      <c r="C174" s="21">
        <f>IF(Worksheet!M170&lt;&gt;"",MID(Worksheet!M170,1,FIND(" ",Worksheet!M170,1)-1),"")*1</f>
        <v>3.52</v>
      </c>
      <c r="D174">
        <f t="shared" si="8"/>
        <v>35</v>
      </c>
      <c r="E174" t="str">
        <f>IF(Worksheet!L170&lt;&gt;"",IF(Worksheet!L170="Y","да","нет"),"")</f>
        <v>да</v>
      </c>
      <c r="F174" s="21">
        <f>IF(Worksheet!N170&lt;&gt;"",MID(Worksheet!N170,1,FIND(" ",Worksheet!N170,1)-1),"")*1</f>
        <v>3.8</v>
      </c>
      <c r="G174" s="21">
        <f>IF(Worksheet!O170&lt;&gt;"",MID(Worksheet!O170,1,FIND(" ",Worksheet!O170,1)-1),"")*1</f>
        <v>1.165</v>
      </c>
      <c r="H174" s="21">
        <f>IF(Worksheet!P170&lt;&gt;"",MID(Worksheet!P170,1,FIND(" ",Worksheet!P170,1)-1),"")*1</f>
        <v>1.018</v>
      </c>
      <c r="I174" s="6"/>
      <c r="J174" s="6"/>
      <c r="K174" t="str">
        <f>IF(Worksheet!BI170&lt;&gt;"",Worksheet!BI170,"")</f>
        <v>1 / 220 / 50</v>
      </c>
      <c r="L174" t="str">
        <f>IF(Worksheet!AU170&lt;&gt;"",Worksheet!AU170,"")</f>
        <v>R32</v>
      </c>
      <c r="M174" s="6"/>
      <c r="N174" s="6"/>
      <c r="O174" t="str">
        <f>IF(Worksheet!CR170&lt;&gt;"",CONCATENATE(Worksheet!CR170," х ",Worksheet!CP170," х ",Worksheet!CT170),"")</f>
        <v>835 х 295 х 208</v>
      </c>
      <c r="P174" t="str">
        <f>IF(Worksheet!CS170&lt;&gt;"",CONCATENATE(Worksheet!CS170," х ",Worksheet!CU170," х ",Worksheet!CQ170),"")</f>
        <v>905 х 355 х 290</v>
      </c>
      <c r="Q174" t="str">
        <f>IF(Worksheet!CV170&lt;&gt;"",CONCATENATE(Worksheet!CV170," / ",Worksheet!CW170),"")</f>
        <v>8.4 / 11</v>
      </c>
      <c r="R174" t="str">
        <f>IF(Worksheet!BS170&lt;&gt;"",Worksheet!BS170,"")</f>
        <v>37.5/31.5/25</v>
      </c>
      <c r="S174" t="str">
        <f>IF(Worksheet!AL170&lt;&gt;"",Worksheet!AL170,"")</f>
        <v>GMCC</v>
      </c>
      <c r="T174" t="str">
        <f>IF(Worksheet!CJ170&lt;&gt;"",CONCATENATE(Worksheet!CJ170," х ",Worksheet!CL170," х ",Worksheet!CH170),"")</f>
        <v>720 х 270 х 495</v>
      </c>
      <c r="U174" t="str">
        <f>IF(Worksheet!CK170&lt;&gt;"",CONCATENATE(Worksheet!CK170," х ",Worksheet!CM170," х ",Worksheet!CI170),"")</f>
        <v>835 х 300 х 540</v>
      </c>
      <c r="V174" t="str">
        <f>IF(Worksheet!CN170&lt;&gt;"",CONCATENATE(Worksheet!CN170,"/",Worksheet!CO170),"")</f>
        <v>23.7/25.5</v>
      </c>
      <c r="W174" s="6"/>
      <c r="X174" s="7">
        <f>IF(Worksheet!AN170&lt;&gt;"",Worksheet!AN170,"")</f>
        <v>6.35</v>
      </c>
      <c r="Y174" s="7">
        <f>IF(Worksheet!AO170&lt;&gt;"",Worksheet!AO170,"")</f>
        <v>9.52</v>
      </c>
      <c r="Z174" s="17">
        <f>IF(Worksheet!Q170&lt;&gt;"",Worksheet!Q170,"")</f>
        <v>25</v>
      </c>
      <c r="AA174" s="17">
        <f>IF(Worksheet!R170&lt;&gt;"",Worksheet!R170,"")</f>
        <v>10</v>
      </c>
      <c r="AB174" t="str">
        <f>IF(Worksheet!X170&lt;&gt;"",CONCATENATE("от ",Worksheet!X170," до +",Worksheet!Y170),"")</f>
        <v>от -15 до +50</v>
      </c>
      <c r="AC174" t="str">
        <f>IF(Worksheet!Z170&lt;&gt;"",CONCATENATE("от ",Worksheet!Z170," до +",Worksheet!AA170),"")</f>
        <v>от -15 до +24</v>
      </c>
      <c r="AD174" s="6" t="s">
        <v>5245</v>
      </c>
      <c r="AE174" s="17"/>
    </row>
    <row r="175" spans="1:31" x14ac:dyDescent="0.25">
      <c r="A175" s="17" t="str">
        <f>IF(Worksheet!B171&lt;&gt;"",Worksheet!B171,"")</f>
        <v>LESSAR</v>
      </c>
      <c r="B175" t="str">
        <f>Worksheet!E171</f>
        <v>Сплит система</v>
      </c>
      <c r="C175" s="21">
        <f>IF(Worksheet!M171&lt;&gt;"",MID(Worksheet!M171,1,FIND(" ",Worksheet!M171,1)-1),"")*1</f>
        <v>5.28</v>
      </c>
      <c r="D175">
        <f t="shared" si="8"/>
        <v>52</v>
      </c>
      <c r="E175" t="str">
        <f>IF(Worksheet!L171&lt;&gt;"",IF(Worksheet!L171="Y","да","нет"),"")</f>
        <v>да</v>
      </c>
      <c r="F175" s="21">
        <f>IF(Worksheet!N171&lt;&gt;"",MID(Worksheet!N171,1,FIND(" ",Worksheet!N171,1)-1),"")*1</f>
        <v>5.57</v>
      </c>
      <c r="G175" s="21">
        <f>IF(Worksheet!O171&lt;&gt;"",MID(Worksheet!O171,1,FIND(" ",Worksheet!O171,1)-1),"")*1</f>
        <v>1.55</v>
      </c>
      <c r="H175" s="21">
        <f>IF(Worksheet!P171&lt;&gt;"",MID(Worksheet!P171,1,FIND(" ",Worksheet!P171,1)-1),"")*1</f>
        <v>1.5429999999999999</v>
      </c>
      <c r="I175" s="6"/>
      <c r="J175" s="6"/>
      <c r="K175" t="str">
        <f>IF(Worksheet!BI171&lt;&gt;"",Worksheet!BI171,"")</f>
        <v>1 / 220 / 50</v>
      </c>
      <c r="L175" t="str">
        <f>IF(Worksheet!AU171&lt;&gt;"",Worksheet!AU171,"")</f>
        <v>R32</v>
      </c>
      <c r="M175" s="6"/>
      <c r="N175" s="6"/>
      <c r="O175" t="str">
        <f>IF(Worksheet!CR171&lt;&gt;"",CONCATENATE(Worksheet!CR171," х ",Worksheet!CP171," х ",Worksheet!CT171),"")</f>
        <v>969 х 320 х 241</v>
      </c>
      <c r="P175" t="str">
        <f>IF(Worksheet!CS171&lt;&gt;"",CONCATENATE(Worksheet!CS171," х ",Worksheet!CU171," х ",Worksheet!CQ171),"")</f>
        <v>1045 х 315 х 405</v>
      </c>
      <c r="Q175" t="str">
        <f>IF(Worksheet!CV171&lt;&gt;"",CONCATENATE(Worksheet!CV171," / ",Worksheet!CW171),"")</f>
        <v>11.2 / 14.6</v>
      </c>
      <c r="R175" t="str">
        <f>IF(Worksheet!BS171&lt;&gt;"",Worksheet!BS171,"")</f>
        <v>41/37/31</v>
      </c>
      <c r="S175" t="str">
        <f>IF(Worksheet!AL171&lt;&gt;"",Worksheet!AL171,"")</f>
        <v>GMCC</v>
      </c>
      <c r="T175" t="str">
        <f>IF(Worksheet!CJ171&lt;&gt;"",CONCATENATE(Worksheet!CJ171," х ",Worksheet!CL171," х ",Worksheet!CH171),"")</f>
        <v>874 х 330 х 554</v>
      </c>
      <c r="U175" t="str">
        <f>IF(Worksheet!CK171&lt;&gt;"",CONCATENATE(Worksheet!CK171," х ",Worksheet!CM171," х ",Worksheet!CI171),"")</f>
        <v>915 х 370 х 615</v>
      </c>
      <c r="V175" t="str">
        <f>IF(Worksheet!CN171&lt;&gt;"",CONCATENATE(Worksheet!CN171,"/",Worksheet!CO171),"")</f>
        <v>33.5/36.1</v>
      </c>
      <c r="W175" s="6"/>
      <c r="X175" s="7">
        <f>IF(Worksheet!AN171&lt;&gt;"",Worksheet!AN171,"")</f>
        <v>6.35</v>
      </c>
      <c r="Y175" s="7">
        <f>IF(Worksheet!AO171&lt;&gt;"",Worksheet!AO171,"")</f>
        <v>12.7</v>
      </c>
      <c r="Z175" s="17">
        <f>IF(Worksheet!Q171&lt;&gt;"",Worksheet!Q171,"")</f>
        <v>30</v>
      </c>
      <c r="AA175" s="17">
        <f>IF(Worksheet!R171&lt;&gt;"",Worksheet!R171,"")</f>
        <v>20</v>
      </c>
      <c r="AB175" t="str">
        <f>IF(Worksheet!X171&lt;&gt;"",CONCATENATE("от ",Worksheet!X171," до +",Worksheet!Y171),"")</f>
        <v>от -15 до +50</v>
      </c>
      <c r="AC175" t="str">
        <f>IF(Worksheet!Z171&lt;&gt;"",CONCATENATE("от ",Worksheet!Z171," до +",Worksheet!AA171),"")</f>
        <v>от -15 до +24</v>
      </c>
      <c r="AD175" s="6" t="s">
        <v>5245</v>
      </c>
      <c r="AE175" s="17"/>
    </row>
    <row r="176" spans="1:31" x14ac:dyDescent="0.25">
      <c r="A176" s="17" t="str">
        <f>IF(Worksheet!B172&lt;&gt;"",Worksheet!B172,"")</f>
        <v>LESSAR</v>
      </c>
      <c r="B176" t="str">
        <f>Worksheet!E172</f>
        <v>Сплит система</v>
      </c>
      <c r="C176" s="21">
        <f>IF(Worksheet!M172&lt;&gt;"",MID(Worksheet!M172,1,FIND(" ",Worksheet!M172,1)-1),"")*1</f>
        <v>7.03</v>
      </c>
      <c r="D176">
        <f t="shared" si="8"/>
        <v>70</v>
      </c>
      <c r="E176" t="str">
        <f>IF(Worksheet!L172&lt;&gt;"",IF(Worksheet!L172="Y","да","нет"),"")</f>
        <v>да</v>
      </c>
      <c r="F176" s="21">
        <f>IF(Worksheet!N172&lt;&gt;"",MID(Worksheet!N172,1,FIND(" ",Worksheet!N172,1)-1),"")*1</f>
        <v>7.33</v>
      </c>
      <c r="G176" s="21">
        <f>IF(Worksheet!O172&lt;&gt;"",MID(Worksheet!O172,1,FIND(" ",Worksheet!O172,1)-1),"")*1</f>
        <v>2.1909999999999998</v>
      </c>
      <c r="H176" s="21">
        <f>IF(Worksheet!P172&lt;&gt;"",MID(Worksheet!P172,1,FIND("(",Worksheet!P172,1)-1),"")*1</f>
        <v>2.0299999999999998</v>
      </c>
      <c r="I176" s="6"/>
      <c r="J176" s="6"/>
      <c r="K176" t="str">
        <f>IF(Worksheet!BI172&lt;&gt;"",Worksheet!BI172,"")</f>
        <v>1 / 220 / 50</v>
      </c>
      <c r="L176" t="str">
        <f>IF(Worksheet!AU172&lt;&gt;"",Worksheet!AU172,"")</f>
        <v>R32</v>
      </c>
      <c r="M176" s="6"/>
      <c r="N176" s="6"/>
      <c r="O176" t="str">
        <f>IF(Worksheet!CR172&lt;&gt;"",CONCATENATE(Worksheet!CR172," х ",Worksheet!CP172," х ",Worksheet!CT172),"")</f>
        <v>1083 х 336 х 244</v>
      </c>
      <c r="P176" t="str">
        <f>IF(Worksheet!CS172&lt;&gt;"",CONCATENATE(Worksheet!CS172," х ",Worksheet!CU172," х ",Worksheet!CQ172),"")</f>
        <v>1155 х 415 х 315</v>
      </c>
      <c r="Q176" t="str">
        <f>IF(Worksheet!CV172&lt;&gt;"",CONCATENATE(Worksheet!CV172," / ",Worksheet!CW172),"")</f>
        <v>13.6 / 17.3</v>
      </c>
      <c r="R176" t="str">
        <f>IF(Worksheet!BS172&lt;&gt;"",Worksheet!BS172,"")</f>
        <v>46/37/34.5</v>
      </c>
      <c r="S176" t="str">
        <f>IF(Worksheet!AL172&lt;&gt;"",Worksheet!AL172,"")</f>
        <v>GMCC</v>
      </c>
      <c r="T176" t="str">
        <f>IF(Worksheet!CJ172&lt;&gt;"",CONCATENATE(Worksheet!CJ172," х ",Worksheet!CL172," х ",Worksheet!CH172),"")</f>
        <v>955 х 342 х 673</v>
      </c>
      <c r="U176" t="str">
        <f>IF(Worksheet!CK172&lt;&gt;"",CONCATENATE(Worksheet!CK172," х ",Worksheet!CM172," х ",Worksheet!CI172),"")</f>
        <v>995 х 398 х 740</v>
      </c>
      <c r="V176" t="str">
        <f>IF(Worksheet!CN172&lt;&gt;"",CONCATENATE(Worksheet!CN172,"/",Worksheet!CO172),"")</f>
        <v>43.9/46.9</v>
      </c>
      <c r="W176" s="6"/>
      <c r="X176" s="7">
        <f>IF(Worksheet!AN172&lt;&gt;"",Worksheet!AN172,"")</f>
        <v>9.52</v>
      </c>
      <c r="Y176" s="7">
        <f>IF(Worksheet!AO172&lt;&gt;"",Worksheet!AO172,"")</f>
        <v>15.9</v>
      </c>
      <c r="Z176" s="17">
        <f>IF(Worksheet!Q172&lt;&gt;"",Worksheet!Q172,"")</f>
        <v>50</v>
      </c>
      <c r="AA176" s="17">
        <f>IF(Worksheet!R172&lt;&gt;"",Worksheet!R172,"")</f>
        <v>25</v>
      </c>
      <c r="AB176" t="str">
        <f>IF(Worksheet!X172&lt;&gt;"",CONCATENATE("от ",Worksheet!X172," до +",Worksheet!Y172),"")</f>
        <v>от -15 до +50</v>
      </c>
      <c r="AC176" t="str">
        <f>IF(Worksheet!Z172&lt;&gt;"",CONCATENATE("от ",Worksheet!Z172," до +",Worksheet!AA172),"")</f>
        <v>от -15 до +24</v>
      </c>
      <c r="AD176" s="6" t="s">
        <v>5245</v>
      </c>
      <c r="AE176" s="17"/>
    </row>
    <row r="177" spans="1:31" x14ac:dyDescent="0.25">
      <c r="A177" s="17" t="str">
        <f>IF(Worksheet!B173&lt;&gt;"",Worksheet!B173,"")</f>
        <v>LESSAR</v>
      </c>
      <c r="B177" t="str">
        <f>Worksheet!E173</f>
        <v>Сплит система</v>
      </c>
      <c r="C177" s="21">
        <f>IF(Worksheet!M173&lt;&gt;"",MID(Worksheet!M173,1,FIND(" ",Worksheet!M173,1)-1),"")*1</f>
        <v>2.64</v>
      </c>
      <c r="D177">
        <f t="shared" si="8"/>
        <v>26</v>
      </c>
      <c r="E177" t="str">
        <f>IF(Worksheet!L173&lt;&gt;"",IF(Worksheet!L173="Y","да","нет"),"")</f>
        <v>да</v>
      </c>
      <c r="F177" s="21">
        <f>IF(Worksheet!N173&lt;&gt;"",MID(Worksheet!N173,1,FIND(" ",Worksheet!N173,1)-1),"")*1</f>
        <v>2.93</v>
      </c>
      <c r="G177" s="21">
        <f>IF(Worksheet!O173&lt;&gt;"",MID(Worksheet!O173,1,FIND(" ",Worksheet!O173,1)-1),"")*1</f>
        <v>0.73699999999999999</v>
      </c>
      <c r="H177" s="21">
        <f>IF(Worksheet!P173&lt;&gt;"",MID(Worksheet!P173,1,FIND(" ",Worksheet!P173,1)-1),"")*1</f>
        <v>0.81100000000000005</v>
      </c>
      <c r="I177" s="6"/>
      <c r="J177" s="6"/>
      <c r="K177" t="str">
        <f>IF(Worksheet!BI173&lt;&gt;"",Worksheet!BI173,"")</f>
        <v>1 / 220 / 50</v>
      </c>
      <c r="L177" t="str">
        <f>IF(Worksheet!AU173&lt;&gt;"",Worksheet!AU173,"")</f>
        <v>R32</v>
      </c>
      <c r="M177" s="6"/>
      <c r="N177" s="6"/>
      <c r="O177" t="str">
        <f>IF(Worksheet!CR173&lt;&gt;"",CONCATENATE(Worksheet!CR173," х ",Worksheet!CP173," х ",Worksheet!CT173),"")</f>
        <v>717 х 302 х 193</v>
      </c>
      <c r="P177" t="str">
        <f>IF(Worksheet!CS173&lt;&gt;"",CONCATENATE(Worksheet!CS173," х ",Worksheet!CU173," х ",Worksheet!CQ173),"")</f>
        <v>785 х 375 х 290</v>
      </c>
      <c r="Q177" t="str">
        <f>IF(Worksheet!CV173&lt;&gt;"",CONCATENATE(Worksheet!CV173," / ",Worksheet!CW173),"")</f>
        <v>7.8 / 10.3</v>
      </c>
      <c r="R177" t="str">
        <f>IF(Worksheet!BS173&lt;&gt;"",Worksheet!BS173,"")</f>
        <v>29/35/41</v>
      </c>
      <c r="S177" t="str">
        <f>IF(Worksheet!AL173&lt;&gt;"",Worksheet!AL173,"")</f>
        <v>GMCC</v>
      </c>
      <c r="T177" t="str">
        <f>IF(Worksheet!CJ173&lt;&gt;"",CONCATENATE(Worksheet!CJ173," х ",Worksheet!CL173," х ",Worksheet!CH173),"")</f>
        <v>770 х 300 х 555</v>
      </c>
      <c r="U177" t="str">
        <f>IF(Worksheet!CK173&lt;&gt;"",CONCATENATE(Worksheet!CK173," х ",Worksheet!CM173," х ",Worksheet!CI173),"")</f>
        <v>900 х 345 х 595</v>
      </c>
      <c r="V177" t="str">
        <f>IF(Worksheet!CN173&lt;&gt;"",CONCATENATE(Worksheet!CN173,"/",Worksheet!CO173),"")</f>
        <v>26.8/29.1</v>
      </c>
      <c r="W177" s="6"/>
      <c r="X177" s="7">
        <f>IF(Worksheet!AN173&lt;&gt;"",Worksheet!AN173,"")</f>
        <v>6.35</v>
      </c>
      <c r="Y177" s="7">
        <f>IF(Worksheet!AO173&lt;&gt;"",Worksheet!AO173,"")</f>
        <v>9.52</v>
      </c>
      <c r="Z177" s="17">
        <f>IF(Worksheet!Q173&lt;&gt;"",Worksheet!Q173,"")</f>
        <v>25</v>
      </c>
      <c r="AA177" s="17">
        <f>IF(Worksheet!R173&lt;&gt;"",Worksheet!R173,"")</f>
        <v>10</v>
      </c>
      <c r="AB177" t="str">
        <f>IF(Worksheet!X173&lt;&gt;"",CONCATENATE("от ",Worksheet!X173," до +",Worksheet!Y173),"")</f>
        <v>от -15 до +50</v>
      </c>
      <c r="AC177" t="str">
        <f>IF(Worksheet!Z173&lt;&gt;"",CONCATENATE("от ",Worksheet!Z173," до +",Worksheet!AA173),"")</f>
        <v>от -15 до +30</v>
      </c>
      <c r="AD177" s="6" t="s">
        <v>5245</v>
      </c>
      <c r="AE177" s="17"/>
    </row>
    <row r="178" spans="1:31" x14ac:dyDescent="0.25">
      <c r="A178" s="17" t="str">
        <f>IF(Worksheet!B174&lt;&gt;"",Worksheet!B174,"")</f>
        <v>LESSAR</v>
      </c>
      <c r="B178" t="str">
        <f>Worksheet!E174</f>
        <v>Сплит система</v>
      </c>
      <c r="C178" s="21">
        <f>IF(Worksheet!M174&lt;&gt;"",MID(Worksheet!M174,1,FIND(" ",Worksheet!M174,1)-1),"")*1</f>
        <v>3.52</v>
      </c>
      <c r="D178">
        <f t="shared" si="8"/>
        <v>35</v>
      </c>
      <c r="E178" t="str">
        <f>IF(Worksheet!L174&lt;&gt;"",IF(Worksheet!L174="Y","да","нет"),"")</f>
        <v>да</v>
      </c>
      <c r="F178" s="21">
        <f>IF(Worksheet!N174&lt;&gt;"",MID(Worksheet!N174,1,FIND(" ",Worksheet!N174,1)-1),"")*1</f>
        <v>4.0999999999999996</v>
      </c>
      <c r="G178" s="21">
        <f>IF(Worksheet!O174&lt;&gt;"",MID(Worksheet!O174,1,FIND(" ",Worksheet!O174,1)-1),"")*1</f>
        <v>1.252</v>
      </c>
      <c r="H178" s="21">
        <f>IF(Worksheet!P174&lt;&gt;"",MID(Worksheet!P174,1,FIND(" ",Worksheet!P174,1)-1),"")*1</f>
        <v>1.169</v>
      </c>
      <c r="I178" s="6"/>
      <c r="J178" s="6"/>
      <c r="K178" t="str">
        <f>IF(Worksheet!BI174&lt;&gt;"",Worksheet!BI174,"")</f>
        <v>1 / 220 / 50</v>
      </c>
      <c r="L178" t="str">
        <f>IF(Worksheet!AU174&lt;&gt;"",Worksheet!AU174,"")</f>
        <v>R32</v>
      </c>
      <c r="M178" s="6"/>
      <c r="N178" s="6"/>
      <c r="O178" t="str">
        <f>IF(Worksheet!CR174&lt;&gt;"",CONCATENATE(Worksheet!CR174," х ",Worksheet!CP174," х ",Worksheet!CT174),"")</f>
        <v>805 х 302 х 193</v>
      </c>
      <c r="P178" t="str">
        <f>IF(Worksheet!CS174&lt;&gt;"",CONCATENATE(Worksheet!CS174," х ",Worksheet!CU174," х ",Worksheet!CQ174),"")</f>
        <v>875 х 375 х 290</v>
      </c>
      <c r="Q178" t="str">
        <f>IF(Worksheet!CV174&lt;&gt;"",CONCATENATE(Worksheet!CV174," / ",Worksheet!CW174),"")</f>
        <v>8.2 / 10.9</v>
      </c>
      <c r="R178" t="str">
        <f>IF(Worksheet!BS174&lt;&gt;"",Worksheet!BS174,"")</f>
        <v>28/36/42</v>
      </c>
      <c r="S178" t="str">
        <f>IF(Worksheet!AL174&lt;&gt;"",Worksheet!AL174,"")</f>
        <v>GMCC</v>
      </c>
      <c r="T178" t="str">
        <f>IF(Worksheet!CJ174&lt;&gt;"",CONCATENATE(Worksheet!CJ174," х ",Worksheet!CL174," х ",Worksheet!CH174),"")</f>
        <v>770 х 300 х 555</v>
      </c>
      <c r="U178" t="str">
        <f>IF(Worksheet!CK174&lt;&gt;"",CONCATENATE(Worksheet!CK174," х ",Worksheet!CM174," х ",Worksheet!CI174),"")</f>
        <v>900 х 345 х 595</v>
      </c>
      <c r="V178" t="str">
        <f>IF(Worksheet!CN174&lt;&gt;"",CONCATENATE(Worksheet!CN174,"/",Worksheet!CO174),"")</f>
        <v>27/29.4</v>
      </c>
      <c r="W178" s="6"/>
      <c r="X178" s="7">
        <f>IF(Worksheet!AN174&lt;&gt;"",Worksheet!AN174,"")</f>
        <v>6.35</v>
      </c>
      <c r="Y178" s="7">
        <f>IF(Worksheet!AO174&lt;&gt;"",Worksheet!AO174,"")</f>
        <v>9.52</v>
      </c>
      <c r="Z178" s="17">
        <f>IF(Worksheet!Q174&lt;&gt;"",Worksheet!Q174,"")</f>
        <v>25</v>
      </c>
      <c r="AA178" s="17">
        <f>IF(Worksheet!R174&lt;&gt;"",Worksheet!R174,"")</f>
        <v>10</v>
      </c>
      <c r="AB178" t="str">
        <f>IF(Worksheet!X174&lt;&gt;"",CONCATENATE("от ",Worksheet!X174," до +",Worksheet!Y174),"")</f>
        <v>от -15 до +50</v>
      </c>
      <c r="AC178" t="str">
        <f>IF(Worksheet!Z174&lt;&gt;"",CONCATENATE("от ",Worksheet!Z174," до +",Worksheet!AA174),"")</f>
        <v>от -15 до +30</v>
      </c>
      <c r="AD178" s="6" t="s">
        <v>5245</v>
      </c>
      <c r="AE178" s="17"/>
    </row>
    <row r="179" spans="1:31" x14ac:dyDescent="0.25">
      <c r="A179" s="17" t="str">
        <f>IF(Worksheet!B175&lt;&gt;"",Worksheet!B175,"")</f>
        <v>LESSAR</v>
      </c>
      <c r="B179" t="str">
        <f>Worksheet!E175</f>
        <v>Сплит система</v>
      </c>
      <c r="C179" s="21">
        <f>IF(Worksheet!M175&lt;&gt;"",MID(Worksheet!M175,1,FIND(" ",Worksheet!M175,1)-1),"")*1</f>
        <v>5.28</v>
      </c>
      <c r="D179">
        <f t="shared" si="8"/>
        <v>52</v>
      </c>
      <c r="E179" t="str">
        <f>IF(Worksheet!L175&lt;&gt;"",IF(Worksheet!L175="Y","да","нет"),"")</f>
        <v>да</v>
      </c>
      <c r="F179" s="21">
        <f>IF(Worksheet!N175&lt;&gt;"",MID(Worksheet!N175,1,FIND(" ",Worksheet!N175,1)-1),"")*1</f>
        <v>5.57</v>
      </c>
      <c r="G179" s="21">
        <f>IF(Worksheet!O175&lt;&gt;"",MID(Worksheet!O175,1,FIND(" ",Worksheet!O175,1)-1),"")*1</f>
        <v>1.5029999999999999</v>
      </c>
      <c r="H179" s="21">
        <f>IF(Worksheet!P175&lt;&gt;"",MID(Worksheet!P175,1,FIND(" ",Worksheet!P175,1)-1),"")*1</f>
        <v>1.3919999999999999</v>
      </c>
      <c r="I179" s="6"/>
      <c r="J179" s="6"/>
      <c r="K179" t="str">
        <f>IF(Worksheet!BI175&lt;&gt;"",Worksheet!BI175,"")</f>
        <v>1 / 220 / 50</v>
      </c>
      <c r="L179" t="str">
        <f>IF(Worksheet!AU175&lt;&gt;"",Worksheet!AU175,"")</f>
        <v>R32</v>
      </c>
      <c r="M179" s="6"/>
      <c r="N179" s="6"/>
      <c r="O179" t="str">
        <f>IF(Worksheet!CR175&lt;&gt;"",CONCATENATE(Worksheet!CR175," х ",Worksheet!CP175," х ",Worksheet!CT175),"")</f>
        <v>964 х 325 х 222</v>
      </c>
      <c r="P179" t="str">
        <f>IF(Worksheet!CS175&lt;&gt;"",CONCATENATE(Worksheet!CS175," х ",Worksheet!CU175," х ",Worksheet!CQ175),"")</f>
        <v>1045 х 405 х 310</v>
      </c>
      <c r="Q179" t="str">
        <f>IF(Worksheet!CV175&lt;&gt;"",CONCATENATE(Worksheet!CV175," / ",Worksheet!CW175),"")</f>
        <v>10.8 / 14.3</v>
      </c>
      <c r="R179" t="str">
        <f>IF(Worksheet!BS175&lt;&gt;"",Worksheet!BS175,"")</f>
        <v>29/37/45</v>
      </c>
      <c r="S179" t="str">
        <f>IF(Worksheet!AL175&lt;&gt;"",Worksheet!AL175,"")</f>
        <v>GMCC</v>
      </c>
      <c r="T179" t="str">
        <f>IF(Worksheet!CJ175&lt;&gt;"",CONCATENATE(Worksheet!CJ175," х ",Worksheet!CL175," х ",Worksheet!CH175),"")</f>
        <v>800 х 333 х 554</v>
      </c>
      <c r="U179" t="str">
        <f>IF(Worksheet!CK175&lt;&gt;"",CONCATENATE(Worksheet!CK175," х ",Worksheet!CM175," х ",Worksheet!CI175),"")</f>
        <v>920 х 390 х 615</v>
      </c>
      <c r="V179" t="str">
        <f>IF(Worksheet!CN175&lt;&gt;"",CONCATENATE(Worksheet!CN175,"/",Worksheet!CO175),"")</f>
        <v>37/39.9</v>
      </c>
      <c r="W179" s="6"/>
      <c r="X179" s="7">
        <f>IF(Worksheet!AN175&lt;&gt;"",Worksheet!AN175,"")</f>
        <v>6.35</v>
      </c>
      <c r="Y179" s="7">
        <f>IF(Worksheet!AO175&lt;&gt;"",Worksheet!AO175,"")</f>
        <v>12.7</v>
      </c>
      <c r="Z179" s="17">
        <f>IF(Worksheet!Q175&lt;&gt;"",Worksheet!Q175,"")</f>
        <v>30</v>
      </c>
      <c r="AA179" s="17">
        <f>IF(Worksheet!R175&lt;&gt;"",Worksheet!R175,"")</f>
        <v>20</v>
      </c>
      <c r="AB179" t="str">
        <f>IF(Worksheet!X175&lt;&gt;"",CONCATENATE("от ",Worksheet!X175," до +",Worksheet!Y175),"")</f>
        <v>от -15 до +50</v>
      </c>
      <c r="AC179" t="str">
        <f>IF(Worksheet!Z175&lt;&gt;"",CONCATENATE("от ",Worksheet!Z175," до +",Worksheet!AA175),"")</f>
        <v>от -15 до +30</v>
      </c>
      <c r="AD179" s="6" t="s">
        <v>5245</v>
      </c>
      <c r="AE179" s="17"/>
    </row>
    <row r="180" spans="1:31" x14ac:dyDescent="0.25">
      <c r="A180" s="17" t="str">
        <f>IF(Worksheet!B176&lt;&gt;"",Worksheet!B176,"")</f>
        <v>LESSAR</v>
      </c>
      <c r="B180" t="str">
        <f>Worksheet!E176</f>
        <v>Сплит система</v>
      </c>
      <c r="C180" s="21">
        <f>IF(Worksheet!M176&lt;&gt;"",MID(Worksheet!M176,1,FIND(" ",Worksheet!M176,1)-1),"")*1</f>
        <v>7.33</v>
      </c>
      <c r="D180">
        <f t="shared" si="8"/>
        <v>73</v>
      </c>
      <c r="E180" t="str">
        <f>IF(Worksheet!L176&lt;&gt;"",IF(Worksheet!L176="Y","да","нет"),"")</f>
        <v>да</v>
      </c>
      <c r="F180" s="21">
        <f>IF(Worksheet!N176&lt;&gt;"",MID(Worksheet!N176,1,FIND(" ",Worksheet!N176,1)-1),"")*1</f>
        <v>7.62</v>
      </c>
      <c r="G180" s="24">
        <v>2.2829999999999999</v>
      </c>
      <c r="H180" s="21">
        <f>IF(Worksheet!P176&lt;&gt;"",MID(Worksheet!P176,1,FIND(" ",Worksheet!P176,1)-1),"")*1</f>
        <v>2.11</v>
      </c>
      <c r="I180" s="6"/>
      <c r="J180" s="6"/>
      <c r="K180" t="str">
        <f>IF(Worksheet!BI176&lt;&gt;"",Worksheet!BI176,"")</f>
        <v>1 / 220 / 50</v>
      </c>
      <c r="L180" t="str">
        <f>IF(Worksheet!AU176&lt;&gt;"",Worksheet!AU176,"")</f>
        <v>R32</v>
      </c>
      <c r="M180" s="6"/>
      <c r="N180" s="6"/>
      <c r="O180" t="str">
        <f>IF(Worksheet!CR176&lt;&gt;"",CONCATENATE(Worksheet!CR176," х ",Worksheet!CP176," х ",Worksheet!CT176),"")</f>
        <v>1106 х 342 х 232</v>
      </c>
      <c r="P180" t="str">
        <f>IF(Worksheet!CS176&lt;&gt;"",CONCATENATE(Worksheet!CS176," х ",Worksheet!CU176," х ",Worksheet!CQ176),"")</f>
        <v>1195 х 420 х 320</v>
      </c>
      <c r="Q180" t="str">
        <f>IF(Worksheet!CV176&lt;&gt;"",CONCATENATE(Worksheet!CV176," / ",Worksheet!CW176),"")</f>
        <v>14.3 / 18.2</v>
      </c>
      <c r="R180" t="str">
        <f>IF(Worksheet!BS176&lt;&gt;"",Worksheet!BS176,"")</f>
        <v>36/41/46</v>
      </c>
      <c r="S180" t="str">
        <f>IF(Worksheet!AL176&lt;&gt;"",Worksheet!AL176,"")</f>
        <v>GMCC</v>
      </c>
      <c r="T180" t="str">
        <f>IF(Worksheet!CJ176&lt;&gt;"",CONCATENATE(Worksheet!CJ176," х ",Worksheet!CL176," х ",Worksheet!CH176),"")</f>
        <v>845 х 363 х 702</v>
      </c>
      <c r="U180" t="str">
        <f>IF(Worksheet!CK176&lt;&gt;"",CONCATENATE(Worksheet!CK176," х ",Worksheet!CM176," х ",Worksheet!CI176),"")</f>
        <v>965 х 395 х 775</v>
      </c>
      <c r="V180" t="str">
        <f>IF(Worksheet!CN176&lt;&gt;"",CONCATENATE(Worksheet!CN176,"/",Worksheet!CO176),"")</f>
        <v>51.5/54.6</v>
      </c>
      <c r="W180" s="6"/>
      <c r="X180" s="7">
        <f>IF(Worksheet!AN176&lt;&gt;"",Worksheet!AN176,"")</f>
        <v>9.52</v>
      </c>
      <c r="Y180" s="7">
        <f>IF(Worksheet!AO176&lt;&gt;"",Worksheet!AO176,"")</f>
        <v>15.9</v>
      </c>
      <c r="Z180" s="17">
        <f>IF(Worksheet!Q176&lt;&gt;"",Worksheet!Q176,"")</f>
        <v>50</v>
      </c>
      <c r="AA180" s="17">
        <f>IF(Worksheet!R176&lt;&gt;"",Worksheet!R176,"")</f>
        <v>25</v>
      </c>
      <c r="AB180" t="str">
        <f>IF(Worksheet!X176&lt;&gt;"",CONCATENATE("от ",Worksheet!X176," до +",Worksheet!Y176),"")</f>
        <v>от -15 до +50</v>
      </c>
      <c r="AC180" t="str">
        <f>IF(Worksheet!Z176&lt;&gt;"",CONCATENATE("от ",Worksheet!Z176," до +",Worksheet!AA176),"")</f>
        <v>от -15 до +30</v>
      </c>
      <c r="AD180" s="6" t="s">
        <v>5245</v>
      </c>
      <c r="AE180" s="17"/>
    </row>
    <row r="181" spans="1:31" x14ac:dyDescent="0.25">
      <c r="A181" s="17" t="str">
        <f>IF(Worksheet!B177&lt;&gt;"",Worksheet!B177,"")</f>
        <v>LESSAR</v>
      </c>
      <c r="B181" t="str">
        <f>Worksheet!E177</f>
        <v>Сплит система</v>
      </c>
      <c r="C181" s="21">
        <f>IF(Worksheet!M177&lt;&gt;"",MID(Worksheet!M177,1,FIND(" ",Worksheet!M177,1)-1),"")*1</f>
        <v>2.64</v>
      </c>
      <c r="D181">
        <f t="shared" si="8"/>
        <v>26</v>
      </c>
      <c r="E181" t="str">
        <f>IF(Worksheet!L177&lt;&gt;"",IF(Worksheet!L177="Y","да","нет"),"")</f>
        <v>да</v>
      </c>
      <c r="F181" s="21">
        <f>IF(Worksheet!N177&lt;&gt;"",MID(Worksheet!N177,1,FIND(" ",Worksheet!N177,1)-1),"")*1</f>
        <v>2.93</v>
      </c>
      <c r="G181" s="21">
        <f>IF(Worksheet!O177&lt;&gt;"",MID(Worksheet!O177,1,FIND(" ",Worksheet!O177,1)-1),"")*1</f>
        <v>0.71199999999999997</v>
      </c>
      <c r="H181" s="21">
        <f>IF(Worksheet!P177&lt;&gt;"",MID(Worksheet!P177,1,FIND(" ",Worksheet!P177,1)-1),"")*1</f>
        <v>0.77100000000000002</v>
      </c>
      <c r="I181" s="6"/>
      <c r="J181" s="6"/>
      <c r="K181" t="str">
        <f>IF(Worksheet!BI177&lt;&gt;"",Worksheet!BI177,"")</f>
        <v>1 / 220 / 50</v>
      </c>
      <c r="L181" t="str">
        <f>IF(Worksheet!AU177&lt;&gt;"",Worksheet!AU177,"")</f>
        <v>R32</v>
      </c>
      <c r="M181" s="6"/>
      <c r="N181" s="6"/>
      <c r="O181" t="str">
        <f>IF(Worksheet!CR177&lt;&gt;"",CONCATENATE(Worksheet!CR177," х ",Worksheet!CP177," х ",Worksheet!CT177),"")</f>
        <v>897 х 312 х 182</v>
      </c>
      <c r="P181" t="str">
        <f>IF(Worksheet!CS177&lt;&gt;"",CONCATENATE(Worksheet!CS177," х ",Worksheet!CU177," х ",Worksheet!CQ177),"")</f>
        <v>985 х 385 х 265</v>
      </c>
      <c r="Q181" t="str">
        <f>IF(Worksheet!CV177&lt;&gt;"",CONCATENATE(Worksheet!CV177," / ",Worksheet!CW177),"")</f>
        <v>10.5 / 13.9</v>
      </c>
      <c r="R181" t="str">
        <f>IF(Worksheet!BS177&lt;&gt;"",Worksheet!BS177,"")</f>
        <v>21/26/32/37.5</v>
      </c>
      <c r="S181" t="str">
        <f>IF(Worksheet!AL177&lt;&gt;"",Worksheet!AL177,"")</f>
        <v>GMCC</v>
      </c>
      <c r="T181" t="str">
        <f>IF(Worksheet!CJ177&lt;&gt;"",CONCATENATE(Worksheet!CJ177," х ",Worksheet!CL177," х ",Worksheet!CH177),"")</f>
        <v>770 х 300 х 555</v>
      </c>
      <c r="U181" t="str">
        <f>IF(Worksheet!CK177&lt;&gt;"",CONCATENATE(Worksheet!CK177," х ",Worksheet!CM177," х ",Worksheet!CI177),"")</f>
        <v>900 х 345 х 595</v>
      </c>
      <c r="V181" t="str">
        <f>IF(Worksheet!CN177&lt;&gt;"",CONCATENATE(Worksheet!CN177,"/",Worksheet!CO177),"")</f>
        <v>27/29.4</v>
      </c>
      <c r="W181" s="6"/>
      <c r="X181" s="7">
        <f>IF(Worksheet!AN177&lt;&gt;"",Worksheet!AN177,"")</f>
        <v>6.35</v>
      </c>
      <c r="Y181" s="7">
        <f>IF(Worksheet!AO177&lt;&gt;"",Worksheet!AO177,"")</f>
        <v>9.52</v>
      </c>
      <c r="Z181" s="17">
        <f>IF(Worksheet!Q177&lt;&gt;"",Worksheet!Q177,"")</f>
        <v>25</v>
      </c>
      <c r="AA181" s="17">
        <f>IF(Worksheet!R177&lt;&gt;"",Worksheet!R177,"")</f>
        <v>10</v>
      </c>
      <c r="AB181" t="str">
        <f>IF(Worksheet!X177&lt;&gt;"",CONCATENATE("от ",Worksheet!X177," до +",Worksheet!Y177),"")</f>
        <v>от -15 до +50</v>
      </c>
      <c r="AC181" t="str">
        <f>IF(Worksheet!Z177&lt;&gt;"",CONCATENATE("от ",Worksheet!Z177," до +",Worksheet!AA177),"")</f>
        <v>от -15 до +30</v>
      </c>
      <c r="AD181" s="6" t="s">
        <v>5245</v>
      </c>
      <c r="AE181" s="17"/>
    </row>
    <row r="182" spans="1:31" x14ac:dyDescent="0.25">
      <c r="A182" s="17" t="str">
        <f>IF(Worksheet!B178&lt;&gt;"",Worksheet!B178,"")</f>
        <v>LESSAR</v>
      </c>
      <c r="B182" t="str">
        <f>Worksheet!E178</f>
        <v>Сплит система</v>
      </c>
      <c r="C182" s="21">
        <f>IF(Worksheet!M178&lt;&gt;"",MID(Worksheet!M178,1,FIND(" ",Worksheet!M178,1)-1),"")*1</f>
        <v>2.64</v>
      </c>
      <c r="D182">
        <f t="shared" si="8"/>
        <v>26</v>
      </c>
      <c r="E182" t="str">
        <f>IF(Worksheet!L178&lt;&gt;"",IF(Worksheet!L178="Y","да","нет"),"")</f>
        <v>да</v>
      </c>
      <c r="F182" s="21">
        <f>IF(Worksheet!N178&lt;&gt;"",MID(Worksheet!N178,1,FIND(" ",Worksheet!N178,1)-1),"")*1</f>
        <v>2.93</v>
      </c>
      <c r="G182" s="21">
        <f>IF(Worksheet!O178&lt;&gt;"",MID(Worksheet!O178,1,FIND(" ",Worksheet!O178,1)-1),"")*1</f>
        <v>0.628</v>
      </c>
      <c r="H182" s="21">
        <f>IF(Worksheet!P178&lt;&gt;"",MID(Worksheet!P178,1,FIND(" ",Worksheet!P178,1)-1),"")*1</f>
        <v>0.66600000000000004</v>
      </c>
      <c r="I182" s="6"/>
      <c r="J182" s="6"/>
      <c r="K182" t="str">
        <f>IF(Worksheet!BI178&lt;&gt;"",Worksheet!BI178,"")</f>
        <v>1 / 220 / 50</v>
      </c>
      <c r="L182" t="str">
        <f>IF(Worksheet!AU178&lt;&gt;"",Worksheet!AU178,"")</f>
        <v>R32</v>
      </c>
      <c r="M182" s="6"/>
      <c r="N182" s="6"/>
      <c r="O182" t="str">
        <f>IF(Worksheet!CR178&lt;&gt;"",CONCATENATE(Worksheet!CR178," х ",Worksheet!CP178," х ",Worksheet!CT178),"")</f>
        <v>897 х 312 х 182</v>
      </c>
      <c r="P182" t="str">
        <f>IF(Worksheet!CS178&lt;&gt;"",CONCATENATE(Worksheet!CS178," х ",Worksheet!CU178," х ",Worksheet!CQ178),"")</f>
        <v>985 х 385 х 265</v>
      </c>
      <c r="Q182" t="str">
        <f>IF(Worksheet!CV178&lt;&gt;"",CONCATENATE(Worksheet!CV178," / ",Worksheet!CW178),"")</f>
        <v>10.5 / 14.2</v>
      </c>
      <c r="R182" t="str">
        <f>IF(Worksheet!BS178&lt;&gt;"",Worksheet!BS178,"")</f>
        <v>24/32/37.5</v>
      </c>
      <c r="S182" t="str">
        <f>IF(Worksheet!AL178&lt;&gt;"",Worksheet!AL178,"")</f>
        <v>GMCC</v>
      </c>
      <c r="T182" t="str">
        <f>IF(Worksheet!CJ178&lt;&gt;"",CONCATENATE(Worksheet!CJ178," х ",Worksheet!CL178," х ",Worksheet!CH178),"")</f>
        <v>765 х 303 х 555</v>
      </c>
      <c r="U182" t="str">
        <f>IF(Worksheet!CK178&lt;&gt;"",CONCATENATE(Worksheet!CK178," х ",Worksheet!CM178," х ",Worksheet!CI178),"")</f>
        <v>887 х 337 х 610</v>
      </c>
      <c r="V182" t="str">
        <f>IF(Worksheet!CN178&lt;&gt;"",CONCATENATE(Worksheet!CN178,"/",Worksheet!CO178),"")</f>
        <v>26.7/29.1</v>
      </c>
      <c r="W182" s="6"/>
      <c r="X182" s="7">
        <f>IF(Worksheet!AN178&lt;&gt;"",Worksheet!AN178,"")</f>
        <v>6.35</v>
      </c>
      <c r="Y182" s="7">
        <f>IF(Worksheet!AO178&lt;&gt;"",Worksheet!AO178,"")</f>
        <v>9.52</v>
      </c>
      <c r="Z182" s="17">
        <f>IF(Worksheet!Q178&lt;&gt;"",Worksheet!Q178,"")</f>
        <v>25</v>
      </c>
      <c r="AA182" s="17">
        <f>IF(Worksheet!R178&lt;&gt;"",Worksheet!R178,"")</f>
        <v>10</v>
      </c>
      <c r="AB182" t="str">
        <f>IF(Worksheet!X178&lt;&gt;"",CONCATENATE("от ",Worksheet!X178," до +",Worksheet!Y178),"")</f>
        <v>от -15 до +50</v>
      </c>
      <c r="AC182" t="str">
        <f>IF(Worksheet!Z178&lt;&gt;"",CONCATENATE("от ",Worksheet!Z178," до +",Worksheet!AA178),"")</f>
        <v>от -15 до +30</v>
      </c>
      <c r="AD182" s="6" t="s">
        <v>5245</v>
      </c>
      <c r="AE182" s="17"/>
    </row>
    <row r="183" spans="1:31" x14ac:dyDescent="0.25">
      <c r="A183" s="17" t="str">
        <f>IF(Worksheet!B179&lt;&gt;"",Worksheet!B179,"")</f>
        <v>LESSAR</v>
      </c>
      <c r="B183" t="str">
        <f>Worksheet!E179</f>
        <v>Сплит система</v>
      </c>
      <c r="C183" s="21">
        <f>IF(Worksheet!M179&lt;&gt;"",MID(Worksheet!M179,1,FIND(" ",Worksheet!M179,1)-1),"")*1</f>
        <v>3.52</v>
      </c>
      <c r="D183">
        <f t="shared" si="8"/>
        <v>35</v>
      </c>
      <c r="E183" t="str">
        <f>IF(Worksheet!L179&lt;&gt;"",IF(Worksheet!L179="Y","да","нет"),"")</f>
        <v>да</v>
      </c>
      <c r="F183" s="21">
        <f>IF(Worksheet!N179&lt;&gt;"",MID(Worksheet!N179,1,FIND(" ",Worksheet!N179,1)-1),"")*1</f>
        <v>3.81</v>
      </c>
      <c r="G183" s="21">
        <f>IF(Worksheet!O179&lt;&gt;"",MID(Worksheet!O179,1,FIND(" ",Worksheet!O179,1)-1),"")*1</f>
        <v>1.208</v>
      </c>
      <c r="H183" s="21">
        <f>IF(Worksheet!P179&lt;&gt;"",MID(Worksheet!P179,1,FIND(" ",Worksheet!P179,1)-1),"")*1</f>
        <v>1.34</v>
      </c>
      <c r="I183" s="6"/>
      <c r="J183" s="6"/>
      <c r="K183" t="str">
        <f>IF(Worksheet!BI179&lt;&gt;"",Worksheet!BI179,"")</f>
        <v>1 / 220 / 50</v>
      </c>
      <c r="L183" t="str">
        <f>IF(Worksheet!AU179&lt;&gt;"",Worksheet!AU179,"")</f>
        <v>R32</v>
      </c>
      <c r="M183" s="6"/>
      <c r="N183" s="6"/>
      <c r="O183" t="str">
        <f>IF(Worksheet!CR179&lt;&gt;"",CONCATENATE(Worksheet!CR179," х ",Worksheet!CP179," х ",Worksheet!CT179),"")</f>
        <v>897 х 312 х 182</v>
      </c>
      <c r="P183" t="str">
        <f>IF(Worksheet!CS179&lt;&gt;"",CONCATENATE(Worksheet!CS179," х ",Worksheet!CU179," х ",Worksheet!CQ179),"")</f>
        <v>985 х 265 х 385</v>
      </c>
      <c r="Q183" t="str">
        <f>IF(Worksheet!CV179&lt;&gt;"",CONCATENATE(Worksheet!CV179," / ",Worksheet!CW179),"")</f>
        <v>10.5 / 13.9</v>
      </c>
      <c r="R183" t="str">
        <f>IF(Worksheet!BS179&lt;&gt;"",Worksheet!BS179,"")</f>
        <v>21/26/32/37.5</v>
      </c>
      <c r="S183" t="str">
        <f>IF(Worksheet!AL179&lt;&gt;"",Worksheet!AL179,"")</f>
        <v>GMCC</v>
      </c>
      <c r="T183" t="str">
        <f>IF(Worksheet!CJ179&lt;&gt;"",CONCATENATE(Worksheet!CJ179," х ",Worksheet!CL179," х ",Worksheet!CH179),"")</f>
        <v>770 х 300 х 555</v>
      </c>
      <c r="U183" t="str">
        <f>IF(Worksheet!CK179&lt;&gt;"",CONCATENATE(Worksheet!CK179," х ",Worksheet!CM179," х ",Worksheet!CI179),"")</f>
        <v>900 х 345 х 595</v>
      </c>
      <c r="V183" t="str">
        <f>IF(Worksheet!CN179&lt;&gt;"",CONCATENATE(Worksheet!CN179,"/",Worksheet!CO179),"")</f>
        <v>27/29.4</v>
      </c>
      <c r="W183" s="6"/>
      <c r="X183" s="7">
        <f>IF(Worksheet!AN179&lt;&gt;"",Worksheet!AN179,"")</f>
        <v>6.35</v>
      </c>
      <c r="Y183" s="7">
        <f>IF(Worksheet!AO179&lt;&gt;"",Worksheet!AO179,"")</f>
        <v>9.52</v>
      </c>
      <c r="Z183" s="17">
        <f>IF(Worksheet!Q179&lt;&gt;"",Worksheet!Q179,"")</f>
        <v>25</v>
      </c>
      <c r="AA183" s="17">
        <f>IF(Worksheet!R179&lt;&gt;"",Worksheet!R179,"")</f>
        <v>10</v>
      </c>
      <c r="AB183" t="str">
        <f>IF(Worksheet!X179&lt;&gt;"",CONCATENATE("от ",Worksheet!X179," до +",Worksheet!Y179),"")</f>
        <v>от -15 до +50</v>
      </c>
      <c r="AC183" t="str">
        <f>IF(Worksheet!Z179&lt;&gt;"",CONCATENATE("от ",Worksheet!Z179," до +",Worksheet!AA179),"")</f>
        <v>от -15 до +30</v>
      </c>
      <c r="AD183" s="6" t="s">
        <v>5245</v>
      </c>
      <c r="AE183" s="17"/>
    </row>
    <row r="184" spans="1:31" x14ac:dyDescent="0.25">
      <c r="A184" s="17" t="str">
        <f>IF(Worksheet!B180&lt;&gt;"",Worksheet!B180,"")</f>
        <v>LESSAR</v>
      </c>
      <c r="B184" t="str">
        <f>Worksheet!E180</f>
        <v>Сплит система</v>
      </c>
      <c r="C184" s="21">
        <f>IF(Worksheet!M180&lt;&gt;"",MID(Worksheet!M180,1,FIND(" ",Worksheet!M180,1)-1),"")*1</f>
        <v>3.52</v>
      </c>
      <c r="D184">
        <f t="shared" si="8"/>
        <v>35</v>
      </c>
      <c r="E184" t="str">
        <f>IF(Worksheet!L180&lt;&gt;"",IF(Worksheet!L180="Y","да","нет"),"")</f>
        <v>да</v>
      </c>
      <c r="F184" s="21">
        <f>IF(Worksheet!N180&lt;&gt;"",MID(Worksheet!N180,1,FIND(" ",Worksheet!N180,1)-1),"")*1</f>
        <v>3.81</v>
      </c>
      <c r="G184" s="21">
        <f>IF(Worksheet!O180&lt;&gt;"",MID(Worksheet!O180,1,FIND(" ",Worksheet!O180,1)-1),"")*1</f>
        <v>1.034</v>
      </c>
      <c r="H184" s="21">
        <f>IF(Worksheet!P180&lt;&gt;"",MID(Worksheet!P180,1,FIND(" ",Worksheet!P180,1)-1),"")*1</f>
        <v>1.03</v>
      </c>
      <c r="I184" s="6"/>
      <c r="J184" s="6"/>
      <c r="K184" t="str">
        <f>IF(Worksheet!BI180&lt;&gt;"",Worksheet!BI180,"")</f>
        <v>1 / 220 / 50</v>
      </c>
      <c r="L184" t="str">
        <f>IF(Worksheet!AU180&lt;&gt;"",Worksheet!AU180,"")</f>
        <v>R32</v>
      </c>
      <c r="M184" s="6"/>
      <c r="N184" s="6"/>
      <c r="O184" t="str">
        <f>IF(Worksheet!CR180&lt;&gt;"",CONCATENATE(Worksheet!CR180," х ",Worksheet!CP180," х ",Worksheet!CT180),"")</f>
        <v>897 х 312 х 182</v>
      </c>
      <c r="P184" t="str">
        <f>IF(Worksheet!CS180&lt;&gt;"",CONCATENATE(Worksheet!CS180," х ",Worksheet!CU180," х ",Worksheet!CQ180),"")</f>
        <v>985 х 385 х 265</v>
      </c>
      <c r="Q184" t="str">
        <f>IF(Worksheet!CV180&lt;&gt;"",CONCATENATE(Worksheet!CV180," / ",Worksheet!CW180),"")</f>
        <v>10.5 / 14.2</v>
      </c>
      <c r="R184" t="str">
        <f>IF(Worksheet!BS180&lt;&gt;"",Worksheet!BS180,"")</f>
        <v>24/32/37.5</v>
      </c>
      <c r="S184" t="str">
        <f>IF(Worksheet!AL180&lt;&gt;"",Worksheet!AL180,"")</f>
        <v>GMCC</v>
      </c>
      <c r="T184" t="str">
        <f>IF(Worksheet!CJ180&lt;&gt;"",CONCATENATE(Worksheet!CJ180," х ",Worksheet!CL180," х ",Worksheet!CH180),"")</f>
        <v>765 х 303 х 555</v>
      </c>
      <c r="U184" t="str">
        <f>IF(Worksheet!CK180&lt;&gt;"",CONCATENATE(Worksheet!CK180," х ",Worksheet!CM180," х ",Worksheet!CI180),"")</f>
        <v>887 х 337 х 610</v>
      </c>
      <c r="V184" t="str">
        <f>IF(Worksheet!CN180&lt;&gt;"",CONCATENATE(Worksheet!CN180,"/",Worksheet!CO180),"")</f>
        <v>26.7/29.1</v>
      </c>
      <c r="W184" s="6"/>
      <c r="X184" s="7">
        <f>IF(Worksheet!AN180&lt;&gt;"",Worksheet!AN180,"")</f>
        <v>6.35</v>
      </c>
      <c r="Y184" s="7">
        <f>IF(Worksheet!AO180&lt;&gt;"",Worksheet!AO180,"")</f>
        <v>9.52</v>
      </c>
      <c r="Z184" s="17">
        <f>IF(Worksheet!Q180&lt;&gt;"",Worksheet!Q180,"")</f>
        <v>25</v>
      </c>
      <c r="AA184" s="17">
        <f>IF(Worksheet!R180&lt;&gt;"",Worksheet!R180,"")</f>
        <v>10</v>
      </c>
      <c r="AB184" t="str">
        <f>IF(Worksheet!X180&lt;&gt;"",CONCATENATE("от ",Worksheet!X180," до +",Worksheet!Y180),"")</f>
        <v>от -15 до +50</v>
      </c>
      <c r="AC184" t="str">
        <f>IF(Worksheet!Z180&lt;&gt;"",CONCATENATE("от ",Worksheet!Z180," до +",Worksheet!AA180),"")</f>
        <v>от -15 до +30</v>
      </c>
      <c r="AD184" s="6" t="s">
        <v>5245</v>
      </c>
      <c r="AE184" s="17"/>
    </row>
    <row r="185" spans="1:31" x14ac:dyDescent="0.25">
      <c r="A185" s="17" t="str">
        <f>IF(Worksheet!B181&lt;&gt;"",Worksheet!B181,"")</f>
        <v>LESSAR</v>
      </c>
      <c r="B185" t="str">
        <f>Worksheet!E181</f>
        <v>Сплит система</v>
      </c>
      <c r="C185" s="21">
        <f>IF(Worksheet!M181&lt;&gt;"",MID(Worksheet!M181,1,FIND(" ",Worksheet!M181,1)-1),"")*1</f>
        <v>2.64</v>
      </c>
      <c r="D185">
        <f t="shared" si="8"/>
        <v>26</v>
      </c>
      <c r="E185" t="str">
        <f>IF(Worksheet!L181&lt;&gt;"",IF(Worksheet!L181="Y","да","нет"),"")</f>
        <v>да</v>
      </c>
      <c r="F185" s="21">
        <f>IF(Worksheet!N181&lt;&gt;"",MID(Worksheet!N181,1,FIND(" ",Worksheet!N181,1)-1),"")*1</f>
        <v>2.93</v>
      </c>
      <c r="G185" s="21">
        <f>IF(Worksheet!O181&lt;&gt;"",MID(Worksheet!O181,1,FIND(" ",Worksheet!O181,1)-1),"")*1</f>
        <v>0.6</v>
      </c>
      <c r="H185" s="21">
        <f>IF(Worksheet!P181&lt;&gt;"",MID(Worksheet!P181,1,FIND(" ",Worksheet!P181,1)-1),"")*1</f>
        <v>0.623</v>
      </c>
      <c r="I185" s="6"/>
      <c r="J185" s="6"/>
      <c r="K185" t="str">
        <f>IF(Worksheet!BI181&lt;&gt;"",Worksheet!BI181,"")</f>
        <v>1 / 220 / 50</v>
      </c>
      <c r="L185" t="str">
        <f>IF(Worksheet!AU181&lt;&gt;"",Worksheet!AU181,"")</f>
        <v>R32</v>
      </c>
      <c r="M185" s="6"/>
      <c r="N185" s="6"/>
      <c r="O185" t="str">
        <f>IF(Worksheet!CR181&lt;&gt;"",CONCATENATE(Worksheet!CR181," х ",Worksheet!CP181," х ",Worksheet!CT181),"")</f>
        <v>920 х 211 х 321</v>
      </c>
      <c r="P185" t="str">
        <f>IF(Worksheet!CS181&lt;&gt;"",CONCATENATE(Worksheet!CS181," х ",Worksheet!CU181," х ",Worksheet!CQ181),"")</f>
        <v>1005 х 385 х 295</v>
      </c>
      <c r="Q185" t="str">
        <f>IF(Worksheet!CV181&lt;&gt;"",CONCATENATE(Worksheet!CV181," / ",Worksheet!CW181),"")</f>
        <v>11.3 / 14.16</v>
      </c>
      <c r="R185" t="str">
        <f>IF(Worksheet!BS181&lt;&gt;"",Worksheet!BS181,"")</f>
        <v>21.5/32.5/40</v>
      </c>
      <c r="S185" t="str">
        <f>IF(Worksheet!AL181&lt;&gt;"",Worksheet!AL181,"")</f>
        <v>GMCC</v>
      </c>
      <c r="T185" t="str">
        <f>IF(Worksheet!CJ181&lt;&gt;"",CONCATENATE(Worksheet!CJ181," х ",Worksheet!CL181," х ",Worksheet!CH181),"")</f>
        <v>765 х 303 х 555</v>
      </c>
      <c r="U185" t="str">
        <f>IF(Worksheet!CK181&lt;&gt;"",CONCATENATE(Worksheet!CK181," х ",Worksheet!CM181," х ",Worksheet!CI181),"")</f>
        <v>887 х 337 х 610</v>
      </c>
      <c r="V185" t="str">
        <f>IF(Worksheet!CN181&lt;&gt;"",CONCATENATE(Worksheet!CN181,"/",Worksheet!CO181),"")</f>
        <v>26.4/28.8</v>
      </c>
      <c r="W185" s="6"/>
      <c r="X185" s="7">
        <f>IF(Worksheet!AN181&lt;&gt;"",Worksheet!AN181,"")</f>
        <v>6.35</v>
      </c>
      <c r="Y185" s="7">
        <f>IF(Worksheet!AO181&lt;&gt;"",Worksheet!AO181,"")</f>
        <v>9.52</v>
      </c>
      <c r="Z185" s="17">
        <f>IF(Worksheet!Q181&lt;&gt;"",Worksheet!Q181,"")</f>
        <v>25</v>
      </c>
      <c r="AA185" s="17">
        <f>IF(Worksheet!R181&lt;&gt;"",Worksheet!R181,"")</f>
        <v>10</v>
      </c>
      <c r="AB185" t="str">
        <f>IF(Worksheet!X181&lt;&gt;"",CONCATENATE("от ",Worksheet!X181," до +",Worksheet!Y181),"")</f>
        <v>от -15 до +50</v>
      </c>
      <c r="AC185" t="str">
        <f>IF(Worksheet!Z181&lt;&gt;"",CONCATENATE("от ",Worksheet!Z181," до +",Worksheet!AA181),"")</f>
        <v>от -15 до +24</v>
      </c>
      <c r="AD185" s="6" t="s">
        <v>5245</v>
      </c>
      <c r="AE185" s="17"/>
    </row>
    <row r="186" spans="1:31" x14ac:dyDescent="0.25">
      <c r="A186" s="17" t="str">
        <f>IF(Worksheet!B182&lt;&gt;"",Worksheet!B182,"")</f>
        <v>LESSAR</v>
      </c>
      <c r="B186" t="str">
        <f>Worksheet!E182</f>
        <v>Сплит система</v>
      </c>
      <c r="C186" s="21">
        <f>IF(Worksheet!M182&lt;&gt;"",MID(Worksheet!M182,1,FIND(" ",Worksheet!M182,1)-1),"")*1</f>
        <v>3.52</v>
      </c>
      <c r="D186">
        <f t="shared" si="8"/>
        <v>35</v>
      </c>
      <c r="E186" t="str">
        <f>IF(Worksheet!L182&lt;&gt;"",IF(Worksheet!L182="Y","да","нет"),"")</f>
        <v>да</v>
      </c>
      <c r="F186" s="21">
        <f>IF(Worksheet!N182&lt;&gt;"",MID(Worksheet!N182,1,FIND(" ",Worksheet!N182,1)-1),"")*1</f>
        <v>3.81</v>
      </c>
      <c r="G186" s="21">
        <f>IF(Worksheet!O182&lt;&gt;"",MID(Worksheet!O182,1,FIND(" ",Worksheet!O182,1)-1),"")*1</f>
        <v>0.9</v>
      </c>
      <c r="H186" s="21">
        <f>IF(Worksheet!P182&lt;&gt;"",MID(Worksheet!P182,1,FIND(" ",Worksheet!P182,1)-1),"")*1</f>
        <v>0.95</v>
      </c>
      <c r="I186" s="6"/>
      <c r="J186" s="6"/>
      <c r="K186" t="str">
        <f>IF(Worksheet!BI182&lt;&gt;"",Worksheet!BI182,"")</f>
        <v>1 / 220 / 50</v>
      </c>
      <c r="L186" t="str">
        <f>IF(Worksheet!AU182&lt;&gt;"",Worksheet!AU182,"")</f>
        <v>R32</v>
      </c>
      <c r="M186" s="6"/>
      <c r="N186" s="6"/>
      <c r="O186" t="str">
        <f>IF(Worksheet!CR182&lt;&gt;"",CONCATENATE(Worksheet!CR182," х ",Worksheet!CP182," х ",Worksheet!CT182),"")</f>
        <v>920 х 211 х 321</v>
      </c>
      <c r="P186" t="str">
        <f>IF(Worksheet!CS182&lt;&gt;"",CONCATENATE(Worksheet!CS182," х ",Worksheet!CU182," х ",Worksheet!CQ182),"")</f>
        <v>1005 х 385 х 295</v>
      </c>
      <c r="Q186" t="str">
        <f>IF(Worksheet!CV182&lt;&gt;"",CONCATENATE(Worksheet!CV182," / ",Worksheet!CW182),"")</f>
        <v>11.3 / 14.16</v>
      </c>
      <c r="R186" t="str">
        <f>IF(Worksheet!BS182&lt;&gt;"",Worksheet!BS182,"")</f>
        <v>21.5/32.5/40</v>
      </c>
      <c r="S186" t="str">
        <f>IF(Worksheet!AL182&lt;&gt;"",Worksheet!AL182,"")</f>
        <v>GMCC</v>
      </c>
      <c r="T186" t="str">
        <f>IF(Worksheet!CJ182&lt;&gt;"",CONCATENATE(Worksheet!CJ182," х ",Worksheet!CL182," х ",Worksheet!CH182),"")</f>
        <v>765 х 303 х 555</v>
      </c>
      <c r="U186" t="str">
        <f>IF(Worksheet!CK182&lt;&gt;"",CONCATENATE(Worksheet!CK182," х ",Worksheet!CM182," х ",Worksheet!CI182),"")</f>
        <v>887 х 337 х 610</v>
      </c>
      <c r="V186" t="str">
        <f>IF(Worksheet!CN182&lt;&gt;"",CONCATENATE(Worksheet!CN182,"/",Worksheet!CO182),"")</f>
        <v>26.4/28.8</v>
      </c>
      <c r="W186" s="6"/>
      <c r="X186" s="7">
        <f>IF(Worksheet!AN182&lt;&gt;"",Worksheet!AN182,"")</f>
        <v>6.35</v>
      </c>
      <c r="Y186" s="7">
        <f>IF(Worksheet!AO182&lt;&gt;"",Worksheet!AO182,"")</f>
        <v>9.52</v>
      </c>
      <c r="Z186" s="17">
        <f>IF(Worksheet!Q182&lt;&gt;"",Worksheet!Q182,"")</f>
        <v>25</v>
      </c>
      <c r="AA186" s="17">
        <f>IF(Worksheet!R182&lt;&gt;"",Worksheet!R182,"")</f>
        <v>10</v>
      </c>
      <c r="AB186" t="str">
        <f>IF(Worksheet!X182&lt;&gt;"",CONCATENATE("от ",Worksheet!X182," до +",Worksheet!Y182),"")</f>
        <v>от -15 до +50</v>
      </c>
      <c r="AC186" t="str">
        <f>IF(Worksheet!Z182&lt;&gt;"",CONCATENATE("от ",Worksheet!Z182," до +",Worksheet!AA182),"")</f>
        <v>от -15 до +24</v>
      </c>
      <c r="AD186" s="6" t="s">
        <v>5245</v>
      </c>
      <c r="AE186" s="17"/>
    </row>
    <row r="187" spans="1:31" x14ac:dyDescent="0.25">
      <c r="A187" s="17" t="str">
        <f>IF(Worksheet!B183&lt;&gt;"",Worksheet!B183,"")</f>
        <v>LESSAR</v>
      </c>
      <c r="B187" t="str">
        <f>Worksheet!E183</f>
        <v>Канальные</v>
      </c>
      <c r="C187">
        <f>IF(Worksheet!M183&lt;&gt;"",Worksheet!M183,"")</f>
        <v>28</v>
      </c>
      <c r="D187">
        <f t="shared" si="6"/>
        <v>280</v>
      </c>
      <c r="E187" t="str">
        <f>IF(Worksheet!L183&lt;&gt;"",IF(Worksheet!L183="Y","да","нет"),"")</f>
        <v>да</v>
      </c>
      <c r="F187">
        <f>IF(Worksheet!N183&lt;&gt;"",Worksheet!N183,"")</f>
        <v>31</v>
      </c>
      <c r="G187">
        <f>IF(Worksheet!O183&lt;&gt;"",Worksheet!O183,"")</f>
        <v>11.2</v>
      </c>
      <c r="H187">
        <f>IF(Worksheet!P183&lt;&gt;"",Worksheet!P183,"")</f>
        <v>9.39</v>
      </c>
      <c r="I187" s="6"/>
      <c r="J187" s="6"/>
      <c r="K187" t="str">
        <f>IF(Worksheet!BI183&lt;&gt;"",Worksheet!BI183,"")</f>
        <v>3 / 380 / 50</v>
      </c>
      <c r="L187" t="str">
        <f>IF(Worksheet!AU183&lt;&gt;"",Worksheet!AU183,"")</f>
        <v>R410A</v>
      </c>
      <c r="M187" s="6"/>
      <c r="N187" s="6"/>
      <c r="O187" t="str">
        <f>IF(Worksheet!CR183&lt;&gt;"",CONCATENATE(Worksheet!CR183," х ",Worksheet!CP183," х ",Worksheet!CT183),"")</f>
        <v>722 х 450 х 1366</v>
      </c>
      <c r="P187" t="str">
        <f>IF(Worksheet!CS183&lt;&gt;"",CONCATENATE(Worksheet!CS183," х ",Worksheet!CU183," х ",Worksheet!CQ183),"")</f>
        <v>875 х 1555 х 500</v>
      </c>
      <c r="Q187" t="str">
        <f>IF(Worksheet!CV183&lt;&gt;"",CONCATENATE(Worksheet!CV183," / ",Worksheet!CW183),"")</f>
        <v>90 / 99</v>
      </c>
      <c r="R187" t="str">
        <f>IF(Worksheet!BS183&lt;&gt;"",Worksheet!BS183,"")</f>
        <v>51/53/55</v>
      </c>
      <c r="S187" t="str">
        <f>IF(Worksheet!AL183&lt;&gt;"",Worksheet!AL183,"")</f>
        <v>GMCC</v>
      </c>
      <c r="T187" t="str">
        <f>IF(Worksheet!CJ183&lt;&gt;"",CONCATENATE(Worksheet!CJ183," х ",Worksheet!CL183," х ",Worksheet!CH183),"")</f>
        <v>400 х 1120 х 1558</v>
      </c>
      <c r="U187" t="str">
        <f>IF(Worksheet!CK183&lt;&gt;"",CONCATENATE(Worksheet!CK183," х ",Worksheet!CM183," х ",Worksheet!CI183),"")</f>
        <v>565 х 1270 х 1720</v>
      </c>
      <c r="V187" t="str">
        <f>IF(Worksheet!CN183&lt;&gt;"",CONCATENATE(Worksheet!CN183,"/",Worksheet!CO183),"")</f>
        <v>142/157</v>
      </c>
      <c r="W187" s="6"/>
      <c r="X187" s="7">
        <f>IF(Worksheet!AN183&lt;&gt;"",Worksheet!AN183,"")</f>
        <v>9.52</v>
      </c>
      <c r="Y187" s="25"/>
      <c r="Z187" s="17">
        <f>IF(Worksheet!Q183&lt;&gt;"",Worksheet!Q183,"")</f>
        <v>50</v>
      </c>
      <c r="AA187" s="17">
        <f>IF(Worksheet!R183&lt;&gt;"",Worksheet!R183,"")</f>
        <v>25</v>
      </c>
      <c r="AB187" t="str">
        <f>IF(Worksheet!X183&lt;&gt;"",CONCATENATE("от ",Worksheet!X183," до +",Worksheet!Y183),"")</f>
        <v>от 10 до +55</v>
      </c>
      <c r="AC187" t="str">
        <f>IF(Worksheet!Z183&lt;&gt;"",CONCATENATE("от ",Worksheet!Z183," до +",Worksheet!AA183),"")</f>
        <v>от -15 до +27</v>
      </c>
      <c r="AD187" s="6" t="s">
        <v>5245</v>
      </c>
      <c r="AE187" s="17"/>
    </row>
    <row r="188" spans="1:31" x14ac:dyDescent="0.25">
      <c r="A188" s="17" t="str">
        <f>IF(Worksheet!B184&lt;&gt;"",Worksheet!B184,"")</f>
        <v>LESSAR</v>
      </c>
      <c r="B188" t="str">
        <f>Worksheet!E184</f>
        <v>Кассетные</v>
      </c>
      <c r="C188" s="21">
        <f>IF(Worksheet!M184&lt;&gt;"",MID(Worksheet!M184,1,FIND(" ",Worksheet!M184,1)-1),"")*1</f>
        <v>7.03</v>
      </c>
      <c r="D188">
        <f t="shared" ref="D188:D224" si="9">ROUND(LEFT(C188,3)*10,0)</f>
        <v>70</v>
      </c>
      <c r="E188" t="str">
        <f>IF(Worksheet!L184&lt;&gt;"",IF(Worksheet!L184="Y","да","нет"),"")</f>
        <v>да</v>
      </c>
      <c r="F188" s="21">
        <f>IF(Worksheet!N184&lt;&gt;"",MID(Worksheet!N184,1,FIND(" ",Worksheet!N184,1)-1),"")*1</f>
        <v>7.62</v>
      </c>
      <c r="G188" s="21">
        <f>IF(Worksheet!O184&lt;&gt;"",MID(Worksheet!O184,1,FIND(" ",Worksheet!O184,1)-1),"")*1</f>
        <v>2.4169999999999998</v>
      </c>
      <c r="H188" s="21">
        <f>IF(Worksheet!P184&lt;&gt;"",MID(Worksheet!P184,1,FIND(" ",Worksheet!P184,1)-1),"")*1</f>
        <v>2.234</v>
      </c>
      <c r="I188" s="6"/>
      <c r="J188" s="6"/>
      <c r="K188" t="str">
        <f>IF(Worksheet!BI184&lt;&gt;"",Worksheet!BI184,"")</f>
        <v>1 / 220 / 50</v>
      </c>
      <c r="L188" t="str">
        <f>IF(Worksheet!AU184&lt;&gt;"",Worksheet!AU184,"")</f>
        <v>R410A</v>
      </c>
      <c r="M188" s="6"/>
      <c r="N188" s="6"/>
      <c r="O188" t="str">
        <f>IF(Worksheet!CR184&lt;&gt;"",CONCATENATE(Worksheet!CR184," х ",Worksheet!CP184," х ",Worksheet!CT184),"")</f>
        <v>950 х 55 х 950</v>
      </c>
      <c r="P188" t="str">
        <f>IF(Worksheet!CS184&lt;&gt;"",CONCATENATE(Worksheet!CS184," х ",Worksheet!CU184," х ",Worksheet!CQ184),"")</f>
        <v>1035 х 1035 х 90</v>
      </c>
      <c r="Q188" t="str">
        <f>IF(Worksheet!CV184&lt;&gt;"",CONCATENATE(Worksheet!CV184," / ",Worksheet!CW184),"")</f>
        <v>5 / 8</v>
      </c>
      <c r="R188" t="str">
        <f>IF(Worksheet!BS184&lt;&gt;"",Worksheet!BS184,"")</f>
        <v>38/45/51</v>
      </c>
      <c r="S188" t="str">
        <f>IF(Worksheet!AL184&lt;&gt;"",Worksheet!AL184,"")</f>
        <v>GMCC</v>
      </c>
      <c r="T188" t="str">
        <f>IF(Worksheet!CJ184&lt;&gt;"",CONCATENATE(Worksheet!CJ184," х ",Worksheet!CL184," х ",Worksheet!CH184),"")</f>
        <v>845 х 363 х 702</v>
      </c>
      <c r="U188" t="str">
        <f>IF(Worksheet!CK184&lt;&gt;"",CONCATENATE(Worksheet!CK184," х ",Worksheet!CM184," х ",Worksheet!CI184),"")</f>
        <v>965 х 395 х 775</v>
      </c>
      <c r="V188" t="str">
        <f>IF(Worksheet!CN184&lt;&gt;"",CONCATENATE(Worksheet!CN184,"/",Worksheet!CO184),"")</f>
        <v>46/49.1</v>
      </c>
      <c r="W188" s="6"/>
      <c r="X188" s="7">
        <f>IF(Worksheet!AN184&lt;&gt;"",Worksheet!AN184,"")</f>
        <v>9.52</v>
      </c>
      <c r="Y188" s="7">
        <f>IF(Worksheet!AO184&lt;&gt;"",Worksheet!AO184,"")</f>
        <v>16</v>
      </c>
      <c r="Z188" s="17">
        <f>IF(Worksheet!Q184&lt;&gt;"",Worksheet!Q184,"")</f>
        <v>25</v>
      </c>
      <c r="AA188" s="17">
        <f>IF(Worksheet!R184&lt;&gt;"",Worksheet!R184,"")</f>
        <v>15</v>
      </c>
      <c r="AB188" t="str">
        <f>IF(Worksheet!X184&lt;&gt;"",CONCATENATE("от ",Worksheet!X184," до +",Worksheet!Y184),"")</f>
        <v>от -15 до +50</v>
      </c>
      <c r="AC188" t="str">
        <f>IF(Worksheet!Z184&lt;&gt;"",CONCATENATE("от ",Worksheet!Z184," до +",Worksheet!AA184),"")</f>
        <v>от -15 до +24</v>
      </c>
      <c r="AD188" s="6" t="s">
        <v>5245</v>
      </c>
      <c r="AE188" s="17"/>
    </row>
    <row r="189" spans="1:31" x14ac:dyDescent="0.25">
      <c r="A189" s="17" t="str">
        <f>IF(Worksheet!B185&lt;&gt;"",Worksheet!B185,"")</f>
        <v>LESSAR</v>
      </c>
      <c r="B189" t="str">
        <f>Worksheet!E185</f>
        <v>Кассетные</v>
      </c>
      <c r="C189" s="21">
        <f>IF(Worksheet!M185&lt;&gt;"",MID(Worksheet!M185,1,FIND(" ",Worksheet!M185,1)-1),"")*1</f>
        <v>7.47</v>
      </c>
      <c r="D189">
        <f t="shared" si="9"/>
        <v>74</v>
      </c>
      <c r="E189" t="str">
        <f>IF(Worksheet!L185&lt;&gt;"",IF(Worksheet!L185="Y","да","нет"),"")</f>
        <v>да</v>
      </c>
      <c r="F189" s="21">
        <f>IF(Worksheet!N185&lt;&gt;"",MID(Worksheet!N185,1,FIND(" ",Worksheet!N185,1)-1),"")*1</f>
        <v>7.91</v>
      </c>
      <c r="G189" s="21">
        <f>IF(Worksheet!O185&lt;&gt;"",MID(Worksheet!O185,1,FIND(" ",Worksheet!O185,1)-1),"")*1</f>
        <v>2.508</v>
      </c>
      <c r="H189" s="21">
        <f>IF(Worksheet!P185&lt;&gt;"",MID(Worksheet!P185,1,FIND(" ",Worksheet!P185,1)-1),"")*1</f>
        <v>1.978</v>
      </c>
      <c r="I189" s="6"/>
      <c r="J189" s="6"/>
      <c r="K189" t="str">
        <f>IF(Worksheet!BI185&lt;&gt;"",Worksheet!BI185,"")</f>
        <v>1 / 220 / 50</v>
      </c>
      <c r="L189" t="str">
        <f>IF(Worksheet!AU185&lt;&gt;"",Worksheet!AU185,"")</f>
        <v>R410A</v>
      </c>
      <c r="M189" s="6"/>
      <c r="N189" s="6"/>
      <c r="O189" t="str">
        <f>IF(Worksheet!CR185&lt;&gt;"",CONCATENATE(Worksheet!CR185," х ",Worksheet!CP185," х ",Worksheet!CT185),"")</f>
        <v>950 х 55 х 950</v>
      </c>
      <c r="P189" t="str">
        <f>IF(Worksheet!CS185&lt;&gt;"",CONCATENATE(Worksheet!CS185," х ",Worksheet!CU185," х ",Worksheet!CQ185),"")</f>
        <v>1035 х 1035 х 90</v>
      </c>
      <c r="Q189" t="str">
        <f>IF(Worksheet!CV185&lt;&gt;"",CONCATENATE(Worksheet!CV185," / ",Worksheet!CW185),"")</f>
        <v>6 / 9</v>
      </c>
      <c r="R189" t="str">
        <f>IF(Worksheet!BS185&lt;&gt;"",Worksheet!BS185,"")</f>
        <v>40/43/45</v>
      </c>
      <c r="S189" t="str">
        <f>IF(Worksheet!AL185&lt;&gt;"",Worksheet!AL185,"")</f>
        <v>GMCC</v>
      </c>
      <c r="T189" t="str">
        <f>IF(Worksheet!CJ185&lt;&gt;"",CONCATENATE(Worksheet!CJ185," х ",Worksheet!CL185," х ",Worksheet!CH185),"")</f>
        <v>890 х 342 х 673</v>
      </c>
      <c r="U189" t="str">
        <f>IF(Worksheet!CK185&lt;&gt;"",CONCATENATE(Worksheet!CK185," х ",Worksheet!CM185," х ",Worksheet!CI185),"")</f>
        <v>398 х 995 х 740</v>
      </c>
      <c r="V189" t="str">
        <f>IF(Worksheet!CN185&lt;&gt;"",CONCATENATE(Worksheet!CN185,"/",Worksheet!CO185),"")</f>
        <v>44/47.3</v>
      </c>
      <c r="W189" s="6"/>
      <c r="X189" s="7">
        <f>IF(Worksheet!AN185&lt;&gt;"",Worksheet!AN185,"")</f>
        <v>9.52</v>
      </c>
      <c r="Y189" s="7">
        <f>IF(Worksheet!AO185&lt;&gt;"",Worksheet!AO185,"")</f>
        <v>15.9</v>
      </c>
      <c r="Z189" s="17">
        <f>IF(Worksheet!Q185&lt;&gt;"",Worksheet!Q185,"")</f>
        <v>25</v>
      </c>
      <c r="AA189" s="17">
        <f>IF(Worksheet!R185&lt;&gt;"",Worksheet!R185,"")</f>
        <v>15</v>
      </c>
      <c r="AB189" t="str">
        <f>IF(Worksheet!X185&lt;&gt;"",CONCATENATE("от ",Worksheet!X185," до +",Worksheet!Y185),"")</f>
        <v>от -15 до +50</v>
      </c>
      <c r="AC189" t="str">
        <f>IF(Worksheet!Z185&lt;&gt;"",CONCATENATE("от ",Worksheet!Z185," до +",Worksheet!AA185),"")</f>
        <v>от -15 до +24</v>
      </c>
      <c r="AD189" s="6" t="s">
        <v>5245</v>
      </c>
      <c r="AE189" s="17"/>
    </row>
    <row r="190" spans="1:31" x14ac:dyDescent="0.25">
      <c r="A190" s="17" t="str">
        <f>IF(Worksheet!B186&lt;&gt;"",Worksheet!B186,"")</f>
        <v>LESSAR</v>
      </c>
      <c r="B190" t="str">
        <f>Worksheet!E186</f>
        <v>Кассетные</v>
      </c>
      <c r="C190" s="21">
        <f>IF(Worksheet!M186&lt;&gt;"",MID(Worksheet!M186,1,FIND(" ",Worksheet!M186,1)-1),"")*1</f>
        <v>10.55</v>
      </c>
      <c r="D190">
        <f t="shared" si="9"/>
        <v>100</v>
      </c>
      <c r="E190" t="str">
        <f>IF(Worksheet!L186&lt;&gt;"",IF(Worksheet!L186="Y","да","нет"),"")</f>
        <v>да</v>
      </c>
      <c r="F190" s="21">
        <f>IF(Worksheet!N186&lt;&gt;"",MID(Worksheet!N186,1,FIND(" ",Worksheet!N186,1)-1),"")*1</f>
        <v>11.14</v>
      </c>
      <c r="G190" s="21">
        <f>IF(Worksheet!O186&lt;&gt;"",MID(Worksheet!O186,1,FIND(" ",Worksheet!O186,1)-1),"")*1</f>
        <v>3.75</v>
      </c>
      <c r="H190" s="21">
        <f>IF(Worksheet!P186&lt;&gt;"",MID(Worksheet!P186,1,FIND(" ",Worksheet!P186,1)-1),"")*1</f>
        <v>3.08</v>
      </c>
      <c r="I190" s="6"/>
      <c r="J190" s="6"/>
      <c r="K190" t="str">
        <f>IF(Worksheet!BI186&lt;&gt;"",Worksheet!BI186,"")</f>
        <v>3 / 380 / 50</v>
      </c>
      <c r="L190" t="str">
        <f>IF(Worksheet!AU186&lt;&gt;"",Worksheet!AU186,"")</f>
        <v>R410A</v>
      </c>
      <c r="M190" s="6"/>
      <c r="N190" s="6"/>
      <c r="O190" t="str">
        <f>IF(Worksheet!CR186&lt;&gt;"",CONCATENATE(Worksheet!CR186," х ",Worksheet!CP186," х ",Worksheet!CT186),"")</f>
        <v>950 х 55 х 950</v>
      </c>
      <c r="P190" t="str">
        <f>IF(Worksheet!CS186&lt;&gt;"",CONCATENATE(Worksheet!CS186," х ",Worksheet!CU186," х ",Worksheet!CQ186),"")</f>
        <v>1035 х 1035 х 90</v>
      </c>
      <c r="Q190" t="str">
        <f>IF(Worksheet!CV186&lt;&gt;"",CONCATENATE(Worksheet!CV186," / ",Worksheet!CW186),"")</f>
        <v>5 / 8</v>
      </c>
      <c r="R190" t="str">
        <f>IF(Worksheet!BS186&lt;&gt;"",Worksheet!BS186,"")</f>
        <v>45/48/52</v>
      </c>
      <c r="S190" t="str">
        <f>IF(Worksheet!AL186&lt;&gt;"",Worksheet!AL186,"")</f>
        <v>GMCC</v>
      </c>
      <c r="T190" t="str">
        <f>IF(Worksheet!CJ186&lt;&gt;"",CONCATENATE(Worksheet!CJ186," х ",Worksheet!CL186," х ",Worksheet!CH186),"")</f>
        <v>946 х 410 х 810</v>
      </c>
      <c r="U190" t="str">
        <f>IF(Worksheet!CK186&lt;&gt;"",CONCATENATE(Worksheet!CK186," х ",Worksheet!CM186," х ",Worksheet!CI186),"")</f>
        <v>1090 х 500 х 875</v>
      </c>
      <c r="V190" t="str">
        <f>IF(Worksheet!CN186&lt;&gt;"",CONCATENATE(Worksheet!CN186,"/",Worksheet!CO186),"")</f>
        <v>77.9/82.7</v>
      </c>
      <c r="W190" s="6"/>
      <c r="X190" s="7">
        <f>IF(Worksheet!AN186&lt;&gt;"",Worksheet!AN186,"")</f>
        <v>9.52</v>
      </c>
      <c r="Y190" s="7">
        <f>IF(Worksheet!AO186&lt;&gt;"",Worksheet!AO186,"")</f>
        <v>19</v>
      </c>
      <c r="Z190" s="17">
        <f>IF(Worksheet!Q186&lt;&gt;"",Worksheet!Q186,"")</f>
        <v>30</v>
      </c>
      <c r="AA190" s="17">
        <f>IF(Worksheet!R186&lt;&gt;"",Worksheet!R186,"")</f>
        <v>20</v>
      </c>
      <c r="AB190" t="str">
        <f>IF(Worksheet!X186&lt;&gt;"",CONCATENATE("от ",Worksheet!X186," до +",Worksheet!Y186),"")</f>
        <v>от -15 до +50</v>
      </c>
      <c r="AC190" t="str">
        <f>IF(Worksheet!Z186&lt;&gt;"",CONCATENATE("от ",Worksheet!Z186," до +",Worksheet!AA186),"")</f>
        <v>от -15 до +24</v>
      </c>
      <c r="AD190" s="6" t="s">
        <v>5245</v>
      </c>
      <c r="AE190" s="17"/>
    </row>
    <row r="191" spans="1:31" x14ac:dyDescent="0.25">
      <c r="A191" s="17" t="str">
        <f>IF(Worksheet!B187&lt;&gt;"",Worksheet!B187,"")</f>
        <v>LESSAR</v>
      </c>
      <c r="B191" t="str">
        <f>Worksheet!E187</f>
        <v>Кассетные</v>
      </c>
      <c r="C191" s="21">
        <f>IF(Worksheet!M187&lt;&gt;"",MID(Worksheet!M187,1,FIND(" ",Worksheet!M187,1)-1),"")*1</f>
        <v>10.55</v>
      </c>
      <c r="D191">
        <f t="shared" si="9"/>
        <v>100</v>
      </c>
      <c r="E191" t="str">
        <f>IF(Worksheet!L187&lt;&gt;"",IF(Worksheet!L187="Y","да","нет"),"")</f>
        <v>нет</v>
      </c>
      <c r="F191" s="21">
        <f>IF(Worksheet!N187&lt;&gt;"",MID(Worksheet!N187,1,FIND(" ",Worksheet!N187,1)-1),"")*1</f>
        <v>11.14</v>
      </c>
      <c r="G191" s="21">
        <f>IF(Worksheet!O187&lt;&gt;"",MID(Worksheet!O187,1,FIND(" ",Worksheet!O187,1)-1),"")*1</f>
        <v>3.9</v>
      </c>
      <c r="H191" s="21">
        <f>IF(Worksheet!P187&lt;&gt;"",MID(Worksheet!P187,1,FIND(" ",Worksheet!P187,1)-1),"")*1</f>
        <v>3.15</v>
      </c>
      <c r="I191" s="6"/>
      <c r="J191" s="6"/>
      <c r="K191" t="str">
        <f>IF(Worksheet!BI187&lt;&gt;"",Worksheet!BI187,"")</f>
        <v>3 / 380 / 50</v>
      </c>
      <c r="L191" t="str">
        <f>IF(Worksheet!AU187&lt;&gt;"",Worksheet!AU187,"")</f>
        <v>R410A</v>
      </c>
      <c r="M191" s="6"/>
      <c r="N191" s="6"/>
      <c r="O191" t="str">
        <f>IF(Worksheet!CR187&lt;&gt;"",CONCATENATE(Worksheet!CR187," х ",Worksheet!CP187," х ",Worksheet!CT187),"")</f>
        <v>950 х 55 х 950</v>
      </c>
      <c r="P191" t="str">
        <f>IF(Worksheet!CS187&lt;&gt;"",CONCATENATE(Worksheet!CS187," х ",Worksheet!CU187," х ",Worksheet!CQ187),"")</f>
        <v>1035 х 1035 х 90</v>
      </c>
      <c r="Q191" t="str">
        <f>IF(Worksheet!CV187&lt;&gt;"",CONCATENATE(Worksheet!CV187," / ",Worksheet!CW187),"")</f>
        <v>6 / 9</v>
      </c>
      <c r="R191" t="str">
        <f>IF(Worksheet!BS187&lt;&gt;"",Worksheet!BS187,"")</f>
        <v>44.5/47.0/49.5</v>
      </c>
      <c r="S191" t="str">
        <f>IF(Worksheet!AL187&lt;&gt;"",Worksheet!AL187,"")</f>
        <v>GMCC</v>
      </c>
      <c r="T191" t="str">
        <f>IF(Worksheet!CJ187&lt;&gt;"",CONCATENATE(Worksheet!CJ187," х ",Worksheet!CL187," х ",Worksheet!CH187),"")</f>
        <v>946 х 410 х 810</v>
      </c>
      <c r="U191" t="str">
        <f>IF(Worksheet!CK187&lt;&gt;"",CONCATENATE(Worksheet!CK187," х ",Worksheet!CM187," х ",Worksheet!CI187),"")</f>
        <v>1090 х 500 х 885</v>
      </c>
      <c r="V191" t="str">
        <f>IF(Worksheet!CN187&lt;&gt;"",CONCATENATE(Worksheet!CN187,"/",Worksheet!CO187),"")</f>
        <v>77.9/82.7</v>
      </c>
      <c r="W191" s="6"/>
      <c r="X191" s="7">
        <f>IF(Worksheet!AN187&lt;&gt;"",Worksheet!AN187,"")</f>
        <v>9.52</v>
      </c>
      <c r="Y191" s="7">
        <f>IF(Worksheet!AO187&lt;&gt;"",Worksheet!AO187,"")</f>
        <v>15.9</v>
      </c>
      <c r="Z191" s="17">
        <f>IF(Worksheet!Q187&lt;&gt;"",Worksheet!Q187,"")</f>
        <v>30</v>
      </c>
      <c r="AA191" s="17">
        <f>IF(Worksheet!R187&lt;&gt;"",Worksheet!R187,"")</f>
        <v>20</v>
      </c>
      <c r="AB191" t="str">
        <f>IF(Worksheet!X187&lt;&gt;"",CONCATENATE("от ",Worksheet!X187," до +",Worksheet!Y187),"")</f>
        <v>от -15 до +50</v>
      </c>
      <c r="AC191" t="str">
        <f>IF(Worksheet!Z187&lt;&gt;"",CONCATENATE("от ",Worksheet!Z187," до +",Worksheet!AA187),"")</f>
        <v>от -15 до +24</v>
      </c>
      <c r="AD191" s="6" t="s">
        <v>5245</v>
      </c>
      <c r="AE191" s="17"/>
    </row>
    <row r="192" spans="1:31" x14ac:dyDescent="0.25">
      <c r="A192" s="17" t="str">
        <f>IF(Worksheet!B188&lt;&gt;"",Worksheet!B188,"")</f>
        <v>LESSAR</v>
      </c>
      <c r="B192" t="str">
        <f>Worksheet!E188</f>
        <v>Кассетные</v>
      </c>
      <c r="C192" s="21">
        <f>IF(Worksheet!M188&lt;&gt;"",MID(Worksheet!M188,1,FIND(" ",Worksheet!M188,1)-1),"")*1</f>
        <v>11.14</v>
      </c>
      <c r="D192">
        <f t="shared" si="9"/>
        <v>110</v>
      </c>
      <c r="E192" t="str">
        <f>IF(Worksheet!L188&lt;&gt;"",IF(Worksheet!L188="Y","да","нет"),"")</f>
        <v>да</v>
      </c>
      <c r="F192" s="21">
        <f>IF(Worksheet!N188&lt;&gt;"",MID(Worksheet!N188,1,FIND(" ",Worksheet!N188,1)-1),"")*1</f>
        <v>11.87</v>
      </c>
      <c r="G192" s="21">
        <f>IF(Worksheet!O188&lt;&gt;"",MID(Worksheet!O188,1,FIND(" ",Worksheet!O188,1)-1),"")*1</f>
        <v>3.84</v>
      </c>
      <c r="H192" s="21">
        <f>IF(Worksheet!P188&lt;&gt;"",MID(Worksheet!P188,1,FIND(" ",Worksheet!P188,1)-1),"")*1</f>
        <v>3.2879999999999998</v>
      </c>
      <c r="I192" s="6"/>
      <c r="J192" s="6"/>
      <c r="K192" t="str">
        <f>IF(Worksheet!BI188&lt;&gt;"",Worksheet!BI188,"")</f>
        <v>3 / 380 / 50</v>
      </c>
      <c r="L192" t="str">
        <f>IF(Worksheet!AU188&lt;&gt;"",Worksheet!AU188,"")</f>
        <v>R410A</v>
      </c>
      <c r="M192" s="6"/>
      <c r="N192" s="6"/>
      <c r="O192" t="str">
        <f>IF(Worksheet!CR188&lt;&gt;"",CONCATENATE(Worksheet!CR188," х ",Worksheet!CP188," х ",Worksheet!CT188),"")</f>
        <v>950 х 55 х 950</v>
      </c>
      <c r="P192" t="str">
        <f>IF(Worksheet!CS188&lt;&gt;"",CONCATENATE(Worksheet!CS188," х ",Worksheet!CU188," х ",Worksheet!CQ188),"")</f>
        <v>1035 х 1035 х 90</v>
      </c>
      <c r="Q192" t="str">
        <f>IF(Worksheet!CV188&lt;&gt;"",CONCATENATE(Worksheet!CV188," / ",Worksheet!CW188),"")</f>
        <v>6 / 9</v>
      </c>
      <c r="R192" t="str">
        <f>IF(Worksheet!BS188&lt;&gt;"",Worksheet!BS188,"")</f>
        <v>44.5/47/49.5</v>
      </c>
      <c r="S192" t="str">
        <f>IF(Worksheet!AL188&lt;&gt;"",Worksheet!AL188,"")</f>
        <v>GMCC</v>
      </c>
      <c r="T192" t="str">
        <f>IF(Worksheet!CJ188&lt;&gt;"",CONCATENATE(Worksheet!CJ188," х ",Worksheet!CL188," х ",Worksheet!CH188),"")</f>
        <v>946 х 410 х 810</v>
      </c>
      <c r="U192" t="str">
        <f>IF(Worksheet!CK188&lt;&gt;"",CONCATENATE(Worksheet!CK188," х ",Worksheet!CM188," х ",Worksheet!CI188),"")</f>
        <v>1090 х 500 х 885</v>
      </c>
      <c r="V192" t="str">
        <f>IF(Worksheet!CN188&lt;&gt;"",CONCATENATE(Worksheet!CN188,"/",Worksheet!CO188),"")</f>
        <v>77.9/82.7</v>
      </c>
      <c r="W192" s="6"/>
      <c r="X192" s="7">
        <f>IF(Worksheet!AN188&lt;&gt;"",Worksheet!AN188,"")</f>
        <v>9.52</v>
      </c>
      <c r="Y192" s="7">
        <f>IF(Worksheet!AO188&lt;&gt;"",Worksheet!AO188,"")</f>
        <v>15.9</v>
      </c>
      <c r="Z192" s="17">
        <f>IF(Worksheet!Q188&lt;&gt;"",Worksheet!Q188,"")</f>
        <v>30</v>
      </c>
      <c r="AA192" s="17">
        <f>IF(Worksheet!R188&lt;&gt;"",Worksheet!R188,"")</f>
        <v>20</v>
      </c>
      <c r="AB192" t="str">
        <f>IF(Worksheet!X188&lt;&gt;"",CONCATENATE("от ",Worksheet!X188," до +",Worksheet!Y188),"")</f>
        <v>от -15 до +50</v>
      </c>
      <c r="AC192" t="str">
        <f>IF(Worksheet!Z188&lt;&gt;"",CONCATENATE("от ",Worksheet!Z188," до +",Worksheet!AA188),"")</f>
        <v>от -15 до +24</v>
      </c>
      <c r="AD192" s="6" t="s">
        <v>5245</v>
      </c>
      <c r="AE192" s="17"/>
    </row>
    <row r="193" spans="1:31" x14ac:dyDescent="0.25">
      <c r="A193" s="17" t="str">
        <f>IF(Worksheet!B189&lt;&gt;"",Worksheet!B189,"")</f>
        <v>LESSAR</v>
      </c>
      <c r="B193" t="str">
        <f>Worksheet!E189</f>
        <v>Кассетные</v>
      </c>
      <c r="C193" s="21">
        <f>IF(Worksheet!M189&lt;&gt;"",MID(Worksheet!M189,1,FIND(" ",Worksheet!M189,1)-1),"")*1</f>
        <v>13.39</v>
      </c>
      <c r="D193">
        <f t="shared" si="9"/>
        <v>130</v>
      </c>
      <c r="E193" t="str">
        <f>IF(Worksheet!L189&lt;&gt;"",IF(Worksheet!L189="Y","да","нет"),"")</f>
        <v>да</v>
      </c>
      <c r="F193" s="21">
        <f>IF(Worksheet!N189&lt;&gt;"",MID(Worksheet!N189,1,FIND(" ",Worksheet!N189,1)-1),"")*1</f>
        <v>14.65</v>
      </c>
      <c r="G193" s="21">
        <f>IF(Worksheet!O189&lt;&gt;"",MID(Worksheet!O189,1,FIND(" ",Worksheet!O189,1)-1),"")*1</f>
        <v>4.59</v>
      </c>
      <c r="H193" s="21">
        <f>IF(Worksheet!P189&lt;&gt;"",MID(Worksheet!P189,1,FIND(" ",Worksheet!P189,1)-1),"")*1</f>
        <v>4.17</v>
      </c>
      <c r="I193" s="6"/>
      <c r="J193" s="6"/>
      <c r="K193" t="str">
        <f>IF(Worksheet!BI189&lt;&gt;"",Worksheet!BI189,"")</f>
        <v>3 / 380 / 50</v>
      </c>
      <c r="L193" t="str">
        <f>IF(Worksheet!AU189&lt;&gt;"",Worksheet!AU189,"")</f>
        <v>R410A</v>
      </c>
      <c r="M193" s="6"/>
      <c r="N193" s="6"/>
      <c r="O193" t="str">
        <f>IF(Worksheet!CR189&lt;&gt;"",CONCATENATE(Worksheet!CR189," х ",Worksheet!CP189," х ",Worksheet!CT189),"")</f>
        <v>950 х 55 х 950</v>
      </c>
      <c r="P193" t="str">
        <f>IF(Worksheet!CS189&lt;&gt;"",CONCATENATE(Worksheet!CS189," х ",Worksheet!CU189," х ",Worksheet!CQ189),"")</f>
        <v>1035 х 1035 х 90</v>
      </c>
      <c r="Q193" t="str">
        <f>IF(Worksheet!CV189&lt;&gt;"",CONCATENATE(Worksheet!CV189," / ",Worksheet!CW189),"")</f>
        <v>5 / 8</v>
      </c>
      <c r="R193" t="str">
        <f>IF(Worksheet!BS189&lt;&gt;"",Worksheet!BS189,"")</f>
        <v>46/49/52</v>
      </c>
      <c r="S193" t="str">
        <f>IF(Worksheet!AL189&lt;&gt;"",Worksheet!AL189,"")</f>
        <v>GMCC</v>
      </c>
      <c r="T193" t="str">
        <f>IF(Worksheet!CJ189&lt;&gt;"",CONCATENATE(Worksheet!CJ189," х ",Worksheet!CL189," х ",Worksheet!CH189),"")</f>
        <v>946 х 410 х 810</v>
      </c>
      <c r="U193" t="str">
        <f>IF(Worksheet!CK189&lt;&gt;"",CONCATENATE(Worksheet!CK189," х ",Worksheet!CM189," х ",Worksheet!CI189),"")</f>
        <v>1090 х 500 х 875</v>
      </c>
      <c r="V193" t="str">
        <f>IF(Worksheet!CN189&lt;&gt;"",CONCATENATE(Worksheet!CN189,"/",Worksheet!CO189),"")</f>
        <v>86/91.6</v>
      </c>
      <c r="W193" s="6"/>
      <c r="X193" s="7">
        <f>IF(Worksheet!AN189&lt;&gt;"",Worksheet!AN189,"")</f>
        <v>9.52</v>
      </c>
      <c r="Y193" s="7">
        <f>IF(Worksheet!AO189&lt;&gt;"",Worksheet!AO189,"")</f>
        <v>19</v>
      </c>
      <c r="Z193" s="17">
        <f>IF(Worksheet!Q189&lt;&gt;"",Worksheet!Q189,"")</f>
        <v>50</v>
      </c>
      <c r="AA193" s="17">
        <f>IF(Worksheet!R189&lt;&gt;"",Worksheet!R189,"")</f>
        <v>25</v>
      </c>
      <c r="AB193" t="str">
        <f>IF(Worksheet!X189&lt;&gt;"",CONCATENATE("от ",Worksheet!X189," до +",Worksheet!Y189),"")</f>
        <v>от -15 до +50</v>
      </c>
      <c r="AC193" t="str">
        <f>IF(Worksheet!Z189&lt;&gt;"",CONCATENATE("от ",Worksheet!Z189," до +",Worksheet!AA189),"")</f>
        <v>от -15 до +24</v>
      </c>
      <c r="AD193" s="6" t="s">
        <v>5245</v>
      </c>
      <c r="AE193" s="17"/>
    </row>
    <row r="194" spans="1:31" x14ac:dyDescent="0.25">
      <c r="A194" s="17" t="str">
        <f>IF(Worksheet!B190&lt;&gt;"",Worksheet!B190,"")</f>
        <v>LESSAR</v>
      </c>
      <c r="B194" t="str">
        <f>Worksheet!E190</f>
        <v>Кассетные</v>
      </c>
      <c r="C194" s="21">
        <f>IF(Worksheet!M190&lt;&gt;"",MID(Worksheet!M190,1,FIND(" ",Worksheet!M190,1)-1),"")*1</f>
        <v>13.92</v>
      </c>
      <c r="D194">
        <f t="shared" si="9"/>
        <v>130</v>
      </c>
      <c r="E194" t="str">
        <f>IF(Worksheet!L190&lt;&gt;"",IF(Worksheet!L190="Y","да","нет"),"")</f>
        <v>да</v>
      </c>
      <c r="F194" s="21">
        <f>IF(Worksheet!N190&lt;&gt;"",MID(Worksheet!N190,1,FIND(" ",Worksheet!N190,1)-1),"")*1</f>
        <v>15.53</v>
      </c>
      <c r="G194" s="21">
        <f>IF(Worksheet!O190&lt;&gt;"",MID(Worksheet!O190,1,FIND(" ",Worksheet!O190,1)-1),"")*1</f>
        <v>5.3579999999999997</v>
      </c>
      <c r="H194" s="21">
        <f>IF(Worksheet!P190&lt;&gt;"",MID(Worksheet!P190,1,FIND(" ",Worksheet!P190,1)-1),"")*1</f>
        <v>4.8540000000000001</v>
      </c>
      <c r="I194" s="6"/>
      <c r="J194" s="6"/>
      <c r="K194" t="str">
        <f>IF(Worksheet!BI190&lt;&gt;"",Worksheet!BI190,"")</f>
        <v>3 / 380 / 50</v>
      </c>
      <c r="L194" t="str">
        <f>IF(Worksheet!AU190&lt;&gt;"",Worksheet!AU190,"")</f>
        <v>R410A</v>
      </c>
      <c r="M194" s="6"/>
      <c r="N194" s="6"/>
      <c r="O194" t="str">
        <f>IF(Worksheet!CR190&lt;&gt;"",CONCATENATE(Worksheet!CR190," х ",Worksheet!CP190," х ",Worksheet!CT190),"")</f>
        <v>950 х 55 х 950</v>
      </c>
      <c r="P194" t="str">
        <f>IF(Worksheet!CS190&lt;&gt;"",CONCATENATE(Worksheet!CS190," х ",Worksheet!CU190," х ",Worksheet!CQ190),"")</f>
        <v>1035 х 1035 х 90</v>
      </c>
      <c r="Q194" t="str">
        <f>IF(Worksheet!CV190&lt;&gt;"",CONCATENATE(Worksheet!CV190," / ",Worksheet!CW190),"")</f>
        <v>6 / 9</v>
      </c>
      <c r="R194" t="str">
        <f>IF(Worksheet!BS190&lt;&gt;"",Worksheet!BS190,"")</f>
        <v>48/51.5/53.5</v>
      </c>
      <c r="S194" t="str">
        <f>IF(Worksheet!AL190&lt;&gt;"",Worksheet!AL190,"")</f>
        <v>GMCC</v>
      </c>
      <c r="T194" t="str">
        <f>IF(Worksheet!CJ190&lt;&gt;"",CONCATENATE(Worksheet!CJ190," х ",Worksheet!CL190," х ",Worksheet!CH190),"")</f>
        <v>946 х 410 х 810</v>
      </c>
      <c r="U194" t="str">
        <f>IF(Worksheet!CK190&lt;&gt;"",CONCATENATE(Worksheet!CK190," х ",Worksheet!CM190," х ",Worksheet!CI190),"")</f>
        <v>1090 х 500 х 885</v>
      </c>
      <c r="V194" t="str">
        <f>IF(Worksheet!CN190&lt;&gt;"",CONCATENATE(Worksheet!CN190,"/",Worksheet!CO190),"")</f>
        <v>86.7/91.4</v>
      </c>
      <c r="W194" s="6"/>
      <c r="X194" s="7">
        <f>IF(Worksheet!AN190&lt;&gt;"",Worksheet!AN190,"")</f>
        <v>9.52</v>
      </c>
      <c r="Y194" s="7">
        <f>IF(Worksheet!AO190&lt;&gt;"",Worksheet!AO190,"")</f>
        <v>15.9</v>
      </c>
      <c r="Z194" s="17">
        <f>IF(Worksheet!Q190&lt;&gt;"",Worksheet!Q190,"")</f>
        <v>50</v>
      </c>
      <c r="AA194" s="17">
        <f>IF(Worksheet!R190&lt;&gt;"",Worksheet!R190,"")</f>
        <v>30</v>
      </c>
      <c r="AB194" t="str">
        <f>IF(Worksheet!X190&lt;&gt;"",CONCATENATE("от ",Worksheet!X190," до +",Worksheet!Y190),"")</f>
        <v>от -15 до +50</v>
      </c>
      <c r="AC194" t="str">
        <f>IF(Worksheet!Z190&lt;&gt;"",CONCATENATE("от ",Worksheet!Z190," до +",Worksheet!AA190),"")</f>
        <v>от -15 до +24</v>
      </c>
      <c r="AD194" s="6" t="s">
        <v>5245</v>
      </c>
      <c r="AE194" s="17"/>
    </row>
    <row r="195" spans="1:31" x14ac:dyDescent="0.25">
      <c r="A195" s="17" t="str">
        <f>IF(Worksheet!B191&lt;&gt;"",Worksheet!B191,"")</f>
        <v>LESSAR</v>
      </c>
      <c r="B195" t="str">
        <f>Worksheet!E191</f>
        <v>Кассетные</v>
      </c>
      <c r="C195" s="21">
        <f>IF(Worksheet!M191&lt;&gt;"",MID(Worksheet!M191,1,FIND(" ",Worksheet!M191,1)-1),"")*1</f>
        <v>16.12</v>
      </c>
      <c r="D195">
        <f t="shared" si="9"/>
        <v>160</v>
      </c>
      <c r="E195" t="str">
        <f>IF(Worksheet!L191&lt;&gt;"",IF(Worksheet!L191="Y","да","нет"),"")</f>
        <v>да</v>
      </c>
      <c r="F195" s="21">
        <f>IF(Worksheet!N191&lt;&gt;"",MID(Worksheet!N191,1,FIND(" ",Worksheet!N191,1)-1),"")*1</f>
        <v>17</v>
      </c>
      <c r="G195" s="21">
        <f>IF(Worksheet!O191&lt;&gt;"",MID(Worksheet!O191,1,FIND(" ",Worksheet!O191,1)-1),"")*1</f>
        <v>5.74</v>
      </c>
      <c r="H195" s="21">
        <f>IF(Worksheet!P191&lt;&gt;"",MID(Worksheet!P191,1,FIND(" ",Worksheet!P191,1)-1),"")*1</f>
        <v>4.9850000000000003</v>
      </c>
      <c r="I195" s="6"/>
      <c r="J195" s="6"/>
      <c r="K195" t="str">
        <f>IF(Worksheet!BI191&lt;&gt;"",Worksheet!BI191,"")</f>
        <v>3 / 380 / 50</v>
      </c>
      <c r="L195" t="str">
        <f>IF(Worksheet!AU191&lt;&gt;"",Worksheet!AU191,"")</f>
        <v>R410A</v>
      </c>
      <c r="M195" s="6"/>
      <c r="N195" s="6"/>
      <c r="O195" t="str">
        <f>IF(Worksheet!CR191&lt;&gt;"",CONCATENATE(Worksheet!CR191," х ",Worksheet!CP191," х ",Worksheet!CT191),"")</f>
        <v>950 х 55 х 950</v>
      </c>
      <c r="P195" t="str">
        <f>IF(Worksheet!CS191&lt;&gt;"",CONCATENATE(Worksheet!CS191," х ",Worksheet!CU191," х ",Worksheet!CQ191),"")</f>
        <v>1035 х 1035 х 90</v>
      </c>
      <c r="Q195" t="str">
        <f>IF(Worksheet!CV191&lt;&gt;"",CONCATENATE(Worksheet!CV191," / ",Worksheet!CW191),"")</f>
        <v>5 / 8</v>
      </c>
      <c r="R195" t="str">
        <f>IF(Worksheet!BS191&lt;&gt;"",Worksheet!BS191,"")</f>
        <v>44/48/53</v>
      </c>
      <c r="S195" t="str">
        <f>IF(Worksheet!AL191&lt;&gt;"",Worksheet!AL191,"")</f>
        <v>GMCC</v>
      </c>
      <c r="T195" t="str">
        <f>IF(Worksheet!CJ191&lt;&gt;"",CONCATENATE(Worksheet!CJ191," х ",Worksheet!CL191," х ",Worksheet!CH191),"")</f>
        <v>952 х 410 х 1333</v>
      </c>
      <c r="U195" t="str">
        <f>IF(Worksheet!CK191&lt;&gt;"",CONCATENATE(Worksheet!CK191," х ",Worksheet!CM191," х ",Worksheet!CI191),"")</f>
        <v>1095 х 495 х 1480</v>
      </c>
      <c r="V195" t="str">
        <f>IF(Worksheet!CN191&lt;&gt;"",CONCATENATE(Worksheet!CN191,"/",Worksheet!CO191),"")</f>
        <v>107/120.7</v>
      </c>
      <c r="W195" s="6"/>
      <c r="X195" s="7">
        <f>IF(Worksheet!AN191&lt;&gt;"",Worksheet!AN191,"")</f>
        <v>9.52</v>
      </c>
      <c r="Y195" s="7">
        <f>IF(Worksheet!AO191&lt;&gt;"",Worksheet!AO191,"")</f>
        <v>19</v>
      </c>
      <c r="Z195" s="17">
        <f>IF(Worksheet!Q191&lt;&gt;"",Worksheet!Q191,"")</f>
        <v>50</v>
      </c>
      <c r="AA195" s="17">
        <f>IF(Worksheet!R191&lt;&gt;"",Worksheet!R191,"")</f>
        <v>25</v>
      </c>
      <c r="AB195" t="str">
        <f>IF(Worksheet!X191&lt;&gt;"",CONCATENATE("от ",Worksheet!X191," до +",Worksheet!Y191),"")</f>
        <v>от -15 до +50</v>
      </c>
      <c r="AC195" t="str">
        <f>IF(Worksheet!Z191&lt;&gt;"",CONCATENATE("от ",Worksheet!Z191," до +",Worksheet!AA191),"")</f>
        <v>от -15 до +24</v>
      </c>
      <c r="AD195" s="6" t="s">
        <v>5245</v>
      </c>
      <c r="AE195" s="17"/>
    </row>
    <row r="196" spans="1:31" x14ac:dyDescent="0.25">
      <c r="A196" s="17" t="str">
        <f>IF(Worksheet!B192&lt;&gt;"",Worksheet!B192,"")</f>
        <v>LESSAR</v>
      </c>
      <c r="B196" t="str">
        <f>Worksheet!E192</f>
        <v>Кассетные</v>
      </c>
      <c r="C196" s="21">
        <f>IF(Worksheet!M192&lt;&gt;"",MID(Worksheet!M192,1,FIND(" ",Worksheet!M192,1)-1),"")*1</f>
        <v>16.12</v>
      </c>
      <c r="D196">
        <f t="shared" si="9"/>
        <v>160</v>
      </c>
      <c r="E196" t="str">
        <f>IF(Worksheet!L192&lt;&gt;"",IF(Worksheet!L192="Y","да","нет"),"")</f>
        <v>да</v>
      </c>
      <c r="F196" s="21">
        <f>IF(Worksheet!N192&lt;&gt;"",MID(Worksheet!N192,1,FIND(" ",Worksheet!N192,1)-1),"")*1</f>
        <v>17.579999999999998</v>
      </c>
      <c r="G196" s="21">
        <f>IF(Worksheet!O192&lt;&gt;"",MID(Worksheet!O192,1,FIND(" ",Worksheet!O192,1)-1),"")*1</f>
        <v>6.3209999999999997</v>
      </c>
      <c r="H196" s="21">
        <f>IF(Worksheet!P192&lt;&gt;"",MID(Worksheet!P192,1,FIND(" ",Worksheet!P192,1)-1),"")*1</f>
        <v>4.9119999999999999</v>
      </c>
      <c r="I196" s="6"/>
      <c r="J196" s="6"/>
      <c r="K196" t="str">
        <f>IF(Worksheet!BI192&lt;&gt;"",Worksheet!BI192,"")</f>
        <v>3 / 380 / 50</v>
      </c>
      <c r="L196" t="str">
        <f>IF(Worksheet!AU192&lt;&gt;"",Worksheet!AU192,"")</f>
        <v>R410A</v>
      </c>
      <c r="M196" s="6"/>
      <c r="N196" s="6"/>
      <c r="O196" t="str">
        <f>IF(Worksheet!CR192&lt;&gt;"",CONCATENATE(Worksheet!CR192," х ",Worksheet!CP192," х ",Worksheet!CT192),"")</f>
        <v>950 х 55 х 950</v>
      </c>
      <c r="P196" t="str">
        <f>IF(Worksheet!CS192&lt;&gt;"",CONCATENATE(Worksheet!CS192," х ",Worksheet!CU192," х ",Worksheet!CQ192),"")</f>
        <v>1035 х 1035 х 90</v>
      </c>
      <c r="Q196" t="str">
        <f>IF(Worksheet!CV192&lt;&gt;"",CONCATENATE(Worksheet!CV192," / ",Worksheet!CW192),"")</f>
        <v>6 / 9</v>
      </c>
      <c r="R196" t="str">
        <f>IF(Worksheet!BS192&lt;&gt;"",Worksheet!BS192,"")</f>
        <v>49.5/52/54.5</v>
      </c>
      <c r="S196" t="str">
        <f>IF(Worksheet!AL192&lt;&gt;"",Worksheet!AL192,"")</f>
        <v>GMCC</v>
      </c>
      <c r="T196" t="str">
        <f>IF(Worksheet!CJ192&lt;&gt;"",CONCATENATE(Worksheet!CJ192," х ",Worksheet!CL192," х ",Worksheet!CH192),"")</f>
        <v>952 х 415 х 1333</v>
      </c>
      <c r="U196" t="str">
        <f>IF(Worksheet!CK192&lt;&gt;"",CONCATENATE(Worksheet!CK192," х ",Worksheet!CM192," х ",Worksheet!CI192),"")</f>
        <v>1095 х 495 х 1480</v>
      </c>
      <c r="V196" t="str">
        <f>IF(Worksheet!CN192&lt;&gt;"",CONCATENATE(Worksheet!CN192,"/",Worksheet!CO192),"")</f>
        <v>107.1/121.3</v>
      </c>
      <c r="W196" s="6"/>
      <c r="X196" s="7">
        <f>IF(Worksheet!AN192&lt;&gt;"",Worksheet!AN192,"")</f>
        <v>9.52</v>
      </c>
      <c r="Y196" s="7">
        <f>IF(Worksheet!AO192&lt;&gt;"",Worksheet!AO192,"")</f>
        <v>15.9</v>
      </c>
      <c r="Z196" s="17">
        <f>IF(Worksheet!Q192&lt;&gt;"",Worksheet!Q192,"")</f>
        <v>50</v>
      </c>
      <c r="AA196" s="17">
        <f>IF(Worksheet!R192&lt;&gt;"",Worksheet!R192,"")</f>
        <v>30</v>
      </c>
      <c r="AB196" t="str">
        <f>IF(Worksheet!X192&lt;&gt;"",CONCATENATE("от ",Worksheet!X192," до +",Worksheet!Y192),"")</f>
        <v>от -15 до +50</v>
      </c>
      <c r="AC196" t="str">
        <f>IF(Worksheet!Z192&lt;&gt;"",CONCATENATE("от ",Worksheet!Z192," до +",Worksheet!AA192),"")</f>
        <v>от -15 до +24</v>
      </c>
      <c r="AD196" s="6" t="s">
        <v>5245</v>
      </c>
      <c r="AE196" s="17"/>
    </row>
    <row r="197" spans="1:31" x14ac:dyDescent="0.25">
      <c r="A197" s="17" t="str">
        <f>IF(Worksheet!B193&lt;&gt;"",Worksheet!B193,"")</f>
        <v>LESSAR</v>
      </c>
      <c r="B197" t="str">
        <f>Worksheet!E193</f>
        <v>Кассетные</v>
      </c>
      <c r="C197" s="21">
        <f>IF(Worksheet!M193&lt;&gt;"",MID(Worksheet!M193,1,FIND(" ",Worksheet!M193,1)-1),"")*1</f>
        <v>3.52</v>
      </c>
      <c r="D197">
        <f t="shared" si="9"/>
        <v>35</v>
      </c>
      <c r="E197" t="str">
        <f>IF(Worksheet!L193&lt;&gt;"",IF(Worksheet!L193="Y","да","нет"),"")</f>
        <v>да</v>
      </c>
      <c r="F197" s="21">
        <f>IF(Worksheet!N193&lt;&gt;"",MID(Worksheet!N193,1,FIND(" ",Worksheet!N193,1)-1),"")*1</f>
        <v>4.0999999999999996</v>
      </c>
      <c r="G197" s="21">
        <f>IF(Worksheet!O193&lt;&gt;"",MID(Worksheet!O193,1,FIND(" ",Worksheet!O193,1)-1),"")*1</f>
        <v>1.08</v>
      </c>
      <c r="H197" s="21">
        <f>IF(Worksheet!P193&lt;&gt;"",MID(Worksheet!P193,1,FIND(" ",Worksheet!P193,1)-1),"")*1</f>
        <v>1.06</v>
      </c>
      <c r="I197" s="6"/>
      <c r="J197" s="6"/>
      <c r="K197" t="str">
        <f>IF(Worksheet!BI193&lt;&gt;"",Worksheet!BI193,"")</f>
        <v>1 / 220 / 50</v>
      </c>
      <c r="L197" t="str">
        <f>IF(Worksheet!AU193&lt;&gt;"",Worksheet!AU193,"")</f>
        <v>R410A</v>
      </c>
      <c r="M197" s="6"/>
      <c r="N197" s="6"/>
      <c r="O197" t="str">
        <f>IF(Worksheet!CR193&lt;&gt;"",CONCATENATE(Worksheet!CR193," х ",Worksheet!CP193," х ",Worksheet!CT193),"")</f>
        <v>647 х 50 х 647</v>
      </c>
      <c r="P197" t="str">
        <f>IF(Worksheet!CS193&lt;&gt;"",CONCATENATE(Worksheet!CS193," х ",Worksheet!CU193," х ",Worksheet!CQ193),"")</f>
        <v>715 х 715 х 123</v>
      </c>
      <c r="Q197" t="str">
        <f>IF(Worksheet!CV193&lt;&gt;"",CONCATENATE(Worksheet!CV193," / ",Worksheet!CW193),"")</f>
        <v>2.5 / 4.5</v>
      </c>
      <c r="R197" t="str">
        <f>IF(Worksheet!BS193&lt;&gt;"",Worksheet!BS193,"")</f>
        <v>34/38/42</v>
      </c>
      <c r="S197" t="str">
        <f>IF(Worksheet!AL193&lt;&gt;"",Worksheet!AL193,"")</f>
        <v>GMCC</v>
      </c>
      <c r="T197" t="str">
        <f>IF(Worksheet!CJ193&lt;&gt;"",CONCATENATE(Worksheet!CJ193," х ",Worksheet!CL193," х ",Worksheet!CH193),"")</f>
        <v>800 х 333 х 554</v>
      </c>
      <c r="U197" t="str">
        <f>IF(Worksheet!CK193&lt;&gt;"",CONCATENATE(Worksheet!CK193," х ",Worksheet!CM193," х ",Worksheet!CI193),"")</f>
        <v>920 х 390 х 615</v>
      </c>
      <c r="V197" t="str">
        <f>IF(Worksheet!CN193&lt;&gt;"",CONCATENATE(Worksheet!CN193,"/",Worksheet!CO193),"")</f>
        <v>29.9/32.6</v>
      </c>
      <c r="W197" s="6"/>
      <c r="X197" s="7">
        <f>IF(Worksheet!AN193&lt;&gt;"",Worksheet!AN193,"")</f>
        <v>6.35</v>
      </c>
      <c r="Y197" s="7">
        <f>IF(Worksheet!AO193&lt;&gt;"",Worksheet!AO193,"")</f>
        <v>9.52</v>
      </c>
      <c r="Z197" s="17">
        <f>IF(Worksheet!Q193&lt;&gt;"",Worksheet!Q193,"")</f>
        <v>25</v>
      </c>
      <c r="AA197" s="17">
        <f>IF(Worksheet!R193&lt;&gt;"",Worksheet!R193,"")</f>
        <v>10</v>
      </c>
      <c r="AB197" t="str">
        <f>IF(Worksheet!X193&lt;&gt;"",CONCATENATE("от ",Worksheet!X193," до +",Worksheet!Y193),"")</f>
        <v>от -15 до +50</v>
      </c>
      <c r="AC197" t="str">
        <f>IF(Worksheet!Z193&lt;&gt;"",CONCATENATE("от ",Worksheet!Z193," до +",Worksheet!AA193),"")</f>
        <v>от -15 до +24</v>
      </c>
      <c r="AD197" s="6" t="s">
        <v>5245</v>
      </c>
      <c r="AE197" s="17"/>
    </row>
    <row r="198" spans="1:31" x14ac:dyDescent="0.25">
      <c r="A198" s="17" t="str">
        <f>IF(Worksheet!B194&lt;&gt;"",Worksheet!B194,"")</f>
        <v>LESSAR</v>
      </c>
      <c r="B198" t="str">
        <f>Worksheet!E194</f>
        <v>Кассетные</v>
      </c>
      <c r="C198" s="21">
        <f>IF(Worksheet!M194&lt;&gt;"",MID(Worksheet!M194,1,FIND(" ",Worksheet!M194,1)-1),"")*1</f>
        <v>3.66</v>
      </c>
      <c r="D198">
        <f t="shared" si="9"/>
        <v>36</v>
      </c>
      <c r="E198" t="str">
        <f>IF(Worksheet!L194&lt;&gt;"",IF(Worksheet!L194="Y","да","нет"),"")</f>
        <v>да</v>
      </c>
      <c r="F198" s="21">
        <f>IF(Worksheet!N194&lt;&gt;"",MID(Worksheet!N194,1,FIND(" ",Worksheet!N194,1)-1),"")*1</f>
        <v>4.25</v>
      </c>
      <c r="G198" s="21">
        <f>IF(Worksheet!O194&lt;&gt;"",MID(Worksheet!O194,1,FIND(" ",Worksheet!O194,1)-1),"")*1</f>
        <v>1.1970000000000001</v>
      </c>
      <c r="H198" s="21">
        <f>IF(Worksheet!P194&lt;&gt;"",MID(Worksheet!P194,1,FIND(" ",Worksheet!P194,1)-1),"")*1</f>
        <v>1.0980000000000001</v>
      </c>
      <c r="I198" s="6"/>
      <c r="J198" s="6"/>
      <c r="K198" t="str">
        <f>IF(Worksheet!BI194&lt;&gt;"",Worksheet!BI194,"")</f>
        <v>1 / 220 / 50</v>
      </c>
      <c r="L198" t="str">
        <f>IF(Worksheet!AU194&lt;&gt;"",Worksheet!AU194,"")</f>
        <v>R410A</v>
      </c>
      <c r="M198" s="6"/>
      <c r="N198" s="6"/>
      <c r="O198" t="str">
        <f>IF(Worksheet!CR194&lt;&gt;"",CONCATENATE(Worksheet!CR194," х ",Worksheet!CP194," х ",Worksheet!CT194),"")</f>
        <v>647 х 50 х 647</v>
      </c>
      <c r="P198" t="str">
        <f>IF(Worksheet!CS194&lt;&gt;"",CONCATENATE(Worksheet!CS194," х ",Worksheet!CU194," х ",Worksheet!CQ194),"")</f>
        <v>715 х 715 х 123</v>
      </c>
      <c r="Q198" t="str">
        <f>IF(Worksheet!CV194&lt;&gt;"",CONCATENATE(Worksheet!CV194," / ",Worksheet!CW194),"")</f>
        <v>2.5 / 4.5</v>
      </c>
      <c r="R198" t="str">
        <f>IF(Worksheet!BS194&lt;&gt;"",Worksheet!BS194,"")</f>
        <v>35?/?38?/?42</v>
      </c>
      <c r="S198" t="str">
        <f>IF(Worksheet!AL194&lt;&gt;"",Worksheet!AL194,"")</f>
        <v>GMCC</v>
      </c>
      <c r="T198" t="str">
        <f>IF(Worksheet!CJ194&lt;&gt;"",CONCATENATE(Worksheet!CJ194," х ",Worksheet!CL194," х ",Worksheet!CH194),"")</f>
        <v>765 х 303 х 555</v>
      </c>
      <c r="U198" t="str">
        <f>IF(Worksheet!CK194&lt;&gt;"",CONCATENATE(Worksheet!CK194," х ",Worksheet!CM194," х ",Worksheet!CI194),"")</f>
        <v>887 х 337 х 610</v>
      </c>
      <c r="V198" t="str">
        <f>IF(Worksheet!CN194&lt;&gt;"",CONCATENATE(Worksheet!CN194,"/",Worksheet!CO194),"")</f>
        <v>26.9/29.2</v>
      </c>
      <c r="W198" s="6"/>
      <c r="X198" s="7">
        <f>IF(Worksheet!AN194&lt;&gt;"",Worksheet!AN194,"")</f>
        <v>6.35</v>
      </c>
      <c r="Y198" s="7">
        <f>IF(Worksheet!AO194&lt;&gt;"",Worksheet!AO194,"")</f>
        <v>9.52</v>
      </c>
      <c r="Z198" s="17">
        <f>IF(Worksheet!Q194&lt;&gt;"",Worksheet!Q194,"")</f>
        <v>25</v>
      </c>
      <c r="AA198" s="17">
        <f>IF(Worksheet!R194&lt;&gt;"",Worksheet!R194,"")</f>
        <v>10</v>
      </c>
      <c r="AB198" t="str">
        <f>IF(Worksheet!X194&lt;&gt;"",CONCATENATE("от ",Worksheet!X194," до +",Worksheet!Y194),"")</f>
        <v>от -15 до +50</v>
      </c>
      <c r="AC198" t="str">
        <f>IF(Worksheet!Z194&lt;&gt;"",CONCATENATE("от ",Worksheet!Z194," до +",Worksheet!AA194),"")</f>
        <v>от -15 до +24</v>
      </c>
      <c r="AD198" s="6" t="s">
        <v>5245</v>
      </c>
      <c r="AE198" s="17"/>
    </row>
    <row r="199" spans="1:31" x14ac:dyDescent="0.25">
      <c r="A199" s="17" t="str">
        <f>IF(Worksheet!B195&lt;&gt;"",Worksheet!B195,"")</f>
        <v>LESSAR</v>
      </c>
      <c r="B199" t="str">
        <f>Worksheet!E195</f>
        <v>Кассетные</v>
      </c>
      <c r="C199" s="21">
        <f>IF(Worksheet!M195&lt;&gt;"",MID(Worksheet!M195,1,FIND(" ",Worksheet!M195,1)-1),"")*1</f>
        <v>5.28</v>
      </c>
      <c r="D199">
        <f t="shared" si="9"/>
        <v>52</v>
      </c>
      <c r="E199" t="str">
        <f>IF(Worksheet!L195&lt;&gt;"",IF(Worksheet!L195="Y","да","нет"),"")</f>
        <v>да</v>
      </c>
      <c r="F199" s="21">
        <f>IF(Worksheet!N195&lt;&gt;"",MID(Worksheet!N195,1,FIND(" ",Worksheet!N195,1)-1),"")*1</f>
        <v>5.57</v>
      </c>
      <c r="G199" s="21">
        <f>IF(Worksheet!O195&lt;&gt;"",MID(Worksheet!O195,1,FIND(" ",Worksheet!O195,1)-1),"")*1</f>
        <v>1.55</v>
      </c>
      <c r="H199" s="21">
        <f>IF(Worksheet!P195&lt;&gt;"",MID(Worksheet!P195,1,FIND(" ",Worksheet!P195,1)-1),"")*1</f>
        <v>1.42</v>
      </c>
      <c r="I199" s="6"/>
      <c r="J199" s="6"/>
      <c r="K199" t="str">
        <f>IF(Worksheet!BI195&lt;&gt;"",Worksheet!BI195,"")</f>
        <v>1 / 220 / 50</v>
      </c>
      <c r="L199" t="str">
        <f>IF(Worksheet!AU195&lt;&gt;"",Worksheet!AU195,"")</f>
        <v>R410A</v>
      </c>
      <c r="M199" s="6"/>
      <c r="N199" s="6"/>
      <c r="O199" t="str">
        <f>IF(Worksheet!CR195&lt;&gt;"",CONCATENATE(Worksheet!CR195," х ",Worksheet!CP195," х ",Worksheet!CT195),"")</f>
        <v>647 х 50 х 647</v>
      </c>
      <c r="P199" t="str">
        <f>IF(Worksheet!CS195&lt;&gt;"",CONCATENATE(Worksheet!CS195," х ",Worksheet!CU195," х ",Worksheet!CQ195),"")</f>
        <v>715 х 715 х 123</v>
      </c>
      <c r="Q199" t="str">
        <f>IF(Worksheet!CV195&lt;&gt;"",CONCATENATE(Worksheet!CV195," / ",Worksheet!CW195),"")</f>
        <v>2.5 / 4.5</v>
      </c>
      <c r="R199" t="str">
        <f>IF(Worksheet!BS195&lt;&gt;"",Worksheet!BS195,"")</f>
        <v>36/39/43</v>
      </c>
      <c r="S199" t="str">
        <f>IF(Worksheet!AL195&lt;&gt;"",Worksheet!AL195,"")</f>
        <v>GMCC</v>
      </c>
      <c r="T199" t="str">
        <f>IF(Worksheet!CJ195&lt;&gt;"",CONCATENATE(Worksheet!CJ195," х ",Worksheet!CL195," х ",Worksheet!CH195),"")</f>
        <v>800 х 333 х 554</v>
      </c>
      <c r="U199" t="str">
        <f>IF(Worksheet!CK195&lt;&gt;"",CONCATENATE(Worksheet!CK195," х ",Worksheet!CM195," х ",Worksheet!CI195),"")</f>
        <v>920 х 390 х 615</v>
      </c>
      <c r="V199" t="str">
        <f>IF(Worksheet!CN195&lt;&gt;"",CONCATENATE(Worksheet!CN195,"/",Worksheet!CO195),"")</f>
        <v>34.5/37.2</v>
      </c>
      <c r="W199" s="6"/>
      <c r="X199" s="7">
        <f>IF(Worksheet!AN195&lt;&gt;"",Worksheet!AN195,"")</f>
        <v>6.35</v>
      </c>
      <c r="Y199" s="7">
        <f>IF(Worksheet!AO195&lt;&gt;"",Worksheet!AO195,"")</f>
        <v>12.7</v>
      </c>
      <c r="Z199" s="17">
        <f>IF(Worksheet!Q195&lt;&gt;"",Worksheet!Q195,"")</f>
        <v>30</v>
      </c>
      <c r="AA199" s="17">
        <f>IF(Worksheet!R195&lt;&gt;"",Worksheet!R195,"")</f>
        <v>20</v>
      </c>
      <c r="AB199" t="str">
        <f>IF(Worksheet!X195&lt;&gt;"",CONCATENATE("от ",Worksheet!X195," до +",Worksheet!Y195),"")</f>
        <v>от -15 до +50</v>
      </c>
      <c r="AC199" t="str">
        <f>IF(Worksheet!Z195&lt;&gt;"",CONCATENATE("от ",Worksheet!Z195," до +",Worksheet!AA195),"")</f>
        <v>от -15 до +24</v>
      </c>
      <c r="AD199" s="6" t="s">
        <v>5245</v>
      </c>
      <c r="AE199" s="17"/>
    </row>
    <row r="200" spans="1:31" x14ac:dyDescent="0.25">
      <c r="A200" s="17" t="str">
        <f>IF(Worksheet!B196&lt;&gt;"",Worksheet!B196,"")</f>
        <v>LESSAR</v>
      </c>
      <c r="B200" t="str">
        <f>Worksheet!E196</f>
        <v>Кассетные</v>
      </c>
      <c r="C200" s="21">
        <f>IF(Worksheet!M196&lt;&gt;"",MID(Worksheet!M196,1,FIND(" ",Worksheet!M196,1)-1),"")*1</f>
        <v>5.28</v>
      </c>
      <c r="D200">
        <f t="shared" si="9"/>
        <v>52</v>
      </c>
      <c r="E200" t="str">
        <f>IF(Worksheet!L196&lt;&gt;"",IF(Worksheet!L196="Y","да","нет"),"")</f>
        <v>да</v>
      </c>
      <c r="F200" s="21">
        <f>IF(Worksheet!N196&lt;&gt;"",MID(Worksheet!N196,1,FIND(" ",Worksheet!N196,1)-1),"")*1</f>
        <v>5.57</v>
      </c>
      <c r="G200" s="21">
        <f>IF(Worksheet!O196&lt;&gt;"",MID(Worksheet!O196,1,FIND(" ",Worksheet!O196,1)-1),"")*1</f>
        <v>1.649</v>
      </c>
      <c r="H200" s="21">
        <f>IF(Worksheet!P196&lt;&gt;"",MID(Worksheet!P196,1,FIND(" ",Worksheet!P196,1)-1),"")*1</f>
        <v>1.52</v>
      </c>
      <c r="I200" s="6"/>
      <c r="J200" s="6"/>
      <c r="K200" t="str">
        <f>IF(Worksheet!BI196&lt;&gt;"",Worksheet!BI196,"")</f>
        <v>1 / 220 / 50</v>
      </c>
      <c r="L200" t="str">
        <f>IF(Worksheet!AU196&lt;&gt;"",Worksheet!AU196,"")</f>
        <v>R410A</v>
      </c>
      <c r="M200" s="6"/>
      <c r="N200" s="6"/>
      <c r="O200" t="str">
        <f>IF(Worksheet!CR196&lt;&gt;"",CONCATENATE(Worksheet!CR196," х ",Worksheet!CP196," х ",Worksheet!CT196),"")</f>
        <v>647 х 50 х 647</v>
      </c>
      <c r="P200" t="str">
        <f>IF(Worksheet!CS196&lt;&gt;"",CONCATENATE(Worksheet!CS196," х ",Worksheet!CU196," х ",Worksheet!CQ196),"")</f>
        <v>715 х 715 х 123</v>
      </c>
      <c r="Q200" t="str">
        <f>IF(Worksheet!CV196&lt;&gt;"",CONCATENATE(Worksheet!CV196," / ",Worksheet!CW196),"")</f>
        <v>2.5 / 4.5</v>
      </c>
      <c r="R200" t="str">
        <f>IF(Worksheet!BS196&lt;&gt;"",Worksheet!BS196,"")</f>
        <v>37?/?40.5?/?44</v>
      </c>
      <c r="S200" t="str">
        <f>IF(Worksheet!AL196&lt;&gt;"",Worksheet!AL196,"")</f>
        <v>GMCC</v>
      </c>
      <c r="T200" t="str">
        <f>IF(Worksheet!CJ196&lt;&gt;"",CONCATENATE(Worksheet!CJ196," х ",Worksheet!CL196," х ",Worksheet!CH196),"")</f>
        <v>805 х 330 х 554</v>
      </c>
      <c r="U200" t="str">
        <f>IF(Worksheet!CK196&lt;&gt;"",CONCATENATE(Worksheet!CK196," х ",Worksheet!CM196," х ",Worksheet!CI196),"")</f>
        <v>915 х 370 х 615</v>
      </c>
      <c r="V200" t="str">
        <f>IF(Worksheet!CN196&lt;&gt;"",CONCATENATE(Worksheet!CN196,"/",Worksheet!CO196),"")</f>
        <v>33.6/36.2</v>
      </c>
      <c r="W200" s="6"/>
      <c r="X200" s="7">
        <f>IF(Worksheet!AN196&lt;&gt;"",Worksheet!AN196,"")</f>
        <v>6.35</v>
      </c>
      <c r="Y200" s="7">
        <f>IF(Worksheet!AO196&lt;&gt;"",Worksheet!AO196,"")</f>
        <v>12.7</v>
      </c>
      <c r="Z200" s="17">
        <f>IF(Worksheet!Q196&lt;&gt;"",Worksheet!Q196,"")</f>
        <v>30</v>
      </c>
      <c r="AA200" s="17">
        <f>IF(Worksheet!R196&lt;&gt;"",Worksheet!R196,"")</f>
        <v>20</v>
      </c>
      <c r="AB200" t="str">
        <f>IF(Worksheet!X196&lt;&gt;"",CONCATENATE("от ",Worksheet!X196," до +",Worksheet!Y196),"")</f>
        <v>от -15 до +50</v>
      </c>
      <c r="AC200" t="str">
        <f>IF(Worksheet!Z196&lt;&gt;"",CONCATENATE("от ",Worksheet!Z196," до +",Worksheet!AA196),"")</f>
        <v>от -15 до +24</v>
      </c>
      <c r="AD200" s="6" t="s">
        <v>5245</v>
      </c>
      <c r="AE200" s="17"/>
    </row>
    <row r="201" spans="1:31" x14ac:dyDescent="0.25">
      <c r="A201" s="17" t="str">
        <f>IF(Worksheet!B197&lt;&gt;"",Worksheet!B197,"")</f>
        <v>LESSAR</v>
      </c>
      <c r="B201" t="str">
        <f>Worksheet!E197</f>
        <v>Напольно-потолочные</v>
      </c>
      <c r="C201" s="21">
        <f>IF(Worksheet!M197&lt;&gt;"",MID(Worksheet!M197,1,FIND("(",Worksheet!M197,1)-1),"")*1</f>
        <v>5.28</v>
      </c>
      <c r="D201">
        <f t="shared" si="9"/>
        <v>52</v>
      </c>
      <c r="E201" t="str">
        <f>IF(Worksheet!L197&lt;&gt;"",IF(Worksheet!L197="Y","да","нет"),"")</f>
        <v>да</v>
      </c>
      <c r="F201" s="21">
        <f>IF(Worksheet!N197&lt;&gt;"",MID(Worksheet!N197,1,FIND("(",Worksheet!N197,1)-1),"")*1</f>
        <v>5.67</v>
      </c>
      <c r="G201" s="23">
        <v>1.63</v>
      </c>
      <c r="H201" s="21">
        <f>IF(Worksheet!P197&lt;&gt;"",MID(Worksheet!P197,1,FIND("(",Worksheet!P197,1)-1),"")*1</f>
        <v>1.46</v>
      </c>
      <c r="I201" s="6"/>
      <c r="J201" s="6"/>
      <c r="K201" t="str">
        <f>IF(Worksheet!BI197&lt;&gt;"",Worksheet!BI197,"")</f>
        <v>1 / 220 / 50</v>
      </c>
      <c r="L201" t="str">
        <f>IF(Worksheet!AU197&lt;&gt;"",Worksheet!AU197,"")</f>
        <v>R410A</v>
      </c>
      <c r="M201" s="6"/>
      <c r="N201" s="6"/>
      <c r="O201" t="str">
        <f>IF(Worksheet!CR197&lt;&gt;"",CONCATENATE(Worksheet!CR197," х ",Worksheet!CP197," х ",Worksheet!CT197),"")</f>
        <v>1068 х 235 х 675</v>
      </c>
      <c r="P201" t="str">
        <f>IF(Worksheet!CS197&lt;&gt;"",CONCATENATE(Worksheet!CS197," х ",Worksheet!CU197," х ",Worksheet!CQ197),"")</f>
        <v>1145 х 755 х 313</v>
      </c>
      <c r="Q201" t="str">
        <f>IF(Worksheet!CV197&lt;&gt;"",CONCATENATE(Worksheet!CV197," / ",Worksheet!CW197),"")</f>
        <v>28 / 33.3</v>
      </c>
      <c r="R201" t="str">
        <f>IF(Worksheet!BS197&lt;&gt;"",Worksheet!BS197,"")</f>
        <v>37/40/45</v>
      </c>
      <c r="S201" t="str">
        <f>IF(Worksheet!AL197&lt;&gt;"",Worksheet!AL197,"")</f>
        <v>GMCC</v>
      </c>
      <c r="T201" t="str">
        <f>IF(Worksheet!CJ197&lt;&gt;"",CONCATENATE(Worksheet!CJ197," х ",Worksheet!CL197," х ",Worksheet!CH197),"")</f>
        <v>800 х 333 х 554</v>
      </c>
      <c r="U201" t="str">
        <f>IF(Worksheet!CK197&lt;&gt;"",CONCATENATE(Worksheet!CK197," х ",Worksheet!CM197," х ",Worksheet!CI197),"")</f>
        <v>920 х 390 х 615</v>
      </c>
      <c r="V201" t="str">
        <f>IF(Worksheet!CN197&lt;&gt;"",CONCATENATE(Worksheet!CN197,"/",Worksheet!CO197),"")</f>
        <v>35.5/38.4</v>
      </c>
      <c r="W201" s="6"/>
      <c r="X201" s="7">
        <f>IF(Worksheet!AN197&lt;&gt;"",Worksheet!AN197,"")</f>
        <v>6.35</v>
      </c>
      <c r="Y201" s="7">
        <f>IF(Worksheet!AO197&lt;&gt;"",Worksheet!AO197,"")</f>
        <v>12.7</v>
      </c>
      <c r="Z201" s="17">
        <f>IF(Worksheet!Q197&lt;&gt;"",Worksheet!Q197,"")</f>
        <v>30</v>
      </c>
      <c r="AA201" s="17">
        <f>IF(Worksheet!R197&lt;&gt;"",Worksheet!R197,"")</f>
        <v>20</v>
      </c>
      <c r="AB201" t="str">
        <f>IF(Worksheet!X197&lt;&gt;"",CONCATENATE("от ",Worksheet!X197," до +",Worksheet!Y197),"")</f>
        <v>от -15 до +50</v>
      </c>
      <c r="AC201" t="str">
        <f>IF(Worksheet!Z197&lt;&gt;"",CONCATENATE("от ",Worksheet!Z197," до +",Worksheet!AA197),"")</f>
        <v>от -15 до +24</v>
      </c>
      <c r="AD201" s="6" t="s">
        <v>5245</v>
      </c>
      <c r="AE201" s="17"/>
    </row>
    <row r="202" spans="1:31" x14ac:dyDescent="0.25">
      <c r="A202" s="17" t="str">
        <f>IF(Worksheet!B198&lt;&gt;"",Worksheet!B198,"")</f>
        <v>LESSAR</v>
      </c>
      <c r="B202" t="str">
        <f>Worksheet!E198</f>
        <v>Напольно-потолочные</v>
      </c>
      <c r="C202" s="21">
        <f>IF(Worksheet!M198&lt;&gt;"",MID(Worksheet!M198,1,FIND(" ",Worksheet!M198,1)-1),"")*1</f>
        <v>5.28</v>
      </c>
      <c r="D202">
        <f t="shared" si="9"/>
        <v>52</v>
      </c>
      <c r="E202" t="str">
        <f>IF(Worksheet!L198&lt;&gt;"",IF(Worksheet!L198="Y","да","нет"),"")</f>
        <v>да</v>
      </c>
      <c r="F202" s="21">
        <f>IF(Worksheet!N198&lt;&gt;"",MID(Worksheet!N198,1,FIND(" ",Worksheet!N198,1)-1),"")*1</f>
        <v>5.57</v>
      </c>
      <c r="G202" s="21">
        <f>IF(Worksheet!O198&lt;&gt;"",MID(Worksheet!O198,1,FIND(" ",Worksheet!O198,1)-1),"")*1</f>
        <v>1.633</v>
      </c>
      <c r="H202" s="21">
        <f>IF(Worksheet!P198&lt;&gt;"",MID(Worksheet!P198,1,FIND(" ",Worksheet!P198,1)-1),"")*1</f>
        <v>1.5</v>
      </c>
      <c r="I202" s="6"/>
      <c r="J202" s="6"/>
      <c r="K202" t="str">
        <f>IF(Worksheet!BI198&lt;&gt;"",Worksheet!BI198,"")</f>
        <v>1 / 220 / 50</v>
      </c>
      <c r="L202" t="str">
        <f>IF(Worksheet!AU198&lt;&gt;"",Worksheet!AU198,"")</f>
        <v>R410A</v>
      </c>
      <c r="M202" s="6"/>
      <c r="N202" s="6"/>
      <c r="O202" t="str">
        <f>IF(Worksheet!CR198&lt;&gt;"",CONCATENATE(Worksheet!CR198," х ",Worksheet!CP198," х ",Worksheet!CT198),"")</f>
        <v>1068 х 235 х 675</v>
      </c>
      <c r="P202" t="str">
        <f>IF(Worksheet!CS198&lt;&gt;"",CONCATENATE(Worksheet!CS198," х ",Worksheet!CU198," х ",Worksheet!CQ198),"")</f>
        <v>1145 х 755 х 313</v>
      </c>
      <c r="Q202" t="str">
        <f>IF(Worksheet!CV198&lt;&gt;"",CONCATENATE(Worksheet!CV198," / ",Worksheet!CW198),"")</f>
        <v>28 / 33.3</v>
      </c>
      <c r="R202" t="str">
        <f>IF(Worksheet!BS198&lt;&gt;"",Worksheet!BS198,"")</f>
        <v>34.5/38.5/42</v>
      </c>
      <c r="S202" t="str">
        <f>IF(Worksheet!AL198&lt;&gt;"",Worksheet!AL198,"")</f>
        <v>GMCC</v>
      </c>
      <c r="T202" t="str">
        <f>IF(Worksheet!CJ198&lt;&gt;"",CONCATENATE(Worksheet!CJ198," х ",Worksheet!CL198," х ",Worksheet!CH198),"")</f>
        <v>800 х 333 х 554</v>
      </c>
      <c r="U202" t="str">
        <f>IF(Worksheet!CK198&lt;&gt;"",CONCATENATE(Worksheet!CK198," х ",Worksheet!CM198," х ",Worksheet!CI198),"")</f>
        <v>920 х 390 х 615</v>
      </c>
      <c r="V202" t="str">
        <f>IF(Worksheet!CN198&lt;&gt;"",CONCATENATE(Worksheet!CN198,"/",Worksheet!CO198),"")</f>
        <v>34.5/37.2</v>
      </c>
      <c r="W202" s="6"/>
      <c r="X202" s="7">
        <f>IF(Worksheet!AN198&lt;&gt;"",Worksheet!AN198,"")</f>
        <v>6.35</v>
      </c>
      <c r="Y202" s="7">
        <f>IF(Worksheet!AO198&lt;&gt;"",Worksheet!AO198,"")</f>
        <v>12.7</v>
      </c>
      <c r="Z202" s="17">
        <f>IF(Worksheet!Q198&lt;&gt;"",Worksheet!Q198,"")</f>
        <v>30</v>
      </c>
      <c r="AA202" s="17">
        <f>IF(Worksheet!R198&lt;&gt;"",Worksheet!R198,"")</f>
        <v>20</v>
      </c>
      <c r="AB202" t="str">
        <f>IF(Worksheet!X198&lt;&gt;"",CONCATENATE("от ",Worksheet!X198," до +",Worksheet!Y198),"")</f>
        <v>от -15 до +50</v>
      </c>
      <c r="AC202" t="str">
        <f>IF(Worksheet!Z198&lt;&gt;"",CONCATENATE("от ",Worksheet!Z198," до +",Worksheet!AA198),"")</f>
        <v>от -15 до +24</v>
      </c>
      <c r="AD202" s="6" t="s">
        <v>5245</v>
      </c>
      <c r="AE202" s="17"/>
    </row>
    <row r="203" spans="1:31" x14ac:dyDescent="0.25">
      <c r="A203" s="17" t="str">
        <f>IF(Worksheet!B199&lt;&gt;"",Worksheet!B199,"")</f>
        <v>LESSAR</v>
      </c>
      <c r="B203" t="str">
        <f>Worksheet!E199</f>
        <v>Напольно-потолочные</v>
      </c>
      <c r="C203" s="21">
        <f>IF(Worksheet!M199&lt;&gt;"",MID(Worksheet!M199,1,FIND(" ",Worksheet!M199,1)-1),"")*1</f>
        <v>5.28</v>
      </c>
      <c r="D203">
        <f t="shared" si="9"/>
        <v>52</v>
      </c>
      <c r="E203" t="str">
        <f>IF(Worksheet!L199&lt;&gt;"",IF(Worksheet!L199="Y","да","нет"),"")</f>
        <v>да</v>
      </c>
      <c r="F203" s="21">
        <f>IF(Worksheet!N199&lt;&gt;"",MID(Worksheet!N199,1,FIND(" ",Worksheet!N199,1)-1),"")*1</f>
        <v>5.86</v>
      </c>
      <c r="G203" s="21">
        <f>IF(Worksheet!O199&lt;&gt;"",MID(Worksheet!O199,1,FIND(" ",Worksheet!O199,1)-1),"")*1</f>
        <v>1.649</v>
      </c>
      <c r="H203" s="21">
        <f>IF(Worksheet!P199&lt;&gt;"",MID(Worksheet!P199,1,FIND(" ",Worksheet!P199,1)-1),"")*1</f>
        <v>1.5</v>
      </c>
      <c r="I203" s="6"/>
      <c r="J203" s="6"/>
      <c r="K203" t="str">
        <f>IF(Worksheet!BI199&lt;&gt;"",Worksheet!BI199,"")</f>
        <v>1 / 220 / 50</v>
      </c>
      <c r="L203" t="str">
        <f>IF(Worksheet!AU199&lt;&gt;"",Worksheet!AU199,"")</f>
        <v>R410A</v>
      </c>
      <c r="M203" s="6"/>
      <c r="N203" s="6"/>
      <c r="O203" t="str">
        <f>IF(Worksheet!CR199&lt;&gt;"",CONCATENATE(Worksheet!CR199," х ",Worksheet!CP199," х ",Worksheet!CT199),"")</f>
        <v>1068 х 235 х 675</v>
      </c>
      <c r="P203" t="str">
        <f>IF(Worksheet!CS199&lt;&gt;"",CONCATENATE(Worksheet!CS199," х ",Worksheet!CU199," х ",Worksheet!CQ199),"")</f>
        <v>1145 х 755 х 318</v>
      </c>
      <c r="Q203" t="str">
        <f>IF(Worksheet!CV199&lt;&gt;"",CONCATENATE(Worksheet!CV199," / ",Worksheet!CW199),"")</f>
        <v>28 / 33.3</v>
      </c>
      <c r="R203" t="str">
        <f>IF(Worksheet!BS199&lt;&gt;"",Worksheet!BS199,"")</f>
        <v>35.5/39/43</v>
      </c>
      <c r="S203" t="str">
        <f>IF(Worksheet!AL199&lt;&gt;"",Worksheet!AL199,"")</f>
        <v>GMCC</v>
      </c>
      <c r="T203" t="str">
        <f>IF(Worksheet!CJ199&lt;&gt;"",CONCATENATE(Worksheet!CJ199," х ",Worksheet!CL199," х ",Worksheet!CH199),"")</f>
        <v>805 х 330 х 554</v>
      </c>
      <c r="U203" t="str">
        <f>IF(Worksheet!CK199&lt;&gt;"",CONCATENATE(Worksheet!CK199," х ",Worksheet!CM199," х ",Worksheet!CI199),"")</f>
        <v>915 х 370 х 615</v>
      </c>
      <c r="V203" t="str">
        <f>IF(Worksheet!CN199&lt;&gt;"",CONCATENATE(Worksheet!CN199,"/",Worksheet!CO199),"")</f>
        <v>33.6/36.2</v>
      </c>
      <c r="W203" s="6"/>
      <c r="X203" s="7">
        <f>IF(Worksheet!AN199&lt;&gt;"",Worksheet!AN199,"")</f>
        <v>6.35</v>
      </c>
      <c r="Y203" s="7">
        <f>IF(Worksheet!AO199&lt;&gt;"",Worksheet!AO199,"")</f>
        <v>12.7</v>
      </c>
      <c r="Z203" s="17">
        <f>IF(Worksheet!Q199&lt;&gt;"",Worksheet!Q199,"")</f>
        <v>30</v>
      </c>
      <c r="AA203" s="17">
        <f>IF(Worksheet!R199&lt;&gt;"",Worksheet!R199,"")</f>
        <v>20</v>
      </c>
      <c r="AB203" t="str">
        <f>IF(Worksheet!X199&lt;&gt;"",CONCATENATE("от ",Worksheet!X199," до +",Worksheet!Y199),"")</f>
        <v>от -15 до +50</v>
      </c>
      <c r="AC203" t="str">
        <f>IF(Worksheet!Z199&lt;&gt;"",CONCATENATE("от ",Worksheet!Z199," до +",Worksheet!AA199),"")</f>
        <v>от -15 до +24</v>
      </c>
      <c r="AD203" s="6" t="s">
        <v>5245</v>
      </c>
      <c r="AE203" s="17"/>
    </row>
    <row r="204" spans="1:31" x14ac:dyDescent="0.25">
      <c r="A204" s="17" t="str">
        <f>IF(Worksheet!B200&lt;&gt;"",Worksheet!B200,"")</f>
        <v>LESSAR</v>
      </c>
      <c r="B204" t="str">
        <f>Worksheet!E200</f>
        <v>Напольно-потолочные</v>
      </c>
      <c r="C204" s="21">
        <f>IF(Worksheet!M200&lt;&gt;"",MID(Worksheet!M200,1,FIND(" ",Worksheet!M200,1)-1),"")*1</f>
        <v>7.03</v>
      </c>
      <c r="D204">
        <f t="shared" si="9"/>
        <v>70</v>
      </c>
      <c r="E204" t="str">
        <f>IF(Worksheet!L200&lt;&gt;"",IF(Worksheet!L200="Y","да","нет"),"")</f>
        <v>да</v>
      </c>
      <c r="F204" s="21">
        <f>IF(Worksheet!N200&lt;&gt;"",MID(Worksheet!N200,1,FIND(" ",Worksheet!N200,1)-1),"")*1</f>
        <v>7.62</v>
      </c>
      <c r="G204" s="21">
        <f>IF(Worksheet!O200&lt;&gt;"",MID(Worksheet!O200,1,FIND(" ",Worksheet!O200,1)-1),"")*1</f>
        <v>2.0699999999999998</v>
      </c>
      <c r="H204" s="21">
        <f>IF(Worksheet!P200&lt;&gt;"",MID(Worksheet!P200,1,FIND(" ",Worksheet!P200,1)-1),"")*1</f>
        <v>2.0499999999999998</v>
      </c>
      <c r="I204" s="6"/>
      <c r="J204" s="6"/>
      <c r="K204" t="str">
        <f>IF(Worksheet!BI200&lt;&gt;"",Worksheet!BI200,"")</f>
        <v>1 / 220 / 50</v>
      </c>
      <c r="L204" t="str">
        <f>IF(Worksheet!AU200&lt;&gt;"",Worksheet!AU200,"")</f>
        <v>R410A</v>
      </c>
      <c r="M204" s="6"/>
      <c r="N204" s="6"/>
      <c r="O204" t="str">
        <f>IF(Worksheet!CR200&lt;&gt;"",CONCATENATE(Worksheet!CR200," х ",Worksheet!CP200," х ",Worksheet!CT200),"")</f>
        <v>1068 х 235 х 675</v>
      </c>
      <c r="P204" t="str">
        <f>IF(Worksheet!CS200&lt;&gt;"",CONCATENATE(Worksheet!CS200," х ",Worksheet!CU200," х ",Worksheet!CQ200),"")</f>
        <v>1145 х 755 х 318</v>
      </c>
      <c r="Q204" t="str">
        <f>IF(Worksheet!CV200&lt;&gt;"",CONCATENATE(Worksheet!CV200," / ",Worksheet!CW200),"")</f>
        <v>26.8 / 31.9</v>
      </c>
      <c r="R204" t="str">
        <f>IF(Worksheet!BS200&lt;&gt;"",Worksheet!BS200,"")</f>
        <v>41/46/50</v>
      </c>
      <c r="S204" t="str">
        <f>IF(Worksheet!AL200&lt;&gt;"",Worksheet!AL200,"")</f>
        <v>GMCC</v>
      </c>
      <c r="T204" t="str">
        <f>IF(Worksheet!CJ200&lt;&gt;"",CONCATENATE(Worksheet!CJ200," х ",Worksheet!CL200," х ",Worksheet!CH200),"")</f>
        <v>845 х 363 х 702</v>
      </c>
      <c r="U204" t="str">
        <f>IF(Worksheet!CK200&lt;&gt;"",CONCATENATE(Worksheet!CK200," х ",Worksheet!CM200," х ",Worksheet!CI200),"")</f>
        <v>965 х 395 х 755</v>
      </c>
      <c r="V204" t="str">
        <f>IF(Worksheet!CN200&lt;&gt;"",CONCATENATE(Worksheet!CN200,"/",Worksheet!CO200),"")</f>
        <v>49/51.5</v>
      </c>
      <c r="W204" s="6"/>
      <c r="X204" s="7">
        <f>IF(Worksheet!AN200&lt;&gt;"",Worksheet!AN200,"")</f>
        <v>9.52</v>
      </c>
      <c r="Y204" s="7">
        <f>IF(Worksheet!AO200&lt;&gt;"",Worksheet!AO200,"")</f>
        <v>15.9</v>
      </c>
      <c r="Z204" s="17">
        <f>IF(Worksheet!Q200&lt;&gt;"",Worksheet!Q200,"")</f>
        <v>50</v>
      </c>
      <c r="AA204" s="17">
        <f>IF(Worksheet!R200&lt;&gt;"",Worksheet!R200,"")</f>
        <v>25</v>
      </c>
      <c r="AB204" t="str">
        <f>IF(Worksheet!X200&lt;&gt;"",CONCATENATE("от ",Worksheet!X200," до +",Worksheet!Y200),"")</f>
        <v>от -15 до +50</v>
      </c>
      <c r="AC204" t="str">
        <f>IF(Worksheet!Z200&lt;&gt;"",CONCATENATE("от ",Worksheet!Z200," до +",Worksheet!AA200),"")</f>
        <v>от -15 до +24</v>
      </c>
      <c r="AD204" s="6" t="s">
        <v>5245</v>
      </c>
      <c r="AE204" s="17"/>
    </row>
    <row r="205" spans="1:31" x14ac:dyDescent="0.25">
      <c r="A205" s="17" t="str">
        <f>IF(Worksheet!B201&lt;&gt;"",Worksheet!B201,"")</f>
        <v>LESSAR</v>
      </c>
      <c r="B205" t="str">
        <f>Worksheet!E201</f>
        <v>Напольно-потолочные</v>
      </c>
      <c r="C205" s="21">
        <f>IF(Worksheet!M201&lt;&gt;"",MID(Worksheet!M201,1,FIND(" ",Worksheet!M201,1)-1),"")*1</f>
        <v>7.33</v>
      </c>
      <c r="D205">
        <f t="shared" si="9"/>
        <v>73</v>
      </c>
      <c r="E205" t="str">
        <f>IF(Worksheet!L201&lt;&gt;"",IF(Worksheet!L201="Y","да","нет"),"")</f>
        <v>да</v>
      </c>
      <c r="F205" s="21">
        <f>IF(Worksheet!N201&lt;&gt;"",MID(Worksheet!N201,1,FIND(" ",Worksheet!N201,1)-1),"")*1</f>
        <v>8.5</v>
      </c>
      <c r="G205" s="21">
        <f>IF(Worksheet!O201&lt;&gt;"",MID(Worksheet!O201,1,FIND(" ",Worksheet!O201,1)-1),"")*1</f>
        <v>2.1549999999999998</v>
      </c>
      <c r="H205" s="21">
        <f>IF(Worksheet!P201&lt;&gt;"",MID(Worksheet!P201,1,FIND(" ",Worksheet!P201,1)-1),"")*1</f>
        <v>2.25</v>
      </c>
      <c r="I205" s="6"/>
      <c r="J205" s="6"/>
      <c r="K205" t="str">
        <f>IF(Worksheet!BI201&lt;&gt;"",Worksheet!BI201,"")</f>
        <v>1 / 220 / 50</v>
      </c>
      <c r="L205" t="str">
        <f>IF(Worksheet!AU201&lt;&gt;"",Worksheet!AU201,"")</f>
        <v>R410A</v>
      </c>
      <c r="M205" s="6"/>
      <c r="N205" s="6"/>
      <c r="O205" t="str">
        <f>IF(Worksheet!CR201&lt;&gt;"",CONCATENATE(Worksheet!CR201," х ",Worksheet!CP201," х ",Worksheet!CT201),"")</f>
        <v>1068 х 235 х 675</v>
      </c>
      <c r="P205" t="str">
        <f>IF(Worksheet!CS201&lt;&gt;"",CONCATENATE(Worksheet!CS201," х ",Worksheet!CU201," х ",Worksheet!CQ201),"")</f>
        <v>1145 х 755 х 318</v>
      </c>
      <c r="Q205" t="str">
        <f>IF(Worksheet!CV201&lt;&gt;"",CONCATENATE(Worksheet!CV201," / ",Worksheet!CW201),"")</f>
        <v>28 / 33.1</v>
      </c>
      <c r="R205" t="str">
        <f>IF(Worksheet!BS201&lt;&gt;"",Worksheet!BS201,"")</f>
        <v>41/46/50</v>
      </c>
      <c r="S205" t="str">
        <f>IF(Worksheet!AL201&lt;&gt;"",Worksheet!AL201,"")</f>
        <v>GMCC</v>
      </c>
      <c r="T205" t="str">
        <f>IF(Worksheet!CJ201&lt;&gt;"",CONCATENATE(Worksheet!CJ201," х ",Worksheet!CL201," х ",Worksheet!CH201),"")</f>
        <v>890 х 342 х 673</v>
      </c>
      <c r="U205" t="str">
        <f>IF(Worksheet!CK201&lt;&gt;"",CONCATENATE(Worksheet!CK201," х ",Worksheet!CM201," х ",Worksheet!CI201),"")</f>
        <v>995 х 398 х 740</v>
      </c>
      <c r="V205" t="str">
        <f>IF(Worksheet!CN201&lt;&gt;"",CONCATENATE(Worksheet!CN201,"/",Worksheet!CO201),"")</f>
        <v>45.1/48.3</v>
      </c>
      <c r="W205" s="6"/>
      <c r="X205" s="7">
        <f>IF(Worksheet!AN201&lt;&gt;"",Worksheet!AN201,"")</f>
        <v>9.52</v>
      </c>
      <c r="Y205" s="7">
        <f>IF(Worksheet!AO201&lt;&gt;"",Worksheet!AO201,"")</f>
        <v>15.9</v>
      </c>
      <c r="Z205" s="17">
        <f>IF(Worksheet!Q201&lt;&gt;"",Worksheet!Q201,"")</f>
        <v>50</v>
      </c>
      <c r="AA205" s="17">
        <f>IF(Worksheet!R201&lt;&gt;"",Worksheet!R201,"")</f>
        <v>25</v>
      </c>
      <c r="AB205" t="str">
        <f>IF(Worksheet!X201&lt;&gt;"",CONCATENATE("от ",Worksheet!X201," до +",Worksheet!Y201),"")</f>
        <v>от -15 до +50</v>
      </c>
      <c r="AC205" t="str">
        <f>IF(Worksheet!Z201&lt;&gt;"",CONCATENATE("от ",Worksheet!Z201," до +",Worksheet!AA201),"")</f>
        <v>от -15 до +24</v>
      </c>
      <c r="AD205" s="6" t="s">
        <v>5245</v>
      </c>
      <c r="AE205" s="17"/>
    </row>
    <row r="206" spans="1:31" x14ac:dyDescent="0.25">
      <c r="A206" s="17" t="str">
        <f>IF(Worksheet!B202&lt;&gt;"",Worksheet!B202,"")</f>
        <v>LESSAR</v>
      </c>
      <c r="B206" t="str">
        <f>Worksheet!E202</f>
        <v>Напольно-потолочные</v>
      </c>
      <c r="C206" s="21">
        <f>IF(Worksheet!M202&lt;&gt;"",MID(Worksheet!M202,1,FIND(" ",Worksheet!M202,1)-1),"")*1</f>
        <v>10.55</v>
      </c>
      <c r="D206">
        <f t="shared" si="9"/>
        <v>100</v>
      </c>
      <c r="E206" t="str">
        <f>IF(Worksheet!L202&lt;&gt;"",IF(Worksheet!L202="Y","да","нет"),"")</f>
        <v>да</v>
      </c>
      <c r="F206" s="21">
        <f>IF(Worksheet!N202&lt;&gt;"",MID(Worksheet!N202,1,FIND(" ",Worksheet!N202,1)-1),"")*1</f>
        <v>11.14</v>
      </c>
      <c r="G206" s="21">
        <f>IF(Worksheet!O202&lt;&gt;"",MID(Worksheet!O202,1,FIND(" ",Worksheet!O202,1)-1),"")*1</f>
        <v>3.5049999999999999</v>
      </c>
      <c r="H206" s="21">
        <f>IF(Worksheet!P202&lt;&gt;"",MID(Worksheet!P202,1,FIND(" ",Worksheet!P202,1)-1),"")*1</f>
        <v>3.085</v>
      </c>
      <c r="I206" s="6"/>
      <c r="J206" s="6"/>
      <c r="K206" t="str">
        <f>IF(Worksheet!BI202&lt;&gt;"",Worksheet!BI202,"")</f>
        <v>3 / 380 / 50</v>
      </c>
      <c r="L206" t="str">
        <f>IF(Worksheet!AU202&lt;&gt;"",Worksheet!AU202,"")</f>
        <v>R410A</v>
      </c>
      <c r="M206" s="6"/>
      <c r="N206" s="6"/>
      <c r="O206" t="str">
        <f>IF(Worksheet!CR202&lt;&gt;"",CONCATENATE(Worksheet!CR202," х ",Worksheet!CP202," х ",Worksheet!CT202),"")</f>
        <v>1285 х 235 х 675</v>
      </c>
      <c r="P206" t="str">
        <f>IF(Worksheet!CS202&lt;&gt;"",CONCATENATE(Worksheet!CS202," х ",Worksheet!CU202," х ",Worksheet!CQ202),"")</f>
        <v>1360 х 755 х 318</v>
      </c>
      <c r="Q206" t="str">
        <f>IF(Worksheet!CV202&lt;&gt;"",CONCATENATE(Worksheet!CV202," / ",Worksheet!CW202),"")</f>
        <v>30.1 / 35.4</v>
      </c>
      <c r="R206" t="str">
        <f>IF(Worksheet!BS202&lt;&gt;"",Worksheet!BS202,"")</f>
        <v>45/49/54</v>
      </c>
      <c r="S206" t="str">
        <f>IF(Worksheet!AL202&lt;&gt;"",Worksheet!AL202,"")</f>
        <v>GMCC</v>
      </c>
      <c r="T206" t="str">
        <f>IF(Worksheet!CJ202&lt;&gt;"",CONCATENATE(Worksheet!CJ202," х ",Worksheet!CL202," х ",Worksheet!CH202),"")</f>
        <v>946 х 410 х 810</v>
      </c>
      <c r="U206" t="str">
        <f>IF(Worksheet!CK202&lt;&gt;"",CONCATENATE(Worksheet!CK202," х ",Worksheet!CM202," х ",Worksheet!CI202),"")</f>
        <v>1090 х 500 х 875</v>
      </c>
      <c r="V206" t="str">
        <f>IF(Worksheet!CN202&lt;&gt;"",CONCATENATE(Worksheet!CN202,"/",Worksheet!CO202),"")</f>
        <v>77.9/82.7</v>
      </c>
      <c r="W206" s="6"/>
      <c r="X206" s="7">
        <f>IF(Worksheet!AN202&lt;&gt;"",Worksheet!AN202,"")</f>
        <v>9.52</v>
      </c>
      <c r="Y206" s="7">
        <f>IF(Worksheet!AO202&lt;&gt;"",Worksheet!AO202,"")</f>
        <v>19</v>
      </c>
      <c r="Z206" s="17">
        <f>IF(Worksheet!Q202&lt;&gt;"",Worksheet!Q202,"")</f>
        <v>30</v>
      </c>
      <c r="AA206" s="17">
        <f>IF(Worksheet!R202&lt;&gt;"",Worksheet!R202,"")</f>
        <v>20</v>
      </c>
      <c r="AB206" t="str">
        <f>IF(Worksheet!X202&lt;&gt;"",CONCATENATE("от ",Worksheet!X202," до +",Worksheet!Y202),"")</f>
        <v>от -15 до +50</v>
      </c>
      <c r="AC206" t="str">
        <f>IF(Worksheet!Z202&lt;&gt;"",CONCATENATE("от ",Worksheet!Z202," до +",Worksheet!AA202),"")</f>
        <v>от -15 до +24</v>
      </c>
      <c r="AD206" s="6" t="s">
        <v>5245</v>
      </c>
      <c r="AE206" s="17"/>
    </row>
    <row r="207" spans="1:31" x14ac:dyDescent="0.25">
      <c r="A207" s="17" t="str">
        <f>IF(Worksheet!B203&lt;&gt;"",Worksheet!B203,"")</f>
        <v>LESSAR</v>
      </c>
      <c r="B207" t="str">
        <f>Worksheet!E203</f>
        <v>Напольно-потолочные</v>
      </c>
      <c r="C207" s="21">
        <f>IF(Worksheet!M203&lt;&gt;"",MID(Worksheet!M203,1,FIND(" ",Worksheet!M203,1)-1),"")*1</f>
        <v>10.55</v>
      </c>
      <c r="D207">
        <f t="shared" si="9"/>
        <v>100</v>
      </c>
      <c r="E207" t="str">
        <f>IF(Worksheet!L203&lt;&gt;"",IF(Worksheet!L203="Y","да","нет"),"")</f>
        <v>да</v>
      </c>
      <c r="F207" s="21">
        <f>IF(Worksheet!N203&lt;&gt;"",MID(Worksheet!N203,1,FIND(" ",Worksheet!N203,1)-1),"")*1</f>
        <v>11.72</v>
      </c>
      <c r="G207" s="21">
        <f>IF(Worksheet!O203&lt;&gt;"",MID(Worksheet!O203,1,FIND(" ",Worksheet!O203,1)-1),"")*1</f>
        <v>4</v>
      </c>
      <c r="H207" s="21">
        <f>IF(Worksheet!P203&lt;&gt;"",MID(Worksheet!P203,1,FIND(" ",Worksheet!P203,1)-1),"")*1</f>
        <v>3.25</v>
      </c>
      <c r="I207" s="6"/>
      <c r="J207" s="6"/>
      <c r="K207" t="str">
        <f>IF(Worksheet!BI203&lt;&gt;"",Worksheet!BI203,"")</f>
        <v>3 / 380 / 50</v>
      </c>
      <c r="L207" t="str">
        <f>IF(Worksheet!AU203&lt;&gt;"",Worksheet!AU203,"")</f>
        <v>R410A</v>
      </c>
      <c r="M207" s="6"/>
      <c r="N207" s="6"/>
      <c r="O207" t="str">
        <f>IF(Worksheet!CR203&lt;&gt;"",CONCATENATE(Worksheet!CR203," х ",Worksheet!CP203," х ",Worksheet!CT203),"")</f>
        <v>1650 х 235 х 675</v>
      </c>
      <c r="P207" t="str">
        <f>IF(Worksheet!CS203&lt;&gt;"",CONCATENATE(Worksheet!CS203," х ",Worksheet!CU203," х ",Worksheet!CQ203),"")</f>
        <v>1725 х 755 х 318</v>
      </c>
      <c r="Q207" t="str">
        <f>IF(Worksheet!CV203&lt;&gt;"",CONCATENATE(Worksheet!CV203," / ",Worksheet!CW203),"")</f>
        <v>41.5 / 48</v>
      </c>
      <c r="R207" t="str">
        <f>IF(Worksheet!BS203&lt;&gt;"",Worksheet!BS203,"")</f>
        <v>44/48/51</v>
      </c>
      <c r="S207" t="str">
        <f>IF(Worksheet!AL203&lt;&gt;"",Worksheet!AL203,"")</f>
        <v>GMCC</v>
      </c>
      <c r="T207" t="str">
        <f>IF(Worksheet!CJ203&lt;&gt;"",CONCATENATE(Worksheet!CJ203," х ",Worksheet!CL203," х ",Worksheet!CH203),"")</f>
        <v>946 х 410 х 810</v>
      </c>
      <c r="U207" t="str">
        <f>IF(Worksheet!CK203&lt;&gt;"",CONCATENATE(Worksheet!CK203," х ",Worksheet!CM203," х ",Worksheet!CI203),"")</f>
        <v>1090 х 500 х 885</v>
      </c>
      <c r="V207" t="str">
        <f>IF(Worksheet!CN203&lt;&gt;"",CONCATENATE(Worksheet!CN203,"/",Worksheet!CO203),"")</f>
        <v>77.9/82.7</v>
      </c>
      <c r="W207" s="6"/>
      <c r="X207" s="7">
        <f>IF(Worksheet!AN203&lt;&gt;"",Worksheet!AN203,"")</f>
        <v>9.52</v>
      </c>
      <c r="Y207" s="7">
        <f>IF(Worksheet!AO203&lt;&gt;"",Worksheet!AO203,"")</f>
        <v>15.9</v>
      </c>
      <c r="Z207" s="17">
        <f>IF(Worksheet!Q203&lt;&gt;"",Worksheet!Q203,"")</f>
        <v>30</v>
      </c>
      <c r="AA207" s="17">
        <f>IF(Worksheet!R203&lt;&gt;"",Worksheet!R203,"")</f>
        <v>20</v>
      </c>
      <c r="AB207" t="str">
        <f>IF(Worksheet!X203&lt;&gt;"",CONCATENATE("от ",Worksheet!X203," до +",Worksheet!Y203),"")</f>
        <v>от -15 до +50</v>
      </c>
      <c r="AC207" t="str">
        <f>IF(Worksheet!Z203&lt;&gt;"",CONCATENATE("от ",Worksheet!Z203," до +",Worksheet!AA203),"")</f>
        <v>от -15 до +24</v>
      </c>
      <c r="AD207" s="6" t="s">
        <v>5245</v>
      </c>
      <c r="AE207" s="17"/>
    </row>
    <row r="208" spans="1:31" x14ac:dyDescent="0.25">
      <c r="A208" s="17" t="str">
        <f>IF(Worksheet!B204&lt;&gt;"",Worksheet!B204,"")</f>
        <v>LESSAR</v>
      </c>
      <c r="B208" t="str">
        <f>Worksheet!E204</f>
        <v>Напольно-потолочные</v>
      </c>
      <c r="C208" s="21">
        <f>IF(Worksheet!M204&lt;&gt;"",MID(Worksheet!M204,1,FIND(" ",Worksheet!M204,1)-1),"")*1</f>
        <v>11.14</v>
      </c>
      <c r="D208">
        <f t="shared" si="9"/>
        <v>110</v>
      </c>
      <c r="E208" t="str">
        <f>IF(Worksheet!L204&lt;&gt;"",IF(Worksheet!L204="Y","да","нет"),"")</f>
        <v>да</v>
      </c>
      <c r="F208" s="21">
        <f>IF(Worksheet!N204&lt;&gt;"",MID(Worksheet!N204,1,FIND(" ",Worksheet!N204,1)-1),"")*1</f>
        <v>11.87</v>
      </c>
      <c r="G208" s="21">
        <f>IF(Worksheet!O204&lt;&gt;"",MID(Worksheet!O204,1,FIND(" ",Worksheet!O204,1)-1),"")*1</f>
        <v>3.84</v>
      </c>
      <c r="H208" s="21">
        <f>IF(Worksheet!P204&lt;&gt;"",MID(Worksheet!P204,1,FIND(" ",Worksheet!P204,1)-1),"")*1</f>
        <v>2.9670000000000001</v>
      </c>
      <c r="I208" s="6"/>
      <c r="J208" s="6"/>
      <c r="K208" t="str">
        <f>IF(Worksheet!BI204&lt;&gt;"",Worksheet!BI204,"")</f>
        <v>3 / 380 / 50</v>
      </c>
      <c r="L208" t="str">
        <f>IF(Worksheet!AU204&lt;&gt;"",Worksheet!AU204,"")</f>
        <v>R410A</v>
      </c>
      <c r="M208" s="6"/>
      <c r="N208" s="6"/>
      <c r="O208" t="str">
        <f>IF(Worksheet!CR204&lt;&gt;"",CONCATENATE(Worksheet!CR204," х ",Worksheet!CP204," х ",Worksheet!CT204),"")</f>
        <v>1650 х 235 х 675</v>
      </c>
      <c r="P208" t="str">
        <f>IF(Worksheet!CS204&lt;&gt;"",CONCATENATE(Worksheet!CS204," х ",Worksheet!CU204," х ",Worksheet!CQ204),"")</f>
        <v>1725 х 755 х 318</v>
      </c>
      <c r="Q208" t="str">
        <f>IF(Worksheet!CV204&lt;&gt;"",CONCATENATE(Worksheet!CV204," / ",Worksheet!CW204),"")</f>
        <v>41.5 / 48</v>
      </c>
      <c r="R208" t="str">
        <f>IF(Worksheet!BS204&lt;&gt;"",Worksheet!BS204,"")</f>
        <v>44/48/51</v>
      </c>
      <c r="S208" t="str">
        <f>IF(Worksheet!AL204&lt;&gt;"",Worksheet!AL204,"")</f>
        <v>GMCC</v>
      </c>
      <c r="T208" t="str">
        <f>IF(Worksheet!CJ204&lt;&gt;"",CONCATENATE(Worksheet!CJ204," х ",Worksheet!CL204," х ",Worksheet!CH204),"")</f>
        <v>946 х 410 х 810</v>
      </c>
      <c r="U208" t="str">
        <f>IF(Worksheet!CK204&lt;&gt;"",CONCATENATE(Worksheet!CK204," х ",Worksheet!CM204," х ",Worksheet!CI204),"")</f>
        <v>1090 х 500 х 885</v>
      </c>
      <c r="V208" t="str">
        <f>IF(Worksheet!CN204&lt;&gt;"",CONCATENATE(Worksheet!CN204,"/",Worksheet!CO204),"")</f>
        <v>77.9/82.7</v>
      </c>
      <c r="W208" s="6"/>
      <c r="X208" s="7">
        <f>IF(Worksheet!AN204&lt;&gt;"",Worksheet!AN204,"")</f>
        <v>9.52</v>
      </c>
      <c r="Y208" s="7">
        <f>IF(Worksheet!AO204&lt;&gt;"",Worksheet!AO204,"")</f>
        <v>15.9</v>
      </c>
      <c r="Z208" s="17">
        <f>IF(Worksheet!Q204&lt;&gt;"",Worksheet!Q204,"")</f>
        <v>30</v>
      </c>
      <c r="AA208" s="17">
        <f>IF(Worksheet!R204&lt;&gt;"",Worksheet!R204,"")</f>
        <v>20</v>
      </c>
      <c r="AB208" t="str">
        <f>IF(Worksheet!X204&lt;&gt;"",CONCATENATE("от ",Worksheet!X204," до +",Worksheet!Y204),"")</f>
        <v>от -15 до +50</v>
      </c>
      <c r="AC208" t="str">
        <f>IF(Worksheet!Z204&lt;&gt;"",CONCATENATE("от ",Worksheet!Z204," до +",Worksheet!AA204),"")</f>
        <v>от -15 до +24</v>
      </c>
      <c r="AD208" s="6" t="s">
        <v>5245</v>
      </c>
      <c r="AE208" s="17"/>
    </row>
    <row r="209" spans="1:31" x14ac:dyDescent="0.25">
      <c r="A209" s="17" t="str">
        <f>IF(Worksheet!B205&lt;&gt;"",Worksheet!B205,"")</f>
        <v>LESSAR</v>
      </c>
      <c r="B209" t="str">
        <f>Worksheet!E205</f>
        <v>Напольно-потолочные</v>
      </c>
      <c r="C209" s="21">
        <f>IF(Worksheet!M205&lt;&gt;"",MID(Worksheet!M205,1,FIND(" ",Worksheet!M205,1)-1),"")*1</f>
        <v>14.07</v>
      </c>
      <c r="D209">
        <f t="shared" si="9"/>
        <v>140</v>
      </c>
      <c r="E209" t="str">
        <f>IF(Worksheet!L205&lt;&gt;"",IF(Worksheet!L205="Y","да","нет"),"")</f>
        <v>да</v>
      </c>
      <c r="F209" s="21">
        <f>IF(Worksheet!N205&lt;&gt;"",MID(Worksheet!N205,1,FIND(" ",Worksheet!N205,1)-1),"")*1</f>
        <v>14.65</v>
      </c>
      <c r="G209" s="21">
        <f>IF(Worksheet!O205&lt;&gt;"",MID(Worksheet!O205,1,FIND(" ",Worksheet!O205,1)-1),"")*1</f>
        <v>5.01</v>
      </c>
      <c r="H209" s="21">
        <f>IF(Worksheet!P205&lt;&gt;"",MID(Worksheet!P205,1,FIND(" ",Worksheet!P205,1)-1),"")*1</f>
        <v>4.1749999999999998</v>
      </c>
      <c r="I209" s="6"/>
      <c r="J209" s="6"/>
      <c r="K209" t="str">
        <f>IF(Worksheet!BI205&lt;&gt;"",Worksheet!BI205,"")</f>
        <v>3 / 380 / 50</v>
      </c>
      <c r="L209" t="str">
        <f>IF(Worksheet!AU205&lt;&gt;"",Worksheet!AU205,"")</f>
        <v>R410A</v>
      </c>
      <c r="M209" s="6"/>
      <c r="N209" s="6"/>
      <c r="O209" t="str">
        <f>IF(Worksheet!CR205&lt;&gt;"",CONCATENATE(Worksheet!CR205," х ",Worksheet!CP205," х ",Worksheet!CT205),"")</f>
        <v>1650 х 235 х 675</v>
      </c>
      <c r="P209" t="str">
        <f>IF(Worksheet!CS205&lt;&gt;"",CONCATENATE(Worksheet!CS205," х ",Worksheet!CU205," х ",Worksheet!CQ205),"")</f>
        <v>1725 х 755 х 318</v>
      </c>
      <c r="Q209" t="str">
        <f>IF(Worksheet!CV205&lt;&gt;"",CONCATENATE(Worksheet!CV205," / ",Worksheet!CW205),"")</f>
        <v>37.5 / 43.8</v>
      </c>
      <c r="R209" t="str">
        <f>IF(Worksheet!BS205&lt;&gt;"",Worksheet!BS205,"")</f>
        <v>49/52/56</v>
      </c>
      <c r="S209" t="str">
        <f>IF(Worksheet!AL205&lt;&gt;"",Worksheet!AL205,"")</f>
        <v>GMCC</v>
      </c>
      <c r="T209" t="str">
        <f>IF(Worksheet!CJ205&lt;&gt;"",CONCATENATE(Worksheet!CJ205," х ",Worksheet!CL205," х ",Worksheet!CH205),"")</f>
        <v>946 х 410 х 810</v>
      </c>
      <c r="U209" t="str">
        <f>IF(Worksheet!CK205&lt;&gt;"",CONCATENATE(Worksheet!CK205," х ",Worksheet!CM205," х ",Worksheet!CI205),"")</f>
        <v>1090 х 500 х 875</v>
      </c>
      <c r="V209" t="str">
        <f>IF(Worksheet!CN205&lt;&gt;"",CONCATENATE(Worksheet!CN205,"/",Worksheet!CO205),"")</f>
        <v>86/91.6</v>
      </c>
      <c r="W209" s="6"/>
      <c r="X209" s="7">
        <f>IF(Worksheet!AN205&lt;&gt;"",Worksheet!AN205,"")</f>
        <v>9.52</v>
      </c>
      <c r="Y209" s="7">
        <f>IF(Worksheet!AO205&lt;&gt;"",Worksheet!AO205,"")</f>
        <v>19</v>
      </c>
      <c r="Z209" s="17">
        <f>IF(Worksheet!Q205&lt;&gt;"",Worksheet!Q205,"")</f>
        <v>50</v>
      </c>
      <c r="AA209" s="17">
        <f>IF(Worksheet!R205&lt;&gt;"",Worksheet!R205,"")</f>
        <v>25</v>
      </c>
      <c r="AB209" t="str">
        <f>IF(Worksheet!X205&lt;&gt;"",CONCATENATE("от ",Worksheet!X205," до +",Worksheet!Y205),"")</f>
        <v>от -15 до +50</v>
      </c>
      <c r="AC209" t="str">
        <f>IF(Worksheet!Z205&lt;&gt;"",CONCATENATE("от ",Worksheet!Z205," до +",Worksheet!AA205),"")</f>
        <v>от -15 до +24</v>
      </c>
      <c r="AD209" s="6" t="s">
        <v>5245</v>
      </c>
      <c r="AE209" s="17"/>
    </row>
    <row r="210" spans="1:31" x14ac:dyDescent="0.25">
      <c r="A210" s="17" t="str">
        <f>IF(Worksheet!B206&lt;&gt;"",Worksheet!B206,"")</f>
        <v>LESSAR</v>
      </c>
      <c r="B210" t="str">
        <f>Worksheet!E206</f>
        <v>Напольно-потолочные</v>
      </c>
      <c r="C210" s="21">
        <f>IF(Worksheet!M206&lt;&gt;"",MID(Worksheet!M206,1,FIND(" ",Worksheet!M206,1)-1),"")*1</f>
        <v>14.07</v>
      </c>
      <c r="D210">
        <f t="shared" si="9"/>
        <v>140</v>
      </c>
      <c r="E210" t="str">
        <f>IF(Worksheet!L206&lt;&gt;"",IF(Worksheet!L206="Y","да","нет"),"")</f>
        <v>да</v>
      </c>
      <c r="F210" s="21">
        <f>IF(Worksheet!N206&lt;&gt;"",MID(Worksheet!N206,1,FIND(" ",Worksheet!N206,1)-1),"")*1</f>
        <v>15.53</v>
      </c>
      <c r="G210" s="21">
        <f>IF(Worksheet!O206&lt;&gt;"",MID(Worksheet!O206,1,FIND(" ",Worksheet!O206,1)-1),"")*1</f>
        <v>5.7</v>
      </c>
      <c r="H210" s="21">
        <f>IF(Worksheet!P206&lt;&gt;"",MID(Worksheet!P206,1,FIND(" ",Worksheet!P206,1)-1),"")*1</f>
        <v>4.8540000000000001</v>
      </c>
      <c r="I210" s="6"/>
      <c r="J210" s="6"/>
      <c r="K210" t="str">
        <f>IF(Worksheet!BI206&lt;&gt;"",Worksheet!BI206,"")</f>
        <v>3 / 380 / 50</v>
      </c>
      <c r="L210" t="str">
        <f>IF(Worksheet!AU206&lt;&gt;"",Worksheet!AU206,"")</f>
        <v>R410A</v>
      </c>
      <c r="M210" s="6"/>
      <c r="N210" s="6"/>
      <c r="O210" t="str">
        <f>IF(Worksheet!CR206&lt;&gt;"",CONCATENATE(Worksheet!CR206," х ",Worksheet!CP206," х ",Worksheet!CT206),"")</f>
        <v>1650 х 235 х 675</v>
      </c>
      <c r="P210" t="str">
        <f>IF(Worksheet!CS206&lt;&gt;"",CONCATENATE(Worksheet!CS206," х ",Worksheet!CU206," х ",Worksheet!CQ206),"")</f>
        <v>1725 х 755 х 318</v>
      </c>
      <c r="Q210" t="str">
        <f>IF(Worksheet!CV206&lt;&gt;"",CONCATENATE(Worksheet!CV206," / ",Worksheet!CW206),"")</f>
        <v>40.4 / 46.8</v>
      </c>
      <c r="R210" t="str">
        <f>IF(Worksheet!BS206&lt;&gt;"",Worksheet!BS206,"")</f>
        <v>50/52/54</v>
      </c>
      <c r="S210" t="str">
        <f>IF(Worksheet!AL206&lt;&gt;"",Worksheet!AL206,"")</f>
        <v>GMCC</v>
      </c>
      <c r="T210" t="str">
        <f>IF(Worksheet!CJ206&lt;&gt;"",CONCATENATE(Worksheet!CJ206," х ",Worksheet!CL206," х ",Worksheet!CH206),"")</f>
        <v>946 х 410 х 810</v>
      </c>
      <c r="U210" t="str">
        <f>IF(Worksheet!CK206&lt;&gt;"",CONCATENATE(Worksheet!CK206," х ",Worksheet!CM206," х ",Worksheet!CI206),"")</f>
        <v>1090 х 500 х 885</v>
      </c>
      <c r="V210" t="str">
        <f>IF(Worksheet!CN206&lt;&gt;"",CONCATENATE(Worksheet!CN206,"/",Worksheet!CO206),"")</f>
        <v>86.7/91.4</v>
      </c>
      <c r="W210" s="6"/>
      <c r="X210" s="7">
        <f>IF(Worksheet!AN206&lt;&gt;"",Worksheet!AN206,"")</f>
        <v>9.52</v>
      </c>
      <c r="Y210" s="7">
        <f>IF(Worksheet!AO206&lt;&gt;"",Worksheet!AO206,"")</f>
        <v>15.9</v>
      </c>
      <c r="Z210" s="17">
        <f>IF(Worksheet!Q206&lt;&gt;"",Worksheet!Q206,"")</f>
        <v>50</v>
      </c>
      <c r="AA210" s="17">
        <f>IF(Worksheet!R206&lt;&gt;"",Worksheet!R206,"")</f>
        <v>30</v>
      </c>
      <c r="AB210" t="str">
        <f>IF(Worksheet!X206&lt;&gt;"",CONCATENATE("от ",Worksheet!X206," до +",Worksheet!Y206),"")</f>
        <v>от -15 до +50</v>
      </c>
      <c r="AC210" t="str">
        <f>IF(Worksheet!Z206&lt;&gt;"",CONCATENATE("от ",Worksheet!Z206," до +",Worksheet!AA206),"")</f>
        <v>от -15 до +24</v>
      </c>
      <c r="AD210" s="6" t="s">
        <v>5245</v>
      </c>
      <c r="AE210" s="17"/>
    </row>
    <row r="211" spans="1:31" x14ac:dyDescent="0.25">
      <c r="A211" s="17" t="str">
        <f>IF(Worksheet!B207&lt;&gt;"",Worksheet!B207,"")</f>
        <v>LESSAR</v>
      </c>
      <c r="B211" t="str">
        <f>Worksheet!E207</f>
        <v>Напольно-потолочные</v>
      </c>
      <c r="C211" s="21">
        <f>IF(Worksheet!M207&lt;&gt;"",MID(Worksheet!M207,1,FIND(" ",Worksheet!M207,1)-1),"")*1</f>
        <v>16.12</v>
      </c>
      <c r="D211">
        <f t="shared" si="9"/>
        <v>160</v>
      </c>
      <c r="E211" t="str">
        <f>IF(Worksheet!L207&lt;&gt;"",IF(Worksheet!L207="Y","да","нет"),"")</f>
        <v>да</v>
      </c>
      <c r="F211" s="21">
        <f>IF(Worksheet!N207&lt;&gt;"",MID(Worksheet!N207,1,FIND(" ",Worksheet!N207,1)-1),"")*1</f>
        <v>17</v>
      </c>
      <c r="G211" s="21">
        <f>IF(Worksheet!O207&lt;&gt;"",MID(Worksheet!O207,1,FIND(" ",Worksheet!O207,1)-1),"")*1</f>
        <v>5.74</v>
      </c>
      <c r="H211" s="21">
        <f>IF(Worksheet!P207&lt;&gt;"",MID(Worksheet!P207,1,FIND(" ",Worksheet!P207,1)-1),"")*1</f>
        <v>4.7</v>
      </c>
      <c r="I211" s="6"/>
      <c r="J211" s="6"/>
      <c r="K211" t="str">
        <f>IF(Worksheet!BI207&lt;&gt;"",Worksheet!BI207,"")</f>
        <v>3 / 380 / 50</v>
      </c>
      <c r="L211" t="str">
        <f>IF(Worksheet!AU207&lt;&gt;"",Worksheet!AU207,"")</f>
        <v>R410A</v>
      </c>
      <c r="M211" s="6"/>
      <c r="N211" s="6"/>
      <c r="O211" t="str">
        <f>IF(Worksheet!CR207&lt;&gt;"",CONCATENATE(Worksheet!CR207," х ",Worksheet!CP207," х ",Worksheet!CT207),"")</f>
        <v>1650 х 235 х 675</v>
      </c>
      <c r="P211" t="str">
        <f>IF(Worksheet!CS207&lt;&gt;"",CONCATENATE(Worksheet!CS207," х ",Worksheet!CU207," х ",Worksheet!CQ207),"")</f>
        <v>1725 х 755 х 318</v>
      </c>
      <c r="Q211" t="str">
        <f>IF(Worksheet!CV207&lt;&gt;"",CONCATENATE(Worksheet!CV207," / ",Worksheet!CW207),"")</f>
        <v>40 / 46</v>
      </c>
      <c r="R211" t="str">
        <f>IF(Worksheet!BS207&lt;&gt;"",Worksheet!BS207,"")</f>
        <v>46/49/55</v>
      </c>
      <c r="S211" t="str">
        <f>IF(Worksheet!AL207&lt;&gt;"",Worksheet!AL207,"")</f>
        <v>GMCC</v>
      </c>
      <c r="T211" t="str">
        <f>IF(Worksheet!CJ207&lt;&gt;"",CONCATENATE(Worksheet!CJ207," х ",Worksheet!CL207," х ",Worksheet!CH207),"")</f>
        <v>952 х 410 х 1333</v>
      </c>
      <c r="U211" t="str">
        <f>IF(Worksheet!CK207&lt;&gt;"",CONCATENATE(Worksheet!CK207," х ",Worksheet!CM207," х ",Worksheet!CI207),"")</f>
        <v>1095 х 495 х 1480</v>
      </c>
      <c r="V211" t="str">
        <f>IF(Worksheet!CN207&lt;&gt;"",CONCATENATE(Worksheet!CN207,"/",Worksheet!CO207),"")</f>
        <v>107/120.7</v>
      </c>
      <c r="W211" s="6"/>
      <c r="X211" s="7">
        <f>IF(Worksheet!AN207&lt;&gt;"",Worksheet!AN207,"")</f>
        <v>9.52</v>
      </c>
      <c r="Y211" s="7">
        <f>IF(Worksheet!AO207&lt;&gt;"",Worksheet!AO207,"")</f>
        <v>19</v>
      </c>
      <c r="Z211" s="17">
        <f>IF(Worksheet!Q207&lt;&gt;"",Worksheet!Q207,"")</f>
        <v>50</v>
      </c>
      <c r="AA211" s="17">
        <f>IF(Worksheet!R207&lt;&gt;"",Worksheet!R207,"")</f>
        <v>25</v>
      </c>
      <c r="AB211" t="str">
        <f>IF(Worksheet!X207&lt;&gt;"",CONCATENATE("от ",Worksheet!X207," до +",Worksheet!Y207),"")</f>
        <v>от -15 до +50</v>
      </c>
      <c r="AC211" t="str">
        <f>IF(Worksheet!Z207&lt;&gt;"",CONCATENATE("от ",Worksheet!Z207," до +",Worksheet!AA207),"")</f>
        <v>от -15 до +24</v>
      </c>
      <c r="AD211" s="6" t="s">
        <v>5245</v>
      </c>
      <c r="AE211" s="17"/>
    </row>
    <row r="212" spans="1:31" x14ac:dyDescent="0.25">
      <c r="A212" s="17" t="str">
        <f>IF(Worksheet!B208&lt;&gt;"",Worksheet!B208,"")</f>
        <v>LESSAR</v>
      </c>
      <c r="B212" t="str">
        <f>Worksheet!E208</f>
        <v>Напольно-потолочные</v>
      </c>
      <c r="C212" s="21">
        <f>IF(Worksheet!M208&lt;&gt;"",MID(Worksheet!M208,1,FIND(" ",Worksheet!M208,1)-1),"")*1</f>
        <v>16.12</v>
      </c>
      <c r="D212">
        <f t="shared" si="9"/>
        <v>160</v>
      </c>
      <c r="E212" t="str">
        <f>IF(Worksheet!L208&lt;&gt;"",IF(Worksheet!L208="Y","да","нет"),"")</f>
        <v>да</v>
      </c>
      <c r="F212" s="21">
        <f>IF(Worksheet!N208&lt;&gt;"",MID(Worksheet!N208,1,FIND(" ",Worksheet!N208,1)-1),"")*1</f>
        <v>17.88</v>
      </c>
      <c r="G212" s="21">
        <f>IF(Worksheet!O208&lt;&gt;"",MID(Worksheet!O208,1,FIND(" ",Worksheet!O208,1)-1),"")*1</f>
        <v>6.3209999999999997</v>
      </c>
      <c r="H212" s="21">
        <f>IF(Worksheet!P208&lt;&gt;"",MID(Worksheet!P208,1,FIND(" ",Worksheet!P208,1)-1),"")*1</f>
        <v>5.2489999999999997</v>
      </c>
      <c r="I212" s="6"/>
      <c r="J212" s="6"/>
      <c r="K212" t="str">
        <f>IF(Worksheet!BI208&lt;&gt;"",Worksheet!BI208,"")</f>
        <v>3 / 380 / 50</v>
      </c>
      <c r="L212" t="str">
        <f>IF(Worksheet!AU208&lt;&gt;"",Worksheet!AU208,"")</f>
        <v>R410A</v>
      </c>
      <c r="M212" s="6"/>
      <c r="N212" s="6"/>
      <c r="O212" t="str">
        <f>IF(Worksheet!CR208&lt;&gt;"",CONCATENATE(Worksheet!CR208," х ",Worksheet!CP208," х ",Worksheet!CT208),"")</f>
        <v>1650 х 235 х 675</v>
      </c>
      <c r="P212" t="str">
        <f>IF(Worksheet!CS208&lt;&gt;"",CONCATENATE(Worksheet!CS208," х ",Worksheet!CU208," х ",Worksheet!CQ208),"")</f>
        <v>1725 х 755 х 318</v>
      </c>
      <c r="Q212" t="str">
        <f>IF(Worksheet!CV208&lt;&gt;"",CONCATENATE(Worksheet!CV208," / ",Worksheet!CW208),"")</f>
        <v>40.4 / 47</v>
      </c>
      <c r="R212" t="str">
        <f>IF(Worksheet!BS208&lt;&gt;"",Worksheet!BS208,"")</f>
        <v>49.5/50.5/53.5</v>
      </c>
      <c r="S212" t="str">
        <f>IF(Worksheet!AL208&lt;&gt;"",Worksheet!AL208,"")</f>
        <v>GMCC</v>
      </c>
      <c r="T212" t="str">
        <f>IF(Worksheet!CJ208&lt;&gt;"",CONCATENATE(Worksheet!CJ208," х ",Worksheet!CL208," х ",Worksheet!CH208),"")</f>
        <v>952 х 415 х 1333</v>
      </c>
      <c r="U212" t="str">
        <f>IF(Worksheet!CK208&lt;&gt;"",CONCATENATE(Worksheet!CK208," х ",Worksheet!CM208," х ",Worksheet!CI208),"")</f>
        <v>1095 х 495 х 1480</v>
      </c>
      <c r="V212" t="str">
        <f>IF(Worksheet!CN208&lt;&gt;"",CONCATENATE(Worksheet!CN208,"/",Worksheet!CO208),"")</f>
        <v>107.1/121.3</v>
      </c>
      <c r="W212" s="6"/>
      <c r="X212" s="7">
        <f>IF(Worksheet!AN208&lt;&gt;"",Worksheet!AN208,"")</f>
        <v>9.52</v>
      </c>
      <c r="Y212" s="7">
        <f>IF(Worksheet!AO208&lt;&gt;"",Worksheet!AO208,"")</f>
        <v>15.9</v>
      </c>
      <c r="Z212" s="17">
        <f>IF(Worksheet!Q208&lt;&gt;"",Worksheet!Q208,"")</f>
        <v>50</v>
      </c>
      <c r="AA212" s="17">
        <f>IF(Worksheet!R208&lt;&gt;"",Worksheet!R208,"")</f>
        <v>30</v>
      </c>
      <c r="AB212" t="str">
        <f>IF(Worksheet!X208&lt;&gt;"",CONCATENATE("от ",Worksheet!X208," до +",Worksheet!Y208),"")</f>
        <v>от -15 до +50</v>
      </c>
      <c r="AC212" t="str">
        <f>IF(Worksheet!Z208&lt;&gt;"",CONCATENATE("от ",Worksheet!Z208," до +",Worksheet!AA208),"")</f>
        <v>от -15 до +24</v>
      </c>
      <c r="AD212" s="6" t="s">
        <v>5245</v>
      </c>
      <c r="AE212" s="17"/>
    </row>
    <row r="213" spans="1:31" x14ac:dyDescent="0.25">
      <c r="A213" s="17" t="str">
        <f>IF(Worksheet!B209&lt;&gt;"",Worksheet!B209,"")</f>
        <v>LESSAR</v>
      </c>
      <c r="B213" t="str">
        <f>Worksheet!E209</f>
        <v>Канальные</v>
      </c>
      <c r="C213" s="21">
        <f>IF(Worksheet!M209&lt;&gt;"",MID(Worksheet!M209,1,FIND(" ",Worksheet!M209,1)-1),"")*1</f>
        <v>3.52</v>
      </c>
      <c r="D213">
        <f t="shared" si="9"/>
        <v>35</v>
      </c>
      <c r="E213" t="str">
        <f>IF(Worksheet!L209&lt;&gt;"",IF(Worksheet!L209="Y","да","нет"),"")</f>
        <v>да</v>
      </c>
      <c r="F213" s="21">
        <f>IF(Worksheet!N209&lt;&gt;"",MID(Worksheet!N209,1,FIND(" ",Worksheet!N209,1)-1),"")*1</f>
        <v>3.81</v>
      </c>
      <c r="G213" s="21">
        <f>IF(Worksheet!O209&lt;&gt;"",MID(Worksheet!O209,1,FIND(" ",Worksheet!O209,1)-1),"")*1</f>
        <v>1.17</v>
      </c>
      <c r="H213" s="21">
        <f>IF(Worksheet!P209&lt;&gt;"",MID(Worksheet!P209,1,FIND(" ",Worksheet!P209,1)-1),"")*1</f>
        <v>0.99</v>
      </c>
      <c r="I213" s="6"/>
      <c r="J213" s="6"/>
      <c r="K213" t="str">
        <f>IF(Worksheet!BI209&lt;&gt;"",Worksheet!BI209,"")</f>
        <v>1 / 220 / 50</v>
      </c>
      <c r="L213" t="str">
        <f>IF(Worksheet!AU209&lt;&gt;"",Worksheet!AU209,"")</f>
        <v>R410A</v>
      </c>
      <c r="M213" s="6"/>
      <c r="N213" s="6"/>
      <c r="O213" t="str">
        <f>IF(Worksheet!CR209&lt;&gt;"",CONCATENATE(Worksheet!CR209," х ",Worksheet!CP209," х ",Worksheet!CT209),"")</f>
        <v>700 х 200 х 450</v>
      </c>
      <c r="P213" t="str">
        <f>IF(Worksheet!CS209&lt;&gt;"",CONCATENATE(Worksheet!CS209," х ",Worksheet!CU209," х ",Worksheet!CQ209),"")</f>
        <v>860 х 540 х 275</v>
      </c>
      <c r="Q213" t="str">
        <f>IF(Worksheet!CV209&lt;&gt;"",CONCATENATE(Worksheet!CV209," / ",Worksheet!CW209),"")</f>
        <v>18 / 22</v>
      </c>
      <c r="R213" t="str">
        <f>IF(Worksheet!BS209&lt;&gt;"",Worksheet!BS209,"")</f>
        <v>27.5/34.5/40</v>
      </c>
      <c r="S213" t="str">
        <f>IF(Worksheet!AL209&lt;&gt;"",Worksheet!AL209,"")</f>
        <v>GMCC</v>
      </c>
      <c r="T213" t="str">
        <f>IF(Worksheet!CJ209&lt;&gt;"",CONCATENATE(Worksheet!CJ209," х ",Worksheet!CL209," х ",Worksheet!CH209),"")</f>
        <v>800 х 333 х 554</v>
      </c>
      <c r="U213" t="str">
        <f>IF(Worksheet!CK209&lt;&gt;"",CONCATENATE(Worksheet!CK209," х ",Worksheet!CM209," х ",Worksheet!CI209),"")</f>
        <v>920 х 390 х 615</v>
      </c>
      <c r="V213" t="str">
        <f>IF(Worksheet!CN209&lt;&gt;"",CONCATENATE(Worksheet!CN209,"/",Worksheet!CO209),"")</f>
        <v>29.9/32.6</v>
      </c>
      <c r="W213" s="6"/>
      <c r="X213" s="7">
        <f>IF(Worksheet!AN209&lt;&gt;"",Worksheet!AN209,"")</f>
        <v>6.35</v>
      </c>
      <c r="Y213" s="7">
        <f>IF(Worksheet!AO209&lt;&gt;"",Worksheet!AO209,"")</f>
        <v>9.52</v>
      </c>
      <c r="Z213" s="17">
        <f>IF(Worksheet!Q209&lt;&gt;"",Worksheet!Q209,"")</f>
        <v>25</v>
      </c>
      <c r="AA213" s="17">
        <f>IF(Worksheet!R209&lt;&gt;"",Worksheet!R209,"")</f>
        <v>10</v>
      </c>
      <c r="AB213" t="str">
        <f>IF(Worksheet!X209&lt;&gt;"",CONCATENATE("от ",Worksheet!X209," до +",Worksheet!Y209),"")</f>
        <v>от -15 до +50</v>
      </c>
      <c r="AC213" t="str">
        <f>IF(Worksheet!Z209&lt;&gt;"",CONCATENATE("от ",Worksheet!Z209," до +",Worksheet!AA209),"")</f>
        <v>от -15 до +24</v>
      </c>
      <c r="AD213" s="6" t="s">
        <v>5245</v>
      </c>
      <c r="AE213" s="17"/>
    </row>
    <row r="214" spans="1:31" x14ac:dyDescent="0.25">
      <c r="A214" s="17" t="str">
        <f>IF(Worksheet!B210&lt;&gt;"",Worksheet!B210,"")</f>
        <v>LESSAR</v>
      </c>
      <c r="B214" t="str">
        <f>Worksheet!E210</f>
        <v>Канальные</v>
      </c>
      <c r="C214" s="21">
        <f>IF(Worksheet!M210&lt;&gt;"",MID(Worksheet!M210,1,FIND(" ",Worksheet!M210,1)-1),"")*1</f>
        <v>3.66</v>
      </c>
      <c r="D214">
        <f t="shared" si="9"/>
        <v>36</v>
      </c>
      <c r="E214" t="str">
        <f>IF(Worksheet!L210&lt;&gt;"",IF(Worksheet!L210="Y","да","нет"),"")</f>
        <v>да</v>
      </c>
      <c r="F214" s="21">
        <f>IF(Worksheet!N210&lt;&gt;"",MID(Worksheet!N210,1,FIND(" ",Worksheet!N210,1)-1),"")*1</f>
        <v>4.25</v>
      </c>
      <c r="G214" s="21">
        <f>IF(Worksheet!O210&lt;&gt;"",MID(Worksheet!O210,1,FIND(" ",Worksheet!O210,1)-1),"")*1</f>
        <v>1.3520000000000001</v>
      </c>
      <c r="H214" s="21">
        <f>IF(Worksheet!P210&lt;&gt;"",MID(Worksheet!P210,1,FIND(" ",Worksheet!P210,1)-1),"")*1</f>
        <v>1.171</v>
      </c>
      <c r="I214" s="6"/>
      <c r="J214" s="6"/>
      <c r="K214" t="str">
        <f>IF(Worksheet!BI210&lt;&gt;"",Worksheet!BI210,"")</f>
        <v>1 / 220 / 50</v>
      </c>
      <c r="L214" t="str">
        <f>IF(Worksheet!AU210&lt;&gt;"",Worksheet!AU210,"")</f>
        <v>R410A</v>
      </c>
      <c r="M214" s="6"/>
      <c r="N214" s="6"/>
      <c r="O214" t="str">
        <f>IF(Worksheet!CR210&lt;&gt;"",CONCATENATE(Worksheet!CR210," х ",Worksheet!CP210," х ",Worksheet!CT210),"")</f>
        <v>700 х 200 х 506</v>
      </c>
      <c r="P214" t="str">
        <f>IF(Worksheet!CS210&lt;&gt;"",CONCATENATE(Worksheet!CS210," х ",Worksheet!CU210," х ",Worksheet!CQ210),"")</f>
        <v>860 х 540 х 285</v>
      </c>
      <c r="Q214" t="str">
        <f>IF(Worksheet!CV210&lt;&gt;"",CONCATENATE(Worksheet!CV210," / ",Worksheet!CW210),"")</f>
        <v>17.8 / 21.5</v>
      </c>
      <c r="R214" t="str">
        <f>IF(Worksheet!BS210&lt;&gt;"",Worksheet!BS210,"")</f>
        <v>25/34/38</v>
      </c>
      <c r="S214" t="str">
        <f>IF(Worksheet!AL210&lt;&gt;"",Worksheet!AL210,"")</f>
        <v>GMCC</v>
      </c>
      <c r="T214" t="str">
        <f>IF(Worksheet!CJ210&lt;&gt;"",CONCATENATE(Worksheet!CJ210," х ",Worksheet!CL210," х ",Worksheet!CH210),"")</f>
        <v>765 х 303 х 555</v>
      </c>
      <c r="U214" t="str">
        <f>IF(Worksheet!CK210&lt;&gt;"",CONCATENATE(Worksheet!CK210," х ",Worksheet!CM210," х ",Worksheet!CI210),"")</f>
        <v>887 х 337 х 610</v>
      </c>
      <c r="V214" t="str">
        <f>IF(Worksheet!CN210&lt;&gt;"",CONCATENATE(Worksheet!CN210,"/",Worksheet!CO210),"")</f>
        <v>26.9/29.2</v>
      </c>
      <c r="W214" s="6"/>
      <c r="X214" s="7">
        <f>IF(Worksheet!AN210&lt;&gt;"",Worksheet!AN210,"")</f>
        <v>6.35</v>
      </c>
      <c r="Y214" s="7">
        <f>IF(Worksheet!AO210&lt;&gt;"",Worksheet!AO210,"")</f>
        <v>9.52</v>
      </c>
      <c r="Z214" s="17">
        <f>IF(Worksheet!Q210&lt;&gt;"",Worksheet!Q210,"")</f>
        <v>25</v>
      </c>
      <c r="AA214" s="17">
        <f>IF(Worksheet!R210&lt;&gt;"",Worksheet!R210,"")</f>
        <v>10</v>
      </c>
      <c r="AB214" t="str">
        <f>IF(Worksheet!X210&lt;&gt;"",CONCATENATE("от ",Worksheet!X210," до +",Worksheet!Y210),"")</f>
        <v>от -15 до +50</v>
      </c>
      <c r="AC214" t="str">
        <f>IF(Worksheet!Z210&lt;&gt;"",CONCATENATE("от ",Worksheet!Z210," до +",Worksheet!AA210),"")</f>
        <v>от -15 до +24</v>
      </c>
      <c r="AD214" s="6" t="s">
        <v>5245</v>
      </c>
      <c r="AE214" s="17"/>
    </row>
    <row r="215" spans="1:31" x14ac:dyDescent="0.25">
      <c r="A215" s="17" t="str">
        <f>IF(Worksheet!B211&lt;&gt;"",Worksheet!B211,"")</f>
        <v>LESSAR</v>
      </c>
      <c r="B215" t="str">
        <f>Worksheet!E211</f>
        <v>Канальные</v>
      </c>
      <c r="C215" s="21">
        <f>IF(Worksheet!M211&lt;&gt;"",MID(Worksheet!M211,1,FIND(" ",Worksheet!M211,1)-1),"")*1</f>
        <v>5.28</v>
      </c>
      <c r="D215">
        <f t="shared" si="9"/>
        <v>52</v>
      </c>
      <c r="E215" t="str">
        <f>IF(Worksheet!L211&lt;&gt;"",IF(Worksheet!L211="Y","да","нет"),"")</f>
        <v>да</v>
      </c>
      <c r="F215" s="21">
        <f>IF(Worksheet!N211&lt;&gt;"",MID(Worksheet!N211,1,FIND(" ",Worksheet!N211,1)-1),"")*1</f>
        <v>5.86</v>
      </c>
      <c r="G215" s="21">
        <f>IF(Worksheet!O211&lt;&gt;"",MID(Worksheet!O211,1,FIND(" ",Worksheet!O211,1)-1),"")*1</f>
        <v>1.635</v>
      </c>
      <c r="H215" s="21">
        <f>IF(Worksheet!P211&lt;&gt;"",MID(Worksheet!P211,1,FIND(" ",Worksheet!P211,1)-1),"")*1</f>
        <v>1.5780000000000001</v>
      </c>
      <c r="I215" s="6"/>
      <c r="J215" s="6"/>
      <c r="K215" t="str">
        <f>IF(Worksheet!BI211&lt;&gt;"",Worksheet!BI211,"")</f>
        <v>1 / 220 / 50</v>
      </c>
      <c r="L215" t="str">
        <f>IF(Worksheet!AU211&lt;&gt;"",Worksheet!AU211,"")</f>
        <v>R410A</v>
      </c>
      <c r="M215" s="6"/>
      <c r="N215" s="6"/>
      <c r="O215" t="str">
        <f>IF(Worksheet!CR211&lt;&gt;"",CONCATENATE(Worksheet!CR211," х ",Worksheet!CP211," х ",Worksheet!CT211),"")</f>
        <v>880 х 210 х 674</v>
      </c>
      <c r="P215" t="str">
        <f>IF(Worksheet!CS211&lt;&gt;"",CONCATENATE(Worksheet!CS211," х ",Worksheet!CU211," х ",Worksheet!CQ211),"")</f>
        <v>1070 х 725 х 280</v>
      </c>
      <c r="Q215" t="str">
        <f>IF(Worksheet!CV211&lt;&gt;"",CONCATENATE(Worksheet!CV211," / ",Worksheet!CW211),"")</f>
        <v>24.3 / 29.6</v>
      </c>
      <c r="R215" t="str">
        <f>IF(Worksheet!BS211&lt;&gt;"",Worksheet!BS211,"")</f>
        <v>33/38/42</v>
      </c>
      <c r="S215" t="str">
        <f>IF(Worksheet!AL211&lt;&gt;"",Worksheet!AL211,"")</f>
        <v>GMCC</v>
      </c>
      <c r="T215" t="str">
        <f>IF(Worksheet!CJ211&lt;&gt;"",CONCATENATE(Worksheet!CJ211," х ",Worksheet!CL211," х ",Worksheet!CH211),"")</f>
        <v>800 х 333 х 554</v>
      </c>
      <c r="U215" t="str">
        <f>IF(Worksheet!CK211&lt;&gt;"",CONCATENATE(Worksheet!CK211," х ",Worksheet!CM211," х ",Worksheet!CI211),"")</f>
        <v>920 х 390 х 615</v>
      </c>
      <c r="V215" t="str">
        <f>IF(Worksheet!CN211&lt;&gt;"",CONCATENATE(Worksheet!CN211,"/",Worksheet!CO211),"")</f>
        <v>34.5/37.2</v>
      </c>
      <c r="W215" s="6"/>
      <c r="X215" s="7">
        <f>IF(Worksheet!AN211&lt;&gt;"",Worksheet!AN211,"")</f>
        <v>6.35</v>
      </c>
      <c r="Y215" s="7">
        <f>IF(Worksheet!AO211&lt;&gt;"",Worksheet!AO211,"")</f>
        <v>12.7</v>
      </c>
      <c r="Z215" s="17">
        <f>IF(Worksheet!Q211&lt;&gt;"",Worksheet!Q211,"")</f>
        <v>30</v>
      </c>
      <c r="AA215" s="17">
        <f>IF(Worksheet!R211&lt;&gt;"",Worksheet!R211,"")</f>
        <v>20</v>
      </c>
      <c r="AB215" t="str">
        <f>IF(Worksheet!X211&lt;&gt;"",CONCATENATE("от ",Worksheet!X211," до +",Worksheet!Y211),"")</f>
        <v>от -15 до +50</v>
      </c>
      <c r="AC215" t="str">
        <f>IF(Worksheet!Z211&lt;&gt;"",CONCATENATE("от ",Worksheet!Z211," до +",Worksheet!AA211),"")</f>
        <v>от -15 до +24</v>
      </c>
      <c r="AD215" s="6" t="s">
        <v>5245</v>
      </c>
      <c r="AE215" s="17"/>
    </row>
    <row r="216" spans="1:31" x14ac:dyDescent="0.25">
      <c r="A216" s="17" t="str">
        <f>IF(Worksheet!B212&lt;&gt;"",Worksheet!B212,"")</f>
        <v>LESSAR</v>
      </c>
      <c r="B216" t="str">
        <f>Worksheet!E212</f>
        <v>Канальные</v>
      </c>
      <c r="C216" s="21">
        <f>IF(Worksheet!M212&lt;&gt;"",MID(Worksheet!M212,1,FIND(" ",Worksheet!M212,1)-1),"")*1</f>
        <v>5.28</v>
      </c>
      <c r="D216">
        <f t="shared" si="9"/>
        <v>52</v>
      </c>
      <c r="E216" t="str">
        <f>IF(Worksheet!L212&lt;&gt;"",IF(Worksheet!L212="Y","да","нет"),"")</f>
        <v>да</v>
      </c>
      <c r="F216" s="21">
        <f>IF(Worksheet!N212&lt;&gt;"",MID(Worksheet!N212,1,FIND(" ",Worksheet!N212,1)-1),"")*1</f>
        <v>5.57</v>
      </c>
      <c r="G216" s="21">
        <f>IF(Worksheet!O212&lt;&gt;"",MID(Worksheet!O212,1,FIND(" ",Worksheet!O212,1)-1),"")*1</f>
        <v>1.649</v>
      </c>
      <c r="H216" s="21">
        <f>IF(Worksheet!P212&lt;&gt;"",MID(Worksheet!P212,1,FIND(" ",Worksheet!P212,1)-1),"")*1</f>
        <v>1.653</v>
      </c>
      <c r="I216" s="6"/>
      <c r="J216" s="6"/>
      <c r="K216" t="str">
        <f>IF(Worksheet!BI212&lt;&gt;"",Worksheet!BI212,"")</f>
        <v>1 / 220 / 50</v>
      </c>
      <c r="L216" t="str">
        <f>IF(Worksheet!AU212&lt;&gt;"",Worksheet!AU212,"")</f>
        <v>R410A</v>
      </c>
      <c r="M216" s="6"/>
      <c r="N216" s="6"/>
      <c r="O216" t="str">
        <f>IF(Worksheet!CR212&lt;&gt;"",CONCATENATE(Worksheet!CR212," х ",Worksheet!CP212," х ",Worksheet!CT212),"")</f>
        <v>880 х 210 х 674</v>
      </c>
      <c r="P216" t="str">
        <f>IF(Worksheet!CS212&lt;&gt;"",CONCATENATE(Worksheet!CS212," х ",Worksheet!CU212," х ",Worksheet!CQ212),"")</f>
        <v>1070 х 725 х 280</v>
      </c>
      <c r="Q216" t="str">
        <f>IF(Worksheet!CV212&lt;&gt;"",CONCATENATE(Worksheet!CV212," / ",Worksheet!CW212),"")</f>
        <v>24.4 / 29.6</v>
      </c>
      <c r="R216" t="str">
        <f>IF(Worksheet!BS212&lt;&gt;"",Worksheet!BS212,"")</f>
        <v>34/38/41</v>
      </c>
      <c r="S216" t="str">
        <f>IF(Worksheet!AL212&lt;&gt;"",Worksheet!AL212,"")</f>
        <v>GMCC</v>
      </c>
      <c r="T216" t="str">
        <f>IF(Worksheet!CJ212&lt;&gt;"",CONCATENATE(Worksheet!CJ212," х ",Worksheet!CL212," х ",Worksheet!CH212),"")</f>
        <v>805 х 330 х 554</v>
      </c>
      <c r="U216" t="str">
        <f>IF(Worksheet!CK212&lt;&gt;"",CONCATENATE(Worksheet!CK212," х ",Worksheet!CM212," х ",Worksheet!CI212),"")</f>
        <v>915 х 370 х 615</v>
      </c>
      <c r="V216" t="str">
        <f>IF(Worksheet!CN212&lt;&gt;"",CONCATENATE(Worksheet!CN212,"/",Worksheet!CO212),"")</f>
        <v>33.6/36.2</v>
      </c>
      <c r="W216" s="6"/>
      <c r="X216" s="7">
        <f>IF(Worksheet!AN212&lt;&gt;"",Worksheet!AN212,"")</f>
        <v>6.35</v>
      </c>
      <c r="Y216" s="7">
        <f>IF(Worksheet!AO212&lt;&gt;"",Worksheet!AO212,"")</f>
        <v>12.7</v>
      </c>
      <c r="Z216" s="17">
        <f>IF(Worksheet!Q212&lt;&gt;"",Worksheet!Q212,"")</f>
        <v>30</v>
      </c>
      <c r="AA216" s="17">
        <f>IF(Worksheet!R212&lt;&gt;"",Worksheet!R212,"")</f>
        <v>20</v>
      </c>
      <c r="AB216" t="str">
        <f>IF(Worksheet!X212&lt;&gt;"",CONCATENATE("от ",Worksheet!X212," до +",Worksheet!Y212),"")</f>
        <v>от -15 до +50</v>
      </c>
      <c r="AC216" t="str">
        <f>IF(Worksheet!Z212&lt;&gt;"",CONCATENATE("от ",Worksheet!Z212," до +",Worksheet!AA212),"")</f>
        <v>от -15 до +24</v>
      </c>
      <c r="AD216" s="6" t="s">
        <v>5245</v>
      </c>
      <c r="AE216" s="17"/>
    </row>
    <row r="217" spans="1:31" x14ac:dyDescent="0.25">
      <c r="A217" s="17" t="str">
        <f>IF(Worksheet!B213&lt;&gt;"",Worksheet!B213,"")</f>
        <v>LESSAR</v>
      </c>
      <c r="B217" t="str">
        <f>Worksheet!E213</f>
        <v>Канальные</v>
      </c>
      <c r="C217" s="21">
        <f>IF(Worksheet!M213&lt;&gt;"",MID(Worksheet!M213,1,FIND(" ",Worksheet!M213,1)-1),"")*1</f>
        <v>7.03</v>
      </c>
      <c r="D217">
        <f t="shared" si="9"/>
        <v>70</v>
      </c>
      <c r="E217" t="str">
        <f>IF(Worksheet!L213&lt;&gt;"",IF(Worksheet!L213="Y","да","нет"),"")</f>
        <v>да</v>
      </c>
      <c r="F217" s="21">
        <f>IF(Worksheet!N213&lt;&gt;"",MID(Worksheet!N213,1,FIND(" ",Worksheet!N213,1)-1),"")*1</f>
        <v>7.62</v>
      </c>
      <c r="G217" s="21">
        <f>IF(Worksheet!O213&lt;&gt;"",MID(Worksheet!O213,1,FIND(" ",Worksheet!O213,1)-1),"")*1</f>
        <v>2.1749999999999998</v>
      </c>
      <c r="H217" s="21">
        <f>IF(Worksheet!P213&lt;&gt;"",MID(Worksheet!P213,1,FIND(" ",Worksheet!P213,1)-1),"")*1</f>
        <v>2.0499999999999998</v>
      </c>
      <c r="I217" s="6"/>
      <c r="J217" s="6"/>
      <c r="K217" t="str">
        <f>IF(Worksheet!BI213&lt;&gt;"",Worksheet!BI213,"")</f>
        <v>1 / 220 / 50</v>
      </c>
      <c r="L217" t="str">
        <f>IF(Worksheet!AU213&lt;&gt;"",Worksheet!AU213,"")</f>
        <v>R410A</v>
      </c>
      <c r="M217" s="6"/>
      <c r="N217" s="6"/>
      <c r="O217" t="str">
        <f>IF(Worksheet!CR213&lt;&gt;"",CONCATENATE(Worksheet!CR213," х ",Worksheet!CP213," х ",Worksheet!CT213),"")</f>
        <v>1100 х 249 х 774</v>
      </c>
      <c r="P217" t="str">
        <f>IF(Worksheet!CS213&lt;&gt;"",CONCATENATE(Worksheet!CS213," х ",Worksheet!CU213," х ",Worksheet!CQ213),"")</f>
        <v>1305 х 805 х 305</v>
      </c>
      <c r="Q217" t="str">
        <f>IF(Worksheet!CV213&lt;&gt;"",CONCATENATE(Worksheet!CV213," / ",Worksheet!CW213),"")</f>
        <v>31.5 / 38.9</v>
      </c>
      <c r="R217" t="str">
        <f>IF(Worksheet!BS213&lt;&gt;"",Worksheet!BS213,"")</f>
        <v>40/42/44</v>
      </c>
      <c r="S217" t="str">
        <f>IF(Worksheet!AL213&lt;&gt;"",Worksheet!AL213,"")</f>
        <v>GMCC</v>
      </c>
      <c r="T217" t="str">
        <f>IF(Worksheet!CJ213&lt;&gt;"",CONCATENATE(Worksheet!CJ213," х ",Worksheet!CL213," х ",Worksheet!CH213),"")</f>
        <v>845 х 363 х 702</v>
      </c>
      <c r="U217" t="str">
        <f>IF(Worksheet!CK213&lt;&gt;"",CONCATENATE(Worksheet!CK213," х ",Worksheet!CM213," х ",Worksheet!CI213),"")</f>
        <v>965 х 395 х 755</v>
      </c>
      <c r="V217" t="str">
        <f>IF(Worksheet!CN213&lt;&gt;"",CONCATENATE(Worksheet!CN213,"/",Worksheet!CO213),"")</f>
        <v>49/51.5</v>
      </c>
      <c r="W217" s="6"/>
      <c r="X217" s="7">
        <f>IF(Worksheet!AN213&lt;&gt;"",Worksheet!AN213,"")</f>
        <v>9.52</v>
      </c>
      <c r="Y217" s="7">
        <f>IF(Worksheet!AO213&lt;&gt;"",Worksheet!AO213,"")</f>
        <v>15.9</v>
      </c>
      <c r="Z217" s="17">
        <f>IF(Worksheet!Q213&lt;&gt;"",Worksheet!Q213,"")</f>
        <v>50</v>
      </c>
      <c r="AA217" s="17">
        <f>IF(Worksheet!R213&lt;&gt;"",Worksheet!R213,"")</f>
        <v>25</v>
      </c>
      <c r="AB217" t="str">
        <f>IF(Worksheet!X213&lt;&gt;"",CONCATENATE("от ",Worksheet!X213," до +",Worksheet!Y213),"")</f>
        <v>от -15 до +50</v>
      </c>
      <c r="AC217" t="str">
        <f>IF(Worksheet!Z213&lt;&gt;"",CONCATENATE("от ",Worksheet!Z213," до +",Worksheet!AA213),"")</f>
        <v>от -15 до +24</v>
      </c>
      <c r="AD217" s="6" t="s">
        <v>5245</v>
      </c>
      <c r="AE217" s="17"/>
    </row>
    <row r="218" spans="1:31" x14ac:dyDescent="0.25">
      <c r="A218" s="17" t="str">
        <f>IF(Worksheet!B214&lt;&gt;"",Worksheet!B214,"")</f>
        <v>LESSAR</v>
      </c>
      <c r="B218" t="str">
        <f>Worksheet!E214</f>
        <v>Канальные</v>
      </c>
      <c r="C218" s="21">
        <f>IF(Worksheet!M214&lt;&gt;"",MID(Worksheet!M214,1,FIND(" ",Worksheet!M214,1)-1),"")*1</f>
        <v>7.33</v>
      </c>
      <c r="D218">
        <f t="shared" si="9"/>
        <v>73</v>
      </c>
      <c r="E218" t="str">
        <f>IF(Worksheet!L214&lt;&gt;"",IF(Worksheet!L214="Y","да","нет"),"")</f>
        <v>да</v>
      </c>
      <c r="F218" s="21">
        <f>IF(Worksheet!N214&lt;&gt;"",MID(Worksheet!N214,1,FIND(" ",Worksheet!N214,1)-1),"")*1</f>
        <v>8.5</v>
      </c>
      <c r="G218" s="21">
        <f>IF(Worksheet!O214&lt;&gt;"",MID(Worksheet!O214,1,FIND(" ",Worksheet!O214,1)-1),"")*1</f>
        <v>2.1549999999999998</v>
      </c>
      <c r="H218" s="21">
        <f>IF(Worksheet!P214&lt;&gt;"",MID(Worksheet!P214,1,FIND(" ",Worksheet!P214,1)-1),"")*1</f>
        <v>2.25</v>
      </c>
      <c r="I218" s="6"/>
      <c r="J218" s="6"/>
      <c r="K218" t="str">
        <f>IF(Worksheet!BI214&lt;&gt;"",Worksheet!BI214,"")</f>
        <v>1 / 220 / 50</v>
      </c>
      <c r="L218" t="str">
        <f>IF(Worksheet!AU214&lt;&gt;"",Worksheet!AU214,"")</f>
        <v>R410A</v>
      </c>
      <c r="M218" s="6"/>
      <c r="N218" s="6"/>
      <c r="O218" t="str">
        <f>IF(Worksheet!CR214&lt;&gt;"",CONCATENATE(Worksheet!CR214," х ",Worksheet!CP214," х ",Worksheet!CT214),"")</f>
        <v>1100 х 249 х 774</v>
      </c>
      <c r="P218" t="str">
        <f>IF(Worksheet!CS214&lt;&gt;"",CONCATENATE(Worksheet!CS214," х ",Worksheet!CU214," х ",Worksheet!CQ214),"")</f>
        <v>1305 х 805 х 315</v>
      </c>
      <c r="Q218" t="str">
        <f>IF(Worksheet!CV214&lt;&gt;"",CONCATENATE(Worksheet!CV214," / ",Worksheet!CW214),"")</f>
        <v>32.3 / 39.1</v>
      </c>
      <c r="R218" t="str">
        <f>IF(Worksheet!BS214&lt;&gt;"",Worksheet!BS214,"")</f>
        <v>37/39/41</v>
      </c>
      <c r="S218" t="str">
        <f>IF(Worksheet!AL214&lt;&gt;"",Worksheet!AL214,"")</f>
        <v>GMCC</v>
      </c>
      <c r="T218" t="str">
        <f>IF(Worksheet!CJ214&lt;&gt;"",CONCATENATE(Worksheet!CJ214," х ",Worksheet!CL214," х ",Worksheet!CH214),"")</f>
        <v>890 х 342 х 673</v>
      </c>
      <c r="U218" t="str">
        <f>IF(Worksheet!CK214&lt;&gt;"",CONCATENATE(Worksheet!CK214," х ",Worksheet!CM214," х ",Worksheet!CI214),"")</f>
        <v>995 х 398 х 740</v>
      </c>
      <c r="V218" t="str">
        <f>IF(Worksheet!CN214&lt;&gt;"",CONCATENATE(Worksheet!CN214,"/",Worksheet!CO214),"")</f>
        <v>45.1/48.3</v>
      </c>
      <c r="W218" s="6"/>
      <c r="X218" s="7">
        <f>IF(Worksheet!AN214&lt;&gt;"",Worksheet!AN214,"")</f>
        <v>9.52</v>
      </c>
      <c r="Y218" s="7">
        <f>IF(Worksheet!AO214&lt;&gt;"",Worksheet!AO214,"")</f>
        <v>15.9</v>
      </c>
      <c r="Z218" s="17">
        <f>IF(Worksheet!Q214&lt;&gt;"",Worksheet!Q214,"")</f>
        <v>50</v>
      </c>
      <c r="AA218" s="17">
        <f>IF(Worksheet!R214&lt;&gt;"",Worksheet!R214,"")</f>
        <v>25</v>
      </c>
      <c r="AB218" t="str">
        <f>IF(Worksheet!X214&lt;&gt;"",CONCATENATE("от ",Worksheet!X214," до +",Worksheet!Y214),"")</f>
        <v>от -15 до +50</v>
      </c>
      <c r="AC218" t="str">
        <f>IF(Worksheet!Z214&lt;&gt;"",CONCATENATE("от ",Worksheet!Z214," до +",Worksheet!AA214),"")</f>
        <v>от -15 до +24</v>
      </c>
      <c r="AD218" s="6" t="s">
        <v>5245</v>
      </c>
      <c r="AE218" s="17"/>
    </row>
    <row r="219" spans="1:31" x14ac:dyDescent="0.25">
      <c r="A219" s="17" t="str">
        <f>IF(Worksheet!B215&lt;&gt;"",Worksheet!B215,"")</f>
        <v>LESSAR</v>
      </c>
      <c r="B219" t="str">
        <f>Worksheet!E215</f>
        <v>Канальные</v>
      </c>
      <c r="C219" s="21">
        <f>IF(Worksheet!M215&lt;&gt;"",MID(Worksheet!M215,1,FIND(" ",Worksheet!M215,1)-1),"")*1</f>
        <v>10.55</v>
      </c>
      <c r="D219">
        <f t="shared" si="9"/>
        <v>100</v>
      </c>
      <c r="E219" t="str">
        <f>IF(Worksheet!L215&lt;&gt;"",IF(Worksheet!L215="Y","да","нет"),"")</f>
        <v>да</v>
      </c>
      <c r="F219" s="21">
        <f>IF(Worksheet!N215&lt;&gt;"",MID(Worksheet!N215,1,FIND(" ",Worksheet!N215,1)-1),"")*1</f>
        <v>11.14</v>
      </c>
      <c r="G219" s="21">
        <f>IF(Worksheet!O215&lt;&gt;"",MID(Worksheet!O215,1,FIND(" ",Worksheet!O215,1)-1),"")*1</f>
        <v>3.59</v>
      </c>
      <c r="H219" s="21">
        <f>IF(Worksheet!P215&lt;&gt;"",MID(Worksheet!P215,1,FIND(" ",Worksheet!P215,1)-1),"")*1</f>
        <v>3.085</v>
      </c>
      <c r="I219" s="6"/>
      <c r="J219" s="6"/>
      <c r="K219" t="str">
        <f>IF(Worksheet!BI215&lt;&gt;"",Worksheet!BI215,"")</f>
        <v>3 / 380 / 50</v>
      </c>
      <c r="L219" t="str">
        <f>IF(Worksheet!AU215&lt;&gt;"",Worksheet!AU215,"")</f>
        <v>R410A</v>
      </c>
      <c r="M219" s="6"/>
      <c r="N219" s="6"/>
      <c r="O219" t="str">
        <f>IF(Worksheet!CR215&lt;&gt;"",CONCATENATE(Worksheet!CR215," х ",Worksheet!CP215," х ",Worksheet!CT215),"")</f>
        <v>1100 х 249 х 774</v>
      </c>
      <c r="P219" t="str">
        <f>IF(Worksheet!CS215&lt;&gt;"",CONCATENATE(Worksheet!CS215," х ",Worksheet!CU215," х ",Worksheet!CQ215),"")</f>
        <v>1305 х 805 х 315</v>
      </c>
      <c r="Q219" t="str">
        <f>IF(Worksheet!CV215&lt;&gt;"",CONCATENATE(Worksheet!CV215," / ",Worksheet!CW215),"")</f>
        <v>34.5 / 41.9</v>
      </c>
      <c r="R219" t="str">
        <f>IF(Worksheet!BS215&lt;&gt;"",Worksheet!BS215,"")</f>
        <v>36/38.5/45</v>
      </c>
      <c r="S219" t="str">
        <f>IF(Worksheet!AL215&lt;&gt;"",Worksheet!AL215,"")</f>
        <v>GMCC</v>
      </c>
      <c r="T219" t="str">
        <f>IF(Worksheet!CJ215&lt;&gt;"",CONCATENATE(Worksheet!CJ215," х ",Worksheet!CL215," х ",Worksheet!CH215),"")</f>
        <v>946 х 410 х 810</v>
      </c>
      <c r="U219" t="str">
        <f>IF(Worksheet!CK215&lt;&gt;"",CONCATENATE(Worksheet!CK215," х ",Worksheet!CM215," х ",Worksheet!CI215),"")</f>
        <v>1090 х 500 х 875</v>
      </c>
      <c r="V219" t="str">
        <f>IF(Worksheet!CN215&lt;&gt;"",CONCATENATE(Worksheet!CN215,"/",Worksheet!CO215),"")</f>
        <v>77.9/82.7</v>
      </c>
      <c r="W219" s="6"/>
      <c r="X219" s="7">
        <f>IF(Worksheet!AN215&lt;&gt;"",Worksheet!AN215,"")</f>
        <v>9.52</v>
      </c>
      <c r="Y219" s="7">
        <f>IF(Worksheet!AO215&lt;&gt;"",Worksheet!AO215,"")</f>
        <v>19</v>
      </c>
      <c r="Z219" s="17">
        <f>IF(Worksheet!Q215&lt;&gt;"",Worksheet!Q215,"")</f>
        <v>30</v>
      </c>
      <c r="AA219" s="17">
        <f>IF(Worksheet!R215&lt;&gt;"",Worksheet!R215,"")</f>
        <v>20</v>
      </c>
      <c r="AB219" t="str">
        <f>IF(Worksheet!X215&lt;&gt;"",CONCATENATE("от ",Worksheet!X215," до +",Worksheet!Y215),"")</f>
        <v>от -15 до +50</v>
      </c>
      <c r="AC219" t="str">
        <f>IF(Worksheet!Z215&lt;&gt;"",CONCATENATE("от ",Worksheet!Z215," до +",Worksheet!AA215),"")</f>
        <v>от -15 до +24</v>
      </c>
      <c r="AD219" s="6" t="s">
        <v>5245</v>
      </c>
      <c r="AE219" s="17"/>
    </row>
    <row r="220" spans="1:31" x14ac:dyDescent="0.25">
      <c r="A220" s="17" t="str">
        <f>IF(Worksheet!B216&lt;&gt;"",Worksheet!B216,"")</f>
        <v>LESSAR</v>
      </c>
      <c r="B220" t="str">
        <f>Worksheet!E216</f>
        <v>Канальные</v>
      </c>
      <c r="C220" s="21">
        <f>IF(Worksheet!M216&lt;&gt;"",MID(Worksheet!M216,1,FIND(" ",Worksheet!M216,1)-1),"")*1</f>
        <v>11.14</v>
      </c>
      <c r="D220">
        <f t="shared" si="9"/>
        <v>110</v>
      </c>
      <c r="E220" t="str">
        <f>IF(Worksheet!L216&lt;&gt;"",IF(Worksheet!L216="Y","да","нет"),"")</f>
        <v>да</v>
      </c>
      <c r="F220" s="21">
        <f>IF(Worksheet!N216&lt;&gt;"",MID(Worksheet!N216,1,FIND(" ",Worksheet!N216,1)-1),"")*1</f>
        <v>11.87</v>
      </c>
      <c r="G220" s="21">
        <f>IF(Worksheet!O216&lt;&gt;"",MID(Worksheet!O216,1,FIND(" ",Worksheet!O216,1)-1),"")*1</f>
        <v>3.84</v>
      </c>
      <c r="H220" s="21">
        <f>IF(Worksheet!P216&lt;&gt;"",MID(Worksheet!P216,1,FIND(" ",Worksheet!P216,1)-1),"")*1</f>
        <v>2.895</v>
      </c>
      <c r="I220" s="6"/>
      <c r="J220" s="6"/>
      <c r="K220" t="str">
        <f>IF(Worksheet!BI216&lt;&gt;"",Worksheet!BI216,"")</f>
        <v>3 / 380 / 50</v>
      </c>
      <c r="L220" t="str">
        <f>IF(Worksheet!AU216&lt;&gt;"",Worksheet!AU216,"")</f>
        <v>R410A</v>
      </c>
      <c r="M220" s="6"/>
      <c r="N220" s="6"/>
      <c r="O220" t="str">
        <f>IF(Worksheet!CR216&lt;&gt;"",CONCATENATE(Worksheet!CR216," х ",Worksheet!CP216," х ",Worksheet!CT216),"")</f>
        <v>1360 х 249 х 774</v>
      </c>
      <c r="P220" t="str">
        <f>IF(Worksheet!CS216&lt;&gt;"",CONCATENATE(Worksheet!CS216," х ",Worksheet!CU216," х ",Worksheet!CQ216),"")</f>
        <v>1570 х 805 х 330</v>
      </c>
      <c r="Q220" t="str">
        <f>IF(Worksheet!CV216&lt;&gt;"",CONCATENATE(Worksheet!CV216," / ",Worksheet!CW216),"")</f>
        <v>40.5 / 48.2</v>
      </c>
      <c r="R220" t="str">
        <f>IF(Worksheet!BS216&lt;&gt;"",Worksheet!BS216,"")</f>
        <v>38/40.5/44</v>
      </c>
      <c r="S220" t="str">
        <f>IF(Worksheet!AL216&lt;&gt;"",Worksheet!AL216,"")</f>
        <v>GMCC</v>
      </c>
      <c r="T220" t="str">
        <f>IF(Worksheet!CJ216&lt;&gt;"",CONCATENATE(Worksheet!CJ216," х ",Worksheet!CL216," х ",Worksheet!CH216),"")</f>
        <v>946 х 410 х 810</v>
      </c>
      <c r="U220" t="str">
        <f>IF(Worksheet!CK216&lt;&gt;"",CONCATENATE(Worksheet!CK216," х ",Worksheet!CM216," х ",Worksheet!CI216),"")</f>
        <v>1090 х 500 х 885</v>
      </c>
      <c r="V220" t="str">
        <f>IF(Worksheet!CN216&lt;&gt;"",CONCATENATE(Worksheet!CN216,"/",Worksheet!CO216),"")</f>
        <v>77.9/82.7</v>
      </c>
      <c r="W220" s="6"/>
      <c r="X220" s="7">
        <f>IF(Worksheet!AN216&lt;&gt;"",Worksheet!AN216,"")</f>
        <v>9.52</v>
      </c>
      <c r="Y220" s="7">
        <f>IF(Worksheet!AO216&lt;&gt;"",Worksheet!AO216,"")</f>
        <v>15.9</v>
      </c>
      <c r="Z220" s="17">
        <f>IF(Worksheet!Q216&lt;&gt;"",Worksheet!Q216,"")</f>
        <v>30</v>
      </c>
      <c r="AA220" s="17">
        <f>IF(Worksheet!R216&lt;&gt;"",Worksheet!R216,"")</f>
        <v>20</v>
      </c>
      <c r="AB220" t="str">
        <f>IF(Worksheet!X216&lt;&gt;"",CONCATENATE("от ",Worksheet!X216," до +",Worksheet!Y216),"")</f>
        <v>от -15 до +50</v>
      </c>
      <c r="AC220" t="str">
        <f>IF(Worksheet!Z216&lt;&gt;"",CONCATENATE("от ",Worksheet!Z216," до +",Worksheet!AA216),"")</f>
        <v>от -15 до +24</v>
      </c>
      <c r="AD220" s="6" t="s">
        <v>5245</v>
      </c>
      <c r="AE220" s="17"/>
    </row>
    <row r="221" spans="1:31" x14ac:dyDescent="0.25">
      <c r="A221" s="17" t="str">
        <f>IF(Worksheet!B217&lt;&gt;"",Worksheet!B217,"")</f>
        <v>LESSAR</v>
      </c>
      <c r="B221" t="str">
        <f>Worksheet!E217</f>
        <v>Канальные</v>
      </c>
      <c r="C221" s="21">
        <f>IF(Worksheet!M217&lt;&gt;"",MID(Worksheet!M217,1,FIND(" ",Worksheet!M217,1)-1),"")*1</f>
        <v>14.07</v>
      </c>
      <c r="D221">
        <f t="shared" si="9"/>
        <v>140</v>
      </c>
      <c r="E221" t="str">
        <f>IF(Worksheet!L217&lt;&gt;"",IF(Worksheet!L217="Y","да","нет"),"")</f>
        <v>да</v>
      </c>
      <c r="F221" s="21">
        <f>IF(Worksheet!N217&lt;&gt;"",MID(Worksheet!N217,1,FIND(" ",Worksheet!N217,1)-1),"")*1</f>
        <v>14.65</v>
      </c>
      <c r="G221" s="21">
        <f>IF(Worksheet!O217&lt;&gt;"",MID(Worksheet!O217,1,FIND(" ",Worksheet!O217,1)-1),"")*1</f>
        <v>5.1909999999999998</v>
      </c>
      <c r="H221" s="21">
        <f>IF(Worksheet!P217&lt;&gt;"",MID(Worksheet!P217,1,FIND(" ",Worksheet!P217,1)-1),"")*1</f>
        <v>4.0590000000000002</v>
      </c>
      <c r="I221" s="6"/>
      <c r="J221" s="6"/>
      <c r="K221" t="str">
        <f>IF(Worksheet!BI217&lt;&gt;"",Worksheet!BI217,"")</f>
        <v>3 / 380 / 50</v>
      </c>
      <c r="L221" t="str">
        <f>IF(Worksheet!AU217&lt;&gt;"",Worksheet!AU217,"")</f>
        <v>R410A</v>
      </c>
      <c r="M221" s="6"/>
      <c r="N221" s="6"/>
      <c r="O221" t="str">
        <f>IF(Worksheet!CR217&lt;&gt;"",CONCATENATE(Worksheet!CR217," х ",Worksheet!CP217," х ",Worksheet!CT217),"")</f>
        <v>1200 х 300 х 874</v>
      </c>
      <c r="P221" t="str">
        <f>IF(Worksheet!CS217&lt;&gt;"",CONCATENATE(Worksheet!CS217," х ",Worksheet!CU217," х ",Worksheet!CQ217),"")</f>
        <v>1405 х 915 х 365</v>
      </c>
      <c r="Q221" t="str">
        <f>IF(Worksheet!CV217&lt;&gt;"",CONCATENATE(Worksheet!CV217," / ",Worksheet!CW217),"")</f>
        <v>47.3 / 56</v>
      </c>
      <c r="R221" t="str">
        <f>IF(Worksheet!BS217&lt;&gt;"",Worksheet!BS217,"")</f>
        <v>39/43/47</v>
      </c>
      <c r="S221" t="str">
        <f>IF(Worksheet!AL217&lt;&gt;"",Worksheet!AL217,"")</f>
        <v>GMCC</v>
      </c>
      <c r="T221" t="str">
        <f>IF(Worksheet!CJ217&lt;&gt;"",CONCATENATE(Worksheet!CJ217," х ",Worksheet!CL217," х ",Worksheet!CH217),"")</f>
        <v>946 х 410 х 810</v>
      </c>
      <c r="U221" t="str">
        <f>IF(Worksheet!CK217&lt;&gt;"",CONCATENATE(Worksheet!CK217," х ",Worksheet!CM217," х ",Worksheet!CI217),"")</f>
        <v>1090 х 500 х 875</v>
      </c>
      <c r="V221" t="str">
        <f>IF(Worksheet!CN217&lt;&gt;"",CONCATENATE(Worksheet!CN217,"/",Worksheet!CO217),"")</f>
        <v>86/91.6</v>
      </c>
      <c r="W221" s="6"/>
      <c r="X221" s="7">
        <f>IF(Worksheet!AN217&lt;&gt;"",Worksheet!AN217,"")</f>
        <v>9.52</v>
      </c>
      <c r="Y221" s="7">
        <f>IF(Worksheet!AO217&lt;&gt;"",Worksheet!AO217,"")</f>
        <v>19</v>
      </c>
      <c r="Z221" s="17">
        <f>IF(Worksheet!Q217&lt;&gt;"",Worksheet!Q217,"")</f>
        <v>50</v>
      </c>
      <c r="AA221" s="17">
        <f>IF(Worksheet!R217&lt;&gt;"",Worksheet!R217,"")</f>
        <v>25</v>
      </c>
      <c r="AB221" t="str">
        <f>IF(Worksheet!X217&lt;&gt;"",CONCATENATE("от ",Worksheet!X217," до +",Worksheet!Y217),"")</f>
        <v>от -15 до +50</v>
      </c>
      <c r="AC221" t="str">
        <f>IF(Worksheet!Z217&lt;&gt;"",CONCATENATE("от ",Worksheet!Z217," до +",Worksheet!AA217),"")</f>
        <v>от -15 до +24</v>
      </c>
      <c r="AD221" s="6" t="s">
        <v>5245</v>
      </c>
      <c r="AE221" s="17"/>
    </row>
    <row r="222" spans="1:31" x14ac:dyDescent="0.25">
      <c r="A222" s="17" t="str">
        <f>IF(Worksheet!B218&lt;&gt;"",Worksheet!B218,"")</f>
        <v>LESSAR</v>
      </c>
      <c r="B222" t="str">
        <f>Worksheet!E218</f>
        <v>Канальные</v>
      </c>
      <c r="C222" s="21">
        <f>IF(Worksheet!M218&lt;&gt;"",MID(Worksheet!M218,1,FIND(" ",Worksheet!M218,1)-1),"")*1</f>
        <v>14.07</v>
      </c>
      <c r="D222">
        <f t="shared" si="9"/>
        <v>140</v>
      </c>
      <c r="E222" t="str">
        <f>IF(Worksheet!L218&lt;&gt;"",IF(Worksheet!L218="Y","да","нет"),"")</f>
        <v>да</v>
      </c>
      <c r="F222" s="21">
        <f>IF(Worksheet!N218&lt;&gt;"",MID(Worksheet!N218,1,FIND(" ",Worksheet!N218,1)-1),"")*1</f>
        <v>15.53</v>
      </c>
      <c r="G222" s="21">
        <f>IF(Worksheet!O218&lt;&gt;"",MID(Worksheet!O218,1,FIND(" ",Worksheet!O218,1)-1),"")*1</f>
        <v>5.45</v>
      </c>
      <c r="H222" s="21">
        <f>IF(Worksheet!P218&lt;&gt;"",MID(Worksheet!P218,1,FIND(" ",Worksheet!P218,1)-1),"")*1</f>
        <v>4.0880000000000001</v>
      </c>
      <c r="I222" s="6"/>
      <c r="J222" s="6"/>
      <c r="K222" t="str">
        <f>IF(Worksheet!BI218&lt;&gt;"",Worksheet!BI218,"")</f>
        <v>3 / 380 / 50</v>
      </c>
      <c r="L222" t="str">
        <f>IF(Worksheet!AU218&lt;&gt;"",Worksheet!AU218,"")</f>
        <v>R410A</v>
      </c>
      <c r="M222" s="6"/>
      <c r="N222" s="6"/>
      <c r="O222" t="str">
        <f>IF(Worksheet!CR218&lt;&gt;"",CONCATENATE(Worksheet!CR218," х ",Worksheet!CP218," х ",Worksheet!CT218),"")</f>
        <v>1200 х 300 х 874</v>
      </c>
      <c r="P222" t="str">
        <f>IF(Worksheet!CS218&lt;&gt;"",CONCATENATE(Worksheet!CS218," х ",Worksheet!CU218," х ",Worksheet!CQ218),"")</f>
        <v>1405 х 915 х 365</v>
      </c>
      <c r="Q222" t="str">
        <f>IF(Worksheet!CV218&lt;&gt;"",CONCATENATE(Worksheet!CV218," / ",Worksheet!CW218),"")</f>
        <v>47.6 / 55.8</v>
      </c>
      <c r="R222" t="str">
        <f>IF(Worksheet!BS218&lt;&gt;"",Worksheet!BS218,"")</f>
        <v>43/45.5/47.5</v>
      </c>
      <c r="S222" t="str">
        <f>IF(Worksheet!AL218&lt;&gt;"",Worksheet!AL218,"")</f>
        <v>GMCC</v>
      </c>
      <c r="T222" t="str">
        <f>IF(Worksheet!CJ218&lt;&gt;"",CONCATENATE(Worksheet!CJ218," х ",Worksheet!CL218," х ",Worksheet!CH218),"")</f>
        <v>946 х 410 х 810</v>
      </c>
      <c r="U222" t="str">
        <f>IF(Worksheet!CK218&lt;&gt;"",CONCATENATE(Worksheet!CK218," х ",Worksheet!CM218," х ",Worksheet!CI218),"")</f>
        <v>1090 х 500 х 885</v>
      </c>
      <c r="V222" t="str">
        <f>IF(Worksheet!CN218&lt;&gt;"",CONCATENATE(Worksheet!CN218,"/",Worksheet!CO218),"")</f>
        <v>86.7/91.4</v>
      </c>
      <c r="W222" s="6"/>
      <c r="X222" s="7">
        <f>IF(Worksheet!AN218&lt;&gt;"",Worksheet!AN218,"")</f>
        <v>9.52</v>
      </c>
      <c r="Y222" s="7">
        <f>IF(Worksheet!AO218&lt;&gt;"",Worksheet!AO218,"")</f>
        <v>15.9</v>
      </c>
      <c r="Z222" s="17">
        <f>IF(Worksheet!Q218&lt;&gt;"",Worksheet!Q218,"")</f>
        <v>50</v>
      </c>
      <c r="AA222" s="17">
        <f>IF(Worksheet!R218&lt;&gt;"",Worksheet!R218,"")</f>
        <v>30</v>
      </c>
      <c r="AB222" t="str">
        <f>IF(Worksheet!X218&lt;&gt;"",CONCATENATE("от ",Worksheet!X218," до +",Worksheet!Y218),"")</f>
        <v>от -15 до +50</v>
      </c>
      <c r="AC222" t="str">
        <f>IF(Worksheet!Z218&lt;&gt;"",CONCATENATE("от ",Worksheet!Z218," до +",Worksheet!AA218),"")</f>
        <v>от -15 до +24</v>
      </c>
      <c r="AD222" s="6" t="s">
        <v>5245</v>
      </c>
      <c r="AE222" s="17"/>
    </row>
    <row r="223" spans="1:31" x14ac:dyDescent="0.25">
      <c r="A223" s="17" t="str">
        <f>IF(Worksheet!B219&lt;&gt;"",Worksheet!B219,"")</f>
        <v>LESSAR</v>
      </c>
      <c r="B223" t="str">
        <f>Worksheet!E219</f>
        <v>Канальные</v>
      </c>
      <c r="C223" s="21">
        <f>IF(Worksheet!M219&lt;&gt;"",MID(Worksheet!M219,1,FIND(" ",Worksheet!M219,1)-1),"")*1</f>
        <v>16.12</v>
      </c>
      <c r="D223">
        <f t="shared" si="9"/>
        <v>160</v>
      </c>
      <c r="E223" t="str">
        <f>IF(Worksheet!L219&lt;&gt;"",IF(Worksheet!L219="Y","да","нет"),"")</f>
        <v>да</v>
      </c>
      <c r="F223" s="21">
        <f>IF(Worksheet!N219&lt;&gt;"",MID(Worksheet!N219,1,FIND(" ",Worksheet!N219,1)-1),"")*1</f>
        <v>17</v>
      </c>
      <c r="G223" s="21">
        <f>IF(Worksheet!O219&lt;&gt;"",MID(Worksheet!O219,1,FIND(" ",Worksheet!O219,1)-1),"")*1</f>
        <v>6.1760000000000002</v>
      </c>
      <c r="H223" s="21">
        <f>IF(Worksheet!P219&lt;&gt;"",MID(Worksheet!P219,1,FIND(" ",Worksheet!P219,1)-1),"")*1</f>
        <v>4.7089999999999996</v>
      </c>
      <c r="I223" s="6"/>
      <c r="J223" s="6"/>
      <c r="K223" t="str">
        <f>IF(Worksheet!BI219&lt;&gt;"",Worksheet!BI219,"")</f>
        <v>3 / 380 / 50</v>
      </c>
      <c r="L223" t="str">
        <f>IF(Worksheet!AU219&lt;&gt;"",Worksheet!AU219,"")</f>
        <v>R410A</v>
      </c>
      <c r="M223" s="6"/>
      <c r="N223" s="6"/>
      <c r="O223" t="str">
        <f>IF(Worksheet!CR219&lt;&gt;"",CONCATENATE(Worksheet!CR219," х ",Worksheet!CP219," х ",Worksheet!CT219),"")</f>
        <v>1200 х 300 х 874</v>
      </c>
      <c r="P223" t="str">
        <f>IF(Worksheet!CS219&lt;&gt;"",CONCATENATE(Worksheet!CS219," х ",Worksheet!CU219," х ",Worksheet!CQ219),"")</f>
        <v>1405 х 915 х 365</v>
      </c>
      <c r="Q223" t="str">
        <f>IF(Worksheet!CV219&lt;&gt;"",CONCATENATE(Worksheet!CV219," / ",Worksheet!CW219),"")</f>
        <v>47.2 / 56</v>
      </c>
      <c r="R223" t="str">
        <f>IF(Worksheet!BS219&lt;&gt;"",Worksheet!BS219,"")</f>
        <v>41/44/48</v>
      </c>
      <c r="S223" t="str">
        <f>IF(Worksheet!AL219&lt;&gt;"",Worksheet!AL219,"")</f>
        <v>GMCC</v>
      </c>
      <c r="T223" t="str">
        <f>IF(Worksheet!CJ219&lt;&gt;"",CONCATENATE(Worksheet!CJ219," х ",Worksheet!CL219," х ",Worksheet!CH219),"")</f>
        <v>952 х 410 х 1333</v>
      </c>
      <c r="U223" t="str">
        <f>IF(Worksheet!CK219&lt;&gt;"",CONCATENATE(Worksheet!CK219," х ",Worksheet!CM219," х ",Worksheet!CI219),"")</f>
        <v>1095 х 495 х 1480</v>
      </c>
      <c r="V223" t="str">
        <f>IF(Worksheet!CN219&lt;&gt;"",CONCATENATE(Worksheet!CN219,"/",Worksheet!CO219),"")</f>
        <v>107/120.7</v>
      </c>
      <c r="W223" s="6"/>
      <c r="X223" s="7">
        <f>IF(Worksheet!AN219&lt;&gt;"",Worksheet!AN219,"")</f>
        <v>9.52</v>
      </c>
      <c r="Y223" s="7">
        <f>IF(Worksheet!AO219&lt;&gt;"",Worksheet!AO219,"")</f>
        <v>19</v>
      </c>
      <c r="Z223" s="17">
        <f>IF(Worksheet!Q219&lt;&gt;"",Worksheet!Q219,"")</f>
        <v>50</v>
      </c>
      <c r="AA223" s="17">
        <f>IF(Worksheet!R219&lt;&gt;"",Worksheet!R219,"")</f>
        <v>25</v>
      </c>
      <c r="AB223" t="str">
        <f>IF(Worksheet!X219&lt;&gt;"",CONCATENATE("от ",Worksheet!X219," до +",Worksheet!Y219),"")</f>
        <v>от -15 до +50</v>
      </c>
      <c r="AC223" t="str">
        <f>IF(Worksheet!Z219&lt;&gt;"",CONCATENATE("от ",Worksheet!Z219," до +",Worksheet!AA219),"")</f>
        <v>от -15 до +24</v>
      </c>
      <c r="AD223" s="6" t="s">
        <v>5245</v>
      </c>
      <c r="AE223" s="17"/>
    </row>
    <row r="224" spans="1:31" x14ac:dyDescent="0.25">
      <c r="A224" s="17" t="str">
        <f>IF(Worksheet!B220&lt;&gt;"",Worksheet!B220,"")</f>
        <v>LESSAR</v>
      </c>
      <c r="B224" t="str">
        <f>Worksheet!E220</f>
        <v>Канальные</v>
      </c>
      <c r="C224" s="21">
        <f>IF(Worksheet!M220&lt;&gt;"",MID(Worksheet!M220,1,FIND(" ",Worksheet!M220,1)-1),"")*1</f>
        <v>16.12</v>
      </c>
      <c r="D224">
        <f t="shared" si="9"/>
        <v>160</v>
      </c>
      <c r="E224" t="str">
        <f>IF(Worksheet!L220&lt;&gt;"",IF(Worksheet!L220="Y","да","нет"),"")</f>
        <v>да</v>
      </c>
      <c r="F224" s="21">
        <f>IF(Worksheet!N220&lt;&gt;"",MID(Worksheet!N220,1,FIND(" ",Worksheet!N220,1)-1),"")*1</f>
        <v>18.760000000000002</v>
      </c>
      <c r="G224" s="21">
        <f>IF(Worksheet!O220&lt;&gt;"",MID(Worksheet!O220,1,FIND(" ",Worksheet!O220,1)-1),"")*1</f>
        <v>6.3209999999999997</v>
      </c>
      <c r="H224" s="21">
        <f>IF(Worksheet!P220&lt;&gt;"",MID(Worksheet!P220,1,FIND(" ",Worksheet!P220,1)-1),"")*1</f>
        <v>4.8099999999999996</v>
      </c>
      <c r="I224" s="6"/>
      <c r="J224" s="6"/>
      <c r="K224" t="str">
        <f>IF(Worksheet!BI220&lt;&gt;"",Worksheet!BI220,"")</f>
        <v>3 / 380 / 50</v>
      </c>
      <c r="L224" t="str">
        <f>IF(Worksheet!AU220&lt;&gt;"",Worksheet!AU220,"")</f>
        <v>R410A</v>
      </c>
      <c r="M224" s="6"/>
      <c r="N224" s="6"/>
      <c r="O224" t="str">
        <f>IF(Worksheet!CR220&lt;&gt;"",CONCATENATE(Worksheet!CR220," х ",Worksheet!CP220," х ",Worksheet!CT220),"")</f>
        <v>1200 х 300 х 874</v>
      </c>
      <c r="P224" t="str">
        <f>IF(Worksheet!CS220&lt;&gt;"",CONCATENATE(Worksheet!CS220," х ",Worksheet!CU220," х ",Worksheet!CQ220),"")</f>
        <v>1405 х 915 х 365</v>
      </c>
      <c r="Q224" t="str">
        <f>IF(Worksheet!CV220&lt;&gt;"",CONCATENATE(Worksheet!CV220," / ",Worksheet!CW220),"")</f>
        <v>47.4 / 56.1</v>
      </c>
      <c r="R224" t="str">
        <f>IF(Worksheet!BS220&lt;&gt;"",Worksheet!BS220,"")</f>
        <v>46/48.5/50</v>
      </c>
      <c r="S224" t="str">
        <f>IF(Worksheet!AL220&lt;&gt;"",Worksheet!AL220,"")</f>
        <v>GMCC</v>
      </c>
      <c r="T224" t="str">
        <f>IF(Worksheet!CJ220&lt;&gt;"",CONCATENATE(Worksheet!CJ220," х ",Worksheet!CL220," х ",Worksheet!CH220),"")</f>
        <v>952 х 415 х 1333</v>
      </c>
      <c r="U224" t="str">
        <f>IF(Worksheet!CK220&lt;&gt;"",CONCATENATE(Worksheet!CK220," х ",Worksheet!CM220," х ",Worksheet!CI220),"")</f>
        <v>1095 х 495 х 1480</v>
      </c>
      <c r="V224" t="str">
        <f>IF(Worksheet!CN220&lt;&gt;"",CONCATENATE(Worksheet!CN220,"/",Worksheet!CO220),"")</f>
        <v>107.1/121.3</v>
      </c>
      <c r="W224" s="6"/>
      <c r="X224" s="7">
        <f>IF(Worksheet!AN220&lt;&gt;"",Worksheet!AN220,"")</f>
        <v>9.52</v>
      </c>
      <c r="Y224" s="7">
        <f>IF(Worksheet!AO220&lt;&gt;"",Worksheet!AO220,"")</f>
        <v>15.9</v>
      </c>
      <c r="Z224" s="17">
        <f>IF(Worksheet!Q220&lt;&gt;"",Worksheet!Q220,"")</f>
        <v>50</v>
      </c>
      <c r="AA224" s="17">
        <f>IF(Worksheet!R220&lt;&gt;"",Worksheet!R220,"")</f>
        <v>30</v>
      </c>
      <c r="AB224" t="str">
        <f>IF(Worksheet!X220&lt;&gt;"",CONCATENATE("от ",Worksheet!X220," до +",Worksheet!Y220),"")</f>
        <v>от -15 до +50</v>
      </c>
      <c r="AC224" t="str">
        <f>IF(Worksheet!Z220&lt;&gt;"",CONCATENATE("от ",Worksheet!Z220," до +",Worksheet!AA220),"")</f>
        <v>от -15 до +24</v>
      </c>
      <c r="AD224" s="6" t="s">
        <v>5245</v>
      </c>
      <c r="AE224" s="17"/>
    </row>
    <row r="225" spans="1:31" x14ac:dyDescent="0.25">
      <c r="A225" s="17" t="str">
        <f>IF(Worksheet!B221&lt;&gt;"",Worksheet!B221,"")</f>
        <v>LESSAR</v>
      </c>
      <c r="B225" t="str">
        <f>Worksheet!E221</f>
        <v>Канальные</v>
      </c>
      <c r="C225">
        <f>IF(Worksheet!M221&lt;&gt;"",Worksheet!M221,"")</f>
        <v>44</v>
      </c>
      <c r="D225">
        <f t="shared" ref="D225:D256" si="10">ROUND(C225*10,0)</f>
        <v>440</v>
      </c>
      <c r="E225" t="str">
        <f>IF(Worksheet!L221&lt;&gt;"",IF(Worksheet!L221="Y","да","нет"),"")</f>
        <v>нет</v>
      </c>
      <c r="F225">
        <f>IF(Worksheet!N221&lt;&gt;"",Worksheet!N221,"")</f>
        <v>47</v>
      </c>
      <c r="G225">
        <f>IF(Worksheet!O221&lt;&gt;"",Worksheet!O221,"")</f>
        <v>16.3</v>
      </c>
      <c r="H225">
        <f>IF(Worksheet!P221&lt;&gt;"",Worksheet!P221,"")</f>
        <v>15.7</v>
      </c>
      <c r="I225" s="6"/>
      <c r="J225" s="6"/>
      <c r="K225" t="str">
        <f>IF(Worksheet!BI221&lt;&gt;"",Worksheet!BI221,"")</f>
        <v>3 / 380 / 50</v>
      </c>
      <c r="L225" t="str">
        <f>IF(Worksheet!AU221&lt;&gt;"",Worksheet!AU221,"")</f>
        <v>R410A</v>
      </c>
      <c r="M225" s="6"/>
      <c r="N225" s="6"/>
      <c r="O225" t="str">
        <f>IF(Worksheet!CR221&lt;&gt;"",CONCATENATE(Worksheet!CR221," х ",Worksheet!CP221," х ",Worksheet!CT221),"")</f>
        <v>1988 х 669 х 906</v>
      </c>
      <c r="P225" t="str">
        <f>IF(Worksheet!CS221&lt;&gt;"",CONCATENATE(Worksheet!CS221," х ",Worksheet!CU221," х ",Worksheet!CQ221),"")</f>
        <v>2095 х 964 х 800</v>
      </c>
      <c r="Q225" t="str">
        <f>IF(Worksheet!CV221&lt;&gt;"",CONCATENATE(Worksheet!CV221," / ",Worksheet!CW221),"")</f>
        <v>208 / 220</v>
      </c>
      <c r="R225">
        <f>IF(Worksheet!BS221&lt;&gt;"",Worksheet!BS221,"")</f>
        <v>63</v>
      </c>
      <c r="S225" t="str">
        <f>IF(Worksheet!AL221&lt;&gt;"",Worksheet!AL221,"")</f>
        <v>Hitachi x 3</v>
      </c>
      <c r="T225" t="str">
        <f>IF(Worksheet!CJ221&lt;&gt;"",CONCATENATE(Worksheet!CJ221," х ",Worksheet!CL221," х ",Worksheet!CH221),"")</f>
        <v>1250 х 765 х 1615</v>
      </c>
      <c r="U225" t="str">
        <f>IF(Worksheet!CK221&lt;&gt;"",CONCATENATE(Worksheet!CK221," х ",Worksheet!CM221," х ",Worksheet!CI221),"")</f>
        <v>1305 х 820 х 1790</v>
      </c>
      <c r="V225" t="str">
        <f>IF(Worksheet!CN221&lt;&gt;"",CONCATENATE(Worksheet!CN221,"/",Worksheet!CO221),"")</f>
        <v>288/308</v>
      </c>
      <c r="W225" s="6"/>
      <c r="X225" s="7">
        <f>IF(Worksheet!AN221&lt;&gt;"",Worksheet!AN221,"")</f>
        <v>16</v>
      </c>
      <c r="Y225" s="7">
        <f>IF(Worksheet!AO221&lt;&gt;"",Worksheet!AO221,"")</f>
        <v>32</v>
      </c>
      <c r="Z225" s="17">
        <f>IF(Worksheet!Q221&lt;&gt;"",Worksheet!Q221,"")</f>
        <v>50</v>
      </c>
      <c r="AA225" s="17">
        <f>IF(Worksheet!R221&lt;&gt;"",Worksheet!R221,"")</f>
        <v>25</v>
      </c>
      <c r="AB225" t="str">
        <f>IF(Worksheet!X221&lt;&gt;"",CONCATENATE("от ",Worksheet!X221," до +",Worksheet!Y221),"")</f>
        <v>от 17 до +46</v>
      </c>
      <c r="AC225" t="str">
        <f>IF(Worksheet!Z221&lt;&gt;"",CONCATENATE("от ",Worksheet!Z221," до +",Worksheet!AA221),"")</f>
        <v>от -7 до +24</v>
      </c>
      <c r="AD225" s="6" t="s">
        <v>5245</v>
      </c>
      <c r="AE225" s="17"/>
    </row>
    <row r="226" spans="1:31" x14ac:dyDescent="0.25">
      <c r="A226" s="17" t="str">
        <f>IF(Worksheet!B222&lt;&gt;"",Worksheet!B222,"")</f>
        <v>LESSAR</v>
      </c>
      <c r="B226" t="str">
        <f>Worksheet!E222</f>
        <v>Канальные</v>
      </c>
      <c r="C226">
        <f>IF(Worksheet!M222&lt;&gt;"",Worksheet!M222,"")</f>
        <v>56.3</v>
      </c>
      <c r="D226">
        <f t="shared" si="10"/>
        <v>563</v>
      </c>
      <c r="E226" t="str">
        <f>IF(Worksheet!L222&lt;&gt;"",IF(Worksheet!L222="Y","да","нет"),"")</f>
        <v>нет</v>
      </c>
      <c r="F226">
        <f>IF(Worksheet!N222&lt;&gt;"",Worksheet!N222,"")</f>
        <v>58.6</v>
      </c>
      <c r="G226">
        <f>IF(Worksheet!O222&lt;&gt;"",Worksheet!O222,"")</f>
        <v>22</v>
      </c>
      <c r="H226">
        <f>IF(Worksheet!P222&lt;&gt;"",Worksheet!P222,"")</f>
        <v>19.3</v>
      </c>
      <c r="I226" s="6"/>
      <c r="J226" s="6"/>
      <c r="K226" t="str">
        <f>IF(Worksheet!BI222&lt;&gt;"",Worksheet!BI222,"")</f>
        <v>3 / 380 / 50</v>
      </c>
      <c r="L226" t="str">
        <f>IF(Worksheet!AU222&lt;&gt;"",Worksheet!AU222,"")</f>
        <v>R410A</v>
      </c>
      <c r="M226" s="6"/>
      <c r="N226" s="6"/>
      <c r="O226" t="str">
        <f>IF(Worksheet!CR222&lt;&gt;"",CONCATENATE(Worksheet!CR222," х ",Worksheet!CP222," х ",Worksheet!CT222),"")</f>
        <v>1988 х 669 х 906</v>
      </c>
      <c r="P226" t="str">
        <f>IF(Worksheet!CS222&lt;&gt;"",CONCATENATE(Worksheet!CS222," х ",Worksheet!CU222," х ",Worksheet!CQ222),"")</f>
        <v>2095 х 964 х 800</v>
      </c>
      <c r="Q226" t="str">
        <f>IF(Worksheet!CV222&lt;&gt;"",CONCATENATE(Worksheet!CV222," / ",Worksheet!CW222),"")</f>
        <v>215 / 230</v>
      </c>
      <c r="R226">
        <f>IF(Worksheet!BS222&lt;&gt;"",Worksheet!BS222,"")</f>
        <v>65</v>
      </c>
      <c r="S226" t="str">
        <f>IF(Worksheet!AL222&lt;&gt;"",Worksheet!AL222,"")</f>
        <v>Hitachi x 3</v>
      </c>
      <c r="T226" t="str">
        <f>IF(Worksheet!CJ222&lt;&gt;"",CONCATENATE(Worksheet!CJ222," х ",Worksheet!CL222," х ",Worksheet!CH222),"")</f>
        <v>1390 х 765 х 1615</v>
      </c>
      <c r="U226" t="str">
        <f>IF(Worksheet!CK222&lt;&gt;"",CONCATENATE(Worksheet!CK222," х ",Worksheet!CM222," х ",Worksheet!CI222),"")</f>
        <v>1455 х 830 х 1790</v>
      </c>
      <c r="V226" t="str">
        <f>IF(Worksheet!CN222&lt;&gt;"",CONCATENATE(Worksheet!CN222,"/",Worksheet!CO222),"")</f>
        <v>320/336</v>
      </c>
      <c r="W226" s="6"/>
      <c r="X226" s="7">
        <f>IF(Worksheet!AN222&lt;&gt;"",Worksheet!AN222,"")</f>
        <v>16</v>
      </c>
      <c r="Y226" s="7">
        <f>IF(Worksheet!AO222&lt;&gt;"",Worksheet!AO222,"")</f>
        <v>35</v>
      </c>
      <c r="Z226" s="17">
        <f>IF(Worksheet!Q222&lt;&gt;"",Worksheet!Q222,"")</f>
        <v>50</v>
      </c>
      <c r="AA226" s="17">
        <f>IF(Worksheet!R222&lt;&gt;"",Worksheet!R222,"")</f>
        <v>25</v>
      </c>
      <c r="AB226" t="str">
        <f>IF(Worksheet!X222&lt;&gt;"",CONCATENATE("от ",Worksheet!X222," до +",Worksheet!Y222),"")</f>
        <v>от 17 до +46</v>
      </c>
      <c r="AC226" t="str">
        <f>IF(Worksheet!Z222&lt;&gt;"",CONCATENATE("от ",Worksheet!Z222," до +",Worksheet!AA222),"")</f>
        <v>от -7 до +24</v>
      </c>
      <c r="AD226" s="6" t="s">
        <v>5245</v>
      </c>
      <c r="AE226" s="17"/>
    </row>
    <row r="227" spans="1:31" x14ac:dyDescent="0.25">
      <c r="A227" s="17" t="str">
        <f>IF(Worksheet!B223&lt;&gt;"",Worksheet!B223,"")</f>
        <v>LESSAR</v>
      </c>
      <c r="B227" t="str">
        <f>Worksheet!E223</f>
        <v>Канальные</v>
      </c>
      <c r="C227">
        <f>IF(Worksheet!M223&lt;&gt;"",Worksheet!M223,"")</f>
        <v>28.1</v>
      </c>
      <c r="D227">
        <f t="shared" si="10"/>
        <v>281</v>
      </c>
      <c r="E227" t="str">
        <f>IF(Worksheet!L223&lt;&gt;"",IF(Worksheet!L223="Y","да","нет"),"")</f>
        <v>нет</v>
      </c>
      <c r="F227">
        <f>IF(Worksheet!N223&lt;&gt;"",Worksheet!N223,"")</f>
        <v>31.1</v>
      </c>
      <c r="G227">
        <f>IF(Worksheet!O223&lt;&gt;"",Worksheet!O223,"")</f>
        <v>9.6</v>
      </c>
      <c r="H227">
        <f>IF(Worksheet!P223&lt;&gt;"",Worksheet!P223,"")</f>
        <v>10.3</v>
      </c>
      <c r="I227" s="6"/>
      <c r="J227" s="6"/>
      <c r="K227" t="str">
        <f>IF(Worksheet!BI223&lt;&gt;"",Worksheet!BI223,"")</f>
        <v>3 / 380 / 50</v>
      </c>
      <c r="L227" t="str">
        <f>IF(Worksheet!AU223&lt;&gt;"",Worksheet!AU223,"")</f>
        <v>R410A</v>
      </c>
      <c r="M227" s="6"/>
      <c r="N227" s="6"/>
      <c r="O227" t="str">
        <f>IF(Worksheet!CR223&lt;&gt;"",CONCATENATE(Worksheet!CR223," х ",Worksheet!CP223," х ",Worksheet!CT223),"")</f>
        <v>1452 х 462 х 716</v>
      </c>
      <c r="P227" t="str">
        <f>IF(Worksheet!CS223&lt;&gt;"",CONCATENATE(Worksheet!CS223," х ",Worksheet!CU223," х ",Worksheet!CQ223),"")</f>
        <v>1555 х 875 х 500</v>
      </c>
      <c r="Q227" t="str">
        <f>IF(Worksheet!CV223&lt;&gt;"",CONCATENATE(Worksheet!CV223," / ",Worksheet!CW223),"")</f>
        <v>97 / 109</v>
      </c>
      <c r="R227">
        <f>IF(Worksheet!BS223&lt;&gt;"",Worksheet!BS223,"")</f>
        <v>56</v>
      </c>
      <c r="S227" t="str">
        <f>IF(Worksheet!AL223&lt;&gt;"",Worksheet!AL223,"")</f>
        <v>Danfoss</v>
      </c>
      <c r="T227" t="str">
        <f>IF(Worksheet!CJ223&lt;&gt;"",CONCATENATE(Worksheet!CJ223," х ",Worksheet!CL223," х ",Worksheet!CH223),"")</f>
        <v>1312 х 658 х 919</v>
      </c>
      <c r="U227" t="str">
        <f>IF(Worksheet!CK223&lt;&gt;"",CONCATENATE(Worksheet!CK223," х ",Worksheet!CM223," х ",Worksheet!CI223),"")</f>
        <v>1320 х 730 х 1060</v>
      </c>
      <c r="V227" t="str">
        <f>IF(Worksheet!CN223&lt;&gt;"",CONCATENATE(Worksheet!CN223,"/",Worksheet!CO223),"")</f>
        <v>177/192</v>
      </c>
      <c r="W227" s="6"/>
      <c r="X227" s="7">
        <f>IF(Worksheet!AN223&lt;&gt;"",Worksheet!AN223,"")</f>
        <v>12.7</v>
      </c>
      <c r="Y227" s="7">
        <f>IF(Worksheet!AO223&lt;&gt;"",Worksheet!AO223,"")</f>
        <v>25.4</v>
      </c>
      <c r="Z227" s="17">
        <f>IF(Worksheet!Q223&lt;&gt;"",Worksheet!Q223,"")</f>
        <v>50</v>
      </c>
      <c r="AA227" s="17">
        <f>IF(Worksheet!R223&lt;&gt;"",Worksheet!R223,"")</f>
        <v>25</v>
      </c>
      <c r="AB227" t="str">
        <f>IF(Worksheet!X223&lt;&gt;"",CONCATENATE("от ",Worksheet!X223," до +",Worksheet!Y223),"")</f>
        <v>от 17 до +46</v>
      </c>
      <c r="AC227" t="str">
        <f>IF(Worksheet!Z223&lt;&gt;"",CONCATENATE("от ",Worksheet!Z223," до +",Worksheet!AA223),"")</f>
        <v>от -7 до +24</v>
      </c>
      <c r="AD227" s="6" t="s">
        <v>5245</v>
      </c>
      <c r="AE227" s="17"/>
    </row>
    <row r="228" spans="1:31" x14ac:dyDescent="0.25">
      <c r="A228" s="17" t="str">
        <f>IF(Worksheet!B224&lt;&gt;"",Worksheet!B224,"")</f>
        <v>LESSAR</v>
      </c>
      <c r="B228" t="str">
        <f>Worksheet!E224</f>
        <v>Колонные</v>
      </c>
      <c r="C228">
        <f>IF(Worksheet!M224&lt;&gt;"",Worksheet!M224,"")</f>
        <v>7.03</v>
      </c>
      <c r="D228">
        <f t="shared" si="10"/>
        <v>70</v>
      </c>
      <c r="E228" t="str">
        <f>IF(Worksheet!L224&lt;&gt;"",IF(Worksheet!L224="Y","да","нет"),"")</f>
        <v>нет</v>
      </c>
      <c r="F228" s="22">
        <f>IF(Worksheet!N224&lt;&gt;"",MID(Worksheet!N224,1,FIND("+",Worksheet!N224,1)-1),"")*1</f>
        <v>7.62</v>
      </c>
      <c r="G228">
        <f>IF(Worksheet!O224&lt;&gt;"",Worksheet!O224,"")</f>
        <v>2.7</v>
      </c>
      <c r="H228" s="22">
        <f>IF(Worksheet!P224&lt;&gt;"",MID(Worksheet!P224,1,FIND("+",Worksheet!P224,1)-1),"")*1</f>
        <v>2.5</v>
      </c>
      <c r="I228" s="6"/>
      <c r="J228" s="6"/>
      <c r="K228" t="str">
        <f>IF(Worksheet!BI224&lt;&gt;"",Worksheet!BI224,"")</f>
        <v>1 / 220 / 50</v>
      </c>
      <c r="L228" t="str">
        <f>IF(Worksheet!AU224&lt;&gt;"",Worksheet!AU224,"")</f>
        <v>R410A</v>
      </c>
      <c r="M228" s="6"/>
      <c r="N228" s="6"/>
      <c r="O228" t="str">
        <f>IF(Worksheet!CR224&lt;&gt;"",CONCATENATE(Worksheet!CR224," х ",Worksheet!CP224," х ",Worksheet!CT224),"")</f>
        <v>510 х 1750 х 315</v>
      </c>
      <c r="P228" t="str">
        <f>IF(Worksheet!CS224&lt;&gt;"",CONCATENATE(Worksheet!CS224," х ",Worksheet!CU224," х ",Worksheet!CQ224),"")</f>
        <v>655 х 430 х 1910</v>
      </c>
      <c r="Q228" t="str">
        <f>IF(Worksheet!CV224&lt;&gt;"",CONCATENATE(Worksheet!CV224," / ",Worksheet!CW224),"")</f>
        <v>38.4 / 48.7</v>
      </c>
      <c r="R228" t="str">
        <f>IF(Worksheet!BS224&lt;&gt;"",Worksheet!BS224,"")</f>
        <v>40.5/47.5</v>
      </c>
      <c r="S228" t="str">
        <f>IF(Worksheet!AL224&lt;&gt;"",Worksheet!AL224,"")</f>
        <v>GMCC</v>
      </c>
      <c r="T228" t="str">
        <f>IF(Worksheet!CJ224&lt;&gt;"",CONCATENATE(Worksheet!CJ224," х ",Worksheet!CL224," х ",Worksheet!CH224),"")</f>
        <v>845 х 363 х 702</v>
      </c>
      <c r="U228" t="str">
        <f>IF(Worksheet!CK224&lt;&gt;"",CONCATENATE(Worksheet!CK224," х ",Worksheet!CM224," х ",Worksheet!CI224),"")</f>
        <v>965 х 395 х 775</v>
      </c>
      <c r="V228" t="str">
        <f>IF(Worksheet!CN224&lt;&gt;"",CONCATENATE(Worksheet!CN224,"/",Worksheet!CO224),"")</f>
        <v>57.7/61</v>
      </c>
      <c r="W228" s="6"/>
      <c r="X228" s="7">
        <f>IF(Worksheet!AN224&lt;&gt;"",Worksheet!AN224,"")</f>
        <v>9.52</v>
      </c>
      <c r="Y228" s="7">
        <f>IF(Worksheet!AO224&lt;&gt;"",Worksheet!AO224,"")</f>
        <v>15.9</v>
      </c>
      <c r="Z228" s="17">
        <f>IF(Worksheet!Q224&lt;&gt;"",Worksheet!Q224,"")</f>
        <v>25</v>
      </c>
      <c r="AA228" s="17">
        <f>IF(Worksheet!R224&lt;&gt;"",Worksheet!R224,"")</f>
        <v>15</v>
      </c>
      <c r="AB228" t="str">
        <f>IF(Worksheet!X224&lt;&gt;"",CONCATENATE("от ",Worksheet!X224," до +",Worksheet!Y224),"")</f>
        <v>от -15 до +43</v>
      </c>
      <c r="AC228" t="str">
        <f>IF(Worksheet!Z224&lt;&gt;"",CONCATENATE("от ",Worksheet!Z224," до +",Worksheet!AA224),"")</f>
        <v>от -7 до +24</v>
      </c>
      <c r="AD228" s="6" t="s">
        <v>5245</v>
      </c>
      <c r="AE228" s="17"/>
    </row>
    <row r="229" spans="1:31" x14ac:dyDescent="0.25">
      <c r="A229" s="17" t="str">
        <f>IF(Worksheet!B225&lt;&gt;"",Worksheet!B225,"")</f>
        <v>LESSAR</v>
      </c>
      <c r="B229" t="str">
        <f>Worksheet!E225</f>
        <v>Колонные</v>
      </c>
      <c r="C229">
        <f>IF(Worksheet!M225&lt;&gt;"",Worksheet!M225,"")</f>
        <v>7.03</v>
      </c>
      <c r="D229">
        <f t="shared" si="10"/>
        <v>70</v>
      </c>
      <c r="E229" t="str">
        <f>IF(Worksheet!L225&lt;&gt;"",IF(Worksheet!L225="Y","да","нет"),"")</f>
        <v>нет</v>
      </c>
      <c r="F229">
        <f>IF(Worksheet!N225&lt;&gt;"",Worksheet!N225,"")</f>
        <v>7.91</v>
      </c>
      <c r="G229">
        <f>IF(Worksheet!O225&lt;&gt;"",Worksheet!O225,"")</f>
        <v>2.4249999999999998</v>
      </c>
      <c r="H229" s="22">
        <f>IF(Worksheet!P225&lt;&gt;"",Worksheet!P225,"")</f>
        <v>2.4700000000000002</v>
      </c>
      <c r="I229" s="6"/>
      <c r="J229" s="6"/>
      <c r="K229" t="str">
        <f>IF(Worksheet!BI225&lt;&gt;"",Worksheet!BI225,"")</f>
        <v>1 / 220 / 50</v>
      </c>
      <c r="L229" t="str">
        <f>IF(Worksheet!AU225&lt;&gt;"",Worksheet!AU225,"")</f>
        <v>R410A</v>
      </c>
      <c r="M229" s="6"/>
      <c r="N229" s="6"/>
      <c r="O229" t="str">
        <f>IF(Worksheet!CR225&lt;&gt;"",CONCATENATE(Worksheet!CR225," х ",Worksheet!CP225," х ",Worksheet!CT225),"")</f>
        <v>510 х 1750 х 315</v>
      </c>
      <c r="P229" t="str">
        <f>IF(Worksheet!CS225&lt;&gt;"",CONCATENATE(Worksheet!CS225," х ",Worksheet!CU225," х ",Worksheet!CQ225),"")</f>
        <v>1910 х 655 х 430</v>
      </c>
      <c r="Q229" t="str">
        <f>IF(Worksheet!CV225&lt;&gt;"",CONCATENATE(Worksheet!CV225," / ",Worksheet!CW225),"")</f>
        <v>38.4 / 49</v>
      </c>
      <c r="R229" t="str">
        <f>IF(Worksheet!BS225&lt;&gt;"",Worksheet!BS225,"")</f>
        <v>40/47</v>
      </c>
      <c r="S229" t="str">
        <f>IF(Worksheet!AL225&lt;&gt;"",Worksheet!AL225,"")</f>
        <v>GMCC</v>
      </c>
      <c r="T229" t="str">
        <f>IF(Worksheet!CJ225&lt;&gt;"",CONCATENATE(Worksheet!CJ225," х ",Worksheet!CL225," х ",Worksheet!CH225),"")</f>
        <v>890 х 342 х 673</v>
      </c>
      <c r="U229" t="str">
        <f>IF(Worksheet!CK225&lt;&gt;"",CONCATENATE(Worksheet!CK225," х ",Worksheet!CM225," х ",Worksheet!CI225),"")</f>
        <v>995 х 398 х 740</v>
      </c>
      <c r="V229" t="str">
        <f>IF(Worksheet!CN225&lt;&gt;"",CONCATENATE(Worksheet!CN225,"/",Worksheet!CO225),"")</f>
        <v>55.5/58.7</v>
      </c>
      <c r="W229" s="6"/>
      <c r="X229" s="7">
        <f>IF(Worksheet!AN225&lt;&gt;"",Worksheet!AN225,"")</f>
        <v>9.52</v>
      </c>
      <c r="Y229" s="7">
        <f>IF(Worksheet!AO225&lt;&gt;"",Worksheet!AO225,"")</f>
        <v>15.9</v>
      </c>
      <c r="Z229" s="17">
        <f>IF(Worksheet!Q225&lt;&gt;"",Worksheet!Q225,"")</f>
        <v>25</v>
      </c>
      <c r="AA229" s="17">
        <f>IF(Worksheet!R225&lt;&gt;"",Worksheet!R225,"")</f>
        <v>15</v>
      </c>
      <c r="AB229" t="str">
        <f>IF(Worksheet!X225&lt;&gt;"",CONCATENATE("от ",Worksheet!X225," до +",Worksheet!Y225),"")</f>
        <v>от 18 до +43</v>
      </c>
      <c r="AC229" t="str">
        <f>IF(Worksheet!Z225&lt;&gt;"",CONCATENATE("от ",Worksheet!Z225," до +",Worksheet!AA225),"")</f>
        <v>от -7 до +24</v>
      </c>
      <c r="AD229" s="6" t="s">
        <v>5245</v>
      </c>
      <c r="AE229" s="17"/>
    </row>
    <row r="230" spans="1:31" x14ac:dyDescent="0.25">
      <c r="A230" s="17" t="str">
        <f>IF(Worksheet!B226&lt;&gt;"",Worksheet!B226,"")</f>
        <v>LESSAR</v>
      </c>
      <c r="B230" t="str">
        <f>Worksheet!E226</f>
        <v>Колонные</v>
      </c>
      <c r="C230">
        <f>IF(Worksheet!M226&lt;&gt;"",Worksheet!M226,"")</f>
        <v>14.06</v>
      </c>
      <c r="D230">
        <f t="shared" si="10"/>
        <v>141</v>
      </c>
      <c r="E230" t="str">
        <f>IF(Worksheet!L226&lt;&gt;"",IF(Worksheet!L226="Y","да","нет"),"")</f>
        <v>нет</v>
      </c>
      <c r="F230" s="22">
        <f>IF(Worksheet!N226&lt;&gt;"",MID(Worksheet!N226,1,FIND("+",Worksheet!N226,1)-1),"")*1</f>
        <v>15.24</v>
      </c>
      <c r="G230">
        <f>IF(Worksheet!O226&lt;&gt;"",Worksheet!O226,"")</f>
        <v>5.39</v>
      </c>
      <c r="H230" s="22">
        <f>IF(Worksheet!P226&lt;&gt;"",MID(Worksheet!P226,1,FIND("+",Worksheet!P226,1)-1),"")*1</f>
        <v>5.0599999999999996</v>
      </c>
      <c r="I230" s="6"/>
      <c r="J230" s="6"/>
      <c r="K230" t="str">
        <f>IF(Worksheet!BI226&lt;&gt;"",Worksheet!BI226,"")</f>
        <v>3 / 380 / 50</v>
      </c>
      <c r="L230" t="str">
        <f>IF(Worksheet!AU226&lt;&gt;"",Worksheet!AU226,"")</f>
        <v>R410A</v>
      </c>
      <c r="M230" s="6"/>
      <c r="N230" s="6"/>
      <c r="O230" t="str">
        <f>IF(Worksheet!CR226&lt;&gt;"",CONCATENATE(Worksheet!CR226," х ",Worksheet!CP226," х ",Worksheet!CT226),"")</f>
        <v>540 х 1825 х 410</v>
      </c>
      <c r="P230" t="str">
        <f>IF(Worksheet!CS226&lt;&gt;"",CONCATENATE(Worksheet!CS226," х ",Worksheet!CU226," х ",Worksheet!CQ226),"")</f>
        <v>690 х 540 х 1965</v>
      </c>
      <c r="Q230" t="str">
        <f>IF(Worksheet!CV226&lt;&gt;"",CONCATENATE(Worksheet!CV226," / ",Worksheet!CW226),"")</f>
        <v>54.7 / 68.9</v>
      </c>
      <c r="R230" t="str">
        <f>IF(Worksheet!BS226&lt;&gt;"",Worksheet!BS226,"")</f>
        <v>50/53</v>
      </c>
      <c r="S230" t="str">
        <f>IF(Worksheet!AL226&lt;&gt;"",Worksheet!AL226,"")</f>
        <v>PANASONIC</v>
      </c>
      <c r="T230" t="str">
        <f>IF(Worksheet!CJ226&lt;&gt;"",CONCATENATE(Worksheet!CJ226," х ",Worksheet!CL226," х ",Worksheet!CH226),"")</f>
        <v>900 х 350 х 1170</v>
      </c>
      <c r="U230" t="str">
        <f>IF(Worksheet!CK226&lt;&gt;"",CONCATENATE(Worksheet!CK226," х ",Worksheet!CM226," х ",Worksheet!CI226),"")</f>
        <v>1032 х 443 х 1307</v>
      </c>
      <c r="V230" t="str">
        <f>IF(Worksheet!CN226&lt;&gt;"",CONCATENATE(Worksheet!CN226,"/",Worksheet!CO226),"")</f>
        <v>93.2/105</v>
      </c>
      <c r="W230" s="6"/>
      <c r="X230" s="7">
        <f>IF(Worksheet!AN226&lt;&gt;"",Worksheet!AN226,"")</f>
        <v>9.52</v>
      </c>
      <c r="Y230" s="7">
        <f>IF(Worksheet!AO226&lt;&gt;"",Worksheet!AO226,"")</f>
        <v>19</v>
      </c>
      <c r="Z230" s="17">
        <f>IF(Worksheet!Q226&lt;&gt;"",Worksheet!Q226,"")</f>
        <v>50</v>
      </c>
      <c r="AA230" s="17">
        <f>IF(Worksheet!R226&lt;&gt;"",Worksheet!R226,"")</f>
        <v>30</v>
      </c>
      <c r="AB230" t="str">
        <f>IF(Worksheet!X226&lt;&gt;"",CONCATENATE("от ",Worksheet!X226," до +",Worksheet!Y226),"")</f>
        <v>от 18 до +43</v>
      </c>
      <c r="AC230" t="str">
        <f>IF(Worksheet!Z226&lt;&gt;"",CONCATENATE("от ",Worksheet!Z226," до +",Worksheet!AA226),"")</f>
        <v>от -7 до +24</v>
      </c>
      <c r="AD230" s="6" t="s">
        <v>5245</v>
      </c>
      <c r="AE230" s="17"/>
    </row>
    <row r="231" spans="1:31" x14ac:dyDescent="0.25">
      <c r="A231" s="17" t="str">
        <f>IF(Worksheet!B227&lt;&gt;"",Worksheet!B227,"")</f>
        <v>LESSAR</v>
      </c>
      <c r="B231" t="str">
        <f>Worksheet!E227</f>
        <v>Колонные</v>
      </c>
      <c r="C231">
        <f>IF(Worksheet!M227&lt;&gt;"",Worksheet!M227,"")</f>
        <v>14.07</v>
      </c>
      <c r="D231">
        <f t="shared" si="10"/>
        <v>141</v>
      </c>
      <c r="E231" t="str">
        <f>IF(Worksheet!L227&lt;&gt;"",IF(Worksheet!L227="Y","да","нет"),"")</f>
        <v>нет</v>
      </c>
      <c r="F231" s="22">
        <f>IF(Worksheet!N227&lt;&gt;"",MID(Worksheet!N227,1,FIND("+",Worksheet!N227,1)-1),"")*1</f>
        <v>16.12</v>
      </c>
      <c r="G231">
        <f>IF(Worksheet!O227&lt;&gt;"",Worksheet!O227,"")</f>
        <v>5.3</v>
      </c>
      <c r="H231" s="22">
        <f>IF(Worksheet!P227&lt;&gt;"",MID(Worksheet!P227,1,FIND("+",Worksheet!P227,1)-1),"")*1</f>
        <v>5.35</v>
      </c>
      <c r="I231" s="6"/>
      <c r="J231" s="6"/>
      <c r="K231" t="str">
        <f>IF(Worksheet!BI227&lt;&gt;"",Worksheet!BI227,"")</f>
        <v>3 / 380 / 50</v>
      </c>
      <c r="L231" t="str">
        <f>IF(Worksheet!AU227&lt;&gt;"",Worksheet!AU227,"")</f>
        <v>R410A</v>
      </c>
      <c r="M231" s="6"/>
      <c r="N231" s="6"/>
      <c r="O231" t="str">
        <f>IF(Worksheet!CR227&lt;&gt;"",CONCATENATE(Worksheet!CR227," х ",Worksheet!CP227," х ",Worksheet!CT227),"")</f>
        <v>540 х 1800 х 350</v>
      </c>
      <c r="P231" t="str">
        <f>IF(Worksheet!CS227&lt;&gt;"",CONCATENATE(Worksheet!CS227," х ",Worksheet!CU227," х ",Worksheet!CQ227),"")</f>
        <v>685 х 480 х 1910</v>
      </c>
      <c r="Q231" t="str">
        <f>IF(Worksheet!CV227&lt;&gt;"",CONCATENATE(Worksheet!CV227," / ",Worksheet!CW227),"")</f>
        <v>51.3 / 65.5</v>
      </c>
      <c r="R231" t="str">
        <f>IF(Worksheet!BS227&lt;&gt;"",Worksheet!BS227,"")</f>
        <v>46/54</v>
      </c>
      <c r="S231" t="str">
        <f>IF(Worksheet!AL227&lt;&gt;"",Worksheet!AL227,"")</f>
        <v>PANASONIC</v>
      </c>
      <c r="T231" t="str">
        <f>IF(Worksheet!CJ227&lt;&gt;"",CONCATENATE(Worksheet!CJ227," х ",Worksheet!CL227," х ",Worksheet!CH227),"")</f>
        <v>900 х 350 х 1170</v>
      </c>
      <c r="U231" t="str">
        <f>IF(Worksheet!CK227&lt;&gt;"",CONCATENATE(Worksheet!CK227," х ",Worksheet!CM227," х ",Worksheet!CI227),"")</f>
        <v>1032 х 443 х 1307</v>
      </c>
      <c r="V231" t="str">
        <f>IF(Worksheet!CN227&lt;&gt;"",CONCATENATE(Worksheet!CN227,"/",Worksheet!CO227),"")</f>
        <v>98.6/109.3</v>
      </c>
      <c r="W231" s="6"/>
      <c r="X231" s="7">
        <f>IF(Worksheet!AN227&lt;&gt;"",Worksheet!AN227,"")</f>
        <v>9.52</v>
      </c>
      <c r="Y231" s="7">
        <f>IF(Worksheet!AO227&lt;&gt;"",Worksheet!AO227,"")</f>
        <v>19</v>
      </c>
      <c r="Z231" s="17">
        <f>IF(Worksheet!Q227&lt;&gt;"",Worksheet!Q227,"")</f>
        <v>50</v>
      </c>
      <c r="AA231" s="17">
        <f>IF(Worksheet!R227&lt;&gt;"",Worksheet!R227,"")</f>
        <v>30</v>
      </c>
      <c r="AB231" t="str">
        <f>IF(Worksheet!X227&lt;&gt;"",CONCATENATE("от ",Worksheet!X227," до +",Worksheet!Y227),"")</f>
        <v>от 18 до +43</v>
      </c>
      <c r="AC231" t="str">
        <f>IF(Worksheet!Z227&lt;&gt;"",CONCATENATE("от ",Worksheet!Z227," до +",Worksheet!AA227),"")</f>
        <v>от -7 до +24</v>
      </c>
      <c r="AD231" s="6" t="s">
        <v>5245</v>
      </c>
      <c r="AE231" s="17"/>
    </row>
    <row r="232" spans="1:31" x14ac:dyDescent="0.25">
      <c r="A232" s="17" t="str">
        <f>IF(Worksheet!B228&lt;&gt;"",Worksheet!B228,"")</f>
        <v>LESSAR</v>
      </c>
      <c r="B232" t="str">
        <f>Worksheet!E228</f>
        <v>Колонные</v>
      </c>
      <c r="C232">
        <f>IF(Worksheet!M228&lt;&gt;"",Worksheet!M228,"")</f>
        <v>16.96</v>
      </c>
      <c r="D232">
        <f t="shared" si="10"/>
        <v>170</v>
      </c>
      <c r="E232" t="str">
        <f>IF(Worksheet!L228&lt;&gt;"",IF(Worksheet!L228="Y","да","нет"),"")</f>
        <v>нет</v>
      </c>
      <c r="F232" s="22">
        <f>IF(Worksheet!N228&lt;&gt;"",MID(Worksheet!N228,1,FIND("+",Worksheet!N228,1)-1),"")*1</f>
        <v>18.170000000000002</v>
      </c>
      <c r="G232">
        <f>IF(Worksheet!O228&lt;&gt;"",Worksheet!O228,"")</f>
        <v>6.5</v>
      </c>
      <c r="H232" s="22">
        <f>IF(Worksheet!P228&lt;&gt;"",MID(Worksheet!P228,1,FIND("+",Worksheet!P228,1)-1),"")*1</f>
        <v>5.3</v>
      </c>
      <c r="I232" s="6"/>
      <c r="J232" s="6"/>
      <c r="K232" t="str">
        <f>IF(Worksheet!BI228&lt;&gt;"",Worksheet!BI228,"")</f>
        <v>3 / 380 / 50</v>
      </c>
      <c r="L232" t="str">
        <f>IF(Worksheet!AU228&lt;&gt;"",Worksheet!AU228,"")</f>
        <v>R410A</v>
      </c>
      <c r="M232" s="6"/>
      <c r="N232" s="6"/>
      <c r="O232" t="str">
        <f>IF(Worksheet!CR228&lt;&gt;"",CONCATENATE(Worksheet!CR228," х ",Worksheet!CP228," х ",Worksheet!CT228),"")</f>
        <v>600 х 1934 х 455</v>
      </c>
      <c r="P232" t="str">
        <f>IF(Worksheet!CS228&lt;&gt;"",CONCATENATE(Worksheet!CS228," х ",Worksheet!CU228," х ",Worksheet!CQ228),"")</f>
        <v>755 х 585 х 2080</v>
      </c>
      <c r="Q232" t="str">
        <f>IF(Worksheet!CV228&lt;&gt;"",CONCATENATE(Worksheet!CV228," / ",Worksheet!CW228),"")</f>
        <v>68.5 / 88.3</v>
      </c>
      <c r="R232" t="str">
        <f>IF(Worksheet!BS228&lt;&gt;"",Worksheet!BS228,"")</f>
        <v>49.8/53.9</v>
      </c>
      <c r="S232" t="str">
        <f>IF(Worksheet!AL228&lt;&gt;"",Worksheet!AL228,"")</f>
        <v>PANASONIC</v>
      </c>
      <c r="T232" t="str">
        <f>IF(Worksheet!CJ228&lt;&gt;"",CONCATENATE(Worksheet!CJ228," х ",Worksheet!CL228," х ",Worksheet!CH228),"")</f>
        <v>900 х 350 х 1170</v>
      </c>
      <c r="U232" t="str">
        <f>IF(Worksheet!CK228&lt;&gt;"",CONCATENATE(Worksheet!CK228," х ",Worksheet!CM228," х ",Worksheet!CI228),"")</f>
        <v>1032 х 443 х 1307</v>
      </c>
      <c r="V232" t="str">
        <f>IF(Worksheet!CN228&lt;&gt;"",CONCATENATE(Worksheet!CN228,"/",Worksheet!CO228),"")</f>
        <v>97/107</v>
      </c>
      <c r="W232" s="6"/>
      <c r="X232" s="7">
        <f>IF(Worksheet!AN228&lt;&gt;"",Worksheet!AN228,"")</f>
        <v>12.7</v>
      </c>
      <c r="Y232" s="7">
        <f>IF(Worksheet!AO228&lt;&gt;"",Worksheet!AO228,"")</f>
        <v>19</v>
      </c>
      <c r="Z232" s="17">
        <f>IF(Worksheet!Q228&lt;&gt;"",Worksheet!Q228,"")</f>
        <v>50</v>
      </c>
      <c r="AA232" s="17">
        <f>IF(Worksheet!R228&lt;&gt;"",Worksheet!R228,"")</f>
        <v>30</v>
      </c>
      <c r="AB232" t="str">
        <f>IF(Worksheet!X228&lt;&gt;"",CONCATENATE("от ",Worksheet!X228," до +",Worksheet!Y228),"")</f>
        <v>от 18 до +43</v>
      </c>
      <c r="AC232" t="str">
        <f>IF(Worksheet!Z228&lt;&gt;"",CONCATENATE("от ",Worksheet!Z228," до +",Worksheet!AA228),"")</f>
        <v>от -7 до +24</v>
      </c>
      <c r="AD232" s="6" t="s">
        <v>5245</v>
      </c>
      <c r="AE232" s="17"/>
    </row>
    <row r="233" spans="1:31" x14ac:dyDescent="0.25">
      <c r="A233" s="17" t="str">
        <f>IF(Worksheet!B229&lt;&gt;"",Worksheet!B229,"")</f>
        <v>LESSAR</v>
      </c>
      <c r="B233" t="str">
        <f>Worksheet!E229</f>
        <v>Колонные</v>
      </c>
      <c r="C233">
        <f>IF(Worksheet!M229&lt;&gt;"",Worksheet!M229,"")</f>
        <v>17.14</v>
      </c>
      <c r="D233">
        <f t="shared" si="10"/>
        <v>171</v>
      </c>
      <c r="E233" t="str">
        <f>IF(Worksheet!L229&lt;&gt;"",IF(Worksheet!L229="Y","да","нет"),"")</f>
        <v>нет</v>
      </c>
      <c r="F233" s="22">
        <f>IF(Worksheet!N229&lt;&gt;"",MID(Worksheet!N229,1,FIND("+",Worksheet!N229,1)-1),"")*1</f>
        <v>18.899999999999999</v>
      </c>
      <c r="G233">
        <f>IF(Worksheet!O229&lt;&gt;"",Worksheet!O229,"")</f>
        <v>6.7</v>
      </c>
      <c r="H233" s="22">
        <f>IF(Worksheet!P229&lt;&gt;"",MID(Worksheet!P229,1,FIND("+",Worksheet!P229,1)-1),"")*1</f>
        <v>5.59</v>
      </c>
      <c r="I233" s="6"/>
      <c r="J233" s="6"/>
      <c r="K233" t="str">
        <f>IF(Worksheet!BI229&lt;&gt;"",Worksheet!BI229,"")</f>
        <v>3 / 380 / 50</v>
      </c>
      <c r="L233" t="str">
        <f>IF(Worksheet!AU229&lt;&gt;"",Worksheet!AU229,"")</f>
        <v>R410A</v>
      </c>
      <c r="M233" s="6"/>
      <c r="N233" s="6"/>
      <c r="O233" t="str">
        <f>IF(Worksheet!CR229&lt;&gt;"",CONCATENATE(Worksheet!CR229," х ",Worksheet!CP229," х ",Worksheet!CT229),"")</f>
        <v>600 х 1934 х 455</v>
      </c>
      <c r="P233" t="str">
        <f>IF(Worksheet!CS229&lt;&gt;"",CONCATENATE(Worksheet!CS229," х ",Worksheet!CU229," х ",Worksheet!CQ229),"")</f>
        <v>755 х 585 х 2080</v>
      </c>
      <c r="Q233" t="str">
        <f>IF(Worksheet!CV229&lt;&gt;"",CONCATENATE(Worksheet!CV229," / ",Worksheet!CW229),"")</f>
        <v>67 / 85.6</v>
      </c>
      <c r="R233" t="str">
        <f>IF(Worksheet!BS229&lt;&gt;"",Worksheet!BS229,"")</f>
        <v>50/54</v>
      </c>
      <c r="S233" t="str">
        <f>IF(Worksheet!AL229&lt;&gt;"",Worksheet!AL229,"")</f>
        <v>PANASONIC</v>
      </c>
      <c r="T233" t="str">
        <f>IF(Worksheet!CJ229&lt;&gt;"",CONCATENATE(Worksheet!CJ229," х ",Worksheet!CL229," х ",Worksheet!CH229),"")</f>
        <v>900 х 350 х 1170</v>
      </c>
      <c r="U233" t="str">
        <f>IF(Worksheet!CK229&lt;&gt;"",CONCATENATE(Worksheet!CK229," х ",Worksheet!CM229," х ",Worksheet!CI229),"")</f>
        <v>1032 х 443 х 1307</v>
      </c>
      <c r="V233" t="str">
        <f>IF(Worksheet!CN229&lt;&gt;"",CONCATENATE(Worksheet!CN229,"/",Worksheet!CO229),"")</f>
        <v>99.7/111.2</v>
      </c>
      <c r="W233" s="6"/>
      <c r="X233" s="7">
        <f>IF(Worksheet!AN229&lt;&gt;"",Worksheet!AN229,"")</f>
        <v>9.52</v>
      </c>
      <c r="Y233" s="7">
        <f>IF(Worksheet!AO229&lt;&gt;"",Worksheet!AO229,"")</f>
        <v>19</v>
      </c>
      <c r="Z233" s="17">
        <f>IF(Worksheet!Q229&lt;&gt;"",Worksheet!Q229,"")</f>
        <v>50</v>
      </c>
      <c r="AA233" s="17">
        <f>IF(Worksheet!R229&lt;&gt;"",Worksheet!R229,"")</f>
        <v>30</v>
      </c>
      <c r="AB233" t="str">
        <f>IF(Worksheet!X229&lt;&gt;"",CONCATENATE("от ",Worksheet!X229," до +",Worksheet!Y229),"")</f>
        <v>от -15 до +43</v>
      </c>
      <c r="AC233" t="str">
        <f>IF(Worksheet!Z229&lt;&gt;"",CONCATENATE("от ",Worksheet!Z229," до +",Worksheet!AA229),"")</f>
        <v>от -7 до +24</v>
      </c>
      <c r="AD233" s="6" t="s">
        <v>5245</v>
      </c>
      <c r="AE233" s="17"/>
    </row>
    <row r="234" spans="1:31" x14ac:dyDescent="0.25">
      <c r="A234" s="17" t="str">
        <f>IF(Worksheet!B230&lt;&gt;"",Worksheet!B230,"")</f>
        <v>LESSAR</v>
      </c>
      <c r="B234" t="str">
        <f>Worksheet!E230</f>
        <v>Канальные</v>
      </c>
      <c r="C234">
        <f>IF(Worksheet!M230&lt;&gt;"",Worksheet!M230,"")</f>
        <v>2.0499999999999998</v>
      </c>
      <c r="D234">
        <f t="shared" si="10"/>
        <v>21</v>
      </c>
      <c r="E234" t="str">
        <f>IF(Worksheet!L230&lt;&gt;"",IF(Worksheet!L230="Y","да","нет"),"")</f>
        <v>да</v>
      </c>
      <c r="F234">
        <f>IF(Worksheet!N230&lt;&gt;"",Worksheet!N230,"")</f>
        <v>2.34</v>
      </c>
      <c r="G234">
        <f>IF(Worksheet!O230&lt;&gt;"",Worksheet!O230,"")</f>
        <v>0.17</v>
      </c>
      <c r="H234">
        <f>IF(Worksheet!P230&lt;&gt;"",Worksheet!P230,"")</f>
        <v>0.17</v>
      </c>
      <c r="I234" s="6"/>
      <c r="J234" s="6"/>
      <c r="K234" t="str">
        <f>IF(Worksheet!BI230&lt;&gt;"",Worksheet!BI230,"")</f>
        <v>1 / 220 / 50</v>
      </c>
      <c r="L234" t="str">
        <f>IF(Worksheet!AU230&lt;&gt;"",Worksheet!AU230,"")</f>
        <v>R410A</v>
      </c>
      <c r="M234" s="6"/>
      <c r="N234" s="6"/>
      <c r="O234" s="1" t="str">
        <f>IF(Worksheet!BL230&lt;&gt;"",CONCATENATE(Worksheet!BL230," х ",Worksheet!BM230," х ",Worksheet!BK230),"")</f>
        <v>700 х 450 х 200</v>
      </c>
      <c r="P234" s="1" t="str">
        <f>IF(Worksheet!BQ230&lt;&gt;"",CONCATENATE(Worksheet!BQ230," х ",Worksheet!BR230," х ",Worksheet!BP230),"")</f>
        <v>860 х 540 х 270</v>
      </c>
      <c r="Q234" s="1" t="str">
        <f>IF(Worksheet!BN230&lt;&gt;"",CONCATENATE(Worksheet!BN230," / ",Worksheet!BO230),"")</f>
        <v>18 / 22</v>
      </c>
      <c r="R234" t="str">
        <f>IF(Worksheet!BS230&lt;&gt;"",Worksheet!BS230,"")</f>
        <v>27/34/40</v>
      </c>
      <c r="S234" t="str">
        <f>IF(Worksheet!AL230&lt;&gt;"",Worksheet!AL230,"")</f>
        <v/>
      </c>
      <c r="T234" s="1" t="str">
        <f>IF(Worksheet!BL230&lt;&gt;"",CONCATENATE(Worksheet!BL230," х ",Worksheet!BM230," х ",Worksheet!BK230),"")</f>
        <v>700 х 450 х 200</v>
      </c>
      <c r="U234" s="1" t="str">
        <f>IF(Worksheet!BQ230&lt;&gt;"",CONCATENATE(Worksheet!BQ230," х ",Worksheet!BR230," х ",Worksheet!BP230),"")</f>
        <v>860 х 540 х 270</v>
      </c>
      <c r="V234" s="1" t="str">
        <f>IF(Worksheet!BN230&lt;&gt;"",CONCATENATE(Worksheet!BN230," / ",Worksheet!BO230),"")</f>
        <v>18 / 22</v>
      </c>
      <c r="W234" s="6"/>
      <c r="X234" s="7">
        <f>IF(Worksheet!AN230&lt;&gt;"",Worksheet!AN230,"")</f>
        <v>6.35</v>
      </c>
      <c r="Y234" s="7">
        <f>IF(Worksheet!AO230&lt;&gt;"",Worksheet!AO230,"")</f>
        <v>9.52</v>
      </c>
      <c r="Z234" s="17" t="str">
        <f>IF(Worksheet!Q230&lt;&gt;"",Worksheet!Q230,"")</f>
        <v/>
      </c>
      <c r="AA234" s="17" t="str">
        <f>IF(Worksheet!R230&lt;&gt;"",Worksheet!R230,"")</f>
        <v/>
      </c>
      <c r="AB234" t="str">
        <f>IF(Worksheet!X230&lt;&gt;"",CONCATENATE("от ",Worksheet!X230," до +",Worksheet!Y230),"")</f>
        <v/>
      </c>
      <c r="AC234" t="str">
        <f>IF(Worksheet!Z230&lt;&gt;"",CONCATENATE("от ",Worksheet!Z230," до +",Worksheet!AA230),"")</f>
        <v/>
      </c>
      <c r="AD234" s="6" t="s">
        <v>5172</v>
      </c>
      <c r="AE234" s="17"/>
    </row>
    <row r="235" spans="1:31" x14ac:dyDescent="0.25">
      <c r="A235" s="17" t="str">
        <f>IF(Worksheet!B231&lt;&gt;"",Worksheet!B231,"")</f>
        <v>LESSAR</v>
      </c>
      <c r="B235" t="str">
        <f>Worksheet!E231</f>
        <v>Канальные</v>
      </c>
      <c r="C235">
        <f>IF(Worksheet!M231&lt;&gt;"",Worksheet!M231,"")</f>
        <v>2.64</v>
      </c>
      <c r="D235">
        <f t="shared" si="10"/>
        <v>26</v>
      </c>
      <c r="E235" t="str">
        <f>IF(Worksheet!L231&lt;&gt;"",IF(Worksheet!L231="Y","да","нет"),"")</f>
        <v>да</v>
      </c>
      <c r="F235">
        <f>IF(Worksheet!N231&lt;&gt;"",Worksheet!N231,"")</f>
        <v>2.93</v>
      </c>
      <c r="G235">
        <f>IF(Worksheet!O231&lt;&gt;"",Worksheet!O231,"")</f>
        <v>0.18</v>
      </c>
      <c r="H235">
        <f>IF(Worksheet!P231&lt;&gt;"",Worksheet!P231,"")</f>
        <v>0.18</v>
      </c>
      <c r="I235" s="6"/>
      <c r="J235" s="6"/>
      <c r="K235" t="str">
        <f>IF(Worksheet!BI231&lt;&gt;"",Worksheet!BI231,"")</f>
        <v>1 / 220 / 50</v>
      </c>
      <c r="L235" t="str">
        <f>IF(Worksheet!AU231&lt;&gt;"",Worksheet!AU231,"")</f>
        <v>R410A</v>
      </c>
      <c r="M235" s="6"/>
      <c r="N235" s="6"/>
      <c r="O235" s="1" t="str">
        <f>IF(Worksheet!BL231&lt;&gt;"",CONCATENATE(Worksheet!BL231," х ",Worksheet!BM231," х ",Worksheet!BK231),"")</f>
        <v>700 х 450 х 200</v>
      </c>
      <c r="P235" s="1" t="str">
        <f>IF(Worksheet!BQ231&lt;&gt;"",CONCATENATE(Worksheet!BQ231," х ",Worksheet!BR231," х ",Worksheet!BP231),"")</f>
        <v>860 х 540 х 270</v>
      </c>
      <c r="Q235" s="1" t="str">
        <f>IF(Worksheet!BN231&lt;&gt;"",CONCATENATE(Worksheet!BN231," / ",Worksheet!BO231),"")</f>
        <v>18 / 22</v>
      </c>
      <c r="R235" t="str">
        <f>IF(Worksheet!BS231&lt;&gt;"",Worksheet!BS231,"")</f>
        <v>27/34/40</v>
      </c>
      <c r="S235" t="str">
        <f>IF(Worksheet!AL231&lt;&gt;"",Worksheet!AL231,"")</f>
        <v/>
      </c>
      <c r="T235" s="1" t="str">
        <f>IF(Worksheet!BL231&lt;&gt;"",CONCATENATE(Worksheet!BL231," х ",Worksheet!BM231," х ",Worksheet!BK231),"")</f>
        <v>700 х 450 х 200</v>
      </c>
      <c r="U235" s="1" t="str">
        <f>IF(Worksheet!BQ231&lt;&gt;"",CONCATENATE(Worksheet!BQ231," х ",Worksheet!BR231," х ",Worksheet!BP231),"")</f>
        <v>860 х 540 х 270</v>
      </c>
      <c r="V235" s="1" t="str">
        <f>IF(Worksheet!BN231&lt;&gt;"",CONCATENATE(Worksheet!BN231," / ",Worksheet!BO231),"")</f>
        <v>18 / 22</v>
      </c>
      <c r="W235" s="6"/>
      <c r="X235" s="7">
        <f>IF(Worksheet!AN231&lt;&gt;"",Worksheet!AN231,"")</f>
        <v>6.35</v>
      </c>
      <c r="Y235" s="7">
        <f>IF(Worksheet!AO231&lt;&gt;"",Worksheet!AO231,"")</f>
        <v>9.52</v>
      </c>
      <c r="Z235" s="17" t="str">
        <f>IF(Worksheet!Q231&lt;&gt;"",Worksheet!Q231,"")</f>
        <v/>
      </c>
      <c r="AA235" s="17" t="str">
        <f>IF(Worksheet!R231&lt;&gt;"",Worksheet!R231,"")</f>
        <v/>
      </c>
      <c r="AB235" t="str">
        <f>IF(Worksheet!X231&lt;&gt;"",CONCATENATE("от ",Worksheet!X231," до +",Worksheet!Y231),"")</f>
        <v/>
      </c>
      <c r="AC235" t="str">
        <f>IF(Worksheet!Z231&lt;&gt;"",CONCATENATE("от ",Worksheet!Z231," до +",Worksheet!AA231),"")</f>
        <v/>
      </c>
      <c r="AD235" s="6" t="s">
        <v>5172</v>
      </c>
      <c r="AE235" s="17"/>
    </row>
    <row r="236" spans="1:31" x14ac:dyDescent="0.25">
      <c r="A236" s="17" t="str">
        <f>IF(Worksheet!B232&lt;&gt;"",Worksheet!B232,"")</f>
        <v>LESSAR</v>
      </c>
      <c r="B236" t="str">
        <f>Worksheet!E232</f>
        <v>Канальные</v>
      </c>
      <c r="C236">
        <f>IF(Worksheet!M232&lt;&gt;"",Worksheet!M232,"")</f>
        <v>3.52</v>
      </c>
      <c r="D236">
        <f t="shared" si="10"/>
        <v>35</v>
      </c>
      <c r="E236" t="str">
        <f>IF(Worksheet!L232&lt;&gt;"",IF(Worksheet!L232="Y","да","нет"),"")</f>
        <v>да</v>
      </c>
      <c r="F236">
        <f>IF(Worksheet!N232&lt;&gt;"",Worksheet!N232,"")</f>
        <v>3.81</v>
      </c>
      <c r="G236">
        <f>IF(Worksheet!O232&lt;&gt;"",Worksheet!O232,"")</f>
        <v>0.185</v>
      </c>
      <c r="H236">
        <f>IF(Worksheet!P232&lt;&gt;"",Worksheet!P232,"")</f>
        <v>0.185</v>
      </c>
      <c r="I236" s="6"/>
      <c r="J236" s="6"/>
      <c r="K236" t="str">
        <f>IF(Worksheet!BI232&lt;&gt;"",Worksheet!BI232,"")</f>
        <v>1 / 220 / 50</v>
      </c>
      <c r="L236" t="str">
        <f>IF(Worksheet!AU232&lt;&gt;"",Worksheet!AU232,"")</f>
        <v>R410A</v>
      </c>
      <c r="M236" s="6"/>
      <c r="N236" s="6"/>
      <c r="O236" s="1" t="str">
        <f>IF(Worksheet!BL232&lt;&gt;"",CONCATENATE(Worksheet!BL232," х ",Worksheet!BM232," х ",Worksheet!BK232),"")</f>
        <v>700 х 450 х 200</v>
      </c>
      <c r="P236" s="1" t="str">
        <f>IF(Worksheet!BQ232&lt;&gt;"",CONCATENATE(Worksheet!BQ232," х ",Worksheet!BR232," х ",Worksheet!BP232),"")</f>
        <v>860 х 540 х 270</v>
      </c>
      <c r="Q236" s="1" t="str">
        <f>IF(Worksheet!BN232&lt;&gt;"",CONCATENATE(Worksheet!BN232," / ",Worksheet!BO232),"")</f>
        <v>18 / 22</v>
      </c>
      <c r="R236" t="str">
        <f>IF(Worksheet!BS232&lt;&gt;"",Worksheet!BS232,"")</f>
        <v>27.5/34.5/40</v>
      </c>
      <c r="S236" t="str">
        <f>IF(Worksheet!AL232&lt;&gt;"",Worksheet!AL232,"")</f>
        <v/>
      </c>
      <c r="T236" s="1" t="str">
        <f>IF(Worksheet!BL232&lt;&gt;"",CONCATENATE(Worksheet!BL232," х ",Worksheet!BM232," х ",Worksheet!BK232),"")</f>
        <v>700 х 450 х 200</v>
      </c>
      <c r="U236" s="1" t="str">
        <f>IF(Worksheet!BQ232&lt;&gt;"",CONCATENATE(Worksheet!BQ232," х ",Worksheet!BR232," х ",Worksheet!BP232),"")</f>
        <v>860 х 540 х 270</v>
      </c>
      <c r="V236" s="1" t="str">
        <f>IF(Worksheet!BN232&lt;&gt;"",CONCATENATE(Worksheet!BN232," / ",Worksheet!BO232),"")</f>
        <v>18 / 22</v>
      </c>
      <c r="W236" s="6"/>
      <c r="X236" s="7">
        <f>IF(Worksheet!AN232&lt;&gt;"",Worksheet!AN232,"")</f>
        <v>6.35</v>
      </c>
      <c r="Y236" s="7">
        <f>IF(Worksheet!AO232&lt;&gt;"",Worksheet!AO232,"")</f>
        <v>9.52</v>
      </c>
      <c r="Z236" s="17" t="str">
        <f>IF(Worksheet!Q232&lt;&gt;"",Worksheet!Q232,"")</f>
        <v/>
      </c>
      <c r="AA236" s="17" t="str">
        <f>IF(Worksheet!R232&lt;&gt;"",Worksheet!R232,"")</f>
        <v/>
      </c>
      <c r="AB236" t="str">
        <f>IF(Worksheet!X232&lt;&gt;"",CONCATENATE("от ",Worksheet!X232," до +",Worksheet!Y232),"")</f>
        <v/>
      </c>
      <c r="AC236" t="str">
        <f>IF(Worksheet!Z232&lt;&gt;"",CONCATENATE("от ",Worksheet!Z232," до +",Worksheet!AA232),"")</f>
        <v/>
      </c>
      <c r="AD236" s="6" t="s">
        <v>5172</v>
      </c>
      <c r="AE236" s="17"/>
    </row>
    <row r="237" spans="1:31" x14ac:dyDescent="0.25">
      <c r="A237" s="17" t="str">
        <f>IF(Worksheet!B233&lt;&gt;"",Worksheet!B233,"")</f>
        <v>LESSAR</v>
      </c>
      <c r="B237" t="str">
        <f>Worksheet!E233</f>
        <v>Канальные</v>
      </c>
      <c r="C237">
        <f>IF(Worksheet!M233&lt;&gt;"",Worksheet!M233,"")</f>
        <v>3.52</v>
      </c>
      <c r="D237">
        <f t="shared" si="10"/>
        <v>35</v>
      </c>
      <c r="E237" t="str">
        <f>IF(Worksheet!L233&lt;&gt;"",IF(Worksheet!L233="Y","да","нет"),"")</f>
        <v>да</v>
      </c>
      <c r="F237">
        <f>IF(Worksheet!N233&lt;&gt;"",Worksheet!N233,"")</f>
        <v>3.81</v>
      </c>
      <c r="G237">
        <f>IF(Worksheet!O233&lt;&gt;"",Worksheet!O233,"")</f>
        <v>0.185</v>
      </c>
      <c r="H237">
        <f>IF(Worksheet!P233&lt;&gt;"",Worksheet!P233,"")</f>
        <v>0.185</v>
      </c>
      <c r="I237" s="6"/>
      <c r="J237" s="6"/>
      <c r="K237" t="str">
        <f>IF(Worksheet!BI233&lt;&gt;"",Worksheet!BI233,"")</f>
        <v>1 / 220 / 50</v>
      </c>
      <c r="L237" t="str">
        <f>IF(Worksheet!AU233&lt;&gt;"",Worksheet!AU233,"")</f>
        <v>R32</v>
      </c>
      <c r="M237" s="6"/>
      <c r="N237" s="6"/>
      <c r="O237" s="1" t="str">
        <f>IF(Worksheet!BL233&lt;&gt;"",CONCATENATE(Worksheet!BL233," х ",Worksheet!BM233," х ",Worksheet!BK233),"")</f>
        <v>700 х 506 х 200</v>
      </c>
      <c r="P237" s="1" t="str">
        <f>IF(Worksheet!BQ233&lt;&gt;"",CONCATENATE(Worksheet!BQ233," х ",Worksheet!BR233," х ",Worksheet!BP233),"")</f>
        <v>860 х 540 х 285</v>
      </c>
      <c r="Q237" s="1" t="str">
        <f>IF(Worksheet!BN233&lt;&gt;"",CONCATENATE(Worksheet!BN233," / ",Worksheet!BO233),"")</f>
        <v>17.8 / 21.5</v>
      </c>
      <c r="R237" t="str">
        <f>IF(Worksheet!BS233&lt;&gt;"",Worksheet!BS233,"")</f>
        <v>30/32/34.5</v>
      </c>
      <c r="S237" t="str">
        <f>IF(Worksheet!AL233&lt;&gt;"",Worksheet!AL233,"")</f>
        <v/>
      </c>
      <c r="T237" s="1" t="str">
        <f>IF(Worksheet!BL233&lt;&gt;"",CONCATENATE(Worksheet!BL233," х ",Worksheet!BM233," х ",Worksheet!BK233),"")</f>
        <v>700 х 506 х 200</v>
      </c>
      <c r="U237" s="1" t="str">
        <f>IF(Worksheet!BQ233&lt;&gt;"",CONCATENATE(Worksheet!BQ233," х ",Worksheet!BR233," х ",Worksheet!BP233),"")</f>
        <v>860 х 540 х 285</v>
      </c>
      <c r="V237" s="1" t="str">
        <f>IF(Worksheet!BN233&lt;&gt;"",CONCATENATE(Worksheet!BN233," / ",Worksheet!BO233),"")</f>
        <v>17.8 / 21.5</v>
      </c>
      <c r="W237" s="6"/>
      <c r="X237" s="7">
        <f>IF(Worksheet!AN233&lt;&gt;"",Worksheet!AN233,"")</f>
        <v>6.35</v>
      </c>
      <c r="Y237" s="7">
        <f>IF(Worksheet!AO233&lt;&gt;"",Worksheet!AO233,"")</f>
        <v>9.52</v>
      </c>
      <c r="Z237" s="17" t="str">
        <f>IF(Worksheet!Q233&lt;&gt;"",Worksheet!Q233,"")</f>
        <v/>
      </c>
      <c r="AA237" s="17" t="str">
        <f>IF(Worksheet!R233&lt;&gt;"",Worksheet!R233,"")</f>
        <v/>
      </c>
      <c r="AB237" t="str">
        <f>IF(Worksheet!X233&lt;&gt;"",CONCATENATE("от ",Worksheet!X233," до +",Worksheet!Y233),"")</f>
        <v/>
      </c>
      <c r="AC237" t="str">
        <f>IF(Worksheet!Z233&lt;&gt;"",CONCATENATE("от ",Worksheet!Z233," до +",Worksheet!AA233),"")</f>
        <v/>
      </c>
      <c r="AD237" s="6" t="s">
        <v>5172</v>
      </c>
      <c r="AE237" s="17"/>
    </row>
    <row r="238" spans="1:31" x14ac:dyDescent="0.25">
      <c r="A238" s="17" t="str">
        <f>IF(Worksheet!B234&lt;&gt;"",Worksheet!B234,"")</f>
        <v>LESSAR</v>
      </c>
      <c r="B238" t="str">
        <f>Worksheet!E234</f>
        <v>Канальные</v>
      </c>
      <c r="C238">
        <f>IF(Worksheet!M234&lt;&gt;"",Worksheet!M234,"")</f>
        <v>5.28</v>
      </c>
      <c r="D238">
        <f t="shared" si="10"/>
        <v>53</v>
      </c>
      <c r="E238" t="str">
        <f>IF(Worksheet!L234&lt;&gt;"",IF(Worksheet!L234="Y","да","нет"),"")</f>
        <v>да</v>
      </c>
      <c r="F238">
        <f>IF(Worksheet!N234&lt;&gt;"",Worksheet!N234,"")</f>
        <v>5.57</v>
      </c>
      <c r="G238">
        <f>IF(Worksheet!O234&lt;&gt;"",Worksheet!O234,"")</f>
        <v>0.2</v>
      </c>
      <c r="H238">
        <f>IF(Worksheet!P234&lt;&gt;"",Worksheet!P234,"")</f>
        <v>0.2</v>
      </c>
      <c r="I238" s="6"/>
      <c r="J238" s="6"/>
      <c r="K238" t="str">
        <f>IF(Worksheet!BI234&lt;&gt;"",Worksheet!BI234,"")</f>
        <v>1 / 220 / 50</v>
      </c>
      <c r="L238" t="str">
        <f>IF(Worksheet!AU234&lt;&gt;"",Worksheet!AU234,"")</f>
        <v>R410A</v>
      </c>
      <c r="M238" s="6"/>
      <c r="N238" s="6"/>
      <c r="O238" s="1" t="str">
        <f>IF(Worksheet!BL234&lt;&gt;"",CONCATENATE(Worksheet!BL234," х ",Worksheet!BM234," х ",Worksheet!BK234),"")</f>
        <v>880 х 674 х 210</v>
      </c>
      <c r="P238" s="1" t="str">
        <f>IF(Worksheet!BQ234&lt;&gt;"",CONCATENATE(Worksheet!BQ234," х ",Worksheet!BR234," х ",Worksheet!BP234),"")</f>
        <v>1070 х 725 х 280</v>
      </c>
      <c r="Q238" s="1" t="str">
        <f>IF(Worksheet!BN234&lt;&gt;"",CONCATENATE(Worksheet!BN234," / ",Worksheet!BO234),"")</f>
        <v>24.3 / 29.6</v>
      </c>
      <c r="R238" t="str">
        <f>IF(Worksheet!BS234&lt;&gt;"",Worksheet!BS234,"")</f>
        <v>33/38/41.5</v>
      </c>
      <c r="S238" t="str">
        <f>IF(Worksheet!AL234&lt;&gt;"",Worksheet!AL234,"")</f>
        <v/>
      </c>
      <c r="T238" s="1" t="str">
        <f>IF(Worksheet!BL234&lt;&gt;"",CONCATENATE(Worksheet!BL234," х ",Worksheet!BM234," х ",Worksheet!BK234),"")</f>
        <v>880 х 674 х 210</v>
      </c>
      <c r="U238" s="1" t="str">
        <f>IF(Worksheet!BQ234&lt;&gt;"",CONCATENATE(Worksheet!BQ234," х ",Worksheet!BR234," х ",Worksheet!BP234),"")</f>
        <v>1070 х 725 х 280</v>
      </c>
      <c r="V238" s="1" t="str">
        <f>IF(Worksheet!BN234&lt;&gt;"",CONCATENATE(Worksheet!BN234," / ",Worksheet!BO234),"")</f>
        <v>24.3 / 29.6</v>
      </c>
      <c r="W238" s="6"/>
      <c r="X238" s="7">
        <f>IF(Worksheet!AN234&lt;&gt;"",Worksheet!AN234,"")</f>
        <v>6.35</v>
      </c>
      <c r="Y238" s="7">
        <f>IF(Worksheet!AO234&lt;&gt;"",Worksheet!AO234,"")</f>
        <v>12.7</v>
      </c>
      <c r="Z238" s="17" t="str">
        <f>IF(Worksheet!Q234&lt;&gt;"",Worksheet!Q234,"")</f>
        <v/>
      </c>
      <c r="AA238" s="17" t="str">
        <f>IF(Worksheet!R234&lt;&gt;"",Worksheet!R234,"")</f>
        <v/>
      </c>
      <c r="AB238" t="str">
        <f>IF(Worksheet!X234&lt;&gt;"",CONCATENATE("от ",Worksheet!X234," до +",Worksheet!Y234),"")</f>
        <v/>
      </c>
      <c r="AC238" t="str">
        <f>IF(Worksheet!Z234&lt;&gt;"",CONCATENATE("от ",Worksheet!Z234," до +",Worksheet!AA234),"")</f>
        <v/>
      </c>
      <c r="AD238" s="6" t="s">
        <v>5172</v>
      </c>
      <c r="AE238" s="17"/>
    </row>
    <row r="239" spans="1:31" x14ac:dyDescent="0.25">
      <c r="A239" s="17" t="str">
        <f>IF(Worksheet!B235&lt;&gt;"",Worksheet!B235,"")</f>
        <v>LESSAR</v>
      </c>
      <c r="B239" t="str">
        <f>Worksheet!E235</f>
        <v>Канальные</v>
      </c>
      <c r="C239">
        <f>IF(Worksheet!M235&lt;&gt;"",Worksheet!M235,"")</f>
        <v>5.28</v>
      </c>
      <c r="D239">
        <f t="shared" si="10"/>
        <v>53</v>
      </c>
      <c r="E239" t="str">
        <f>IF(Worksheet!L235&lt;&gt;"",IF(Worksheet!L235="Y","да","нет"),"")</f>
        <v>да</v>
      </c>
      <c r="F239">
        <f>IF(Worksheet!N235&lt;&gt;"",Worksheet!N235,"")</f>
        <v>5.57</v>
      </c>
      <c r="G239">
        <f>IF(Worksheet!O235&lt;&gt;"",Worksheet!O235,"")</f>
        <v>0.2</v>
      </c>
      <c r="H239">
        <f>IF(Worksheet!P235&lt;&gt;"",Worksheet!P235,"")</f>
        <v>0.2</v>
      </c>
      <c r="I239" s="6"/>
      <c r="J239" s="6"/>
      <c r="K239" t="str">
        <f>IF(Worksheet!BI235&lt;&gt;"",Worksheet!BI235,"")</f>
        <v>1 / 220 / 50</v>
      </c>
      <c r="L239" t="str">
        <f>IF(Worksheet!AU235&lt;&gt;"",Worksheet!AU235,"")</f>
        <v>R32</v>
      </c>
      <c r="M239" s="6"/>
      <c r="N239" s="6"/>
      <c r="O239" s="1" t="str">
        <f>IF(Worksheet!BL235&lt;&gt;"",CONCATENATE(Worksheet!BL235," х ",Worksheet!BM235," х ",Worksheet!BK235),"")</f>
        <v>880 х 674 х 210</v>
      </c>
      <c r="P239" s="1" t="str">
        <f>IF(Worksheet!BQ235&lt;&gt;"",CONCATENATE(Worksheet!BQ235," х ",Worksheet!BR235," х ",Worksheet!BP235),"")</f>
        <v>1070 х 725 х 280</v>
      </c>
      <c r="Q239" s="1" t="str">
        <f>IF(Worksheet!BN235&lt;&gt;"",CONCATENATE(Worksheet!BN235," / ",Worksheet!BO235),"")</f>
        <v>24.4 / 29.6</v>
      </c>
      <c r="R239" t="str">
        <f>IF(Worksheet!BS235&lt;&gt;"",Worksheet!BS235,"")</f>
        <v>35/39/42</v>
      </c>
      <c r="S239" t="str">
        <f>IF(Worksheet!AL235&lt;&gt;"",Worksheet!AL235,"")</f>
        <v/>
      </c>
      <c r="T239" s="1" t="str">
        <f>IF(Worksheet!BL235&lt;&gt;"",CONCATENATE(Worksheet!BL235," х ",Worksheet!BM235," х ",Worksheet!BK235),"")</f>
        <v>880 х 674 х 210</v>
      </c>
      <c r="U239" s="1" t="str">
        <f>IF(Worksheet!BQ235&lt;&gt;"",CONCATENATE(Worksheet!BQ235," х ",Worksheet!BR235," х ",Worksheet!BP235),"")</f>
        <v>1070 х 725 х 280</v>
      </c>
      <c r="V239" s="1" t="str">
        <f>IF(Worksheet!BN235&lt;&gt;"",CONCATENATE(Worksheet!BN235," / ",Worksheet!BO235),"")</f>
        <v>24.4 / 29.6</v>
      </c>
      <c r="W239" s="6"/>
      <c r="X239" s="7">
        <f>IF(Worksheet!AN235&lt;&gt;"",Worksheet!AN235,"")</f>
        <v>6.35</v>
      </c>
      <c r="Y239" s="7">
        <f>IF(Worksheet!AO235&lt;&gt;"",Worksheet!AO235,"")</f>
        <v>12.7</v>
      </c>
      <c r="Z239" s="17" t="str">
        <f>IF(Worksheet!Q235&lt;&gt;"",Worksheet!Q235,"")</f>
        <v/>
      </c>
      <c r="AA239" s="17" t="str">
        <f>IF(Worksheet!R235&lt;&gt;"",Worksheet!R235,"")</f>
        <v/>
      </c>
      <c r="AB239" t="str">
        <f>IF(Worksheet!X235&lt;&gt;"",CONCATENATE("от ",Worksheet!X235," до +",Worksheet!Y235),"")</f>
        <v/>
      </c>
      <c r="AC239" t="str">
        <f>IF(Worksheet!Z235&lt;&gt;"",CONCATENATE("от ",Worksheet!Z235," до +",Worksheet!AA235),"")</f>
        <v/>
      </c>
      <c r="AD239" s="6" t="s">
        <v>5172</v>
      </c>
      <c r="AE239" s="17"/>
    </row>
    <row r="240" spans="1:31" x14ac:dyDescent="0.25">
      <c r="A240" s="17" t="str">
        <f>IF(Worksheet!B236&lt;&gt;"",Worksheet!B236,"")</f>
        <v>LESSAR</v>
      </c>
      <c r="B240" t="str">
        <f>Worksheet!E236</f>
        <v>Кассетные</v>
      </c>
      <c r="C240">
        <f>IF(Worksheet!M236&lt;&gt;"",Worksheet!M236,"")</f>
        <v>2.63</v>
      </c>
      <c r="D240">
        <f t="shared" si="10"/>
        <v>26</v>
      </c>
      <c r="E240" t="str">
        <f>IF(Worksheet!L236&lt;&gt;"",IF(Worksheet!L236="Y","да","нет"),"")</f>
        <v>да</v>
      </c>
      <c r="F240">
        <f>IF(Worksheet!N236&lt;&gt;"",Worksheet!N236,"")</f>
        <v>2.63</v>
      </c>
      <c r="G240">
        <f>IF(Worksheet!O236&lt;&gt;"",Worksheet!O236,"")</f>
        <v>0</v>
      </c>
      <c r="H240">
        <f>IF(Worksheet!P236&lt;&gt;"",Worksheet!P236,"")</f>
        <v>0</v>
      </c>
      <c r="I240" s="6"/>
      <c r="J240" s="6"/>
      <c r="K240" t="str">
        <f>IF(Worksheet!BI236&lt;&gt;"",Worksheet!BI236,"")</f>
        <v>1 / 220 / 50</v>
      </c>
      <c r="L240" t="str">
        <f>IF(Worksheet!AU236&lt;&gt;"",Worksheet!AU236,"")</f>
        <v/>
      </c>
      <c r="M240" s="6"/>
      <c r="N240" s="6"/>
      <c r="O240" s="1" t="str">
        <f>IF(Worksheet!BL236&lt;&gt;"",CONCATENATE(Worksheet!BL236," х ",Worksheet!BM236," х ",Worksheet!BK236),"")</f>
        <v/>
      </c>
      <c r="P240" s="1" t="str">
        <f>IF(Worksheet!BQ236&lt;&gt;"",CONCATENATE(Worksheet!BQ236," х ",Worksheet!BR236," х ",Worksheet!BP236),"")</f>
        <v/>
      </c>
      <c r="Q240" s="1" t="str">
        <f>IF(Worksheet!BN236&lt;&gt;"",CONCATENATE(Worksheet!BN236," / ",Worksheet!BO236),"")</f>
        <v/>
      </c>
      <c r="R240" t="str">
        <f>IF(Worksheet!BS236&lt;&gt;"",Worksheet!BS236,"")</f>
        <v/>
      </c>
      <c r="S240" t="str">
        <f>IF(Worksheet!AL236&lt;&gt;"",Worksheet!AL236,"")</f>
        <v/>
      </c>
      <c r="T240" s="1" t="str">
        <f>IF(Worksheet!BL236&lt;&gt;"",CONCATENATE(Worksheet!BL236," х ",Worksheet!BM236," х ",Worksheet!BK236),"")</f>
        <v/>
      </c>
      <c r="U240" s="1" t="str">
        <f>IF(Worksheet!BQ236&lt;&gt;"",CONCATENATE(Worksheet!BQ236," х ",Worksheet!BR236," х ",Worksheet!BP236),"")</f>
        <v/>
      </c>
      <c r="V240" s="1" t="str">
        <f>IF(Worksheet!BN236&lt;&gt;"",CONCATENATE(Worksheet!BN236," / ",Worksheet!BO236),"")</f>
        <v/>
      </c>
      <c r="W240" s="6"/>
      <c r="X240" s="7">
        <f>IF(Worksheet!AN236&lt;&gt;"",Worksheet!AN236,"")</f>
        <v>6.35</v>
      </c>
      <c r="Y240" s="7">
        <f>IF(Worksheet!AO236&lt;&gt;"",Worksheet!AO236,"")</f>
        <v>9.5299999999999994</v>
      </c>
      <c r="Z240" s="17" t="str">
        <f>IF(Worksheet!Q236&lt;&gt;"",Worksheet!Q236,"")</f>
        <v/>
      </c>
      <c r="AA240" s="17" t="str">
        <f>IF(Worksheet!R236&lt;&gt;"",Worksheet!R236,"")</f>
        <v/>
      </c>
      <c r="AB240" t="str">
        <f>IF(Worksheet!X236&lt;&gt;"",CONCATENATE("от ",Worksheet!X236," до +",Worksheet!Y236),"")</f>
        <v/>
      </c>
      <c r="AC240" t="str">
        <f>IF(Worksheet!Z236&lt;&gt;"",CONCATENATE("от ",Worksheet!Z236," до +",Worksheet!AA236),"")</f>
        <v/>
      </c>
      <c r="AD240" s="6" t="s">
        <v>5172</v>
      </c>
      <c r="AE240" s="17"/>
    </row>
    <row r="241" spans="1:31" x14ac:dyDescent="0.25">
      <c r="A241" s="17" t="str">
        <f>IF(Worksheet!B237&lt;&gt;"",Worksheet!B237,"")</f>
        <v>LESSAR</v>
      </c>
      <c r="B241" t="str">
        <f>Worksheet!E237</f>
        <v>Кассетные</v>
      </c>
      <c r="C241">
        <f>IF(Worksheet!M237&lt;&gt;"",Worksheet!M237,"")</f>
        <v>3.51</v>
      </c>
      <c r="D241">
        <f t="shared" si="10"/>
        <v>35</v>
      </c>
      <c r="E241" t="str">
        <f>IF(Worksheet!L237&lt;&gt;"",IF(Worksheet!L237="Y","да","нет"),"")</f>
        <v>да</v>
      </c>
      <c r="F241">
        <f>IF(Worksheet!N237&lt;&gt;"",Worksheet!N237,"")</f>
        <v>4.0999999999999996</v>
      </c>
      <c r="G241">
        <f>IF(Worksheet!O237&lt;&gt;"",Worksheet!O237,"")</f>
        <v>0</v>
      </c>
      <c r="H241">
        <f>IF(Worksheet!P237&lt;&gt;"",Worksheet!P237,"")</f>
        <v>0</v>
      </c>
      <c r="I241" s="6"/>
      <c r="J241" s="6"/>
      <c r="K241" t="str">
        <f>IF(Worksheet!BI237&lt;&gt;"",Worksheet!BI237,"")</f>
        <v>1 / 220 / 50</v>
      </c>
      <c r="L241" t="str">
        <f>IF(Worksheet!AU237&lt;&gt;"",Worksheet!AU237,"")</f>
        <v/>
      </c>
      <c r="M241" s="6"/>
      <c r="N241" s="6"/>
      <c r="O241" s="1" t="str">
        <f>IF(Worksheet!BL237&lt;&gt;"",CONCATENATE(Worksheet!BL237," х ",Worksheet!BM237," х ",Worksheet!BK237),"")</f>
        <v/>
      </c>
      <c r="P241" s="1" t="str">
        <f>IF(Worksheet!BQ237&lt;&gt;"",CONCATENATE(Worksheet!BQ237," х ",Worksheet!BR237," х ",Worksheet!BP237),"")</f>
        <v/>
      </c>
      <c r="Q241" s="1" t="str">
        <f>IF(Worksheet!BN237&lt;&gt;"",CONCATENATE(Worksheet!BN237," / ",Worksheet!BO237),"")</f>
        <v/>
      </c>
      <c r="R241" t="str">
        <f>IF(Worksheet!BS237&lt;&gt;"",Worksheet!BS237,"")</f>
        <v/>
      </c>
      <c r="S241" t="str">
        <f>IF(Worksheet!AL237&lt;&gt;"",Worksheet!AL237,"")</f>
        <v/>
      </c>
      <c r="T241" s="1" t="str">
        <f>IF(Worksheet!BL237&lt;&gt;"",CONCATENATE(Worksheet!BL237," х ",Worksheet!BM237," х ",Worksheet!BK237),"")</f>
        <v/>
      </c>
      <c r="U241" s="1" t="str">
        <f>IF(Worksheet!BQ237&lt;&gt;"",CONCATENATE(Worksheet!BQ237," х ",Worksheet!BR237," х ",Worksheet!BP237),"")</f>
        <v/>
      </c>
      <c r="V241" s="1" t="str">
        <f>IF(Worksheet!BN237&lt;&gt;"",CONCATENATE(Worksheet!BN237," / ",Worksheet!BO237),"")</f>
        <v/>
      </c>
      <c r="W241" s="6"/>
      <c r="X241" s="7">
        <f>IF(Worksheet!AN237&lt;&gt;"",Worksheet!AN237,"")</f>
        <v>6.35</v>
      </c>
      <c r="Y241" s="7">
        <f>IF(Worksheet!AO237&lt;&gt;"",Worksheet!AO237,"")</f>
        <v>9.5299999999999994</v>
      </c>
      <c r="Z241" s="17" t="str">
        <f>IF(Worksheet!Q237&lt;&gt;"",Worksheet!Q237,"")</f>
        <v/>
      </c>
      <c r="AA241" s="17" t="str">
        <f>IF(Worksheet!R237&lt;&gt;"",Worksheet!R237,"")</f>
        <v/>
      </c>
      <c r="AB241" t="str">
        <f>IF(Worksheet!X237&lt;&gt;"",CONCATENATE("от ",Worksheet!X237," до +",Worksheet!Y237),"")</f>
        <v/>
      </c>
      <c r="AC241" t="str">
        <f>IF(Worksheet!Z237&lt;&gt;"",CONCATENATE("от ",Worksheet!Z237," до +",Worksheet!AA237),"")</f>
        <v/>
      </c>
      <c r="AD241" s="6" t="s">
        <v>5172</v>
      </c>
      <c r="AE241" s="17"/>
    </row>
    <row r="242" spans="1:31" x14ac:dyDescent="0.25">
      <c r="A242" s="17" t="str">
        <f>IF(Worksheet!B238&lt;&gt;"",Worksheet!B238,"")</f>
        <v>LESSAR</v>
      </c>
      <c r="B242" t="str">
        <f>Worksheet!E238</f>
        <v>Кассетные</v>
      </c>
      <c r="C242" t="str">
        <f>IF(Worksheet!M238&lt;&gt;"",Worksheet!M238,"")</f>
        <v/>
      </c>
      <c r="E242" t="str">
        <f>IF(Worksheet!L238&lt;&gt;"",IF(Worksheet!L238="Y","да","нет"),"")</f>
        <v>да</v>
      </c>
      <c r="F242" t="str">
        <f>IF(Worksheet!N238&lt;&gt;"",Worksheet!N238,"")</f>
        <v/>
      </c>
      <c r="G242" t="str">
        <f>IF(Worksheet!O238&lt;&gt;"",Worksheet!O238,"")</f>
        <v/>
      </c>
      <c r="H242" t="str">
        <f>IF(Worksheet!P238&lt;&gt;"",Worksheet!P238,"")</f>
        <v/>
      </c>
      <c r="I242" s="6"/>
      <c r="J242" s="6"/>
      <c r="K242" t="str">
        <f>IF(Worksheet!BI238&lt;&gt;"",Worksheet!BI238,"")</f>
        <v/>
      </c>
      <c r="L242" t="str">
        <f>IF(Worksheet!AU238&lt;&gt;"",Worksheet!AU238,"")</f>
        <v/>
      </c>
      <c r="M242" s="6"/>
      <c r="N242" s="6"/>
      <c r="O242" s="1" t="str">
        <f>IF(Worksheet!BL238&lt;&gt;"",CONCATENATE(Worksheet!BL238," х ",Worksheet!BM238," х ",Worksheet!BK238),"")</f>
        <v/>
      </c>
      <c r="P242" s="1" t="str">
        <f>IF(Worksheet!BQ238&lt;&gt;"",CONCATENATE(Worksheet!BQ238," х ",Worksheet!BR238," х ",Worksheet!BP238),"")</f>
        <v/>
      </c>
      <c r="Q242" s="1" t="str">
        <f>IF(Worksheet!BN238&lt;&gt;"",CONCATENATE(Worksheet!BN238," / ",Worksheet!BO238),"")</f>
        <v/>
      </c>
      <c r="R242" t="str">
        <f>IF(Worksheet!BS238&lt;&gt;"",Worksheet!BS238,"")</f>
        <v/>
      </c>
      <c r="S242" t="str">
        <f>IF(Worksheet!AL238&lt;&gt;"",Worksheet!AL238,"")</f>
        <v/>
      </c>
      <c r="T242" s="1" t="str">
        <f>IF(Worksheet!BL238&lt;&gt;"",CONCATENATE(Worksheet!BL238," х ",Worksheet!BM238," х ",Worksheet!BK238),"")</f>
        <v/>
      </c>
      <c r="U242" s="1" t="str">
        <f>IF(Worksheet!BQ238&lt;&gt;"",CONCATENATE(Worksheet!BQ238," х ",Worksheet!BR238," х ",Worksheet!BP238),"")</f>
        <v/>
      </c>
      <c r="V242" s="1" t="str">
        <f>IF(Worksheet!BN238&lt;&gt;"",CONCATENATE(Worksheet!BN238," / ",Worksheet!BO238),"")</f>
        <v/>
      </c>
      <c r="W242" s="6"/>
      <c r="X242" s="7" t="str">
        <f>IF(Worksheet!AN238&lt;&gt;"",Worksheet!AN238,"")</f>
        <v/>
      </c>
      <c r="Y242" s="7" t="str">
        <f>IF(Worksheet!AO238&lt;&gt;"",Worksheet!AO238,"")</f>
        <v/>
      </c>
      <c r="Z242" s="17" t="str">
        <f>IF(Worksheet!Q238&lt;&gt;"",Worksheet!Q238,"")</f>
        <v/>
      </c>
      <c r="AA242" s="17" t="str">
        <f>IF(Worksheet!R238&lt;&gt;"",Worksheet!R238,"")</f>
        <v/>
      </c>
      <c r="AB242" t="str">
        <f>IF(Worksheet!X238&lt;&gt;"",CONCATENATE("от ",Worksheet!X238," до +",Worksheet!Y238),"")</f>
        <v/>
      </c>
      <c r="AC242" t="str">
        <f>IF(Worksheet!Z238&lt;&gt;"",CONCATENATE("от ",Worksheet!Z238," до +",Worksheet!AA238),"")</f>
        <v/>
      </c>
      <c r="AD242" s="6" t="s">
        <v>5172</v>
      </c>
      <c r="AE242" s="17"/>
    </row>
    <row r="243" spans="1:31" x14ac:dyDescent="0.25">
      <c r="A243" s="17" t="str">
        <f>IF(Worksheet!B239&lt;&gt;"",Worksheet!B239,"")</f>
        <v>LESSAR</v>
      </c>
      <c r="B243" t="str">
        <f>Worksheet!E239</f>
        <v>Кассетные</v>
      </c>
      <c r="C243">
        <f>IF(Worksheet!M239&lt;&gt;"",Worksheet!M239,"")</f>
        <v>5.27</v>
      </c>
      <c r="D243">
        <f t="shared" si="10"/>
        <v>53</v>
      </c>
      <c r="E243" t="str">
        <f>IF(Worksheet!L239&lt;&gt;"",IF(Worksheet!L239="Y","да","нет"),"")</f>
        <v>да</v>
      </c>
      <c r="F243">
        <f>IF(Worksheet!N239&lt;&gt;"",Worksheet!N239,"")</f>
        <v>5.27</v>
      </c>
      <c r="G243">
        <f>IF(Worksheet!O239&lt;&gt;"",Worksheet!O239,"")</f>
        <v>0</v>
      </c>
      <c r="H243">
        <f>IF(Worksheet!P239&lt;&gt;"",Worksheet!P239,"")</f>
        <v>0</v>
      </c>
      <c r="I243" s="6"/>
      <c r="J243" s="6"/>
      <c r="K243" t="str">
        <f>IF(Worksheet!BI239&lt;&gt;"",Worksheet!BI239,"")</f>
        <v>1 / 220 / 50</v>
      </c>
      <c r="L243" t="str">
        <f>IF(Worksheet!AU239&lt;&gt;"",Worksheet!AU239,"")</f>
        <v/>
      </c>
      <c r="M243" s="6"/>
      <c r="N243" s="6"/>
      <c r="O243" s="1" t="str">
        <f>IF(Worksheet!BL239&lt;&gt;"",CONCATENATE(Worksheet!BL239," х ",Worksheet!BM239," х ",Worksheet!BK239),"")</f>
        <v/>
      </c>
      <c r="P243" s="1" t="str">
        <f>IF(Worksheet!BQ239&lt;&gt;"",CONCATENATE(Worksheet!BQ239," х ",Worksheet!BR239," х ",Worksheet!BP239),"")</f>
        <v/>
      </c>
      <c r="Q243" s="1" t="str">
        <f>IF(Worksheet!BN239&lt;&gt;"",CONCATENATE(Worksheet!BN239," / ",Worksheet!BO239),"")</f>
        <v/>
      </c>
      <c r="R243" t="str">
        <f>IF(Worksheet!BS239&lt;&gt;"",Worksheet!BS239,"")</f>
        <v/>
      </c>
      <c r="S243" t="str">
        <f>IF(Worksheet!AL239&lt;&gt;"",Worksheet!AL239,"")</f>
        <v/>
      </c>
      <c r="T243" s="1" t="str">
        <f>IF(Worksheet!BL239&lt;&gt;"",CONCATENATE(Worksheet!BL239," х ",Worksheet!BM239," х ",Worksheet!BK239),"")</f>
        <v/>
      </c>
      <c r="U243" s="1" t="str">
        <f>IF(Worksheet!BQ239&lt;&gt;"",CONCATENATE(Worksheet!BQ239," х ",Worksheet!BR239," х ",Worksheet!BP239),"")</f>
        <v/>
      </c>
      <c r="V243" s="1" t="str">
        <f>IF(Worksheet!BN239&lt;&gt;"",CONCATENATE(Worksheet!BN239," / ",Worksheet!BO239),"")</f>
        <v/>
      </c>
      <c r="W243" s="6"/>
      <c r="X243" s="7">
        <f>IF(Worksheet!AN239&lt;&gt;"",Worksheet!AN239,"")</f>
        <v>6.35</v>
      </c>
      <c r="Y243" s="7">
        <f>IF(Worksheet!AO239&lt;&gt;"",Worksheet!AO239,"")</f>
        <v>12.7</v>
      </c>
      <c r="Z243" s="17" t="str">
        <f>IF(Worksheet!Q239&lt;&gt;"",Worksheet!Q239,"")</f>
        <v/>
      </c>
      <c r="AA243" s="17" t="str">
        <f>IF(Worksheet!R239&lt;&gt;"",Worksheet!R239,"")</f>
        <v/>
      </c>
      <c r="AB243" t="str">
        <f>IF(Worksheet!X239&lt;&gt;"",CONCATENATE("от ",Worksheet!X239," до +",Worksheet!Y239),"")</f>
        <v/>
      </c>
      <c r="AC243" t="str">
        <f>IF(Worksheet!Z239&lt;&gt;"",CONCATENATE("от ",Worksheet!Z239," до +",Worksheet!AA239),"")</f>
        <v/>
      </c>
      <c r="AD243" s="6" t="s">
        <v>5172</v>
      </c>
      <c r="AE243" s="17"/>
    </row>
    <row r="244" spans="1:31" x14ac:dyDescent="0.25">
      <c r="A244" s="17" t="str">
        <f>IF(Worksheet!B240&lt;&gt;"",Worksheet!B240,"")</f>
        <v>LESSAR</v>
      </c>
      <c r="B244" t="str">
        <f>Worksheet!E240</f>
        <v>Кассетные</v>
      </c>
      <c r="C244" t="str">
        <f>IF(Worksheet!M240&lt;&gt;"",Worksheet!M240,"")</f>
        <v/>
      </c>
      <c r="E244" t="str">
        <f>IF(Worksheet!L240&lt;&gt;"",IF(Worksheet!L240="Y","да","нет"),"")</f>
        <v>да</v>
      </c>
      <c r="F244" t="str">
        <f>IF(Worksheet!N240&lt;&gt;"",Worksheet!N240,"")</f>
        <v/>
      </c>
      <c r="G244" t="str">
        <f>IF(Worksheet!O240&lt;&gt;"",Worksheet!O240,"")</f>
        <v/>
      </c>
      <c r="H244" t="str">
        <f>IF(Worksheet!P240&lt;&gt;"",Worksheet!P240,"")</f>
        <v/>
      </c>
      <c r="I244" s="6"/>
      <c r="J244" s="6"/>
      <c r="K244" t="str">
        <f>IF(Worksheet!BI240&lt;&gt;"",Worksheet!BI240,"")</f>
        <v/>
      </c>
      <c r="L244" t="str">
        <f>IF(Worksheet!AU240&lt;&gt;"",Worksheet!AU240,"")</f>
        <v/>
      </c>
      <c r="M244" s="6"/>
      <c r="N244" s="6"/>
      <c r="O244" s="1" t="str">
        <f>IF(Worksheet!BL240&lt;&gt;"",CONCATENATE(Worksheet!BL240," х ",Worksheet!BM240," х ",Worksheet!BK240),"")</f>
        <v/>
      </c>
      <c r="P244" s="1" t="str">
        <f>IF(Worksheet!BQ240&lt;&gt;"",CONCATENATE(Worksheet!BQ240," х ",Worksheet!BR240," х ",Worksheet!BP240),"")</f>
        <v/>
      </c>
      <c r="Q244" s="1" t="str">
        <f>IF(Worksheet!BN240&lt;&gt;"",CONCATENATE(Worksheet!BN240," / ",Worksheet!BO240),"")</f>
        <v/>
      </c>
      <c r="R244" t="str">
        <f>IF(Worksheet!BS240&lt;&gt;"",Worksheet!BS240,"")</f>
        <v/>
      </c>
      <c r="S244" t="str">
        <f>IF(Worksheet!AL240&lt;&gt;"",Worksheet!AL240,"")</f>
        <v/>
      </c>
      <c r="T244" s="1" t="str">
        <f>IF(Worksheet!BL240&lt;&gt;"",CONCATENATE(Worksheet!BL240," х ",Worksheet!BM240," х ",Worksheet!BK240),"")</f>
        <v/>
      </c>
      <c r="U244" s="1" t="str">
        <f>IF(Worksheet!BQ240&lt;&gt;"",CONCATENATE(Worksheet!BQ240," х ",Worksheet!BR240," х ",Worksheet!BP240),"")</f>
        <v/>
      </c>
      <c r="V244" s="1" t="str">
        <f>IF(Worksheet!BN240&lt;&gt;"",CONCATENATE(Worksheet!BN240," / ",Worksheet!BO240),"")</f>
        <v/>
      </c>
      <c r="W244" s="6"/>
      <c r="X244" s="7" t="str">
        <f>IF(Worksheet!AN240&lt;&gt;"",Worksheet!AN240,"")</f>
        <v/>
      </c>
      <c r="Y244" s="7" t="str">
        <f>IF(Worksheet!AO240&lt;&gt;"",Worksheet!AO240,"")</f>
        <v/>
      </c>
      <c r="Z244" s="17" t="str">
        <f>IF(Worksheet!Q240&lt;&gt;"",Worksheet!Q240,"")</f>
        <v/>
      </c>
      <c r="AA244" s="17" t="str">
        <f>IF(Worksheet!R240&lt;&gt;"",Worksheet!R240,"")</f>
        <v/>
      </c>
      <c r="AB244" t="str">
        <f>IF(Worksheet!X240&lt;&gt;"",CONCATENATE("от ",Worksheet!X240," до +",Worksheet!Y240),"")</f>
        <v/>
      </c>
      <c r="AC244" t="str">
        <f>IF(Worksheet!Z240&lt;&gt;"",CONCATENATE("от ",Worksheet!Z240," до +",Worksheet!AA240),"")</f>
        <v/>
      </c>
      <c r="AD244" s="6" t="s">
        <v>5172</v>
      </c>
      <c r="AE244" s="17"/>
    </row>
    <row r="245" spans="1:31" x14ac:dyDescent="0.25">
      <c r="A245" s="17" t="str">
        <f>IF(Worksheet!B241&lt;&gt;"",Worksheet!B241,"")</f>
        <v>LESSAR</v>
      </c>
      <c r="B245" t="str">
        <f>Worksheet!E241</f>
        <v>Мульти сплит система</v>
      </c>
      <c r="C245">
        <f>IF(Worksheet!M241&lt;&gt;"",Worksheet!M241,"")</f>
        <v>2.7</v>
      </c>
      <c r="D245">
        <f t="shared" si="10"/>
        <v>27</v>
      </c>
      <c r="E245" t="str">
        <f>IF(Worksheet!L241&lt;&gt;"",IF(Worksheet!L241="Y","да","нет"),"")</f>
        <v>да</v>
      </c>
      <c r="F245">
        <f>IF(Worksheet!N241&lt;&gt;"",Worksheet!N241,"")</f>
        <v>2.93</v>
      </c>
      <c r="G245">
        <f>IF(Worksheet!O241&lt;&gt;"",Worksheet!O241,"")</f>
        <v>1.7999999999999999E-2</v>
      </c>
      <c r="H245">
        <f>IF(Worksheet!P241&lt;&gt;"",Worksheet!P241,"")</f>
        <v>1.7999999999999999E-2</v>
      </c>
      <c r="I245" s="6"/>
      <c r="J245" s="6"/>
      <c r="K245" t="str">
        <f>IF(Worksheet!BI241&lt;&gt;"",Worksheet!BI241,"")</f>
        <v>1 / 220 / 50</v>
      </c>
      <c r="L245" t="str">
        <f>IF(Worksheet!AU241&lt;&gt;"",Worksheet!AU241,"")</f>
        <v>R410</v>
      </c>
      <c r="M245" s="6"/>
      <c r="N245" s="6"/>
      <c r="O245" s="1" t="str">
        <f>IF(Worksheet!BL241&lt;&gt;"",CONCATENATE(Worksheet!BL241," х ",Worksheet!BM241," х ",Worksheet!BK241),"")</f>
        <v>722 х 187 х 290</v>
      </c>
      <c r="P245" s="1" t="str">
        <f>IF(Worksheet!BQ241&lt;&gt;"",CONCATENATE(Worksheet!BQ241," х ",Worksheet!BR241," х ",Worksheet!BP241),"")</f>
        <v>790 х 270 х 370</v>
      </c>
      <c r="Q245" s="1" t="str">
        <f>IF(Worksheet!BN241&lt;&gt;"",CONCATENATE(Worksheet!BN241," / ",Worksheet!BO241),"")</f>
        <v>7.3 / 9.7</v>
      </c>
      <c r="R245" t="str">
        <f>IF(Worksheet!BS241&lt;&gt;"",Worksheet!BS241,"")</f>
        <v>22/33/37</v>
      </c>
      <c r="S245" t="str">
        <f>IF(Worksheet!AL241&lt;&gt;"",Worksheet!AL241,"")</f>
        <v/>
      </c>
      <c r="T245" s="1" t="str">
        <f>IF(Worksheet!BL241&lt;&gt;"",CONCATENATE(Worksheet!BL241," х ",Worksheet!BM241," х ",Worksheet!BK241),"")</f>
        <v>722 х 187 х 290</v>
      </c>
      <c r="U245" s="1" t="str">
        <f>IF(Worksheet!BQ241&lt;&gt;"",CONCATENATE(Worksheet!BQ241," х ",Worksheet!BR241," х ",Worksheet!BP241),"")</f>
        <v>790 х 270 х 370</v>
      </c>
      <c r="V245" s="1" t="str">
        <f>IF(Worksheet!BN241&lt;&gt;"",CONCATENATE(Worksheet!BN241," / ",Worksheet!BO241),"")</f>
        <v>7.3 / 9.7</v>
      </c>
      <c r="W245" s="6"/>
      <c r="X245" s="7">
        <f>IF(Worksheet!AN241&lt;&gt;"",Worksheet!AN241,"")</f>
        <v>6.35</v>
      </c>
      <c r="Y245" s="7">
        <f>IF(Worksheet!AO241&lt;&gt;"",Worksheet!AO241,"")</f>
        <v>9.52</v>
      </c>
      <c r="Z245" s="17" t="str">
        <f>IF(Worksheet!Q241&lt;&gt;"",Worksheet!Q241,"")</f>
        <v/>
      </c>
      <c r="AA245" s="17" t="str">
        <f>IF(Worksheet!R241&lt;&gt;"",Worksheet!R241,"")</f>
        <v/>
      </c>
      <c r="AB245" t="str">
        <f>IF(Worksheet!X241&lt;&gt;"",CONCATENATE("от ",Worksheet!X241," до +",Worksheet!Y241),"")</f>
        <v/>
      </c>
      <c r="AC245" t="str">
        <f>IF(Worksheet!Z241&lt;&gt;"",CONCATENATE("от ",Worksheet!Z241," до +",Worksheet!AA241),"")</f>
        <v/>
      </c>
      <c r="AD245" s="6" t="s">
        <v>5172</v>
      </c>
      <c r="AE245" s="17"/>
    </row>
    <row r="246" spans="1:31" x14ac:dyDescent="0.25">
      <c r="A246" s="17" t="str">
        <f>IF(Worksheet!B242&lt;&gt;"",Worksheet!B242,"")</f>
        <v>LESSAR</v>
      </c>
      <c r="B246" t="str">
        <f>Worksheet!E242</f>
        <v>Мульти сплит система</v>
      </c>
      <c r="C246">
        <f>IF(Worksheet!M242&lt;&gt;"",Worksheet!M242,"")</f>
        <v>3.52</v>
      </c>
      <c r="D246">
        <f t="shared" si="10"/>
        <v>35</v>
      </c>
      <c r="E246" t="str">
        <f>IF(Worksheet!L242&lt;&gt;"",IF(Worksheet!L242="Y","да","нет"),"")</f>
        <v>да</v>
      </c>
      <c r="F246">
        <f>IF(Worksheet!N242&lt;&gt;"",Worksheet!N242,"")</f>
        <v>3.81</v>
      </c>
      <c r="G246">
        <f>IF(Worksheet!O242&lt;&gt;"",Worksheet!O242,"")</f>
        <v>2.1000000000000001E-2</v>
      </c>
      <c r="H246">
        <f>IF(Worksheet!P242&lt;&gt;"",Worksheet!P242,"")</f>
        <v>2.1000000000000001E-2</v>
      </c>
      <c r="I246" s="6"/>
      <c r="J246" s="6"/>
      <c r="K246" t="str">
        <f>IF(Worksheet!BI242&lt;&gt;"",Worksheet!BI242,"")</f>
        <v>1 / 220 / 50</v>
      </c>
      <c r="L246" t="str">
        <f>IF(Worksheet!AU242&lt;&gt;"",Worksheet!AU242,"")</f>
        <v>R410</v>
      </c>
      <c r="M246" s="6"/>
      <c r="N246" s="6"/>
      <c r="O246" s="1" t="str">
        <f>IF(Worksheet!BL242&lt;&gt;"",CONCATENATE(Worksheet!BL242," х ",Worksheet!BM242," х ",Worksheet!BK242),"")</f>
        <v>802 х 189 х 297</v>
      </c>
      <c r="P246" s="1" t="str">
        <f>IF(Worksheet!BQ242&lt;&gt;"",CONCATENATE(Worksheet!BQ242," х ",Worksheet!BR242," х ",Worksheet!BP242),"")</f>
        <v>875 х 285 х 375</v>
      </c>
      <c r="Q246" s="1" t="str">
        <f>IF(Worksheet!BN242&lt;&gt;"",CONCATENATE(Worksheet!BN242," / ",Worksheet!BO242),"")</f>
        <v>8.2 / 10.7</v>
      </c>
      <c r="R246" t="str">
        <f>IF(Worksheet!BS242&lt;&gt;"",Worksheet!BS242,"")</f>
        <v>22/32/38</v>
      </c>
      <c r="S246" t="str">
        <f>IF(Worksheet!AL242&lt;&gt;"",Worksheet!AL242,"")</f>
        <v/>
      </c>
      <c r="T246" s="1" t="str">
        <f>IF(Worksheet!BL242&lt;&gt;"",CONCATENATE(Worksheet!BL242," х ",Worksheet!BM242," х ",Worksheet!BK242),"")</f>
        <v>802 х 189 х 297</v>
      </c>
      <c r="U246" s="1" t="str">
        <f>IF(Worksheet!BQ242&lt;&gt;"",CONCATENATE(Worksheet!BQ242," х ",Worksheet!BR242," х ",Worksheet!BP242),"")</f>
        <v>875 х 285 х 375</v>
      </c>
      <c r="V246" s="1" t="str">
        <f>IF(Worksheet!BN242&lt;&gt;"",CONCATENATE(Worksheet!BN242," / ",Worksheet!BO242),"")</f>
        <v>8.2 / 10.7</v>
      </c>
      <c r="W246" s="6"/>
      <c r="X246" s="7">
        <f>IF(Worksheet!AN242&lt;&gt;"",Worksheet!AN242,"")</f>
        <v>6.35</v>
      </c>
      <c r="Y246" s="7">
        <f>IF(Worksheet!AO242&lt;&gt;"",Worksheet!AO242,"")</f>
        <v>9.52</v>
      </c>
      <c r="Z246" s="17" t="str">
        <f>IF(Worksheet!Q242&lt;&gt;"",Worksheet!Q242,"")</f>
        <v/>
      </c>
      <c r="AA246" s="17" t="str">
        <f>IF(Worksheet!R242&lt;&gt;"",Worksheet!R242,"")</f>
        <v/>
      </c>
      <c r="AB246" t="str">
        <f>IF(Worksheet!X242&lt;&gt;"",CONCATENATE("от ",Worksheet!X242," до +",Worksheet!Y242),"")</f>
        <v/>
      </c>
      <c r="AC246" t="str">
        <f>IF(Worksheet!Z242&lt;&gt;"",CONCATENATE("от ",Worksheet!Z242," до +",Worksheet!AA242),"")</f>
        <v/>
      </c>
      <c r="AD246" s="6" t="s">
        <v>5172</v>
      </c>
      <c r="AE246" s="17"/>
    </row>
    <row r="247" spans="1:31" x14ac:dyDescent="0.25">
      <c r="A247" s="17" t="str">
        <f>IF(Worksheet!B243&lt;&gt;"",Worksheet!B243,"")</f>
        <v>LESSAR</v>
      </c>
      <c r="B247" t="str">
        <f>Worksheet!E243</f>
        <v>Мульти сплит система</v>
      </c>
      <c r="C247">
        <f>IF(Worksheet!M243&lt;&gt;"",Worksheet!M243,"")</f>
        <v>3.52</v>
      </c>
      <c r="D247">
        <f t="shared" si="10"/>
        <v>35</v>
      </c>
      <c r="E247" t="str">
        <f>IF(Worksheet!L243&lt;&gt;"",IF(Worksheet!L243="Y","да","нет"),"")</f>
        <v>да</v>
      </c>
      <c r="F247">
        <f>IF(Worksheet!N243&lt;&gt;"",Worksheet!N243,"")</f>
        <v>3.81</v>
      </c>
      <c r="G247">
        <f>IF(Worksheet!O243&lt;&gt;"",Worksheet!O243,"")</f>
        <v>2.3E-2</v>
      </c>
      <c r="H247">
        <f>IF(Worksheet!P243&lt;&gt;"",Worksheet!P243,"")</f>
        <v>2.3E-2</v>
      </c>
      <c r="I247" s="6"/>
      <c r="J247" s="6"/>
      <c r="K247" t="str">
        <f>IF(Worksheet!BI243&lt;&gt;"",Worksheet!BI243,"")</f>
        <v>1 / 220 / 50</v>
      </c>
      <c r="L247" t="str">
        <f>IF(Worksheet!AU243&lt;&gt;"",Worksheet!AU243,"")</f>
        <v>R32</v>
      </c>
      <c r="M247" s="6"/>
      <c r="N247" s="6"/>
      <c r="O247" s="1" t="str">
        <f>IF(Worksheet!BL243&lt;&gt;"",CONCATENATE(Worksheet!BL243," х ",Worksheet!BM243," х ",Worksheet!BK243),"")</f>
        <v>802 х 189 х 297</v>
      </c>
      <c r="P247" s="1" t="str">
        <f>IF(Worksheet!BQ243&lt;&gt;"",CONCATENATE(Worksheet!BQ243," х ",Worksheet!BR243," х ",Worksheet!BP243),"")</f>
        <v>875 х 285 х 375</v>
      </c>
      <c r="Q247" s="1" t="str">
        <f>IF(Worksheet!BN243&lt;&gt;"",CONCATENATE(Worksheet!BN243," / ",Worksheet!BO243),"")</f>
        <v>8.6 / 11.1</v>
      </c>
      <c r="R247" t="str">
        <f>IF(Worksheet!BS243&lt;&gt;"",Worksheet!BS243,"")</f>
        <v>25/35/42</v>
      </c>
      <c r="S247" t="str">
        <f>IF(Worksheet!AL243&lt;&gt;"",Worksheet!AL243,"")</f>
        <v/>
      </c>
      <c r="T247" s="1" t="str">
        <f>IF(Worksheet!BL243&lt;&gt;"",CONCATENATE(Worksheet!BL243," х ",Worksheet!BM243," х ",Worksheet!BK243),"")</f>
        <v>802 х 189 х 297</v>
      </c>
      <c r="U247" s="1" t="str">
        <f>IF(Worksheet!BQ243&lt;&gt;"",CONCATENATE(Worksheet!BQ243," х ",Worksheet!BR243," х ",Worksheet!BP243),"")</f>
        <v>875 х 285 х 375</v>
      </c>
      <c r="V247" s="1" t="str">
        <f>IF(Worksheet!BN243&lt;&gt;"",CONCATENATE(Worksheet!BN243," / ",Worksheet!BO243),"")</f>
        <v>8.6 / 11.1</v>
      </c>
      <c r="W247" s="6"/>
      <c r="X247" s="7">
        <f>IF(Worksheet!AN243&lt;&gt;"",Worksheet!AN243,"")</f>
        <v>6.35</v>
      </c>
      <c r="Y247" s="7">
        <f>IF(Worksheet!AO243&lt;&gt;"",Worksheet!AO243,"")</f>
        <v>9.52</v>
      </c>
      <c r="Z247" s="17" t="str">
        <f>IF(Worksheet!Q243&lt;&gt;"",Worksheet!Q243,"")</f>
        <v/>
      </c>
      <c r="AA247" s="17" t="str">
        <f>IF(Worksheet!R243&lt;&gt;"",Worksheet!R243,"")</f>
        <v/>
      </c>
      <c r="AB247" t="str">
        <f>IF(Worksheet!X243&lt;&gt;"",CONCATENATE("от ",Worksheet!X243," до +",Worksheet!Y243),"")</f>
        <v/>
      </c>
      <c r="AC247" t="str">
        <f>IF(Worksheet!Z243&lt;&gt;"",CONCATENATE("от ",Worksheet!Z243," до +",Worksheet!AA243),"")</f>
        <v/>
      </c>
      <c r="AD247" s="6" t="s">
        <v>5172</v>
      </c>
      <c r="AE247" s="17"/>
    </row>
    <row r="248" spans="1:31" x14ac:dyDescent="0.25">
      <c r="A248" s="17" t="str">
        <f>IF(Worksheet!B244&lt;&gt;"",Worksheet!B244,"")</f>
        <v>LESSAR</v>
      </c>
      <c r="B248" t="str">
        <f>Worksheet!E244</f>
        <v>Мульти сплит система</v>
      </c>
      <c r="C248">
        <f>IF(Worksheet!M244&lt;&gt;"",Worksheet!M244,"")</f>
        <v>5.28</v>
      </c>
      <c r="D248">
        <f t="shared" si="10"/>
        <v>53</v>
      </c>
      <c r="E248" t="str">
        <f>IF(Worksheet!L244&lt;&gt;"",IF(Worksheet!L244="Y","да","нет"),"")</f>
        <v>да</v>
      </c>
      <c r="F248">
        <f>IF(Worksheet!N244&lt;&gt;"",Worksheet!N244,"")</f>
        <v>5.57</v>
      </c>
      <c r="G248">
        <f>IF(Worksheet!O244&lt;&gt;"",Worksheet!O244,"")</f>
        <v>2.4E-2</v>
      </c>
      <c r="H248">
        <f>IF(Worksheet!P244&lt;&gt;"",Worksheet!P244,"")</f>
        <v>2.4E-2</v>
      </c>
      <c r="I248" s="6"/>
      <c r="J248" s="6"/>
      <c r="K248" t="str">
        <f>IF(Worksheet!BI244&lt;&gt;"",Worksheet!BI244,"")</f>
        <v>1 / 220 / 50</v>
      </c>
      <c r="L248" t="str">
        <f>IF(Worksheet!AU244&lt;&gt;"",Worksheet!AU244,"")</f>
        <v>R410</v>
      </c>
      <c r="M248" s="6"/>
      <c r="N248" s="6"/>
      <c r="O248" s="1" t="str">
        <f>IF(Worksheet!BL244&lt;&gt;"",CONCATENATE(Worksheet!BL244," х ",Worksheet!BM244," х ",Worksheet!BK244),"")</f>
        <v>965 х 215 х 319</v>
      </c>
      <c r="P248" s="1" t="str">
        <f>IF(Worksheet!BQ244&lt;&gt;"",CONCATENATE(Worksheet!BQ244," х ",Worksheet!BR244," х ",Worksheet!BP244),"")</f>
        <v>1045 х 305 х 405</v>
      </c>
      <c r="Q248" s="1" t="str">
        <f>IF(Worksheet!BN244&lt;&gt;"",CONCATENATE(Worksheet!BN244," / ",Worksheet!BO244),"")</f>
        <v>9 / 12.2</v>
      </c>
      <c r="R248" t="str">
        <f>IF(Worksheet!BS244&lt;&gt;"",Worksheet!BS244,"")</f>
        <v>27/33/42</v>
      </c>
      <c r="S248" t="str">
        <f>IF(Worksheet!AL244&lt;&gt;"",Worksheet!AL244,"")</f>
        <v/>
      </c>
      <c r="T248" s="1" t="str">
        <f>IF(Worksheet!BL244&lt;&gt;"",CONCATENATE(Worksheet!BL244," х ",Worksheet!BM244," х ",Worksheet!BK244),"")</f>
        <v>965 х 215 х 319</v>
      </c>
      <c r="U248" s="1" t="str">
        <f>IF(Worksheet!BQ244&lt;&gt;"",CONCATENATE(Worksheet!BQ244," х ",Worksheet!BR244," х ",Worksheet!BP244),"")</f>
        <v>1045 х 305 х 405</v>
      </c>
      <c r="V248" s="1" t="str">
        <f>IF(Worksheet!BN244&lt;&gt;"",CONCATENATE(Worksheet!BN244," / ",Worksheet!BO244),"")</f>
        <v>9 / 12.2</v>
      </c>
      <c r="W248" s="6"/>
      <c r="X248" s="7">
        <f>IF(Worksheet!AN244&lt;&gt;"",Worksheet!AN244,"")</f>
        <v>6.35</v>
      </c>
      <c r="Y248" s="7">
        <f>IF(Worksheet!AO244&lt;&gt;"",Worksheet!AO244,"")</f>
        <v>12.7</v>
      </c>
      <c r="Z248" s="17" t="str">
        <f>IF(Worksheet!Q244&lt;&gt;"",Worksheet!Q244,"")</f>
        <v/>
      </c>
      <c r="AA248" s="17" t="str">
        <f>IF(Worksheet!R244&lt;&gt;"",Worksheet!R244,"")</f>
        <v/>
      </c>
      <c r="AB248" t="str">
        <f>IF(Worksheet!X244&lt;&gt;"",CONCATENATE("от ",Worksheet!X244," до +",Worksheet!Y244),"")</f>
        <v/>
      </c>
      <c r="AC248" t="str">
        <f>IF(Worksheet!Z244&lt;&gt;"",CONCATENATE("от ",Worksheet!Z244," до +",Worksheet!AA244),"")</f>
        <v/>
      </c>
      <c r="AD248" s="6" t="s">
        <v>5172</v>
      </c>
      <c r="AE248" s="17"/>
    </row>
    <row r="249" spans="1:31" x14ac:dyDescent="0.25">
      <c r="A249" s="17" t="str">
        <f>IF(Worksheet!B245&lt;&gt;"",Worksheet!B245,"")</f>
        <v>LESSAR</v>
      </c>
      <c r="B249" t="str">
        <f>Worksheet!E245</f>
        <v>Мульти сплит система</v>
      </c>
      <c r="C249">
        <f>IF(Worksheet!M245&lt;&gt;"",Worksheet!M245,"")</f>
        <v>5.28</v>
      </c>
      <c r="D249">
        <f t="shared" si="10"/>
        <v>53</v>
      </c>
      <c r="E249" t="str">
        <f>IF(Worksheet!L245&lt;&gt;"",IF(Worksheet!L245="Y","да","нет"),"")</f>
        <v>да</v>
      </c>
      <c r="F249">
        <f>IF(Worksheet!N245&lt;&gt;"",Worksheet!N245,"")</f>
        <v>5.57</v>
      </c>
      <c r="G249">
        <f>IF(Worksheet!O245&lt;&gt;"",Worksheet!O245,"")</f>
        <v>3.5000000000000003E-2</v>
      </c>
      <c r="H249">
        <f>IF(Worksheet!P245&lt;&gt;"",Worksheet!P245,"")</f>
        <v>3.5000000000000003E-2</v>
      </c>
      <c r="I249" s="6"/>
      <c r="J249" s="6"/>
      <c r="K249" t="str">
        <f>IF(Worksheet!BI245&lt;&gt;"",Worksheet!BI245,"")</f>
        <v>1 / 220 / 50</v>
      </c>
      <c r="L249" t="str">
        <f>IF(Worksheet!AU245&lt;&gt;"",Worksheet!AU245,"")</f>
        <v>R32</v>
      </c>
      <c r="M249" s="6"/>
      <c r="N249" s="6"/>
      <c r="O249" s="1" t="str">
        <f>IF(Worksheet!BL245&lt;&gt;"",CONCATENATE(Worksheet!BL245," х ",Worksheet!BM245," х ",Worksheet!BK245),"")</f>
        <v>965 х 215 х 319</v>
      </c>
      <c r="P249" s="1" t="str">
        <f>IF(Worksheet!BQ245&lt;&gt;"",CONCATENATE(Worksheet!BQ245," х ",Worksheet!BR245," х ",Worksheet!BP245),"")</f>
        <v>1045 х 305 х 405</v>
      </c>
      <c r="Q249" s="1" t="str">
        <f>IF(Worksheet!BN245&lt;&gt;"",CONCATENATE(Worksheet!BN245," / ",Worksheet!BO245),"")</f>
        <v>10.9 / 14.2</v>
      </c>
      <c r="R249" t="str">
        <f>IF(Worksheet!BS245&lt;&gt;"",Worksheet!BS245,"")</f>
        <v>28.5/30.5/41.5</v>
      </c>
      <c r="S249" t="str">
        <f>IF(Worksheet!AL245&lt;&gt;"",Worksheet!AL245,"")</f>
        <v/>
      </c>
      <c r="T249" s="1" t="str">
        <f>IF(Worksheet!BL245&lt;&gt;"",CONCATENATE(Worksheet!BL245," х ",Worksheet!BM245," х ",Worksheet!BK245),"")</f>
        <v>965 х 215 х 319</v>
      </c>
      <c r="U249" s="1" t="str">
        <f>IF(Worksheet!BQ245&lt;&gt;"",CONCATENATE(Worksheet!BQ245," х ",Worksheet!BR245," х ",Worksheet!BP245),"")</f>
        <v>1045 х 305 х 405</v>
      </c>
      <c r="V249" s="1" t="str">
        <f>IF(Worksheet!BN245&lt;&gt;"",CONCATENATE(Worksheet!BN245," / ",Worksheet!BO245),"")</f>
        <v>10.9 / 14.2</v>
      </c>
      <c r="W249" s="6"/>
      <c r="X249" s="7">
        <f>IF(Worksheet!AN245&lt;&gt;"",Worksheet!AN245,"")</f>
        <v>6.35</v>
      </c>
      <c r="Y249" s="7">
        <f>IF(Worksheet!AO245&lt;&gt;"",Worksheet!AO245,"")</f>
        <v>12.7</v>
      </c>
      <c r="Z249" s="17" t="str">
        <f>IF(Worksheet!Q245&lt;&gt;"",Worksheet!Q245,"")</f>
        <v/>
      </c>
      <c r="AA249" s="17" t="str">
        <f>IF(Worksheet!R245&lt;&gt;"",Worksheet!R245,"")</f>
        <v/>
      </c>
      <c r="AB249" t="str">
        <f>IF(Worksheet!X245&lt;&gt;"",CONCATENATE("от ",Worksheet!X245," до +",Worksheet!Y245),"")</f>
        <v/>
      </c>
      <c r="AC249" t="str">
        <f>IF(Worksheet!Z245&lt;&gt;"",CONCATENATE("от ",Worksheet!Z245," до +",Worksheet!AA245),"")</f>
        <v/>
      </c>
      <c r="AD249" s="6" t="s">
        <v>5172</v>
      </c>
      <c r="AE249" s="17"/>
    </row>
    <row r="250" spans="1:31" x14ac:dyDescent="0.25">
      <c r="A250" s="17" t="str">
        <f>IF(Worksheet!B246&lt;&gt;"",Worksheet!B246,"")</f>
        <v>LESSAR</v>
      </c>
      <c r="B250" t="str">
        <f>Worksheet!E246</f>
        <v>Мульти сплит система</v>
      </c>
      <c r="C250">
        <f>IF(Worksheet!M246&lt;&gt;"",Worksheet!M246,"")</f>
        <v>7.33</v>
      </c>
      <c r="D250">
        <f t="shared" si="10"/>
        <v>73</v>
      </c>
      <c r="E250" t="str">
        <f>IF(Worksheet!L246&lt;&gt;"",IF(Worksheet!L246="Y","да","нет"),"")</f>
        <v>да</v>
      </c>
      <c r="F250">
        <f>IF(Worksheet!N246&lt;&gt;"",Worksheet!N246,"")</f>
        <v>7.62</v>
      </c>
      <c r="G250">
        <f>IF(Worksheet!O246&lt;&gt;"",Worksheet!O246,"")</f>
        <v>3.5000000000000003E-2</v>
      </c>
      <c r="H250">
        <f>IF(Worksheet!P246&lt;&gt;"",Worksheet!P246,"")</f>
        <v>3.5000000000000003E-2</v>
      </c>
      <c r="I250" s="6"/>
      <c r="J250" s="6"/>
      <c r="K250" t="str">
        <f>IF(Worksheet!BI246&lt;&gt;"",Worksheet!BI246,"")</f>
        <v>1 / 220 / 50</v>
      </c>
      <c r="L250" t="str">
        <f>IF(Worksheet!AU246&lt;&gt;"",Worksheet!AU246,"")</f>
        <v>R410</v>
      </c>
      <c r="M250" s="6"/>
      <c r="N250" s="6"/>
      <c r="O250" s="1" t="str">
        <f>IF(Worksheet!BL246&lt;&gt;"",CONCATENATE(Worksheet!BL246," х ",Worksheet!BM246," х ",Worksheet!BK246),"")</f>
        <v>1080 х 226 х 335</v>
      </c>
      <c r="P250" s="1" t="str">
        <f>IF(Worksheet!BQ246&lt;&gt;"",CONCATENATE(Worksheet!BQ246," х ",Worksheet!BR246," х ",Worksheet!BP246),"")</f>
        <v>1155 х 415 х 315</v>
      </c>
      <c r="Q250" s="1" t="str">
        <f>IF(Worksheet!BN246&lt;&gt;"",CONCATENATE(Worksheet!BN246," / ",Worksheet!BO246),"")</f>
        <v>12 / 15.2</v>
      </c>
      <c r="R250" t="str">
        <f>IF(Worksheet!BS246&lt;&gt;"",Worksheet!BS246,"")</f>
        <v>30/40/46</v>
      </c>
      <c r="S250" t="str">
        <f>IF(Worksheet!AL246&lt;&gt;"",Worksheet!AL246,"")</f>
        <v/>
      </c>
      <c r="T250" s="1" t="str">
        <f>IF(Worksheet!BL246&lt;&gt;"",CONCATENATE(Worksheet!BL246," х ",Worksheet!BM246," х ",Worksheet!BK246),"")</f>
        <v>1080 х 226 х 335</v>
      </c>
      <c r="U250" s="1" t="str">
        <f>IF(Worksheet!BQ246&lt;&gt;"",CONCATENATE(Worksheet!BQ246," х ",Worksheet!BR246," х ",Worksheet!BP246),"")</f>
        <v>1155 х 415 х 315</v>
      </c>
      <c r="V250" s="1" t="str">
        <f>IF(Worksheet!BN246&lt;&gt;"",CONCATENATE(Worksheet!BN246," / ",Worksheet!BO246),"")</f>
        <v>12 / 15.2</v>
      </c>
      <c r="W250" s="6"/>
      <c r="X250" s="7">
        <f>IF(Worksheet!AN246&lt;&gt;"",Worksheet!AN246,"")</f>
        <v>9.52</v>
      </c>
      <c r="Y250" s="7">
        <f>IF(Worksheet!AO246&lt;&gt;"",Worksheet!AO246,"")</f>
        <v>15.9</v>
      </c>
      <c r="Z250" s="17" t="str">
        <f>IF(Worksheet!Q246&lt;&gt;"",Worksheet!Q246,"")</f>
        <v/>
      </c>
      <c r="AA250" s="17" t="str">
        <f>IF(Worksheet!R246&lt;&gt;"",Worksheet!R246,"")</f>
        <v/>
      </c>
      <c r="AB250" t="str">
        <f>IF(Worksheet!X246&lt;&gt;"",CONCATENATE("от ",Worksheet!X246," до +",Worksheet!Y246),"")</f>
        <v/>
      </c>
      <c r="AC250" t="str">
        <f>IF(Worksheet!Z246&lt;&gt;"",CONCATENATE("от ",Worksheet!Z246," до +",Worksheet!AA246),"")</f>
        <v/>
      </c>
      <c r="AD250" s="6" t="s">
        <v>5172</v>
      </c>
      <c r="AE250" s="17"/>
    </row>
    <row r="251" spans="1:31" x14ac:dyDescent="0.25">
      <c r="A251" s="17" t="str">
        <f>IF(Worksheet!B247&lt;&gt;"",Worksheet!B247,"")</f>
        <v>LESSAR</v>
      </c>
      <c r="B251" t="str">
        <f>Worksheet!E247</f>
        <v>Мульти сплит система</v>
      </c>
      <c r="C251">
        <f>IF(Worksheet!M247&lt;&gt;"",Worksheet!M247,"")</f>
        <v>7.03</v>
      </c>
      <c r="D251">
        <f t="shared" si="10"/>
        <v>70</v>
      </c>
      <c r="E251" t="str">
        <f>IF(Worksheet!L247&lt;&gt;"",IF(Worksheet!L247="Y","да","нет"),"")</f>
        <v>да</v>
      </c>
      <c r="F251">
        <f>IF(Worksheet!N247&lt;&gt;"",Worksheet!N247,"")</f>
        <v>7.33</v>
      </c>
      <c r="G251">
        <f>IF(Worksheet!O247&lt;&gt;"",Worksheet!O247,"")</f>
        <v>7.1999999999999995E-2</v>
      </c>
      <c r="H251">
        <f>IF(Worksheet!P247&lt;&gt;"",Worksheet!P247,"")</f>
        <v>7.1999999999999995E-2</v>
      </c>
      <c r="I251" s="6"/>
      <c r="J251" s="6"/>
      <c r="K251" t="str">
        <f>IF(Worksheet!BI247&lt;&gt;"",Worksheet!BI247,"")</f>
        <v>1 / 220 / 50</v>
      </c>
      <c r="L251" t="str">
        <f>IF(Worksheet!AU247&lt;&gt;"",Worksheet!AU247,"")</f>
        <v>R32</v>
      </c>
      <c r="M251" s="6"/>
      <c r="N251" s="6"/>
      <c r="O251" s="1" t="str">
        <f>IF(Worksheet!BL247&lt;&gt;"",CONCATENATE(Worksheet!BL247," х ",Worksheet!BM247," х ",Worksheet!BK247),"")</f>
        <v>1080 х 226 х 335</v>
      </c>
      <c r="P251" s="1" t="str">
        <f>IF(Worksheet!BQ247&lt;&gt;"",CONCATENATE(Worksheet!BQ247," х ",Worksheet!BR247," х ",Worksheet!BP247),"")</f>
        <v>1155 х 415 х 315</v>
      </c>
      <c r="Q251" s="1" t="str">
        <f>IF(Worksheet!BN247&lt;&gt;"",CONCATENATE(Worksheet!BN247," / ",Worksheet!BO247),"")</f>
        <v>13.7 / 17.3</v>
      </c>
      <c r="R251" t="str">
        <f>IF(Worksheet!BS247&lt;&gt;"",Worksheet!BS247,"")</f>
        <v>29/38.5/45</v>
      </c>
      <c r="S251" t="str">
        <f>IF(Worksheet!AL247&lt;&gt;"",Worksheet!AL247,"")</f>
        <v/>
      </c>
      <c r="T251" s="1" t="str">
        <f>IF(Worksheet!BL247&lt;&gt;"",CONCATENATE(Worksheet!BL247," х ",Worksheet!BM247," х ",Worksheet!BK247),"")</f>
        <v>1080 х 226 х 335</v>
      </c>
      <c r="U251" s="1" t="str">
        <f>IF(Worksheet!BQ247&lt;&gt;"",CONCATENATE(Worksheet!BQ247," х ",Worksheet!BR247," х ",Worksheet!BP247),"")</f>
        <v>1155 х 415 х 315</v>
      </c>
      <c r="V251" s="1" t="str">
        <f>IF(Worksheet!BN247&lt;&gt;"",CONCATENATE(Worksheet!BN247," / ",Worksheet!BO247),"")</f>
        <v>13.7 / 17.3</v>
      </c>
      <c r="W251" s="6"/>
      <c r="X251" s="7">
        <f>IF(Worksheet!AN247&lt;&gt;"",Worksheet!AN247,"")</f>
        <v>9.52</v>
      </c>
      <c r="Y251" s="7">
        <f>IF(Worksheet!AO247&lt;&gt;"",Worksheet!AO247,"")</f>
        <v>15.9</v>
      </c>
      <c r="Z251" s="17" t="str">
        <f>IF(Worksheet!Q247&lt;&gt;"",Worksheet!Q247,"")</f>
        <v/>
      </c>
      <c r="AA251" s="17" t="str">
        <f>IF(Worksheet!R247&lt;&gt;"",Worksheet!R247,"")</f>
        <v/>
      </c>
      <c r="AB251" t="str">
        <f>IF(Worksheet!X247&lt;&gt;"",CONCATENATE("от ",Worksheet!X247," до +",Worksheet!Y247),"")</f>
        <v/>
      </c>
      <c r="AC251" t="str">
        <f>IF(Worksheet!Z247&lt;&gt;"",CONCATENATE("от ",Worksheet!Z247," до +",Worksheet!AA247),"")</f>
        <v/>
      </c>
      <c r="AD251" s="6" t="s">
        <v>5172</v>
      </c>
      <c r="AE251" s="17"/>
    </row>
    <row r="252" spans="1:31" x14ac:dyDescent="0.25">
      <c r="A252" s="17" t="str">
        <f>IF(Worksheet!B248&lt;&gt;"",Worksheet!B248,"")</f>
        <v>LESSAR</v>
      </c>
      <c r="B252" t="str">
        <f>Worksheet!E248</f>
        <v>Мульти сплит система</v>
      </c>
      <c r="C252">
        <f>IF(Worksheet!M248&lt;&gt;"",Worksheet!M248,"")</f>
        <v>2.34</v>
      </c>
      <c r="D252">
        <f t="shared" si="10"/>
        <v>23</v>
      </c>
      <c r="E252" t="str">
        <f>IF(Worksheet!L248&lt;&gt;"",IF(Worksheet!L248="Y","да","нет"),"")</f>
        <v>да</v>
      </c>
      <c r="F252">
        <f>IF(Worksheet!N248&lt;&gt;"",Worksheet!N248,"")</f>
        <v>2.63</v>
      </c>
      <c r="G252">
        <f>IF(Worksheet!O248&lt;&gt;"",Worksheet!O248,"")</f>
        <v>2.4E-2</v>
      </c>
      <c r="H252">
        <f>IF(Worksheet!P248&lt;&gt;"",Worksheet!P248,"")</f>
        <v>2.4E-2</v>
      </c>
      <c r="I252" s="6"/>
      <c r="J252" s="6"/>
      <c r="K252" t="str">
        <f>IF(Worksheet!BI248&lt;&gt;"",Worksheet!BI248,"")</f>
        <v>1 / 220 / 50</v>
      </c>
      <c r="L252" t="str">
        <f>IF(Worksheet!AU248&lt;&gt;"",Worksheet!AU248,"")</f>
        <v>R410A</v>
      </c>
      <c r="M252" s="6"/>
      <c r="N252" s="6"/>
      <c r="O252" s="1" t="str">
        <f>IF(Worksheet!BL248&lt;&gt;"",CONCATENATE(Worksheet!BL248," х ",Worksheet!BM248," х ",Worksheet!BK248),"")</f>
        <v>722 х 187 х 290</v>
      </c>
      <c r="P252" s="1" t="str">
        <f>IF(Worksheet!BQ248&lt;&gt;"",CONCATENATE(Worksheet!BQ248," х ",Worksheet!BR248," х ",Worksheet!BP248),"")</f>
        <v>790 х 270 х 370</v>
      </c>
      <c r="Q252" s="1" t="str">
        <f>IF(Worksheet!BN248&lt;&gt;"",CONCATENATE(Worksheet!BN248," / ",Worksheet!BO248),"")</f>
        <v>7.4 / 9.6</v>
      </c>
      <c r="R252" t="str">
        <f>IF(Worksheet!BS248&lt;&gt;"",Worksheet!BS248,"")</f>
        <v/>
      </c>
      <c r="S252" t="str">
        <f>IF(Worksheet!AL248&lt;&gt;"",Worksheet!AL248,"")</f>
        <v/>
      </c>
      <c r="T252" s="1" t="str">
        <f>IF(Worksheet!BL248&lt;&gt;"",CONCATENATE(Worksheet!BL248," х ",Worksheet!BM248," х ",Worksheet!BK248),"")</f>
        <v>722 х 187 х 290</v>
      </c>
      <c r="U252" s="1" t="str">
        <f>IF(Worksheet!BQ248&lt;&gt;"",CONCATENATE(Worksheet!BQ248," х ",Worksheet!BR248," х ",Worksheet!BP248),"")</f>
        <v>790 х 270 х 370</v>
      </c>
      <c r="V252" s="1" t="str">
        <f>IF(Worksheet!BN248&lt;&gt;"",CONCATENATE(Worksheet!BN248," / ",Worksheet!BO248),"")</f>
        <v>7.4 / 9.6</v>
      </c>
      <c r="W252" s="6"/>
      <c r="X252" s="7">
        <f>IF(Worksheet!AN248&lt;&gt;"",Worksheet!AN248,"")</f>
        <v>6.35</v>
      </c>
      <c r="Y252" s="7">
        <f>IF(Worksheet!AO248&lt;&gt;"",Worksheet!AO248,"")</f>
        <v>9.5299999999999994</v>
      </c>
      <c r="Z252" s="17" t="str">
        <f>IF(Worksheet!Q248&lt;&gt;"",Worksheet!Q248,"")</f>
        <v/>
      </c>
      <c r="AA252" s="17" t="str">
        <f>IF(Worksheet!R248&lt;&gt;"",Worksheet!R248,"")</f>
        <v/>
      </c>
      <c r="AB252" t="str">
        <f>IF(Worksheet!X248&lt;&gt;"",CONCATENATE("от ",Worksheet!X248," до +",Worksheet!Y248),"")</f>
        <v/>
      </c>
      <c r="AC252" t="str">
        <f>IF(Worksheet!Z248&lt;&gt;"",CONCATENATE("от ",Worksheet!Z248," до +",Worksheet!AA248),"")</f>
        <v/>
      </c>
      <c r="AD252" s="6" t="s">
        <v>5172</v>
      </c>
      <c r="AE252" s="17"/>
    </row>
    <row r="253" spans="1:31" x14ac:dyDescent="0.25">
      <c r="A253" s="17" t="str">
        <f>IF(Worksheet!B249&lt;&gt;"",Worksheet!B249,"")</f>
        <v>LESSAR</v>
      </c>
      <c r="B253" t="str">
        <f>Worksheet!E249</f>
        <v>Мульти сплит система</v>
      </c>
      <c r="C253">
        <f>IF(Worksheet!M249&lt;&gt;"",Worksheet!M249,"")</f>
        <v>2.63</v>
      </c>
      <c r="D253">
        <f t="shared" si="10"/>
        <v>26</v>
      </c>
      <c r="E253" t="str">
        <f>IF(Worksheet!L249&lt;&gt;"",IF(Worksheet!L249="Y","да","нет"),"")</f>
        <v>да</v>
      </c>
      <c r="F253">
        <f>IF(Worksheet!N249&lt;&gt;"",Worksheet!N249,"")</f>
        <v>2.93</v>
      </c>
      <c r="G253">
        <f>IF(Worksheet!O249&lt;&gt;"",Worksheet!O249,"")</f>
        <v>0.02</v>
      </c>
      <c r="H253">
        <f>IF(Worksheet!P249&lt;&gt;"",Worksheet!P249,"")</f>
        <v>0.02</v>
      </c>
      <c r="I253" s="6"/>
      <c r="J253" s="6"/>
      <c r="K253" t="str">
        <f>IF(Worksheet!BI249&lt;&gt;"",Worksheet!BI249,"")</f>
        <v>1 / 220 / 50</v>
      </c>
      <c r="L253" t="str">
        <f>IF(Worksheet!AU249&lt;&gt;"",Worksheet!AU249,"")</f>
        <v>R410A</v>
      </c>
      <c r="M253" s="6"/>
      <c r="N253" s="6"/>
      <c r="O253" s="1" t="str">
        <f>IF(Worksheet!BL249&lt;&gt;"",CONCATENATE(Worksheet!BL249," х ",Worksheet!BM249," х ",Worksheet!BK249),"")</f>
        <v>722 х 187 х 290</v>
      </c>
      <c r="P253" s="1" t="str">
        <f>IF(Worksheet!BQ249&lt;&gt;"",CONCATENATE(Worksheet!BQ249," х ",Worksheet!BR249," х ",Worksheet!BP249),"")</f>
        <v>790 х 270 х 370</v>
      </c>
      <c r="Q253" s="1" t="str">
        <f>IF(Worksheet!BN249&lt;&gt;"",CONCATENATE(Worksheet!BN249," / ",Worksheet!BO249),"")</f>
        <v>7.4 / 9.6</v>
      </c>
      <c r="R253" t="str">
        <f>IF(Worksheet!BS249&lt;&gt;"",Worksheet!BS249,"")</f>
        <v>32/33/37</v>
      </c>
      <c r="S253" t="str">
        <f>IF(Worksheet!AL249&lt;&gt;"",Worksheet!AL249,"")</f>
        <v/>
      </c>
      <c r="T253" s="1" t="str">
        <f>IF(Worksheet!BL249&lt;&gt;"",CONCATENATE(Worksheet!BL249," х ",Worksheet!BM249," х ",Worksheet!BK249),"")</f>
        <v>722 х 187 х 290</v>
      </c>
      <c r="U253" s="1" t="str">
        <f>IF(Worksheet!BQ249&lt;&gt;"",CONCATENATE(Worksheet!BQ249," х ",Worksheet!BR249," х ",Worksheet!BP249),"")</f>
        <v>790 х 270 х 370</v>
      </c>
      <c r="V253" s="1" t="str">
        <f>IF(Worksheet!BN249&lt;&gt;"",CONCATENATE(Worksheet!BN249," / ",Worksheet!BO249),"")</f>
        <v>7.4 / 9.6</v>
      </c>
      <c r="W253" s="6"/>
      <c r="X253" s="7">
        <f>IF(Worksheet!AN249&lt;&gt;"",Worksheet!AN249,"")</f>
        <v>6.35</v>
      </c>
      <c r="Y253" s="7">
        <f>IF(Worksheet!AO249&lt;&gt;"",Worksheet!AO249,"")</f>
        <v>9.5299999999999994</v>
      </c>
      <c r="Z253" s="17" t="str">
        <f>IF(Worksheet!Q249&lt;&gt;"",Worksheet!Q249,"")</f>
        <v/>
      </c>
      <c r="AA253" s="17" t="str">
        <f>IF(Worksheet!R249&lt;&gt;"",Worksheet!R249,"")</f>
        <v/>
      </c>
      <c r="AB253" t="str">
        <f>IF(Worksheet!X249&lt;&gt;"",CONCATENATE("от ",Worksheet!X249," до +",Worksheet!Y249),"")</f>
        <v/>
      </c>
      <c r="AC253" t="str">
        <f>IF(Worksheet!Z249&lt;&gt;"",CONCATENATE("от ",Worksheet!Z249," до +",Worksheet!AA249),"")</f>
        <v/>
      </c>
      <c r="AD253" s="6" t="s">
        <v>5172</v>
      </c>
      <c r="AE253" s="17"/>
    </row>
    <row r="254" spans="1:31" x14ac:dyDescent="0.25">
      <c r="A254" s="17" t="str">
        <f>IF(Worksheet!B250&lt;&gt;"",Worksheet!B250,"")</f>
        <v>LESSAR</v>
      </c>
      <c r="B254" t="str">
        <f>Worksheet!E250</f>
        <v>Мульти сплит система</v>
      </c>
      <c r="C254">
        <f>IF(Worksheet!M250&lt;&gt;"",Worksheet!M250,"")</f>
        <v>3.51</v>
      </c>
      <c r="D254">
        <f t="shared" si="10"/>
        <v>35</v>
      </c>
      <c r="E254" t="str">
        <f>IF(Worksheet!L250&lt;&gt;"",IF(Worksheet!L250="Y","да","нет"),"")</f>
        <v>да</v>
      </c>
      <c r="F254">
        <f>IF(Worksheet!N250&lt;&gt;"",Worksheet!N250,"")</f>
        <v>3.8</v>
      </c>
      <c r="G254">
        <f>IF(Worksheet!O250&lt;&gt;"",Worksheet!O250,"")</f>
        <v>0.02</v>
      </c>
      <c r="H254">
        <f>IF(Worksheet!P250&lt;&gt;"",Worksheet!P250,"")</f>
        <v>0.02</v>
      </c>
      <c r="I254" s="6"/>
      <c r="J254" s="6"/>
      <c r="K254" t="str">
        <f>IF(Worksheet!BI250&lt;&gt;"",Worksheet!BI250,"")</f>
        <v>1 / 220 / 50</v>
      </c>
      <c r="L254" t="str">
        <f>IF(Worksheet!AU250&lt;&gt;"",Worksheet!AU250,"")</f>
        <v>R410A</v>
      </c>
      <c r="M254" s="6"/>
      <c r="N254" s="6"/>
      <c r="O254" s="1" t="str">
        <f>IF(Worksheet!BL250&lt;&gt;"",CONCATENATE(Worksheet!BL250," х ",Worksheet!BM250," х ",Worksheet!BK250),"")</f>
        <v>802 х 189 х 297</v>
      </c>
      <c r="P254" s="1" t="str">
        <f>IF(Worksheet!BQ250&lt;&gt;"",CONCATENATE(Worksheet!BQ250," х ",Worksheet!BR250," х ",Worksheet!BP250),"")</f>
        <v>875 х 285 х 375</v>
      </c>
      <c r="Q254" s="1" t="str">
        <f>IF(Worksheet!BN250&lt;&gt;"",CONCATENATE(Worksheet!BN250," / ",Worksheet!BO250),"")</f>
        <v>8.2 / 10.7</v>
      </c>
      <c r="R254" t="str">
        <f>IF(Worksheet!BS250&lt;&gt;"",Worksheet!BS250,"")</f>
        <v>24/35/39</v>
      </c>
      <c r="S254" t="str">
        <f>IF(Worksheet!AL250&lt;&gt;"",Worksheet!AL250,"")</f>
        <v/>
      </c>
      <c r="T254" s="1" t="str">
        <f>IF(Worksheet!BL250&lt;&gt;"",CONCATENATE(Worksheet!BL250," х ",Worksheet!BM250," х ",Worksheet!BK250),"")</f>
        <v>802 х 189 х 297</v>
      </c>
      <c r="U254" s="1" t="str">
        <f>IF(Worksheet!BQ250&lt;&gt;"",CONCATENATE(Worksheet!BQ250," х ",Worksheet!BR250," х ",Worksheet!BP250),"")</f>
        <v>875 х 285 х 375</v>
      </c>
      <c r="V254" s="1" t="str">
        <f>IF(Worksheet!BN250&lt;&gt;"",CONCATENATE(Worksheet!BN250," / ",Worksheet!BO250),"")</f>
        <v>8.2 / 10.7</v>
      </c>
      <c r="W254" s="6"/>
      <c r="X254" s="7">
        <f>IF(Worksheet!AN250&lt;&gt;"",Worksheet!AN250,"")</f>
        <v>6.35</v>
      </c>
      <c r="Y254" s="7">
        <f>IF(Worksheet!AO250&lt;&gt;"",Worksheet!AO250,"")</f>
        <v>9.5299999999999994</v>
      </c>
      <c r="Z254" s="17" t="str">
        <f>IF(Worksheet!Q250&lt;&gt;"",Worksheet!Q250,"")</f>
        <v/>
      </c>
      <c r="AA254" s="17" t="str">
        <f>IF(Worksheet!R250&lt;&gt;"",Worksheet!R250,"")</f>
        <v/>
      </c>
      <c r="AB254" t="str">
        <f>IF(Worksheet!X250&lt;&gt;"",CONCATENATE("от ",Worksheet!X250," до +",Worksheet!Y250),"")</f>
        <v/>
      </c>
      <c r="AC254" t="str">
        <f>IF(Worksheet!Z250&lt;&gt;"",CONCATENATE("от ",Worksheet!Z250," до +",Worksheet!AA250),"")</f>
        <v/>
      </c>
      <c r="AD254" s="6" t="s">
        <v>5172</v>
      </c>
      <c r="AE254" s="17"/>
    </row>
    <row r="255" spans="1:31" x14ac:dyDescent="0.25">
      <c r="A255" s="17" t="str">
        <f>IF(Worksheet!B251&lt;&gt;"",Worksheet!B251,"")</f>
        <v>LESSAR</v>
      </c>
      <c r="B255" t="str">
        <f>Worksheet!E251</f>
        <v>Мульти сплит система</v>
      </c>
      <c r="C255">
        <f>IF(Worksheet!M251&lt;&gt;"",Worksheet!M251,"")</f>
        <v>5.27</v>
      </c>
      <c r="D255">
        <f t="shared" si="10"/>
        <v>53</v>
      </c>
      <c r="E255" t="str">
        <f>IF(Worksheet!L251&lt;&gt;"",IF(Worksheet!L251="Y","да","нет"),"")</f>
        <v>да</v>
      </c>
      <c r="F255">
        <f>IF(Worksheet!N251&lt;&gt;"",Worksheet!N251,"")</f>
        <v>5.86</v>
      </c>
      <c r="G255">
        <f>IF(Worksheet!O251&lt;&gt;"",Worksheet!O251,"")</f>
        <v>0.03</v>
      </c>
      <c r="H255">
        <f>IF(Worksheet!P251&lt;&gt;"",Worksheet!P251,"")</f>
        <v>0.03</v>
      </c>
      <c r="I255" s="6"/>
      <c r="J255" s="6"/>
      <c r="K255" t="str">
        <f>IF(Worksheet!BI251&lt;&gt;"",Worksheet!BI251,"")</f>
        <v>1 / 220 / 50</v>
      </c>
      <c r="L255" t="str">
        <f>IF(Worksheet!AU251&lt;&gt;"",Worksheet!AU251,"")</f>
        <v>R410A</v>
      </c>
      <c r="M255" s="6"/>
      <c r="N255" s="6"/>
      <c r="O255" s="1" t="str">
        <f>IF(Worksheet!BL251&lt;&gt;"",CONCATENATE(Worksheet!BL251," х ",Worksheet!BM251," х ",Worksheet!BK251),"")</f>
        <v>215 х 965 х 319</v>
      </c>
      <c r="P255" s="1" t="str">
        <f>IF(Worksheet!BQ251&lt;&gt;"",CONCATENATE(Worksheet!BQ251," х ",Worksheet!BR251," х ",Worksheet!BP251),"")</f>
        <v>305 х 1045 х 405</v>
      </c>
      <c r="Q255" s="1" t="str">
        <f>IF(Worksheet!BN251&lt;&gt;"",CONCATENATE(Worksheet!BN251," / ",Worksheet!BO251),"")</f>
        <v>10.7 / 14</v>
      </c>
      <c r="R255" t="str">
        <f>IF(Worksheet!BS251&lt;&gt;"",Worksheet!BS251,"")</f>
        <v/>
      </c>
      <c r="S255" t="str">
        <f>IF(Worksheet!AL251&lt;&gt;"",Worksheet!AL251,"")</f>
        <v/>
      </c>
      <c r="T255" s="1" t="str">
        <f>IF(Worksheet!BL251&lt;&gt;"",CONCATENATE(Worksheet!BL251," х ",Worksheet!BM251," х ",Worksheet!BK251),"")</f>
        <v>215 х 965 х 319</v>
      </c>
      <c r="U255" s="1" t="str">
        <f>IF(Worksheet!BQ251&lt;&gt;"",CONCATENATE(Worksheet!BQ251," х ",Worksheet!BR251," х ",Worksheet!BP251),"")</f>
        <v>305 х 1045 х 405</v>
      </c>
      <c r="V255" s="1" t="str">
        <f>IF(Worksheet!BN251&lt;&gt;"",CONCATENATE(Worksheet!BN251," / ",Worksheet!BO251),"")</f>
        <v>10.7 / 14</v>
      </c>
      <c r="W255" s="6"/>
      <c r="X255" s="7">
        <f>IF(Worksheet!AN251&lt;&gt;"",Worksheet!AN251,"")</f>
        <v>6.35</v>
      </c>
      <c r="Y255" s="7">
        <f>IF(Worksheet!AO251&lt;&gt;"",Worksheet!AO251,"")</f>
        <v>12.7</v>
      </c>
      <c r="Z255" s="17" t="str">
        <f>IF(Worksheet!Q251&lt;&gt;"",Worksheet!Q251,"")</f>
        <v/>
      </c>
      <c r="AA255" s="17" t="str">
        <f>IF(Worksheet!R251&lt;&gt;"",Worksheet!R251,"")</f>
        <v/>
      </c>
      <c r="AB255" t="str">
        <f>IF(Worksheet!X251&lt;&gt;"",CONCATENATE("от ",Worksheet!X251," до +",Worksheet!Y251),"")</f>
        <v/>
      </c>
      <c r="AC255" t="str">
        <f>IF(Worksheet!Z251&lt;&gt;"",CONCATENATE("от ",Worksheet!Z251," до +",Worksheet!AA251),"")</f>
        <v/>
      </c>
      <c r="AD255" s="6" t="s">
        <v>5172</v>
      </c>
      <c r="AE255" s="17"/>
    </row>
    <row r="256" spans="1:31" x14ac:dyDescent="0.25">
      <c r="A256" s="17" t="str">
        <f>IF(Worksheet!B252&lt;&gt;"",Worksheet!B252,"")</f>
        <v>LESSAR</v>
      </c>
      <c r="B256" t="str">
        <f>Worksheet!E252</f>
        <v>Мульти сплит система</v>
      </c>
      <c r="C256">
        <f>IF(Worksheet!M252&lt;&gt;"",Worksheet!M252,"")</f>
        <v>7.03</v>
      </c>
      <c r="D256">
        <f t="shared" si="10"/>
        <v>70</v>
      </c>
      <c r="E256" t="str">
        <f>IF(Worksheet!L252&lt;&gt;"",IF(Worksheet!L252="Y","да","нет"),"")</f>
        <v>да</v>
      </c>
      <c r="F256">
        <f>IF(Worksheet!N252&lt;&gt;"",Worksheet!N252,"")</f>
        <v>7.91</v>
      </c>
      <c r="G256">
        <f>IF(Worksheet!O252&lt;&gt;"",Worksheet!O252,"")</f>
        <v>0.06</v>
      </c>
      <c r="H256">
        <f>IF(Worksheet!P252&lt;&gt;"",Worksheet!P252,"")</f>
        <v>0.06</v>
      </c>
      <c r="I256" s="6"/>
      <c r="J256" s="6"/>
      <c r="K256" t="str">
        <f>IF(Worksheet!BI252&lt;&gt;"",Worksheet!BI252,"")</f>
        <v>1 / 220 / 50</v>
      </c>
      <c r="L256" t="str">
        <f>IF(Worksheet!AU252&lt;&gt;"",Worksheet!AU252,"")</f>
        <v>R410A</v>
      </c>
      <c r="M256" s="6"/>
      <c r="N256" s="6"/>
      <c r="O256" s="1" t="str">
        <f>IF(Worksheet!BL252&lt;&gt;"",CONCATENATE(Worksheet!BL252," х ",Worksheet!BM252," х ",Worksheet!BK252),"")</f>
        <v>1080 х 226 х 335</v>
      </c>
      <c r="P256" s="1" t="str">
        <f>IF(Worksheet!BQ252&lt;&gt;"",CONCATENATE(Worksheet!BQ252," х ",Worksheet!BR252," х ",Worksheet!BP252),"")</f>
        <v>1155 х 315 х 415</v>
      </c>
      <c r="Q256" s="1" t="str">
        <f>IF(Worksheet!BN252&lt;&gt;"",CONCATENATE(Worksheet!BN252," / ",Worksheet!BO252),"")</f>
        <v>13 / 16.6</v>
      </c>
      <c r="R256" t="str">
        <f>IF(Worksheet!BS252&lt;&gt;"",Worksheet!BS252,"")</f>
        <v>32/43/48</v>
      </c>
      <c r="S256" t="str">
        <f>IF(Worksheet!AL252&lt;&gt;"",Worksheet!AL252,"")</f>
        <v/>
      </c>
      <c r="T256" s="1" t="str">
        <f>IF(Worksheet!BL252&lt;&gt;"",CONCATENATE(Worksheet!BL252," х ",Worksheet!BM252," х ",Worksheet!BK252),"")</f>
        <v>1080 х 226 х 335</v>
      </c>
      <c r="U256" s="1" t="str">
        <f>IF(Worksheet!BQ252&lt;&gt;"",CONCATENATE(Worksheet!BQ252," х ",Worksheet!BR252," х ",Worksheet!BP252),"")</f>
        <v>1155 х 315 х 415</v>
      </c>
      <c r="V256" s="1" t="str">
        <f>IF(Worksheet!BN252&lt;&gt;"",CONCATENATE(Worksheet!BN252," / ",Worksheet!BO252),"")</f>
        <v>13 / 16.6</v>
      </c>
      <c r="W256" s="6"/>
      <c r="X256" s="7">
        <f>IF(Worksheet!AN252&lt;&gt;"",Worksheet!AN252,"")</f>
        <v>9.5299999999999994</v>
      </c>
      <c r="Y256" s="7">
        <f>IF(Worksheet!AO252&lt;&gt;"",Worksheet!AO252,"")</f>
        <v>15.88</v>
      </c>
      <c r="Z256" s="17" t="str">
        <f>IF(Worksheet!Q252&lt;&gt;"",Worksheet!Q252,"")</f>
        <v/>
      </c>
      <c r="AA256" s="17" t="str">
        <f>IF(Worksheet!R252&lt;&gt;"",Worksheet!R252,"")</f>
        <v/>
      </c>
      <c r="AB256" t="str">
        <f>IF(Worksheet!X252&lt;&gt;"",CONCATENATE("от ",Worksheet!X252," до +",Worksheet!Y252),"")</f>
        <v/>
      </c>
      <c r="AC256" t="str">
        <f>IF(Worksheet!Z252&lt;&gt;"",CONCATENATE("от ",Worksheet!Z252," до +",Worksheet!AA252),"")</f>
        <v/>
      </c>
      <c r="AD256" s="6" t="s">
        <v>5172</v>
      </c>
      <c r="AE256" s="17"/>
    </row>
    <row r="257" spans="1:31" x14ac:dyDescent="0.25">
      <c r="A257" s="17" t="str">
        <f>IF(Worksheet!B253&lt;&gt;"",Worksheet!B253,"")</f>
        <v>LESSAR</v>
      </c>
      <c r="B257" t="str">
        <f>Worksheet!E253</f>
        <v>Мульти сплит система</v>
      </c>
      <c r="C257" s="21">
        <f>IF(Worksheet!M253&lt;&gt;"",MID(Worksheet!M253,1,FIND(" ",Worksheet!M253,1)-1),"")*1</f>
        <v>4.0999999999999996</v>
      </c>
      <c r="D257">
        <f t="shared" ref="D257:D267" si="11">ROUND(LEFT(C257,3)*10,0)</f>
        <v>41</v>
      </c>
      <c r="E257" t="str">
        <f>IF(Worksheet!L253&lt;&gt;"",IF(Worksheet!L253="Y","да","нет"),"")</f>
        <v>да</v>
      </c>
      <c r="F257" s="21">
        <f>IF(Worksheet!N253&lt;&gt;"",MID(Worksheet!N253,1,FIND(" ",Worksheet!N253,1)-1),"")*1</f>
        <v>4.4000000000000004</v>
      </c>
      <c r="G257" s="21">
        <f>IF(Worksheet!O253&lt;&gt;"",MID(Worksheet!O253,1,FIND(" ",Worksheet!O253,1)-1),"")*1</f>
        <v>1.27</v>
      </c>
      <c r="H257" s="21">
        <f>IF(Worksheet!P253&lt;&gt;"",MID(Worksheet!P253,1,FIND(" ",Worksheet!P253,1)-1),"")*1</f>
        <v>1.2</v>
      </c>
      <c r="I257" s="6"/>
      <c r="J257" s="6"/>
      <c r="K257" t="str">
        <f>IF(Worksheet!BI253&lt;&gt;"",Worksheet!BI253,"")</f>
        <v>1 / 220 / 50</v>
      </c>
      <c r="L257" t="str">
        <f>IF(Worksheet!AU253&lt;&gt;"",Worksheet!AU253,"")</f>
        <v>R32</v>
      </c>
      <c r="M257" s="6"/>
      <c r="N257" s="6"/>
      <c r="O257" t="str">
        <f>IF(Worksheet!CR253&lt;&gt;"",CONCATENATE(Worksheet!CR253," х ",Worksheet!CP253," х ",Worksheet!CT253),"")</f>
        <v/>
      </c>
      <c r="P257" t="str">
        <f>IF(Worksheet!CS253&lt;&gt;"",CONCATENATE(Worksheet!CS253," х ",Worksheet!CU253," х ",Worksheet!CQ253),"")</f>
        <v/>
      </c>
      <c r="Q257" t="str">
        <f>IF(Worksheet!CV253&lt;&gt;"",CONCATENATE(Worksheet!CV253," / ",Worksheet!CW253),"")</f>
        <v/>
      </c>
      <c r="R257" t="str">
        <f>IF(Worksheet!BS253&lt;&gt;"",Worksheet!BS253,"")</f>
        <v/>
      </c>
      <c r="S257" t="str">
        <f>IF(Worksheet!AL253&lt;&gt;"",Worksheet!AL253,"")</f>
        <v>GMCC</v>
      </c>
      <c r="T257" t="str">
        <f>IF(Worksheet!CJ253&lt;&gt;"",CONCATENATE(Worksheet!CJ253," х ",Worksheet!CL253," х ",Worksheet!CH253),"")</f>
        <v/>
      </c>
      <c r="U257" t="str">
        <f>IF(Worksheet!CK253&lt;&gt;"",CONCATENATE(Worksheet!CK253," х ",Worksheet!CM253," х ",Worksheet!CI253),"")</f>
        <v/>
      </c>
      <c r="V257" t="str">
        <f>IF(Worksheet!CN253&lt;&gt;"",CONCATENATE(Worksheet!CN253,"/",Worksheet!CO253),"")</f>
        <v/>
      </c>
      <c r="W257" s="6"/>
      <c r="X257" s="25"/>
      <c r="Y257" s="25"/>
      <c r="Z257" s="17">
        <f>IF(Worksheet!Q253&lt;&gt;"",Worksheet!Q253,"")</f>
        <v>40</v>
      </c>
      <c r="AA257" s="17">
        <f>IF(Worksheet!R253&lt;&gt;"",Worksheet!R253,"")</f>
        <v>15</v>
      </c>
      <c r="AB257" t="str">
        <f>IF(Worksheet!X253&lt;&gt;"",CONCATENATE("от ",Worksheet!X253," до +",Worksheet!Y253),"")</f>
        <v>от -15 до +50</v>
      </c>
      <c r="AC257" t="str">
        <f>IF(Worksheet!Z253&lt;&gt;"",CONCATENATE("от ",Worksheet!Z253," до +",Worksheet!AA253),"")</f>
        <v>от -15 до +24</v>
      </c>
      <c r="AD257" s="6" t="s">
        <v>5173</v>
      </c>
      <c r="AE257" s="17"/>
    </row>
    <row r="258" spans="1:31" x14ac:dyDescent="0.25">
      <c r="A258" s="17" t="str">
        <f>IF(Worksheet!B254&lt;&gt;"",Worksheet!B254,"")</f>
        <v>LESSAR</v>
      </c>
      <c r="B258" t="str">
        <f>Worksheet!E254</f>
        <v>Мульти сплит система</v>
      </c>
      <c r="C258" s="21">
        <f>IF(Worksheet!M254&lt;&gt;"",MID(Worksheet!M254,1,FIND(" ",Worksheet!M254,1)-1),"")*1</f>
        <v>4.0999999999999996</v>
      </c>
      <c r="D258">
        <f t="shared" si="11"/>
        <v>41</v>
      </c>
      <c r="E258" t="str">
        <f>IF(Worksheet!L254&lt;&gt;"",IF(Worksheet!L254="Y","да","нет"),"")</f>
        <v>да</v>
      </c>
      <c r="F258" s="21">
        <f>IF(Worksheet!N254&lt;&gt;"",MID(Worksheet!N254,1,FIND(" ",Worksheet!N254,1)-1),"")*1</f>
        <v>4.4000000000000004</v>
      </c>
      <c r="G258" s="21">
        <f>IF(Worksheet!O254&lt;&gt;"",MID(Worksheet!O254,1,FIND(" ",Worksheet!O254,1)-1),"")*1</f>
        <v>1.27</v>
      </c>
      <c r="H258" s="21">
        <f>IF(Worksheet!P254&lt;&gt;"",MID(Worksheet!P254,1,FIND(" ",Worksheet!P254,1)-1),"")*1</f>
        <v>1.1850000000000001</v>
      </c>
      <c r="I258" s="6"/>
      <c r="J258" s="6"/>
      <c r="K258" t="str">
        <f>IF(Worksheet!BI254&lt;&gt;"",Worksheet!BI254,"")</f>
        <v>1 / 220 / 50</v>
      </c>
      <c r="L258" t="str">
        <f>IF(Worksheet!AU254&lt;&gt;"",Worksheet!AU254,"")</f>
        <v>R32</v>
      </c>
      <c r="M258" s="6"/>
      <c r="N258" s="6"/>
      <c r="O258" t="str">
        <f>IF(Worksheet!CR254&lt;&gt;"",CONCATENATE(Worksheet!CR254," х ",Worksheet!CP254," х ",Worksheet!CT254),"")</f>
        <v/>
      </c>
      <c r="P258" t="str">
        <f>IF(Worksheet!CS254&lt;&gt;"",CONCATENATE(Worksheet!CS254," х ",Worksheet!CU254," х ",Worksheet!CQ254),"")</f>
        <v/>
      </c>
      <c r="Q258" t="str">
        <f>IF(Worksheet!CV254&lt;&gt;"",CONCATENATE(Worksheet!CV254," / ",Worksheet!CW254),"")</f>
        <v/>
      </c>
      <c r="R258" t="str">
        <f>IF(Worksheet!BS254&lt;&gt;"",Worksheet!BS254,"")</f>
        <v/>
      </c>
      <c r="S258" t="str">
        <f>IF(Worksheet!AL254&lt;&gt;"",Worksheet!AL254,"")</f>
        <v>GMCC</v>
      </c>
      <c r="T258" t="str">
        <f>IF(Worksheet!CJ254&lt;&gt;"",CONCATENATE(Worksheet!CJ254," х ",Worksheet!CL254," х ",Worksheet!CH254),"")</f>
        <v/>
      </c>
      <c r="U258" t="str">
        <f>IF(Worksheet!CK254&lt;&gt;"",CONCATENATE(Worksheet!CK254," х ",Worksheet!CM254," х ",Worksheet!CI254),"")</f>
        <v/>
      </c>
      <c r="V258" t="str">
        <f>IF(Worksheet!CN254&lt;&gt;"",CONCATENATE(Worksheet!CN254,"/",Worksheet!CO254),"")</f>
        <v/>
      </c>
      <c r="W258" s="6"/>
      <c r="X258" s="25"/>
      <c r="Y258" s="25"/>
      <c r="Z258" s="17">
        <f>IF(Worksheet!Q254&lt;&gt;"",Worksheet!Q254,"")</f>
        <v>40</v>
      </c>
      <c r="AA258" s="17">
        <f>IF(Worksheet!R254&lt;&gt;"",Worksheet!R254,"")</f>
        <v>15</v>
      </c>
      <c r="AB258" t="str">
        <f>IF(Worksheet!X254&lt;&gt;"",CONCATENATE("от ",Worksheet!X254," до +",Worksheet!Y254),"")</f>
        <v>от -15 до +50</v>
      </c>
      <c r="AC258" t="str">
        <f>IF(Worksheet!Z254&lt;&gt;"",CONCATENATE("от ",Worksheet!Z254," до +",Worksheet!AA254),"")</f>
        <v>от -15 до +24</v>
      </c>
      <c r="AD258" s="6" t="s">
        <v>5173</v>
      </c>
      <c r="AE258" s="17"/>
    </row>
    <row r="259" spans="1:31" x14ac:dyDescent="0.25">
      <c r="A259" s="17" t="str">
        <f>IF(Worksheet!B255&lt;&gt;"",Worksheet!B255,"")</f>
        <v>LESSAR</v>
      </c>
      <c r="B259" t="str">
        <f>Worksheet!E255</f>
        <v>Мульти сплит система</v>
      </c>
      <c r="C259" s="21">
        <f>IF(Worksheet!M255&lt;&gt;"",MID(Worksheet!M255,1,FIND(" ",Worksheet!M255,1)-1),"")*1</f>
        <v>5.28</v>
      </c>
      <c r="D259">
        <f t="shared" si="11"/>
        <v>52</v>
      </c>
      <c r="E259" t="str">
        <f>IF(Worksheet!L255&lt;&gt;"",IF(Worksheet!L255="Y","да","нет"),"")</f>
        <v>да</v>
      </c>
      <c r="F259" s="21">
        <f>IF(Worksheet!N255&lt;&gt;"",MID(Worksheet!N255,1,FIND(" ",Worksheet!N255,1)-1),"")*1</f>
        <v>5.57</v>
      </c>
      <c r="G259" s="21">
        <f>IF(Worksheet!O255&lt;&gt;"",MID(Worksheet!O255,1,FIND(" ",Worksheet!O255,1)-1),"")*1</f>
        <v>1.63</v>
      </c>
      <c r="H259" s="21">
        <f>IF(Worksheet!P255&lt;&gt;"",MID(Worksheet!P255,1,FIND(" ",Worksheet!P255,1)-1),"")*1</f>
        <v>1.5</v>
      </c>
      <c r="I259" s="6"/>
      <c r="J259" s="6"/>
      <c r="K259" t="str">
        <f>IF(Worksheet!BI255&lt;&gt;"",Worksheet!BI255,"")</f>
        <v>1 / 220 / 50</v>
      </c>
      <c r="L259" t="str">
        <f>IF(Worksheet!AU255&lt;&gt;"",Worksheet!AU255,"")</f>
        <v>R32</v>
      </c>
      <c r="M259" s="6"/>
      <c r="N259" s="6"/>
      <c r="O259" t="str">
        <f>IF(Worksheet!CR255&lt;&gt;"",CONCATENATE(Worksheet!CR255," х ",Worksheet!CP255," х ",Worksheet!CT255),"")</f>
        <v/>
      </c>
      <c r="P259" t="str">
        <f>IF(Worksheet!CS255&lt;&gt;"",CONCATENATE(Worksheet!CS255," х ",Worksheet!CU255," х ",Worksheet!CQ255),"")</f>
        <v/>
      </c>
      <c r="Q259" t="str">
        <f>IF(Worksheet!CV255&lt;&gt;"",CONCATENATE(Worksheet!CV255," / ",Worksheet!CW255),"")</f>
        <v/>
      </c>
      <c r="R259" t="str">
        <f>IF(Worksheet!BS255&lt;&gt;"",Worksheet!BS255,"")</f>
        <v/>
      </c>
      <c r="S259" t="str">
        <f>IF(Worksheet!AL255&lt;&gt;"",Worksheet!AL255,"")</f>
        <v>GMCC</v>
      </c>
      <c r="T259" t="str">
        <f>IF(Worksheet!CJ255&lt;&gt;"",CONCATENATE(Worksheet!CJ255," х ",Worksheet!CL255," х ",Worksheet!CH255),"")</f>
        <v/>
      </c>
      <c r="U259" t="str">
        <f>IF(Worksheet!CK255&lt;&gt;"",CONCATENATE(Worksheet!CK255," х ",Worksheet!CM255," х ",Worksheet!CI255),"")</f>
        <v/>
      </c>
      <c r="V259" t="str">
        <f>IF(Worksheet!CN255&lt;&gt;"",CONCATENATE(Worksheet!CN255,"/",Worksheet!CO255),"")</f>
        <v/>
      </c>
      <c r="W259" s="6"/>
      <c r="X259" s="25"/>
      <c r="Y259" s="25"/>
      <c r="Z259" s="17">
        <f>IF(Worksheet!Q255&lt;&gt;"",Worksheet!Q255,"")</f>
        <v>40</v>
      </c>
      <c r="AA259" s="17">
        <f>IF(Worksheet!R255&lt;&gt;"",Worksheet!R255,"")</f>
        <v>15</v>
      </c>
      <c r="AB259" t="str">
        <f>IF(Worksheet!X255&lt;&gt;"",CONCATENATE("от ",Worksheet!X255," до +",Worksheet!Y255),"")</f>
        <v>от -15 до +50</v>
      </c>
      <c r="AC259" t="str">
        <f>IF(Worksheet!Z255&lt;&gt;"",CONCATENATE("от ",Worksheet!Z255," до +",Worksheet!AA255),"")</f>
        <v>от -15 до +24</v>
      </c>
      <c r="AD259" s="6" t="s">
        <v>5173</v>
      </c>
      <c r="AE259" s="17"/>
    </row>
    <row r="260" spans="1:31" x14ac:dyDescent="0.25">
      <c r="A260" s="17" t="str">
        <f>IF(Worksheet!B256&lt;&gt;"",Worksheet!B256,"")</f>
        <v>LESSAR</v>
      </c>
      <c r="B260" t="str">
        <f>Worksheet!E256</f>
        <v>Мульти сплит система</v>
      </c>
      <c r="C260" s="21">
        <f>IF(Worksheet!M256&lt;&gt;"",MID(Worksheet!M256,1,FIND(" ",Worksheet!M256,1)-1),"")*1</f>
        <v>5.28</v>
      </c>
      <c r="D260">
        <f t="shared" si="11"/>
        <v>52</v>
      </c>
      <c r="E260" t="str">
        <f>IF(Worksheet!L256&lt;&gt;"",IF(Worksheet!L256="Y","да","нет"),"")</f>
        <v>да</v>
      </c>
      <c r="F260" s="21">
        <f>IF(Worksheet!N256&lt;&gt;"",MID(Worksheet!N256,1,FIND(" ",Worksheet!N256,1)-1),"")*1</f>
        <v>5.57</v>
      </c>
      <c r="G260" s="21">
        <f>IF(Worksheet!O256&lt;&gt;"",MID(Worksheet!O256,1,FIND(" ",Worksheet!O256,1)-1),"")*1</f>
        <v>1.635</v>
      </c>
      <c r="H260" s="21">
        <f>IF(Worksheet!P256&lt;&gt;"",MID(Worksheet!P256,1,FIND(" ",Worksheet!P256,1)-1),"")*1</f>
        <v>1.5</v>
      </c>
      <c r="I260" s="6"/>
      <c r="J260" s="6"/>
      <c r="K260" t="str">
        <f>IF(Worksheet!BI256&lt;&gt;"",Worksheet!BI256,"")</f>
        <v>1 / 220 / 50</v>
      </c>
      <c r="L260" t="str">
        <f>IF(Worksheet!AU256&lt;&gt;"",Worksheet!AU256,"")</f>
        <v>R32</v>
      </c>
      <c r="M260" s="6"/>
      <c r="N260" s="6"/>
      <c r="O260" t="str">
        <f>IF(Worksheet!CR256&lt;&gt;"",CONCATENATE(Worksheet!CR256," х ",Worksheet!CP256," х ",Worksheet!CT256),"")</f>
        <v/>
      </c>
      <c r="P260" t="str">
        <f>IF(Worksheet!CS256&lt;&gt;"",CONCATENATE(Worksheet!CS256," х ",Worksheet!CU256," х ",Worksheet!CQ256),"")</f>
        <v/>
      </c>
      <c r="Q260" t="str">
        <f>IF(Worksheet!CV256&lt;&gt;"",CONCATENATE(Worksheet!CV256," / ",Worksheet!CW256),"")</f>
        <v/>
      </c>
      <c r="R260" t="str">
        <f>IF(Worksheet!BS256&lt;&gt;"",Worksheet!BS256,"")</f>
        <v/>
      </c>
      <c r="S260" t="str">
        <f>IF(Worksheet!AL256&lt;&gt;"",Worksheet!AL256,"")</f>
        <v>GMCC</v>
      </c>
      <c r="T260" t="str">
        <f>IF(Worksheet!CJ256&lt;&gt;"",CONCATENATE(Worksheet!CJ256," х ",Worksheet!CL256," х ",Worksheet!CH256),"")</f>
        <v/>
      </c>
      <c r="U260" t="str">
        <f>IF(Worksheet!CK256&lt;&gt;"",CONCATENATE(Worksheet!CK256," х ",Worksheet!CM256," х ",Worksheet!CI256),"")</f>
        <v/>
      </c>
      <c r="V260" t="str">
        <f>IF(Worksheet!CN256&lt;&gt;"",CONCATENATE(Worksheet!CN256,"/",Worksheet!CO256),"")</f>
        <v/>
      </c>
      <c r="W260" s="6"/>
      <c r="X260" s="25"/>
      <c r="Y260" s="25"/>
      <c r="Z260" s="17">
        <f>IF(Worksheet!Q256&lt;&gt;"",Worksheet!Q256,"")</f>
        <v>40</v>
      </c>
      <c r="AA260" s="17">
        <f>IF(Worksheet!R256&lt;&gt;"",Worksheet!R256,"")</f>
        <v>15</v>
      </c>
      <c r="AB260" t="str">
        <f>IF(Worksheet!X256&lt;&gt;"",CONCATENATE("от ",Worksheet!X256," до +",Worksheet!Y256),"")</f>
        <v>от -15 до +50</v>
      </c>
      <c r="AC260" t="str">
        <f>IF(Worksheet!Z256&lt;&gt;"",CONCATENATE("от ",Worksheet!Z256," до +",Worksheet!AA256),"")</f>
        <v>от -15 до +24</v>
      </c>
      <c r="AD260" s="6" t="s">
        <v>5173</v>
      </c>
      <c r="AE260" s="17"/>
    </row>
    <row r="261" spans="1:31" x14ac:dyDescent="0.25">
      <c r="A261" s="17" t="str">
        <f>IF(Worksheet!B257&lt;&gt;"",Worksheet!B257,"")</f>
        <v>LESSAR</v>
      </c>
      <c r="B261" t="str">
        <f>Worksheet!E257</f>
        <v>Мульти сплит система</v>
      </c>
      <c r="C261" s="21">
        <f>IF(Worksheet!M257&lt;&gt;"",MID(Worksheet!M257,1,FIND(" ",Worksheet!M257,1)-1),"")*1</f>
        <v>6.15</v>
      </c>
      <c r="D261">
        <f t="shared" si="11"/>
        <v>61</v>
      </c>
      <c r="E261" t="str">
        <f>IF(Worksheet!L257&lt;&gt;"",IF(Worksheet!L257="Y","да","нет"),"")</f>
        <v>да</v>
      </c>
      <c r="F261" s="21">
        <f>IF(Worksheet!N257&lt;&gt;"",MID(Worksheet!N257,1,FIND(" ",Worksheet!N257,1)-1),"")*1</f>
        <v>6.59</v>
      </c>
      <c r="G261" s="21">
        <f>IF(Worksheet!O257&lt;&gt;"",MID(Worksheet!O257,1,FIND(" ",Worksheet!O257,1)-1),"")*1</f>
        <v>1.9</v>
      </c>
      <c r="H261" s="21">
        <f>IF(Worksheet!P257&lt;&gt;"",MID(Worksheet!P257,1,FIND(" ",Worksheet!P257,1)-1),"")*1</f>
        <v>1.77</v>
      </c>
      <c r="I261" s="6"/>
      <c r="J261" s="6"/>
      <c r="K261" t="str">
        <f>IF(Worksheet!BI257&lt;&gt;"",Worksheet!BI257,"")</f>
        <v>1 / 220 / 50</v>
      </c>
      <c r="L261" t="str">
        <f>IF(Worksheet!AU257&lt;&gt;"",Worksheet!AU257,"")</f>
        <v>R32</v>
      </c>
      <c r="M261" s="6"/>
      <c r="N261" s="6"/>
      <c r="O261" t="str">
        <f>IF(Worksheet!CR257&lt;&gt;"",CONCATENATE(Worksheet!CR257," х ",Worksheet!CP257," х ",Worksheet!CT257),"")</f>
        <v/>
      </c>
      <c r="P261" t="str">
        <f>IF(Worksheet!CS257&lt;&gt;"",CONCATENATE(Worksheet!CS257," х ",Worksheet!CU257," х ",Worksheet!CQ257),"")</f>
        <v/>
      </c>
      <c r="Q261" t="str">
        <f>IF(Worksheet!CV257&lt;&gt;"",CONCATENATE(Worksheet!CV257," / ",Worksheet!CW257),"")</f>
        <v/>
      </c>
      <c r="R261" t="str">
        <f>IF(Worksheet!BS257&lt;&gt;"",Worksheet!BS257,"")</f>
        <v/>
      </c>
      <c r="S261" t="str">
        <f>IF(Worksheet!AL257&lt;&gt;"",Worksheet!AL257,"")</f>
        <v>GMCC</v>
      </c>
      <c r="T261" t="str">
        <f>IF(Worksheet!CJ257&lt;&gt;"",CONCATENATE(Worksheet!CJ257," х ",Worksheet!CL257," х ",Worksheet!CH257),"")</f>
        <v/>
      </c>
      <c r="U261" t="str">
        <f>IF(Worksheet!CK257&lt;&gt;"",CONCATENATE(Worksheet!CK257," х ",Worksheet!CM257," х ",Worksheet!CI257),"")</f>
        <v/>
      </c>
      <c r="V261" t="str">
        <f>IF(Worksheet!CN257&lt;&gt;"",CONCATENATE(Worksheet!CN257,"/",Worksheet!CO257),"")</f>
        <v/>
      </c>
      <c r="W261" s="6"/>
      <c r="X261" s="25"/>
      <c r="Y261" s="25"/>
      <c r="Z261" s="17">
        <f>IF(Worksheet!Q257&lt;&gt;"",Worksheet!Q257,"")</f>
        <v>60</v>
      </c>
      <c r="AA261" s="17">
        <f>IF(Worksheet!R257&lt;&gt;"",Worksheet!R257,"")</f>
        <v>15</v>
      </c>
      <c r="AB261" t="str">
        <f>IF(Worksheet!X257&lt;&gt;"",CONCATENATE("от ",Worksheet!X257," до +",Worksheet!Y257),"")</f>
        <v>от -15 до +50</v>
      </c>
      <c r="AC261" t="str">
        <f>IF(Worksheet!Z257&lt;&gt;"",CONCATENATE("от ",Worksheet!Z257," до +",Worksheet!AA257),"")</f>
        <v>от -15 до +24</v>
      </c>
      <c r="AD261" s="6" t="s">
        <v>5173</v>
      </c>
      <c r="AE261" s="17"/>
    </row>
    <row r="262" spans="1:31" x14ac:dyDescent="0.25">
      <c r="A262" s="17" t="str">
        <f>IF(Worksheet!B258&lt;&gt;"",Worksheet!B258,"")</f>
        <v>LESSAR</v>
      </c>
      <c r="B262" t="str">
        <f>Worksheet!E258</f>
        <v>Мульти сплит система</v>
      </c>
      <c r="C262" s="21">
        <f>IF(Worksheet!M258&lt;&gt;"",MID(Worksheet!M258,1,FIND(" ",Worksheet!M258,1)-1),"")*1</f>
        <v>6.15</v>
      </c>
      <c r="D262">
        <f t="shared" si="11"/>
        <v>61</v>
      </c>
      <c r="E262" t="str">
        <f>IF(Worksheet!L258&lt;&gt;"",IF(Worksheet!L258="Y","да","нет"),"")</f>
        <v>да</v>
      </c>
      <c r="F262" s="21">
        <f>IF(Worksheet!N258&lt;&gt;"",MID(Worksheet!N258,1,FIND(" ",Worksheet!N258,1)-1),"")*1</f>
        <v>6.45</v>
      </c>
      <c r="G262" s="21">
        <f>IF(Worksheet!O258&lt;&gt;"",MID(Worksheet!O258,1,FIND(" ",Worksheet!O258,1)-1),"")*1</f>
        <v>1.905</v>
      </c>
      <c r="H262" s="21">
        <f>IF(Worksheet!P258&lt;&gt;"",MID(Worksheet!P258,1,FIND(" ",Worksheet!P258,1)-1),"")*1</f>
        <v>1.738</v>
      </c>
      <c r="I262" s="6"/>
      <c r="J262" s="6"/>
      <c r="K262" t="str">
        <f>IF(Worksheet!BI258&lt;&gt;"",Worksheet!BI258,"")</f>
        <v>1 / 220 / 50</v>
      </c>
      <c r="L262" t="str">
        <f>IF(Worksheet!AU258&lt;&gt;"",Worksheet!AU258,"")</f>
        <v>R32</v>
      </c>
      <c r="M262" s="6"/>
      <c r="N262" s="6"/>
      <c r="O262" t="str">
        <f>IF(Worksheet!CR258&lt;&gt;"",CONCATENATE(Worksheet!CR258," х ",Worksheet!CP258," х ",Worksheet!CT258),"")</f>
        <v/>
      </c>
      <c r="P262" t="str">
        <f>IF(Worksheet!CS258&lt;&gt;"",CONCATENATE(Worksheet!CS258," х ",Worksheet!CU258," х ",Worksheet!CQ258),"")</f>
        <v/>
      </c>
      <c r="Q262" t="str">
        <f>IF(Worksheet!CV258&lt;&gt;"",CONCATENATE(Worksheet!CV258," / ",Worksheet!CW258),"")</f>
        <v/>
      </c>
      <c r="R262" t="str">
        <f>IF(Worksheet!BS258&lt;&gt;"",Worksheet!BS258,"")</f>
        <v/>
      </c>
      <c r="S262" t="str">
        <f>IF(Worksheet!AL258&lt;&gt;"",Worksheet!AL258,"")</f>
        <v>GMCC</v>
      </c>
      <c r="T262" t="str">
        <f>IF(Worksheet!CJ258&lt;&gt;"",CONCATENATE(Worksheet!CJ258," х ",Worksheet!CL258," х ",Worksheet!CH258),"")</f>
        <v/>
      </c>
      <c r="U262" t="str">
        <f>IF(Worksheet!CK258&lt;&gt;"",CONCATENATE(Worksheet!CK258," х ",Worksheet!CM258," х ",Worksheet!CI258),"")</f>
        <v/>
      </c>
      <c r="V262" t="str">
        <f>IF(Worksheet!CN258&lt;&gt;"",CONCATENATE(Worksheet!CN258,"/",Worksheet!CO258),"")</f>
        <v/>
      </c>
      <c r="W262" s="6"/>
      <c r="X262" s="25"/>
      <c r="Y262" s="25"/>
      <c r="Z262" s="17">
        <f>IF(Worksheet!Q258&lt;&gt;"",Worksheet!Q258,"")</f>
        <v>60</v>
      </c>
      <c r="AA262" s="17">
        <f>IF(Worksheet!R258&lt;&gt;"",Worksheet!R258,"")</f>
        <v>15</v>
      </c>
      <c r="AB262" t="str">
        <f>IF(Worksheet!X258&lt;&gt;"",CONCATENATE("от ",Worksheet!X258," до +",Worksheet!Y258),"")</f>
        <v>от -15 до +50</v>
      </c>
      <c r="AC262" t="str">
        <f>IF(Worksheet!Z258&lt;&gt;"",CONCATENATE("от ",Worksheet!Z258," до +",Worksheet!AA258),"")</f>
        <v>от -15 до +24</v>
      </c>
      <c r="AD262" s="6" t="s">
        <v>5173</v>
      </c>
      <c r="AE262" s="17"/>
    </row>
    <row r="263" spans="1:31" x14ac:dyDescent="0.25">
      <c r="A263" s="17" t="str">
        <f>IF(Worksheet!B259&lt;&gt;"",Worksheet!B259,"")</f>
        <v>LESSAR</v>
      </c>
      <c r="B263" t="str">
        <f>Worksheet!E259</f>
        <v>Мульти сплит система</v>
      </c>
      <c r="C263" s="21">
        <f>IF(Worksheet!M259&lt;&gt;"",MID(Worksheet!M259,1,FIND(" ",Worksheet!M259,1)-1),"")*1</f>
        <v>7.91</v>
      </c>
      <c r="D263">
        <f t="shared" si="11"/>
        <v>79</v>
      </c>
      <c r="E263" t="str">
        <f>IF(Worksheet!L259&lt;&gt;"",IF(Worksheet!L259="Y","да","нет"),"")</f>
        <v>да</v>
      </c>
      <c r="F263" s="21">
        <f>IF(Worksheet!N259&lt;&gt;"",MID(Worksheet!N259,1,FIND(" ",Worksheet!N259,1)-1),"")*1</f>
        <v>8.2100000000000009</v>
      </c>
      <c r="G263" s="21">
        <f>IF(Worksheet!O259&lt;&gt;"",MID(Worksheet!O259,1,FIND(" ",Worksheet!O259,1)-1),"")*1</f>
        <v>2.4500000000000002</v>
      </c>
      <c r="H263" s="21">
        <f>IF(Worksheet!P259&lt;&gt;"",MID(Worksheet!P259,1,FIND(" ",Worksheet!P259,1)-1),"")*1</f>
        <v>2.2000000000000002</v>
      </c>
      <c r="I263" s="6"/>
      <c r="J263" s="6"/>
      <c r="K263" t="str">
        <f>IF(Worksheet!BI259&lt;&gt;"",Worksheet!BI259,"")</f>
        <v>1 / 220 / 50</v>
      </c>
      <c r="L263" t="str">
        <f>IF(Worksheet!AU259&lt;&gt;"",Worksheet!AU259,"")</f>
        <v>R32</v>
      </c>
      <c r="M263" s="6"/>
      <c r="N263" s="6"/>
      <c r="O263" t="str">
        <f>IF(Worksheet!CR259&lt;&gt;"",CONCATENATE(Worksheet!CR259," х ",Worksheet!CP259," х ",Worksheet!CT259),"")</f>
        <v/>
      </c>
      <c r="P263" t="str">
        <f>IF(Worksheet!CS259&lt;&gt;"",CONCATENATE(Worksheet!CS259," х ",Worksheet!CU259," х ",Worksheet!CQ259),"")</f>
        <v/>
      </c>
      <c r="Q263" t="str">
        <f>IF(Worksheet!CV259&lt;&gt;"",CONCATENATE(Worksheet!CV259," / ",Worksheet!CW259),"")</f>
        <v/>
      </c>
      <c r="R263" t="str">
        <f>IF(Worksheet!BS259&lt;&gt;"",Worksheet!BS259,"")</f>
        <v/>
      </c>
      <c r="S263" t="str">
        <f>IF(Worksheet!AL259&lt;&gt;"",Worksheet!AL259,"")</f>
        <v>GMCC</v>
      </c>
      <c r="T263" t="str">
        <f>IF(Worksheet!CJ259&lt;&gt;"",CONCATENATE(Worksheet!CJ259," х ",Worksheet!CL259," х ",Worksheet!CH259),"")</f>
        <v/>
      </c>
      <c r="U263" t="str">
        <f>IF(Worksheet!CK259&lt;&gt;"",CONCATENATE(Worksheet!CK259," х ",Worksheet!CM259," х ",Worksheet!CI259),"")</f>
        <v/>
      </c>
      <c r="V263" t="str">
        <f>IF(Worksheet!CN259&lt;&gt;"",CONCATENATE(Worksheet!CN259,"/",Worksheet!CO259),"")</f>
        <v/>
      </c>
      <c r="W263" s="6"/>
      <c r="X263" s="25"/>
      <c r="Y263" s="25"/>
      <c r="Z263" s="17">
        <f>IF(Worksheet!Q259&lt;&gt;"",Worksheet!Q259,"")</f>
        <v>60</v>
      </c>
      <c r="AA263" s="17">
        <f>IF(Worksheet!R259&lt;&gt;"",Worksheet!R259,"")</f>
        <v>15</v>
      </c>
      <c r="AB263" t="str">
        <f>IF(Worksheet!X259&lt;&gt;"",CONCATENATE("от ",Worksheet!X259," до +",Worksheet!Y259),"")</f>
        <v>от -15 до +50</v>
      </c>
      <c r="AC263" t="str">
        <f>IF(Worksheet!Z259&lt;&gt;"",CONCATENATE("от ",Worksheet!Z259," до +",Worksheet!AA259),"")</f>
        <v>от -15 до +24</v>
      </c>
      <c r="AD263" s="6" t="s">
        <v>5173</v>
      </c>
      <c r="AE263" s="17"/>
    </row>
    <row r="264" spans="1:31" x14ac:dyDescent="0.25">
      <c r="A264" s="17" t="str">
        <f>IF(Worksheet!B260&lt;&gt;"",Worksheet!B260,"")</f>
        <v>LESSAR</v>
      </c>
      <c r="B264" t="str">
        <f>Worksheet!E260</f>
        <v>Мульти сплит система</v>
      </c>
      <c r="C264" s="21">
        <f>IF(Worksheet!M260&lt;&gt;"",MID(Worksheet!M260,1,FIND(" ",Worksheet!M260,1)-1),"")*1</f>
        <v>7.91</v>
      </c>
      <c r="D264">
        <f t="shared" si="11"/>
        <v>79</v>
      </c>
      <c r="E264" t="str">
        <f>IF(Worksheet!L260&lt;&gt;"",IF(Worksheet!L260="Y","да","нет"),"")</f>
        <v>да</v>
      </c>
      <c r="F264" s="21">
        <f>IF(Worksheet!N260&lt;&gt;"",MID(Worksheet!N260,1,FIND(" ",Worksheet!N260,1)-1),"")*1</f>
        <v>7.91</v>
      </c>
      <c r="G264" s="21">
        <f>IF(Worksheet!O260&lt;&gt;"",MID(Worksheet!O260,1,FIND(" ",Worksheet!O260,1)-1),"")*1</f>
        <v>2.4500000000000002</v>
      </c>
      <c r="H264" s="21">
        <f>IF(Worksheet!P260&lt;&gt;"",MID(Worksheet!P260,1,FIND(" ",Worksheet!P260,1)-1),"")*1</f>
        <v>2.12</v>
      </c>
      <c r="I264" s="6"/>
      <c r="J264" s="6"/>
      <c r="K264" t="str">
        <f>IF(Worksheet!BI260&lt;&gt;"",Worksheet!BI260,"")</f>
        <v>1 / 220 / 50</v>
      </c>
      <c r="L264" t="str">
        <f>IF(Worksheet!AU260&lt;&gt;"",Worksheet!AU260,"")</f>
        <v>R32</v>
      </c>
      <c r="M264" s="6"/>
      <c r="N264" s="6"/>
      <c r="O264" t="str">
        <f>IF(Worksheet!CR260&lt;&gt;"",CONCATENATE(Worksheet!CR260," х ",Worksheet!CP260," х ",Worksheet!CT260),"")</f>
        <v/>
      </c>
      <c r="P264" t="str">
        <f>IF(Worksheet!CS260&lt;&gt;"",CONCATENATE(Worksheet!CS260," х ",Worksheet!CU260," х ",Worksheet!CQ260),"")</f>
        <v/>
      </c>
      <c r="Q264" t="str">
        <f>IF(Worksheet!CV260&lt;&gt;"",CONCATENATE(Worksheet!CV260," / ",Worksheet!CW260),"")</f>
        <v/>
      </c>
      <c r="R264" t="str">
        <f>IF(Worksheet!BS260&lt;&gt;"",Worksheet!BS260,"")</f>
        <v/>
      </c>
      <c r="S264" t="str">
        <f>IF(Worksheet!AL260&lt;&gt;"",Worksheet!AL260,"")</f>
        <v>GMCC</v>
      </c>
      <c r="T264" t="str">
        <f>IF(Worksheet!CJ260&lt;&gt;"",CONCATENATE(Worksheet!CJ260," х ",Worksheet!CL260," х ",Worksheet!CH260),"")</f>
        <v/>
      </c>
      <c r="U264" t="str">
        <f>IF(Worksheet!CK260&lt;&gt;"",CONCATENATE(Worksheet!CK260," х ",Worksheet!CM260," х ",Worksheet!CI260),"")</f>
        <v/>
      </c>
      <c r="V264" t="str">
        <f>IF(Worksheet!CN260&lt;&gt;"",CONCATENATE(Worksheet!CN260,"/",Worksheet!CO260),"")</f>
        <v/>
      </c>
      <c r="W264" s="6"/>
      <c r="X264" s="25"/>
      <c r="Y264" s="25"/>
      <c r="Z264" s="17">
        <f>IF(Worksheet!Q260&lt;&gt;"",Worksheet!Q260,"")</f>
        <v>60</v>
      </c>
      <c r="AA264" s="17">
        <f>IF(Worksheet!R260&lt;&gt;"",Worksheet!R260,"")</f>
        <v>15</v>
      </c>
      <c r="AB264" t="str">
        <f>IF(Worksheet!X260&lt;&gt;"",CONCATENATE("от ",Worksheet!X260," до +",Worksheet!Y260),"")</f>
        <v>от -15 до +50</v>
      </c>
      <c r="AC264" t="str">
        <f>IF(Worksheet!Z260&lt;&gt;"",CONCATENATE("от ",Worksheet!Z260," до +",Worksheet!AA260),"")</f>
        <v>от -15 до +24</v>
      </c>
      <c r="AD264" s="6" t="s">
        <v>5173</v>
      </c>
      <c r="AE264" s="17"/>
    </row>
    <row r="265" spans="1:31" x14ac:dyDescent="0.25">
      <c r="A265" s="17" t="str">
        <f>IF(Worksheet!B261&lt;&gt;"",Worksheet!B261,"")</f>
        <v>LESSAR</v>
      </c>
      <c r="B265" t="str">
        <f>Worksheet!E261</f>
        <v>Мульти сплит система</v>
      </c>
      <c r="C265" s="21">
        <f>IF(Worksheet!M261&lt;&gt;"",MID(Worksheet!M261,1,FIND(" ",Worksheet!M261,1)-1),"")*1</f>
        <v>8.2100000000000009</v>
      </c>
      <c r="D265">
        <f t="shared" si="11"/>
        <v>82</v>
      </c>
      <c r="E265" t="str">
        <f>IF(Worksheet!L261&lt;&gt;"",IF(Worksheet!L261="Y","да","нет"),"")</f>
        <v>да</v>
      </c>
      <c r="F265" s="21">
        <f>IF(Worksheet!N261&lt;&gt;"",MID(Worksheet!N261,1,FIND(" ",Worksheet!N261,1)-1),"")*1</f>
        <v>8.7899999999999991</v>
      </c>
      <c r="G265" s="21">
        <f>IF(Worksheet!O261&lt;&gt;"",MID(Worksheet!O261,1,FIND(" ",Worksheet!O261,1)-1),"")*1</f>
        <v>2.5</v>
      </c>
      <c r="H265" s="21">
        <f>IF(Worksheet!P261&lt;&gt;"",MID(Worksheet!P261,1,FIND(" ",Worksheet!P261,1)-1),"")*1</f>
        <v>2.4</v>
      </c>
      <c r="I265" s="6"/>
      <c r="J265" s="6"/>
      <c r="K265" t="str">
        <f>IF(Worksheet!BI261&lt;&gt;"",Worksheet!BI261,"")</f>
        <v>1 / 220 / 50</v>
      </c>
      <c r="L265" t="str">
        <f>IF(Worksheet!AU261&lt;&gt;"",Worksheet!AU261,"")</f>
        <v>R32</v>
      </c>
      <c r="M265" s="6"/>
      <c r="N265" s="6"/>
      <c r="O265" t="str">
        <f>IF(Worksheet!CR261&lt;&gt;"",CONCATENATE(Worksheet!CR261," х ",Worksheet!CP261," х ",Worksheet!CT261),"")</f>
        <v/>
      </c>
      <c r="P265" t="str">
        <f>IF(Worksheet!CS261&lt;&gt;"",CONCATENATE(Worksheet!CS261," х ",Worksheet!CU261," х ",Worksheet!CQ261),"")</f>
        <v/>
      </c>
      <c r="Q265" t="str">
        <f>IF(Worksheet!CV261&lt;&gt;"",CONCATENATE(Worksheet!CV261," / ",Worksheet!CW261),"")</f>
        <v/>
      </c>
      <c r="R265" t="str">
        <f>IF(Worksheet!BS261&lt;&gt;"",Worksheet!BS261,"")</f>
        <v/>
      </c>
      <c r="S265" t="str">
        <f>IF(Worksheet!AL261&lt;&gt;"",Worksheet!AL261,"")</f>
        <v>GMCC</v>
      </c>
      <c r="T265" t="str">
        <f>IF(Worksheet!CJ261&lt;&gt;"",CONCATENATE(Worksheet!CJ261," х ",Worksheet!CL261," х ",Worksheet!CH261),"")</f>
        <v/>
      </c>
      <c r="U265" t="str">
        <f>IF(Worksheet!CK261&lt;&gt;"",CONCATENATE(Worksheet!CK261," х ",Worksheet!CM261," х ",Worksheet!CI261),"")</f>
        <v/>
      </c>
      <c r="V265" t="str">
        <f>IF(Worksheet!CN261&lt;&gt;"",CONCATENATE(Worksheet!CN261,"/",Worksheet!CO261),"")</f>
        <v/>
      </c>
      <c r="W265" s="6"/>
      <c r="X265" s="25"/>
      <c r="Y265" s="25"/>
      <c r="Z265" s="17">
        <f>IF(Worksheet!Q261&lt;&gt;"",Worksheet!Q261,"")</f>
        <v>80</v>
      </c>
      <c r="AA265" s="17">
        <f>IF(Worksheet!R261&lt;&gt;"",Worksheet!R261,"")</f>
        <v>15</v>
      </c>
      <c r="AB265" t="str">
        <f>IF(Worksheet!X261&lt;&gt;"",CONCATENATE("от ",Worksheet!X261," до +",Worksheet!Y261),"")</f>
        <v>от -15 до +50</v>
      </c>
      <c r="AC265" t="str">
        <f>IF(Worksheet!Z261&lt;&gt;"",CONCATENATE("от ",Worksheet!Z261," до +",Worksheet!AA261),"")</f>
        <v>от -15 до +24</v>
      </c>
      <c r="AD265" s="6" t="s">
        <v>5173</v>
      </c>
      <c r="AE265" s="17"/>
    </row>
    <row r="266" spans="1:31" x14ac:dyDescent="0.25">
      <c r="A266" s="17" t="str">
        <f>IF(Worksheet!B262&lt;&gt;"",Worksheet!B262,"")</f>
        <v>LESSAR</v>
      </c>
      <c r="B266" t="str">
        <f>Worksheet!E262</f>
        <v>Мульти сплит система</v>
      </c>
      <c r="C266" s="21">
        <f>IF(Worksheet!M262&lt;&gt;"",MID(Worksheet!M262,1,FIND(" ",Worksheet!M262,1)-1),"")*1</f>
        <v>10.55</v>
      </c>
      <c r="D266">
        <f t="shared" si="11"/>
        <v>100</v>
      </c>
      <c r="E266" t="str">
        <f>IF(Worksheet!L262&lt;&gt;"",IF(Worksheet!L262="Y","да","нет"),"")</f>
        <v>да</v>
      </c>
      <c r="F266" s="21">
        <f>IF(Worksheet!N262&lt;&gt;"",MID(Worksheet!N262,1,FIND(" ",Worksheet!N262,1)-1),"")*1</f>
        <v>10.55</v>
      </c>
      <c r="G266" s="21">
        <f>IF(Worksheet!O262&lt;&gt;"",MID(Worksheet!O262,1,FIND(" ",Worksheet!O262,1)-1),"")*1</f>
        <v>3.5169999999999999</v>
      </c>
      <c r="H266" s="21">
        <f>IF(Worksheet!P262&lt;&gt;"",MID(Worksheet!P262,1,FIND(" ",Worksheet!P262,1)-1),"")*1</f>
        <v>2.88</v>
      </c>
      <c r="I266" s="6"/>
      <c r="J266" s="6"/>
      <c r="K266" t="str">
        <f>IF(Worksheet!BI262&lt;&gt;"",Worksheet!BI262,"")</f>
        <v>1 / 220 / 50</v>
      </c>
      <c r="L266" t="str">
        <f>IF(Worksheet!AU262&lt;&gt;"",Worksheet!AU262,"")</f>
        <v>R32</v>
      </c>
      <c r="M266" s="6"/>
      <c r="N266" s="6"/>
      <c r="O266" t="str">
        <f>IF(Worksheet!CR262&lt;&gt;"",CONCATENATE(Worksheet!CR262," х ",Worksheet!CP262," х ",Worksheet!CT262),"")</f>
        <v/>
      </c>
      <c r="P266" t="str">
        <f>IF(Worksheet!CS262&lt;&gt;"",CONCATENATE(Worksheet!CS262," х ",Worksheet!CU262," х ",Worksheet!CQ262),"")</f>
        <v/>
      </c>
      <c r="Q266" t="str">
        <f>IF(Worksheet!CV262&lt;&gt;"",CONCATENATE(Worksheet!CV262," / ",Worksheet!CW262),"")</f>
        <v/>
      </c>
      <c r="R266" t="str">
        <f>IF(Worksheet!BS262&lt;&gt;"",Worksheet!BS262,"")</f>
        <v/>
      </c>
      <c r="S266" t="str">
        <f>IF(Worksheet!AL262&lt;&gt;"",Worksheet!AL262,"")</f>
        <v>GMCC</v>
      </c>
      <c r="T266" t="str">
        <f>IF(Worksheet!CJ262&lt;&gt;"",CONCATENATE(Worksheet!CJ262," х ",Worksheet!CL262," х ",Worksheet!CH262),"")</f>
        <v/>
      </c>
      <c r="U266" t="str">
        <f>IF(Worksheet!CK262&lt;&gt;"",CONCATENATE(Worksheet!CK262," х ",Worksheet!CM262," х ",Worksheet!CI262),"")</f>
        <v/>
      </c>
      <c r="V266" t="str">
        <f>IF(Worksheet!CN262&lt;&gt;"",CONCATENATE(Worksheet!CN262,"/",Worksheet!CO262),"")</f>
        <v/>
      </c>
      <c r="W266" s="6"/>
      <c r="X266" s="25"/>
      <c r="Y266" s="25"/>
      <c r="Z266" s="17">
        <f>IF(Worksheet!Q262&lt;&gt;"",Worksheet!Q262,"")</f>
        <v>80</v>
      </c>
      <c r="AA266" s="17">
        <f>IF(Worksheet!R262&lt;&gt;"",Worksheet!R262,"")</f>
        <v>15</v>
      </c>
      <c r="AB266" t="str">
        <f>IF(Worksheet!X262&lt;&gt;"",CONCATENATE("от ",Worksheet!X262," до +",Worksheet!Y262),"")</f>
        <v>от -15 до +50</v>
      </c>
      <c r="AC266" t="str">
        <f>IF(Worksheet!Z262&lt;&gt;"",CONCATENATE("от ",Worksheet!Z262," до +",Worksheet!AA262),"")</f>
        <v>от -15 до +24</v>
      </c>
      <c r="AD266" s="6" t="s">
        <v>5173</v>
      </c>
      <c r="AE266" s="17"/>
    </row>
    <row r="267" spans="1:31" x14ac:dyDescent="0.25">
      <c r="A267" s="17" t="str">
        <f>IF(Worksheet!B263&lt;&gt;"",Worksheet!B263,"")</f>
        <v>LESSAR</v>
      </c>
      <c r="B267" t="str">
        <f>Worksheet!E263</f>
        <v>Мульти сплит система</v>
      </c>
      <c r="C267" s="21">
        <f>IF(Worksheet!M263&lt;&gt;"",MID(Worksheet!M263,1,FIND(" ",Worksheet!M263,1)-1),"")*1</f>
        <v>12.31</v>
      </c>
      <c r="D267">
        <f t="shared" si="11"/>
        <v>120</v>
      </c>
      <c r="E267" t="str">
        <f>IF(Worksheet!L263&lt;&gt;"",IF(Worksheet!L263="Y","да","нет"),"")</f>
        <v>да</v>
      </c>
      <c r="F267" s="21">
        <f>IF(Worksheet!N263&lt;&gt;"",MID(Worksheet!N263,1,FIND(" ",Worksheet!N263,1)-1),"")*1</f>
        <v>12.31</v>
      </c>
      <c r="G267" s="21">
        <f>IF(Worksheet!O263&lt;&gt;"",MID(Worksheet!O263,1,FIND(" ",Worksheet!O263,1)-1),"")*1</f>
        <v>3.8</v>
      </c>
      <c r="H267" s="21">
        <f>IF(Worksheet!P263&lt;&gt;"",MID(Worksheet!P263,1,FIND(" ",Worksheet!P263,1)-1),"")*1</f>
        <v>3.3</v>
      </c>
      <c r="I267" s="6"/>
      <c r="J267" s="6"/>
      <c r="K267" t="str">
        <f>IF(Worksheet!BI263&lt;&gt;"",Worksheet!BI263,"")</f>
        <v>1 / 220 / 50</v>
      </c>
      <c r="L267" t="str">
        <f>IF(Worksheet!AU263&lt;&gt;"",Worksheet!AU263,"")</f>
        <v>R32</v>
      </c>
      <c r="M267" s="6"/>
      <c r="N267" s="6"/>
      <c r="O267" t="str">
        <f>IF(Worksheet!CR263&lt;&gt;"",CONCATENATE(Worksheet!CR263," х ",Worksheet!CP263," х ",Worksheet!CT263),"")</f>
        <v/>
      </c>
      <c r="P267" t="str">
        <f>IF(Worksheet!CS263&lt;&gt;"",CONCATENATE(Worksheet!CS263," х ",Worksheet!CU263," х ",Worksheet!CQ263),"")</f>
        <v/>
      </c>
      <c r="Q267" t="str">
        <f>IF(Worksheet!CV263&lt;&gt;"",CONCATENATE(Worksheet!CV263," / ",Worksheet!CW263),"")</f>
        <v/>
      </c>
      <c r="R267" t="str">
        <f>IF(Worksheet!BS263&lt;&gt;"",Worksheet!BS263,"")</f>
        <v/>
      </c>
      <c r="S267" t="str">
        <f>IF(Worksheet!AL263&lt;&gt;"",Worksheet!AL263,"")</f>
        <v>GMCC</v>
      </c>
      <c r="T267" t="str">
        <f>IF(Worksheet!CJ263&lt;&gt;"",CONCATENATE(Worksheet!CJ263," х ",Worksheet!CL263," х ",Worksheet!CH263),"")</f>
        <v/>
      </c>
      <c r="U267" t="str">
        <f>IF(Worksheet!CK263&lt;&gt;"",CONCATENATE(Worksheet!CK263," х ",Worksheet!CM263," х ",Worksheet!CI263),"")</f>
        <v/>
      </c>
      <c r="V267" t="str">
        <f>IF(Worksheet!CN263&lt;&gt;"",CONCATENATE(Worksheet!CN263,"/",Worksheet!CO263),"")</f>
        <v/>
      </c>
      <c r="W267" s="6"/>
      <c r="X267" s="25"/>
      <c r="Y267" s="25"/>
      <c r="Z267" s="17">
        <f>IF(Worksheet!Q263&lt;&gt;"",Worksheet!Q263,"")</f>
        <v>80</v>
      </c>
      <c r="AA267" s="17">
        <f>IF(Worksheet!R263&lt;&gt;"",Worksheet!R263,"")</f>
        <v>15</v>
      </c>
      <c r="AB267" t="str">
        <f>IF(Worksheet!X263&lt;&gt;"",CONCATENATE("от ",Worksheet!X263," до +",Worksheet!Y263),"")</f>
        <v>от -15 до +50</v>
      </c>
      <c r="AC267" t="str">
        <f>IF(Worksheet!Z263&lt;&gt;"",CONCATENATE("от ",Worksheet!Z263," до +",Worksheet!AA263),"")</f>
        <v>от -15 до +24</v>
      </c>
      <c r="AD267" s="6" t="s">
        <v>5173</v>
      </c>
      <c r="AE267" s="17"/>
    </row>
    <row r="268" spans="1:31" x14ac:dyDescent="0.25">
      <c r="A268" s="17" t="str">
        <f>IF(Worksheet!B264&lt;&gt;"",Worksheet!B264,"")</f>
        <v>QUATTROCLIMA</v>
      </c>
      <c r="B268" t="str">
        <f>Worksheet!E264</f>
        <v>Сплит система</v>
      </c>
      <c r="C268">
        <f>IF(Worksheet!M264&lt;&gt;"",Worksheet!M264,"")</f>
        <v>2.0499999999999998</v>
      </c>
      <c r="D268">
        <f t="shared" ref="D268:D326" si="12">ROUND(C268*10,0)</f>
        <v>21</v>
      </c>
      <c r="E268" t="str">
        <f>IF(Worksheet!L264&lt;&gt;"",IF(Worksheet!L264="Y","да","нет"),"")</f>
        <v>нет</v>
      </c>
      <c r="F268">
        <f>IF(Worksheet!N264&lt;&gt;"",Worksheet!N264,"")</f>
        <v>2.2000000000000002</v>
      </c>
      <c r="G268">
        <f>IF(Worksheet!O264&lt;&gt;"",Worksheet!O264,"")</f>
        <v>0.64</v>
      </c>
      <c r="H268">
        <f>IF(Worksheet!P264&lt;&gt;"",Worksheet!P264,"")</f>
        <v>0.61</v>
      </c>
      <c r="I268" s="6"/>
      <c r="J268" s="6"/>
      <c r="K268" t="str">
        <f>IF(Worksheet!BI264&lt;&gt;"",Worksheet!BI264,"")</f>
        <v>1 / 220 / 50</v>
      </c>
      <c r="L268" t="str">
        <f>IF(Worksheet!AU264&lt;&gt;"",Worksheet!AU264,"")</f>
        <v>R410A</v>
      </c>
      <c r="M268" s="6"/>
      <c r="N268" s="6"/>
      <c r="O268" t="str">
        <f>IF(Worksheet!CR264&lt;&gt;"",CONCATENATE(Worksheet!CR264," х ",Worksheet!CP264," х ",Worksheet!CT264),"")</f>
        <v>698 х 255 х 190</v>
      </c>
      <c r="P268" t="str">
        <f>IF(Worksheet!CS264&lt;&gt;"",CONCATENATE(Worksheet!CS264," х ",Worksheet!CU264," х ",Worksheet!CQ264),"")</f>
        <v>764 х 257 х 325</v>
      </c>
      <c r="Q268" t="str">
        <f>IF(Worksheet!CV264&lt;&gt;"",CONCATENATE(Worksheet!CV264," / ",Worksheet!CW264),"")</f>
        <v>7 / 8.5</v>
      </c>
      <c r="R268" t="str">
        <f>IF(Worksheet!BS264&lt;&gt;"",Worksheet!BS264,"")</f>
        <v>24/26/28/31/34</v>
      </c>
      <c r="S268" t="str">
        <f>IF(Worksheet!AL264&lt;&gt;"",Worksheet!AL264,"")</f>
        <v>GMCC</v>
      </c>
      <c r="T268" t="str">
        <f>IF(Worksheet!CJ264&lt;&gt;"",CONCATENATE(Worksheet!CJ264," х ",Worksheet!CL264," х ",Worksheet!CH264),"")</f>
        <v>777 х 290 х 498</v>
      </c>
      <c r="U268" t="str">
        <f>IF(Worksheet!CK264&lt;&gt;"",CONCATENATE(Worksheet!CK264," х ",Worksheet!CM264," х ",Worksheet!CI264),"")</f>
        <v>818 х 325 х 520</v>
      </c>
      <c r="V268" t="str">
        <f>IF(Worksheet!CN264&lt;&gt;"",CONCATENATE(Worksheet!CN264,"/",Worksheet!CO264),"")</f>
        <v>22/25</v>
      </c>
      <c r="W268" s="6"/>
      <c r="X268" s="7">
        <f>IF(Worksheet!AN264&lt;&gt;"",Worksheet!AN264,"")</f>
        <v>6.35</v>
      </c>
      <c r="Y268" s="7">
        <f>IF(Worksheet!AO264&lt;&gt;"",Worksheet!AO264,"")</f>
        <v>9.52</v>
      </c>
      <c r="Z268" s="17">
        <f>IF(Worksheet!Q264&lt;&gt;"",Worksheet!Q264,"")</f>
        <v>15</v>
      </c>
      <c r="AA268" s="17">
        <f>IF(Worksheet!R264&lt;&gt;"",Worksheet!R264,"")</f>
        <v>5</v>
      </c>
      <c r="AB268" t="str">
        <f>IF(Worksheet!X264&lt;&gt;"",CONCATENATE("от ",Worksheet!X264," до +",Worksheet!Y264),"")</f>
        <v>от 15 до +43</v>
      </c>
      <c r="AC268" t="str">
        <f>IF(Worksheet!Z264&lt;&gt;"",CONCATENATE("от ",Worksheet!Z264," до +",Worksheet!AA264),"")</f>
        <v>от -7 до +24</v>
      </c>
      <c r="AD268" s="6" t="s">
        <v>5245</v>
      </c>
      <c r="AE268" s="17"/>
    </row>
    <row r="269" spans="1:31" x14ac:dyDescent="0.25">
      <c r="A269" s="17" t="str">
        <f>IF(Worksheet!B265&lt;&gt;"",Worksheet!B265,"")</f>
        <v>QUATTROCLIMA</v>
      </c>
      <c r="B269" t="str">
        <f>Worksheet!E265</f>
        <v>Сплит система</v>
      </c>
      <c r="C269">
        <f>IF(Worksheet!M265&lt;&gt;"",Worksheet!M265,"")</f>
        <v>2.2000000000000002</v>
      </c>
      <c r="D269">
        <f t="shared" si="12"/>
        <v>22</v>
      </c>
      <c r="E269" t="str">
        <f>IF(Worksheet!L265&lt;&gt;"",IF(Worksheet!L265="Y","да","нет"),"")</f>
        <v>нет</v>
      </c>
      <c r="F269">
        <f>IF(Worksheet!N265&lt;&gt;"",Worksheet!N265,"")</f>
        <v>2.2000000000000002</v>
      </c>
      <c r="G269">
        <f>IF(Worksheet!O265&lt;&gt;"",Worksheet!O265,"")</f>
        <v>0.68500000000000005</v>
      </c>
      <c r="H269">
        <f>IF(Worksheet!P265&lt;&gt;"",Worksheet!P265,"")</f>
        <v>0.60899999999999999</v>
      </c>
      <c r="I269" s="6"/>
      <c r="J269" s="6"/>
      <c r="K269" t="str">
        <f>IF(Worksheet!BI265&lt;&gt;"",Worksheet!BI265,"")</f>
        <v>1 / 220 / 50</v>
      </c>
      <c r="L269" t="str">
        <f>IF(Worksheet!AU265&lt;&gt;"",Worksheet!AU265,"")</f>
        <v>R410A</v>
      </c>
      <c r="M269" s="6"/>
      <c r="N269" s="6"/>
      <c r="O269" t="str">
        <f>IF(Worksheet!CR265&lt;&gt;"",CONCATENATE(Worksheet!CR265," х ",Worksheet!CP265," х ",Worksheet!CT265),"")</f>
        <v>777 х 250 х 201</v>
      </c>
      <c r="P269" t="str">
        <f>IF(Worksheet!CS265&lt;&gt;"",CONCATENATE(Worksheet!CS265," х ",Worksheet!CU265," х ",Worksheet!CQ265),"")</f>
        <v>850 х 275 х 320</v>
      </c>
      <c r="Q269" t="str">
        <f>IF(Worksheet!CV265&lt;&gt;"",CONCATENATE(Worksheet!CV265," / ",Worksheet!CW265),"")</f>
        <v>7.5 / 9.5</v>
      </c>
      <c r="R269" t="str">
        <f>IF(Worksheet!BS265&lt;&gt;"",Worksheet!BS265,"")</f>
        <v>28/31/34/37/40</v>
      </c>
      <c r="S269" t="str">
        <f>IF(Worksheet!AL265&lt;&gt;"",Worksheet!AL265,"")</f>
        <v>GMCC</v>
      </c>
      <c r="T269" t="str">
        <f>IF(Worksheet!CJ265&lt;&gt;"",CONCATENATE(Worksheet!CJ265," х ",Worksheet!CL265," х ",Worksheet!CH265),"")</f>
        <v>712 х 276 х 459</v>
      </c>
      <c r="U269" t="str">
        <f>IF(Worksheet!CK265&lt;&gt;"",CONCATENATE(Worksheet!CK265," х ",Worksheet!CM265," х ",Worksheet!CI265),"")</f>
        <v>765 х 310 х 481</v>
      </c>
      <c r="V269" t="str">
        <f>IF(Worksheet!CN265&lt;&gt;"",CONCATENATE(Worksheet!CN265,"/",Worksheet!CO265),"")</f>
        <v>20/23</v>
      </c>
      <c r="W269" s="6"/>
      <c r="X269" s="7">
        <f>IF(Worksheet!AN265&lt;&gt;"",Worksheet!AN265,"")</f>
        <v>6.35</v>
      </c>
      <c r="Y269" s="7">
        <f>IF(Worksheet!AO265&lt;&gt;"",Worksheet!AO265,"")</f>
        <v>9.52</v>
      </c>
      <c r="Z269" s="17">
        <f>IF(Worksheet!Q265&lt;&gt;"",Worksheet!Q265,"")</f>
        <v>15</v>
      </c>
      <c r="AA269" s="17">
        <f>IF(Worksheet!R265&lt;&gt;"",Worksheet!R265,"")</f>
        <v>5</v>
      </c>
      <c r="AB269" t="str">
        <f>IF(Worksheet!X265&lt;&gt;"",CONCATENATE("от ",Worksheet!X265," до +",Worksheet!Y265),"")</f>
        <v>от 15 до +43</v>
      </c>
      <c r="AC269" t="str">
        <f>IF(Worksheet!Z265&lt;&gt;"",CONCATENATE("от ",Worksheet!Z265," до +",Worksheet!AA265),"")</f>
        <v>от -7 до +24</v>
      </c>
      <c r="AD269" s="6" t="s">
        <v>5245</v>
      </c>
      <c r="AE269" s="17"/>
    </row>
    <row r="270" spans="1:31" x14ac:dyDescent="0.25">
      <c r="A270" s="17" t="str">
        <f>IF(Worksheet!B266&lt;&gt;"",Worksheet!B266,"")</f>
        <v>QUATTROCLIMA</v>
      </c>
      <c r="B270" t="str">
        <f>Worksheet!E266</f>
        <v>Сплит система</v>
      </c>
      <c r="C270">
        <f>IF(Worksheet!M266&lt;&gt;"",Worksheet!M266,"")</f>
        <v>2.64</v>
      </c>
      <c r="D270">
        <f t="shared" si="12"/>
        <v>26</v>
      </c>
      <c r="E270" t="str">
        <f>IF(Worksheet!L266&lt;&gt;"",IF(Worksheet!L266="Y","да","нет"),"")</f>
        <v>нет</v>
      </c>
      <c r="F270">
        <f>IF(Worksheet!N266&lt;&gt;"",Worksheet!N266,"")</f>
        <v>2.8</v>
      </c>
      <c r="G270">
        <f>IF(Worksheet!O266&lt;&gt;"",Worksheet!O266,"")</f>
        <v>0.82</v>
      </c>
      <c r="H270">
        <f>IF(Worksheet!P266&lt;&gt;"",Worksheet!P266,"")</f>
        <v>0.77500000000000002</v>
      </c>
      <c r="I270" s="6"/>
      <c r="J270" s="6"/>
      <c r="K270" t="str">
        <f>IF(Worksheet!BI266&lt;&gt;"",Worksheet!BI266,"")</f>
        <v>1 / 220 / 50</v>
      </c>
      <c r="L270" t="str">
        <f>IF(Worksheet!AU266&lt;&gt;"",Worksheet!AU266,"")</f>
        <v>R410A</v>
      </c>
      <c r="M270" s="6"/>
      <c r="N270" s="6"/>
      <c r="O270" t="str">
        <f>IF(Worksheet!CR266&lt;&gt;"",CONCATENATE(Worksheet!CR266," х ",Worksheet!CP266," х ",Worksheet!CT266),"")</f>
        <v>698 х 255 х 190</v>
      </c>
      <c r="P270" t="str">
        <f>IF(Worksheet!CS266&lt;&gt;"",CONCATENATE(Worksheet!CS266," х ",Worksheet!CU266," х ",Worksheet!CQ266),"")</f>
        <v>764 х 257 х 325</v>
      </c>
      <c r="Q270" t="str">
        <f>IF(Worksheet!CV266&lt;&gt;"",CONCATENATE(Worksheet!CV266," / ",Worksheet!CW266),"")</f>
        <v>7 / 8.5</v>
      </c>
      <c r="R270" t="str">
        <f>IF(Worksheet!BS266&lt;&gt;"",Worksheet!BS266,"")</f>
        <v>25/26/28/32/35</v>
      </c>
      <c r="S270" t="str">
        <f>IF(Worksheet!AL266&lt;&gt;"",Worksheet!AL266,"")</f>
        <v>RECHI</v>
      </c>
      <c r="T270" t="str">
        <f>IF(Worksheet!CJ266&lt;&gt;"",CONCATENATE(Worksheet!CJ266," х ",Worksheet!CL266," х ",Worksheet!CH266),"")</f>
        <v>777 х 290 х 498</v>
      </c>
      <c r="U270" t="str">
        <f>IF(Worksheet!CK266&lt;&gt;"",CONCATENATE(Worksheet!CK266," х ",Worksheet!CM266," х ",Worksheet!CI266),"")</f>
        <v>818 х 325 х 520</v>
      </c>
      <c r="V270" t="str">
        <f>IF(Worksheet!CN266&lt;&gt;"",CONCATENATE(Worksheet!CN266,"/",Worksheet!CO266),"")</f>
        <v>24/27</v>
      </c>
      <c r="W270" s="6"/>
      <c r="X270" s="7">
        <f>IF(Worksheet!AN266&lt;&gt;"",Worksheet!AN266,"")</f>
        <v>6.35</v>
      </c>
      <c r="Y270" s="7">
        <f>IF(Worksheet!AO266&lt;&gt;"",Worksheet!AO266,"")</f>
        <v>9.52</v>
      </c>
      <c r="Z270" s="17">
        <f>IF(Worksheet!Q266&lt;&gt;"",Worksheet!Q266,"")</f>
        <v>15</v>
      </c>
      <c r="AA270" s="17">
        <f>IF(Worksheet!R266&lt;&gt;"",Worksheet!R266,"")</f>
        <v>5</v>
      </c>
      <c r="AB270" t="str">
        <f>IF(Worksheet!X266&lt;&gt;"",CONCATENATE("от ",Worksheet!X266," до +",Worksheet!Y266),"")</f>
        <v>от 15 до +43</v>
      </c>
      <c r="AC270" t="str">
        <f>IF(Worksheet!Z266&lt;&gt;"",CONCATENATE("от ",Worksheet!Z266," до +",Worksheet!AA266),"")</f>
        <v>от -7 до +24</v>
      </c>
      <c r="AD270" s="6" t="s">
        <v>5245</v>
      </c>
      <c r="AE270" s="17"/>
    </row>
    <row r="271" spans="1:31" x14ac:dyDescent="0.25">
      <c r="A271" s="17" t="str">
        <f>IF(Worksheet!B267&lt;&gt;"",Worksheet!B267,"")</f>
        <v>QUATTROCLIMA</v>
      </c>
      <c r="B271" t="str">
        <f>Worksheet!E267</f>
        <v>Сплит система</v>
      </c>
      <c r="C271">
        <f>IF(Worksheet!M267&lt;&gt;"",Worksheet!M267,"")</f>
        <v>2.64</v>
      </c>
      <c r="D271">
        <f t="shared" si="12"/>
        <v>26</v>
      </c>
      <c r="E271" t="str">
        <f>IF(Worksheet!L267&lt;&gt;"",IF(Worksheet!L267="Y","да","нет"),"")</f>
        <v>нет</v>
      </c>
      <c r="F271">
        <f>IF(Worksheet!N267&lt;&gt;"",Worksheet!N267,"")</f>
        <v>2.78</v>
      </c>
      <c r="G271">
        <f>IF(Worksheet!O267&lt;&gt;"",Worksheet!O267,"")</f>
        <v>0.82199999999999995</v>
      </c>
      <c r="H271">
        <f>IF(Worksheet!P267&lt;&gt;"",Worksheet!P267,"")</f>
        <v>0.77</v>
      </c>
      <c r="I271" s="6"/>
      <c r="J271" s="6"/>
      <c r="K271" t="str">
        <f>IF(Worksheet!BI267&lt;&gt;"",Worksheet!BI267,"")</f>
        <v>1 / 220 / 50</v>
      </c>
      <c r="L271" t="str">
        <f>IF(Worksheet!AU267&lt;&gt;"",Worksheet!AU267,"")</f>
        <v>R410A</v>
      </c>
      <c r="M271" s="6"/>
      <c r="N271" s="6"/>
      <c r="O271" t="str">
        <f>IF(Worksheet!CR267&lt;&gt;"",CONCATENATE(Worksheet!CR267," х ",Worksheet!CP267," х ",Worksheet!CT267),"")</f>
        <v>777 х 250 х 201</v>
      </c>
      <c r="P271" t="str">
        <f>IF(Worksheet!CS267&lt;&gt;"",CONCATENATE(Worksheet!CS267," х ",Worksheet!CU267," х ",Worksheet!CQ267),"")</f>
        <v>850 х 275 х 320</v>
      </c>
      <c r="Q271" t="str">
        <f>IF(Worksheet!CV267&lt;&gt;"",CONCATENATE(Worksheet!CV267," / ",Worksheet!CW267),"")</f>
        <v>7.5 / 9.5</v>
      </c>
      <c r="R271" t="str">
        <f>IF(Worksheet!BS267&lt;&gt;"",Worksheet!BS267,"")</f>
        <v>28/31/34/37/40</v>
      </c>
      <c r="S271" t="str">
        <f>IF(Worksheet!AL267&lt;&gt;"",Worksheet!AL267,"")</f>
        <v>GMCC</v>
      </c>
      <c r="T271" t="str">
        <f>IF(Worksheet!CJ267&lt;&gt;"",CONCATENATE(Worksheet!CJ267," х ",Worksheet!CL267," х ",Worksheet!CH267),"")</f>
        <v>712 х 276 х 459</v>
      </c>
      <c r="U271" t="str">
        <f>IF(Worksheet!CK267&lt;&gt;"",CONCATENATE(Worksheet!CK267," х ",Worksheet!CM267," х ",Worksheet!CI267),"")</f>
        <v>765 х 310 х 481</v>
      </c>
      <c r="V271" t="str">
        <f>IF(Worksheet!CN267&lt;&gt;"",CONCATENATE(Worksheet!CN267,"/",Worksheet!CO267),"")</f>
        <v>22/25</v>
      </c>
      <c r="W271" s="6"/>
      <c r="X271" s="7">
        <f>IF(Worksheet!AN267&lt;&gt;"",Worksheet!AN267,"")</f>
        <v>6.35</v>
      </c>
      <c r="Y271" s="7">
        <f>IF(Worksheet!AO267&lt;&gt;"",Worksheet!AO267,"")</f>
        <v>9.52</v>
      </c>
      <c r="Z271" s="17">
        <f>IF(Worksheet!Q267&lt;&gt;"",Worksheet!Q267,"")</f>
        <v>15</v>
      </c>
      <c r="AA271" s="17">
        <f>IF(Worksheet!R267&lt;&gt;"",Worksheet!R267,"")</f>
        <v>5</v>
      </c>
      <c r="AB271" t="str">
        <f>IF(Worksheet!X267&lt;&gt;"",CONCATENATE("от ",Worksheet!X267," до +",Worksheet!Y267),"")</f>
        <v>от 15 до +43</v>
      </c>
      <c r="AC271" t="str">
        <f>IF(Worksheet!Z267&lt;&gt;"",CONCATENATE("от ",Worksheet!Z267," до +",Worksheet!AA267),"")</f>
        <v>от -7 до +24</v>
      </c>
      <c r="AD271" s="6" t="s">
        <v>5245</v>
      </c>
      <c r="AE271" s="17"/>
    </row>
    <row r="272" spans="1:31" x14ac:dyDescent="0.25">
      <c r="A272" s="17" t="str">
        <f>IF(Worksheet!B268&lt;&gt;"",Worksheet!B268,"")</f>
        <v>QUATTROCLIMA</v>
      </c>
      <c r="B272" t="str">
        <f>Worksheet!E268</f>
        <v>Сплит система</v>
      </c>
      <c r="C272">
        <f>IF(Worksheet!M268&lt;&gt;"",Worksheet!M268,"")</f>
        <v>3.52</v>
      </c>
      <c r="D272">
        <f t="shared" si="12"/>
        <v>35</v>
      </c>
      <c r="E272" t="str">
        <f>IF(Worksheet!L268&lt;&gt;"",IF(Worksheet!L268="Y","да","нет"),"")</f>
        <v>нет</v>
      </c>
      <c r="F272">
        <f>IF(Worksheet!N268&lt;&gt;"",Worksheet!N268,"")</f>
        <v>3.7</v>
      </c>
      <c r="G272">
        <f>IF(Worksheet!O268&lt;&gt;"",Worksheet!O268,"")</f>
        <v>1.1000000000000001</v>
      </c>
      <c r="H272">
        <f>IF(Worksheet!P268&lt;&gt;"",Worksheet!P268,"")</f>
        <v>1.02</v>
      </c>
      <c r="I272" s="6"/>
      <c r="J272" s="6"/>
      <c r="K272" t="str">
        <f>IF(Worksheet!BI268&lt;&gt;"",Worksheet!BI268,"")</f>
        <v>1 / 220 / 50</v>
      </c>
      <c r="L272" t="str">
        <f>IF(Worksheet!AU268&lt;&gt;"",Worksheet!AU268,"")</f>
        <v>R410A</v>
      </c>
      <c r="M272" s="6"/>
      <c r="N272" s="6"/>
      <c r="O272" t="str">
        <f>IF(Worksheet!CR268&lt;&gt;"",CONCATENATE(Worksheet!CR268," х ",Worksheet!CP268," х ",Worksheet!CT268),"")</f>
        <v>777 х 250 х 201</v>
      </c>
      <c r="P272" t="str">
        <f>IF(Worksheet!CS268&lt;&gt;"",CONCATENATE(Worksheet!CS268," х ",Worksheet!CU268," х ",Worksheet!CQ268),"")</f>
        <v>840 х 260 х 315</v>
      </c>
      <c r="Q272" t="str">
        <f>IF(Worksheet!CV268&lt;&gt;"",CONCATENATE(Worksheet!CV268," / ",Worksheet!CW268),"")</f>
        <v>7.5 / 10</v>
      </c>
      <c r="R272" t="str">
        <f>IF(Worksheet!BS268&lt;&gt;"",Worksheet!BS268,"")</f>
        <v>29/33/35/38/38</v>
      </c>
      <c r="S272" t="str">
        <f>IF(Worksheet!AL268&lt;&gt;"",Worksheet!AL268,"")</f>
        <v>GMCC</v>
      </c>
      <c r="T272" t="str">
        <f>IF(Worksheet!CJ268&lt;&gt;"",CONCATENATE(Worksheet!CJ268," х ",Worksheet!CL268," х ",Worksheet!CH268),"")</f>
        <v>777 х 290 х 498</v>
      </c>
      <c r="U272" t="str">
        <f>IF(Worksheet!CK268&lt;&gt;"",CONCATENATE(Worksheet!CK268," х ",Worksheet!CM268," х ",Worksheet!CI268),"")</f>
        <v>818 х 325 х 520</v>
      </c>
      <c r="V272" t="str">
        <f>IF(Worksheet!CN268&lt;&gt;"",CONCATENATE(Worksheet!CN268,"/",Worksheet!CO268),"")</f>
        <v>25/28</v>
      </c>
      <c r="W272" s="6"/>
      <c r="X272" s="7">
        <f>IF(Worksheet!AN268&lt;&gt;"",Worksheet!AN268,"")</f>
        <v>6.35</v>
      </c>
      <c r="Y272" s="7">
        <f>IF(Worksheet!AO268&lt;&gt;"",Worksheet!AO268,"")</f>
        <v>9.52</v>
      </c>
      <c r="Z272" s="17">
        <f>IF(Worksheet!Q268&lt;&gt;"",Worksheet!Q268,"")</f>
        <v>15</v>
      </c>
      <c r="AA272" s="17">
        <f>IF(Worksheet!R268&lt;&gt;"",Worksheet!R268,"")</f>
        <v>5</v>
      </c>
      <c r="AB272" t="str">
        <f>IF(Worksheet!X268&lt;&gt;"",CONCATENATE("от ",Worksheet!X268," до +",Worksheet!Y268),"")</f>
        <v>от 15 до +43</v>
      </c>
      <c r="AC272" t="str">
        <f>IF(Worksheet!Z268&lt;&gt;"",CONCATENATE("от ",Worksheet!Z268," до +",Worksheet!AA268),"")</f>
        <v>от -7 до +24</v>
      </c>
      <c r="AD272" s="6" t="s">
        <v>5245</v>
      </c>
      <c r="AE272" s="17"/>
    </row>
    <row r="273" spans="1:31" x14ac:dyDescent="0.25">
      <c r="A273" s="17" t="str">
        <f>IF(Worksheet!B269&lt;&gt;"",Worksheet!B269,"")</f>
        <v>QUATTROCLIMA</v>
      </c>
      <c r="B273" t="str">
        <f>Worksheet!E269</f>
        <v>Сплит система</v>
      </c>
      <c r="C273">
        <f>IF(Worksheet!M269&lt;&gt;"",Worksheet!M269,"")</f>
        <v>3.52</v>
      </c>
      <c r="D273">
        <f t="shared" si="12"/>
        <v>35</v>
      </c>
      <c r="E273" t="str">
        <f>IF(Worksheet!L269&lt;&gt;"",IF(Worksheet!L269="Y","да","нет"),"")</f>
        <v>нет</v>
      </c>
      <c r="F273">
        <f>IF(Worksheet!N269&lt;&gt;"",Worksheet!N269,"")</f>
        <v>3.66</v>
      </c>
      <c r="G273">
        <f>IF(Worksheet!O269&lt;&gt;"",Worksheet!O269,"")</f>
        <v>1.095</v>
      </c>
      <c r="H273">
        <f>IF(Worksheet!P269&lt;&gt;"",Worksheet!P269,"")</f>
        <v>1.0129999999999999</v>
      </c>
      <c r="I273" s="6"/>
      <c r="J273" s="6"/>
      <c r="K273" t="str">
        <f>IF(Worksheet!BI269&lt;&gt;"",Worksheet!BI269,"")</f>
        <v>1 / 220 / 50</v>
      </c>
      <c r="L273" t="str">
        <f>IF(Worksheet!AU269&lt;&gt;"",Worksheet!AU269,"")</f>
        <v>R410A</v>
      </c>
      <c r="M273" s="6"/>
      <c r="N273" s="6"/>
      <c r="O273" t="str">
        <f>IF(Worksheet!CR269&lt;&gt;"",CONCATENATE(Worksheet!CR269," х ",Worksheet!CP269," х ",Worksheet!CT269),"")</f>
        <v>777 х 250 х 201</v>
      </c>
      <c r="P273" t="str">
        <f>IF(Worksheet!CS269&lt;&gt;"",CONCATENATE(Worksheet!CS269," х ",Worksheet!CU269," х ",Worksheet!CQ269),"")</f>
        <v>850 х 275 х 320</v>
      </c>
      <c r="Q273" t="str">
        <f>IF(Worksheet!CV269&lt;&gt;"",CONCATENATE(Worksheet!CV269," / ",Worksheet!CW269),"")</f>
        <v>8 / 10</v>
      </c>
      <c r="R273" t="str">
        <f>IF(Worksheet!BS269&lt;&gt;"",Worksheet!BS269,"")</f>
        <v>28/31/34/37/40</v>
      </c>
      <c r="S273" t="str">
        <f>IF(Worksheet!AL269&lt;&gt;"",Worksheet!AL269,"")</f>
        <v>GMCC</v>
      </c>
      <c r="T273" t="str">
        <f>IF(Worksheet!CJ269&lt;&gt;"",CONCATENATE(Worksheet!CJ269," х ",Worksheet!CL269," х ",Worksheet!CH269),"")</f>
        <v>777 х 290 х 498</v>
      </c>
      <c r="U273" t="str">
        <f>IF(Worksheet!CK269&lt;&gt;"",CONCATENATE(Worksheet!CK269," х ",Worksheet!CM269," х ",Worksheet!CI269),"")</f>
        <v>818 х 325 х 520</v>
      </c>
      <c r="V273" t="str">
        <f>IF(Worksheet!CN269&lt;&gt;"",CONCATENATE(Worksheet!CN269,"/",Worksheet!CO269),"")</f>
        <v>24/27</v>
      </c>
      <c r="W273" s="6"/>
      <c r="X273" s="7">
        <f>IF(Worksheet!AN269&lt;&gt;"",Worksheet!AN269,"")</f>
        <v>6.35</v>
      </c>
      <c r="Y273" s="7">
        <f>IF(Worksheet!AO269&lt;&gt;"",Worksheet!AO269,"")</f>
        <v>9.52</v>
      </c>
      <c r="Z273" s="17">
        <f>IF(Worksheet!Q269&lt;&gt;"",Worksheet!Q269,"")</f>
        <v>15</v>
      </c>
      <c r="AA273" s="17">
        <f>IF(Worksheet!R269&lt;&gt;"",Worksheet!R269,"")</f>
        <v>5</v>
      </c>
      <c r="AB273" t="str">
        <f>IF(Worksheet!X269&lt;&gt;"",CONCATENATE("от ",Worksheet!X269," до +",Worksheet!Y269),"")</f>
        <v>от 15 до +43</v>
      </c>
      <c r="AC273" t="str">
        <f>IF(Worksheet!Z269&lt;&gt;"",CONCATENATE("от ",Worksheet!Z269," до +",Worksheet!AA269),"")</f>
        <v>от -7 до +24</v>
      </c>
      <c r="AD273" s="6" t="s">
        <v>5245</v>
      </c>
      <c r="AE273" s="17"/>
    </row>
    <row r="274" spans="1:31" x14ac:dyDescent="0.25">
      <c r="A274" s="17" t="str">
        <f>IF(Worksheet!B270&lt;&gt;"",Worksheet!B270,"")</f>
        <v>QUATTROCLIMA</v>
      </c>
      <c r="B274" t="str">
        <f>Worksheet!E270</f>
        <v>Сплит система</v>
      </c>
      <c r="C274">
        <f>IF(Worksheet!M270&lt;&gt;"",Worksheet!M270,"")</f>
        <v>5.28</v>
      </c>
      <c r="D274">
        <f t="shared" si="12"/>
        <v>53</v>
      </c>
      <c r="E274" t="str">
        <f>IF(Worksheet!L270&lt;&gt;"",IF(Worksheet!L270="Y","да","нет"),"")</f>
        <v>нет</v>
      </c>
      <c r="F274">
        <f>IF(Worksheet!N270&lt;&gt;"",Worksheet!N270,"")</f>
        <v>5.42</v>
      </c>
      <c r="G274">
        <f>IF(Worksheet!O270&lt;&gt;"",Worksheet!O270,"")</f>
        <v>1.64</v>
      </c>
      <c r="H274">
        <f>IF(Worksheet!P270&lt;&gt;"",Worksheet!P270,"")</f>
        <v>1.5</v>
      </c>
      <c r="I274" s="6"/>
      <c r="J274" s="6"/>
      <c r="K274" t="str">
        <f>IF(Worksheet!BI270&lt;&gt;"",Worksheet!BI270,"")</f>
        <v>1 / 220 / 50</v>
      </c>
      <c r="L274" t="str">
        <f>IF(Worksheet!AU270&lt;&gt;"",Worksheet!AU270,"")</f>
        <v>R410A</v>
      </c>
      <c r="M274" s="6"/>
      <c r="N274" s="6"/>
      <c r="O274" t="str">
        <f>IF(Worksheet!CR270&lt;&gt;"",CONCATENATE(Worksheet!CR270," х ",Worksheet!CP270," х ",Worksheet!CT270),"")</f>
        <v>910 х 294 х 206</v>
      </c>
      <c r="P274" t="str">
        <f>IF(Worksheet!CS270&lt;&gt;"",CONCATENATE(Worksheet!CS270," х ",Worksheet!CU270," х ",Worksheet!CQ270),"")</f>
        <v>979 х 277 х 372</v>
      </c>
      <c r="Q274" t="str">
        <f>IF(Worksheet!CV270&lt;&gt;"",CONCATENATE(Worksheet!CV270," / ",Worksheet!CW270),"")</f>
        <v>10 / 13</v>
      </c>
      <c r="R274" t="str">
        <f>IF(Worksheet!BS270&lt;&gt;"",Worksheet!BS270,"")</f>
        <v>32/34/36/38/40</v>
      </c>
      <c r="S274" t="str">
        <f>IF(Worksheet!AL270&lt;&gt;"",Worksheet!AL270,"")</f>
        <v>HIGHLY</v>
      </c>
      <c r="T274" t="str">
        <f>IF(Worksheet!CJ270&lt;&gt;"",CONCATENATE(Worksheet!CJ270," х ",Worksheet!CL270," х ",Worksheet!CH270),"")</f>
        <v>853 х 349 х 602</v>
      </c>
      <c r="U274" t="str">
        <f>IF(Worksheet!CK270&lt;&gt;"",CONCATENATE(Worksheet!CK270," х ",Worksheet!CM270," х ",Worksheet!CI270),"")</f>
        <v>890 х 385 х 628</v>
      </c>
      <c r="V274" t="str">
        <f>IF(Worksheet!CN270&lt;&gt;"",CONCATENATE(Worksheet!CN270,"/",Worksheet!CO270),"")</f>
        <v>38/42</v>
      </c>
      <c r="W274" s="6"/>
      <c r="X274" s="7">
        <f>IF(Worksheet!AN270&lt;&gt;"",Worksheet!AN270,"")</f>
        <v>6.35</v>
      </c>
      <c r="Y274" s="7">
        <f>IF(Worksheet!AO270&lt;&gt;"",Worksheet!AO270,"")</f>
        <v>12.7</v>
      </c>
      <c r="Z274" s="17">
        <f>IF(Worksheet!Q270&lt;&gt;"",Worksheet!Q270,"")</f>
        <v>15</v>
      </c>
      <c r="AA274" s="17">
        <f>IF(Worksheet!R270&lt;&gt;"",Worksheet!R270,"")</f>
        <v>5</v>
      </c>
      <c r="AB274" t="str">
        <f>IF(Worksheet!X270&lt;&gt;"",CONCATENATE("от ",Worksheet!X270," до +",Worksheet!Y270),"")</f>
        <v>от 15 до +43</v>
      </c>
      <c r="AC274" t="str">
        <f>IF(Worksheet!Z270&lt;&gt;"",CONCATENATE("от ",Worksheet!Z270," до +",Worksheet!AA270),"")</f>
        <v>от -7 до +24</v>
      </c>
      <c r="AD274" s="6" t="s">
        <v>5245</v>
      </c>
      <c r="AE274" s="17"/>
    </row>
    <row r="275" spans="1:31" x14ac:dyDescent="0.25">
      <c r="A275" s="17" t="str">
        <f>IF(Worksheet!B271&lt;&gt;"",Worksheet!B271,"")</f>
        <v>QUATTROCLIMA</v>
      </c>
      <c r="B275" t="str">
        <f>Worksheet!E271</f>
        <v>Сплит система</v>
      </c>
      <c r="C275">
        <f>IF(Worksheet!M271&lt;&gt;"",Worksheet!M271,"")</f>
        <v>5.28</v>
      </c>
      <c r="D275">
        <f t="shared" si="12"/>
        <v>53</v>
      </c>
      <c r="E275" t="str">
        <f>IF(Worksheet!L271&lt;&gt;"",IF(Worksheet!L271="Y","да","нет"),"")</f>
        <v>нет</v>
      </c>
      <c r="F275">
        <f>IF(Worksheet!N271&lt;&gt;"",Worksheet!N271,"")</f>
        <v>5.42</v>
      </c>
      <c r="G275">
        <f>IF(Worksheet!O271&lt;&gt;"",Worksheet!O271,"")</f>
        <v>1.645</v>
      </c>
      <c r="H275">
        <f>IF(Worksheet!P271&lt;&gt;"",Worksheet!P271,"")</f>
        <v>1.5</v>
      </c>
      <c r="I275" s="6"/>
      <c r="J275" s="6"/>
      <c r="K275" t="str">
        <f>IF(Worksheet!BI271&lt;&gt;"",Worksheet!BI271,"")</f>
        <v>1 / 220 / 50</v>
      </c>
      <c r="L275" t="str">
        <f>IF(Worksheet!AU271&lt;&gt;"",Worksheet!AU271,"")</f>
        <v>R410A</v>
      </c>
      <c r="M275" s="6"/>
      <c r="N275" s="6"/>
      <c r="O275" t="str">
        <f>IF(Worksheet!CR271&lt;&gt;"",CONCATENATE(Worksheet!CR271," х ",Worksheet!CP271," х ",Worksheet!CT271),"")</f>
        <v>910 х 294 х 206</v>
      </c>
      <c r="P275" t="str">
        <f>IF(Worksheet!CS271&lt;&gt;"",CONCATENATE(Worksheet!CS271," х ",Worksheet!CU271," х ",Worksheet!CQ271),"")</f>
        <v>979 х 277 х 372</v>
      </c>
      <c r="Q275" t="str">
        <f>IF(Worksheet!CV271&lt;&gt;"",CONCATENATE(Worksheet!CV271," / ",Worksheet!CW271),"")</f>
        <v>10.5 / 12.5</v>
      </c>
      <c r="R275" t="str">
        <f>IF(Worksheet!BS271&lt;&gt;"",Worksheet!BS271,"")</f>
        <v>34/36/40/43/44</v>
      </c>
      <c r="S275" t="str">
        <f>IF(Worksheet!AL271&lt;&gt;"",Worksheet!AL271,"")</f>
        <v>HIGHLY</v>
      </c>
      <c r="T275" t="str">
        <f>IF(Worksheet!CJ271&lt;&gt;"",CONCATENATE(Worksheet!CJ271," х ",Worksheet!CL271," х ",Worksheet!CH271),"")</f>
        <v>853 х 349 х 602</v>
      </c>
      <c r="U275" t="str">
        <f>IF(Worksheet!CK271&lt;&gt;"",CONCATENATE(Worksheet!CK271," х ",Worksheet!CM271," х ",Worksheet!CI271),"")</f>
        <v>890 х 385 х 628</v>
      </c>
      <c r="V275" t="str">
        <f>IF(Worksheet!CN271&lt;&gt;"",CONCATENATE(Worksheet!CN271,"/",Worksheet!CO271),"")</f>
        <v>38/41</v>
      </c>
      <c r="W275" s="6"/>
      <c r="X275" s="7">
        <f>IF(Worksheet!AN271&lt;&gt;"",Worksheet!AN271,"")</f>
        <v>6.35</v>
      </c>
      <c r="Y275" s="7">
        <f>IF(Worksheet!AO271&lt;&gt;"",Worksheet!AO271,"")</f>
        <v>12.7</v>
      </c>
      <c r="Z275" s="17">
        <f>IF(Worksheet!Q271&lt;&gt;"",Worksheet!Q271,"")</f>
        <v>15</v>
      </c>
      <c r="AA275" s="17">
        <f>IF(Worksheet!R271&lt;&gt;"",Worksheet!R271,"")</f>
        <v>5</v>
      </c>
      <c r="AB275" t="str">
        <f>IF(Worksheet!X271&lt;&gt;"",CONCATENATE("от ",Worksheet!X271," до +",Worksheet!Y271),"")</f>
        <v>от 15 до +43</v>
      </c>
      <c r="AC275" t="str">
        <f>IF(Worksheet!Z271&lt;&gt;"",CONCATENATE("от ",Worksheet!Z271," до +",Worksheet!AA271),"")</f>
        <v>от -7 до +24</v>
      </c>
      <c r="AD275" s="6" t="s">
        <v>5245</v>
      </c>
      <c r="AE275" s="17"/>
    </row>
    <row r="276" spans="1:31" x14ac:dyDescent="0.25">
      <c r="A276" s="17" t="str">
        <f>IF(Worksheet!B272&lt;&gt;"",Worksheet!B272,"")</f>
        <v>QUATTROCLIMA</v>
      </c>
      <c r="B276" t="str">
        <f>Worksheet!E272</f>
        <v>Сплит система</v>
      </c>
      <c r="C276">
        <f>IF(Worksheet!M272&lt;&gt;"",Worksheet!M272,"")</f>
        <v>7.03</v>
      </c>
      <c r="D276">
        <f t="shared" si="12"/>
        <v>70</v>
      </c>
      <c r="E276" t="str">
        <f>IF(Worksheet!L272&lt;&gt;"",IF(Worksheet!L272="Y","да","нет"),"")</f>
        <v>нет</v>
      </c>
      <c r="F276">
        <f>IF(Worksheet!N272&lt;&gt;"",Worksheet!N272,"")</f>
        <v>7.18</v>
      </c>
      <c r="G276">
        <f>IF(Worksheet!O272&lt;&gt;"",Worksheet!O272,"")</f>
        <v>2.1800000000000002</v>
      </c>
      <c r="H276">
        <f>IF(Worksheet!P272&lt;&gt;"",Worksheet!P272,"")</f>
        <v>1.98</v>
      </c>
      <c r="I276" s="6"/>
      <c r="J276" s="6"/>
      <c r="K276" t="str">
        <f>IF(Worksheet!BI272&lt;&gt;"",Worksheet!BI272,"")</f>
        <v>1 / 220 / 50</v>
      </c>
      <c r="L276" t="str">
        <f>IF(Worksheet!AU272&lt;&gt;"",Worksheet!AU272,"")</f>
        <v>R410A</v>
      </c>
      <c r="M276" s="6"/>
      <c r="N276" s="6"/>
      <c r="O276" t="str">
        <f>IF(Worksheet!CR272&lt;&gt;"",CONCATENATE(Worksheet!CR272," х ",Worksheet!CP272," х ",Worksheet!CT272),"")</f>
        <v>1010 х 315 х 220</v>
      </c>
      <c r="P276" t="str">
        <f>IF(Worksheet!CS272&lt;&gt;"",CONCATENATE(Worksheet!CS272," х ",Worksheet!CU272," х ",Worksheet!CQ272),"")</f>
        <v>1096 х 297 х 390</v>
      </c>
      <c r="Q276" t="str">
        <f>IF(Worksheet!CV272&lt;&gt;"",CONCATENATE(Worksheet!CV272," / ",Worksheet!CW272),"")</f>
        <v>13 / 16</v>
      </c>
      <c r="R276" t="str">
        <f>IF(Worksheet!BS272&lt;&gt;"",Worksheet!BS272,"")</f>
        <v>35/39/43/47/49</v>
      </c>
      <c r="S276" t="str">
        <f>IF(Worksheet!AL272&lt;&gt;"",Worksheet!AL272,"")</f>
        <v>GMCC</v>
      </c>
      <c r="T276" t="str">
        <f>IF(Worksheet!CJ272&lt;&gt;"",CONCATENATE(Worksheet!CJ272," х ",Worksheet!CL272," х ",Worksheet!CH272),"")</f>
        <v>968 х 375 х 655</v>
      </c>
      <c r="U276" t="str">
        <f>IF(Worksheet!CK272&lt;&gt;"",CONCATENATE(Worksheet!CK272," х ",Worksheet!CM272," х ",Worksheet!CI272),"")</f>
        <v>1015 х 425 х 715</v>
      </c>
      <c r="V276" t="str">
        <f>IF(Worksheet!CN272&lt;&gt;"",CONCATENATE(Worksheet!CN272,"/",Worksheet!CO272),"")</f>
        <v>50/54</v>
      </c>
      <c r="W276" s="6"/>
      <c r="X276" s="7">
        <f>IF(Worksheet!AN272&lt;&gt;"",Worksheet!AN272,"")</f>
        <v>6.35</v>
      </c>
      <c r="Y276" s="7">
        <f>IF(Worksheet!AO272&lt;&gt;"",Worksheet!AO272,"")</f>
        <v>15.88</v>
      </c>
      <c r="Z276" s="17">
        <f>IF(Worksheet!Q272&lt;&gt;"",Worksheet!Q272,"")</f>
        <v>15</v>
      </c>
      <c r="AA276" s="17">
        <f>IF(Worksheet!R272&lt;&gt;"",Worksheet!R272,"")</f>
        <v>5</v>
      </c>
      <c r="AB276" t="str">
        <f>IF(Worksheet!X272&lt;&gt;"",CONCATENATE("от ",Worksheet!X272," до +",Worksheet!Y272),"")</f>
        <v>от 15 до +43</v>
      </c>
      <c r="AC276" t="str">
        <f>IF(Worksheet!Z272&lt;&gt;"",CONCATENATE("от ",Worksheet!Z272," до +",Worksheet!AA272),"")</f>
        <v>от -7 до +24</v>
      </c>
      <c r="AD276" s="6" t="s">
        <v>5245</v>
      </c>
      <c r="AE276" s="17"/>
    </row>
    <row r="277" spans="1:31" x14ac:dyDescent="0.25">
      <c r="A277" s="17" t="str">
        <f>IF(Worksheet!B273&lt;&gt;"",Worksheet!B273,"")</f>
        <v>QUATTROCLIMA</v>
      </c>
      <c r="B277" t="str">
        <f>Worksheet!E273</f>
        <v>Сплит система</v>
      </c>
      <c r="C277">
        <f>IF(Worksheet!M273&lt;&gt;"",Worksheet!M273,"")</f>
        <v>7.03</v>
      </c>
      <c r="D277">
        <f t="shared" si="12"/>
        <v>70</v>
      </c>
      <c r="E277" t="str">
        <f>IF(Worksheet!L273&lt;&gt;"",IF(Worksheet!L273="Y","да","нет"),"")</f>
        <v>нет</v>
      </c>
      <c r="F277">
        <f>IF(Worksheet!N273&lt;&gt;"",Worksheet!N273,"")</f>
        <v>7.18</v>
      </c>
      <c r="G277">
        <f>IF(Worksheet!O273&lt;&gt;"",Worksheet!O273,"")</f>
        <v>2.19</v>
      </c>
      <c r="H277">
        <f>IF(Worksheet!P273&lt;&gt;"",Worksheet!P273,"")</f>
        <v>1.9850000000000001</v>
      </c>
      <c r="I277" s="6"/>
      <c r="J277" s="6"/>
      <c r="K277" t="str">
        <f>IF(Worksheet!BI273&lt;&gt;"",Worksheet!BI273,"")</f>
        <v>1 / 220 / 50</v>
      </c>
      <c r="L277" t="str">
        <f>IF(Worksheet!AU273&lt;&gt;"",Worksheet!AU273,"")</f>
        <v>R410A</v>
      </c>
      <c r="M277" s="6"/>
      <c r="N277" s="6"/>
      <c r="O277" t="str">
        <f>IF(Worksheet!CR273&lt;&gt;"",CONCATENATE(Worksheet!CR273," х ",Worksheet!CP273," х ",Worksheet!CT273),"")</f>
        <v>1010 х 315 х 220</v>
      </c>
      <c r="P277" t="str">
        <f>IF(Worksheet!CS273&lt;&gt;"",CONCATENATE(Worksheet!CS273," х ",Worksheet!CU273," х ",Worksheet!CQ273),"")</f>
        <v>1096 х 297 х 390</v>
      </c>
      <c r="Q277" t="str">
        <f>IF(Worksheet!CV273&lt;&gt;"",CONCATENATE(Worksheet!CV273," / ",Worksheet!CW273),"")</f>
        <v>13 / 16</v>
      </c>
      <c r="R277" t="str">
        <f>IF(Worksheet!BS273&lt;&gt;"",Worksheet!BS273,"")</f>
        <v>35/38/42/45/49</v>
      </c>
      <c r="S277" t="str">
        <f>IF(Worksheet!AL273&lt;&gt;"",Worksheet!AL273,"")</f>
        <v>HIGHLY</v>
      </c>
      <c r="T277" t="str">
        <f>IF(Worksheet!CJ273&lt;&gt;"",CONCATENATE(Worksheet!CJ273," х ",Worksheet!CL273," х ",Worksheet!CH273),"")</f>
        <v>886 х 357 х 605</v>
      </c>
      <c r="U277" t="str">
        <f>IF(Worksheet!CK273&lt;&gt;"",CONCATENATE(Worksheet!CK273," х ",Worksheet!CM273," х ",Worksheet!CI273),"")</f>
        <v>930 х 380 х 635</v>
      </c>
      <c r="V277" t="str">
        <f>IF(Worksheet!CN273&lt;&gt;"",CONCATENATE(Worksheet!CN273,"/",Worksheet!CO273),"")</f>
        <v>43/46</v>
      </c>
      <c r="W277" s="6"/>
      <c r="X277" s="7">
        <f>IF(Worksheet!AN273&lt;&gt;"",Worksheet!AN273,"")</f>
        <v>6.35</v>
      </c>
      <c r="Y277" s="7">
        <f>IF(Worksheet!AO273&lt;&gt;"",Worksheet!AO273,"")</f>
        <v>15.88</v>
      </c>
      <c r="Z277" s="17">
        <f>IF(Worksheet!Q273&lt;&gt;"",Worksheet!Q273,"")</f>
        <v>15</v>
      </c>
      <c r="AA277" s="17">
        <f>IF(Worksheet!R273&lt;&gt;"",Worksheet!R273,"")</f>
        <v>5</v>
      </c>
      <c r="AB277" t="str">
        <f>IF(Worksheet!X273&lt;&gt;"",CONCATENATE("от ",Worksheet!X273," до +",Worksheet!Y273),"")</f>
        <v>от 15 до +43</v>
      </c>
      <c r="AC277" t="str">
        <f>IF(Worksheet!Z273&lt;&gt;"",CONCATENATE("от ",Worksheet!Z273," до +",Worksheet!AA273),"")</f>
        <v>от -7 до +24</v>
      </c>
      <c r="AD277" s="6" t="s">
        <v>5245</v>
      </c>
      <c r="AE277" s="17"/>
    </row>
    <row r="278" spans="1:31" x14ac:dyDescent="0.25">
      <c r="A278" s="17" t="str">
        <f>IF(Worksheet!B274&lt;&gt;"",Worksheet!B274,"")</f>
        <v>QUATTROCLIMA</v>
      </c>
      <c r="B278" t="str">
        <f>Worksheet!E274</f>
        <v>Сплит система</v>
      </c>
      <c r="C278">
        <f>IF(Worksheet!M274&lt;&gt;"",Worksheet!M274,"")</f>
        <v>8.2100000000000009</v>
      </c>
      <c r="D278">
        <f t="shared" si="12"/>
        <v>82</v>
      </c>
      <c r="E278" t="str">
        <f>IF(Worksheet!L274&lt;&gt;"",IF(Worksheet!L274="Y","да","нет"),"")</f>
        <v>нет</v>
      </c>
      <c r="F278">
        <f>IF(Worksheet!N274&lt;&gt;"",Worksheet!N274,"")</f>
        <v>8.35</v>
      </c>
      <c r="G278">
        <f>IF(Worksheet!O274&lt;&gt;"",Worksheet!O274,"")</f>
        <v>2.5499999999999998</v>
      </c>
      <c r="H278">
        <f>IF(Worksheet!P274&lt;&gt;"",Worksheet!P274,"")</f>
        <v>2.31</v>
      </c>
      <c r="I278" s="6"/>
      <c r="J278" s="6"/>
      <c r="K278" t="str">
        <f>IF(Worksheet!BI274&lt;&gt;"",Worksheet!BI274,"")</f>
        <v>1 / 220 / 50</v>
      </c>
      <c r="L278" t="str">
        <f>IF(Worksheet!AU274&lt;&gt;"",Worksheet!AU274,"")</f>
        <v>R410A</v>
      </c>
      <c r="M278" s="6"/>
      <c r="N278" s="6"/>
      <c r="O278" t="str">
        <f>IF(Worksheet!CR274&lt;&gt;"",CONCATENATE(Worksheet!CR274," х ",Worksheet!CP274," х ",Worksheet!CT274),"")</f>
        <v>1186 х 340 х 258</v>
      </c>
      <c r="P278" t="str">
        <f>IF(Worksheet!CS274&lt;&gt;"",CONCATENATE(Worksheet!CS274," х ",Worksheet!CU274," х ",Worksheet!CQ274),"")</f>
        <v>1262 х 337 х 420</v>
      </c>
      <c r="Q278" t="str">
        <f>IF(Worksheet!CV274&lt;&gt;"",CONCATENATE(Worksheet!CV274," / ",Worksheet!CW274),"")</f>
        <v>18 / 22</v>
      </c>
      <c r="R278" t="str">
        <f>IF(Worksheet!BS274&lt;&gt;"",Worksheet!BS274,"")</f>
        <v>/41/45/49/51</v>
      </c>
      <c r="S278" t="str">
        <f>IF(Worksheet!AL274&lt;&gt;"",Worksheet!AL274,"")</f>
        <v>HIGHLY</v>
      </c>
      <c r="T278" t="str">
        <f>IF(Worksheet!CJ274&lt;&gt;"",CONCATENATE(Worksheet!CJ274," х ",Worksheet!CL274," х ",Worksheet!CH274),"")</f>
        <v>953 х 433 х 808</v>
      </c>
      <c r="U278" t="str">
        <f>IF(Worksheet!CK274&lt;&gt;"",CONCATENATE(Worksheet!CK274," х ",Worksheet!CM274," х ",Worksheet!CI274),"")</f>
        <v>1020 х 475 х 845</v>
      </c>
      <c r="V278" t="str">
        <f>IF(Worksheet!CN274&lt;&gt;"",CONCATENATE(Worksheet!CN274,"/",Worksheet!CO274),"")</f>
        <v>68/74</v>
      </c>
      <c r="W278" s="6"/>
      <c r="X278" s="7">
        <f>IF(Worksheet!AN274&lt;&gt;"",Worksheet!AN274,"")</f>
        <v>9.52</v>
      </c>
      <c r="Y278" s="7">
        <f>IF(Worksheet!AO274&lt;&gt;"",Worksheet!AO274,"")</f>
        <v>15.88</v>
      </c>
      <c r="Z278" s="17">
        <f>IF(Worksheet!Q274&lt;&gt;"",Worksheet!Q274,"")</f>
        <v>15</v>
      </c>
      <c r="AA278" s="17">
        <f>IF(Worksheet!R274&lt;&gt;"",Worksheet!R274,"")</f>
        <v>5</v>
      </c>
      <c r="AB278" t="str">
        <f>IF(Worksheet!X274&lt;&gt;"",CONCATENATE("от ",Worksheet!X274," до +",Worksheet!Y274),"")</f>
        <v>от 15 до +43</v>
      </c>
      <c r="AC278" t="str">
        <f>IF(Worksheet!Z274&lt;&gt;"",CONCATENATE("от ",Worksheet!Z274," до +",Worksheet!AA274),"")</f>
        <v>от -7 до +24</v>
      </c>
      <c r="AD278" s="6" t="s">
        <v>5245</v>
      </c>
      <c r="AE278" s="17"/>
    </row>
    <row r="279" spans="1:31" x14ac:dyDescent="0.25">
      <c r="A279" s="17" t="str">
        <f>IF(Worksheet!B275&lt;&gt;"",Worksheet!B275,"")</f>
        <v>QUATTROCLIMA</v>
      </c>
      <c r="B279" t="str">
        <f>Worksheet!E275</f>
        <v>Сплит система</v>
      </c>
      <c r="C279" s="21">
        <f>IF(Worksheet!M275&lt;&gt;"",MID(Worksheet!M275,1,FIND(" ",Worksheet!M275,1)-1),"")*1</f>
        <v>2.6</v>
      </c>
      <c r="D279">
        <f t="shared" ref="D279:D286" si="13">ROUND(LEFT(C279,3)*10,0)</f>
        <v>26</v>
      </c>
      <c r="E279" t="str">
        <f>IF(Worksheet!L275&lt;&gt;"",IF(Worksheet!L275="Y","да","нет"),"")</f>
        <v>да</v>
      </c>
      <c r="F279" s="21">
        <f>IF(Worksheet!N275&lt;&gt;"",MID(Worksheet!N275,1,FIND(" ",Worksheet!N275,1)-1),"")*1</f>
        <v>2.61</v>
      </c>
      <c r="G279" s="21">
        <f>IF(Worksheet!O275&lt;&gt;"",MID(Worksheet!O275,1,FIND(" ",Worksheet!O275,1)-1),"")*1</f>
        <v>0.75</v>
      </c>
      <c r="H279" s="21">
        <f>IF(Worksheet!P275&lt;&gt;"",MID(Worksheet!P275,1,FIND(" ",Worksheet!P275,1)-1),"")*1</f>
        <v>0.752</v>
      </c>
      <c r="I279" s="6"/>
      <c r="J279" s="6"/>
      <c r="K279" t="str">
        <f>IF(Worksheet!BI275&lt;&gt;"",Worksheet!BI275,"")</f>
        <v>1 / 220 / 50</v>
      </c>
      <c r="L279" t="str">
        <f>IF(Worksheet!AU275&lt;&gt;"",Worksheet!AU275,"")</f>
        <v>R32</v>
      </c>
      <c r="M279" s="6"/>
      <c r="N279" s="6"/>
      <c r="O279" t="str">
        <f>IF(Worksheet!CR275&lt;&gt;"",CONCATENATE(Worksheet!CR275," х ",Worksheet!CP275," х ",Worksheet!CT275),"")</f>
        <v>698 х 255 х 190</v>
      </c>
      <c r="P279" t="str">
        <f>IF(Worksheet!CS275&lt;&gt;"",CONCATENATE(Worksheet!CS275," х ",Worksheet!CU275," х ",Worksheet!CQ275),"")</f>
        <v>764 х 267 х 325</v>
      </c>
      <c r="Q279" t="str">
        <f>IF(Worksheet!CV275&lt;&gt;"",CONCATENATE(Worksheet!CV275," / ",Worksheet!CW275),"")</f>
        <v>7 / 9</v>
      </c>
      <c r="R279" t="str">
        <f>IF(Worksheet!BS275&lt;&gt;"",Worksheet!BS275,"")</f>
        <v>22/25/33/40</v>
      </c>
      <c r="S279" t="str">
        <f>IF(Worksheet!AL275&lt;&gt;"",Worksheet!AL275,"")</f>
        <v>GMCC</v>
      </c>
      <c r="T279" t="str">
        <f>IF(Worksheet!CJ275&lt;&gt;"",CONCATENATE(Worksheet!CJ275," х ",Worksheet!CL275," х ",Worksheet!CH275),"")</f>
        <v>777 х 290 х 498</v>
      </c>
      <c r="U279" t="str">
        <f>IF(Worksheet!CK275&lt;&gt;"",CONCATENATE(Worksheet!CK275," х ",Worksheet!CM275," х ",Worksheet!CI275),"")</f>
        <v>818 х 325 х 520</v>
      </c>
      <c r="V279" t="str">
        <f>IF(Worksheet!CN275&lt;&gt;"",CONCATENATE(Worksheet!CN275,"/",Worksheet!CO275),"")</f>
        <v>22/25</v>
      </c>
      <c r="W279" s="6"/>
      <c r="X279" s="7">
        <f>IF(Worksheet!AN275&lt;&gt;"",Worksheet!AN275,"")</f>
        <v>6.35</v>
      </c>
      <c r="Y279" s="7">
        <f>IF(Worksheet!AO275&lt;&gt;"",Worksheet!AO275,"")</f>
        <v>9.52</v>
      </c>
      <c r="Z279" s="17">
        <f>IF(Worksheet!Q275&lt;&gt;"",Worksheet!Q275,"")</f>
        <v>15</v>
      </c>
      <c r="AA279" s="17">
        <f>IF(Worksheet!R275&lt;&gt;"",Worksheet!R275,"")</f>
        <v>5</v>
      </c>
      <c r="AB279" t="str">
        <f>IF(Worksheet!X275&lt;&gt;"",CONCATENATE("от ",Worksheet!X275," до +",Worksheet!Y275),"")</f>
        <v/>
      </c>
      <c r="AC279" t="str">
        <f>IF(Worksheet!Z275&lt;&gt;"",CONCATENATE("от ",Worksheet!Z275," до +",Worksheet!AA275),"")</f>
        <v>от -20 до +30</v>
      </c>
      <c r="AD279" s="6" t="s">
        <v>5245</v>
      </c>
      <c r="AE279" s="17"/>
    </row>
    <row r="280" spans="1:31" x14ac:dyDescent="0.25">
      <c r="A280" s="17" t="str">
        <f>IF(Worksheet!B276&lt;&gt;"",Worksheet!B276,"")</f>
        <v>QUATTROCLIMA</v>
      </c>
      <c r="B280" t="str">
        <f>Worksheet!E276</f>
        <v>Сплит система</v>
      </c>
      <c r="C280" s="21">
        <f>IF(Worksheet!M276&lt;&gt;"",MID(Worksheet!M276,1,FIND("(",Worksheet!M276,1)-1),"")*1</f>
        <v>2.6</v>
      </c>
      <c r="D280">
        <f t="shared" si="13"/>
        <v>26</v>
      </c>
      <c r="E280" t="str">
        <f>IF(Worksheet!L276&lt;&gt;"",IF(Worksheet!L276="Y","да","нет"),"")</f>
        <v>да</v>
      </c>
      <c r="F280" s="21">
        <f>IF(Worksheet!N276&lt;&gt;"",MID(Worksheet!N276,1,FIND("(",Worksheet!N276,1)-1),"")*1</f>
        <v>2.61</v>
      </c>
      <c r="G280" s="21">
        <f>IF(Worksheet!O276&lt;&gt;"",MID(Worksheet!O276,1,FIND(" ",Worksheet!O276,1)-1),"")*1</f>
        <v>0.8</v>
      </c>
      <c r="H280" s="21">
        <f>IF(Worksheet!P276&lt;&gt;"",MID(Worksheet!P276,1,FIND(" ",Worksheet!P276,1)-1),"")*1</f>
        <v>0.69899999999999995</v>
      </c>
      <c r="I280" s="6"/>
      <c r="J280" s="6"/>
      <c r="K280" t="str">
        <f>IF(Worksheet!BI276&lt;&gt;"",Worksheet!BI276,"")</f>
        <v>1 / 220 / 50</v>
      </c>
      <c r="L280" t="str">
        <f>IF(Worksheet!AU276&lt;&gt;"",Worksheet!AU276,"")</f>
        <v>R32</v>
      </c>
      <c r="M280" s="6"/>
      <c r="N280" s="6"/>
      <c r="O280" t="str">
        <f>IF(Worksheet!CR276&lt;&gt;"",CONCATENATE(Worksheet!CR276," х ",Worksheet!CP276," х ",Worksheet!CT276),"")</f>
        <v>698 х 255 х 190</v>
      </c>
      <c r="P280" t="str">
        <f>IF(Worksheet!CS276&lt;&gt;"",CONCATENATE(Worksheet!CS276," х ",Worksheet!CU276," х ",Worksheet!CQ276),"")</f>
        <v>764 х 267 х 325</v>
      </c>
      <c r="Q280" t="str">
        <f>IF(Worksheet!CV276&lt;&gt;"",CONCATENATE(Worksheet!CV276," / ",Worksheet!CW276),"")</f>
        <v>7 / 9</v>
      </c>
      <c r="R280" t="str">
        <f>IF(Worksheet!BS276&lt;&gt;"",Worksheet!BS276,"")</f>
        <v>22/25/33/37/40</v>
      </c>
      <c r="S280" t="str">
        <f>IF(Worksheet!AL276&lt;&gt;"",Worksheet!AL276,"")</f>
        <v>RECHI</v>
      </c>
      <c r="T280" t="str">
        <f>IF(Worksheet!CJ276&lt;&gt;"",CONCATENATE(Worksheet!CJ276," х ",Worksheet!CL276," х ",Worksheet!CH276),"")</f>
        <v>777 х 290 х 498</v>
      </c>
      <c r="U280" t="str">
        <f>IF(Worksheet!CK276&lt;&gt;"",CONCATENATE(Worksheet!CK276," х ",Worksheet!CM276," х ",Worksheet!CI276),"")</f>
        <v>818 х 325 х 520</v>
      </c>
      <c r="V280" t="str">
        <f>IF(Worksheet!CN276&lt;&gt;"",CONCATENATE(Worksheet!CN276,"/",Worksheet!CO276),"")</f>
        <v>22/25</v>
      </c>
      <c r="W280" s="6"/>
      <c r="X280" s="7">
        <f>IF(Worksheet!AN276&lt;&gt;"",Worksheet!AN276,"")</f>
        <v>6.35</v>
      </c>
      <c r="Y280" s="7">
        <f>IF(Worksheet!AO276&lt;&gt;"",Worksheet!AO276,"")</f>
        <v>9.52</v>
      </c>
      <c r="Z280" s="17">
        <f>IF(Worksheet!Q276&lt;&gt;"",Worksheet!Q276,"")</f>
        <v>25</v>
      </c>
      <c r="AA280" s="17">
        <f>IF(Worksheet!R276&lt;&gt;"",Worksheet!R276,"")</f>
        <v>10</v>
      </c>
      <c r="AB280" t="str">
        <f>IF(Worksheet!X276&lt;&gt;"",CONCATENATE("от ",Worksheet!X276," до +",Worksheet!Y276),"")</f>
        <v>от -15 до +53</v>
      </c>
      <c r="AC280" t="str">
        <f>IF(Worksheet!Z276&lt;&gt;"",CONCATENATE("от ",Worksheet!Z276," до +",Worksheet!AA276),"")</f>
        <v>от -20 до +30</v>
      </c>
      <c r="AD280" s="6" t="s">
        <v>5245</v>
      </c>
      <c r="AE280" s="17"/>
    </row>
    <row r="281" spans="1:31" x14ac:dyDescent="0.25">
      <c r="A281" s="17" t="str">
        <f>IF(Worksheet!B277&lt;&gt;"",Worksheet!B277,"")</f>
        <v>QUATTROCLIMA</v>
      </c>
      <c r="B281" t="str">
        <f>Worksheet!E277</f>
        <v>Сплит система</v>
      </c>
      <c r="C281" s="21">
        <f>IF(Worksheet!M277&lt;&gt;"",MID(Worksheet!M277,1,FIND(" ",Worksheet!M277,1)-1),"")*1</f>
        <v>3.4</v>
      </c>
      <c r="D281">
        <f t="shared" si="13"/>
        <v>34</v>
      </c>
      <c r="E281" t="str">
        <f>IF(Worksheet!L277&lt;&gt;"",IF(Worksheet!L277="Y","да","нет"),"")</f>
        <v>да</v>
      </c>
      <c r="F281" s="21">
        <f>IF(Worksheet!N277&lt;&gt;"",MID(Worksheet!N277,1,FIND(" ",Worksheet!N277,1)-1),"")*1</f>
        <v>3.42</v>
      </c>
      <c r="G281" s="21">
        <f>IF(Worksheet!O277&lt;&gt;"",MID(Worksheet!O277,1,FIND(" ",Worksheet!O277,1)-1),"")*1</f>
        <v>1.01</v>
      </c>
      <c r="H281" s="21">
        <f>IF(Worksheet!P277&lt;&gt;"",MID(Worksheet!P277,1,FIND(" ",Worksheet!P277,1)-1),"")*1</f>
        <v>0.94799999999999995</v>
      </c>
      <c r="I281" s="6"/>
      <c r="J281" s="6"/>
      <c r="K281" t="str">
        <f>IF(Worksheet!BI277&lt;&gt;"",Worksheet!BI277,"")</f>
        <v>1 / 220 / 50</v>
      </c>
      <c r="L281" t="str">
        <f>IF(Worksheet!AU277&lt;&gt;"",Worksheet!AU277,"")</f>
        <v>R32</v>
      </c>
      <c r="M281" s="6"/>
      <c r="N281" s="6"/>
      <c r="O281" t="str">
        <f>IF(Worksheet!CR277&lt;&gt;"",CONCATENATE(Worksheet!CR277," х ",Worksheet!CP277," х ",Worksheet!CT277),"")</f>
        <v>777 х 250 х 201</v>
      </c>
      <c r="P281" t="str">
        <f>IF(Worksheet!CS277&lt;&gt;"",CONCATENATE(Worksheet!CS277," х ",Worksheet!CU277," х ",Worksheet!CQ277),"")</f>
        <v>840 х 260 х 315</v>
      </c>
      <c r="Q281" t="str">
        <f>IF(Worksheet!CV277&lt;&gt;"",CONCATENATE(Worksheet!CV277," / ",Worksheet!CW277),"")</f>
        <v>9 / 11</v>
      </c>
      <c r="R281" t="str">
        <f>IF(Worksheet!BS277&lt;&gt;"",Worksheet!BS277,"")</f>
        <v>22/25/33/40</v>
      </c>
      <c r="S281" t="str">
        <f>IF(Worksheet!AL277&lt;&gt;"",Worksheet!AL277,"")</f>
        <v>GMCC</v>
      </c>
      <c r="T281" t="str">
        <f>IF(Worksheet!CJ277&lt;&gt;"",CONCATENATE(Worksheet!CJ277," х ",Worksheet!CL277," х ",Worksheet!CH277),"")</f>
        <v>777 х 290 х 498</v>
      </c>
      <c r="U281" t="str">
        <f>IF(Worksheet!CK277&lt;&gt;"",CONCATENATE(Worksheet!CK277," х ",Worksheet!CM277," х ",Worksheet!CI277),"")</f>
        <v>818 х 325 х 520</v>
      </c>
      <c r="V281" t="str">
        <f>IF(Worksheet!CN277&lt;&gt;"",CONCATENATE(Worksheet!CN277,"/",Worksheet!CO277),"")</f>
        <v>22/25</v>
      </c>
      <c r="W281" s="6"/>
      <c r="X281" s="7">
        <f>IF(Worksheet!AN277&lt;&gt;"",Worksheet!AN277,"")</f>
        <v>6.35</v>
      </c>
      <c r="Y281" s="7">
        <f>IF(Worksheet!AO277&lt;&gt;"",Worksheet!AO277,"")</f>
        <v>9.52</v>
      </c>
      <c r="Z281" s="17">
        <f>IF(Worksheet!Q277&lt;&gt;"",Worksheet!Q277,"")</f>
        <v>15</v>
      </c>
      <c r="AA281" s="17">
        <f>IF(Worksheet!R277&lt;&gt;"",Worksheet!R277,"")</f>
        <v>5</v>
      </c>
      <c r="AB281" t="str">
        <f>IF(Worksheet!X277&lt;&gt;"",CONCATENATE("от ",Worksheet!X277," до +",Worksheet!Y277),"")</f>
        <v/>
      </c>
      <c r="AC281" t="str">
        <f>IF(Worksheet!Z277&lt;&gt;"",CONCATENATE("от ",Worksheet!Z277," до +",Worksheet!AA277),"")</f>
        <v>от -20 до +30</v>
      </c>
      <c r="AD281" s="6" t="s">
        <v>5245</v>
      </c>
      <c r="AE281" s="17"/>
    </row>
    <row r="282" spans="1:31" x14ac:dyDescent="0.25">
      <c r="A282" s="17" t="str">
        <f>IF(Worksheet!B278&lt;&gt;"",Worksheet!B278,"")</f>
        <v>QUATTROCLIMA</v>
      </c>
      <c r="B282" t="str">
        <f>Worksheet!E278</f>
        <v>Сплит система</v>
      </c>
      <c r="C282" s="21">
        <f>IF(Worksheet!M278&lt;&gt;"",MID(Worksheet!M278,1,FIND("(",Worksheet!M278,1)-1),"")*1</f>
        <v>3.4</v>
      </c>
      <c r="D282">
        <f t="shared" si="13"/>
        <v>34</v>
      </c>
      <c r="E282" t="str">
        <f>IF(Worksheet!L278&lt;&gt;"",IF(Worksheet!L278="Y","да","нет"),"")</f>
        <v>да</v>
      </c>
      <c r="F282" s="21">
        <f>IF(Worksheet!N278&lt;&gt;"",MID(Worksheet!N278,1,FIND("(",Worksheet!N278,1)-1),"")*1</f>
        <v>3.42</v>
      </c>
      <c r="G282" s="21">
        <f>IF(Worksheet!O278&lt;&gt;"",MID(Worksheet!O278,1,FIND(" ",Worksheet!O278,1)-1),"")*1</f>
        <v>1.1299999999999999</v>
      </c>
      <c r="H282" s="21">
        <f>IF(Worksheet!P278&lt;&gt;"",MID(Worksheet!P278,1,FIND(" ",Worksheet!P278,1)-1),"")*1</f>
        <v>0.92200000000000004</v>
      </c>
      <c r="I282" s="6"/>
      <c r="J282" s="6"/>
      <c r="K282" t="str">
        <f>IF(Worksheet!BI278&lt;&gt;"",Worksheet!BI278,"")</f>
        <v>1 / 220 / 50</v>
      </c>
      <c r="L282" t="str">
        <f>IF(Worksheet!AU278&lt;&gt;"",Worksheet!AU278,"")</f>
        <v>R32</v>
      </c>
      <c r="M282" s="6"/>
      <c r="N282" s="6"/>
      <c r="O282" t="str">
        <f>IF(Worksheet!CR278&lt;&gt;"",CONCATENATE(Worksheet!CR278," х ",Worksheet!CP278," х ",Worksheet!CT278),"")</f>
        <v>777 х 250 х 201</v>
      </c>
      <c r="P282" t="str">
        <f>IF(Worksheet!CS278&lt;&gt;"",CONCATENATE(Worksheet!CS278," х ",Worksheet!CU278," х ",Worksheet!CQ278),"")</f>
        <v>840 х 260 х 315</v>
      </c>
      <c r="Q282" t="str">
        <f>IF(Worksheet!CV278&lt;&gt;"",CONCATENATE(Worksheet!CV278," / ",Worksheet!CW278),"")</f>
        <v>9 / 11</v>
      </c>
      <c r="R282" t="str">
        <f>IF(Worksheet!BS278&lt;&gt;"",Worksheet!BS278,"")</f>
        <v>22/25/33/37/40</v>
      </c>
      <c r="S282" t="str">
        <f>IF(Worksheet!AL278&lt;&gt;"",Worksheet!AL278,"")</f>
        <v>GMCC</v>
      </c>
      <c r="T282" t="str">
        <f>IF(Worksheet!CJ278&lt;&gt;"",CONCATENATE(Worksheet!CJ278," х ",Worksheet!CL278," х ",Worksheet!CH278),"")</f>
        <v>777 х 290 х 498</v>
      </c>
      <c r="U282" t="str">
        <f>IF(Worksheet!CK278&lt;&gt;"",CONCATENATE(Worksheet!CK278," х ",Worksheet!CM278," х ",Worksheet!CI278),"")</f>
        <v>818 х 325 х 520</v>
      </c>
      <c r="V282" t="str">
        <f>IF(Worksheet!CN278&lt;&gt;"",CONCATENATE(Worksheet!CN278,"/",Worksheet!CO278),"")</f>
        <v>22/25</v>
      </c>
      <c r="W282" s="6"/>
      <c r="X282" s="7">
        <f>IF(Worksheet!AN278&lt;&gt;"",Worksheet!AN278,"")</f>
        <v>6.35</v>
      </c>
      <c r="Y282" s="7">
        <f>IF(Worksheet!AO278&lt;&gt;"",Worksheet!AO278,"")</f>
        <v>9.52</v>
      </c>
      <c r="Z282" s="17">
        <f>IF(Worksheet!Q278&lt;&gt;"",Worksheet!Q278,"")</f>
        <v>25</v>
      </c>
      <c r="AA282" s="17">
        <f>IF(Worksheet!R278&lt;&gt;"",Worksheet!R278,"")</f>
        <v>10</v>
      </c>
      <c r="AB282" t="str">
        <f>IF(Worksheet!X278&lt;&gt;"",CONCATENATE("от ",Worksheet!X278," до +",Worksheet!Y278),"")</f>
        <v>от -15 до +53</v>
      </c>
      <c r="AC282" t="str">
        <f>IF(Worksheet!Z278&lt;&gt;"",CONCATENATE("от ",Worksheet!Z278," до +",Worksheet!AA278),"")</f>
        <v>от -20 до +30</v>
      </c>
      <c r="AD282" s="6" t="s">
        <v>5245</v>
      </c>
      <c r="AE282" s="17"/>
    </row>
    <row r="283" spans="1:31" x14ac:dyDescent="0.25">
      <c r="A283" s="17" t="str">
        <f>IF(Worksheet!B279&lt;&gt;"",Worksheet!B279,"")</f>
        <v>QUATTROCLIMA</v>
      </c>
      <c r="B283" t="str">
        <f>Worksheet!E279</f>
        <v>Сплит система</v>
      </c>
      <c r="C283" s="21">
        <f>IF(Worksheet!M279&lt;&gt;"",MID(Worksheet!M279,1,FIND(" ",Worksheet!M279,1)-1),"")*1</f>
        <v>2.64</v>
      </c>
      <c r="D283">
        <f t="shared" si="13"/>
        <v>26</v>
      </c>
      <c r="E283" t="str">
        <f>IF(Worksheet!L279&lt;&gt;"",IF(Worksheet!L279="Y","да","нет"),"")</f>
        <v>да</v>
      </c>
      <c r="F283" s="21">
        <f>IF(Worksheet!N279&lt;&gt;"",MID(Worksheet!N279,1,FIND(" ",Worksheet!N279,1)-1),"")*1</f>
        <v>2.78</v>
      </c>
      <c r="G283" s="21">
        <f>IF(Worksheet!O279&lt;&gt;"",MID(Worksheet!O279,1,FIND(" ",Worksheet!O279,1)-1),"")*1</f>
        <v>0.82</v>
      </c>
      <c r="H283" s="21">
        <f>IF(Worksheet!P279&lt;&gt;"",MID(Worksheet!P279,1,FIND(" ",Worksheet!P279,1)-1),"")*1</f>
        <v>0.77</v>
      </c>
      <c r="I283" s="6"/>
      <c r="J283" s="6"/>
      <c r="K283" t="str">
        <f>IF(Worksheet!BI279&lt;&gt;"",Worksheet!BI279,"")</f>
        <v>1 / 220 / 50</v>
      </c>
      <c r="L283" t="str">
        <f>IF(Worksheet!AU279&lt;&gt;"",Worksheet!AU279,"")</f>
        <v>R410A</v>
      </c>
      <c r="M283" s="6"/>
      <c r="N283" s="6"/>
      <c r="O283" t="str">
        <f>IF(Worksheet!CR279&lt;&gt;"",CONCATENATE(Worksheet!CR279," х ",Worksheet!CP279," х ",Worksheet!CT279),"")</f>
        <v>698 х 255 х 190</v>
      </c>
      <c r="P283" t="str">
        <f>IF(Worksheet!CS279&lt;&gt;"",CONCATENATE(Worksheet!CS279," х ",Worksheet!CU279," х ",Worksheet!CQ279),"")</f>
        <v>764 х 257 х 325</v>
      </c>
      <c r="Q283" t="str">
        <f>IF(Worksheet!CV279&lt;&gt;"",CONCATENATE(Worksheet!CV279," / ",Worksheet!CW279),"")</f>
        <v>6.5 / 8.5</v>
      </c>
      <c r="R283" t="str">
        <f>IF(Worksheet!BS279&lt;&gt;"",Worksheet!BS279,"")</f>
        <v>25/27/32/35/38</v>
      </c>
      <c r="S283" t="str">
        <f>IF(Worksheet!AL279&lt;&gt;"",Worksheet!AL279,"")</f>
        <v>GMCC</v>
      </c>
      <c r="T283" t="str">
        <f>IF(Worksheet!CJ279&lt;&gt;"",CONCATENATE(Worksheet!CJ279," х ",Worksheet!CL279," х ",Worksheet!CH279),"")</f>
        <v>712 х 276 х 459</v>
      </c>
      <c r="U283" t="str">
        <f>IF(Worksheet!CK279&lt;&gt;"",CONCATENATE(Worksheet!CK279," х ",Worksheet!CM279," х ",Worksheet!CI279),"")</f>
        <v>765 х 310 х 481</v>
      </c>
      <c r="V283" t="str">
        <f>IF(Worksheet!CN279&lt;&gt;"",CONCATENATE(Worksheet!CN279,"/",Worksheet!CO279),"")</f>
        <v>24/26</v>
      </c>
      <c r="W283" s="6"/>
      <c r="X283" s="7">
        <f>IF(Worksheet!AN279&lt;&gt;"",Worksheet!AN279,"")</f>
        <v>6.35</v>
      </c>
      <c r="Y283" s="7">
        <f>IF(Worksheet!AO279&lt;&gt;"",Worksheet!AO279,"")</f>
        <v>9.52</v>
      </c>
      <c r="Z283" s="17">
        <f>IF(Worksheet!Q279&lt;&gt;"",Worksheet!Q279,"")</f>
        <v>15</v>
      </c>
      <c r="AA283" s="17">
        <f>IF(Worksheet!R279&lt;&gt;"",Worksheet!R279,"")</f>
        <v>5</v>
      </c>
      <c r="AB283" t="str">
        <f>IF(Worksheet!X279&lt;&gt;"",CONCATENATE("от ",Worksheet!X279," до +",Worksheet!Y279),"")</f>
        <v/>
      </c>
      <c r="AC283" t="str">
        <f>IF(Worksheet!Z279&lt;&gt;"",CONCATENATE("от ",Worksheet!Z279," до +",Worksheet!AA279),"")</f>
        <v>от -15 до +30</v>
      </c>
      <c r="AD283" s="6" t="s">
        <v>5245</v>
      </c>
      <c r="AE283" s="17"/>
    </row>
    <row r="284" spans="1:31" x14ac:dyDescent="0.25">
      <c r="A284" s="17" t="str">
        <f>IF(Worksheet!B280&lt;&gt;"",Worksheet!B280,"")</f>
        <v>QUATTROCLIMA</v>
      </c>
      <c r="B284" t="str">
        <f>Worksheet!E280</f>
        <v>Сплит система</v>
      </c>
      <c r="C284" s="21">
        <f>IF(Worksheet!M280&lt;&gt;"",MID(Worksheet!M280,1,FIND(" ",Worksheet!M280,1)-1),"")*1</f>
        <v>3.52</v>
      </c>
      <c r="D284">
        <f t="shared" si="13"/>
        <v>35</v>
      </c>
      <c r="E284" t="str">
        <f>IF(Worksheet!L280&lt;&gt;"",IF(Worksheet!L280="Y","да","нет"),"")</f>
        <v>да</v>
      </c>
      <c r="F284" s="21">
        <f>IF(Worksheet!N280&lt;&gt;"",MID(Worksheet!N280,1,FIND(" ",Worksheet!N280,1)-1),"")*1</f>
        <v>3.66</v>
      </c>
      <c r="G284" s="21">
        <f>IF(Worksheet!O280&lt;&gt;"",MID(Worksheet!O280,1,FIND(" ",Worksheet!O280,1)-1),"")*1</f>
        <v>1.095</v>
      </c>
      <c r="H284" s="21">
        <f>IF(Worksheet!P280&lt;&gt;"",MID(Worksheet!P280,1,FIND(" ",Worksheet!P280,1)-1),"")*1</f>
        <v>1.0129999999999999</v>
      </c>
      <c r="I284" s="6"/>
      <c r="J284" s="6"/>
      <c r="K284" t="str">
        <f>IF(Worksheet!BI280&lt;&gt;"",Worksheet!BI280,"")</f>
        <v>1 / 220 / 50</v>
      </c>
      <c r="L284" t="str">
        <f>IF(Worksheet!AU280&lt;&gt;"",Worksheet!AU280,"")</f>
        <v>R410A</v>
      </c>
      <c r="M284" s="6"/>
      <c r="N284" s="6"/>
      <c r="O284" t="str">
        <f>IF(Worksheet!CR280&lt;&gt;"",CONCATENATE(Worksheet!CR280," х ",Worksheet!CP280," х ",Worksheet!CT280),"")</f>
        <v>777 х 250 х 201</v>
      </c>
      <c r="P284" t="str">
        <f>IF(Worksheet!CS280&lt;&gt;"",CONCATENATE(Worksheet!CS280," х ",Worksheet!CU280," х ",Worksheet!CQ280),"")</f>
        <v>850 х 275 х 320</v>
      </c>
      <c r="Q284" t="str">
        <f>IF(Worksheet!CV280&lt;&gt;"",CONCATENATE(Worksheet!CV280," / ",Worksheet!CW280),"")</f>
        <v>8 / 10</v>
      </c>
      <c r="R284" t="str">
        <f>IF(Worksheet!BS280&lt;&gt;"",Worksheet!BS280,"")</f>
        <v>26/30/34/37/39</v>
      </c>
      <c r="S284" t="str">
        <f>IF(Worksheet!AL280&lt;&gt;"",Worksheet!AL280,"")</f>
        <v>GMCC</v>
      </c>
      <c r="T284" t="str">
        <f>IF(Worksheet!CJ280&lt;&gt;"",CONCATENATE(Worksheet!CJ280," х ",Worksheet!CL280," х ",Worksheet!CH280),"")</f>
        <v>712 х 276 х 459</v>
      </c>
      <c r="U284" t="str">
        <f>IF(Worksheet!CK280&lt;&gt;"",CONCATENATE(Worksheet!CK280," х ",Worksheet!CM280," х ",Worksheet!CI280),"")</f>
        <v>765 х 310 х 481</v>
      </c>
      <c r="V284" t="str">
        <f>IF(Worksheet!CN280&lt;&gt;"",CONCATENATE(Worksheet!CN280,"/",Worksheet!CO280),"")</f>
        <v>26/28</v>
      </c>
      <c r="W284" s="6"/>
      <c r="X284" s="7">
        <f>IF(Worksheet!AN280&lt;&gt;"",Worksheet!AN280,"")</f>
        <v>6.35</v>
      </c>
      <c r="Y284" s="7">
        <f>IF(Worksheet!AO280&lt;&gt;"",Worksheet!AO280,"")</f>
        <v>9.52</v>
      </c>
      <c r="Z284" s="17">
        <f>IF(Worksheet!Q280&lt;&gt;"",Worksheet!Q280,"")</f>
        <v>15</v>
      </c>
      <c r="AA284" s="17">
        <f>IF(Worksheet!R280&lt;&gt;"",Worksheet!R280,"")</f>
        <v>5</v>
      </c>
      <c r="AB284" t="str">
        <f>IF(Worksheet!X280&lt;&gt;"",CONCATENATE("от ",Worksheet!X280," до +",Worksheet!Y280),"")</f>
        <v/>
      </c>
      <c r="AC284" t="str">
        <f>IF(Worksheet!Z280&lt;&gt;"",CONCATENATE("от ",Worksheet!Z280," до +",Worksheet!AA280),"")</f>
        <v>от -15 до +30</v>
      </c>
      <c r="AD284" s="6" t="s">
        <v>5245</v>
      </c>
      <c r="AE284" s="17"/>
    </row>
    <row r="285" spans="1:31" x14ac:dyDescent="0.25">
      <c r="A285" s="17" t="str">
        <f>IF(Worksheet!B281&lt;&gt;"",Worksheet!B281,"")</f>
        <v>QUATTROCLIMA</v>
      </c>
      <c r="B285" t="str">
        <f>Worksheet!E281</f>
        <v>Сплит система</v>
      </c>
      <c r="C285" s="21">
        <f>IF(Worksheet!M281&lt;&gt;"",MID(Worksheet!M281,1,FIND(" ",Worksheet!M281,1)-1),"")*1</f>
        <v>5.28</v>
      </c>
      <c r="D285">
        <f t="shared" si="13"/>
        <v>52</v>
      </c>
      <c r="E285" t="str">
        <f>IF(Worksheet!L281&lt;&gt;"",IF(Worksheet!L281="Y","да","нет"),"")</f>
        <v>да</v>
      </c>
      <c r="F285" s="21">
        <f>IF(Worksheet!N281&lt;&gt;"",MID(Worksheet!N281,1,FIND(" ",Worksheet!N281,1)-1),"")*1</f>
        <v>5.42</v>
      </c>
      <c r="G285" s="21">
        <f>IF(Worksheet!O281&lt;&gt;"",MID(Worksheet!O281,1,FIND(" ",Worksheet!O281,1)-1),"")*1</f>
        <v>1.645</v>
      </c>
      <c r="H285" s="21">
        <f>IF(Worksheet!P281&lt;&gt;"",MID(Worksheet!P281,1,FIND(" ",Worksheet!P281,1)-1),"")*1</f>
        <v>1.5</v>
      </c>
      <c r="I285" s="6"/>
      <c r="J285" s="6"/>
      <c r="K285" t="str">
        <f>IF(Worksheet!BI281&lt;&gt;"",Worksheet!BI281,"")</f>
        <v>1 / 220 / 50</v>
      </c>
      <c r="L285" t="str">
        <f>IF(Worksheet!AU281&lt;&gt;"",Worksheet!AU281,"")</f>
        <v>R410A</v>
      </c>
      <c r="M285" s="6"/>
      <c r="N285" s="6"/>
      <c r="O285" t="str">
        <f>IF(Worksheet!CR281&lt;&gt;"",CONCATENATE(Worksheet!CR281," х ",Worksheet!CP281," х ",Worksheet!CT281),"")</f>
        <v>910 х 294 х 206</v>
      </c>
      <c r="P285" t="str">
        <f>IF(Worksheet!CS281&lt;&gt;"",CONCATENATE(Worksheet!CS281," х ",Worksheet!CU281," х ",Worksheet!CQ281),"")</f>
        <v>979 х 277 х 372</v>
      </c>
      <c r="Q285" t="str">
        <f>IF(Worksheet!CV281&lt;&gt;"",CONCATENATE(Worksheet!CV281," / ",Worksheet!CW281),"")</f>
        <v>10 / 13</v>
      </c>
      <c r="R285" t="str">
        <f>IF(Worksheet!BS281&lt;&gt;"",Worksheet!BS281,"")</f>
        <v>30/33/36/43/44</v>
      </c>
      <c r="S285" t="str">
        <f>IF(Worksheet!AL281&lt;&gt;"",Worksheet!AL281,"")</f>
        <v>GMCC</v>
      </c>
      <c r="T285" t="str">
        <f>IF(Worksheet!CJ281&lt;&gt;"",CONCATENATE(Worksheet!CJ281," х ",Worksheet!CL281," х ",Worksheet!CH281),"")</f>
        <v>853 х 349 х 602</v>
      </c>
      <c r="U285" t="str">
        <f>IF(Worksheet!CK281&lt;&gt;"",CONCATENATE(Worksheet!CK281," х ",Worksheet!CM281," х ",Worksheet!CI281),"")</f>
        <v>890 х 385 х 628</v>
      </c>
      <c r="V285" t="str">
        <f>IF(Worksheet!CN281&lt;&gt;"",CONCATENATE(Worksheet!CN281,"/",Worksheet!CO281),"")</f>
        <v>31/34</v>
      </c>
      <c r="W285" s="6"/>
      <c r="X285" s="7">
        <f>IF(Worksheet!AN281&lt;&gt;"",Worksheet!AN281,"")</f>
        <v>6.35</v>
      </c>
      <c r="Y285" s="7">
        <f>IF(Worksheet!AO281&lt;&gt;"",Worksheet!AO281,"")</f>
        <v>9.52</v>
      </c>
      <c r="Z285" s="17">
        <f>IF(Worksheet!Q281&lt;&gt;"",Worksheet!Q281,"")</f>
        <v>15</v>
      </c>
      <c r="AA285" s="17">
        <f>IF(Worksheet!R281&lt;&gt;"",Worksheet!R281,"")</f>
        <v>5</v>
      </c>
      <c r="AB285" t="str">
        <f>IF(Worksheet!X281&lt;&gt;"",CONCATENATE("от ",Worksheet!X281," до +",Worksheet!Y281),"")</f>
        <v/>
      </c>
      <c r="AC285" t="str">
        <f>IF(Worksheet!Z281&lt;&gt;"",CONCATENATE("от ",Worksheet!Z281," до +",Worksheet!AA281),"")</f>
        <v>от -15 до +30</v>
      </c>
      <c r="AD285" s="6" t="s">
        <v>5245</v>
      </c>
      <c r="AE285" s="17"/>
    </row>
    <row r="286" spans="1:31" x14ac:dyDescent="0.25">
      <c r="A286" s="17" t="str">
        <f>IF(Worksheet!B282&lt;&gt;"",Worksheet!B282,"")</f>
        <v>QUATTROCLIMA</v>
      </c>
      <c r="B286" t="str">
        <f>Worksheet!E282</f>
        <v>Сплит система</v>
      </c>
      <c r="C286" s="21">
        <f>IF(Worksheet!M282&lt;&gt;"",MID(Worksheet!M282,1,FIND(" ",Worksheet!M282,1)-1),"")*1</f>
        <v>7.03</v>
      </c>
      <c r="D286">
        <f t="shared" si="13"/>
        <v>70</v>
      </c>
      <c r="E286" t="str">
        <f>IF(Worksheet!L282&lt;&gt;"",IF(Worksheet!L282="Y","да","нет"),"")</f>
        <v>да</v>
      </c>
      <c r="F286" s="21">
        <f>IF(Worksheet!N282&lt;&gt;"",MID(Worksheet!N282,1,FIND(" ",Worksheet!N282,1)-1),"")*1</f>
        <v>7.18</v>
      </c>
      <c r="G286" s="21">
        <f>IF(Worksheet!O282&lt;&gt;"",MID(Worksheet!O282,1,FIND(" ",Worksheet!O282,1)-1),"")*1</f>
        <v>2.19</v>
      </c>
      <c r="H286" s="21">
        <f>IF(Worksheet!P282&lt;&gt;"",MID(Worksheet!P282,1,FIND(" ",Worksheet!P282,1)-1),"")*1</f>
        <v>1.9850000000000001</v>
      </c>
      <c r="I286" s="6"/>
      <c r="J286" s="6"/>
      <c r="K286" t="str">
        <f>IF(Worksheet!BI282&lt;&gt;"",Worksheet!BI282,"")</f>
        <v>1 / 220 / 50</v>
      </c>
      <c r="L286" t="str">
        <f>IF(Worksheet!AU282&lt;&gt;"",Worksheet!AU282,"")</f>
        <v>R410A</v>
      </c>
      <c r="M286" s="6"/>
      <c r="N286" s="6"/>
      <c r="O286" t="str">
        <f>IF(Worksheet!CR282&lt;&gt;"",CONCATENATE(Worksheet!CR282," х ",Worksheet!CP282," х ",Worksheet!CT282),"")</f>
        <v>1010 х 315 х 220</v>
      </c>
      <c r="P286" t="str">
        <f>IF(Worksheet!CS282&lt;&gt;"",CONCATENATE(Worksheet!CS282," х ",Worksheet!CU282," х ",Worksheet!CQ282),"")</f>
        <v>1096 х 297 х 390</v>
      </c>
      <c r="Q286" t="str">
        <f>IF(Worksheet!CV282&lt;&gt;"",CONCATENATE(Worksheet!CV282," / ",Worksheet!CW282),"")</f>
        <v>13 / 16</v>
      </c>
      <c r="R286" t="str">
        <f>IF(Worksheet!BS282&lt;&gt;"",Worksheet!BS282,"")</f>
        <v>32/37/42/46/48</v>
      </c>
      <c r="S286" t="str">
        <f>IF(Worksheet!AL282&lt;&gt;"",Worksheet!AL282,"")</f>
        <v>SANYO</v>
      </c>
      <c r="T286" t="str">
        <f>IF(Worksheet!CJ282&lt;&gt;"",CONCATENATE(Worksheet!CJ282," х ",Worksheet!CL282," х ",Worksheet!CH282),"")</f>
        <v>853 х 349 х 602</v>
      </c>
      <c r="U286" t="str">
        <f>IF(Worksheet!CK282&lt;&gt;"",CONCATENATE(Worksheet!CK282," х ",Worksheet!CM282," х ",Worksheet!CI282),"")</f>
        <v>890 х 385 х 628</v>
      </c>
      <c r="V286" t="str">
        <f>IF(Worksheet!CN282&lt;&gt;"",CONCATENATE(Worksheet!CN282,"/",Worksheet!CO282),"")</f>
        <v>33/36</v>
      </c>
      <c r="W286" s="6"/>
      <c r="X286" s="7">
        <f>IF(Worksheet!AN282&lt;&gt;"",Worksheet!AN282,"")</f>
        <v>6.35</v>
      </c>
      <c r="Y286" s="7">
        <f>IF(Worksheet!AO282&lt;&gt;"",Worksheet!AO282,"")</f>
        <v>12.7</v>
      </c>
      <c r="Z286" s="17">
        <f>IF(Worksheet!Q282&lt;&gt;"",Worksheet!Q282,"")</f>
        <v>15</v>
      </c>
      <c r="AA286" s="17">
        <f>IF(Worksheet!R282&lt;&gt;"",Worksheet!R282,"")</f>
        <v>5</v>
      </c>
      <c r="AB286" t="str">
        <f>IF(Worksheet!X282&lt;&gt;"",CONCATENATE("от ",Worksheet!X282," до +",Worksheet!Y282),"")</f>
        <v/>
      </c>
      <c r="AC286" t="str">
        <f>IF(Worksheet!Z282&lt;&gt;"",CONCATENATE("от ",Worksheet!Z282," до +",Worksheet!AA282),"")</f>
        <v>от -15 до +30</v>
      </c>
      <c r="AD286" s="6" t="s">
        <v>5245</v>
      </c>
      <c r="AE286" s="17"/>
    </row>
    <row r="287" spans="1:31" x14ac:dyDescent="0.25">
      <c r="A287" s="17" t="str">
        <f>IF(Worksheet!B283&lt;&gt;"",Worksheet!B283,"")</f>
        <v>QUATTROCLIMA</v>
      </c>
      <c r="B287" t="str">
        <f>Worksheet!E283</f>
        <v>Сплит система</v>
      </c>
      <c r="C287">
        <f>IF(Worksheet!M283&lt;&gt;"",Worksheet!M283,"")</f>
        <v>2.0499999999999998</v>
      </c>
      <c r="D287">
        <f t="shared" si="12"/>
        <v>21</v>
      </c>
      <c r="E287" t="str">
        <f>IF(Worksheet!L283&lt;&gt;"",IF(Worksheet!L283="Y","да","нет"),"")</f>
        <v>нет</v>
      </c>
      <c r="F287">
        <f>IF(Worksheet!N283&lt;&gt;"",Worksheet!N283,"")</f>
        <v>2.2000000000000002</v>
      </c>
      <c r="G287">
        <f>IF(Worksheet!O283&lt;&gt;"",Worksheet!O283,"")</f>
        <v>0.63900000000000001</v>
      </c>
      <c r="H287">
        <f>IF(Worksheet!P283&lt;&gt;"",Worksheet!P283,"")</f>
        <v>0.60899999999999999</v>
      </c>
      <c r="I287" s="6"/>
      <c r="J287" s="6"/>
      <c r="K287" t="str">
        <f>IF(Worksheet!BI283&lt;&gt;"",Worksheet!BI283,"")</f>
        <v>1 / 220 / 50</v>
      </c>
      <c r="L287" t="str">
        <f>IF(Worksheet!AU283&lt;&gt;"",Worksheet!AU283,"")</f>
        <v>R410A</v>
      </c>
      <c r="M287" s="6"/>
      <c r="N287" s="6"/>
      <c r="O287" t="str">
        <f>IF(Worksheet!CR283&lt;&gt;"",CONCATENATE(Worksheet!CR283," х ",Worksheet!CP283," х ",Worksheet!CT283),"")</f>
        <v>698 х 255 х 190</v>
      </c>
      <c r="P287" t="str">
        <f>IF(Worksheet!CS283&lt;&gt;"",CONCATENATE(Worksheet!CS283," х ",Worksheet!CU283," х ",Worksheet!CQ283),"")</f>
        <v>764 х 257 х 325</v>
      </c>
      <c r="Q287" t="str">
        <f>IF(Worksheet!CV283&lt;&gt;"",CONCATENATE(Worksheet!CV283," / ",Worksheet!CW283),"")</f>
        <v>6.5 / 8.5</v>
      </c>
      <c r="R287" t="str">
        <f>IF(Worksheet!BS283&lt;&gt;"",Worksheet!BS283,"")</f>
        <v>25/27/29/32/34</v>
      </c>
      <c r="S287" t="str">
        <f>IF(Worksheet!AL283&lt;&gt;"",Worksheet!AL283,"")</f>
        <v>GMCC</v>
      </c>
      <c r="T287" t="str">
        <f>IF(Worksheet!CJ283&lt;&gt;"",CONCATENATE(Worksheet!CJ283," х ",Worksheet!CL283," х ",Worksheet!CH283),"")</f>
        <v>712 х 276 х 459</v>
      </c>
      <c r="U287" t="str">
        <f>IF(Worksheet!CK283&lt;&gt;"",CONCATENATE(Worksheet!CK283," х ",Worksheet!CM283," х ",Worksheet!CI283),"")</f>
        <v>765 х 310 х 481</v>
      </c>
      <c r="V287" t="str">
        <f>IF(Worksheet!CN283&lt;&gt;"",CONCATENATE(Worksheet!CN283,"/",Worksheet!CO283),"")</f>
        <v>20/22</v>
      </c>
      <c r="W287" s="6"/>
      <c r="X287" s="7">
        <f>IF(Worksheet!AN283&lt;&gt;"",Worksheet!AN283,"")</f>
        <v>6.35</v>
      </c>
      <c r="Y287" s="7">
        <f>IF(Worksheet!AO283&lt;&gt;"",Worksheet!AO283,"")</f>
        <v>9.52</v>
      </c>
      <c r="Z287" s="17">
        <f>IF(Worksheet!Q283&lt;&gt;"",Worksheet!Q283,"")</f>
        <v>15</v>
      </c>
      <c r="AA287" s="17">
        <f>IF(Worksheet!R283&lt;&gt;"",Worksheet!R283,"")</f>
        <v>5</v>
      </c>
      <c r="AB287" t="str">
        <f>IF(Worksheet!X283&lt;&gt;"",CONCATENATE("от ",Worksheet!X283," до +",Worksheet!Y283),"")</f>
        <v>от 15 до +43</v>
      </c>
      <c r="AC287" t="str">
        <f>IF(Worksheet!Z283&lt;&gt;"",CONCATENATE("от ",Worksheet!Z283," до +",Worksheet!AA283),"")</f>
        <v>от -7 до +24</v>
      </c>
      <c r="AD287" s="6" t="s">
        <v>5245</v>
      </c>
      <c r="AE287" s="17"/>
    </row>
    <row r="288" spans="1:31" x14ac:dyDescent="0.25">
      <c r="A288" s="17" t="str">
        <f>IF(Worksheet!B284&lt;&gt;"",Worksheet!B284,"")</f>
        <v>QUATTROCLIMA</v>
      </c>
      <c r="B288" t="str">
        <f>Worksheet!E284</f>
        <v>Сплит система</v>
      </c>
      <c r="C288">
        <f>IF(Worksheet!M284&lt;&gt;"",Worksheet!M284,"")</f>
        <v>2.5499999999999998</v>
      </c>
      <c r="D288">
        <f t="shared" si="12"/>
        <v>26</v>
      </c>
      <c r="E288" t="str">
        <f>IF(Worksheet!L284&lt;&gt;"",IF(Worksheet!L284="Y","да","нет"),"")</f>
        <v>нет</v>
      </c>
      <c r="F288">
        <f>IF(Worksheet!N284&lt;&gt;"",Worksheet!N284,"")</f>
        <v>2.73</v>
      </c>
      <c r="G288">
        <f>IF(Worksheet!O284&lt;&gt;"",Worksheet!O284,"")</f>
        <v>0.79400000000000004</v>
      </c>
      <c r="H288">
        <f>IF(Worksheet!P284&lt;&gt;"",Worksheet!P284,"")</f>
        <v>0.755</v>
      </c>
      <c r="I288" s="6"/>
      <c r="J288" s="6"/>
      <c r="K288" t="str">
        <f>IF(Worksheet!BI284&lt;&gt;"",Worksheet!BI284,"")</f>
        <v>1 / 220 / 50</v>
      </c>
      <c r="L288" t="str">
        <f>IF(Worksheet!AU284&lt;&gt;"",Worksheet!AU284,"")</f>
        <v>R410A</v>
      </c>
      <c r="M288" s="6"/>
      <c r="N288" s="6"/>
      <c r="O288" t="str">
        <f>IF(Worksheet!CR284&lt;&gt;"",CONCATENATE(Worksheet!CR284," х ",Worksheet!CP284," х ",Worksheet!CT284),"")</f>
        <v>698 х 255 х 190</v>
      </c>
      <c r="P288" t="str">
        <f>IF(Worksheet!CS284&lt;&gt;"",CONCATENATE(Worksheet!CS284," х ",Worksheet!CU284," х ",Worksheet!CQ284),"")</f>
        <v>764 х 257 х 325</v>
      </c>
      <c r="Q288" t="str">
        <f>IF(Worksheet!CV284&lt;&gt;"",CONCATENATE(Worksheet!CV284," / ",Worksheet!CW284),"")</f>
        <v>6.5 / 8.5</v>
      </c>
      <c r="R288" t="str">
        <f>IF(Worksheet!BS284&lt;&gt;"",Worksheet!BS284,"")</f>
        <v>25/27/29/33/35</v>
      </c>
      <c r="S288" t="str">
        <f>IF(Worksheet!AL284&lt;&gt;"",Worksheet!AL284,"")</f>
        <v>GMCC</v>
      </c>
      <c r="T288" t="str">
        <f>IF(Worksheet!CJ284&lt;&gt;"",CONCATENATE(Worksheet!CJ284," х ",Worksheet!CL284," х ",Worksheet!CH284),"")</f>
        <v>712 х 276 х 459</v>
      </c>
      <c r="U288" t="str">
        <f>IF(Worksheet!CK284&lt;&gt;"",CONCATENATE(Worksheet!CK284," х ",Worksheet!CM284," х ",Worksheet!CI284),"")</f>
        <v>765 х 310 х 481</v>
      </c>
      <c r="V288" t="str">
        <f>IF(Worksheet!CN284&lt;&gt;"",CONCATENATE(Worksheet!CN284,"/",Worksheet!CO284),"")</f>
        <v>23/25</v>
      </c>
      <c r="W288" s="6"/>
      <c r="X288" s="7">
        <f>IF(Worksheet!AN284&lt;&gt;"",Worksheet!AN284,"")</f>
        <v>6.35</v>
      </c>
      <c r="Y288" s="7">
        <f>IF(Worksheet!AO284&lt;&gt;"",Worksheet!AO284,"")</f>
        <v>9.52</v>
      </c>
      <c r="Z288" s="17">
        <f>IF(Worksheet!Q284&lt;&gt;"",Worksheet!Q284,"")</f>
        <v>15</v>
      </c>
      <c r="AA288" s="17">
        <f>IF(Worksheet!R284&lt;&gt;"",Worksheet!R284,"")</f>
        <v>5</v>
      </c>
      <c r="AB288" t="str">
        <f>IF(Worksheet!X284&lt;&gt;"",CONCATENATE("от ",Worksheet!X284," до +",Worksheet!Y284),"")</f>
        <v>от 15 до +43</v>
      </c>
      <c r="AC288" t="str">
        <f>IF(Worksheet!Z284&lt;&gt;"",CONCATENATE("от ",Worksheet!Z284," до +",Worksheet!AA284),"")</f>
        <v>от -7 до +24</v>
      </c>
      <c r="AD288" s="6" t="s">
        <v>5245</v>
      </c>
      <c r="AE288" s="17"/>
    </row>
    <row r="289" spans="1:31" x14ac:dyDescent="0.25">
      <c r="A289" s="17" t="str">
        <f>IF(Worksheet!B285&lt;&gt;"",Worksheet!B285,"")</f>
        <v>QUATTROCLIMA</v>
      </c>
      <c r="B289" t="str">
        <f>Worksheet!E285</f>
        <v>Сплит система</v>
      </c>
      <c r="C289">
        <f>IF(Worksheet!M285&lt;&gt;"",Worksheet!M285,"")</f>
        <v>3.37</v>
      </c>
      <c r="D289">
        <f t="shared" si="12"/>
        <v>34</v>
      </c>
      <c r="E289" t="str">
        <f>IF(Worksheet!L285&lt;&gt;"",IF(Worksheet!L285="Y","да","нет"),"")</f>
        <v>нет</v>
      </c>
      <c r="F289">
        <f>IF(Worksheet!N285&lt;&gt;"",Worksheet!N285,"")</f>
        <v>3.52</v>
      </c>
      <c r="G289">
        <f>IF(Worksheet!O285&lt;&gt;"",Worksheet!O285,"")</f>
        <v>1.05</v>
      </c>
      <c r="H289">
        <f>IF(Worksheet!P285&lt;&gt;"",Worksheet!P285,"")</f>
        <v>0.97499999999999998</v>
      </c>
      <c r="I289" s="6"/>
      <c r="J289" s="6"/>
      <c r="K289" t="str">
        <f>IF(Worksheet!BI285&lt;&gt;"",Worksheet!BI285,"")</f>
        <v>1 / 220 / 50</v>
      </c>
      <c r="L289" t="str">
        <f>IF(Worksheet!AU285&lt;&gt;"",Worksheet!AU285,"")</f>
        <v>R410A</v>
      </c>
      <c r="M289" s="6"/>
      <c r="N289" s="6"/>
      <c r="O289" t="str">
        <f>IF(Worksheet!CR285&lt;&gt;"",CONCATENATE(Worksheet!CR285," х ",Worksheet!CP285," х ",Worksheet!CT285),"")</f>
        <v>777 х 250 х 201</v>
      </c>
      <c r="P289" t="str">
        <f>IF(Worksheet!CS285&lt;&gt;"",CONCATENATE(Worksheet!CS285," х ",Worksheet!CU285," х ",Worksheet!CQ285),"")</f>
        <v>850 х 275 х 320</v>
      </c>
      <c r="Q289" t="str">
        <f>IF(Worksheet!CV285&lt;&gt;"",CONCATENATE(Worksheet!CV285," / ",Worksheet!CW285),"")</f>
        <v>8 / 10</v>
      </c>
      <c r="R289" t="str">
        <f>IF(Worksheet!BS285&lt;&gt;"",Worksheet!BS285,"")</f>
        <v>31/34/37/40/42</v>
      </c>
      <c r="S289" t="str">
        <f>IF(Worksheet!AL285&lt;&gt;"",Worksheet!AL285,"")</f>
        <v>GMCC</v>
      </c>
      <c r="T289" t="str">
        <f>IF(Worksheet!CJ285&lt;&gt;"",CONCATENATE(Worksheet!CJ285," х ",Worksheet!CL285," х ",Worksheet!CH285),"")</f>
        <v>777 х 290 х 498</v>
      </c>
      <c r="U289" t="str">
        <f>IF(Worksheet!CK285&lt;&gt;"",CONCATENATE(Worksheet!CK285," х ",Worksheet!CM285," х ",Worksheet!CI285),"")</f>
        <v>818 х 325 х 520</v>
      </c>
      <c r="V289" t="str">
        <f>IF(Worksheet!CN285&lt;&gt;"",CONCATENATE(Worksheet!CN285,"/",Worksheet!CO285),"")</f>
        <v>25/28</v>
      </c>
      <c r="W289" s="6"/>
      <c r="X289" s="7">
        <f>IF(Worksheet!AN285&lt;&gt;"",Worksheet!AN285,"")</f>
        <v>6.35</v>
      </c>
      <c r="Y289" s="7">
        <f>IF(Worksheet!AO285&lt;&gt;"",Worksheet!AO285,"")</f>
        <v>9.52</v>
      </c>
      <c r="Z289" s="17">
        <f>IF(Worksheet!Q285&lt;&gt;"",Worksheet!Q285,"")</f>
        <v>15</v>
      </c>
      <c r="AA289" s="17">
        <f>IF(Worksheet!R285&lt;&gt;"",Worksheet!R285,"")</f>
        <v>5</v>
      </c>
      <c r="AB289" t="str">
        <f>IF(Worksheet!X285&lt;&gt;"",CONCATENATE("от ",Worksheet!X285," до +",Worksheet!Y285),"")</f>
        <v>от 15 до +43</v>
      </c>
      <c r="AC289" t="str">
        <f>IF(Worksheet!Z285&lt;&gt;"",CONCATENATE("от ",Worksheet!Z285," до +",Worksheet!AA285),"")</f>
        <v>от -7 до +24</v>
      </c>
      <c r="AD289" s="6" t="s">
        <v>5245</v>
      </c>
      <c r="AE289" s="17"/>
    </row>
    <row r="290" spans="1:31" x14ac:dyDescent="0.25">
      <c r="A290" s="17" t="str">
        <f>IF(Worksheet!B286&lt;&gt;"",Worksheet!B286,"")</f>
        <v>QUATTROCLIMA</v>
      </c>
      <c r="B290" t="str">
        <f>Worksheet!E286</f>
        <v>Сплит система</v>
      </c>
      <c r="C290">
        <f>IF(Worksheet!M286&lt;&gt;"",Worksheet!M286,"")</f>
        <v>5.13</v>
      </c>
      <c r="D290">
        <f t="shared" si="12"/>
        <v>51</v>
      </c>
      <c r="E290" t="str">
        <f>IF(Worksheet!L286&lt;&gt;"",IF(Worksheet!L286="Y","да","нет"),"")</f>
        <v>нет</v>
      </c>
      <c r="F290">
        <f>IF(Worksheet!N286&lt;&gt;"",Worksheet!N286,"")</f>
        <v>5.28</v>
      </c>
      <c r="G290">
        <f>IF(Worksheet!O286&lt;&gt;"",Worksheet!O286,"")</f>
        <v>1.5980000000000001</v>
      </c>
      <c r="H290">
        <f>IF(Worksheet!P286&lt;&gt;"",Worksheet!P286,"")</f>
        <v>1.462</v>
      </c>
      <c r="I290" s="6"/>
      <c r="J290" s="6"/>
      <c r="K290" t="str">
        <f>IF(Worksheet!BI286&lt;&gt;"",Worksheet!BI286,"")</f>
        <v>1 / 220 / 50</v>
      </c>
      <c r="L290" t="str">
        <f>IF(Worksheet!AU286&lt;&gt;"",Worksheet!AU286,"")</f>
        <v>R410A</v>
      </c>
      <c r="M290" s="6"/>
      <c r="N290" s="6"/>
      <c r="O290" t="str">
        <f>IF(Worksheet!CR286&lt;&gt;"",CONCATENATE(Worksheet!CR286," х ",Worksheet!CP286," х ",Worksheet!CT286),"")</f>
        <v>910 х 294 х 206</v>
      </c>
      <c r="P290" t="str">
        <f>IF(Worksheet!CS286&lt;&gt;"",CONCATENATE(Worksheet!CS286," х ",Worksheet!CU286," х ",Worksheet!CQ286),"")</f>
        <v>979 х 277 х 372</v>
      </c>
      <c r="Q290" t="str">
        <f>IF(Worksheet!CV286&lt;&gt;"",CONCATENATE(Worksheet!CV286," / ",Worksheet!CW286),"")</f>
        <v>10.5 / 12.5</v>
      </c>
      <c r="R290" t="str">
        <f>IF(Worksheet!BS286&lt;&gt;"",Worksheet!BS286,"")</f>
        <v>34/35/38/40/43</v>
      </c>
      <c r="S290" t="str">
        <f>IF(Worksheet!AL286&lt;&gt;"",Worksheet!AL286,"")</f>
        <v>RECHI</v>
      </c>
      <c r="T290" t="str">
        <f>IF(Worksheet!CJ286&lt;&gt;"",CONCATENATE(Worksheet!CJ286," х ",Worksheet!CL286," х ",Worksheet!CH286),"")</f>
        <v>817 х 300 х 553</v>
      </c>
      <c r="U290" t="str">
        <f>IF(Worksheet!CK286&lt;&gt;"",CONCATENATE(Worksheet!CK286," х ",Worksheet!CM286," х ",Worksheet!CI286),"")</f>
        <v>858 х 321 х 585</v>
      </c>
      <c r="V290" t="str">
        <f>IF(Worksheet!CN286&lt;&gt;"",CONCATENATE(Worksheet!CN286,"/",Worksheet!CO286),"")</f>
        <v>32.5/35</v>
      </c>
      <c r="W290" s="6"/>
      <c r="X290" s="7">
        <f>IF(Worksheet!AN286&lt;&gt;"",Worksheet!AN286,"")</f>
        <v>6.35</v>
      </c>
      <c r="Y290" s="7">
        <f>IF(Worksheet!AO286&lt;&gt;"",Worksheet!AO286,"")</f>
        <v>12.7</v>
      </c>
      <c r="Z290" s="17">
        <f>IF(Worksheet!Q286&lt;&gt;"",Worksheet!Q286,"")</f>
        <v>15</v>
      </c>
      <c r="AA290" s="17">
        <f>IF(Worksheet!R286&lt;&gt;"",Worksheet!R286,"")</f>
        <v>5</v>
      </c>
      <c r="AB290" t="str">
        <f>IF(Worksheet!X286&lt;&gt;"",CONCATENATE("от ",Worksheet!X286," до +",Worksheet!Y286),"")</f>
        <v>от 15 до +43</v>
      </c>
      <c r="AC290" t="str">
        <f>IF(Worksheet!Z286&lt;&gt;"",CONCATENATE("от ",Worksheet!Z286," до +",Worksheet!AA286),"")</f>
        <v>от -7 до +24</v>
      </c>
      <c r="AD290" s="6" t="s">
        <v>5245</v>
      </c>
      <c r="AE290" s="17"/>
    </row>
    <row r="291" spans="1:31" x14ac:dyDescent="0.25">
      <c r="A291" s="17" t="str">
        <f>IF(Worksheet!B287&lt;&gt;"",Worksheet!B287,"")</f>
        <v>QUATTROCLIMA</v>
      </c>
      <c r="B291" t="str">
        <f>Worksheet!E287</f>
        <v>Сплит система</v>
      </c>
      <c r="C291">
        <f>IF(Worksheet!M287&lt;&gt;"",Worksheet!M287,"")</f>
        <v>6.74</v>
      </c>
      <c r="D291">
        <f t="shared" si="12"/>
        <v>67</v>
      </c>
      <c r="E291" t="str">
        <f>IF(Worksheet!L287&lt;&gt;"",IF(Worksheet!L287="Y","да","нет"),"")</f>
        <v>нет</v>
      </c>
      <c r="F291">
        <f>IF(Worksheet!N287&lt;&gt;"",Worksheet!N287,"")</f>
        <v>7.03</v>
      </c>
      <c r="G291">
        <f>IF(Worksheet!O287&lt;&gt;"",Worksheet!O287,"")</f>
        <v>2.1</v>
      </c>
      <c r="H291">
        <f>IF(Worksheet!P287&lt;&gt;"",Worksheet!P287,"")</f>
        <v>1.9450000000000001</v>
      </c>
      <c r="I291" s="6"/>
      <c r="J291" s="6"/>
      <c r="K291" t="str">
        <f>IF(Worksheet!BI287&lt;&gt;"",Worksheet!BI287,"")</f>
        <v>1 / 220 / 50</v>
      </c>
      <c r="L291" t="str">
        <f>IF(Worksheet!AU287&lt;&gt;"",Worksheet!AU287,"")</f>
        <v>R410A</v>
      </c>
      <c r="M291" s="6"/>
      <c r="N291" s="6"/>
      <c r="O291" t="str">
        <f>IF(Worksheet!CR287&lt;&gt;"",CONCATENATE(Worksheet!CR287," х ",Worksheet!CP287," х ",Worksheet!CT287),"")</f>
        <v>910 х 294 х 206</v>
      </c>
      <c r="P291" t="str">
        <f>IF(Worksheet!CS287&lt;&gt;"",CONCATENATE(Worksheet!CS287," х ",Worksheet!CU287," х ",Worksheet!CQ287),"")</f>
        <v>979 х 277 х 372</v>
      </c>
      <c r="Q291" t="str">
        <f>IF(Worksheet!CV287&lt;&gt;"",CONCATENATE(Worksheet!CV287," / ",Worksheet!CW287),"")</f>
        <v>10.5 / 12.5</v>
      </c>
      <c r="R291" t="str">
        <f>IF(Worksheet!BS287&lt;&gt;"",Worksheet!BS287,"")</f>
        <v>35/37/38/41/43</v>
      </c>
      <c r="S291" t="str">
        <f>IF(Worksheet!AL287&lt;&gt;"",Worksheet!AL287,"")</f>
        <v>HIGHLY</v>
      </c>
      <c r="T291" t="str">
        <f>IF(Worksheet!CJ287&lt;&gt;"",CONCATENATE(Worksheet!CJ287," х ",Worksheet!CL287," х ",Worksheet!CH287),"")</f>
        <v>886 х 357 х 605</v>
      </c>
      <c r="U291" t="str">
        <f>IF(Worksheet!CK287&lt;&gt;"",CONCATENATE(Worksheet!CK287," х ",Worksheet!CM287," х ",Worksheet!CI287),"")</f>
        <v>930 х 380 х 635</v>
      </c>
      <c r="V291" t="str">
        <f>IF(Worksheet!CN287&lt;&gt;"",CONCATENATE(Worksheet!CN287,"/",Worksheet!CO287),"")</f>
        <v>43/46</v>
      </c>
      <c r="W291" s="6"/>
      <c r="X291" s="7">
        <f>IF(Worksheet!AN287&lt;&gt;"",Worksheet!AN287,"")</f>
        <v>6.35</v>
      </c>
      <c r="Y291" s="7">
        <f>IF(Worksheet!AO287&lt;&gt;"",Worksheet!AO287,"")</f>
        <v>15.88</v>
      </c>
      <c r="Z291" s="17">
        <f>IF(Worksheet!Q287&lt;&gt;"",Worksheet!Q287,"")</f>
        <v>15</v>
      </c>
      <c r="AA291" s="17">
        <f>IF(Worksheet!R287&lt;&gt;"",Worksheet!R287,"")</f>
        <v>5</v>
      </c>
      <c r="AB291" t="str">
        <f>IF(Worksheet!X287&lt;&gt;"",CONCATENATE("от ",Worksheet!X287," до +",Worksheet!Y287),"")</f>
        <v>от 15 до +43</v>
      </c>
      <c r="AC291" t="str">
        <f>IF(Worksheet!Z287&lt;&gt;"",CONCATENATE("от ",Worksheet!Z287," до +",Worksheet!AA287),"")</f>
        <v>от -7 до +24</v>
      </c>
      <c r="AD291" s="6" t="s">
        <v>5245</v>
      </c>
      <c r="AE291" s="17"/>
    </row>
    <row r="292" spans="1:31" x14ac:dyDescent="0.25">
      <c r="A292" s="17" t="str">
        <f>IF(Worksheet!B288&lt;&gt;"",Worksheet!B288,"")</f>
        <v>QUATTROCLIMA</v>
      </c>
      <c r="B292" t="str">
        <f>Worksheet!E288</f>
        <v>Сплит система</v>
      </c>
      <c r="C292">
        <f>IF(Worksheet!M288&lt;&gt;"",Worksheet!M288,"")</f>
        <v>8.2100000000000009</v>
      </c>
      <c r="D292">
        <f t="shared" si="12"/>
        <v>82</v>
      </c>
      <c r="E292" t="str">
        <f>IF(Worksheet!L288&lt;&gt;"",IF(Worksheet!L288="Y","да","нет"),"")</f>
        <v>нет</v>
      </c>
      <c r="F292">
        <f>IF(Worksheet!N288&lt;&gt;"",Worksheet!N288,"")</f>
        <v>8.35</v>
      </c>
      <c r="G292">
        <f>IF(Worksheet!O288&lt;&gt;"",Worksheet!O288,"")</f>
        <v>2.5499999999999998</v>
      </c>
      <c r="H292">
        <f>IF(Worksheet!P288&lt;&gt;"",Worksheet!P288,"")</f>
        <v>2.3050000000000002</v>
      </c>
      <c r="I292" s="6"/>
      <c r="J292" s="6"/>
      <c r="K292" t="str">
        <f>IF(Worksheet!BI288&lt;&gt;"",Worksheet!BI288,"")</f>
        <v>1 / 220 / 50</v>
      </c>
      <c r="L292" t="str">
        <f>IF(Worksheet!AU288&lt;&gt;"",Worksheet!AU288,"")</f>
        <v>R410A</v>
      </c>
      <c r="M292" s="6"/>
      <c r="N292" s="6"/>
      <c r="O292" t="str">
        <f>IF(Worksheet!CR288&lt;&gt;"",CONCATENATE(Worksheet!CR288," х ",Worksheet!CP288," х ",Worksheet!CT288),"")</f>
        <v>1010 х 315 х 220</v>
      </c>
      <c r="P292" t="str">
        <f>IF(Worksheet!CS288&lt;&gt;"",CONCATENATE(Worksheet!CS288," х ",Worksheet!CU288," х ",Worksheet!CQ288),"")</f>
        <v>1096 х 297 х 390</v>
      </c>
      <c r="Q292" t="str">
        <f>IF(Worksheet!CV288&lt;&gt;"",CONCATENATE(Worksheet!CV288," / ",Worksheet!CW288),"")</f>
        <v>13 / 16</v>
      </c>
      <c r="R292" t="str">
        <f>IF(Worksheet!BS288&lt;&gt;"",Worksheet!BS288,"")</f>
        <v>37/41/45/49/51</v>
      </c>
      <c r="S292" t="str">
        <f>IF(Worksheet!AL288&lt;&gt;"",Worksheet!AL288,"")</f>
        <v>GMCC</v>
      </c>
      <c r="T292" t="str">
        <f>IF(Worksheet!CJ288&lt;&gt;"",CONCATENATE(Worksheet!CJ288," х ",Worksheet!CL288," х ",Worksheet!CH288),"")</f>
        <v>968 х 400 х 655</v>
      </c>
      <c r="U292" t="str">
        <f>IF(Worksheet!CK288&lt;&gt;"",CONCATENATE(Worksheet!CK288," х ",Worksheet!CM288," х ",Worksheet!CI288),"")</f>
        <v>1023 х 430 х 698</v>
      </c>
      <c r="V292" t="str">
        <f>IF(Worksheet!CN288&lt;&gt;"",CONCATENATE(Worksheet!CN288,"/",Worksheet!CO288),"")</f>
        <v>50/54</v>
      </c>
      <c r="W292" s="6"/>
      <c r="X292" s="7">
        <f>IF(Worksheet!AN288&lt;&gt;"",Worksheet!AN288,"")</f>
        <v>6.35</v>
      </c>
      <c r="Y292" s="7">
        <f>IF(Worksheet!AO288&lt;&gt;"",Worksheet!AO288,"")</f>
        <v>15.88</v>
      </c>
      <c r="Z292" s="17">
        <f>IF(Worksheet!Q288&lt;&gt;"",Worksheet!Q288,"")</f>
        <v>15</v>
      </c>
      <c r="AA292" s="17">
        <f>IF(Worksheet!R288&lt;&gt;"",Worksheet!R288,"")</f>
        <v>5</v>
      </c>
      <c r="AB292" t="str">
        <f>IF(Worksheet!X288&lt;&gt;"",CONCATENATE("от ",Worksheet!X288," до +",Worksheet!Y288),"")</f>
        <v>от 15 до +43</v>
      </c>
      <c r="AC292" t="str">
        <f>IF(Worksheet!Z288&lt;&gt;"",CONCATENATE("от ",Worksheet!Z288," до +",Worksheet!AA288),"")</f>
        <v>от -7 до +24</v>
      </c>
      <c r="AD292" s="6" t="s">
        <v>5245</v>
      </c>
      <c r="AE292" s="17"/>
    </row>
    <row r="293" spans="1:31" x14ac:dyDescent="0.25">
      <c r="A293" s="17" t="str">
        <f>IF(Worksheet!B289&lt;&gt;"",Worksheet!B289,"")</f>
        <v>QUATTROCLIMA</v>
      </c>
      <c r="B293" t="str">
        <f>Worksheet!E289</f>
        <v>Сплит система</v>
      </c>
      <c r="C293" s="21">
        <f>IF(Worksheet!M289&lt;&gt;"",MID(Worksheet!M289,1,FIND(" ",Worksheet!M289,1)-1),"")*1</f>
        <v>2.6</v>
      </c>
      <c r="D293">
        <f t="shared" ref="D293:D300" si="14">ROUND(LEFT(C293,3)*10,0)</f>
        <v>26</v>
      </c>
      <c r="E293" t="str">
        <f>IF(Worksheet!L289&lt;&gt;"",IF(Worksheet!L289="Y","да","нет"),"")</f>
        <v>да</v>
      </c>
      <c r="F293" s="21">
        <f>IF(Worksheet!N289&lt;&gt;"",MID(Worksheet!N289,1,FIND(" ",Worksheet!N289,1)-1),"")*1</f>
        <v>2.61</v>
      </c>
      <c r="G293" s="21">
        <f>IF(Worksheet!O289&lt;&gt;"",MID(Worksheet!O289,1,FIND(" ",Worksheet!O289,1)-1),"")*1</f>
        <v>0.75</v>
      </c>
      <c r="H293" s="21">
        <f>IF(Worksheet!P289&lt;&gt;"",MID(Worksheet!P289,1,FIND(" ",Worksheet!P289,1)-1),"")*1</f>
        <v>0.752</v>
      </c>
      <c r="I293" s="6"/>
      <c r="J293" s="6"/>
      <c r="K293" t="str">
        <f>IF(Worksheet!BI289&lt;&gt;"",Worksheet!BI289,"")</f>
        <v>1 / 220 / 50</v>
      </c>
      <c r="L293" t="str">
        <f>IF(Worksheet!AU289&lt;&gt;"",Worksheet!AU289,"")</f>
        <v>R32</v>
      </c>
      <c r="M293" s="6"/>
      <c r="N293" s="6"/>
      <c r="O293" t="str">
        <f>IF(Worksheet!CR289&lt;&gt;"",CONCATENATE(Worksheet!CR289," х ",Worksheet!CP289," х ",Worksheet!CT289),"")</f>
        <v>698 х 255 х 190</v>
      </c>
      <c r="P293" t="str">
        <f>IF(Worksheet!CS289&lt;&gt;"",CONCATENATE(Worksheet!CS289," х ",Worksheet!CU289," х ",Worksheet!CQ289),"")</f>
        <v>764 х 257 х 325</v>
      </c>
      <c r="Q293" t="str">
        <f>IF(Worksheet!CV289&lt;&gt;"",CONCATENATE(Worksheet!CV289," / ",Worksheet!CW289),"")</f>
        <v>6.5 / 8.5</v>
      </c>
      <c r="R293" t="str">
        <f>IF(Worksheet!BS289&lt;&gt;"",Worksheet!BS289,"")</f>
        <v>22/25/33/40</v>
      </c>
      <c r="S293" t="str">
        <f>IF(Worksheet!AL289&lt;&gt;"",Worksheet!AL289,"")</f>
        <v>GMCC</v>
      </c>
      <c r="T293" t="str">
        <f>IF(Worksheet!CJ289&lt;&gt;"",CONCATENATE(Worksheet!CJ289," х ",Worksheet!CL289," х ",Worksheet!CH289),"")</f>
        <v>777 х 290 х 498</v>
      </c>
      <c r="U293" t="str">
        <f>IF(Worksheet!CK289&lt;&gt;"",CONCATENATE(Worksheet!CK289," х ",Worksheet!CM289," х ",Worksheet!CI289),"")</f>
        <v>818 х 325 х 520</v>
      </c>
      <c r="V293" t="str">
        <f>IF(Worksheet!CN289&lt;&gt;"",CONCATENATE(Worksheet!CN289,"/",Worksheet!CO289),"")</f>
        <v>22/25</v>
      </c>
      <c r="W293" s="6"/>
      <c r="X293" s="7">
        <f>IF(Worksheet!AN289&lt;&gt;"",Worksheet!AN289,"")</f>
        <v>6.35</v>
      </c>
      <c r="Y293" s="7">
        <f>IF(Worksheet!AO289&lt;&gt;"",Worksheet!AO289,"")</f>
        <v>9.52</v>
      </c>
      <c r="Z293" s="17">
        <f>IF(Worksheet!Q289&lt;&gt;"",Worksheet!Q289,"")</f>
        <v>15</v>
      </c>
      <c r="AA293" s="17">
        <f>IF(Worksheet!R289&lt;&gt;"",Worksheet!R289,"")</f>
        <v>5</v>
      </c>
      <c r="AB293" t="str">
        <f>IF(Worksheet!X289&lt;&gt;"",CONCATENATE("от ",Worksheet!X289," до +",Worksheet!Y289),"")</f>
        <v/>
      </c>
      <c r="AC293" t="str">
        <f>IF(Worksheet!Z289&lt;&gt;"",CONCATENATE("от ",Worksheet!Z289," до +",Worksheet!AA289),"")</f>
        <v>от -20 до +30</v>
      </c>
      <c r="AD293" s="6" t="s">
        <v>5245</v>
      </c>
      <c r="AE293" s="17"/>
    </row>
    <row r="294" spans="1:31" x14ac:dyDescent="0.25">
      <c r="A294" s="17" t="str">
        <f>IF(Worksheet!B290&lt;&gt;"",Worksheet!B290,"")</f>
        <v>QUATTROCLIMA</v>
      </c>
      <c r="B294" t="str">
        <f>Worksheet!E290</f>
        <v>Сплит система</v>
      </c>
      <c r="C294" s="21">
        <f>IF(Worksheet!M290&lt;&gt;"",MID(Worksheet!M290,1,FIND(" ",Worksheet!M290,1)-1),"")*1</f>
        <v>2.6</v>
      </c>
      <c r="D294">
        <f t="shared" si="14"/>
        <v>26</v>
      </c>
      <c r="E294" t="str">
        <f>IF(Worksheet!L290&lt;&gt;"",IF(Worksheet!L290="Y","да","нет"),"")</f>
        <v>да</v>
      </c>
      <c r="F294" s="21">
        <f>IF(Worksheet!N290&lt;&gt;"",MID(Worksheet!N290,1,FIND(" ",Worksheet!N290,1)-1),"")*1</f>
        <v>2.61</v>
      </c>
      <c r="G294" s="21">
        <f>IF(Worksheet!O290&lt;&gt;"",MID(Worksheet!O290,1,FIND(" ",Worksheet!O290,1)-1),"")*1</f>
        <v>0.8</v>
      </c>
      <c r="H294" s="21">
        <f>IF(Worksheet!P290&lt;&gt;"",MID(Worksheet!P290,1,FIND(" ",Worksheet!P290,1)-1),"")*1</f>
        <v>0.69899999999999995</v>
      </c>
      <c r="I294" s="6"/>
      <c r="J294" s="6"/>
      <c r="K294" t="str">
        <f>IF(Worksheet!BI290&lt;&gt;"",Worksheet!BI290,"")</f>
        <v>1 / 220 / 50</v>
      </c>
      <c r="L294" t="str">
        <f>IF(Worksheet!AU290&lt;&gt;"",Worksheet!AU290,"")</f>
        <v>R32</v>
      </c>
      <c r="M294" s="6"/>
      <c r="N294" s="6"/>
      <c r="O294" t="str">
        <f>IF(Worksheet!CR290&lt;&gt;"",CONCATENATE(Worksheet!CR290," х ",Worksheet!CP290," х ",Worksheet!CT290),"")</f>
        <v>698 х 255 х 190</v>
      </c>
      <c r="P294" t="str">
        <f>IF(Worksheet!CS290&lt;&gt;"",CONCATENATE(Worksheet!CS290," х ",Worksheet!CU290," х ",Worksheet!CQ290),"")</f>
        <v>764 х 257 х 325</v>
      </c>
      <c r="Q294" t="str">
        <f>IF(Worksheet!CV290&lt;&gt;"",CONCATENATE(Worksheet!CV290," / ",Worksheet!CW290),"")</f>
        <v>6.5 / 8.5</v>
      </c>
      <c r="R294" t="str">
        <f>IF(Worksheet!BS290&lt;&gt;"",Worksheet!BS290,"")</f>
        <v>22/25/33/37/40</v>
      </c>
      <c r="S294" t="str">
        <f>IF(Worksheet!AL290&lt;&gt;"",Worksheet!AL290,"")</f>
        <v>RECHI</v>
      </c>
      <c r="T294" t="str">
        <f>IF(Worksheet!CJ290&lt;&gt;"",CONCATENATE(Worksheet!CJ290," х ",Worksheet!CL290," х ",Worksheet!CH290),"")</f>
        <v>777 х 290 х 498</v>
      </c>
      <c r="U294" t="str">
        <f>IF(Worksheet!CK290&lt;&gt;"",CONCATENATE(Worksheet!CK290," х ",Worksheet!CM290," х ",Worksheet!CI290),"")</f>
        <v>818 х 325 х 520</v>
      </c>
      <c r="V294" t="str">
        <f>IF(Worksheet!CN290&lt;&gt;"",CONCATENATE(Worksheet!CN290,"/",Worksheet!CO290),"")</f>
        <v>22/25</v>
      </c>
      <c r="W294" s="6"/>
      <c r="X294" s="7">
        <f>IF(Worksheet!AN290&lt;&gt;"",Worksheet!AN290,"")</f>
        <v>6.35</v>
      </c>
      <c r="Y294" s="7">
        <f>IF(Worksheet!AO290&lt;&gt;"",Worksheet!AO290,"")</f>
        <v>9.52</v>
      </c>
      <c r="Z294" s="17">
        <f>IF(Worksheet!Q290&lt;&gt;"",Worksheet!Q290,"")</f>
        <v>25</v>
      </c>
      <c r="AA294" s="17">
        <f>IF(Worksheet!R290&lt;&gt;"",Worksheet!R290,"")</f>
        <v>10</v>
      </c>
      <c r="AB294" t="str">
        <f>IF(Worksheet!X290&lt;&gt;"",CONCATENATE("от ",Worksheet!X290," до +",Worksheet!Y290),"")</f>
        <v>от -15 до +53</v>
      </c>
      <c r="AC294" t="str">
        <f>IF(Worksheet!Z290&lt;&gt;"",CONCATENATE("от ",Worksheet!Z290," до +",Worksheet!AA290),"")</f>
        <v>от -20 до +30</v>
      </c>
      <c r="AD294" s="6" t="s">
        <v>5245</v>
      </c>
      <c r="AE294" s="17"/>
    </row>
    <row r="295" spans="1:31" x14ac:dyDescent="0.25">
      <c r="A295" s="17" t="str">
        <f>IF(Worksheet!B291&lt;&gt;"",Worksheet!B291,"")</f>
        <v>QUATTROCLIMA</v>
      </c>
      <c r="B295" t="str">
        <f>Worksheet!E291</f>
        <v>Сплит система</v>
      </c>
      <c r="C295" s="21">
        <f>IF(Worksheet!M291&lt;&gt;"",MID(Worksheet!M291,1,FIND(" ",Worksheet!M291,1)-1),"")*1</f>
        <v>3.4</v>
      </c>
      <c r="D295">
        <f t="shared" si="14"/>
        <v>34</v>
      </c>
      <c r="E295" t="str">
        <f>IF(Worksheet!L291&lt;&gt;"",IF(Worksheet!L291="Y","да","нет"),"")</f>
        <v>да</v>
      </c>
      <c r="F295" s="21">
        <f>IF(Worksheet!N291&lt;&gt;"",MID(Worksheet!N291,1,FIND(" ",Worksheet!N291,1)-1),"")*1</f>
        <v>3.42</v>
      </c>
      <c r="G295" s="21">
        <f>IF(Worksheet!O291&lt;&gt;"",MID(Worksheet!O291,1,FIND(" ",Worksheet!O291,1)-1),"")*1</f>
        <v>1.01</v>
      </c>
      <c r="H295" s="21">
        <f>IF(Worksheet!P291&lt;&gt;"",MID(Worksheet!P291,1,FIND(" ",Worksheet!P291,1)-1),"")*1</f>
        <v>0.94799999999999995</v>
      </c>
      <c r="I295" s="6"/>
      <c r="J295" s="6"/>
      <c r="K295" t="str">
        <f>IF(Worksheet!BI291&lt;&gt;"",Worksheet!BI291,"")</f>
        <v>1 / 220 / 50</v>
      </c>
      <c r="L295" t="str">
        <f>IF(Worksheet!AU291&lt;&gt;"",Worksheet!AU291,"")</f>
        <v>R32</v>
      </c>
      <c r="M295" s="6"/>
      <c r="N295" s="6"/>
      <c r="O295" t="str">
        <f>IF(Worksheet!CR291&lt;&gt;"",CONCATENATE(Worksheet!CR291," х ",Worksheet!CP291," х ",Worksheet!CT291),"")</f>
        <v>777 х 250 х 201</v>
      </c>
      <c r="P295" t="str">
        <f>IF(Worksheet!CS291&lt;&gt;"",CONCATENATE(Worksheet!CS291," х ",Worksheet!CU291," х ",Worksheet!CQ291),"")</f>
        <v>840 х 260 х 315</v>
      </c>
      <c r="Q295" t="str">
        <f>IF(Worksheet!CV291&lt;&gt;"",CONCATENATE(Worksheet!CV291," / ",Worksheet!CW291),"")</f>
        <v>8.5 / 10.5</v>
      </c>
      <c r="R295" t="str">
        <f>IF(Worksheet!BS291&lt;&gt;"",Worksheet!BS291,"")</f>
        <v>22/25/33/40</v>
      </c>
      <c r="S295" t="str">
        <f>IF(Worksheet!AL291&lt;&gt;"",Worksheet!AL291,"")</f>
        <v>GMCC</v>
      </c>
      <c r="T295" t="str">
        <f>IF(Worksheet!CJ291&lt;&gt;"",CONCATENATE(Worksheet!CJ291," х ",Worksheet!CL291," х ",Worksheet!CH291),"")</f>
        <v>777 х 290 х 498</v>
      </c>
      <c r="U295" t="str">
        <f>IF(Worksheet!CK291&lt;&gt;"",CONCATENATE(Worksheet!CK291," х ",Worksheet!CM291," х ",Worksheet!CI291),"")</f>
        <v>818 х 325 х 520</v>
      </c>
      <c r="V295" t="str">
        <f>IF(Worksheet!CN291&lt;&gt;"",CONCATENATE(Worksheet!CN291,"/",Worksheet!CO291),"")</f>
        <v>22/25</v>
      </c>
      <c r="W295" s="6"/>
      <c r="X295" s="7">
        <f>IF(Worksheet!AN291&lt;&gt;"",Worksheet!AN291,"")</f>
        <v>6.35</v>
      </c>
      <c r="Y295" s="7">
        <f>IF(Worksheet!AO291&lt;&gt;"",Worksheet!AO291,"")</f>
        <v>9.52</v>
      </c>
      <c r="Z295" s="17">
        <f>IF(Worksheet!Q291&lt;&gt;"",Worksheet!Q291,"")</f>
        <v>15</v>
      </c>
      <c r="AA295" s="17">
        <f>IF(Worksheet!R291&lt;&gt;"",Worksheet!R291,"")</f>
        <v>5</v>
      </c>
      <c r="AB295" t="str">
        <f>IF(Worksheet!X291&lt;&gt;"",CONCATENATE("от ",Worksheet!X291," до +",Worksheet!Y291),"")</f>
        <v/>
      </c>
      <c r="AC295" t="str">
        <f>IF(Worksheet!Z291&lt;&gt;"",CONCATENATE("от ",Worksheet!Z291," до +",Worksheet!AA291),"")</f>
        <v>от -20 до +30</v>
      </c>
      <c r="AD295" s="6" t="s">
        <v>5245</v>
      </c>
      <c r="AE295" s="17"/>
    </row>
    <row r="296" spans="1:31" x14ac:dyDescent="0.25">
      <c r="A296" s="17" t="str">
        <f>IF(Worksheet!B292&lt;&gt;"",Worksheet!B292,"")</f>
        <v>QUATTROCLIMA</v>
      </c>
      <c r="B296" t="str">
        <f>Worksheet!E292</f>
        <v>Сплит система</v>
      </c>
      <c r="C296" s="21">
        <f>IF(Worksheet!M292&lt;&gt;"",MID(Worksheet!M292,1,FIND(" ",Worksheet!M292,1)-1),"")*1</f>
        <v>3.4</v>
      </c>
      <c r="D296">
        <f t="shared" si="14"/>
        <v>34</v>
      </c>
      <c r="E296" t="str">
        <f>IF(Worksheet!L292&lt;&gt;"",IF(Worksheet!L292="Y","да","нет"),"")</f>
        <v>да</v>
      </c>
      <c r="F296" s="21">
        <f>IF(Worksheet!N292&lt;&gt;"",MID(Worksheet!N292,1,FIND(" ",Worksheet!N292,1)-1),"")*1</f>
        <v>3.42</v>
      </c>
      <c r="G296" s="21">
        <f>IF(Worksheet!O292&lt;&gt;"",MID(Worksheet!O292,1,FIND(" ",Worksheet!O292,1)-1),"")*1</f>
        <v>1.1299999999999999</v>
      </c>
      <c r="H296" s="21">
        <f>IF(Worksheet!P292&lt;&gt;"",MID(Worksheet!P292,1,FIND(" ",Worksheet!P292,1)-1),"")*1</f>
        <v>0.92200000000000004</v>
      </c>
      <c r="I296" s="6"/>
      <c r="J296" s="6"/>
      <c r="K296" t="str">
        <f>IF(Worksheet!BI292&lt;&gt;"",Worksheet!BI292,"")</f>
        <v>1 / 220 / 50</v>
      </c>
      <c r="L296" t="str">
        <f>IF(Worksheet!AU292&lt;&gt;"",Worksheet!AU292,"")</f>
        <v>R32</v>
      </c>
      <c r="M296" s="6"/>
      <c r="N296" s="6"/>
      <c r="O296" t="str">
        <f>IF(Worksheet!CR292&lt;&gt;"",CONCATENATE(Worksheet!CR292," х ",Worksheet!CP292," х ",Worksheet!CT292),"")</f>
        <v>777 х 250 х 201</v>
      </c>
      <c r="P296" t="str">
        <f>IF(Worksheet!CS292&lt;&gt;"",CONCATENATE(Worksheet!CS292," х ",Worksheet!CU292," х ",Worksheet!CQ292),"")</f>
        <v>840 х 260 х 315</v>
      </c>
      <c r="Q296" t="str">
        <f>IF(Worksheet!CV292&lt;&gt;"",CONCATENATE(Worksheet!CV292," / ",Worksheet!CW292),"")</f>
        <v>8.5 / 10.5</v>
      </c>
      <c r="R296" t="str">
        <f>IF(Worksheet!BS292&lt;&gt;"",Worksheet!BS292,"")</f>
        <v>22/25/33/37/40</v>
      </c>
      <c r="S296" t="str">
        <f>IF(Worksheet!AL292&lt;&gt;"",Worksheet!AL292,"")</f>
        <v>GMCC</v>
      </c>
      <c r="T296" t="str">
        <f>IF(Worksheet!CJ292&lt;&gt;"",CONCATENATE(Worksheet!CJ292," х ",Worksheet!CL292," х ",Worksheet!CH292),"")</f>
        <v>777 х 290 х 498</v>
      </c>
      <c r="U296" t="str">
        <f>IF(Worksheet!CK292&lt;&gt;"",CONCATENATE(Worksheet!CK292," х ",Worksheet!CM292," х ",Worksheet!CI292),"")</f>
        <v>818 х 325 х 520</v>
      </c>
      <c r="V296" t="str">
        <f>IF(Worksheet!CN292&lt;&gt;"",CONCATENATE(Worksheet!CN292,"/",Worksheet!CO292),"")</f>
        <v>22/25</v>
      </c>
      <c r="W296" s="6"/>
      <c r="X296" s="7">
        <f>IF(Worksheet!AN292&lt;&gt;"",Worksheet!AN292,"")</f>
        <v>6.35</v>
      </c>
      <c r="Y296" s="7">
        <f>IF(Worksheet!AO292&lt;&gt;"",Worksheet!AO292,"")</f>
        <v>9.52</v>
      </c>
      <c r="Z296" s="17">
        <f>IF(Worksheet!Q292&lt;&gt;"",Worksheet!Q292,"")</f>
        <v>25</v>
      </c>
      <c r="AA296" s="17">
        <f>IF(Worksheet!R292&lt;&gt;"",Worksheet!R292,"")</f>
        <v>10</v>
      </c>
      <c r="AB296" t="str">
        <f>IF(Worksheet!X292&lt;&gt;"",CONCATENATE("от ",Worksheet!X292," до +",Worksheet!Y292),"")</f>
        <v>от -15 до +53</v>
      </c>
      <c r="AC296" t="str">
        <f>IF(Worksheet!Z292&lt;&gt;"",CONCATENATE("от ",Worksheet!Z292," до +",Worksheet!AA292),"")</f>
        <v>от -20 до +30</v>
      </c>
      <c r="AD296" s="6" t="s">
        <v>5245</v>
      </c>
      <c r="AE296" s="17"/>
    </row>
    <row r="297" spans="1:31" x14ac:dyDescent="0.25">
      <c r="A297" s="17" t="str">
        <f>IF(Worksheet!B293&lt;&gt;"",Worksheet!B293,"")</f>
        <v>QUATTROCLIMA</v>
      </c>
      <c r="B297" t="str">
        <f>Worksheet!E293</f>
        <v>Сплит система</v>
      </c>
      <c r="C297" s="21">
        <f>IF(Worksheet!M293&lt;&gt;"",MID(Worksheet!M293,1,FIND(" ",Worksheet!M293,1)-1),"")*1</f>
        <v>5.13</v>
      </c>
      <c r="D297">
        <f t="shared" si="14"/>
        <v>51</v>
      </c>
      <c r="E297" t="str">
        <f>IF(Worksheet!L293&lt;&gt;"",IF(Worksheet!L293="Y","да","нет"),"")</f>
        <v>да</v>
      </c>
      <c r="F297" s="21">
        <f>IF(Worksheet!N293&lt;&gt;"",MID(Worksheet!N293,1,FIND(" ",Worksheet!N293,1)-1),"")*1</f>
        <v>5.23</v>
      </c>
      <c r="G297" s="21">
        <f>IF(Worksheet!O293&lt;&gt;"",MID(Worksheet!O293,1,FIND(" ",Worksheet!O293,1)-1),"")*1</f>
        <v>1.53</v>
      </c>
      <c r="H297" s="21">
        <f>IF(Worksheet!P293&lt;&gt;"",MID(Worksheet!P293,1,FIND(" ",Worksheet!P293,1)-1),"")*1</f>
        <v>1550</v>
      </c>
      <c r="I297" s="6"/>
      <c r="J297" s="6"/>
      <c r="K297" t="str">
        <f>IF(Worksheet!BI293&lt;&gt;"",Worksheet!BI293,"")</f>
        <v>1 / 220 / 50</v>
      </c>
      <c r="L297" t="str">
        <f>IF(Worksheet!AU293&lt;&gt;"",Worksheet!AU293,"")</f>
        <v>R32</v>
      </c>
      <c r="M297" s="6"/>
      <c r="N297" s="6"/>
      <c r="O297" t="str">
        <f>IF(Worksheet!CR293&lt;&gt;"",CONCATENATE(Worksheet!CR293," х ",Worksheet!CP293," х ",Worksheet!CT293),"")</f>
        <v>910 х 294 х 206</v>
      </c>
      <c r="P297" t="str">
        <f>IF(Worksheet!CS293&lt;&gt;"",CONCATENATE(Worksheet!CS293," х ",Worksheet!CU293," х ",Worksheet!CQ293),"")</f>
        <v>979 х 277 х 372</v>
      </c>
      <c r="Q297" t="str">
        <f>IF(Worksheet!CV293&lt;&gt;"",CONCATENATE(Worksheet!CV293," / ",Worksheet!CW293),"")</f>
        <v>10 / 13</v>
      </c>
      <c r="R297" t="str">
        <f>IF(Worksheet!BS293&lt;&gt;"",Worksheet!BS293,"")</f>
        <v>27/35/40/43</v>
      </c>
      <c r="S297" t="str">
        <f>IF(Worksheet!AL293&lt;&gt;"",Worksheet!AL293,"")</f>
        <v>SANYO</v>
      </c>
      <c r="T297" t="str">
        <f>IF(Worksheet!CJ293&lt;&gt;"",CONCATENATE(Worksheet!CJ293," х ",Worksheet!CL293," х ",Worksheet!CH293),"")</f>
        <v>853 х 349 х 602</v>
      </c>
      <c r="U297" t="str">
        <f>IF(Worksheet!CK293&lt;&gt;"",CONCATENATE(Worksheet!CK293," х ",Worksheet!CM293," х ",Worksheet!CI293),"")</f>
        <v>890 х 385 х 628</v>
      </c>
      <c r="V297" t="str">
        <f>IF(Worksheet!CN293&lt;&gt;"",CONCATENATE(Worksheet!CN293,"/",Worksheet!CO293),"")</f>
        <v>36/40</v>
      </c>
      <c r="W297" s="6"/>
      <c r="X297" s="7">
        <f>IF(Worksheet!AN293&lt;&gt;"",Worksheet!AN293,"")</f>
        <v>6.35</v>
      </c>
      <c r="Y297" s="7">
        <f>IF(Worksheet!AO293&lt;&gt;"",Worksheet!AO293,"")</f>
        <v>9.52</v>
      </c>
      <c r="Z297" s="17">
        <f>IF(Worksheet!Q293&lt;&gt;"",Worksheet!Q293,"")</f>
        <v>15</v>
      </c>
      <c r="AA297" s="17">
        <f>IF(Worksheet!R293&lt;&gt;"",Worksheet!R293,"")</f>
        <v>5</v>
      </c>
      <c r="AB297" t="str">
        <f>IF(Worksheet!X293&lt;&gt;"",CONCATENATE("от ",Worksheet!X293," до +",Worksheet!Y293),"")</f>
        <v/>
      </c>
      <c r="AC297" t="str">
        <f>IF(Worksheet!Z293&lt;&gt;"",CONCATENATE("от ",Worksheet!Z293," до +",Worksheet!AA293),"")</f>
        <v>от -20 до +30</v>
      </c>
      <c r="AD297" s="6" t="s">
        <v>5245</v>
      </c>
      <c r="AE297" s="17"/>
    </row>
    <row r="298" spans="1:31" x14ac:dyDescent="0.25">
      <c r="A298" s="17" t="str">
        <f>IF(Worksheet!B294&lt;&gt;"",Worksheet!B294,"")</f>
        <v>QUATTROCLIMA</v>
      </c>
      <c r="B298" t="str">
        <f>Worksheet!E294</f>
        <v>Сплит система</v>
      </c>
      <c r="C298" s="21">
        <f>IF(Worksheet!M294&lt;&gt;"",MID(Worksheet!M294,1,FIND(" ",Worksheet!M294,1)-1),"")*1</f>
        <v>5.0999999999999996</v>
      </c>
      <c r="D298">
        <f t="shared" si="14"/>
        <v>51</v>
      </c>
      <c r="E298" t="str">
        <f>IF(Worksheet!L294&lt;&gt;"",IF(Worksheet!L294="Y","да","нет"),"")</f>
        <v>да</v>
      </c>
      <c r="F298" s="21">
        <f>IF(Worksheet!N294&lt;&gt;"",MID(Worksheet!N294,1,FIND(" ",Worksheet!N294,1)-1),"")*1</f>
        <v>5.0999999999999996</v>
      </c>
      <c r="G298" s="21">
        <f>IF(Worksheet!O294&lt;&gt;"",MID(Worksheet!O294,1,FIND(" ",Worksheet!O294,1)-1),"")*1</f>
        <v>1.58</v>
      </c>
      <c r="H298" s="21">
        <f>IF(Worksheet!P294&lt;&gt;"",MID(Worksheet!P294,1,FIND(" ",Worksheet!P294,1)-1),"")*1</f>
        <v>1.3740000000000001</v>
      </c>
      <c r="I298" s="6"/>
      <c r="J298" s="6"/>
      <c r="K298" t="str">
        <f>IF(Worksheet!BI294&lt;&gt;"",Worksheet!BI294,"")</f>
        <v>1 / 220 / 50</v>
      </c>
      <c r="L298" t="str">
        <f>IF(Worksheet!AU294&lt;&gt;"",Worksheet!AU294,"")</f>
        <v>R32</v>
      </c>
      <c r="M298" s="6"/>
      <c r="N298" s="6"/>
      <c r="O298" t="str">
        <f>IF(Worksheet!CR294&lt;&gt;"",CONCATENATE(Worksheet!CR294," х ",Worksheet!CP294," х ",Worksheet!CT294),"")</f>
        <v>910 х 294 х 206</v>
      </c>
      <c r="P298" t="str">
        <f>IF(Worksheet!CS294&lt;&gt;"",CONCATENATE(Worksheet!CS294," х ",Worksheet!CU294," х ",Worksheet!CQ294),"")</f>
        <v>979 х 277 х 372</v>
      </c>
      <c r="Q298" t="str">
        <f>IF(Worksheet!CV294&lt;&gt;"",CONCATENATE(Worksheet!CV294," / ",Worksheet!CW294),"")</f>
        <v>10 / 13</v>
      </c>
      <c r="R298" t="str">
        <f>IF(Worksheet!BS294&lt;&gt;"",Worksheet!BS294,"")</f>
        <v>27/35/38/41/43</v>
      </c>
      <c r="S298" t="str">
        <f>IF(Worksheet!AL294&lt;&gt;"",Worksheet!AL294,"")</f>
        <v>SANYO</v>
      </c>
      <c r="T298" t="str">
        <f>IF(Worksheet!CJ294&lt;&gt;"",CONCATENATE(Worksheet!CJ294," х ",Worksheet!CL294," х ",Worksheet!CH294),"")</f>
        <v>853 х 349 х 602</v>
      </c>
      <c r="U298" t="str">
        <f>IF(Worksheet!CK294&lt;&gt;"",CONCATENATE(Worksheet!CK294," х ",Worksheet!CM294," х ",Worksheet!CI294),"")</f>
        <v>890 х 385 х 628</v>
      </c>
      <c r="V298" t="str">
        <f>IF(Worksheet!CN294&lt;&gt;"",CONCATENATE(Worksheet!CN294,"/",Worksheet!CO294),"")</f>
        <v>36/40</v>
      </c>
      <c r="W298" s="6"/>
      <c r="X298" s="7">
        <f>IF(Worksheet!AN294&lt;&gt;"",Worksheet!AN294,"")</f>
        <v>6.35</v>
      </c>
      <c r="Y298" s="7">
        <f>IF(Worksheet!AO294&lt;&gt;"",Worksheet!AO294,"")</f>
        <v>9.52</v>
      </c>
      <c r="Z298" s="17">
        <f>IF(Worksheet!Q294&lt;&gt;"",Worksheet!Q294,"")</f>
        <v>25</v>
      </c>
      <c r="AA298" s="17">
        <f>IF(Worksheet!R294&lt;&gt;"",Worksheet!R294,"")</f>
        <v>10</v>
      </c>
      <c r="AB298" t="str">
        <f>IF(Worksheet!X294&lt;&gt;"",CONCATENATE("от ",Worksheet!X294," до +",Worksheet!Y294),"")</f>
        <v>от -15 до +53</v>
      </c>
      <c r="AC298" t="str">
        <f>IF(Worksheet!Z294&lt;&gt;"",CONCATENATE("от ",Worksheet!Z294," до +",Worksheet!AA294),"")</f>
        <v>от -20 до +30</v>
      </c>
      <c r="AD298" s="6" t="s">
        <v>5245</v>
      </c>
      <c r="AE298" s="17"/>
    </row>
    <row r="299" spans="1:31" x14ac:dyDescent="0.25">
      <c r="A299" s="17" t="str">
        <f>IF(Worksheet!B295&lt;&gt;"",Worksheet!B295,"")</f>
        <v>QUATTROCLIMA</v>
      </c>
      <c r="B299" t="str">
        <f>Worksheet!E295</f>
        <v>Сплит система</v>
      </c>
      <c r="C299" s="21">
        <f>IF(Worksheet!M295&lt;&gt;"",MID(Worksheet!M295,1,FIND(" ",Worksheet!M295,1)-1),"")*1</f>
        <v>6.81</v>
      </c>
      <c r="D299">
        <f t="shared" si="14"/>
        <v>68</v>
      </c>
      <c r="E299" t="str">
        <f>IF(Worksheet!L295&lt;&gt;"",IF(Worksheet!L295="Y","да","нет"),"")</f>
        <v>да</v>
      </c>
      <c r="F299" s="21">
        <f>IF(Worksheet!N295&lt;&gt;"",MID(Worksheet!N295,1,FIND(" ",Worksheet!N295,1)-1),"")*1</f>
        <v>6.87</v>
      </c>
      <c r="G299" s="21">
        <f>IF(Worksheet!O295&lt;&gt;"",MID(Worksheet!O295,1,FIND(" ",Worksheet!O295,1)-1),"")*1</f>
        <v>1.95</v>
      </c>
      <c r="H299" s="21">
        <f>IF(Worksheet!P295&lt;&gt;"",MID(Worksheet!P295,1,FIND(" ",Worksheet!P295,1)-1),"")*1</f>
        <v>2.0499999999999998</v>
      </c>
      <c r="I299" s="6"/>
      <c r="J299" s="6"/>
      <c r="K299" t="str">
        <f>IF(Worksheet!BI295&lt;&gt;"",Worksheet!BI295,"")</f>
        <v>1 / 220 / 50</v>
      </c>
      <c r="L299" t="str">
        <f>IF(Worksheet!AU295&lt;&gt;"",Worksheet!AU295,"")</f>
        <v>R32</v>
      </c>
      <c r="M299" s="6"/>
      <c r="N299" s="6"/>
      <c r="O299" t="str">
        <f>IF(Worksheet!CR295&lt;&gt;"",CONCATENATE(Worksheet!CR295," х ",Worksheet!CP295," х ",Worksheet!CT295),"")</f>
        <v>1010 х 315 х 220</v>
      </c>
      <c r="P299" t="str">
        <f>IF(Worksheet!CS295&lt;&gt;"",CONCATENATE(Worksheet!CS295," х ",Worksheet!CU295," х ",Worksheet!CQ295),"")</f>
        <v>1096 х 297 х 390</v>
      </c>
      <c r="Q299" t="str">
        <f>IF(Worksheet!CV295&lt;&gt;"",CONCATENATE(Worksheet!CV295," / ",Worksheet!CW295),"")</f>
        <v>13 / 16</v>
      </c>
      <c r="R299" t="str">
        <f>IF(Worksheet!BS295&lt;&gt;"",Worksheet!BS295,"")</f>
        <v>30/38/41/44</v>
      </c>
      <c r="S299" t="str">
        <f>IF(Worksheet!AL295&lt;&gt;"",Worksheet!AL295,"")</f>
        <v>SANYO</v>
      </c>
      <c r="T299" t="str">
        <f>IF(Worksheet!CJ295&lt;&gt;"",CONCATENATE(Worksheet!CJ295," х ",Worksheet!CL295," х ",Worksheet!CH295),"")</f>
        <v>920 х 380 х 699</v>
      </c>
      <c r="U299" t="str">
        <f>IF(Worksheet!CK295&lt;&gt;"",CONCATENATE(Worksheet!CK295," х ",Worksheet!CM295," х ",Worksheet!CI295),"")</f>
        <v>960 х 400 х 732</v>
      </c>
      <c r="V299" t="str">
        <f>IF(Worksheet!CN295&lt;&gt;"",CONCATENATE(Worksheet!CN295,"/",Worksheet!CO295),"")</f>
        <v>46/52</v>
      </c>
      <c r="W299" s="6"/>
      <c r="X299" s="7">
        <f>IF(Worksheet!AN295&lt;&gt;"",Worksheet!AN295,"")</f>
        <v>6.35</v>
      </c>
      <c r="Y299" s="7">
        <f>IF(Worksheet!AO295&lt;&gt;"",Worksheet!AO295,"")</f>
        <v>12.7</v>
      </c>
      <c r="Z299" s="17">
        <f>IF(Worksheet!Q295&lt;&gt;"",Worksheet!Q295,"")</f>
        <v>15</v>
      </c>
      <c r="AA299" s="17">
        <f>IF(Worksheet!R295&lt;&gt;"",Worksheet!R295,"")</f>
        <v>5</v>
      </c>
      <c r="AB299" t="str">
        <f>IF(Worksheet!X295&lt;&gt;"",CONCATENATE("от ",Worksheet!X295," до +",Worksheet!Y295),"")</f>
        <v/>
      </c>
      <c r="AC299" t="str">
        <f>IF(Worksheet!Z295&lt;&gt;"",CONCATENATE("от ",Worksheet!Z295," до +",Worksheet!AA295),"")</f>
        <v>от -20 до +30</v>
      </c>
      <c r="AD299" s="6" t="s">
        <v>5245</v>
      </c>
      <c r="AE299" s="17"/>
    </row>
    <row r="300" spans="1:31" x14ac:dyDescent="0.25">
      <c r="A300" s="17" t="str">
        <f>IF(Worksheet!B296&lt;&gt;"",Worksheet!B296,"")</f>
        <v>QUATTROCLIMA</v>
      </c>
      <c r="B300" t="str">
        <f>Worksheet!E296</f>
        <v>Сплит система</v>
      </c>
      <c r="C300" s="21">
        <f>IF(Worksheet!M296&lt;&gt;"",MID(Worksheet!M296,1,FIND(" ",Worksheet!M296,1)-1),"")*1</f>
        <v>6.81</v>
      </c>
      <c r="D300">
        <f t="shared" si="14"/>
        <v>68</v>
      </c>
      <c r="E300" t="str">
        <f>IF(Worksheet!L296&lt;&gt;"",IF(Worksheet!L296="Y","да","нет"),"")</f>
        <v>да</v>
      </c>
      <c r="F300" s="21">
        <f>IF(Worksheet!N296&lt;&gt;"",MID(Worksheet!N296,1,FIND(" ",Worksheet!N296,1)-1),"")*1</f>
        <v>6.87</v>
      </c>
      <c r="G300" s="21">
        <f>IF(Worksheet!O296&lt;&gt;"",MID(Worksheet!O296,1,FIND(" ",Worksheet!O296,1)-1),"")*1</f>
        <v>2.2570000000000001</v>
      </c>
      <c r="H300" s="21">
        <f>IF(Worksheet!P296&lt;&gt;"",MID(Worksheet!P296,1,FIND(" ",Worksheet!P296,1)-1),"")*1</f>
        <v>2.0630000000000002</v>
      </c>
      <c r="I300" s="6"/>
      <c r="J300" s="6"/>
      <c r="K300" t="str">
        <f>IF(Worksheet!BI296&lt;&gt;"",Worksheet!BI296,"")</f>
        <v>1 / 220 / 50</v>
      </c>
      <c r="L300" t="str">
        <f>IF(Worksheet!AU296&lt;&gt;"",Worksheet!AU296,"")</f>
        <v>R32</v>
      </c>
      <c r="M300" s="6"/>
      <c r="N300" s="6"/>
      <c r="O300" t="str">
        <f>IF(Worksheet!CR296&lt;&gt;"",CONCATENATE(Worksheet!CR296," х ",Worksheet!CP296," х ",Worksheet!CT296),"")</f>
        <v>1010 х 315 х 220</v>
      </c>
      <c r="P300" t="str">
        <f>IF(Worksheet!CS296&lt;&gt;"",CONCATENATE(Worksheet!CS296," х ",Worksheet!CU296," х ",Worksheet!CQ296),"")</f>
        <v>1096 х 297 х 390</v>
      </c>
      <c r="Q300" t="str">
        <f>IF(Worksheet!CV296&lt;&gt;"",CONCATENATE(Worksheet!CV296," / ",Worksheet!CW296),"")</f>
        <v>13 / 16</v>
      </c>
      <c r="R300" t="str">
        <f>IF(Worksheet!BS296&lt;&gt;"",Worksheet!BS296,"")</f>
        <v>30/34/38/41/44</v>
      </c>
      <c r="S300" t="str">
        <f>IF(Worksheet!AL296&lt;&gt;"",Worksheet!AL296,"")</f>
        <v>SANYO</v>
      </c>
      <c r="T300" t="str">
        <f>IF(Worksheet!CJ296&lt;&gt;"",CONCATENATE(Worksheet!CJ296," х ",Worksheet!CL296," х ",Worksheet!CH296),"")</f>
        <v>920 х 380 х 699</v>
      </c>
      <c r="U300" t="str">
        <f>IF(Worksheet!CK296&lt;&gt;"",CONCATENATE(Worksheet!CK296," х ",Worksheet!CM296," х ",Worksheet!CI296),"")</f>
        <v>960 х 400 х 732</v>
      </c>
      <c r="V300" t="str">
        <f>IF(Worksheet!CN296&lt;&gt;"",CONCATENATE(Worksheet!CN296,"/",Worksheet!CO296),"")</f>
        <v>46/52</v>
      </c>
      <c r="W300" s="6"/>
      <c r="X300" s="7">
        <f>IF(Worksheet!AN296&lt;&gt;"",Worksheet!AN296,"")</f>
        <v>6.35</v>
      </c>
      <c r="Y300" s="7">
        <f>IF(Worksheet!AO296&lt;&gt;"",Worksheet!AO296,"")</f>
        <v>12.7</v>
      </c>
      <c r="Z300" s="17">
        <f>IF(Worksheet!Q296&lt;&gt;"",Worksheet!Q296,"")</f>
        <v>25</v>
      </c>
      <c r="AA300" s="17">
        <f>IF(Worksheet!R296&lt;&gt;"",Worksheet!R296,"")</f>
        <v>10</v>
      </c>
      <c r="AB300" t="str">
        <f>IF(Worksheet!X296&lt;&gt;"",CONCATENATE("от ",Worksheet!X296," до +",Worksheet!Y296),"")</f>
        <v>от -15 до +53</v>
      </c>
      <c r="AC300" t="str">
        <f>IF(Worksheet!Z296&lt;&gt;"",CONCATENATE("от ",Worksheet!Z296," до +",Worksheet!AA296),"")</f>
        <v>от -20 до +30</v>
      </c>
      <c r="AD300" s="6" t="s">
        <v>5245</v>
      </c>
      <c r="AE300" s="17"/>
    </row>
    <row r="301" spans="1:31" x14ac:dyDescent="0.25">
      <c r="A301" s="17" t="str">
        <f>IF(Worksheet!B297&lt;&gt;"",Worksheet!B297,"")</f>
        <v>QUATTROCLIMA</v>
      </c>
      <c r="B301" t="str">
        <f>Worksheet!E297</f>
        <v>Канальные</v>
      </c>
      <c r="C301">
        <f>IF(Worksheet!M297&lt;&gt;"",Worksheet!M297,"")</f>
        <v>5.28</v>
      </c>
      <c r="D301">
        <f t="shared" si="12"/>
        <v>53</v>
      </c>
      <c r="E301" t="str">
        <f>IF(Worksheet!L297&lt;&gt;"",IF(Worksheet!L297="Y","да","нет"),"")</f>
        <v>нет</v>
      </c>
      <c r="F301">
        <f>IF(Worksheet!N297&lt;&gt;"",Worksheet!N297,"")</f>
        <v>5.6</v>
      </c>
      <c r="G301">
        <f>IF(Worksheet!O297&lt;&gt;"",Worksheet!O297,"")</f>
        <v>1.7</v>
      </c>
      <c r="H301">
        <f>IF(Worksheet!P297&lt;&gt;"",Worksheet!P297,"")</f>
        <v>1.55</v>
      </c>
      <c r="I301" s="6"/>
      <c r="J301" s="6"/>
      <c r="K301" t="str">
        <f>IF(Worksheet!BI297&lt;&gt;"",Worksheet!BI297,"")</f>
        <v>1 / 220 / 50</v>
      </c>
      <c r="L301" t="str">
        <f>IF(Worksheet!AU297&lt;&gt;"",Worksheet!AU297,"")</f>
        <v>R410A</v>
      </c>
      <c r="M301" s="6"/>
      <c r="N301" s="6"/>
      <c r="O301" t="str">
        <f>IF(Worksheet!CR297&lt;&gt;"",CONCATENATE(Worksheet!CR297," х ",Worksheet!CP297," х ",Worksheet!CT297),"")</f>
        <v>890 х 290 х 735</v>
      </c>
      <c r="P301" t="str">
        <f>IF(Worksheet!CS297&lt;&gt;"",CONCATENATE(Worksheet!CS297," х ",Worksheet!CU297," х ",Worksheet!CQ297),"")</f>
        <v>1070 х 800 х 360</v>
      </c>
      <c r="Q301" t="str">
        <f>IF(Worksheet!CV297&lt;&gt;"",CONCATENATE(Worksheet!CV297," / ",Worksheet!CW297),"")</f>
        <v>32 / 37</v>
      </c>
      <c r="R301" t="str">
        <f>IF(Worksheet!BS297&lt;&gt;"",Worksheet!BS297,"")</f>
        <v>32/35/38</v>
      </c>
      <c r="S301" t="str">
        <f>IF(Worksheet!AL297&lt;&gt;"",Worksheet!AL297,"")</f>
        <v>HIGHLY</v>
      </c>
      <c r="T301" t="str">
        <f>IF(Worksheet!CJ297&lt;&gt;"",CONCATENATE(Worksheet!CJ297," х ",Worksheet!CL297," х ",Worksheet!CH297),"")</f>
        <v>800 х 315 х 545</v>
      </c>
      <c r="U301" t="str">
        <f>IF(Worksheet!CK297&lt;&gt;"",CONCATENATE(Worksheet!CK297," х ",Worksheet!CM297," х ",Worksheet!CI297),"")</f>
        <v>920 х 400 х 620</v>
      </c>
      <c r="V301" t="str">
        <f>IF(Worksheet!CN297&lt;&gt;"",CONCATENATE(Worksheet!CN297,"/",Worksheet!CO297),"")</f>
        <v>42/45</v>
      </c>
      <c r="W301" s="6"/>
      <c r="X301" s="7">
        <f>IF(Worksheet!AN297&lt;&gt;"",Worksheet!AN297,"")</f>
        <v>6.35</v>
      </c>
      <c r="Y301" s="7">
        <f>IF(Worksheet!AO297&lt;&gt;"",Worksheet!AO297,"")</f>
        <v>12.7</v>
      </c>
      <c r="Z301" s="17">
        <f>IF(Worksheet!Q297&lt;&gt;"",Worksheet!Q297,"")</f>
        <v>20</v>
      </c>
      <c r="AA301" s="17">
        <f>IF(Worksheet!R297&lt;&gt;"",Worksheet!R297,"")</f>
        <v>15</v>
      </c>
      <c r="AB301" t="str">
        <f>IF(Worksheet!X297&lt;&gt;"",CONCATENATE("от ",Worksheet!X297," до +",Worksheet!Y297),"")</f>
        <v>от -15 до +49</v>
      </c>
      <c r="AC301" t="str">
        <f>IF(Worksheet!Z297&lt;&gt;"",CONCATENATE("от ",Worksheet!Z297," до +",Worksheet!AA297),"")</f>
        <v>от -15 до +24</v>
      </c>
      <c r="AD301" s="6" t="s">
        <v>5245</v>
      </c>
      <c r="AE301" s="17"/>
    </row>
    <row r="302" spans="1:31" x14ac:dyDescent="0.25">
      <c r="A302" s="17" t="str">
        <f>IF(Worksheet!B298&lt;&gt;"",Worksheet!B298,"")</f>
        <v>QUATTROCLIMA</v>
      </c>
      <c r="B302" t="str">
        <f>Worksheet!E298</f>
        <v>Канальные</v>
      </c>
      <c r="C302">
        <f>IF(Worksheet!M298&lt;&gt;"",Worksheet!M298,"")</f>
        <v>7.03</v>
      </c>
      <c r="D302">
        <f t="shared" si="12"/>
        <v>70</v>
      </c>
      <c r="E302" t="str">
        <f>IF(Worksheet!L298&lt;&gt;"",IF(Worksheet!L298="Y","да","нет"),"")</f>
        <v>нет</v>
      </c>
      <c r="F302">
        <f>IF(Worksheet!N298&lt;&gt;"",Worksheet!N298,"")</f>
        <v>7.88</v>
      </c>
      <c r="G302">
        <f>IF(Worksheet!O298&lt;&gt;"",Worksheet!O298,"")</f>
        <v>2.2599999999999998</v>
      </c>
      <c r="H302">
        <f>IF(Worksheet!P298&lt;&gt;"",Worksheet!P298,"")</f>
        <v>2.1800000000000002</v>
      </c>
      <c r="I302" s="6"/>
      <c r="J302" s="6"/>
      <c r="K302" t="str">
        <f>IF(Worksheet!BI298&lt;&gt;"",Worksheet!BI298,"")</f>
        <v>1 / 220 / 50</v>
      </c>
      <c r="L302" t="str">
        <f>IF(Worksheet!AU298&lt;&gt;"",Worksheet!AU298,"")</f>
        <v>R410A</v>
      </c>
      <c r="M302" s="6"/>
      <c r="N302" s="6"/>
      <c r="O302" t="str">
        <f>IF(Worksheet!CR298&lt;&gt;"",CONCATENATE(Worksheet!CR298," х ",Worksheet!CP298," х ",Worksheet!CT298),"")</f>
        <v>890 х 290 х 735</v>
      </c>
      <c r="P302" t="str">
        <f>IF(Worksheet!CS298&lt;&gt;"",CONCATENATE(Worksheet!CS298," х ",Worksheet!CU298," х ",Worksheet!CQ298),"")</f>
        <v>1070 х 800 х 360</v>
      </c>
      <c r="Q302" t="str">
        <f>IF(Worksheet!CV298&lt;&gt;"",CONCATENATE(Worksheet!CV298," / ",Worksheet!CW298),"")</f>
        <v>33 / 38</v>
      </c>
      <c r="R302" t="str">
        <f>IF(Worksheet!BS298&lt;&gt;"",Worksheet!BS298,"")</f>
        <v>42/44/46</v>
      </c>
      <c r="S302" t="str">
        <f>IF(Worksheet!AL298&lt;&gt;"",Worksheet!AL298,"")</f>
        <v>HIGHLY</v>
      </c>
      <c r="T302" t="str">
        <f>IF(Worksheet!CJ298&lt;&gt;"",CONCATENATE(Worksheet!CJ298," х ",Worksheet!CL298," х ",Worksheet!CH298),"")</f>
        <v>825 х 310 х 655</v>
      </c>
      <c r="U302" t="str">
        <f>IF(Worksheet!CK298&lt;&gt;"",CONCATENATE(Worksheet!CK298," х ",Worksheet!CM298," х ",Worksheet!CI298),"")</f>
        <v>945 х 435 х 725</v>
      </c>
      <c r="V302" t="str">
        <f>IF(Worksheet!CN298&lt;&gt;"",CONCATENATE(Worksheet!CN298,"/",Worksheet!CO298),"")</f>
        <v>53/56</v>
      </c>
      <c r="W302" s="6"/>
      <c r="X302" s="7">
        <f>IF(Worksheet!AN298&lt;&gt;"",Worksheet!AN298,"")</f>
        <v>9.52</v>
      </c>
      <c r="Y302" s="7">
        <f>IF(Worksheet!AO298&lt;&gt;"",Worksheet!AO298,"")</f>
        <v>15.88</v>
      </c>
      <c r="Z302" s="17">
        <f>IF(Worksheet!Q298&lt;&gt;"",Worksheet!Q298,"")</f>
        <v>20</v>
      </c>
      <c r="AA302" s="17">
        <f>IF(Worksheet!R298&lt;&gt;"",Worksheet!R298,"")</f>
        <v>15</v>
      </c>
      <c r="AB302" t="str">
        <f>IF(Worksheet!X298&lt;&gt;"",CONCATENATE("от ",Worksheet!X298," до +",Worksheet!Y298),"")</f>
        <v>от -15 до +49</v>
      </c>
      <c r="AC302" t="str">
        <f>IF(Worksheet!Z298&lt;&gt;"",CONCATENATE("от ",Worksheet!Z298," до +",Worksheet!AA298),"")</f>
        <v>от -15 до +24</v>
      </c>
      <c r="AD302" s="6" t="s">
        <v>5245</v>
      </c>
      <c r="AE302" s="17"/>
    </row>
    <row r="303" spans="1:31" x14ac:dyDescent="0.25">
      <c r="A303" s="17" t="str">
        <f>IF(Worksheet!B299&lt;&gt;"",Worksheet!B299,"")</f>
        <v>QUATTROCLIMA</v>
      </c>
      <c r="B303" t="str">
        <f>Worksheet!E299</f>
        <v>Канальные</v>
      </c>
      <c r="C303">
        <f>IF(Worksheet!M299&lt;&gt;"",Worksheet!M299,"")</f>
        <v>10.6</v>
      </c>
      <c r="D303">
        <f t="shared" si="12"/>
        <v>106</v>
      </c>
      <c r="E303" t="str">
        <f>IF(Worksheet!L299&lt;&gt;"",IF(Worksheet!L299="Y","да","нет"),"")</f>
        <v>нет</v>
      </c>
      <c r="F303">
        <f>IF(Worksheet!N299&lt;&gt;"",Worksheet!N299,"")</f>
        <v>11.7</v>
      </c>
      <c r="G303">
        <f>IF(Worksheet!O299&lt;&gt;"",Worksheet!O299,"")</f>
        <v>3.73</v>
      </c>
      <c r="H303">
        <f>IF(Worksheet!P299&lt;&gt;"",Worksheet!P299,"")</f>
        <v>3.5</v>
      </c>
      <c r="I303" s="6"/>
      <c r="J303" s="6"/>
      <c r="K303" t="str">
        <f>IF(Worksheet!BI299&lt;&gt;"",Worksheet!BI299,"")</f>
        <v>3 / 380 / 50</v>
      </c>
      <c r="L303" t="str">
        <f>IF(Worksheet!AU299&lt;&gt;"",Worksheet!AU299,"")</f>
        <v>R410A</v>
      </c>
      <c r="M303" s="6"/>
      <c r="N303" s="6"/>
      <c r="O303" t="str">
        <f>IF(Worksheet!CR299&lt;&gt;"",CONCATENATE(Worksheet!CR299," х ",Worksheet!CP299," х ",Worksheet!CT299),"")</f>
        <v>890 х 290 х 735</v>
      </c>
      <c r="P303" t="str">
        <f>IF(Worksheet!CS299&lt;&gt;"",CONCATENATE(Worksheet!CS299," х ",Worksheet!CU299," х ",Worksheet!CQ299),"")</f>
        <v>1070 х 800 х 360</v>
      </c>
      <c r="Q303" t="str">
        <f>IF(Worksheet!CV299&lt;&gt;"",CONCATENATE(Worksheet!CV299," / ",Worksheet!CW299),"")</f>
        <v>35 / 39</v>
      </c>
      <c r="R303" t="str">
        <f>IF(Worksheet!BS299&lt;&gt;"",Worksheet!BS299,"")</f>
        <v>41/47/50</v>
      </c>
      <c r="S303" t="str">
        <f>IF(Worksheet!AL299&lt;&gt;"",Worksheet!AL299,"")</f>
        <v>HIGHLY</v>
      </c>
      <c r="T303" t="str">
        <f>IF(Worksheet!CJ299&lt;&gt;"",CONCATENATE(Worksheet!CJ299," х ",Worksheet!CL299," х ",Worksheet!CH299),"")</f>
        <v>970 х 395 х 805</v>
      </c>
      <c r="U303" t="str">
        <f>IF(Worksheet!CK299&lt;&gt;"",CONCATENATE(Worksheet!CK299," х ",Worksheet!CM299," х ",Worksheet!CI299),"")</f>
        <v>1105 х 495 х 895</v>
      </c>
      <c r="V303" t="str">
        <f>IF(Worksheet!CN299&lt;&gt;"",CONCATENATE(Worksheet!CN299,"/",Worksheet!CO299),"")</f>
        <v>65/75</v>
      </c>
      <c r="W303" s="6"/>
      <c r="X303" s="7">
        <f>IF(Worksheet!AN299&lt;&gt;"",Worksheet!AN299,"")</f>
        <v>9.52</v>
      </c>
      <c r="Y303" s="7">
        <f>IF(Worksheet!AO299&lt;&gt;"",Worksheet!AO299,"")</f>
        <v>15.88</v>
      </c>
      <c r="Z303" s="17">
        <f>IF(Worksheet!Q299&lt;&gt;"",Worksheet!Q299,"")</f>
        <v>30</v>
      </c>
      <c r="AA303" s="17">
        <f>IF(Worksheet!R299&lt;&gt;"",Worksheet!R299,"")</f>
        <v>20</v>
      </c>
      <c r="AB303" t="str">
        <f>IF(Worksheet!X299&lt;&gt;"",CONCATENATE("от ",Worksheet!X299," до +",Worksheet!Y299),"")</f>
        <v>от -15 до +49</v>
      </c>
      <c r="AC303" t="str">
        <f>IF(Worksheet!Z299&lt;&gt;"",CONCATENATE("от ",Worksheet!Z299," до +",Worksheet!AA299),"")</f>
        <v>от -15 до +24</v>
      </c>
      <c r="AD303" s="6" t="s">
        <v>5245</v>
      </c>
      <c r="AE303" s="17"/>
    </row>
    <row r="304" spans="1:31" x14ac:dyDescent="0.25">
      <c r="A304" s="17" t="str">
        <f>IF(Worksheet!B300&lt;&gt;"",Worksheet!B300,"")</f>
        <v>QUATTROCLIMA</v>
      </c>
      <c r="B304" t="str">
        <f>Worksheet!E300</f>
        <v>Канальные</v>
      </c>
      <c r="C304">
        <f>IF(Worksheet!M300&lt;&gt;"",Worksheet!M300,"")</f>
        <v>14.07</v>
      </c>
      <c r="D304">
        <f t="shared" si="12"/>
        <v>141</v>
      </c>
      <c r="E304" t="str">
        <f>IF(Worksheet!L300&lt;&gt;"",IF(Worksheet!L300="Y","да","нет"),"")</f>
        <v>нет</v>
      </c>
      <c r="F304">
        <f>IF(Worksheet!N300&lt;&gt;"",Worksheet!N300,"")</f>
        <v>15.55</v>
      </c>
      <c r="G304">
        <f>IF(Worksheet!O300&lt;&gt;"",Worksheet!O300,"")</f>
        <v>4.8499999999999996</v>
      </c>
      <c r="H304">
        <f>IF(Worksheet!P300&lt;&gt;"",Worksheet!P300,"")</f>
        <v>4.8</v>
      </c>
      <c r="I304" s="6"/>
      <c r="J304" s="6"/>
      <c r="K304" t="str">
        <f>IF(Worksheet!BI300&lt;&gt;"",Worksheet!BI300,"")</f>
        <v>3 / 380 / 50</v>
      </c>
      <c r="L304" t="str">
        <f>IF(Worksheet!AU300&lt;&gt;"",Worksheet!AU300,"")</f>
        <v>R410A</v>
      </c>
      <c r="M304" s="6"/>
      <c r="N304" s="6"/>
      <c r="O304" t="str">
        <f>IF(Worksheet!CR300&lt;&gt;"",CONCATENATE(Worksheet!CR300," х ",Worksheet!CP300," х ",Worksheet!CT300),"")</f>
        <v>1250 х 290 х 735</v>
      </c>
      <c r="P304" t="str">
        <f>IF(Worksheet!CS300&lt;&gt;"",CONCATENATE(Worksheet!CS300," х ",Worksheet!CU300," х ",Worksheet!CQ300),"")</f>
        <v>1430 х 800 х 360</v>
      </c>
      <c r="Q304" t="str">
        <f>IF(Worksheet!CV300&lt;&gt;"",CONCATENATE(Worksheet!CV300," / ",Worksheet!CW300),"")</f>
        <v>45 / 51</v>
      </c>
      <c r="R304" t="str">
        <f>IF(Worksheet!BS300&lt;&gt;"",Worksheet!BS300,"")</f>
        <v>44/46/50</v>
      </c>
      <c r="S304" t="str">
        <f>IF(Worksheet!AL300&lt;&gt;"",Worksheet!AL300,"")</f>
        <v>HIGHLY</v>
      </c>
      <c r="T304" t="str">
        <f>IF(Worksheet!CJ300&lt;&gt;"",CONCATENATE(Worksheet!CJ300," х ",Worksheet!CL300," х ",Worksheet!CH300),"")</f>
        <v>940 х 370 х 1325</v>
      </c>
      <c r="U304" t="str">
        <f>IF(Worksheet!CK300&lt;&gt;"",CONCATENATE(Worksheet!CK300," х ",Worksheet!CM300," х ",Worksheet!CI300),"")</f>
        <v>1080 х 430 х 1440</v>
      </c>
      <c r="V304" t="str">
        <f>IF(Worksheet!CN300&lt;&gt;"",CONCATENATE(Worksheet!CN300,"/",Worksheet!CO300),"")</f>
        <v>95/105</v>
      </c>
      <c r="W304" s="6"/>
      <c r="X304" s="7">
        <f>IF(Worksheet!AN300&lt;&gt;"",Worksheet!AN300,"")</f>
        <v>9.52</v>
      </c>
      <c r="Y304" s="7">
        <f>IF(Worksheet!AO300&lt;&gt;"",Worksheet!AO300,"")</f>
        <v>19.05</v>
      </c>
      <c r="Z304" s="17">
        <f>IF(Worksheet!Q300&lt;&gt;"",Worksheet!Q300,"")</f>
        <v>50</v>
      </c>
      <c r="AA304" s="17">
        <f>IF(Worksheet!R300&lt;&gt;"",Worksheet!R300,"")</f>
        <v>30</v>
      </c>
      <c r="AB304" t="str">
        <f>IF(Worksheet!X300&lt;&gt;"",CONCATENATE("от ",Worksheet!X300," до +",Worksheet!Y300),"")</f>
        <v>от -15 до +49</v>
      </c>
      <c r="AC304" t="str">
        <f>IF(Worksheet!Z300&lt;&gt;"",CONCATENATE("от ",Worksheet!Z300," до +",Worksheet!AA300),"")</f>
        <v>от -15 до +24</v>
      </c>
      <c r="AD304" s="6" t="s">
        <v>5245</v>
      </c>
      <c r="AE304" s="17"/>
    </row>
    <row r="305" spans="1:31" x14ac:dyDescent="0.25">
      <c r="A305" s="17" t="str">
        <f>IF(Worksheet!B301&lt;&gt;"",Worksheet!B301,"")</f>
        <v>QUATTROCLIMA</v>
      </c>
      <c r="B305" t="str">
        <f>Worksheet!E301</f>
        <v>Канальные</v>
      </c>
      <c r="C305">
        <f>IF(Worksheet!M301&lt;&gt;"",Worksheet!M301,"")</f>
        <v>17.600000000000001</v>
      </c>
      <c r="D305">
        <f t="shared" si="12"/>
        <v>176</v>
      </c>
      <c r="E305" t="str">
        <f>IF(Worksheet!L301&lt;&gt;"",IF(Worksheet!L301="Y","да","нет"),"")</f>
        <v>нет</v>
      </c>
      <c r="F305">
        <f>IF(Worksheet!N301&lt;&gt;"",Worksheet!N301,"")</f>
        <v>18.5</v>
      </c>
      <c r="G305">
        <f>IF(Worksheet!O301&lt;&gt;"",Worksheet!O301,"")</f>
        <v>6.77</v>
      </c>
      <c r="H305">
        <f>IF(Worksheet!P301&lt;&gt;"",Worksheet!P301,"")</f>
        <v>5.78</v>
      </c>
      <c r="I305" s="6"/>
      <c r="J305" s="6"/>
      <c r="K305" t="str">
        <f>IF(Worksheet!BI301&lt;&gt;"",Worksheet!BI301,"")</f>
        <v>3 / 380 / 50</v>
      </c>
      <c r="L305" t="str">
        <f>IF(Worksheet!AU301&lt;&gt;"",Worksheet!AU301,"")</f>
        <v>R410A</v>
      </c>
      <c r="M305" s="6"/>
      <c r="N305" s="6"/>
      <c r="O305" t="str">
        <f>IF(Worksheet!CR301&lt;&gt;"",CONCATENATE(Worksheet!CR301," х ",Worksheet!CP301," х ",Worksheet!CT301),"")</f>
        <v>1250 х 290 х 735</v>
      </c>
      <c r="P305" t="str">
        <f>IF(Worksheet!CS301&lt;&gt;"",CONCATENATE(Worksheet!CS301," х ",Worksheet!CU301," х ",Worksheet!CQ301),"")</f>
        <v>1430 х 800 х 360</v>
      </c>
      <c r="Q305" t="str">
        <f>IF(Worksheet!CV301&lt;&gt;"",CONCATENATE(Worksheet!CV301," / ",Worksheet!CW301),"")</f>
        <v>50 / 56</v>
      </c>
      <c r="R305" t="str">
        <f>IF(Worksheet!BS301&lt;&gt;"",Worksheet!BS301,"")</f>
        <v>45/47/50</v>
      </c>
      <c r="S305" t="str">
        <f>IF(Worksheet!AL301&lt;&gt;"",Worksheet!AL301,"")</f>
        <v>HIGHLY</v>
      </c>
      <c r="T305" t="str">
        <f>IF(Worksheet!CJ301&lt;&gt;"",CONCATENATE(Worksheet!CJ301," х ",Worksheet!CL301," х ",Worksheet!CH301),"")</f>
        <v>940 х 370 х 1325</v>
      </c>
      <c r="U305" t="str">
        <f>IF(Worksheet!CK301&lt;&gt;"",CONCATENATE(Worksheet!CK301," х ",Worksheet!CM301," х ",Worksheet!CI301),"")</f>
        <v>1080 х 430 х 1440</v>
      </c>
      <c r="V305" t="str">
        <f>IF(Worksheet!CN301&lt;&gt;"",CONCATENATE(Worksheet!CN301,"/",Worksheet!CO301),"")</f>
        <v>99/109</v>
      </c>
      <c r="W305" s="6"/>
      <c r="X305" s="7">
        <f>IF(Worksheet!AN301&lt;&gt;"",Worksheet!AN301,"")</f>
        <v>9.52</v>
      </c>
      <c r="Y305" s="7">
        <f>IF(Worksheet!AO301&lt;&gt;"",Worksheet!AO301,"")</f>
        <v>19.05</v>
      </c>
      <c r="Z305" s="17">
        <f>IF(Worksheet!Q301&lt;&gt;"",Worksheet!Q301,"")</f>
        <v>50</v>
      </c>
      <c r="AA305" s="17">
        <f>IF(Worksheet!R301&lt;&gt;"",Worksheet!R301,"")</f>
        <v>30</v>
      </c>
      <c r="AB305" t="str">
        <f>IF(Worksheet!X301&lt;&gt;"",CONCATENATE("от ",Worksheet!X301," до +",Worksheet!Y301),"")</f>
        <v>от -15 до +49</v>
      </c>
      <c r="AC305" t="str">
        <f>IF(Worksheet!Z301&lt;&gt;"",CONCATENATE("от ",Worksheet!Z301," до +",Worksheet!AA301),"")</f>
        <v>от -15 до +24</v>
      </c>
      <c r="AD305" s="6" t="s">
        <v>5245</v>
      </c>
      <c r="AE305" s="17"/>
    </row>
    <row r="306" spans="1:31" x14ac:dyDescent="0.25">
      <c r="A306" s="17" t="str">
        <f>IF(Worksheet!B302&lt;&gt;"",Worksheet!B302,"")</f>
        <v>QUATTROCLIMA</v>
      </c>
      <c r="B306" t="str">
        <f>Worksheet!E302</f>
        <v>Канальные</v>
      </c>
      <c r="C306">
        <f>IF(Worksheet!M302&lt;&gt;"",Worksheet!M302,"")</f>
        <v>5.3</v>
      </c>
      <c r="D306">
        <f t="shared" si="12"/>
        <v>53</v>
      </c>
      <c r="E306" t="str">
        <f>IF(Worksheet!L302&lt;&gt;"",IF(Worksheet!L302="Y","да","нет"),"")</f>
        <v>нет</v>
      </c>
      <c r="F306">
        <f>IF(Worksheet!N302&lt;&gt;"",Worksheet!N302,"")</f>
        <v>5.9</v>
      </c>
      <c r="G306">
        <f>IF(Worksheet!O302&lt;&gt;"",Worksheet!O302,"")</f>
        <v>1.7609999999999999</v>
      </c>
      <c r="H306">
        <f>IF(Worksheet!P302&lt;&gt;"",Worksheet!P302,"")</f>
        <v>1.5129999999999999</v>
      </c>
      <c r="I306" s="6"/>
      <c r="J306" s="6"/>
      <c r="K306" t="str">
        <f>IF(Worksheet!BI302&lt;&gt;"",Worksheet!BI302,"")</f>
        <v>1 / 220 / 50</v>
      </c>
      <c r="L306" t="str">
        <f>IF(Worksheet!AU302&lt;&gt;"",Worksheet!AU302,"")</f>
        <v>R410A</v>
      </c>
      <c r="M306" s="6"/>
      <c r="N306" s="6"/>
      <c r="O306" t="str">
        <f>IF(Worksheet!CR302&lt;&gt;"",CONCATENATE(Worksheet!CR302," х ",Worksheet!CP302," х ",Worksheet!CT302),"")</f>
        <v>920 х 210 х 605</v>
      </c>
      <c r="P306" t="str">
        <f>IF(Worksheet!CS302&lt;&gt;"",CONCATENATE(Worksheet!CS302," х ",Worksheet!CU302," х ",Worksheet!CQ302),"")</f>
        <v>1115 х 690 х 280</v>
      </c>
      <c r="Q306" t="str">
        <f>IF(Worksheet!CV302&lt;&gt;"",CONCATENATE(Worksheet!CV302," / ",Worksheet!CW302),"")</f>
        <v>23 / 28</v>
      </c>
      <c r="R306" t="str">
        <f>IF(Worksheet!BS302&lt;&gt;"",Worksheet!BS302,"")</f>
        <v>32/35/43</v>
      </c>
      <c r="S306" t="str">
        <f>IF(Worksheet!AL302&lt;&gt;"",Worksheet!AL302,"")</f>
        <v>GMCC</v>
      </c>
      <c r="T306" t="str">
        <f>IF(Worksheet!CJ302&lt;&gt;"",CONCATENATE(Worksheet!CJ302," х ",Worksheet!CL302," х ",Worksheet!CH302),"")</f>
        <v>780 х 290 х 605</v>
      </c>
      <c r="U306" t="str">
        <f>IF(Worksheet!CK302&lt;&gt;"",CONCATENATE(Worksheet!CK302," х ",Worksheet!CM302," х ",Worksheet!CI302),"")</f>
        <v>883 х 412 х 653</v>
      </c>
      <c r="V306" t="str">
        <f>IF(Worksheet!CN302&lt;&gt;"",CONCATENATE(Worksheet!CN302,"/",Worksheet!CO302),"")</f>
        <v>38/42</v>
      </c>
      <c r="W306" s="6"/>
      <c r="X306" s="7">
        <f>IF(Worksheet!AN302&lt;&gt;"",Worksheet!AN302,"")</f>
        <v>6.35</v>
      </c>
      <c r="Y306" s="7">
        <f>IF(Worksheet!AO302&lt;&gt;"",Worksheet!AO302,"")</f>
        <v>12.7</v>
      </c>
      <c r="Z306" s="17">
        <f>IF(Worksheet!Q302&lt;&gt;"",Worksheet!Q302,"")</f>
        <v>25</v>
      </c>
      <c r="AA306" s="17">
        <f>IF(Worksheet!R302&lt;&gt;"",Worksheet!R302,"")</f>
        <v>15</v>
      </c>
      <c r="AB306" t="str">
        <f>IF(Worksheet!X302&lt;&gt;"",CONCATENATE("от ",Worksheet!X302," до +",Worksheet!Y302),"")</f>
        <v>от 17 до +43</v>
      </c>
      <c r="AC306" t="str">
        <f>IF(Worksheet!Z302&lt;&gt;"",CONCATENATE("от ",Worksheet!Z302," до +",Worksheet!AA302),"")</f>
        <v>от -7 до +24</v>
      </c>
      <c r="AD306" s="6" t="s">
        <v>5245</v>
      </c>
      <c r="AE306" s="17"/>
    </row>
    <row r="307" spans="1:31" x14ac:dyDescent="0.25">
      <c r="A307" s="17" t="str">
        <f>IF(Worksheet!B303&lt;&gt;"",Worksheet!B303,"")</f>
        <v>QUATTROCLIMA</v>
      </c>
      <c r="B307" t="str">
        <f>Worksheet!E303</f>
        <v>Канальные</v>
      </c>
      <c r="C307">
        <f>IF(Worksheet!M303&lt;&gt;"",Worksheet!M303,"")</f>
        <v>7.2</v>
      </c>
      <c r="D307">
        <f t="shared" si="12"/>
        <v>72</v>
      </c>
      <c r="E307" t="str">
        <f>IF(Worksheet!L303&lt;&gt;"",IF(Worksheet!L303="Y","да","нет"),"")</f>
        <v>нет</v>
      </c>
      <c r="F307">
        <f>IF(Worksheet!N303&lt;&gt;"",Worksheet!N303,"")</f>
        <v>7.9</v>
      </c>
      <c r="G307">
        <f>IF(Worksheet!O303&lt;&gt;"",Worksheet!O303,"")</f>
        <v>2.351</v>
      </c>
      <c r="H307">
        <f>IF(Worksheet!P303&lt;&gt;"",Worksheet!P303,"")</f>
        <v>2.3879999999999999</v>
      </c>
      <c r="I307" s="6"/>
      <c r="J307" s="6"/>
      <c r="K307" t="str">
        <f>IF(Worksheet!BI303&lt;&gt;"",Worksheet!BI303,"")</f>
        <v>1 / 220 / 50</v>
      </c>
      <c r="L307" t="str">
        <f>IF(Worksheet!AU303&lt;&gt;"",Worksheet!AU303,"")</f>
        <v>R410A</v>
      </c>
      <c r="M307" s="6"/>
      <c r="N307" s="6"/>
      <c r="O307" t="str">
        <f>IF(Worksheet!CR303&lt;&gt;"",CONCATENATE(Worksheet!CR303," х ",Worksheet!CP303," х ",Worksheet!CT303),"")</f>
        <v>920 х 270 х 605</v>
      </c>
      <c r="P307" t="str">
        <f>IF(Worksheet!CS303&lt;&gt;"",CONCATENATE(Worksheet!CS303," х ",Worksheet!CU303," х ",Worksheet!CQ303),"")</f>
        <v>1115 х 690 х 340</v>
      </c>
      <c r="Q307" t="str">
        <f>IF(Worksheet!CV303&lt;&gt;"",CONCATENATE(Worksheet!CV303," / ",Worksheet!CW303),"")</f>
        <v>28 / 32</v>
      </c>
      <c r="R307" t="str">
        <f>IF(Worksheet!BS303&lt;&gt;"",Worksheet!BS303,"")</f>
        <v>41/43/46</v>
      </c>
      <c r="S307" t="str">
        <f>IF(Worksheet!AL303&lt;&gt;"",Worksheet!AL303,"")</f>
        <v>GMCC</v>
      </c>
      <c r="T307" t="str">
        <f>IF(Worksheet!CJ303&lt;&gt;"",CONCATENATE(Worksheet!CJ303," х ",Worksheet!CL303," х ",Worksheet!CH303),"")</f>
        <v>900 х 310 х 650</v>
      </c>
      <c r="U307" t="str">
        <f>IF(Worksheet!CK303&lt;&gt;"",CONCATENATE(Worksheet!CK303," х ",Worksheet!CM303," х ",Worksheet!CI303),"")</f>
        <v>1015 х 425 х 720</v>
      </c>
      <c r="V307" t="str">
        <f>IF(Worksheet!CN303&lt;&gt;"",CONCATENATE(Worksheet!CN303,"/",Worksheet!CO303),"")</f>
        <v>51/54</v>
      </c>
      <c r="W307" s="6"/>
      <c r="X307" s="7">
        <f>IF(Worksheet!AN303&lt;&gt;"",Worksheet!AN303,"")</f>
        <v>9.52</v>
      </c>
      <c r="Y307" s="7">
        <f>IF(Worksheet!AO303&lt;&gt;"",Worksheet!AO303,"")</f>
        <v>15.88</v>
      </c>
      <c r="Z307" s="17">
        <f>IF(Worksheet!Q303&lt;&gt;"",Worksheet!Q303,"")</f>
        <v>30</v>
      </c>
      <c r="AA307" s="17">
        <f>IF(Worksheet!R303&lt;&gt;"",Worksheet!R303,"")</f>
        <v>15</v>
      </c>
      <c r="AB307" t="str">
        <f>IF(Worksheet!X303&lt;&gt;"",CONCATENATE("от ",Worksheet!X303," до +",Worksheet!Y303),"")</f>
        <v>от 17 до +43</v>
      </c>
      <c r="AC307" t="str">
        <f>IF(Worksheet!Z303&lt;&gt;"",CONCATENATE("от ",Worksheet!Z303," до +",Worksheet!AA303),"")</f>
        <v>от -7 до +24</v>
      </c>
      <c r="AD307" s="6" t="s">
        <v>5245</v>
      </c>
      <c r="AE307" s="17"/>
    </row>
    <row r="308" spans="1:31" x14ac:dyDescent="0.25">
      <c r="A308" s="17" t="str">
        <f>IF(Worksheet!B304&lt;&gt;"",Worksheet!B304,"")</f>
        <v>QUATTROCLIMA</v>
      </c>
      <c r="B308" t="str">
        <f>Worksheet!E304</f>
        <v>Канальные</v>
      </c>
      <c r="C308">
        <f>IF(Worksheet!M304&lt;&gt;"",Worksheet!M304,"")</f>
        <v>10.55</v>
      </c>
      <c r="D308">
        <f t="shared" si="12"/>
        <v>106</v>
      </c>
      <c r="E308" t="str">
        <f>IF(Worksheet!L304&lt;&gt;"",IF(Worksheet!L304="Y","да","нет"),"")</f>
        <v>нет</v>
      </c>
      <c r="F308">
        <f>IF(Worksheet!N304&lt;&gt;"",Worksheet!N304,"")</f>
        <v>12</v>
      </c>
      <c r="G308">
        <f>IF(Worksheet!O304&lt;&gt;"",Worksheet!O304,"")</f>
        <v>3.5840000000000001</v>
      </c>
      <c r="H308">
        <f>IF(Worksheet!P304&lt;&gt;"",Worksheet!P304,"")</f>
        <v>3.468</v>
      </c>
      <c r="I308" s="6"/>
      <c r="J308" s="6"/>
      <c r="K308" t="str">
        <f>IF(Worksheet!BI304&lt;&gt;"",Worksheet!BI304,"")</f>
        <v>3 / 380 / 50</v>
      </c>
      <c r="L308" t="str">
        <f>IF(Worksheet!AU304&lt;&gt;"",Worksheet!AU304,"")</f>
        <v>R410A</v>
      </c>
      <c r="M308" s="6"/>
      <c r="N308" s="6"/>
      <c r="O308" t="str">
        <f>IF(Worksheet!CR304&lt;&gt;"",CONCATENATE(Worksheet!CR304," х ",Worksheet!CP304," х ",Worksheet!CT304),"")</f>
        <v>1140 х 270 х 745</v>
      </c>
      <c r="P308" t="str">
        <f>IF(Worksheet!CS304&lt;&gt;"",CONCATENATE(Worksheet!CS304," х ",Worksheet!CU304," х ",Worksheet!CQ304),"")</f>
        <v>1345 х 830 х 345</v>
      </c>
      <c r="Q308" t="str">
        <f>IF(Worksheet!CV304&lt;&gt;"",CONCATENATE(Worksheet!CV304," / ",Worksheet!CW304),"")</f>
        <v>36 / 43</v>
      </c>
      <c r="R308" t="str">
        <f>IF(Worksheet!BS304&lt;&gt;"",Worksheet!BS304,"")</f>
        <v>42/44/46</v>
      </c>
      <c r="S308" t="str">
        <f>IF(Worksheet!AL304&lt;&gt;"",Worksheet!AL304,"")</f>
        <v>HIGHLY</v>
      </c>
      <c r="T308" t="str">
        <f>IF(Worksheet!CJ304&lt;&gt;"",CONCATENATE(Worksheet!CJ304," х ",Worksheet!CL304," х ",Worksheet!CH304),"")</f>
        <v>900 х 360 х 805</v>
      </c>
      <c r="U308" t="str">
        <f>IF(Worksheet!CK304&lt;&gt;"",CONCATENATE(Worksheet!CK304," х ",Worksheet!CM304," х ",Worksheet!CI304),"")</f>
        <v>1020 х 475 х 860</v>
      </c>
      <c r="V308" t="str">
        <f>IF(Worksheet!CN304&lt;&gt;"",CONCATENATE(Worksheet!CN304,"/",Worksheet!CO304),"")</f>
        <v>64/69</v>
      </c>
      <c r="W308" s="6"/>
      <c r="X308" s="7">
        <f>IF(Worksheet!AN304&lt;&gt;"",Worksheet!AN304,"")</f>
        <v>9.52</v>
      </c>
      <c r="Y308" s="7">
        <f>IF(Worksheet!AO304&lt;&gt;"",Worksheet!AO304,"")</f>
        <v>19.05</v>
      </c>
      <c r="Z308" s="17">
        <f>IF(Worksheet!Q304&lt;&gt;"",Worksheet!Q304,"")</f>
        <v>30</v>
      </c>
      <c r="AA308" s="17">
        <f>IF(Worksheet!R304&lt;&gt;"",Worksheet!R304,"")</f>
        <v>20</v>
      </c>
      <c r="AB308" t="str">
        <f>IF(Worksheet!X304&lt;&gt;"",CONCATENATE("от ",Worksheet!X304," до +",Worksheet!Y304),"")</f>
        <v>от 17 до +43</v>
      </c>
      <c r="AC308" t="str">
        <f>IF(Worksheet!Z304&lt;&gt;"",CONCATENATE("от ",Worksheet!Z304," до +",Worksheet!AA304),"")</f>
        <v>от -7 до +24</v>
      </c>
      <c r="AD308" s="6" t="s">
        <v>5245</v>
      </c>
      <c r="AE308" s="17"/>
    </row>
    <row r="309" spans="1:31" x14ac:dyDescent="0.25">
      <c r="A309" s="17" t="str">
        <f>IF(Worksheet!B305&lt;&gt;"",Worksheet!B305,"")</f>
        <v>QUATTROCLIMA</v>
      </c>
      <c r="B309" t="str">
        <f>Worksheet!E305</f>
        <v>Канальные</v>
      </c>
      <c r="C309">
        <f>IF(Worksheet!M305&lt;&gt;"",Worksheet!M305,"")</f>
        <v>14</v>
      </c>
      <c r="D309">
        <f t="shared" si="12"/>
        <v>140</v>
      </c>
      <c r="E309" t="str">
        <f>IF(Worksheet!L305&lt;&gt;"",IF(Worksheet!L305="Y","да","нет"),"")</f>
        <v>нет</v>
      </c>
      <c r="F309">
        <f>IF(Worksheet!N305&lt;&gt;"",Worksheet!N305,"")</f>
        <v>14.65</v>
      </c>
      <c r="G309">
        <f>IF(Worksheet!O305&lt;&gt;"",Worksheet!O305,"")</f>
        <v>4.5599999999999996</v>
      </c>
      <c r="H309">
        <f>IF(Worksheet!P305&lt;&gt;"",Worksheet!P305,"")</f>
        <v>4.4459999999999997</v>
      </c>
      <c r="I309" s="6"/>
      <c r="J309" s="6"/>
      <c r="K309" t="str">
        <f>IF(Worksheet!BI305&lt;&gt;"",Worksheet!BI305,"")</f>
        <v>3 / 380 / 50</v>
      </c>
      <c r="L309" t="str">
        <f>IF(Worksheet!AU305&lt;&gt;"",Worksheet!AU305,"")</f>
        <v>R410A</v>
      </c>
      <c r="M309" s="6"/>
      <c r="N309" s="6"/>
      <c r="O309" t="str">
        <f>IF(Worksheet!CR305&lt;&gt;"",CONCATENATE(Worksheet!CR305," х ",Worksheet!CP305," х ",Worksheet!CT305),"")</f>
        <v>1200 х 300 х 835</v>
      </c>
      <c r="P309" t="str">
        <f>IF(Worksheet!CS305&lt;&gt;"",CONCATENATE(Worksheet!CS305," х ",Worksheet!CU305," х ",Worksheet!CQ305),"")</f>
        <v>1405 х 925 х 375</v>
      </c>
      <c r="Q309" t="str">
        <f>IF(Worksheet!CV305&lt;&gt;"",CONCATENATE(Worksheet!CV305," / ",Worksheet!CW305),"")</f>
        <v>45 / 52</v>
      </c>
      <c r="R309" t="str">
        <f>IF(Worksheet!BS305&lt;&gt;"",Worksheet!BS305,"")</f>
        <v>42/44/47</v>
      </c>
      <c r="S309" t="str">
        <f>IF(Worksheet!AL305&lt;&gt;"",Worksheet!AL305,"")</f>
        <v>HIGHLY</v>
      </c>
      <c r="T309" t="str">
        <f>IF(Worksheet!CJ305&lt;&gt;"",CONCATENATE(Worksheet!CJ305," х ",Worksheet!CL305," х ",Worksheet!CH305),"")</f>
        <v>940 х 340 х 1250</v>
      </c>
      <c r="U309" t="str">
        <f>IF(Worksheet!CK305&lt;&gt;"",CONCATENATE(Worksheet!CK305," х ",Worksheet!CM305," х ",Worksheet!CI305),"")</f>
        <v>1030 х 430 х 1365</v>
      </c>
      <c r="V309" t="str">
        <f>IF(Worksheet!CN305&lt;&gt;"",CONCATENATE(Worksheet!CN305,"/",Worksheet!CO305),"")</f>
        <v>93/103</v>
      </c>
      <c r="W309" s="6"/>
      <c r="X309" s="7">
        <f>IF(Worksheet!AN305&lt;&gt;"",Worksheet!AN305,"")</f>
        <v>9.52</v>
      </c>
      <c r="Y309" s="7">
        <f>IF(Worksheet!AO305&lt;&gt;"",Worksheet!AO305,"")</f>
        <v>19.05</v>
      </c>
      <c r="Z309" s="17">
        <f>IF(Worksheet!Q305&lt;&gt;"",Worksheet!Q305,"")</f>
        <v>50</v>
      </c>
      <c r="AA309" s="17">
        <f>IF(Worksheet!R305&lt;&gt;"",Worksheet!R305,"")</f>
        <v>30</v>
      </c>
      <c r="AB309" t="str">
        <f>IF(Worksheet!X305&lt;&gt;"",CONCATENATE("от ",Worksheet!X305," до +",Worksheet!Y305),"")</f>
        <v>от 17 до +43</v>
      </c>
      <c r="AC309" t="str">
        <f>IF(Worksheet!Z305&lt;&gt;"",CONCATENATE("от ",Worksheet!Z305," до +",Worksheet!AA305),"")</f>
        <v>от -7 до +24</v>
      </c>
      <c r="AD309" s="6" t="s">
        <v>5245</v>
      </c>
      <c r="AE309" s="17"/>
    </row>
    <row r="310" spans="1:31" x14ac:dyDescent="0.25">
      <c r="A310" s="17" t="str">
        <f>IF(Worksheet!B306&lt;&gt;"",Worksheet!B306,"")</f>
        <v>QUATTROCLIMA</v>
      </c>
      <c r="B310" t="str">
        <f>Worksheet!E306</f>
        <v>Канальные</v>
      </c>
      <c r="C310">
        <f>IF(Worksheet!M306&lt;&gt;"",Worksheet!M306,"")</f>
        <v>16.12</v>
      </c>
      <c r="D310">
        <f t="shared" si="12"/>
        <v>161</v>
      </c>
      <c r="E310" t="str">
        <f>IF(Worksheet!L306&lt;&gt;"",IF(Worksheet!L306="Y","да","нет"),"")</f>
        <v>нет</v>
      </c>
      <c r="F310">
        <f>IF(Worksheet!N306&lt;&gt;"",Worksheet!N306,"")</f>
        <v>17.73</v>
      </c>
      <c r="G310">
        <f>IF(Worksheet!O306&lt;&gt;"",Worksheet!O306,"")</f>
        <v>5.694</v>
      </c>
      <c r="H310">
        <f>IF(Worksheet!P306&lt;&gt;"",Worksheet!P306,"")</f>
        <v>4.8449999999999998</v>
      </c>
      <c r="I310" s="6"/>
      <c r="J310" s="6"/>
      <c r="K310" t="str">
        <f>IF(Worksheet!BI306&lt;&gt;"",Worksheet!BI306,"")</f>
        <v>3 / 380 / 50</v>
      </c>
      <c r="L310" t="str">
        <f>IF(Worksheet!AU306&lt;&gt;"",Worksheet!AU306,"")</f>
        <v>R410A</v>
      </c>
      <c r="M310" s="6"/>
      <c r="N310" s="6"/>
      <c r="O310" t="str">
        <f>IF(Worksheet!CR306&lt;&gt;"",CONCATENATE(Worksheet!CR306," х ",Worksheet!CP306," х ",Worksheet!CT306),"")</f>
        <v>1200 х 300 х 835</v>
      </c>
      <c r="P310" t="str">
        <f>IF(Worksheet!CS306&lt;&gt;"",CONCATENATE(Worksheet!CS306," х ",Worksheet!CU306," х ",Worksheet!CQ306),"")</f>
        <v>1405 х 925 х 375</v>
      </c>
      <c r="Q310" t="str">
        <f>IF(Worksheet!CV306&lt;&gt;"",CONCATENATE(Worksheet!CV306," / ",Worksheet!CW306),"")</f>
        <v>46 / 53</v>
      </c>
      <c r="R310" t="str">
        <f>IF(Worksheet!BS306&lt;&gt;"",Worksheet!BS306,"")</f>
        <v>43/45/47</v>
      </c>
      <c r="S310" t="str">
        <f>IF(Worksheet!AL306&lt;&gt;"",Worksheet!AL306,"")</f>
        <v>HIGHLY</v>
      </c>
      <c r="T310" t="str">
        <f>IF(Worksheet!CJ306&lt;&gt;"",CONCATENATE(Worksheet!CJ306," х ",Worksheet!CL306," х ",Worksheet!CH306),"")</f>
        <v>940 х 340 х 1250</v>
      </c>
      <c r="U310" t="str">
        <f>IF(Worksheet!CK306&lt;&gt;"",CONCATENATE(Worksheet!CK306," х ",Worksheet!CM306," х ",Worksheet!CI306),"")</f>
        <v>1030 х 430 х 1365</v>
      </c>
      <c r="V310" t="str">
        <f>IF(Worksheet!CN306&lt;&gt;"",CONCATENATE(Worksheet!CN306,"/",Worksheet!CO306),"")</f>
        <v>101/111</v>
      </c>
      <c r="W310" s="6"/>
      <c r="X310" s="7">
        <f>IF(Worksheet!AN306&lt;&gt;"",Worksheet!AN306,"")</f>
        <v>9.52</v>
      </c>
      <c r="Y310" s="7">
        <f>IF(Worksheet!AO306&lt;&gt;"",Worksheet!AO306,"")</f>
        <v>19.05</v>
      </c>
      <c r="Z310" s="17">
        <f>IF(Worksheet!Q306&lt;&gt;"",Worksheet!Q306,"")</f>
        <v>50</v>
      </c>
      <c r="AA310" s="17">
        <f>IF(Worksheet!R306&lt;&gt;"",Worksheet!R306,"")</f>
        <v>30</v>
      </c>
      <c r="AB310" t="str">
        <f>IF(Worksheet!X306&lt;&gt;"",CONCATENATE("от ",Worksheet!X306," до +",Worksheet!Y306),"")</f>
        <v>от 17 до +43</v>
      </c>
      <c r="AC310" t="str">
        <f>IF(Worksheet!Z306&lt;&gt;"",CONCATENATE("от ",Worksheet!Z306," до +",Worksheet!AA306),"")</f>
        <v>от -7 до +24</v>
      </c>
      <c r="AD310" s="6" t="s">
        <v>5245</v>
      </c>
      <c r="AE310" s="17"/>
    </row>
    <row r="311" spans="1:31" x14ac:dyDescent="0.25">
      <c r="A311" s="17" t="str">
        <f>IF(Worksheet!B307&lt;&gt;"",Worksheet!B307,"")</f>
        <v>QUATTROCLIMA</v>
      </c>
      <c r="B311" t="str">
        <f>Worksheet!E307</f>
        <v>Канальные</v>
      </c>
      <c r="C311">
        <f>IF(Worksheet!M307&lt;&gt;"",Worksheet!M307,"")</f>
        <v>5.28</v>
      </c>
      <c r="D311">
        <f t="shared" si="12"/>
        <v>53</v>
      </c>
      <c r="E311" t="str">
        <f>IF(Worksheet!L307&lt;&gt;"",IF(Worksheet!L307="Y","да","нет"),"")</f>
        <v>нет</v>
      </c>
      <c r="F311">
        <f>IF(Worksheet!N307&lt;&gt;"",Worksheet!N307,"")</f>
        <v>5.6</v>
      </c>
      <c r="G311">
        <f>IF(Worksheet!O307&lt;&gt;"",Worksheet!O307,"")</f>
        <v>1.73</v>
      </c>
      <c r="H311">
        <f>IF(Worksheet!P307&lt;&gt;"",Worksheet!P307,"")</f>
        <v>1.55</v>
      </c>
      <c r="I311" s="6"/>
      <c r="J311" s="6"/>
      <c r="K311" t="str">
        <f>IF(Worksheet!BI307&lt;&gt;"",Worksheet!BI307,"")</f>
        <v>1 / 220 / 50</v>
      </c>
      <c r="L311" t="str">
        <f>IF(Worksheet!AU307&lt;&gt;"",Worksheet!AU307,"")</f>
        <v>R410A</v>
      </c>
      <c r="M311" s="6"/>
      <c r="N311" s="6"/>
      <c r="O311" t="str">
        <f>IF(Worksheet!CR307&lt;&gt;"",CONCATENATE(Worksheet!CR307," х ",Worksheet!CP307," х ",Worksheet!CT307),"")</f>
        <v>1000 х 450 х 200</v>
      </c>
      <c r="P311" t="str">
        <f>IF(Worksheet!CS307&lt;&gt;"",CONCATENATE(Worksheet!CS307," х ",Worksheet!CU307," х ",Worksheet!CQ307),"")</f>
        <v>1300 х 275 х 555</v>
      </c>
      <c r="Q311" t="str">
        <f>IF(Worksheet!CV307&lt;&gt;"",CONCATENATE(Worksheet!CV307," / ",Worksheet!CW307),"")</f>
        <v>20 / 24</v>
      </c>
      <c r="R311" t="str">
        <f>IF(Worksheet!BS307&lt;&gt;"",Worksheet!BS307,"")</f>
        <v>28/31/35/39</v>
      </c>
      <c r="S311" t="str">
        <f>IF(Worksheet!AL307&lt;&gt;"",Worksheet!AL307,"")</f>
        <v>HIGHLY</v>
      </c>
      <c r="T311" t="str">
        <f>IF(Worksheet!CJ307&lt;&gt;"",CONCATENATE(Worksheet!CJ307," х ",Worksheet!CL307," х ",Worksheet!CH307),"")</f>
        <v>800 х 315 х 545</v>
      </c>
      <c r="U311" t="str">
        <f>IF(Worksheet!CK307&lt;&gt;"",CONCATENATE(Worksheet!CK307," х ",Worksheet!CM307," х ",Worksheet!CI307),"")</f>
        <v>920 х 400 х 620</v>
      </c>
      <c r="V311" t="str">
        <f>IF(Worksheet!CN307&lt;&gt;"",CONCATENATE(Worksheet!CN307,"/",Worksheet!CO307),"")</f>
        <v>36/39</v>
      </c>
      <c r="W311" s="6"/>
      <c r="X311" s="7">
        <f>IF(Worksheet!AN307&lt;&gt;"",Worksheet!AN307,"")</f>
        <v>6.35</v>
      </c>
      <c r="Y311" s="7">
        <f>IF(Worksheet!AO307&lt;&gt;"",Worksheet!AO307,"")</f>
        <v>12.7</v>
      </c>
      <c r="Z311" s="17">
        <f>IF(Worksheet!Q307&lt;&gt;"",Worksheet!Q307,"")</f>
        <v>20</v>
      </c>
      <c r="AA311" s="17">
        <f>IF(Worksheet!R307&lt;&gt;"",Worksheet!R307,"")</f>
        <v>15</v>
      </c>
      <c r="AB311" t="str">
        <f>IF(Worksheet!X307&lt;&gt;"",CONCATENATE("от ",Worksheet!X307," до +",Worksheet!Y307),"")</f>
        <v>от -15 до +49</v>
      </c>
      <c r="AC311" t="str">
        <f>IF(Worksheet!Z307&lt;&gt;"",CONCATENATE("от ",Worksheet!Z307," до +",Worksheet!AA307),"")</f>
        <v>от -15 до +24</v>
      </c>
      <c r="AD311" s="6" t="s">
        <v>5245</v>
      </c>
      <c r="AE311" s="17"/>
    </row>
    <row r="312" spans="1:31" x14ac:dyDescent="0.25">
      <c r="A312" s="17" t="str">
        <f>IF(Worksheet!B308&lt;&gt;"",Worksheet!B308,"")</f>
        <v>QUATTROCLIMA</v>
      </c>
      <c r="B312" t="str">
        <f>Worksheet!E308</f>
        <v>Канальные</v>
      </c>
      <c r="C312">
        <f>IF(Worksheet!M308&lt;&gt;"",Worksheet!M308,"")</f>
        <v>7.03</v>
      </c>
      <c r="D312">
        <f t="shared" si="12"/>
        <v>70</v>
      </c>
      <c r="E312" t="str">
        <f>IF(Worksheet!L308&lt;&gt;"",IF(Worksheet!L308="Y","да","нет"),"")</f>
        <v>нет</v>
      </c>
      <c r="F312">
        <f>IF(Worksheet!N308&lt;&gt;"",Worksheet!N308,"")</f>
        <v>7.4</v>
      </c>
      <c r="G312">
        <f>IF(Worksheet!O308&lt;&gt;"",Worksheet!O308,"")</f>
        <v>2.15</v>
      </c>
      <c r="H312">
        <f>IF(Worksheet!P308&lt;&gt;"",Worksheet!P308,"")</f>
        <v>1.88</v>
      </c>
      <c r="I312" s="6"/>
      <c r="J312" s="6"/>
      <c r="K312" t="str">
        <f>IF(Worksheet!BI308&lt;&gt;"",Worksheet!BI308,"")</f>
        <v>1 / 220 / 50</v>
      </c>
      <c r="L312" t="str">
        <f>IF(Worksheet!AU308&lt;&gt;"",Worksheet!AU308,"")</f>
        <v>R410A</v>
      </c>
      <c r="M312" s="6"/>
      <c r="N312" s="6"/>
      <c r="O312" t="str">
        <f>IF(Worksheet!CR308&lt;&gt;"",CONCATENATE(Worksheet!CR308," х ",Worksheet!CP308," х ",Worksheet!CT308),"")</f>
        <v>1000 х 700 х 245</v>
      </c>
      <c r="P312" t="str">
        <f>IF(Worksheet!CS308&lt;&gt;"",CONCATENATE(Worksheet!CS308," х ",Worksheet!CU308," х ",Worksheet!CQ308),"")</f>
        <v>1230 х 300 х 830</v>
      </c>
      <c r="Q312" t="str">
        <f>IF(Worksheet!CV308&lt;&gt;"",CONCATENATE(Worksheet!CV308," / ",Worksheet!CW308),"")</f>
        <v>32 / 37</v>
      </c>
      <c r="R312" t="str">
        <f>IF(Worksheet!BS308&lt;&gt;"",Worksheet!BS308,"")</f>
        <v>38/40/43/46</v>
      </c>
      <c r="S312" t="str">
        <f>IF(Worksheet!AL308&lt;&gt;"",Worksheet!AL308,"")</f>
        <v>HIGHLY</v>
      </c>
      <c r="T312" t="str">
        <f>IF(Worksheet!CJ308&lt;&gt;"",CONCATENATE(Worksheet!CJ308," х ",Worksheet!CL308," х ",Worksheet!CH308),"")</f>
        <v>825 х 310 х 655</v>
      </c>
      <c r="U312" t="str">
        <f>IF(Worksheet!CK308&lt;&gt;"",CONCATENATE(Worksheet!CK308," х ",Worksheet!CM308," х ",Worksheet!CI308),"")</f>
        <v>945 х 435 х 725</v>
      </c>
      <c r="V312" t="str">
        <f>IF(Worksheet!CN308&lt;&gt;"",CONCATENATE(Worksheet!CN308,"/",Worksheet!CO308),"")</f>
        <v>46/49</v>
      </c>
      <c r="W312" s="6"/>
      <c r="X312" s="7">
        <f>IF(Worksheet!AN308&lt;&gt;"",Worksheet!AN308,"")</f>
        <v>9.52</v>
      </c>
      <c r="Y312" s="7">
        <f>IF(Worksheet!AO308&lt;&gt;"",Worksheet!AO308,"")</f>
        <v>15.88</v>
      </c>
      <c r="Z312" s="17">
        <f>IF(Worksheet!Q308&lt;&gt;"",Worksheet!Q308,"")</f>
        <v>20</v>
      </c>
      <c r="AA312" s="17">
        <f>IF(Worksheet!R308&lt;&gt;"",Worksheet!R308,"")</f>
        <v>15</v>
      </c>
      <c r="AB312" t="str">
        <f>IF(Worksheet!X308&lt;&gt;"",CONCATENATE("от ",Worksheet!X308," до +",Worksheet!Y308),"")</f>
        <v>от -15 до +49</v>
      </c>
      <c r="AC312" t="str">
        <f>IF(Worksheet!Z308&lt;&gt;"",CONCATENATE("от ",Worksheet!Z308," до +",Worksheet!AA308),"")</f>
        <v>от -15 до +24</v>
      </c>
      <c r="AD312" s="6" t="s">
        <v>5245</v>
      </c>
      <c r="AE312" s="17"/>
    </row>
    <row r="313" spans="1:31" x14ac:dyDescent="0.25">
      <c r="A313" s="17" t="str">
        <f>IF(Worksheet!B309&lt;&gt;"",Worksheet!B309,"")</f>
        <v>QUATTROCLIMA</v>
      </c>
      <c r="B313" t="str">
        <f>Worksheet!E309</f>
        <v>Канальные</v>
      </c>
      <c r="C313">
        <f>IF(Worksheet!M309&lt;&gt;"",Worksheet!M309,"")</f>
        <v>10.55</v>
      </c>
      <c r="D313">
        <f t="shared" si="12"/>
        <v>106</v>
      </c>
      <c r="E313" t="str">
        <f>IF(Worksheet!L309&lt;&gt;"",IF(Worksheet!L309="Y","да","нет"),"")</f>
        <v>нет</v>
      </c>
      <c r="F313">
        <f>IF(Worksheet!N309&lt;&gt;"",Worksheet!N309,"")</f>
        <v>11.7</v>
      </c>
      <c r="G313">
        <f>IF(Worksheet!O309&lt;&gt;"",Worksheet!O309,"")</f>
        <v>3.5</v>
      </c>
      <c r="H313">
        <f>IF(Worksheet!P309&lt;&gt;"",Worksheet!P309,"")</f>
        <v>3.43</v>
      </c>
      <c r="I313" s="6"/>
      <c r="J313" s="6"/>
      <c r="K313" t="str">
        <f>IF(Worksheet!BI309&lt;&gt;"",Worksheet!BI309,"")</f>
        <v>3 / 380 / 50</v>
      </c>
      <c r="L313" t="str">
        <f>IF(Worksheet!AU309&lt;&gt;"",Worksheet!AU309,"")</f>
        <v>R410A</v>
      </c>
      <c r="M313" s="6"/>
      <c r="N313" s="6"/>
      <c r="O313" t="str">
        <f>IF(Worksheet!CR309&lt;&gt;"",CONCATENATE(Worksheet!CR309," х ",Worksheet!CP309," х ",Worksheet!CT309),"")</f>
        <v>1000 х 245 х 700</v>
      </c>
      <c r="P313" t="str">
        <f>IF(Worksheet!CS309&lt;&gt;"",CONCATENATE(Worksheet!CS309," х ",Worksheet!CU309," х ",Worksheet!CQ309),"")</f>
        <v>1230 х 830 х 300</v>
      </c>
      <c r="Q313" t="str">
        <f>IF(Worksheet!CV309&lt;&gt;"",CONCATENATE(Worksheet!CV309," / ",Worksheet!CW309),"")</f>
        <v>32 / 37</v>
      </c>
      <c r="R313" t="str">
        <f>IF(Worksheet!BS309&lt;&gt;"",Worksheet!BS309,"")</f>
        <v>37/40/45/48</v>
      </c>
      <c r="S313" t="str">
        <f>IF(Worksheet!AL309&lt;&gt;"",Worksheet!AL309,"")</f>
        <v>Gree</v>
      </c>
      <c r="T313" t="str">
        <f>IF(Worksheet!CJ309&lt;&gt;"",CONCATENATE(Worksheet!CJ309," х ",Worksheet!CL309," х ",Worksheet!CH309),"")</f>
        <v>970 х 395 х 805</v>
      </c>
      <c r="U313" t="str">
        <f>IF(Worksheet!CK309&lt;&gt;"",CONCATENATE(Worksheet!CK309," х ",Worksheet!CM309," х ",Worksheet!CI309),"")</f>
        <v>1105 х 495 х 890</v>
      </c>
      <c r="V313" t="str">
        <f>IF(Worksheet!CN309&lt;&gt;"",CONCATENATE(Worksheet!CN309,"/",Worksheet!CO309),"")</f>
        <v>64/68</v>
      </c>
      <c r="W313" s="6"/>
      <c r="X313" s="7">
        <f>IF(Worksheet!AN309&lt;&gt;"",Worksheet!AN309,"")</f>
        <v>9.52</v>
      </c>
      <c r="Y313" s="7">
        <f>IF(Worksheet!AO309&lt;&gt;"",Worksheet!AO309,"")</f>
        <v>15.88</v>
      </c>
      <c r="Z313" s="17">
        <f>IF(Worksheet!Q309&lt;&gt;"",Worksheet!Q309,"")</f>
        <v>30</v>
      </c>
      <c r="AA313" s="17">
        <f>IF(Worksheet!R309&lt;&gt;"",Worksheet!R309,"")</f>
        <v>20</v>
      </c>
      <c r="AB313" t="str">
        <f>IF(Worksheet!X309&lt;&gt;"",CONCATENATE("от ",Worksheet!X309," до +",Worksheet!Y309),"")</f>
        <v>от -15 до +49</v>
      </c>
      <c r="AC313" t="str">
        <f>IF(Worksheet!Z309&lt;&gt;"",CONCATENATE("от ",Worksheet!Z309," до +",Worksheet!AA309),"")</f>
        <v>от -15 до +24</v>
      </c>
      <c r="AD313" s="6" t="s">
        <v>5245</v>
      </c>
      <c r="AE313" s="17"/>
    </row>
    <row r="314" spans="1:31" x14ac:dyDescent="0.25">
      <c r="A314" s="17" t="str">
        <f>IF(Worksheet!B310&lt;&gt;"",Worksheet!B310,"")</f>
        <v>QUATTROCLIMA</v>
      </c>
      <c r="B314" t="str">
        <f>Worksheet!E310</f>
        <v>Канальные</v>
      </c>
      <c r="C314">
        <f>IF(Worksheet!M310&lt;&gt;"",Worksheet!M310,"")</f>
        <v>14.07</v>
      </c>
      <c r="D314">
        <f t="shared" si="12"/>
        <v>141</v>
      </c>
      <c r="E314" t="str">
        <f>IF(Worksheet!L310&lt;&gt;"",IF(Worksheet!L310="Y","да","нет"),"")</f>
        <v>нет</v>
      </c>
      <c r="F314">
        <f>IF(Worksheet!N310&lt;&gt;"",Worksheet!N310,"")</f>
        <v>15.24</v>
      </c>
      <c r="G314">
        <f>IF(Worksheet!O310&lt;&gt;"",Worksheet!O310,"")</f>
        <v>4.68</v>
      </c>
      <c r="H314">
        <f>IF(Worksheet!P310&lt;&gt;"",Worksheet!P310,"")</f>
        <v>4.42</v>
      </c>
      <c r="I314" s="6"/>
      <c r="J314" s="6"/>
      <c r="K314" t="str">
        <f>IF(Worksheet!BI310&lt;&gt;"",Worksheet!BI310,"")</f>
        <v>3 / 380 / 50</v>
      </c>
      <c r="L314" t="str">
        <f>IF(Worksheet!AU310&lt;&gt;"",Worksheet!AU310,"")</f>
        <v>R410A</v>
      </c>
      <c r="M314" s="6"/>
      <c r="N314" s="6"/>
      <c r="O314" t="str">
        <f>IF(Worksheet!CR310&lt;&gt;"",CONCATENATE(Worksheet!CR310," х ",Worksheet!CP310," х ",Worksheet!CT310),"")</f>
        <v>1400 х 700 х 245</v>
      </c>
      <c r="P314" t="str">
        <f>IF(Worksheet!CS310&lt;&gt;"",CONCATENATE(Worksheet!CS310," х ",Worksheet!CU310," х ",Worksheet!CQ310),"")</f>
        <v>1630 х 300 х 830</v>
      </c>
      <c r="Q314" t="str">
        <f>IF(Worksheet!CV310&lt;&gt;"",CONCATENATE(Worksheet!CV310," / ",Worksheet!CW310),"")</f>
        <v>42 / 48</v>
      </c>
      <c r="R314" t="str">
        <f>IF(Worksheet!BS310&lt;&gt;"",Worksheet!BS310,"")</f>
        <v>41/44/47/50</v>
      </c>
      <c r="S314" t="str">
        <f>IF(Worksheet!AL310&lt;&gt;"",Worksheet!AL310,"")</f>
        <v>GMCC</v>
      </c>
      <c r="T314" t="str">
        <f>IF(Worksheet!CJ310&lt;&gt;"",CONCATENATE(Worksheet!CJ310," х ",Worksheet!CL310," х ",Worksheet!CH310),"")</f>
        <v>940 х 340 х 1320</v>
      </c>
      <c r="U314" t="str">
        <f>IF(Worksheet!CK310&lt;&gt;"",CONCATENATE(Worksheet!CK310," х ",Worksheet!CM310," х ",Worksheet!CI310),"")</f>
        <v>1080 х 430 х 1440</v>
      </c>
      <c r="V314" t="str">
        <f>IF(Worksheet!CN310&lt;&gt;"",CONCATENATE(Worksheet!CN310,"/",Worksheet!CO310),"")</f>
        <v>85/94</v>
      </c>
      <c r="W314" s="6"/>
      <c r="X314" s="7">
        <f>IF(Worksheet!AN310&lt;&gt;"",Worksheet!AN310,"")</f>
        <v>9.52</v>
      </c>
      <c r="Y314" s="7">
        <f>IF(Worksheet!AO310&lt;&gt;"",Worksheet!AO310,"")</f>
        <v>19.05</v>
      </c>
      <c r="Z314" s="17">
        <f>IF(Worksheet!Q310&lt;&gt;"",Worksheet!Q310,"")</f>
        <v>50</v>
      </c>
      <c r="AA314" s="17">
        <f>IF(Worksheet!R310&lt;&gt;"",Worksheet!R310,"")</f>
        <v>30</v>
      </c>
      <c r="AB314" t="str">
        <f>IF(Worksheet!X310&lt;&gt;"",CONCATENATE("от ",Worksheet!X310," до +",Worksheet!Y310),"")</f>
        <v>от -15 до +49</v>
      </c>
      <c r="AC314" t="str">
        <f>IF(Worksheet!Z310&lt;&gt;"",CONCATENATE("от ",Worksheet!Z310," до +",Worksheet!AA310),"")</f>
        <v>от -15 до +24</v>
      </c>
      <c r="AD314" s="6" t="s">
        <v>5245</v>
      </c>
      <c r="AE314" s="17"/>
    </row>
    <row r="315" spans="1:31" x14ac:dyDescent="0.25">
      <c r="A315" s="17" t="str">
        <f>IF(Worksheet!B311&lt;&gt;"",Worksheet!B311,"")</f>
        <v>QUATTROCLIMA</v>
      </c>
      <c r="B315" t="str">
        <f>Worksheet!E311</f>
        <v>Канальные</v>
      </c>
      <c r="C315">
        <f>IF(Worksheet!M311&lt;&gt;"",Worksheet!M311,"")</f>
        <v>16.12</v>
      </c>
      <c r="D315">
        <f t="shared" si="12"/>
        <v>161</v>
      </c>
      <c r="E315" t="str">
        <f>IF(Worksheet!L311&lt;&gt;"",IF(Worksheet!L311="Y","да","нет"),"")</f>
        <v>нет</v>
      </c>
      <c r="F315">
        <f>IF(Worksheet!N311&lt;&gt;"",Worksheet!N311,"")</f>
        <v>17.600000000000001</v>
      </c>
      <c r="G315">
        <f>IF(Worksheet!O311&lt;&gt;"",Worksheet!O311,"")</f>
        <v>5.55</v>
      </c>
      <c r="H315">
        <f>IF(Worksheet!P311&lt;&gt;"",Worksheet!P311,"")</f>
        <v>5.01</v>
      </c>
      <c r="I315" s="6"/>
      <c r="J315" s="6"/>
      <c r="K315" t="str">
        <f>IF(Worksheet!BI311&lt;&gt;"",Worksheet!BI311,"")</f>
        <v>3 / 380 / 50</v>
      </c>
      <c r="L315" t="str">
        <f>IF(Worksheet!AU311&lt;&gt;"",Worksheet!AU311,"")</f>
        <v>R410A</v>
      </c>
      <c r="M315" s="6"/>
      <c r="N315" s="6"/>
      <c r="O315" t="str">
        <f>IF(Worksheet!CR311&lt;&gt;"",CONCATENATE(Worksheet!CR311," х ",Worksheet!CP311," х ",Worksheet!CT311),"")</f>
        <v>1400 х 700 х 245</v>
      </c>
      <c r="P315" t="str">
        <f>IF(Worksheet!CS311&lt;&gt;"",CONCATENATE(Worksheet!CS311," х ",Worksheet!CU311," х ",Worksheet!CQ311),"")</f>
        <v>1630 х 300 х 830</v>
      </c>
      <c r="Q315" t="str">
        <f>IF(Worksheet!CV311&lt;&gt;"",CONCATENATE(Worksheet!CV311," / ",Worksheet!CW311),"")</f>
        <v>42 / 48</v>
      </c>
      <c r="R315" t="str">
        <f>IF(Worksheet!BS311&lt;&gt;"",Worksheet!BS311,"")</f>
        <v>41/44/47/50</v>
      </c>
      <c r="S315" t="str">
        <f>IF(Worksheet!AL311&lt;&gt;"",Worksheet!AL311,"")</f>
        <v>GMCC</v>
      </c>
      <c r="T315" t="str">
        <f>IF(Worksheet!CJ311&lt;&gt;"",CONCATENATE(Worksheet!CJ311," х ",Worksheet!CL311," х ",Worksheet!CH311),"")</f>
        <v>940 х 340 х 1320</v>
      </c>
      <c r="U315" t="str">
        <f>IF(Worksheet!CK311&lt;&gt;"",CONCATENATE(Worksheet!CK311," х ",Worksheet!CM311," х ",Worksheet!CI311),"")</f>
        <v>1080 х 430 х 1440</v>
      </c>
      <c r="V315" t="str">
        <f>IF(Worksheet!CN311&lt;&gt;"",CONCATENATE(Worksheet!CN311,"/",Worksheet!CO311),"")</f>
        <v>91/100</v>
      </c>
      <c r="W315" s="6"/>
      <c r="X315" s="7">
        <f>IF(Worksheet!AN311&lt;&gt;"",Worksheet!AN311,"")</f>
        <v>9.52</v>
      </c>
      <c r="Y315" s="7">
        <f>IF(Worksheet!AO311&lt;&gt;"",Worksheet!AO311,"")</f>
        <v>19.05</v>
      </c>
      <c r="Z315" s="17">
        <f>IF(Worksheet!Q311&lt;&gt;"",Worksheet!Q311,"")</f>
        <v>50</v>
      </c>
      <c r="AA315" s="17">
        <f>IF(Worksheet!R311&lt;&gt;"",Worksheet!R311,"")</f>
        <v>30</v>
      </c>
      <c r="AB315" t="str">
        <f>IF(Worksheet!X311&lt;&gt;"",CONCATENATE("от ",Worksheet!X311," до +",Worksheet!Y311),"")</f>
        <v>от -15 до +49</v>
      </c>
      <c r="AC315" t="str">
        <f>IF(Worksheet!Z311&lt;&gt;"",CONCATENATE("от ",Worksheet!Z311," до +",Worksheet!AA311),"")</f>
        <v>от -15 до +24</v>
      </c>
      <c r="AD315" s="6" t="s">
        <v>5245</v>
      </c>
      <c r="AE315" s="17"/>
    </row>
    <row r="316" spans="1:31" x14ac:dyDescent="0.25">
      <c r="A316" s="17" t="str">
        <f>IF(Worksheet!B312&lt;&gt;"",Worksheet!B312,"")</f>
        <v>QUATTROCLIMA</v>
      </c>
      <c r="B316" t="str">
        <f>Worksheet!E312</f>
        <v>Кассетные</v>
      </c>
      <c r="C316">
        <f>IF(Worksheet!M312&lt;&gt;"",Worksheet!M312,"")</f>
        <v>3.52</v>
      </c>
      <c r="D316">
        <f t="shared" si="12"/>
        <v>35</v>
      </c>
      <c r="E316" t="str">
        <f>IF(Worksheet!L312&lt;&gt;"",IF(Worksheet!L312="Y","да","нет"),"")</f>
        <v>нет</v>
      </c>
      <c r="F316">
        <f>IF(Worksheet!N312&lt;&gt;"",Worksheet!N312,"")</f>
        <v>3.96</v>
      </c>
      <c r="G316">
        <f>IF(Worksheet!O312&lt;&gt;"",Worksheet!O312,"")</f>
        <v>1.1599999999999999</v>
      </c>
      <c r="H316">
        <f>IF(Worksheet!P312&lt;&gt;"",Worksheet!P312,"")</f>
        <v>1.22</v>
      </c>
      <c r="I316" s="6"/>
      <c r="J316" s="6"/>
      <c r="K316" t="str">
        <f>IF(Worksheet!BI312&lt;&gt;"",Worksheet!BI312,"")</f>
        <v>1 / 220 / 50</v>
      </c>
      <c r="L316" t="str">
        <f>IF(Worksheet!AU312&lt;&gt;"",Worksheet!AU312,"")</f>
        <v>R410A</v>
      </c>
      <c r="M316" s="6"/>
      <c r="N316" s="6"/>
      <c r="O316" t="str">
        <f>IF(Worksheet!CR312&lt;&gt;"",CONCATENATE(Worksheet!CR312," х ",Worksheet!CP312," х ",Worksheet!CT312),"")</f>
        <v>650 х 55 х 650</v>
      </c>
      <c r="P316" t="str">
        <f>IF(Worksheet!CS312&lt;&gt;"",CONCATENATE(Worksheet!CS312," х ",Worksheet!CU312," х ",Worksheet!CQ312),"")</f>
        <v>710 х 710 х 80</v>
      </c>
      <c r="Q316" t="str">
        <f>IF(Worksheet!CV312&lt;&gt;"",CONCATENATE(Worksheet!CV312," / ",Worksheet!CW312),"")</f>
        <v>2.2 / 3.7</v>
      </c>
      <c r="R316" t="str">
        <f>IF(Worksheet!BS312&lt;&gt;"",Worksheet!BS312,"")</f>
        <v>39/41/46</v>
      </c>
      <c r="S316" t="str">
        <f>IF(Worksheet!AL312&lt;&gt;"",Worksheet!AL312,"")</f>
        <v>Gree</v>
      </c>
      <c r="T316" t="str">
        <f>IF(Worksheet!CJ312&lt;&gt;"",CONCATENATE(Worksheet!CJ312," х ",Worksheet!CL312," х ",Worksheet!CH312),"")</f>
        <v>730 х 285 х 545</v>
      </c>
      <c r="U316" t="str">
        <f>IF(Worksheet!CK312&lt;&gt;"",CONCATENATE(Worksheet!CK312," х ",Worksheet!CM312," х ",Worksheet!CI312),"")</f>
        <v>845 х 370 х 620</v>
      </c>
      <c r="V316" t="str">
        <f>IF(Worksheet!CN312&lt;&gt;"",CONCATENATE(Worksheet!CN312,"/",Worksheet!CO312),"")</f>
        <v>28/31.5</v>
      </c>
      <c r="W316" s="6"/>
      <c r="X316" s="7">
        <f>IF(Worksheet!AN312&lt;&gt;"",Worksheet!AN312,"")</f>
        <v>6.35</v>
      </c>
      <c r="Y316" s="7">
        <f>IF(Worksheet!AO312&lt;&gt;"",Worksheet!AO312,"")</f>
        <v>12.7</v>
      </c>
      <c r="Z316" s="17">
        <f>IF(Worksheet!Q312&lt;&gt;"",Worksheet!Q312,"")</f>
        <v>15</v>
      </c>
      <c r="AA316" s="17">
        <f>IF(Worksheet!R312&lt;&gt;"",Worksheet!R312,"")</f>
        <v>10</v>
      </c>
      <c r="AB316" t="str">
        <f>IF(Worksheet!X312&lt;&gt;"",CONCATENATE("от ",Worksheet!X312," до +",Worksheet!Y312),"")</f>
        <v>от -15 до +49</v>
      </c>
      <c r="AC316" t="str">
        <f>IF(Worksheet!Z312&lt;&gt;"",CONCATENATE("от ",Worksheet!Z312," до +",Worksheet!AA312),"")</f>
        <v>от -15 до +24</v>
      </c>
      <c r="AD316" s="6" t="s">
        <v>5245</v>
      </c>
      <c r="AE316" s="17"/>
    </row>
    <row r="317" spans="1:31" x14ac:dyDescent="0.25">
      <c r="A317" s="17" t="str">
        <f>IF(Worksheet!B313&lt;&gt;"",Worksheet!B313,"")</f>
        <v>QUATTROCLIMA</v>
      </c>
      <c r="B317" t="str">
        <f>Worksheet!E313</f>
        <v>Кассетные</v>
      </c>
      <c r="C317">
        <f>IF(Worksheet!M313&lt;&gt;"",Worksheet!M313,"")</f>
        <v>5.28</v>
      </c>
      <c r="D317">
        <f t="shared" si="12"/>
        <v>53</v>
      </c>
      <c r="E317" t="str">
        <f>IF(Worksheet!L313&lt;&gt;"",IF(Worksheet!L313="Y","да","нет"),"")</f>
        <v>нет</v>
      </c>
      <c r="F317">
        <f>IF(Worksheet!N313&lt;&gt;"",Worksheet!N313,"")</f>
        <v>5.6</v>
      </c>
      <c r="G317">
        <f>IF(Worksheet!O313&lt;&gt;"",Worksheet!O313,"")</f>
        <v>1.7</v>
      </c>
      <c r="H317">
        <f>IF(Worksheet!P313&lt;&gt;"",Worksheet!P313,"")</f>
        <v>1.64</v>
      </c>
      <c r="I317" s="6"/>
      <c r="J317" s="6"/>
      <c r="K317" t="str">
        <f>IF(Worksheet!BI313&lt;&gt;"",Worksheet!BI313,"")</f>
        <v>1 / 220 / 50</v>
      </c>
      <c r="L317" t="str">
        <f>IF(Worksheet!AU313&lt;&gt;"",Worksheet!AU313,"")</f>
        <v>R410A</v>
      </c>
      <c r="M317" s="6"/>
      <c r="N317" s="6"/>
      <c r="O317" t="str">
        <f>IF(Worksheet!CR313&lt;&gt;"",CONCATENATE(Worksheet!CR313," х ",Worksheet!CP313," х ",Worksheet!CT313),"")</f>
        <v>650 х 55 х 650</v>
      </c>
      <c r="P317" t="str">
        <f>IF(Worksheet!CS313&lt;&gt;"",CONCATENATE(Worksheet!CS313," х ",Worksheet!CU313," х ",Worksheet!CQ313),"")</f>
        <v>710 х 710 х 80</v>
      </c>
      <c r="Q317" t="str">
        <f>IF(Worksheet!CV313&lt;&gt;"",CONCATENATE(Worksheet!CV313," / ",Worksheet!CW313),"")</f>
        <v>2.2 / 3.7</v>
      </c>
      <c r="R317" t="str">
        <f>IF(Worksheet!BS313&lt;&gt;"",Worksheet!BS313,"")</f>
        <v>32/40/45</v>
      </c>
      <c r="S317" t="str">
        <f>IF(Worksheet!AL313&lt;&gt;"",Worksheet!AL313,"")</f>
        <v>HIGHLY</v>
      </c>
      <c r="T317" t="str">
        <f>IF(Worksheet!CJ313&lt;&gt;"",CONCATENATE(Worksheet!CJ313," х ",Worksheet!CL313," х ",Worksheet!CH313),"")</f>
        <v>800 х 315 х 545</v>
      </c>
      <c r="U317" t="str">
        <f>IF(Worksheet!CK313&lt;&gt;"",CONCATENATE(Worksheet!CK313," х ",Worksheet!CM313," х ",Worksheet!CI313),"")</f>
        <v>920 х 400 х 620</v>
      </c>
      <c r="V317" t="str">
        <f>IF(Worksheet!CN313&lt;&gt;"",CONCATENATE(Worksheet!CN313,"/",Worksheet!CO313),"")</f>
        <v>42/45</v>
      </c>
      <c r="W317" s="6"/>
      <c r="X317" s="7">
        <f>IF(Worksheet!AN313&lt;&gt;"",Worksheet!AN313,"")</f>
        <v>6.35</v>
      </c>
      <c r="Y317" s="7">
        <f>IF(Worksheet!AO313&lt;&gt;"",Worksheet!AO313,"")</f>
        <v>12.7</v>
      </c>
      <c r="Z317" s="17">
        <f>IF(Worksheet!Q313&lt;&gt;"",Worksheet!Q313,"")</f>
        <v>20</v>
      </c>
      <c r="AA317" s="17">
        <f>IF(Worksheet!R313&lt;&gt;"",Worksheet!R313,"")</f>
        <v>15</v>
      </c>
      <c r="AB317" t="str">
        <f>IF(Worksheet!X313&lt;&gt;"",CONCATENATE("от ",Worksheet!X313," до +",Worksheet!Y313),"")</f>
        <v>от -15 до +49</v>
      </c>
      <c r="AC317" t="str">
        <f>IF(Worksheet!Z313&lt;&gt;"",CONCATENATE("от ",Worksheet!Z313," до +",Worksheet!AA313),"")</f>
        <v>от -15 до +24</v>
      </c>
      <c r="AD317" s="6" t="s">
        <v>5245</v>
      </c>
      <c r="AE317" s="17"/>
    </row>
    <row r="318" spans="1:31" x14ac:dyDescent="0.25">
      <c r="A318" s="17" t="str">
        <f>IF(Worksheet!B314&lt;&gt;"",Worksheet!B314,"")</f>
        <v>QUATTROCLIMA</v>
      </c>
      <c r="B318" t="str">
        <f>Worksheet!E314</f>
        <v>Кассетные</v>
      </c>
      <c r="C318">
        <f>IF(Worksheet!M314&lt;&gt;"",Worksheet!M314,"")</f>
        <v>7.03</v>
      </c>
      <c r="D318">
        <f t="shared" si="12"/>
        <v>70</v>
      </c>
      <c r="E318" t="str">
        <f>IF(Worksheet!L314&lt;&gt;"",IF(Worksheet!L314="Y","да","нет"),"")</f>
        <v>нет</v>
      </c>
      <c r="F318">
        <f>IF(Worksheet!N314&lt;&gt;"",Worksheet!N314,"")</f>
        <v>7.88</v>
      </c>
      <c r="G318">
        <f>IF(Worksheet!O314&lt;&gt;"",Worksheet!O314,"")</f>
        <v>2.2599999999999998</v>
      </c>
      <c r="H318">
        <f>IF(Worksheet!P314&lt;&gt;"",Worksheet!P314,"")</f>
        <v>2.31</v>
      </c>
      <c r="I318" s="6"/>
      <c r="J318" s="6"/>
      <c r="K318" t="str">
        <f>IF(Worksheet!BI314&lt;&gt;"",Worksheet!BI314,"")</f>
        <v>1 / 220 / 50</v>
      </c>
      <c r="L318" t="str">
        <f>IF(Worksheet!AU314&lt;&gt;"",Worksheet!AU314,"")</f>
        <v>R410A</v>
      </c>
      <c r="M318" s="6"/>
      <c r="N318" s="6"/>
      <c r="O318" t="str">
        <f>IF(Worksheet!CR314&lt;&gt;"",CONCATENATE(Worksheet!CR314," х ",Worksheet!CP314," х ",Worksheet!CT314),"")</f>
        <v/>
      </c>
      <c r="P318" t="str">
        <f>IF(Worksheet!CS314&lt;&gt;"",CONCATENATE(Worksheet!CS314," х ",Worksheet!CU314," х ",Worksheet!CQ314),"")</f>
        <v/>
      </c>
      <c r="Q318" t="str">
        <f>IF(Worksheet!CV314&lt;&gt;"",CONCATENATE(Worksheet!CV314," / ",Worksheet!CW314),"")</f>
        <v/>
      </c>
      <c r="R318" t="str">
        <f>IF(Worksheet!BS314&lt;&gt;"",Worksheet!BS314,"")</f>
        <v>36/42/45</v>
      </c>
      <c r="S318" t="str">
        <f>IF(Worksheet!AL314&lt;&gt;"",Worksheet!AL314,"")</f>
        <v>HIGHLY</v>
      </c>
      <c r="T318" t="str">
        <f>IF(Worksheet!CJ314&lt;&gt;"",CONCATENATE(Worksheet!CJ314," х ",Worksheet!CL314," х ",Worksheet!CH314),"")</f>
        <v>825 х 310 х 655</v>
      </c>
      <c r="U318" t="str">
        <f>IF(Worksheet!CK314&lt;&gt;"",CONCATENATE(Worksheet!CK314," х ",Worksheet!CM314," х ",Worksheet!CI314),"")</f>
        <v>945 х 435 х 725</v>
      </c>
      <c r="V318" t="str">
        <f>IF(Worksheet!CN314&lt;&gt;"",CONCATENATE(Worksheet!CN314,"/",Worksheet!CO314),"")</f>
        <v>53/56</v>
      </c>
      <c r="W318" s="6"/>
      <c r="X318" s="7">
        <f>IF(Worksheet!AN314&lt;&gt;"",Worksheet!AN314,"")</f>
        <v>9.52</v>
      </c>
      <c r="Y318" s="7">
        <f>IF(Worksheet!AO314&lt;&gt;"",Worksheet!AO314,"")</f>
        <v>15.88</v>
      </c>
      <c r="Z318" s="17">
        <f>IF(Worksheet!Q314&lt;&gt;"",Worksheet!Q314,"")</f>
        <v>20</v>
      </c>
      <c r="AA318" s="17">
        <f>IF(Worksheet!R314&lt;&gt;"",Worksheet!R314,"")</f>
        <v>15</v>
      </c>
      <c r="AB318" t="str">
        <f>IF(Worksheet!X314&lt;&gt;"",CONCATENATE("от ",Worksheet!X314," до +",Worksheet!Y314),"")</f>
        <v>от -15 до +49</v>
      </c>
      <c r="AC318" t="str">
        <f>IF(Worksheet!Z314&lt;&gt;"",CONCATENATE("от ",Worksheet!Z314," до +",Worksheet!AA314),"")</f>
        <v>от -15 до +24</v>
      </c>
      <c r="AD318" s="6" t="s">
        <v>5245</v>
      </c>
      <c r="AE318" s="17"/>
    </row>
    <row r="319" spans="1:31" x14ac:dyDescent="0.25">
      <c r="A319" s="17" t="str">
        <f>IF(Worksheet!B315&lt;&gt;"",Worksheet!B315,"")</f>
        <v>QUATTROCLIMA</v>
      </c>
      <c r="B319" t="str">
        <f>Worksheet!E315</f>
        <v>Кассетные</v>
      </c>
      <c r="C319">
        <f>IF(Worksheet!M315&lt;&gt;"",Worksheet!M315,"")</f>
        <v>10.6</v>
      </c>
      <c r="D319">
        <f t="shared" si="12"/>
        <v>106</v>
      </c>
      <c r="E319" t="str">
        <f>IF(Worksheet!L315&lt;&gt;"",IF(Worksheet!L315="Y","да","нет"),"")</f>
        <v>нет</v>
      </c>
      <c r="F319">
        <f>IF(Worksheet!N315&lt;&gt;"",Worksheet!N315,"")</f>
        <v>11.7</v>
      </c>
      <c r="G319">
        <f>IF(Worksheet!O315&lt;&gt;"",Worksheet!O315,"")</f>
        <v>3.77</v>
      </c>
      <c r="H319">
        <f>IF(Worksheet!P315&lt;&gt;"",Worksheet!P315,"")</f>
        <v>3.5</v>
      </c>
      <c r="I319" s="6"/>
      <c r="J319" s="6"/>
      <c r="K319" t="str">
        <f>IF(Worksheet!BI315&lt;&gt;"",Worksheet!BI315,"")</f>
        <v>3 / 380 / 50</v>
      </c>
      <c r="L319" t="str">
        <f>IF(Worksheet!AU315&lt;&gt;"",Worksheet!AU315,"")</f>
        <v>R410A</v>
      </c>
      <c r="M319" s="6"/>
      <c r="N319" s="6"/>
      <c r="O319" t="str">
        <f>IF(Worksheet!CR315&lt;&gt;"",CONCATENATE(Worksheet!CR315," х ",Worksheet!CP315," х ",Worksheet!CT315),"")</f>
        <v/>
      </c>
      <c r="P319" t="str">
        <f>IF(Worksheet!CS315&lt;&gt;"",CONCATENATE(Worksheet!CS315," х ",Worksheet!CU315," х ",Worksheet!CQ315),"")</f>
        <v/>
      </c>
      <c r="Q319" t="str">
        <f>IF(Worksheet!CV315&lt;&gt;"",CONCATENATE(Worksheet!CV315," / ",Worksheet!CW315),"")</f>
        <v/>
      </c>
      <c r="R319" t="str">
        <f>IF(Worksheet!BS315&lt;&gt;"",Worksheet!BS315,"")</f>
        <v>39/45/48</v>
      </c>
      <c r="S319" t="str">
        <f>IF(Worksheet!AL315&lt;&gt;"",Worksheet!AL315,"")</f>
        <v>HIGHLY</v>
      </c>
      <c r="T319" t="str">
        <f>IF(Worksheet!CJ315&lt;&gt;"",CONCATENATE(Worksheet!CJ315," х ",Worksheet!CL315," х ",Worksheet!CH315),"")</f>
        <v>970 х 395 х 805</v>
      </c>
      <c r="U319" t="str">
        <f>IF(Worksheet!CK315&lt;&gt;"",CONCATENATE(Worksheet!CK315," х ",Worksheet!CM315," х ",Worksheet!CI315),"")</f>
        <v>1105 х 495 х 895</v>
      </c>
      <c r="V319" t="str">
        <f>IF(Worksheet!CN315&lt;&gt;"",CONCATENATE(Worksheet!CN315,"/",Worksheet!CO315),"")</f>
        <v>65/75</v>
      </c>
      <c r="W319" s="6"/>
      <c r="X319" s="7">
        <f>IF(Worksheet!AN315&lt;&gt;"",Worksheet!AN315,"")</f>
        <v>9.52</v>
      </c>
      <c r="Y319" s="7">
        <f>IF(Worksheet!AO315&lt;&gt;"",Worksheet!AO315,"")</f>
        <v>15.88</v>
      </c>
      <c r="Z319" s="17">
        <f>IF(Worksheet!Q315&lt;&gt;"",Worksheet!Q315,"")</f>
        <v>30</v>
      </c>
      <c r="AA319" s="17">
        <f>IF(Worksheet!R315&lt;&gt;"",Worksheet!R315,"")</f>
        <v>20</v>
      </c>
      <c r="AB319" t="str">
        <f>IF(Worksheet!X315&lt;&gt;"",CONCATENATE("от ",Worksheet!X315," до +",Worksheet!Y315),"")</f>
        <v>от -15 до +49</v>
      </c>
      <c r="AC319" t="str">
        <f>IF(Worksheet!Z315&lt;&gt;"",CONCATENATE("от ",Worksheet!Z315," до +",Worksheet!AA315),"")</f>
        <v>от -15 до +24</v>
      </c>
      <c r="AD319" s="6" t="s">
        <v>5245</v>
      </c>
      <c r="AE319" s="17"/>
    </row>
    <row r="320" spans="1:31" x14ac:dyDescent="0.25">
      <c r="A320" s="17" t="str">
        <f>IF(Worksheet!B316&lt;&gt;"",Worksheet!B316,"")</f>
        <v>QUATTROCLIMA</v>
      </c>
      <c r="B320" t="str">
        <f>Worksheet!E316</f>
        <v>Кассетные</v>
      </c>
      <c r="C320">
        <f>IF(Worksheet!M316&lt;&gt;"",Worksheet!M316,"")</f>
        <v>14.07</v>
      </c>
      <c r="D320">
        <f t="shared" si="12"/>
        <v>141</v>
      </c>
      <c r="E320" t="str">
        <f>IF(Worksheet!L316&lt;&gt;"",IF(Worksheet!L316="Y","да","нет"),"")</f>
        <v>нет</v>
      </c>
      <c r="F320">
        <f>IF(Worksheet!N316&lt;&gt;"",Worksheet!N316,"")</f>
        <v>15.55</v>
      </c>
      <c r="G320">
        <f>IF(Worksheet!O316&lt;&gt;"",Worksheet!O316,"")</f>
        <v>4.8499999999999996</v>
      </c>
      <c r="H320">
        <f>IF(Worksheet!P316&lt;&gt;"",Worksheet!P316,"")</f>
        <v>4.8</v>
      </c>
      <c r="I320" s="6"/>
      <c r="J320" s="6"/>
      <c r="K320" t="str">
        <f>IF(Worksheet!BI316&lt;&gt;"",Worksheet!BI316,"")</f>
        <v>3 / 380 / 50</v>
      </c>
      <c r="L320" t="str">
        <f>IF(Worksheet!AU316&lt;&gt;"",Worksheet!AU316,"")</f>
        <v>R410A</v>
      </c>
      <c r="M320" s="6"/>
      <c r="N320" s="6"/>
      <c r="O320" t="str">
        <f>IF(Worksheet!CR316&lt;&gt;"",CONCATENATE(Worksheet!CR316," х ",Worksheet!CP316," х ",Worksheet!CT316),"")</f>
        <v/>
      </c>
      <c r="P320" t="str">
        <f>IF(Worksheet!CS316&lt;&gt;"",CONCATENATE(Worksheet!CS316," х ",Worksheet!CU316," х ",Worksheet!CQ316),"")</f>
        <v/>
      </c>
      <c r="Q320" t="str">
        <f>IF(Worksheet!CV316&lt;&gt;"",CONCATENATE(Worksheet!CV316," / ",Worksheet!CW316),"")</f>
        <v/>
      </c>
      <c r="R320" t="str">
        <f>IF(Worksheet!BS316&lt;&gt;"",Worksheet!BS316,"")</f>
        <v>47/51/53</v>
      </c>
      <c r="S320" t="str">
        <f>IF(Worksheet!AL316&lt;&gt;"",Worksheet!AL316,"")</f>
        <v>HIGHLY</v>
      </c>
      <c r="T320" t="str">
        <f>IF(Worksheet!CJ316&lt;&gt;"",CONCATENATE(Worksheet!CJ316," х ",Worksheet!CL316," х ",Worksheet!CH316),"")</f>
        <v>940 х 370 х 1325</v>
      </c>
      <c r="U320" t="str">
        <f>IF(Worksheet!CK316&lt;&gt;"",CONCATENATE(Worksheet!CK316," х ",Worksheet!CM316," х ",Worksheet!CI316),"")</f>
        <v>1080 х 430 х 1440</v>
      </c>
      <c r="V320" t="str">
        <f>IF(Worksheet!CN316&lt;&gt;"",CONCATENATE(Worksheet!CN316,"/",Worksheet!CO316),"")</f>
        <v>95/105</v>
      </c>
      <c r="W320" s="6"/>
      <c r="X320" s="7">
        <f>IF(Worksheet!AN316&lt;&gt;"",Worksheet!AN316,"")</f>
        <v>9.52</v>
      </c>
      <c r="Y320" s="7">
        <f>IF(Worksheet!AO316&lt;&gt;"",Worksheet!AO316,"")</f>
        <v>19.05</v>
      </c>
      <c r="Z320" s="17">
        <f>IF(Worksheet!Q316&lt;&gt;"",Worksheet!Q316,"")</f>
        <v>50</v>
      </c>
      <c r="AA320" s="17">
        <f>IF(Worksheet!R316&lt;&gt;"",Worksheet!R316,"")</f>
        <v>30</v>
      </c>
      <c r="AB320" t="str">
        <f>IF(Worksheet!X316&lt;&gt;"",CONCATENATE("от ",Worksheet!X316," до +",Worksheet!Y316),"")</f>
        <v>от -15 до +49</v>
      </c>
      <c r="AC320" t="str">
        <f>IF(Worksheet!Z316&lt;&gt;"",CONCATENATE("от ",Worksheet!Z316," до +",Worksheet!AA316),"")</f>
        <v>от -15 до +24</v>
      </c>
      <c r="AD320" s="6" t="s">
        <v>5245</v>
      </c>
      <c r="AE320" s="17"/>
    </row>
    <row r="321" spans="1:31" x14ac:dyDescent="0.25">
      <c r="A321" s="17" t="str">
        <f>IF(Worksheet!B317&lt;&gt;"",Worksheet!B317,"")</f>
        <v>QUATTROCLIMA</v>
      </c>
      <c r="B321" t="str">
        <f>Worksheet!E317</f>
        <v>Кассетные</v>
      </c>
      <c r="C321">
        <f>IF(Worksheet!M317&lt;&gt;"",Worksheet!M317,"")</f>
        <v>17.600000000000001</v>
      </c>
      <c r="D321">
        <f t="shared" si="12"/>
        <v>176</v>
      </c>
      <c r="E321" t="str">
        <f>IF(Worksheet!L317&lt;&gt;"",IF(Worksheet!L317="Y","да","нет"),"")</f>
        <v>нет</v>
      </c>
      <c r="F321">
        <f>IF(Worksheet!N317&lt;&gt;"",Worksheet!N317,"")</f>
        <v>18.5</v>
      </c>
      <c r="G321">
        <f>IF(Worksheet!O317&lt;&gt;"",Worksheet!O317,"")</f>
        <v>6.77</v>
      </c>
      <c r="H321">
        <f>IF(Worksheet!P317&lt;&gt;"",Worksheet!P317,"")</f>
        <v>5.78</v>
      </c>
      <c r="I321" s="6"/>
      <c r="J321" s="6"/>
      <c r="K321" t="str">
        <f>IF(Worksheet!BI317&lt;&gt;"",Worksheet!BI317,"")</f>
        <v>3 / 380 / 50</v>
      </c>
      <c r="L321" t="str">
        <f>IF(Worksheet!AU317&lt;&gt;"",Worksheet!AU317,"")</f>
        <v>R410A</v>
      </c>
      <c r="M321" s="6"/>
      <c r="N321" s="6"/>
      <c r="O321" t="str">
        <f>IF(Worksheet!CR317&lt;&gt;"",CONCATENATE(Worksheet!CR317," х ",Worksheet!CP317," х ",Worksheet!CT317),"")</f>
        <v/>
      </c>
      <c r="P321" t="str">
        <f>IF(Worksheet!CS317&lt;&gt;"",CONCATENATE(Worksheet!CS317," х ",Worksheet!CU317," х ",Worksheet!CQ317),"")</f>
        <v/>
      </c>
      <c r="Q321" t="str">
        <f>IF(Worksheet!CV317&lt;&gt;"",CONCATENATE(Worksheet!CV317," / ",Worksheet!CW317),"")</f>
        <v/>
      </c>
      <c r="R321" t="str">
        <f>IF(Worksheet!BS317&lt;&gt;"",Worksheet!BS317,"")</f>
        <v>47/51/53</v>
      </c>
      <c r="S321" t="str">
        <f>IF(Worksheet!AL317&lt;&gt;"",Worksheet!AL317,"")</f>
        <v>HIGHLY</v>
      </c>
      <c r="T321" t="str">
        <f>IF(Worksheet!CJ317&lt;&gt;"",CONCATENATE(Worksheet!CJ317," х ",Worksheet!CL317," х ",Worksheet!CH317),"")</f>
        <v>940 х 370 х 1325</v>
      </c>
      <c r="U321" t="str">
        <f>IF(Worksheet!CK317&lt;&gt;"",CONCATENATE(Worksheet!CK317," х ",Worksheet!CM317," х ",Worksheet!CI317),"")</f>
        <v>1080 х 430 х 1440</v>
      </c>
      <c r="V321" t="str">
        <f>IF(Worksheet!CN317&lt;&gt;"",CONCATENATE(Worksheet!CN317,"/",Worksheet!CO317),"")</f>
        <v>99/109</v>
      </c>
      <c r="W321" s="6"/>
      <c r="X321" s="7">
        <f>IF(Worksheet!AN317&lt;&gt;"",Worksheet!AN317,"")</f>
        <v>9.52</v>
      </c>
      <c r="Y321" s="7">
        <f>IF(Worksheet!AO317&lt;&gt;"",Worksheet!AO317,"")</f>
        <v>19.05</v>
      </c>
      <c r="Z321" s="17">
        <f>IF(Worksheet!Q317&lt;&gt;"",Worksheet!Q317,"")</f>
        <v>50</v>
      </c>
      <c r="AA321" s="17">
        <f>IF(Worksheet!R317&lt;&gt;"",Worksheet!R317,"")</f>
        <v>30</v>
      </c>
      <c r="AB321" t="str">
        <f>IF(Worksheet!X317&lt;&gt;"",CONCATENATE("от ",Worksheet!X317," до +",Worksheet!Y317),"")</f>
        <v>от -15 до +49</v>
      </c>
      <c r="AC321" t="str">
        <f>IF(Worksheet!Z317&lt;&gt;"",CONCATENATE("от ",Worksheet!Z317," до +",Worksheet!AA317),"")</f>
        <v>от -15 до +24</v>
      </c>
      <c r="AD321" s="6" t="s">
        <v>5245</v>
      </c>
      <c r="AE321" s="17"/>
    </row>
    <row r="322" spans="1:31" x14ac:dyDescent="0.25">
      <c r="A322" s="17" t="str">
        <f>IF(Worksheet!B318&lt;&gt;"",Worksheet!B318,"")</f>
        <v>QUATTROCLIMA</v>
      </c>
      <c r="B322" t="str">
        <f>Worksheet!E318</f>
        <v>Кассетные</v>
      </c>
      <c r="C322">
        <f>IF(Worksheet!M318&lt;&gt;"",Worksheet!M318,"")</f>
        <v>3.52</v>
      </c>
      <c r="D322">
        <f t="shared" si="12"/>
        <v>35</v>
      </c>
      <c r="E322" t="str">
        <f>IF(Worksheet!L318&lt;&gt;"",IF(Worksheet!L318="Y","да","нет"),"")</f>
        <v>нет</v>
      </c>
      <c r="F322">
        <f>IF(Worksheet!N318&lt;&gt;"",Worksheet!N318,"")</f>
        <v>3.52</v>
      </c>
      <c r="G322">
        <f>IF(Worksheet!O318&lt;&gt;"",Worksheet!O318,"")</f>
        <v>1.1499999999999999</v>
      </c>
      <c r="H322">
        <f>IF(Worksheet!P318&lt;&gt;"",Worksheet!P318,"")</f>
        <v>1.17</v>
      </c>
      <c r="I322" s="6"/>
      <c r="J322" s="6"/>
      <c r="K322" t="str">
        <f>IF(Worksheet!BI318&lt;&gt;"",Worksheet!BI318,"")</f>
        <v>1 / 220 / 50</v>
      </c>
      <c r="L322" t="str">
        <f>IF(Worksheet!AU318&lt;&gt;"",Worksheet!AU318,"")</f>
        <v>R410A</v>
      </c>
      <c r="M322" s="6"/>
      <c r="N322" s="6"/>
      <c r="O322" t="str">
        <f>IF(Worksheet!CR318&lt;&gt;"",CONCATENATE(Worksheet!CR318," х ",Worksheet!CP318," х ",Worksheet!CT318),"")</f>
        <v>650 х 30 х 650</v>
      </c>
      <c r="P322" t="str">
        <f>IF(Worksheet!CS318&lt;&gt;"",CONCATENATE(Worksheet!CS318," х ",Worksheet!CU318," х ",Worksheet!CQ318),"")</f>
        <v>690 х 690 х 65</v>
      </c>
      <c r="Q322" t="str">
        <f>IF(Worksheet!CV318&lt;&gt;"",CONCATENATE(Worksheet!CV318," / ",Worksheet!CW318),"")</f>
        <v>2.5 / 4.5</v>
      </c>
      <c r="R322" t="str">
        <f>IF(Worksheet!BS318&lt;&gt;"",Worksheet!BS318,"")</f>
        <v>34/38/41</v>
      </c>
      <c r="S322" t="str">
        <f>IF(Worksheet!AL318&lt;&gt;"",Worksheet!AL318,"")</f>
        <v>GMCC</v>
      </c>
      <c r="T322" t="str">
        <f>IF(Worksheet!CJ318&lt;&gt;"",CONCATENATE(Worksheet!CJ318," х ",Worksheet!CL318," х ",Worksheet!CH318),"")</f>
        <v>760 х 250 х 550</v>
      </c>
      <c r="U322" t="str">
        <f>IF(Worksheet!CK318&lt;&gt;"",CONCATENATE(Worksheet!CK318," х ",Worksheet!CM318," х ",Worksheet!CI318),"")</f>
        <v>863 х 361 х 590</v>
      </c>
      <c r="V322" t="str">
        <f>IF(Worksheet!CN318&lt;&gt;"",CONCATENATE(Worksheet!CN318,"/",Worksheet!CO318),"")</f>
        <v>30/33</v>
      </c>
      <c r="W322" s="6"/>
      <c r="X322" s="7">
        <f>IF(Worksheet!AN318&lt;&gt;"",Worksheet!AN318,"")</f>
        <v>6.35</v>
      </c>
      <c r="Y322" s="7">
        <f>IF(Worksheet!AO318&lt;&gt;"",Worksheet!AO318,"")</f>
        <v>12.7</v>
      </c>
      <c r="Z322" s="17">
        <f>IF(Worksheet!Q318&lt;&gt;"",Worksheet!Q318,"")</f>
        <v>25</v>
      </c>
      <c r="AA322" s="17">
        <f>IF(Worksheet!R318&lt;&gt;"",Worksheet!R318,"")</f>
        <v>15</v>
      </c>
      <c r="AB322" t="str">
        <f>IF(Worksheet!X318&lt;&gt;"",CONCATENATE("от ",Worksheet!X318," до +",Worksheet!Y318),"")</f>
        <v>от 17 до +43</v>
      </c>
      <c r="AC322" t="str">
        <f>IF(Worksheet!Z318&lt;&gt;"",CONCATENATE("от ",Worksheet!Z318," до +",Worksheet!AA318),"")</f>
        <v>от -7 до +24</v>
      </c>
      <c r="AD322" s="6" t="s">
        <v>5245</v>
      </c>
      <c r="AE322" s="17"/>
    </row>
    <row r="323" spans="1:31" x14ac:dyDescent="0.25">
      <c r="A323" s="17" t="str">
        <f>IF(Worksheet!B319&lt;&gt;"",Worksheet!B319,"")</f>
        <v>QUATTROCLIMA</v>
      </c>
      <c r="B323" t="str">
        <f>Worksheet!E319</f>
        <v>Кассетные</v>
      </c>
      <c r="C323">
        <f>IF(Worksheet!M319&lt;&gt;"",Worksheet!M319,"")</f>
        <v>5.18</v>
      </c>
      <c r="D323">
        <f t="shared" si="12"/>
        <v>52</v>
      </c>
      <c r="E323" t="str">
        <f>IF(Worksheet!L319&lt;&gt;"",IF(Worksheet!L319="Y","да","нет"),"")</f>
        <v>нет</v>
      </c>
      <c r="F323">
        <f>IF(Worksheet!N319&lt;&gt;"",Worksheet!N319,"")</f>
        <v>5.6</v>
      </c>
      <c r="G323">
        <f>IF(Worksheet!O319&lt;&gt;"",Worksheet!O319,"")</f>
        <v>1.6830000000000001</v>
      </c>
      <c r="H323">
        <f>IF(Worksheet!P319&lt;&gt;"",Worksheet!P319,"")</f>
        <v>1.7609999999999999</v>
      </c>
      <c r="I323" s="6"/>
      <c r="J323" s="6"/>
      <c r="K323" t="str">
        <f>IF(Worksheet!BI319&lt;&gt;"",Worksheet!BI319,"")</f>
        <v>1 / 220 / 50</v>
      </c>
      <c r="L323" t="str">
        <f>IF(Worksheet!AU319&lt;&gt;"",Worksheet!AU319,"")</f>
        <v>R410A</v>
      </c>
      <c r="M323" s="6"/>
      <c r="N323" s="6"/>
      <c r="O323" t="str">
        <f>IF(Worksheet!CR319&lt;&gt;"",CONCATENATE(Worksheet!CR319," х ",Worksheet!CP319," х ",Worksheet!CT319),"")</f>
        <v>650 х 30 х 650</v>
      </c>
      <c r="P323" t="str">
        <f>IF(Worksheet!CS319&lt;&gt;"",CONCATENATE(Worksheet!CS319," х ",Worksheet!CU319," х ",Worksheet!CQ319),"")</f>
        <v>690 х 690 х 65</v>
      </c>
      <c r="Q323" t="str">
        <f>IF(Worksheet!CV319&lt;&gt;"",CONCATENATE(Worksheet!CV319," / ",Worksheet!CW319),"")</f>
        <v>2.5 / 4.5</v>
      </c>
      <c r="R323" t="str">
        <f>IF(Worksheet!BS319&lt;&gt;"",Worksheet!BS319,"")</f>
        <v>34/38/41</v>
      </c>
      <c r="S323" t="str">
        <f>IF(Worksheet!AL319&lt;&gt;"",Worksheet!AL319,"")</f>
        <v>GMCC</v>
      </c>
      <c r="T323" t="str">
        <f>IF(Worksheet!CJ319&lt;&gt;"",CONCATENATE(Worksheet!CJ319," х ",Worksheet!CL319," х ",Worksheet!CH319),"")</f>
        <v>780 х 290 х 605</v>
      </c>
      <c r="U323" t="str">
        <f>IF(Worksheet!CK319&lt;&gt;"",CONCATENATE(Worksheet!CK319," х ",Worksheet!CM319," х ",Worksheet!CI319),"")</f>
        <v>883 х 412 х 653</v>
      </c>
      <c r="V323" t="str">
        <f>IF(Worksheet!CN319&lt;&gt;"",CONCATENATE(Worksheet!CN319,"/",Worksheet!CO319),"")</f>
        <v>38/42</v>
      </c>
      <c r="W323" s="6"/>
      <c r="X323" s="7">
        <f>IF(Worksheet!AN319&lt;&gt;"",Worksheet!AN319,"")</f>
        <v>6.35</v>
      </c>
      <c r="Y323" s="7">
        <f>IF(Worksheet!AO319&lt;&gt;"",Worksheet!AO319,"")</f>
        <v>12.7</v>
      </c>
      <c r="Z323" s="17">
        <f>IF(Worksheet!Q319&lt;&gt;"",Worksheet!Q319,"")</f>
        <v>25</v>
      </c>
      <c r="AA323" s="17">
        <f>IF(Worksheet!R319&lt;&gt;"",Worksheet!R319,"")</f>
        <v>15</v>
      </c>
      <c r="AB323" t="str">
        <f>IF(Worksheet!X319&lt;&gt;"",CONCATENATE("от ",Worksheet!X319," до +",Worksheet!Y319),"")</f>
        <v>от 17 до +43</v>
      </c>
      <c r="AC323" t="str">
        <f>IF(Worksheet!Z319&lt;&gt;"",CONCATENATE("от ",Worksheet!Z319," до +",Worksheet!AA319),"")</f>
        <v>от -7 до +24</v>
      </c>
      <c r="AD323" s="6" t="s">
        <v>5245</v>
      </c>
      <c r="AE323" s="17"/>
    </row>
    <row r="324" spans="1:31" x14ac:dyDescent="0.25">
      <c r="A324" s="17" t="str">
        <f>IF(Worksheet!B320&lt;&gt;"",Worksheet!B320,"")</f>
        <v>QUATTROCLIMA</v>
      </c>
      <c r="B324" t="str">
        <f>Worksheet!E320</f>
        <v>Кассетные</v>
      </c>
      <c r="C324">
        <f>IF(Worksheet!M320&lt;&gt;"",Worksheet!M320,"")</f>
        <v>7.2</v>
      </c>
      <c r="D324">
        <f t="shared" si="12"/>
        <v>72</v>
      </c>
      <c r="E324" t="str">
        <f>IF(Worksheet!L320&lt;&gt;"",IF(Worksheet!L320="Y","да","нет"),"")</f>
        <v>нет</v>
      </c>
      <c r="F324">
        <f>IF(Worksheet!N320&lt;&gt;"",Worksheet!N320,"")</f>
        <v>7.9</v>
      </c>
      <c r="G324">
        <f>IF(Worksheet!O320&lt;&gt;"",Worksheet!O320,"")</f>
        <v>2.4319999999999999</v>
      </c>
      <c r="H324">
        <f>IF(Worksheet!P320&lt;&gt;"",Worksheet!P320,"")</f>
        <v>2.1920000000000002</v>
      </c>
      <c r="I324" s="6"/>
      <c r="J324" s="6"/>
      <c r="K324" t="str">
        <f>IF(Worksheet!BI320&lt;&gt;"",Worksheet!BI320,"")</f>
        <v>1 / 220 / 50</v>
      </c>
      <c r="L324" t="str">
        <f>IF(Worksheet!AU320&lt;&gt;"",Worksheet!AU320,"")</f>
        <v>R410A</v>
      </c>
      <c r="M324" s="6"/>
      <c r="N324" s="6"/>
      <c r="O324" t="str">
        <f>IF(Worksheet!CR320&lt;&gt;"",CONCATENATE(Worksheet!CR320," х ",Worksheet!CP320," х ",Worksheet!CT320),"")</f>
        <v>950 х 45 х 950</v>
      </c>
      <c r="P324" t="str">
        <f>IF(Worksheet!CS320&lt;&gt;"",CONCATENATE(Worksheet!CS320," х ",Worksheet!CU320," х ",Worksheet!CQ320),"")</f>
        <v>1035 х 1035 х 80</v>
      </c>
      <c r="Q324" t="str">
        <f>IF(Worksheet!CV320&lt;&gt;"",CONCATENATE(Worksheet!CV320," / ",Worksheet!CW320),"")</f>
        <v>6 / 9</v>
      </c>
      <c r="R324" t="str">
        <f>IF(Worksheet!BS320&lt;&gt;"",Worksheet!BS320,"")</f>
        <v>37/41/43</v>
      </c>
      <c r="S324" t="str">
        <f>IF(Worksheet!AL320&lt;&gt;"",Worksheet!AL320,"")</f>
        <v>GMCC</v>
      </c>
      <c r="T324" t="str">
        <f>IF(Worksheet!CJ320&lt;&gt;"",CONCATENATE(Worksheet!CJ320," х ",Worksheet!CL320," х ",Worksheet!CH320),"")</f>
        <v>900 х 310 х 650</v>
      </c>
      <c r="U324" t="str">
        <f>IF(Worksheet!CK320&lt;&gt;"",CONCATENATE(Worksheet!CK320," х ",Worksheet!CM320," х ",Worksheet!CI320),"")</f>
        <v>1015 х 425 х 720</v>
      </c>
      <c r="V324" t="str">
        <f>IF(Worksheet!CN320&lt;&gt;"",CONCATENATE(Worksheet!CN320,"/",Worksheet!CO320),"")</f>
        <v>51/54</v>
      </c>
      <c r="W324" s="6"/>
      <c r="X324" s="7">
        <f>IF(Worksheet!AN320&lt;&gt;"",Worksheet!AN320,"")</f>
        <v>9.52</v>
      </c>
      <c r="Y324" s="7">
        <f>IF(Worksheet!AO320&lt;&gt;"",Worksheet!AO320,"")</f>
        <v>15.88</v>
      </c>
      <c r="Z324" s="17">
        <f>IF(Worksheet!Q320&lt;&gt;"",Worksheet!Q320,"")</f>
        <v>30</v>
      </c>
      <c r="AA324" s="17">
        <f>IF(Worksheet!R320&lt;&gt;"",Worksheet!R320,"")</f>
        <v>15</v>
      </c>
      <c r="AB324" t="str">
        <f>IF(Worksheet!X320&lt;&gt;"",CONCATENATE("от ",Worksheet!X320," до +",Worksheet!Y320),"")</f>
        <v>от 17 до +43</v>
      </c>
      <c r="AC324" t="str">
        <f>IF(Worksheet!Z320&lt;&gt;"",CONCATENATE("от ",Worksheet!Z320," до +",Worksheet!AA320),"")</f>
        <v>от -7 до +24</v>
      </c>
      <c r="AD324" s="6" t="s">
        <v>5245</v>
      </c>
      <c r="AE324" s="17"/>
    </row>
    <row r="325" spans="1:31" x14ac:dyDescent="0.25">
      <c r="A325" s="17" t="str">
        <f>IF(Worksheet!B321&lt;&gt;"",Worksheet!B321,"")</f>
        <v>QUATTROCLIMA</v>
      </c>
      <c r="B325" t="str">
        <f>Worksheet!E321</f>
        <v>Кассетные</v>
      </c>
      <c r="C325">
        <f>IF(Worksheet!M321&lt;&gt;"",Worksheet!M321,"")</f>
        <v>7.2</v>
      </c>
      <c r="D325">
        <f t="shared" si="12"/>
        <v>72</v>
      </c>
      <c r="E325" t="str">
        <f>IF(Worksheet!L321&lt;&gt;"",IF(Worksheet!L321="Y","да","нет"),"")</f>
        <v>нет</v>
      </c>
      <c r="F325">
        <f>IF(Worksheet!N321&lt;&gt;"",Worksheet!N321,"")</f>
        <v>7.9</v>
      </c>
      <c r="G325">
        <f>IF(Worksheet!O321&lt;&gt;"",Worksheet!O321,"")</f>
        <v>2.4319999999999999</v>
      </c>
      <c r="H325">
        <f>IF(Worksheet!P321&lt;&gt;"",Worksheet!P321,"")</f>
        <v>2.1920000000000002</v>
      </c>
      <c r="I325" s="6"/>
      <c r="J325" s="6"/>
      <c r="K325" t="str">
        <f>IF(Worksheet!BI321&lt;&gt;"",Worksheet!BI321,"")</f>
        <v>1 / 220 / 50</v>
      </c>
      <c r="L325" t="str">
        <f>IF(Worksheet!AU321&lt;&gt;"",Worksheet!AU321,"")</f>
        <v>R410A</v>
      </c>
      <c r="M325" s="6"/>
      <c r="N325" s="6"/>
      <c r="O325" t="str">
        <f>IF(Worksheet!CR321&lt;&gt;"",CONCATENATE(Worksheet!CR321," х ",Worksheet!CP321," х ",Worksheet!CT321),"")</f>
        <v>950 х 45 х 950</v>
      </c>
      <c r="P325" t="str">
        <f>IF(Worksheet!CS321&lt;&gt;"",CONCATENATE(Worksheet!CS321," х ",Worksheet!CU321," х ",Worksheet!CQ321),"")</f>
        <v>1035 х 1035 х 80</v>
      </c>
      <c r="Q325" t="str">
        <f>IF(Worksheet!CV321&lt;&gt;"",CONCATENATE(Worksheet!CV321," / ",Worksheet!CW321),"")</f>
        <v>6 / 9</v>
      </c>
      <c r="R325" t="str">
        <f>IF(Worksheet!BS321&lt;&gt;"",Worksheet!BS321,"")</f>
        <v>37/41/43</v>
      </c>
      <c r="S325" t="str">
        <f>IF(Worksheet!AL321&lt;&gt;"",Worksheet!AL321,"")</f>
        <v>GMCC</v>
      </c>
      <c r="T325" t="str">
        <f>IF(Worksheet!CJ321&lt;&gt;"",CONCATENATE(Worksheet!CJ321," х ",Worksheet!CL321," х ",Worksheet!CH321),"")</f>
        <v>900 х 310 х 650</v>
      </c>
      <c r="U325" t="str">
        <f>IF(Worksheet!CK321&lt;&gt;"",CONCATENATE(Worksheet!CK321," х ",Worksheet!CM321," х ",Worksheet!CI321),"")</f>
        <v>1015 х 425 х 720</v>
      </c>
      <c r="V325" t="str">
        <f>IF(Worksheet!CN321&lt;&gt;"",CONCATENATE(Worksheet!CN321,"/",Worksheet!CO321),"")</f>
        <v>51/54</v>
      </c>
      <c r="W325" s="6"/>
      <c r="X325" s="7">
        <f>IF(Worksheet!AN321&lt;&gt;"",Worksheet!AN321,"")</f>
        <v>9.52</v>
      </c>
      <c r="Y325" s="7">
        <f>IF(Worksheet!AO321&lt;&gt;"",Worksheet!AO321,"")</f>
        <v>15.88</v>
      </c>
      <c r="Z325" s="17">
        <f>IF(Worksheet!Q321&lt;&gt;"",Worksheet!Q321,"")</f>
        <v>30</v>
      </c>
      <c r="AA325" s="17">
        <f>IF(Worksheet!R321&lt;&gt;"",Worksheet!R321,"")</f>
        <v>15</v>
      </c>
      <c r="AB325" t="str">
        <f>IF(Worksheet!X321&lt;&gt;"",CONCATENATE("от ",Worksheet!X321," до +",Worksheet!Y321),"")</f>
        <v>от 17 до +43</v>
      </c>
      <c r="AC325" t="str">
        <f>IF(Worksheet!Z321&lt;&gt;"",CONCATENATE("от ",Worksheet!Z321," до +",Worksheet!AA321),"")</f>
        <v>от -7 до +24</v>
      </c>
      <c r="AD325" s="6" t="s">
        <v>5245</v>
      </c>
      <c r="AE325" s="17"/>
    </row>
    <row r="326" spans="1:31" x14ac:dyDescent="0.25">
      <c r="A326" s="17" t="str">
        <f>IF(Worksheet!B322&lt;&gt;"",Worksheet!B322,"")</f>
        <v>QUATTROCLIMA</v>
      </c>
      <c r="B326" t="str">
        <f>Worksheet!E322</f>
        <v>Кассетные</v>
      </c>
      <c r="C326">
        <f>IF(Worksheet!M322&lt;&gt;"",Worksheet!M322,"")</f>
        <v>10.5</v>
      </c>
      <c r="D326">
        <f t="shared" si="12"/>
        <v>105</v>
      </c>
      <c r="E326" t="str">
        <f>IF(Worksheet!L322&lt;&gt;"",IF(Worksheet!L322="Y","да","нет"),"")</f>
        <v>нет</v>
      </c>
      <c r="F326">
        <f>IF(Worksheet!N322&lt;&gt;"",Worksheet!N322,"")</f>
        <v>12</v>
      </c>
      <c r="G326">
        <f>IF(Worksheet!O322&lt;&gt;"",Worksheet!O322,"")</f>
        <v>3.7229999999999999</v>
      </c>
      <c r="H326">
        <f>IF(Worksheet!P322&lt;&gt;"",Worksheet!P322,"")</f>
        <v>3.4089999999999998</v>
      </c>
      <c r="I326" s="6"/>
      <c r="J326" s="6"/>
      <c r="K326" t="str">
        <f>IF(Worksheet!BI322&lt;&gt;"",Worksheet!BI322,"")</f>
        <v>3 / 380 / 50</v>
      </c>
      <c r="L326" t="str">
        <f>IF(Worksheet!AU322&lt;&gt;"",Worksheet!AU322,"")</f>
        <v>R410A</v>
      </c>
      <c r="M326" s="6"/>
      <c r="N326" s="6"/>
      <c r="O326" t="str">
        <f>IF(Worksheet!CR322&lt;&gt;"",CONCATENATE(Worksheet!CR322," х ",Worksheet!CP322," х ",Worksheet!CT322),"")</f>
        <v>950 х 45 х 950</v>
      </c>
      <c r="P326" t="str">
        <f>IF(Worksheet!CS322&lt;&gt;"",CONCATENATE(Worksheet!CS322," х ",Worksheet!CU322," х ",Worksheet!CQ322),"")</f>
        <v>1035 х 1035 х 80</v>
      </c>
      <c r="Q326" t="str">
        <f>IF(Worksheet!CV322&lt;&gt;"",CONCATENATE(Worksheet!CV322," / ",Worksheet!CW322),"")</f>
        <v>6 / 9</v>
      </c>
      <c r="R326" t="str">
        <f>IF(Worksheet!BS322&lt;&gt;"",Worksheet!BS322,"")</f>
        <v>41/43/45</v>
      </c>
      <c r="S326" t="str">
        <f>IF(Worksheet!AL322&lt;&gt;"",Worksheet!AL322,"")</f>
        <v>HIGHLY</v>
      </c>
      <c r="T326" t="str">
        <f>IF(Worksheet!CJ322&lt;&gt;"",CONCATENATE(Worksheet!CJ322," х ",Worksheet!CL322," х ",Worksheet!CH322),"")</f>
        <v>900 х 360 х 805</v>
      </c>
      <c r="U326" t="str">
        <f>IF(Worksheet!CK322&lt;&gt;"",CONCATENATE(Worksheet!CK322," х ",Worksheet!CM322," х ",Worksheet!CI322),"")</f>
        <v>1020 х 475 х 860</v>
      </c>
      <c r="V326" t="str">
        <f>IF(Worksheet!CN322&lt;&gt;"",CONCATENATE(Worksheet!CN322,"/",Worksheet!CO322),"")</f>
        <v>64/69</v>
      </c>
      <c r="W326" s="6"/>
      <c r="X326" s="7">
        <f>IF(Worksheet!AN322&lt;&gt;"",Worksheet!AN322,"")</f>
        <v>9.52</v>
      </c>
      <c r="Y326" s="7">
        <f>IF(Worksheet!AO322&lt;&gt;"",Worksheet!AO322,"")</f>
        <v>19.05</v>
      </c>
      <c r="Z326" s="17">
        <f>IF(Worksheet!Q322&lt;&gt;"",Worksheet!Q322,"")</f>
        <v>30</v>
      </c>
      <c r="AA326" s="17">
        <f>IF(Worksheet!R322&lt;&gt;"",Worksheet!R322,"")</f>
        <v>20</v>
      </c>
      <c r="AB326" t="str">
        <f>IF(Worksheet!X322&lt;&gt;"",CONCATENATE("от ",Worksheet!X322," до +",Worksheet!Y322),"")</f>
        <v>от 17 до +43</v>
      </c>
      <c r="AC326" t="str">
        <f>IF(Worksheet!Z322&lt;&gt;"",CONCATENATE("от ",Worksheet!Z322," до +",Worksheet!AA322),"")</f>
        <v>от -7 до +24</v>
      </c>
      <c r="AD326" s="6" t="s">
        <v>5245</v>
      </c>
      <c r="AE326" s="17"/>
    </row>
    <row r="327" spans="1:31" x14ac:dyDescent="0.25">
      <c r="A327" s="17" t="str">
        <f>IF(Worksheet!B323&lt;&gt;"",Worksheet!B323,"")</f>
        <v>QUATTROCLIMA</v>
      </c>
      <c r="B327" t="str">
        <f>Worksheet!E323</f>
        <v>Кассетные</v>
      </c>
      <c r="C327">
        <f>IF(Worksheet!M323&lt;&gt;"",Worksheet!M323,"")</f>
        <v>10.5</v>
      </c>
      <c r="D327">
        <f t="shared" ref="D327:D389" si="15">ROUND(C327*10,0)</f>
        <v>105</v>
      </c>
      <c r="E327" t="str">
        <f>IF(Worksheet!L323&lt;&gt;"",IF(Worksheet!L323="Y","да","нет"),"")</f>
        <v>нет</v>
      </c>
      <c r="F327">
        <f>IF(Worksheet!N323&lt;&gt;"",Worksheet!N323,"")</f>
        <v>12</v>
      </c>
      <c r="G327">
        <f>IF(Worksheet!O323&lt;&gt;"",Worksheet!O323,"")</f>
        <v>3.7229999999999999</v>
      </c>
      <c r="H327">
        <f>IF(Worksheet!P323&lt;&gt;"",Worksheet!P323,"")</f>
        <v>3.4089999999999998</v>
      </c>
      <c r="I327" s="6"/>
      <c r="J327" s="6"/>
      <c r="K327" t="str">
        <f>IF(Worksheet!BI323&lt;&gt;"",Worksheet!BI323,"")</f>
        <v>3 / 380 / 50</v>
      </c>
      <c r="L327" t="str">
        <f>IF(Worksheet!AU323&lt;&gt;"",Worksheet!AU323,"")</f>
        <v>R410A</v>
      </c>
      <c r="M327" s="6"/>
      <c r="N327" s="6"/>
      <c r="O327" t="str">
        <f>IF(Worksheet!CR323&lt;&gt;"",CONCATENATE(Worksheet!CR323," х ",Worksheet!CP323," х ",Worksheet!CT323),"")</f>
        <v>950 х 45 х 950</v>
      </c>
      <c r="P327" t="str">
        <f>IF(Worksheet!CS323&lt;&gt;"",CONCATENATE(Worksheet!CS323," х ",Worksheet!CU323," х ",Worksheet!CQ323),"")</f>
        <v>1035 х 1035 х 80</v>
      </c>
      <c r="Q327" t="str">
        <f>IF(Worksheet!CV323&lt;&gt;"",CONCATENATE(Worksheet!CV323," / ",Worksheet!CW323),"")</f>
        <v>6 / 9</v>
      </c>
      <c r="R327" t="str">
        <f>IF(Worksheet!BS323&lt;&gt;"",Worksheet!BS323,"")</f>
        <v>41/43/45</v>
      </c>
      <c r="S327" t="str">
        <f>IF(Worksheet!AL323&lt;&gt;"",Worksheet!AL323,"")</f>
        <v>HIGHLY</v>
      </c>
      <c r="T327" t="str">
        <f>IF(Worksheet!CJ323&lt;&gt;"",CONCATENATE(Worksheet!CJ323," х ",Worksheet!CL323," х ",Worksheet!CH323),"")</f>
        <v>900 х 360 х 805</v>
      </c>
      <c r="U327" t="str">
        <f>IF(Worksheet!CK323&lt;&gt;"",CONCATENATE(Worksheet!CK323," х ",Worksheet!CM323," х ",Worksheet!CI323),"")</f>
        <v>1020 х 475 х 860</v>
      </c>
      <c r="V327" t="str">
        <f>IF(Worksheet!CN323&lt;&gt;"",CONCATENATE(Worksheet!CN323,"/",Worksheet!CO323),"")</f>
        <v>64/69</v>
      </c>
      <c r="W327" s="6"/>
      <c r="X327" s="7">
        <f>IF(Worksheet!AN323&lt;&gt;"",Worksheet!AN323,"")</f>
        <v>9.52</v>
      </c>
      <c r="Y327" s="7">
        <f>IF(Worksheet!AO323&lt;&gt;"",Worksheet!AO323,"")</f>
        <v>19.05</v>
      </c>
      <c r="Z327" s="17">
        <f>IF(Worksheet!Q323&lt;&gt;"",Worksheet!Q323,"")</f>
        <v>30</v>
      </c>
      <c r="AA327" s="17">
        <f>IF(Worksheet!R323&lt;&gt;"",Worksheet!R323,"")</f>
        <v>20</v>
      </c>
      <c r="AB327" t="str">
        <f>IF(Worksheet!X323&lt;&gt;"",CONCATENATE("от ",Worksheet!X323," до +",Worksheet!Y323),"")</f>
        <v>от 17 до +43</v>
      </c>
      <c r="AC327" t="str">
        <f>IF(Worksheet!Z323&lt;&gt;"",CONCATENATE("от ",Worksheet!Z323," до +",Worksheet!AA323),"")</f>
        <v>от -7 до +24</v>
      </c>
      <c r="AD327" s="6" t="s">
        <v>5245</v>
      </c>
      <c r="AE327" s="17"/>
    </row>
    <row r="328" spans="1:31" x14ac:dyDescent="0.25">
      <c r="A328" s="17" t="str">
        <f>IF(Worksheet!B324&lt;&gt;"",Worksheet!B324,"")</f>
        <v>QUATTROCLIMA</v>
      </c>
      <c r="B328" t="str">
        <f>Worksheet!E324</f>
        <v>Кассетные</v>
      </c>
      <c r="C328">
        <f>IF(Worksheet!M324&lt;&gt;"",Worksheet!M324,"")</f>
        <v>14</v>
      </c>
      <c r="D328">
        <f t="shared" si="15"/>
        <v>140</v>
      </c>
      <c r="E328" t="str">
        <f>IF(Worksheet!L324&lt;&gt;"",IF(Worksheet!L324="Y","да","нет"),"")</f>
        <v>нет</v>
      </c>
      <c r="F328">
        <f>IF(Worksheet!N324&lt;&gt;"",Worksheet!N324,"")</f>
        <v>14.65</v>
      </c>
      <c r="G328">
        <f>IF(Worksheet!O324&lt;&gt;"",Worksheet!O324,"")</f>
        <v>4.6360000000000001</v>
      </c>
      <c r="H328">
        <f>IF(Worksheet!P324&lt;&gt;"",Worksheet!P324,"")</f>
        <v>5.0789999999999997</v>
      </c>
      <c r="I328" s="6"/>
      <c r="J328" s="6"/>
      <c r="K328" t="str">
        <f>IF(Worksheet!BI324&lt;&gt;"",Worksheet!BI324,"")</f>
        <v>3 / 380 / 50</v>
      </c>
      <c r="L328" t="str">
        <f>IF(Worksheet!AU324&lt;&gt;"",Worksheet!AU324,"")</f>
        <v>R410A</v>
      </c>
      <c r="M328" s="6"/>
      <c r="N328" s="6"/>
      <c r="O328" t="str">
        <f>IF(Worksheet!CR324&lt;&gt;"",CONCATENATE(Worksheet!CR324," х ",Worksheet!CP324," х ",Worksheet!CT324),"")</f>
        <v>950 х 45 х 950</v>
      </c>
      <c r="P328" t="str">
        <f>IF(Worksheet!CS324&lt;&gt;"",CONCATENATE(Worksheet!CS324," х ",Worksheet!CU324," х ",Worksheet!CQ324),"")</f>
        <v>1035 х 1035 х 80</v>
      </c>
      <c r="Q328" t="str">
        <f>IF(Worksheet!CV324&lt;&gt;"",CONCATENATE(Worksheet!CV324," / ",Worksheet!CW324),"")</f>
        <v>6 / 9</v>
      </c>
      <c r="R328" t="str">
        <f>IF(Worksheet!BS324&lt;&gt;"",Worksheet!BS324,"")</f>
        <v>41/43/45</v>
      </c>
      <c r="S328" t="str">
        <f>IF(Worksheet!AL324&lt;&gt;"",Worksheet!AL324,"")</f>
        <v>HIGHLY</v>
      </c>
      <c r="T328" t="str">
        <f>IF(Worksheet!CJ324&lt;&gt;"",CONCATENATE(Worksheet!CJ324," х ",Worksheet!CL324," х ",Worksheet!CH324),"")</f>
        <v>940 х 340 х 1250</v>
      </c>
      <c r="U328" t="str">
        <f>IF(Worksheet!CK324&lt;&gt;"",CONCATENATE(Worksheet!CK324," х ",Worksheet!CM324," х ",Worksheet!CI324),"")</f>
        <v>1030 х 430 х 1365</v>
      </c>
      <c r="V328" t="str">
        <f>IF(Worksheet!CN324&lt;&gt;"",CONCATENATE(Worksheet!CN324,"/",Worksheet!CO324),"")</f>
        <v>93/103</v>
      </c>
      <c r="W328" s="6"/>
      <c r="X328" s="7">
        <f>IF(Worksheet!AN324&lt;&gt;"",Worksheet!AN324,"")</f>
        <v>9.52</v>
      </c>
      <c r="Y328" s="7">
        <f>IF(Worksheet!AO324&lt;&gt;"",Worksheet!AO324,"")</f>
        <v>19.05</v>
      </c>
      <c r="Z328" s="17">
        <f>IF(Worksheet!Q324&lt;&gt;"",Worksheet!Q324,"")</f>
        <v>50</v>
      </c>
      <c r="AA328" s="17">
        <f>IF(Worksheet!R324&lt;&gt;"",Worksheet!R324,"")</f>
        <v>30</v>
      </c>
      <c r="AB328" t="str">
        <f>IF(Worksheet!X324&lt;&gt;"",CONCATENATE("от ",Worksheet!X324," до +",Worksheet!Y324),"")</f>
        <v>от 17 до +43</v>
      </c>
      <c r="AC328" t="str">
        <f>IF(Worksheet!Z324&lt;&gt;"",CONCATENATE("от ",Worksheet!Z324," до +",Worksheet!AA324),"")</f>
        <v>от -7 до +24</v>
      </c>
      <c r="AD328" s="6" t="s">
        <v>5245</v>
      </c>
      <c r="AE328" s="17"/>
    </row>
    <row r="329" spans="1:31" x14ac:dyDescent="0.25">
      <c r="A329" s="17" t="str">
        <f>IF(Worksheet!B325&lt;&gt;"",Worksheet!B325,"")</f>
        <v>QUATTROCLIMA</v>
      </c>
      <c r="B329" t="str">
        <f>Worksheet!E325</f>
        <v>Кассетные</v>
      </c>
      <c r="C329">
        <f>IF(Worksheet!M325&lt;&gt;"",Worksheet!M325,"")</f>
        <v>14</v>
      </c>
      <c r="D329">
        <f t="shared" si="15"/>
        <v>140</v>
      </c>
      <c r="E329" t="str">
        <f>IF(Worksheet!L325&lt;&gt;"",IF(Worksheet!L325="Y","да","нет"),"")</f>
        <v>нет</v>
      </c>
      <c r="F329">
        <f>IF(Worksheet!N325&lt;&gt;"",Worksheet!N325,"")</f>
        <v>14.65</v>
      </c>
      <c r="G329">
        <f>IF(Worksheet!O325&lt;&gt;"",Worksheet!O325,"")</f>
        <v>4.6360000000000001</v>
      </c>
      <c r="H329">
        <f>IF(Worksheet!P325&lt;&gt;"",Worksheet!P325,"")</f>
        <v>5.0789999999999997</v>
      </c>
      <c r="I329" s="6"/>
      <c r="J329" s="6"/>
      <c r="K329" t="str">
        <f>IF(Worksheet!BI325&lt;&gt;"",Worksheet!BI325,"")</f>
        <v>3 / 380 / 50</v>
      </c>
      <c r="L329" t="str">
        <f>IF(Worksheet!AU325&lt;&gt;"",Worksheet!AU325,"")</f>
        <v>R410A</v>
      </c>
      <c r="M329" s="6"/>
      <c r="N329" s="6"/>
      <c r="O329" t="str">
        <f>IF(Worksheet!CR325&lt;&gt;"",CONCATENATE(Worksheet!CR325," х ",Worksheet!CP325," х ",Worksheet!CT325),"")</f>
        <v>950 х 45 х 950</v>
      </c>
      <c r="P329" t="str">
        <f>IF(Worksheet!CS325&lt;&gt;"",CONCATENATE(Worksheet!CS325," х ",Worksheet!CU325," х ",Worksheet!CQ325),"")</f>
        <v>1035 х 1035 х 80</v>
      </c>
      <c r="Q329" t="str">
        <f>IF(Worksheet!CV325&lt;&gt;"",CONCATENATE(Worksheet!CV325," / ",Worksheet!CW325),"")</f>
        <v>6 / 9</v>
      </c>
      <c r="R329" t="str">
        <f>IF(Worksheet!BS325&lt;&gt;"",Worksheet!BS325,"")</f>
        <v>41/43/45</v>
      </c>
      <c r="S329" t="str">
        <f>IF(Worksheet!AL325&lt;&gt;"",Worksheet!AL325,"")</f>
        <v>HIGHLY</v>
      </c>
      <c r="T329" t="str">
        <f>IF(Worksheet!CJ325&lt;&gt;"",CONCATENATE(Worksheet!CJ325," х ",Worksheet!CL325," х ",Worksheet!CH325),"")</f>
        <v>940 х 340 х 1250</v>
      </c>
      <c r="U329" t="str">
        <f>IF(Worksheet!CK325&lt;&gt;"",CONCATENATE(Worksheet!CK325," х ",Worksheet!CM325," х ",Worksheet!CI325),"")</f>
        <v>1030 х 430 х 1365</v>
      </c>
      <c r="V329" t="str">
        <f>IF(Worksheet!CN325&lt;&gt;"",CONCATENATE(Worksheet!CN325,"/",Worksheet!CO325),"")</f>
        <v>93/103</v>
      </c>
      <c r="W329" s="6"/>
      <c r="X329" s="7">
        <f>IF(Worksheet!AN325&lt;&gt;"",Worksheet!AN325,"")</f>
        <v>9.52</v>
      </c>
      <c r="Y329" s="7">
        <f>IF(Worksheet!AO325&lt;&gt;"",Worksheet!AO325,"")</f>
        <v>19.05</v>
      </c>
      <c r="Z329" s="17">
        <f>IF(Worksheet!Q325&lt;&gt;"",Worksheet!Q325,"")</f>
        <v>50</v>
      </c>
      <c r="AA329" s="17">
        <f>IF(Worksheet!R325&lt;&gt;"",Worksheet!R325,"")</f>
        <v>30</v>
      </c>
      <c r="AB329" t="str">
        <f>IF(Worksheet!X325&lt;&gt;"",CONCATENATE("от ",Worksheet!X325," до +",Worksheet!Y325),"")</f>
        <v>от 17 до +43</v>
      </c>
      <c r="AC329" t="str">
        <f>IF(Worksheet!Z325&lt;&gt;"",CONCATENATE("от ",Worksheet!Z325," до +",Worksheet!AA325),"")</f>
        <v>от -7 до +24</v>
      </c>
      <c r="AD329" s="6" t="s">
        <v>5245</v>
      </c>
      <c r="AE329" s="17"/>
    </row>
    <row r="330" spans="1:31" x14ac:dyDescent="0.25">
      <c r="A330" s="17" t="str">
        <f>IF(Worksheet!B326&lt;&gt;"",Worksheet!B326,"")</f>
        <v>QUATTROCLIMA</v>
      </c>
      <c r="B330" t="str">
        <f>Worksheet!E326</f>
        <v>Кассетные</v>
      </c>
      <c r="C330">
        <f>IF(Worksheet!M326&lt;&gt;"",Worksheet!M326,"")</f>
        <v>16.12</v>
      </c>
      <c r="D330">
        <f t="shared" si="15"/>
        <v>161</v>
      </c>
      <c r="E330" t="str">
        <f>IF(Worksheet!L326&lt;&gt;"",IF(Worksheet!L326="Y","да","нет"),"")</f>
        <v>нет</v>
      </c>
      <c r="F330">
        <f>IF(Worksheet!N326&lt;&gt;"",Worksheet!N326,"")</f>
        <v>17.73</v>
      </c>
      <c r="G330">
        <f>IF(Worksheet!O326&lt;&gt;"",Worksheet!O326,"")</f>
        <v>5.694</v>
      </c>
      <c r="H330">
        <f>IF(Worksheet!P326&lt;&gt;"",Worksheet!P326,"")</f>
        <v>5.7</v>
      </c>
      <c r="I330" s="6"/>
      <c r="J330" s="6"/>
      <c r="K330" t="str">
        <f>IF(Worksheet!BI326&lt;&gt;"",Worksheet!BI326,"")</f>
        <v>3 / 380 / 50</v>
      </c>
      <c r="L330" t="str">
        <f>IF(Worksheet!AU326&lt;&gt;"",Worksheet!AU326,"")</f>
        <v>R410A</v>
      </c>
      <c r="M330" s="6"/>
      <c r="N330" s="6"/>
      <c r="O330" t="str">
        <f>IF(Worksheet!CR326&lt;&gt;"",CONCATENATE(Worksheet!CR326," х ",Worksheet!CP326," х ",Worksheet!CT326),"")</f>
        <v>950 х 45 х 950</v>
      </c>
      <c r="P330" t="str">
        <f>IF(Worksheet!CS326&lt;&gt;"",CONCATENATE(Worksheet!CS326," х ",Worksheet!CU326," х ",Worksheet!CQ326),"")</f>
        <v>1035 х 1035 х 80</v>
      </c>
      <c r="Q330" t="str">
        <f>IF(Worksheet!CV326&lt;&gt;"",CONCATENATE(Worksheet!CV326," / ",Worksheet!CW326),"")</f>
        <v>6 / 9</v>
      </c>
      <c r="R330" t="str">
        <f>IF(Worksheet!BS326&lt;&gt;"",Worksheet!BS326,"")</f>
        <v>43/44/47</v>
      </c>
      <c r="S330" t="str">
        <f>IF(Worksheet!AL326&lt;&gt;"",Worksheet!AL326,"")</f>
        <v>HIGHLY</v>
      </c>
      <c r="T330" t="str">
        <f>IF(Worksheet!CJ326&lt;&gt;"",CONCATENATE(Worksheet!CJ326," х ",Worksheet!CL326," х ",Worksheet!CH326),"")</f>
        <v>940 х 340 х 1250</v>
      </c>
      <c r="U330" t="str">
        <f>IF(Worksheet!CK326&lt;&gt;"",CONCATENATE(Worksheet!CK326," х ",Worksheet!CM326," х ",Worksheet!CI326),"")</f>
        <v>1030 х 430 х 1365</v>
      </c>
      <c r="V330" t="str">
        <f>IF(Worksheet!CN326&lt;&gt;"",CONCATENATE(Worksheet!CN326,"/",Worksheet!CO326),"")</f>
        <v>101/111</v>
      </c>
      <c r="W330" s="6"/>
      <c r="X330" s="7">
        <f>IF(Worksheet!AN326&lt;&gt;"",Worksheet!AN326,"")</f>
        <v>9.52</v>
      </c>
      <c r="Y330" s="7">
        <f>IF(Worksheet!AO326&lt;&gt;"",Worksheet!AO326,"")</f>
        <v>19.05</v>
      </c>
      <c r="Z330" s="17">
        <f>IF(Worksheet!Q326&lt;&gt;"",Worksheet!Q326,"")</f>
        <v>50</v>
      </c>
      <c r="AA330" s="17">
        <f>IF(Worksheet!R326&lt;&gt;"",Worksheet!R326,"")</f>
        <v>30</v>
      </c>
      <c r="AB330" t="str">
        <f>IF(Worksheet!X326&lt;&gt;"",CONCATENATE("от ",Worksheet!X326," до +",Worksheet!Y326),"")</f>
        <v>от 17 до +43</v>
      </c>
      <c r="AC330" t="str">
        <f>IF(Worksheet!Z326&lt;&gt;"",CONCATENATE("от ",Worksheet!Z326," до +",Worksheet!AA326),"")</f>
        <v>от -7 до +24</v>
      </c>
      <c r="AD330" s="6" t="s">
        <v>5245</v>
      </c>
      <c r="AE330" s="17"/>
    </row>
    <row r="331" spans="1:31" x14ac:dyDescent="0.25">
      <c r="A331" s="17" t="str">
        <f>IF(Worksheet!B327&lt;&gt;"",Worksheet!B327,"")</f>
        <v>QUATTROCLIMA</v>
      </c>
      <c r="B331" t="str">
        <f>Worksheet!E327</f>
        <v>Кассетные</v>
      </c>
      <c r="C331">
        <f>IF(Worksheet!M327&lt;&gt;"",Worksheet!M327,"")</f>
        <v>16.12</v>
      </c>
      <c r="D331">
        <f t="shared" si="15"/>
        <v>161</v>
      </c>
      <c r="E331" t="str">
        <f>IF(Worksheet!L327&lt;&gt;"",IF(Worksheet!L327="Y","да","нет"),"")</f>
        <v>нет</v>
      </c>
      <c r="F331">
        <f>IF(Worksheet!N327&lt;&gt;"",Worksheet!N327,"")</f>
        <v>17.73</v>
      </c>
      <c r="G331">
        <f>IF(Worksheet!O327&lt;&gt;"",Worksheet!O327,"")</f>
        <v>5.694</v>
      </c>
      <c r="H331">
        <f>IF(Worksheet!P327&lt;&gt;"",Worksheet!P327,"")</f>
        <v>5.7</v>
      </c>
      <c r="I331" s="6"/>
      <c r="J331" s="6"/>
      <c r="K331" t="str">
        <f>IF(Worksheet!BI327&lt;&gt;"",Worksheet!BI327,"")</f>
        <v>3 / 380 / 50</v>
      </c>
      <c r="L331" t="str">
        <f>IF(Worksheet!AU327&lt;&gt;"",Worksheet!AU327,"")</f>
        <v>R410A</v>
      </c>
      <c r="M331" s="6"/>
      <c r="N331" s="6"/>
      <c r="O331" t="str">
        <f>IF(Worksheet!CR327&lt;&gt;"",CONCATENATE(Worksheet!CR327," х ",Worksheet!CP327," х ",Worksheet!CT327),"")</f>
        <v>950 х 45 х 950</v>
      </c>
      <c r="P331" t="str">
        <f>IF(Worksheet!CS327&lt;&gt;"",CONCATENATE(Worksheet!CS327," х ",Worksheet!CU327," х ",Worksheet!CQ327),"")</f>
        <v>1035 х 1035 х 80</v>
      </c>
      <c r="Q331" t="str">
        <f>IF(Worksheet!CV327&lt;&gt;"",CONCATENATE(Worksheet!CV327," / ",Worksheet!CW327),"")</f>
        <v>6 / 9</v>
      </c>
      <c r="R331" t="str">
        <f>IF(Worksheet!BS327&lt;&gt;"",Worksheet!BS327,"")</f>
        <v>43/44/47</v>
      </c>
      <c r="S331" t="str">
        <f>IF(Worksheet!AL327&lt;&gt;"",Worksheet!AL327,"")</f>
        <v>HIGHLY</v>
      </c>
      <c r="T331" t="str">
        <f>IF(Worksheet!CJ327&lt;&gt;"",CONCATENATE(Worksheet!CJ327," х ",Worksheet!CL327," х ",Worksheet!CH327),"")</f>
        <v>940 х 340 х 1250</v>
      </c>
      <c r="U331" t="str">
        <f>IF(Worksheet!CK327&lt;&gt;"",CONCATENATE(Worksheet!CK327," х ",Worksheet!CM327," х ",Worksheet!CI327),"")</f>
        <v>1030 х 430 х 1365</v>
      </c>
      <c r="V331" t="str">
        <f>IF(Worksheet!CN327&lt;&gt;"",CONCATENATE(Worksheet!CN327,"/",Worksheet!CO327),"")</f>
        <v>101/111</v>
      </c>
      <c r="W331" s="6"/>
      <c r="X331" s="7">
        <f>IF(Worksheet!AN327&lt;&gt;"",Worksheet!AN327,"")</f>
        <v>9.52</v>
      </c>
      <c r="Y331" s="7">
        <f>IF(Worksheet!AO327&lt;&gt;"",Worksheet!AO327,"")</f>
        <v>19.05</v>
      </c>
      <c r="Z331" s="17">
        <f>IF(Worksheet!Q327&lt;&gt;"",Worksheet!Q327,"")</f>
        <v>50</v>
      </c>
      <c r="AA331" s="17">
        <f>IF(Worksheet!R327&lt;&gt;"",Worksheet!R327,"")</f>
        <v>30</v>
      </c>
      <c r="AB331" t="str">
        <f>IF(Worksheet!X327&lt;&gt;"",CONCATENATE("от ",Worksheet!X327," до +",Worksheet!Y327),"")</f>
        <v>от 17 до +43</v>
      </c>
      <c r="AC331" t="str">
        <f>IF(Worksheet!Z327&lt;&gt;"",CONCATENATE("от ",Worksheet!Z327," до +",Worksheet!AA327),"")</f>
        <v>от -7 до +24</v>
      </c>
      <c r="AD331" s="6" t="s">
        <v>5245</v>
      </c>
      <c r="AE331" s="17"/>
    </row>
    <row r="332" spans="1:31" x14ac:dyDescent="0.25">
      <c r="A332" s="17" t="str">
        <f>IF(Worksheet!B328&lt;&gt;"",Worksheet!B328,"")</f>
        <v>QUATTROCLIMA</v>
      </c>
      <c r="B332" t="str">
        <f>Worksheet!E328</f>
        <v>Кассетные</v>
      </c>
      <c r="C332">
        <f>IF(Worksheet!M328&lt;&gt;"",Worksheet!M328,"")</f>
        <v>3.52</v>
      </c>
      <c r="D332">
        <f t="shared" si="15"/>
        <v>35</v>
      </c>
      <c r="E332" t="str">
        <f>IF(Worksheet!L328&lt;&gt;"",IF(Worksheet!L328="Y","да","нет"),"")</f>
        <v>нет</v>
      </c>
      <c r="F332">
        <f>IF(Worksheet!N328&lt;&gt;"",Worksheet!N328,"")</f>
        <v>3.96</v>
      </c>
      <c r="G332">
        <f>IF(Worksheet!O328&lt;&gt;"",Worksheet!O328,"")</f>
        <v>1.3</v>
      </c>
      <c r="H332">
        <f>IF(Worksheet!P328&lt;&gt;"",Worksheet!P328,"")</f>
        <v>1.28</v>
      </c>
      <c r="I332" s="6"/>
      <c r="J332" s="6"/>
      <c r="K332" t="str">
        <f>IF(Worksheet!BI328&lt;&gt;"",Worksheet!BI328,"")</f>
        <v>1 / 220 / 50</v>
      </c>
      <c r="L332" t="str">
        <f>IF(Worksheet!AU328&lt;&gt;"",Worksheet!AU328,"")</f>
        <v>R410A</v>
      </c>
      <c r="M332" s="6"/>
      <c r="N332" s="6"/>
      <c r="O332" t="str">
        <f>IF(Worksheet!CR328&lt;&gt;"",CONCATENATE(Worksheet!CR328," х ",Worksheet!CP328," х ",Worksheet!CT328),"")</f>
        <v>650 х 55 х 650</v>
      </c>
      <c r="P332" t="str">
        <f>IF(Worksheet!CS328&lt;&gt;"",CONCATENATE(Worksheet!CS328," х ",Worksheet!CU328," х ",Worksheet!CQ328),"")</f>
        <v>710 х 710 х 80</v>
      </c>
      <c r="Q332" t="str">
        <f>IF(Worksheet!CV328&lt;&gt;"",CONCATENATE(Worksheet!CV328," / ",Worksheet!CW328),"")</f>
        <v>2.2 / 3.7</v>
      </c>
      <c r="R332" t="str">
        <f>IF(Worksheet!BS328&lt;&gt;"",Worksheet!BS328,"")</f>
        <v>39/42/45</v>
      </c>
      <c r="S332" t="str">
        <f>IF(Worksheet!AL328&lt;&gt;"",Worksheet!AL328,"")</f>
        <v>Gree</v>
      </c>
      <c r="T332" t="str">
        <f>IF(Worksheet!CJ328&lt;&gt;"",CONCATENATE(Worksheet!CJ328," х ",Worksheet!CL328," х ",Worksheet!CH328),"")</f>
        <v>730 х 285 х 545</v>
      </c>
      <c r="U332" t="str">
        <f>IF(Worksheet!CK328&lt;&gt;"",CONCATENATE(Worksheet!CK328," х ",Worksheet!CM328," х ",Worksheet!CI328),"")</f>
        <v>850 х 370 х 620</v>
      </c>
      <c r="V332" t="str">
        <f>IF(Worksheet!CN328&lt;&gt;"",CONCATENATE(Worksheet!CN328,"/",Worksheet!CO328),"")</f>
        <v>28/32</v>
      </c>
      <c r="W332" s="6"/>
      <c r="X332" s="7">
        <f>IF(Worksheet!AN328&lt;&gt;"",Worksheet!AN328,"")</f>
        <v>6.35</v>
      </c>
      <c r="Y332" s="7">
        <f>IF(Worksheet!AO328&lt;&gt;"",Worksheet!AO328,"")</f>
        <v>12.7</v>
      </c>
      <c r="Z332" s="17">
        <f>IF(Worksheet!Q328&lt;&gt;"",Worksheet!Q328,"")</f>
        <v>20</v>
      </c>
      <c r="AA332" s="17">
        <f>IF(Worksheet!R328&lt;&gt;"",Worksheet!R328,"")</f>
        <v>15</v>
      </c>
      <c r="AB332" t="str">
        <f>IF(Worksheet!X328&lt;&gt;"",CONCATENATE("от ",Worksheet!X328," до +",Worksheet!Y328),"")</f>
        <v>от -15 до +49</v>
      </c>
      <c r="AC332" t="str">
        <f>IF(Worksheet!Z328&lt;&gt;"",CONCATENATE("от ",Worksheet!Z328," до +",Worksheet!AA328),"")</f>
        <v>от -15 до +24</v>
      </c>
      <c r="AD332" s="6" t="s">
        <v>5245</v>
      </c>
      <c r="AE332" s="17"/>
    </row>
    <row r="333" spans="1:31" x14ac:dyDescent="0.25">
      <c r="A333" s="17" t="str">
        <f>IF(Worksheet!B329&lt;&gt;"",Worksheet!B329,"")</f>
        <v>QUATTROCLIMA</v>
      </c>
      <c r="B333" t="str">
        <f>Worksheet!E329</f>
        <v>Кассетные</v>
      </c>
      <c r="C333">
        <f>IF(Worksheet!M329&lt;&gt;"",Worksheet!M329,"")</f>
        <v>5.28</v>
      </c>
      <c r="D333">
        <f t="shared" si="15"/>
        <v>53</v>
      </c>
      <c r="E333" t="str">
        <f>IF(Worksheet!L329&lt;&gt;"",IF(Worksheet!L329="Y","да","нет"),"")</f>
        <v>нет</v>
      </c>
      <c r="F333">
        <f>IF(Worksheet!N329&lt;&gt;"",Worksheet!N329,"")</f>
        <v>5.6</v>
      </c>
      <c r="G333">
        <f>IF(Worksheet!O329&lt;&gt;"",Worksheet!O329,"")</f>
        <v>1.7</v>
      </c>
      <c r="H333">
        <f>IF(Worksheet!P329&lt;&gt;"",Worksheet!P329,"")</f>
        <v>1.55</v>
      </c>
      <c r="I333" s="6"/>
      <c r="J333" s="6"/>
      <c r="K333" t="str">
        <f>IF(Worksheet!BI329&lt;&gt;"",Worksheet!BI329,"")</f>
        <v>1 / 220 / 50</v>
      </c>
      <c r="L333" t="str">
        <f>IF(Worksheet!AU329&lt;&gt;"",Worksheet!AU329,"")</f>
        <v>R410A</v>
      </c>
      <c r="M333" s="6"/>
      <c r="N333" s="6"/>
      <c r="O333" t="str">
        <f>IF(Worksheet!CR329&lt;&gt;"",CONCATENATE(Worksheet!CR329," х ",Worksheet!CP329," х ",Worksheet!CT329),"")</f>
        <v>650 х 55 х 650</v>
      </c>
      <c r="P333" t="str">
        <f>IF(Worksheet!CS329&lt;&gt;"",CONCATENATE(Worksheet!CS329," х ",Worksheet!CU329," х ",Worksheet!CQ329),"")</f>
        <v>710 х 710 х 80</v>
      </c>
      <c r="Q333" t="str">
        <f>IF(Worksheet!CV329&lt;&gt;"",CONCATENATE(Worksheet!CV329," / ",Worksheet!CW329),"")</f>
        <v>2.2 / 3.7</v>
      </c>
      <c r="R333" t="str">
        <f>IF(Worksheet!BS329&lt;&gt;"",Worksheet!BS329,"")</f>
        <v>39/42/45</v>
      </c>
      <c r="S333" t="str">
        <f>IF(Worksheet!AL329&lt;&gt;"",Worksheet!AL329,"")</f>
        <v>HIGHLY</v>
      </c>
      <c r="T333" t="str">
        <f>IF(Worksheet!CJ329&lt;&gt;"",CONCATENATE(Worksheet!CJ329," х ",Worksheet!CL329," х ",Worksheet!CH329),"")</f>
        <v>800 х 315 х 545</v>
      </c>
      <c r="U333" t="str">
        <f>IF(Worksheet!CK329&lt;&gt;"",CONCATENATE(Worksheet!CK329," х ",Worksheet!CM329," х ",Worksheet!CI329),"")</f>
        <v>920 х 400 х 620</v>
      </c>
      <c r="V333" t="str">
        <f>IF(Worksheet!CN329&lt;&gt;"",CONCATENATE(Worksheet!CN329,"/",Worksheet!CO329),"")</f>
        <v>36/39</v>
      </c>
      <c r="W333" s="6"/>
      <c r="X333" s="7">
        <f>IF(Worksheet!AN329&lt;&gt;"",Worksheet!AN329,"")</f>
        <v>6.35</v>
      </c>
      <c r="Y333" s="7">
        <f>IF(Worksheet!AO329&lt;&gt;"",Worksheet!AO329,"")</f>
        <v>12.7</v>
      </c>
      <c r="Z333" s="17">
        <f>IF(Worksheet!Q329&lt;&gt;"",Worksheet!Q329,"")</f>
        <v>20</v>
      </c>
      <c r="AA333" s="17">
        <f>IF(Worksheet!R329&lt;&gt;"",Worksheet!R329,"")</f>
        <v>15</v>
      </c>
      <c r="AB333" t="str">
        <f>IF(Worksheet!X329&lt;&gt;"",CONCATENATE("от ",Worksheet!X329," до +",Worksheet!Y329),"")</f>
        <v>от -15 до +49</v>
      </c>
      <c r="AC333" t="str">
        <f>IF(Worksheet!Z329&lt;&gt;"",CONCATENATE("от ",Worksheet!Z329," до +",Worksheet!AA329),"")</f>
        <v>от -15 до +24</v>
      </c>
      <c r="AD333" s="6" t="s">
        <v>5245</v>
      </c>
      <c r="AE333" s="17"/>
    </row>
    <row r="334" spans="1:31" x14ac:dyDescent="0.25">
      <c r="A334" s="17" t="str">
        <f>IF(Worksheet!B330&lt;&gt;"",Worksheet!B330,"")</f>
        <v>QUATTROCLIMA</v>
      </c>
      <c r="B334" t="str">
        <f>Worksheet!E330</f>
        <v>Кассетные</v>
      </c>
      <c r="C334">
        <f>IF(Worksheet!M330&lt;&gt;"",Worksheet!M330,"")</f>
        <v>7.03</v>
      </c>
      <c r="D334">
        <f t="shared" si="15"/>
        <v>70</v>
      </c>
      <c r="E334" t="str">
        <f>IF(Worksheet!L330&lt;&gt;"",IF(Worksheet!L330="Y","да","нет"),"")</f>
        <v>нет</v>
      </c>
      <c r="F334">
        <f>IF(Worksheet!N330&lt;&gt;"",Worksheet!N330,"")</f>
        <v>7.2</v>
      </c>
      <c r="G334">
        <f>IF(Worksheet!O330&lt;&gt;"",Worksheet!O330,"")</f>
        <v>2.15</v>
      </c>
      <c r="H334">
        <f>IF(Worksheet!P330&lt;&gt;"",Worksheet!P330,"")</f>
        <v>1.83</v>
      </c>
      <c r="I334" s="6"/>
      <c r="J334" s="6"/>
      <c r="K334" t="str">
        <f>IF(Worksheet!BI330&lt;&gt;"",Worksheet!BI330,"")</f>
        <v>1 / 220 / 50</v>
      </c>
      <c r="L334" t="str">
        <f>IF(Worksheet!AU330&lt;&gt;"",Worksheet!AU330,"")</f>
        <v>R410A</v>
      </c>
      <c r="M334" s="6"/>
      <c r="N334" s="6"/>
      <c r="O334" t="str">
        <f>IF(Worksheet!CR330&lt;&gt;"",CONCATENATE(Worksheet!CR330," х ",Worksheet!CP330," х ",Worksheet!CT330),"")</f>
        <v>950 х 55 х 950</v>
      </c>
      <c r="P334" t="str">
        <f>IF(Worksheet!CS330&lt;&gt;"",CONCATENATE(Worksheet!CS330," х ",Worksheet!CU330," х ",Worksheet!CQ330),"")</f>
        <v>1000 х 1000 х 100</v>
      </c>
      <c r="Q334" t="str">
        <f>IF(Worksheet!CV330&lt;&gt;"",CONCATENATE(Worksheet!CV330," / ",Worksheet!CW330),"")</f>
        <v>5.3 / 7.8</v>
      </c>
      <c r="R334" t="str">
        <f>IF(Worksheet!BS330&lt;&gt;"",Worksheet!BS330,"")</f>
        <v>39/42/46</v>
      </c>
      <c r="S334" t="str">
        <f>IF(Worksheet!AL330&lt;&gt;"",Worksheet!AL330,"")</f>
        <v>HIGHLY</v>
      </c>
      <c r="T334" t="str">
        <f>IF(Worksheet!CJ330&lt;&gt;"",CONCATENATE(Worksheet!CJ330," х ",Worksheet!CL330," х ",Worksheet!CH330),"")</f>
        <v>825 х 310 х 655</v>
      </c>
      <c r="U334" t="str">
        <f>IF(Worksheet!CK330&lt;&gt;"",CONCATENATE(Worksheet!CK330," х ",Worksheet!CM330," х ",Worksheet!CI330),"")</f>
        <v>945 х 435 х 725</v>
      </c>
      <c r="V334" t="str">
        <f>IF(Worksheet!CN330&lt;&gt;"",CONCATENATE(Worksheet!CN330,"/",Worksheet!CO330),"")</f>
        <v>46/49</v>
      </c>
      <c r="W334" s="6"/>
      <c r="X334" s="7">
        <f>IF(Worksheet!AN330&lt;&gt;"",Worksheet!AN330,"")</f>
        <v>9.52</v>
      </c>
      <c r="Y334" s="7">
        <f>IF(Worksheet!AO330&lt;&gt;"",Worksheet!AO330,"")</f>
        <v>15.88</v>
      </c>
      <c r="Z334" s="17">
        <f>IF(Worksheet!Q330&lt;&gt;"",Worksheet!Q330,"")</f>
        <v>20</v>
      </c>
      <c r="AA334" s="17">
        <f>IF(Worksheet!R330&lt;&gt;"",Worksheet!R330,"")</f>
        <v>15</v>
      </c>
      <c r="AB334" t="str">
        <f>IF(Worksheet!X330&lt;&gt;"",CONCATENATE("от ",Worksheet!X330," до +",Worksheet!Y330),"")</f>
        <v>от -15 до +49</v>
      </c>
      <c r="AC334" t="str">
        <f>IF(Worksheet!Z330&lt;&gt;"",CONCATENATE("от ",Worksheet!Z330," до +",Worksheet!AA330),"")</f>
        <v>от -15 до +24</v>
      </c>
      <c r="AD334" s="6" t="s">
        <v>5245</v>
      </c>
      <c r="AE334" s="17"/>
    </row>
    <row r="335" spans="1:31" x14ac:dyDescent="0.25">
      <c r="A335" s="17" t="str">
        <f>IF(Worksheet!B331&lt;&gt;"",Worksheet!B331,"")</f>
        <v>QUATTROCLIMA</v>
      </c>
      <c r="B335" t="str">
        <f>Worksheet!E331</f>
        <v>Кассетные</v>
      </c>
      <c r="C335">
        <f>IF(Worksheet!M331&lt;&gt;"",Worksheet!M331,"")</f>
        <v>10.55</v>
      </c>
      <c r="D335">
        <f t="shared" si="15"/>
        <v>106</v>
      </c>
      <c r="E335" t="str">
        <f>IF(Worksheet!L331&lt;&gt;"",IF(Worksheet!L331="Y","да","нет"),"")</f>
        <v>нет</v>
      </c>
      <c r="F335">
        <f>IF(Worksheet!N331&lt;&gt;"",Worksheet!N331,"")</f>
        <v>11.7</v>
      </c>
      <c r="G335">
        <f>IF(Worksheet!O331&lt;&gt;"",Worksheet!O331,"")</f>
        <v>3.5</v>
      </c>
      <c r="H335">
        <f>IF(Worksheet!P331&lt;&gt;"",Worksheet!P331,"")</f>
        <v>3.43</v>
      </c>
      <c r="I335" s="6"/>
      <c r="J335" s="6"/>
      <c r="K335" t="str">
        <f>IF(Worksheet!BI331&lt;&gt;"",Worksheet!BI331,"")</f>
        <v>3 / 380 / 50</v>
      </c>
      <c r="L335" t="str">
        <f>IF(Worksheet!AU331&lt;&gt;"",Worksheet!AU331,"")</f>
        <v>R410A</v>
      </c>
      <c r="M335" s="6"/>
      <c r="N335" s="6"/>
      <c r="O335" t="str">
        <f>IF(Worksheet!CR331&lt;&gt;"",CONCATENATE(Worksheet!CR331," х ",Worksheet!CP331," х ",Worksheet!CT331),"")</f>
        <v>950 х 55 х 950</v>
      </c>
      <c r="P335" t="str">
        <f>IF(Worksheet!CS331&lt;&gt;"",CONCATENATE(Worksheet!CS331," х ",Worksheet!CU331," х ",Worksheet!CQ331),"")</f>
        <v>1000 х 1000 х 100</v>
      </c>
      <c r="Q335" t="str">
        <f>IF(Worksheet!CV331&lt;&gt;"",CONCATENATE(Worksheet!CV331," / ",Worksheet!CW331),"")</f>
        <v>5.3 / 7.8</v>
      </c>
      <c r="R335" t="str">
        <f>IF(Worksheet!BS331&lt;&gt;"",Worksheet!BS331,"")</f>
        <v>43/47/52</v>
      </c>
      <c r="S335" t="str">
        <f>IF(Worksheet!AL331&lt;&gt;"",Worksheet!AL331,"")</f>
        <v>Gree</v>
      </c>
      <c r="T335" t="str">
        <f>IF(Worksheet!CJ331&lt;&gt;"",CONCATENATE(Worksheet!CJ331," х ",Worksheet!CL331," х ",Worksheet!CH331),"")</f>
        <v>970 х 395 х 805</v>
      </c>
      <c r="U335" t="str">
        <f>IF(Worksheet!CK331&lt;&gt;"",CONCATENATE(Worksheet!CK331," х ",Worksheet!CM331," х ",Worksheet!CI331),"")</f>
        <v>1105 х 495 х 890</v>
      </c>
      <c r="V335" t="str">
        <f>IF(Worksheet!CN331&lt;&gt;"",CONCATENATE(Worksheet!CN331,"/",Worksheet!CO331),"")</f>
        <v>64/68</v>
      </c>
      <c r="W335" s="6"/>
      <c r="X335" s="7">
        <f>IF(Worksheet!AN331&lt;&gt;"",Worksheet!AN331,"")</f>
        <v>9.52</v>
      </c>
      <c r="Y335" s="7">
        <f>IF(Worksheet!AO331&lt;&gt;"",Worksheet!AO331,"")</f>
        <v>15.88</v>
      </c>
      <c r="Z335" s="17">
        <f>IF(Worksheet!Q331&lt;&gt;"",Worksheet!Q331,"")</f>
        <v>30</v>
      </c>
      <c r="AA335" s="17">
        <f>IF(Worksheet!R331&lt;&gt;"",Worksheet!R331,"")</f>
        <v>20</v>
      </c>
      <c r="AB335" t="str">
        <f>IF(Worksheet!X331&lt;&gt;"",CONCATENATE("от ",Worksheet!X331," до +",Worksheet!Y331),"")</f>
        <v>от -15 до +49</v>
      </c>
      <c r="AC335" t="str">
        <f>IF(Worksheet!Z331&lt;&gt;"",CONCATENATE("от ",Worksheet!Z331," до +",Worksheet!AA331),"")</f>
        <v>от -15 до +24</v>
      </c>
      <c r="AD335" s="6" t="s">
        <v>5245</v>
      </c>
      <c r="AE335" s="17"/>
    </row>
    <row r="336" spans="1:31" x14ac:dyDescent="0.25">
      <c r="A336" s="17" t="str">
        <f>IF(Worksheet!B332&lt;&gt;"",Worksheet!B332,"")</f>
        <v>QUATTROCLIMA</v>
      </c>
      <c r="B336" t="str">
        <f>Worksheet!E332</f>
        <v>Кассетные</v>
      </c>
      <c r="C336">
        <f>IF(Worksheet!M332&lt;&gt;"",Worksheet!M332,"")</f>
        <v>14.07</v>
      </c>
      <c r="D336">
        <f t="shared" si="15"/>
        <v>141</v>
      </c>
      <c r="E336" t="str">
        <f>IF(Worksheet!L332&lt;&gt;"",IF(Worksheet!L332="Y","да","нет"),"")</f>
        <v>нет</v>
      </c>
      <c r="F336">
        <f>IF(Worksheet!N332&lt;&gt;"",Worksheet!N332,"")</f>
        <v>15.24</v>
      </c>
      <c r="G336">
        <f>IF(Worksheet!O332&lt;&gt;"",Worksheet!O332,"")</f>
        <v>4.68</v>
      </c>
      <c r="H336">
        <f>IF(Worksheet!P332&lt;&gt;"",Worksheet!P332,"")</f>
        <v>4.5999999999999996</v>
      </c>
      <c r="I336" s="6"/>
      <c r="J336" s="6"/>
      <c r="K336" t="str">
        <f>IF(Worksheet!BI332&lt;&gt;"",Worksheet!BI332,"")</f>
        <v>3 / 380 / 50</v>
      </c>
      <c r="L336" t="str">
        <f>IF(Worksheet!AU332&lt;&gt;"",Worksheet!AU332,"")</f>
        <v>R410A</v>
      </c>
      <c r="M336" s="6"/>
      <c r="N336" s="6"/>
      <c r="O336" t="str">
        <f>IF(Worksheet!CR332&lt;&gt;"",CONCATENATE(Worksheet!CR332," х ",Worksheet!CP332," х ",Worksheet!CT332),"")</f>
        <v>950 х 55 х 950</v>
      </c>
      <c r="P336" t="str">
        <f>IF(Worksheet!CS332&lt;&gt;"",CONCATENATE(Worksheet!CS332," х ",Worksheet!CU332," х ",Worksheet!CQ332),"")</f>
        <v>1000 х 1000 х 100</v>
      </c>
      <c r="Q336" t="str">
        <f>IF(Worksheet!CV332&lt;&gt;"",CONCATENATE(Worksheet!CV332," / ",Worksheet!CW332),"")</f>
        <v>5.3 / 7.8</v>
      </c>
      <c r="R336" t="str">
        <f>IF(Worksheet!BS332&lt;&gt;"",Worksheet!BS332,"")</f>
        <v>43/47/52</v>
      </c>
      <c r="S336" t="str">
        <f>IF(Worksheet!AL332&lt;&gt;"",Worksheet!AL332,"")</f>
        <v>GMCC</v>
      </c>
      <c r="T336" t="str">
        <f>IF(Worksheet!CJ332&lt;&gt;"",CONCATENATE(Worksheet!CJ332," х ",Worksheet!CL332," х ",Worksheet!CH332),"")</f>
        <v>940 х 340 х 1320</v>
      </c>
      <c r="U336" t="str">
        <f>IF(Worksheet!CK332&lt;&gt;"",CONCATENATE(Worksheet!CK332," х ",Worksheet!CM332," х ",Worksheet!CI332),"")</f>
        <v>1080 х 430 х 1440</v>
      </c>
      <c r="V336" t="str">
        <f>IF(Worksheet!CN332&lt;&gt;"",CONCATENATE(Worksheet!CN332,"/",Worksheet!CO332),"")</f>
        <v>85/94</v>
      </c>
      <c r="W336" s="6"/>
      <c r="X336" s="7">
        <f>IF(Worksheet!AN332&lt;&gt;"",Worksheet!AN332,"")</f>
        <v>9.52</v>
      </c>
      <c r="Y336" s="7">
        <f>IF(Worksheet!AO332&lt;&gt;"",Worksheet!AO332,"")</f>
        <v>19.05</v>
      </c>
      <c r="Z336" s="17">
        <f>IF(Worksheet!Q332&lt;&gt;"",Worksheet!Q332,"")</f>
        <v>50</v>
      </c>
      <c r="AA336" s="17">
        <f>IF(Worksheet!R332&lt;&gt;"",Worksheet!R332,"")</f>
        <v>30</v>
      </c>
      <c r="AB336" t="str">
        <f>IF(Worksheet!X332&lt;&gt;"",CONCATENATE("от ",Worksheet!X332," до +",Worksheet!Y332),"")</f>
        <v>от -15 до +49</v>
      </c>
      <c r="AC336" t="str">
        <f>IF(Worksheet!Z332&lt;&gt;"",CONCATENATE("от ",Worksheet!Z332," до +",Worksheet!AA332),"")</f>
        <v>от -15 до +24</v>
      </c>
      <c r="AD336" s="6" t="s">
        <v>5245</v>
      </c>
      <c r="AE336" s="17"/>
    </row>
    <row r="337" spans="1:31" x14ac:dyDescent="0.25">
      <c r="A337" s="17" t="str">
        <f>IF(Worksheet!B333&lt;&gt;"",Worksheet!B333,"")</f>
        <v>QUATTROCLIMA</v>
      </c>
      <c r="B337" t="str">
        <f>Worksheet!E333</f>
        <v>Кассетные</v>
      </c>
      <c r="C337">
        <f>IF(Worksheet!M333&lt;&gt;"",Worksheet!M333,"")</f>
        <v>16.12</v>
      </c>
      <c r="D337">
        <f t="shared" si="15"/>
        <v>161</v>
      </c>
      <c r="E337" t="str">
        <f>IF(Worksheet!L333&lt;&gt;"",IF(Worksheet!L333="Y","да","нет"),"")</f>
        <v>нет</v>
      </c>
      <c r="F337">
        <f>IF(Worksheet!N333&lt;&gt;"",Worksheet!N333,"")</f>
        <v>17.600000000000001</v>
      </c>
      <c r="G337">
        <f>IF(Worksheet!O333&lt;&gt;"",Worksheet!O333,"")</f>
        <v>5.55</v>
      </c>
      <c r="H337">
        <f>IF(Worksheet!P333&lt;&gt;"",Worksheet!P333,"")</f>
        <v>5.57</v>
      </c>
      <c r="I337" s="6"/>
      <c r="J337" s="6"/>
      <c r="K337" t="str">
        <f>IF(Worksheet!BI333&lt;&gt;"",Worksheet!BI333,"")</f>
        <v>3 / 380 / 50</v>
      </c>
      <c r="L337" t="str">
        <f>IF(Worksheet!AU333&lt;&gt;"",Worksheet!AU333,"")</f>
        <v>R410A</v>
      </c>
      <c r="M337" s="6"/>
      <c r="N337" s="6"/>
      <c r="O337" t="str">
        <f>IF(Worksheet!CR333&lt;&gt;"",CONCATENATE(Worksheet!CR333," х ",Worksheet!CP333," х ",Worksheet!CT333),"")</f>
        <v>950 х 55 х 950</v>
      </c>
      <c r="P337" t="str">
        <f>IF(Worksheet!CS333&lt;&gt;"",CONCATENATE(Worksheet!CS333," х ",Worksheet!CU333," х ",Worksheet!CQ333),"")</f>
        <v>1000 х 1000 х 100</v>
      </c>
      <c r="Q337" t="str">
        <f>IF(Worksheet!CV333&lt;&gt;"",CONCATENATE(Worksheet!CV333," / ",Worksheet!CW333),"")</f>
        <v>5.3 / 7.8</v>
      </c>
      <c r="R337" t="str">
        <f>IF(Worksheet!BS333&lt;&gt;"",Worksheet!BS333,"")</f>
        <v>43/47/52</v>
      </c>
      <c r="S337" t="str">
        <f>IF(Worksheet!AL333&lt;&gt;"",Worksheet!AL333,"")</f>
        <v>GMCC</v>
      </c>
      <c r="T337" t="str">
        <f>IF(Worksheet!CJ333&lt;&gt;"",CONCATENATE(Worksheet!CJ333," х ",Worksheet!CL333," х ",Worksheet!CH333),"")</f>
        <v>940 х 340 х 1320</v>
      </c>
      <c r="U337" t="str">
        <f>IF(Worksheet!CK333&lt;&gt;"",CONCATENATE(Worksheet!CK333," х ",Worksheet!CM333," х ",Worksheet!CI333),"")</f>
        <v>1080 х 430 х 1440</v>
      </c>
      <c r="V337" t="str">
        <f>IF(Worksheet!CN333&lt;&gt;"",CONCATENATE(Worksheet!CN333,"/",Worksheet!CO333),"")</f>
        <v>91/100</v>
      </c>
      <c r="W337" s="6"/>
      <c r="X337" s="7">
        <f>IF(Worksheet!AN333&lt;&gt;"",Worksheet!AN333,"")</f>
        <v>9.52</v>
      </c>
      <c r="Y337" s="7">
        <f>IF(Worksheet!AO333&lt;&gt;"",Worksheet!AO333,"")</f>
        <v>19.05</v>
      </c>
      <c r="Z337" s="17">
        <f>IF(Worksheet!Q333&lt;&gt;"",Worksheet!Q333,"")</f>
        <v>50</v>
      </c>
      <c r="AA337" s="17">
        <f>IF(Worksheet!R333&lt;&gt;"",Worksheet!R333,"")</f>
        <v>30</v>
      </c>
      <c r="AB337" t="str">
        <f>IF(Worksheet!X333&lt;&gt;"",CONCATENATE("от ",Worksheet!X333," до +",Worksheet!Y333),"")</f>
        <v>от -15 до +49</v>
      </c>
      <c r="AC337" t="str">
        <f>IF(Worksheet!Z333&lt;&gt;"",CONCATENATE("от ",Worksheet!Z333," до +",Worksheet!AA333),"")</f>
        <v>от -15 до +24</v>
      </c>
      <c r="AD337" s="6" t="s">
        <v>5245</v>
      </c>
      <c r="AE337" s="17"/>
    </row>
    <row r="338" spans="1:31" x14ac:dyDescent="0.25">
      <c r="A338" s="17" t="str">
        <f>IF(Worksheet!B334&lt;&gt;"",Worksheet!B334,"")</f>
        <v>QUATTROCLIMA</v>
      </c>
      <c r="B338" t="str">
        <f>Worksheet!E334</f>
        <v>Напольно-потолочные</v>
      </c>
      <c r="C338">
        <f>IF(Worksheet!M334&lt;&gt;"",Worksheet!M334,"")</f>
        <v>5.4</v>
      </c>
      <c r="D338">
        <f t="shared" si="15"/>
        <v>54</v>
      </c>
      <c r="E338" t="str">
        <f>IF(Worksheet!L334&lt;&gt;"",IF(Worksheet!L334="Y","да","нет"),"")</f>
        <v>нет</v>
      </c>
      <c r="F338">
        <f>IF(Worksheet!N334&lt;&gt;"",Worksheet!N334,"")</f>
        <v>5.8</v>
      </c>
      <c r="G338">
        <f>IF(Worksheet!O334&lt;&gt;"",Worksheet!O334,"")</f>
        <v>1.65</v>
      </c>
      <c r="H338">
        <f>IF(Worksheet!P334&lt;&gt;"",Worksheet!P334,"")</f>
        <v>1.5</v>
      </c>
      <c r="I338" s="6"/>
      <c r="J338" s="6"/>
      <c r="K338" t="str">
        <f>IF(Worksheet!BI334&lt;&gt;"",Worksheet!BI334,"")</f>
        <v>1 / 220 / 50</v>
      </c>
      <c r="L338" t="str">
        <f>IF(Worksheet!AU334&lt;&gt;"",Worksheet!AU334,"")</f>
        <v>R410A</v>
      </c>
      <c r="M338" s="6"/>
      <c r="N338" s="6"/>
      <c r="O338" t="str">
        <f>IF(Worksheet!CR334&lt;&gt;"",CONCATENATE(Worksheet!CR334," х ",Worksheet!CP334," х ",Worksheet!CT334),"")</f>
        <v>1000 х 690 х 235</v>
      </c>
      <c r="P338" t="str">
        <f>IF(Worksheet!CS334&lt;&gt;"",CONCATENATE(Worksheet!CS334," х ",Worksheet!CU334," х ",Worksheet!CQ334),"")</f>
        <v>1080 х 325 х 770</v>
      </c>
      <c r="Q338" t="str">
        <f>IF(Worksheet!CV334&lt;&gt;"",CONCATENATE(Worksheet!CV334," / ",Worksheet!CW334),"")</f>
        <v>29 / 33</v>
      </c>
      <c r="R338" t="str">
        <f>IF(Worksheet!BS334&lt;&gt;"",Worksheet!BS334,"")</f>
        <v>32/35/43</v>
      </c>
      <c r="S338" t="str">
        <f>IF(Worksheet!AL334&lt;&gt;"",Worksheet!AL334,"")</f>
        <v>HIGHLY</v>
      </c>
      <c r="T338" t="str">
        <f>IF(Worksheet!CJ334&lt;&gt;"",CONCATENATE(Worksheet!CJ334," х ",Worksheet!CL334," х ",Worksheet!CH334),"")</f>
        <v>800 х 315 х 545</v>
      </c>
      <c r="U338" t="str">
        <f>IF(Worksheet!CK334&lt;&gt;"",CONCATENATE(Worksheet!CK334," х ",Worksheet!CM334," х ",Worksheet!CI334),"")</f>
        <v>920 х 400 х 620</v>
      </c>
      <c r="V338" t="str">
        <f>IF(Worksheet!CN334&lt;&gt;"",CONCATENATE(Worksheet!CN334,"/",Worksheet!CO334),"")</f>
        <v>42/45</v>
      </c>
      <c r="W338" s="6"/>
      <c r="X338" s="7">
        <f>IF(Worksheet!AN334&lt;&gt;"",Worksheet!AN334,"")</f>
        <v>6.35</v>
      </c>
      <c r="Y338" s="7">
        <f>IF(Worksheet!AO334&lt;&gt;"",Worksheet!AO334,"")</f>
        <v>12.7</v>
      </c>
      <c r="Z338" s="17">
        <f>IF(Worksheet!Q334&lt;&gt;"",Worksheet!Q334,"")</f>
        <v>20</v>
      </c>
      <c r="AA338" s="17">
        <f>IF(Worksheet!R334&lt;&gt;"",Worksheet!R334,"")</f>
        <v>15</v>
      </c>
      <c r="AB338" t="str">
        <f>IF(Worksheet!X334&lt;&gt;"",CONCATENATE("от ",Worksheet!X334," до +",Worksheet!Y334),"")</f>
        <v>от -15 до +49</v>
      </c>
      <c r="AC338" t="str">
        <f>IF(Worksheet!Z334&lt;&gt;"",CONCATENATE("от ",Worksheet!Z334," до +",Worksheet!AA334),"")</f>
        <v>от -15 до +24</v>
      </c>
      <c r="AD338" s="6" t="s">
        <v>5245</v>
      </c>
      <c r="AE338" s="17"/>
    </row>
    <row r="339" spans="1:31" x14ac:dyDescent="0.25">
      <c r="A339" s="17" t="str">
        <f>IF(Worksheet!B335&lt;&gt;"",Worksheet!B335,"")</f>
        <v>QUATTROCLIMA</v>
      </c>
      <c r="B339" t="str">
        <f>Worksheet!E335</f>
        <v>Напольно-потолочные</v>
      </c>
      <c r="C339">
        <f>IF(Worksheet!M335&lt;&gt;"",Worksheet!M335,"")</f>
        <v>7.2</v>
      </c>
      <c r="D339">
        <f t="shared" si="15"/>
        <v>72</v>
      </c>
      <c r="E339" t="str">
        <f>IF(Worksheet!L335&lt;&gt;"",IF(Worksheet!L335="Y","да","нет"),"")</f>
        <v>нет</v>
      </c>
      <c r="F339">
        <f>IF(Worksheet!N335&lt;&gt;"",Worksheet!N335,"")</f>
        <v>7.6</v>
      </c>
      <c r="G339">
        <f>IF(Worksheet!O335&lt;&gt;"",Worksheet!O335,"")</f>
        <v>2.2400000000000002</v>
      </c>
      <c r="H339">
        <f>IF(Worksheet!P335&lt;&gt;"",Worksheet!P335,"")</f>
        <v>2.1</v>
      </c>
      <c r="I339" s="6"/>
      <c r="J339" s="6"/>
      <c r="K339" t="str">
        <f>IF(Worksheet!BI335&lt;&gt;"",Worksheet!BI335,"")</f>
        <v>1 / 220 / 50</v>
      </c>
      <c r="L339" t="str">
        <f>IF(Worksheet!AU335&lt;&gt;"",Worksheet!AU335,"")</f>
        <v>R410A</v>
      </c>
      <c r="M339" s="6"/>
      <c r="N339" s="6"/>
      <c r="O339" t="str">
        <f>IF(Worksheet!CR335&lt;&gt;"",CONCATENATE(Worksheet!CR335," х ",Worksheet!CP335," х ",Worksheet!CT335),"")</f>
        <v>1280 х 690 х 235</v>
      </c>
      <c r="P339" t="str">
        <f>IF(Worksheet!CS335&lt;&gt;"",CONCATENATE(Worksheet!CS335," х ",Worksheet!CU335," х ",Worksheet!CQ335),"")</f>
        <v>1360 х 325 х 770</v>
      </c>
      <c r="Q339" t="str">
        <f>IF(Worksheet!CV335&lt;&gt;"",CONCATENATE(Worksheet!CV335," / ",Worksheet!CW335),"")</f>
        <v>36 / 42</v>
      </c>
      <c r="R339" t="str">
        <f>IF(Worksheet!BS335&lt;&gt;"",Worksheet!BS335,"")</f>
        <v>42/46/50</v>
      </c>
      <c r="S339" t="str">
        <f>IF(Worksheet!AL335&lt;&gt;"",Worksheet!AL335,"")</f>
        <v>HIGHLY</v>
      </c>
      <c r="T339" t="str">
        <f>IF(Worksheet!CJ335&lt;&gt;"",CONCATENATE(Worksheet!CJ335," х ",Worksheet!CL335," х ",Worksheet!CH335),"")</f>
        <v>825 х 310 х 655</v>
      </c>
      <c r="U339" t="str">
        <f>IF(Worksheet!CK335&lt;&gt;"",CONCATENATE(Worksheet!CK335," х ",Worksheet!CM335," х ",Worksheet!CI335),"")</f>
        <v>945 х 435 х 725</v>
      </c>
      <c r="V339" t="str">
        <f>IF(Worksheet!CN335&lt;&gt;"",CONCATENATE(Worksheet!CN335,"/",Worksheet!CO335),"")</f>
        <v>53/56</v>
      </c>
      <c r="W339" s="6"/>
      <c r="X339" s="7">
        <f>IF(Worksheet!AN335&lt;&gt;"",Worksheet!AN335,"")</f>
        <v>9.52</v>
      </c>
      <c r="Y339" s="7">
        <f>IF(Worksheet!AO335&lt;&gt;"",Worksheet!AO335,"")</f>
        <v>15.88</v>
      </c>
      <c r="Z339" s="17">
        <f>IF(Worksheet!Q335&lt;&gt;"",Worksheet!Q335,"")</f>
        <v>20</v>
      </c>
      <c r="AA339" s="17">
        <f>IF(Worksheet!R335&lt;&gt;"",Worksheet!R335,"")</f>
        <v>15</v>
      </c>
      <c r="AB339" t="str">
        <f>IF(Worksheet!X335&lt;&gt;"",CONCATENATE("от ",Worksheet!X335," до +",Worksheet!Y335),"")</f>
        <v>от -15 до +49</v>
      </c>
      <c r="AC339" t="str">
        <f>IF(Worksheet!Z335&lt;&gt;"",CONCATENATE("от ",Worksheet!Z335," до +",Worksheet!AA335),"")</f>
        <v>от -15 до +24</v>
      </c>
      <c r="AD339" s="6" t="s">
        <v>5245</v>
      </c>
      <c r="AE339" s="17"/>
    </row>
    <row r="340" spans="1:31" x14ac:dyDescent="0.25">
      <c r="A340" s="17" t="str">
        <f>IF(Worksheet!B336&lt;&gt;"",Worksheet!B336,"")</f>
        <v>QUATTROCLIMA</v>
      </c>
      <c r="B340" t="str">
        <f>Worksheet!E336</f>
        <v>Напольно-потолочные</v>
      </c>
      <c r="C340">
        <f>IF(Worksheet!M336&lt;&gt;"",Worksheet!M336,"")</f>
        <v>10.6</v>
      </c>
      <c r="D340">
        <f t="shared" si="15"/>
        <v>106</v>
      </c>
      <c r="E340" t="str">
        <f>IF(Worksheet!L336&lt;&gt;"",IF(Worksheet!L336="Y","да","нет"),"")</f>
        <v>нет</v>
      </c>
      <c r="F340">
        <f>IF(Worksheet!N336&lt;&gt;"",Worksheet!N336,"")</f>
        <v>11.7</v>
      </c>
      <c r="G340">
        <f>IF(Worksheet!O336&lt;&gt;"",Worksheet!O336,"")</f>
        <v>3.5</v>
      </c>
      <c r="H340">
        <f>IF(Worksheet!P336&lt;&gt;"",Worksheet!P336,"")</f>
        <v>3.45</v>
      </c>
      <c r="I340" s="6"/>
      <c r="J340" s="6"/>
      <c r="K340" t="str">
        <f>IF(Worksheet!BI336&lt;&gt;"",Worksheet!BI336,"")</f>
        <v>3 / 380 / 50</v>
      </c>
      <c r="L340" t="str">
        <f>IF(Worksheet!AU336&lt;&gt;"",Worksheet!AU336,"")</f>
        <v>R410A</v>
      </c>
      <c r="M340" s="6"/>
      <c r="N340" s="6"/>
      <c r="O340" t="str">
        <f>IF(Worksheet!CR336&lt;&gt;"",CONCATENATE(Worksheet!CR336," х ",Worksheet!CP336," х ",Worksheet!CT336),"")</f>
        <v>1280 х 690 х 235</v>
      </c>
      <c r="P340" t="str">
        <f>IF(Worksheet!CS336&lt;&gt;"",CONCATENATE(Worksheet!CS336," х ",Worksheet!CU336," х ",Worksheet!CQ336),"")</f>
        <v>1360 х 325 х 770</v>
      </c>
      <c r="Q340" t="str">
        <f>IF(Worksheet!CV336&lt;&gt;"",CONCATENATE(Worksheet!CV336," / ",Worksheet!CW336),"")</f>
        <v>36 / 42</v>
      </c>
      <c r="R340" t="str">
        <f>IF(Worksheet!BS336&lt;&gt;"",Worksheet!BS336,"")</f>
        <v>42/46/50</v>
      </c>
      <c r="S340" t="str">
        <f>IF(Worksheet!AL336&lt;&gt;"",Worksheet!AL336,"")</f>
        <v>HIGHLY</v>
      </c>
      <c r="T340" t="str">
        <f>IF(Worksheet!CJ336&lt;&gt;"",CONCATENATE(Worksheet!CJ336," х ",Worksheet!CL336," х ",Worksheet!CH336),"")</f>
        <v>970 х 395 х 805</v>
      </c>
      <c r="U340" t="str">
        <f>IF(Worksheet!CK336&lt;&gt;"",CONCATENATE(Worksheet!CK336," х ",Worksheet!CM336," х ",Worksheet!CI336),"")</f>
        <v>1105 х 495 х 895</v>
      </c>
      <c r="V340" t="str">
        <f>IF(Worksheet!CN336&lt;&gt;"",CONCATENATE(Worksheet!CN336,"/",Worksheet!CO336),"")</f>
        <v>65/75</v>
      </c>
      <c r="W340" s="6"/>
      <c r="X340" s="7">
        <f>IF(Worksheet!AN336&lt;&gt;"",Worksheet!AN336,"")</f>
        <v>9.52</v>
      </c>
      <c r="Y340" s="7">
        <f>IF(Worksheet!AO336&lt;&gt;"",Worksheet!AO336,"")</f>
        <v>15.88</v>
      </c>
      <c r="Z340" s="17">
        <f>IF(Worksheet!Q336&lt;&gt;"",Worksheet!Q336,"")</f>
        <v>30</v>
      </c>
      <c r="AA340" s="17">
        <f>IF(Worksheet!R336&lt;&gt;"",Worksheet!R336,"")</f>
        <v>20</v>
      </c>
      <c r="AB340" t="str">
        <f>IF(Worksheet!X336&lt;&gt;"",CONCATENATE("от ",Worksheet!X336," до +",Worksheet!Y336),"")</f>
        <v>от -15 до +49</v>
      </c>
      <c r="AC340" t="str">
        <f>IF(Worksheet!Z336&lt;&gt;"",CONCATENATE("от ",Worksheet!Z336," до +",Worksheet!AA336),"")</f>
        <v>от -15 до +24</v>
      </c>
      <c r="AD340" s="6" t="s">
        <v>5245</v>
      </c>
      <c r="AE340" s="17"/>
    </row>
    <row r="341" spans="1:31" x14ac:dyDescent="0.25">
      <c r="A341" s="17" t="str">
        <f>IF(Worksheet!B337&lt;&gt;"",Worksheet!B337,"")</f>
        <v>QUATTROCLIMA</v>
      </c>
      <c r="B341" t="str">
        <f>Worksheet!E337</f>
        <v>Напольно-потолочные</v>
      </c>
      <c r="C341">
        <f>IF(Worksheet!M337&lt;&gt;"",Worksheet!M337,"")</f>
        <v>14.07</v>
      </c>
      <c r="D341">
        <f t="shared" si="15"/>
        <v>141</v>
      </c>
      <c r="E341" t="str">
        <f>IF(Worksheet!L337&lt;&gt;"",IF(Worksheet!L337="Y","да","нет"),"")</f>
        <v>нет</v>
      </c>
      <c r="F341">
        <f>IF(Worksheet!N337&lt;&gt;"",Worksheet!N337,"")</f>
        <v>15.55</v>
      </c>
      <c r="G341">
        <f>IF(Worksheet!O337&lt;&gt;"",Worksheet!O337,"")</f>
        <v>4.8499999999999996</v>
      </c>
      <c r="H341">
        <f>IF(Worksheet!P337&lt;&gt;"",Worksheet!P337,"")</f>
        <v>4.8</v>
      </c>
      <c r="I341" s="6"/>
      <c r="J341" s="6"/>
      <c r="K341" t="str">
        <f>IF(Worksheet!BI337&lt;&gt;"",Worksheet!BI337,"")</f>
        <v>3 / 380 / 50</v>
      </c>
      <c r="L341" t="str">
        <f>IF(Worksheet!AU337&lt;&gt;"",Worksheet!AU337,"")</f>
        <v>R410A</v>
      </c>
      <c r="M341" s="6"/>
      <c r="N341" s="6"/>
      <c r="O341" t="str">
        <f>IF(Worksheet!CR337&lt;&gt;"",CONCATENATE(Worksheet!CR337," х ",Worksheet!CP337," х ",Worksheet!CT337),"")</f>
        <v>1600 х 690 х 235</v>
      </c>
      <c r="P341" t="str">
        <f>IF(Worksheet!CS337&lt;&gt;"",CONCATENATE(Worksheet!CS337," х ",Worksheet!CU337," х ",Worksheet!CQ337),"")</f>
        <v>1680 х 325 х 770</v>
      </c>
      <c r="Q341" t="str">
        <f>IF(Worksheet!CV337&lt;&gt;"",CONCATENATE(Worksheet!CV337," / ",Worksheet!CW337),"")</f>
        <v>44 / 50.5</v>
      </c>
      <c r="R341" t="str">
        <f>IF(Worksheet!BS337&lt;&gt;"",Worksheet!BS337,"")</f>
        <v>43/47/51</v>
      </c>
      <c r="S341" t="str">
        <f>IF(Worksheet!AL337&lt;&gt;"",Worksheet!AL337,"")</f>
        <v>HIGHLY</v>
      </c>
      <c r="T341" t="str">
        <f>IF(Worksheet!CJ337&lt;&gt;"",CONCATENATE(Worksheet!CJ337," х ",Worksheet!CL337," х ",Worksheet!CH337),"")</f>
        <v>940 х 370 х 1325</v>
      </c>
      <c r="U341" t="str">
        <f>IF(Worksheet!CK337&lt;&gt;"",CONCATENATE(Worksheet!CK337," х ",Worksheet!CM337," х ",Worksheet!CI337),"")</f>
        <v>1080 х 430 х 1440</v>
      </c>
      <c r="V341" t="str">
        <f>IF(Worksheet!CN337&lt;&gt;"",CONCATENATE(Worksheet!CN337,"/",Worksheet!CO337),"")</f>
        <v>95/105</v>
      </c>
      <c r="W341" s="6"/>
      <c r="X341" s="7">
        <f>IF(Worksheet!AN337&lt;&gt;"",Worksheet!AN337,"")</f>
        <v>9.52</v>
      </c>
      <c r="Y341" s="7">
        <f>IF(Worksheet!AO337&lt;&gt;"",Worksheet!AO337,"")</f>
        <v>19.05</v>
      </c>
      <c r="Z341" s="17">
        <f>IF(Worksheet!Q337&lt;&gt;"",Worksheet!Q337,"")</f>
        <v>50</v>
      </c>
      <c r="AA341" s="17">
        <f>IF(Worksheet!R337&lt;&gt;"",Worksheet!R337,"")</f>
        <v>30</v>
      </c>
      <c r="AB341" t="str">
        <f>IF(Worksheet!X337&lt;&gt;"",CONCATENATE("от ",Worksheet!X337," до +",Worksheet!Y337),"")</f>
        <v>от -15 до +49</v>
      </c>
      <c r="AC341" t="str">
        <f>IF(Worksheet!Z337&lt;&gt;"",CONCATENATE("от ",Worksheet!Z337," до +",Worksheet!AA337),"")</f>
        <v>от -15 до +24</v>
      </c>
      <c r="AD341" s="6" t="s">
        <v>5245</v>
      </c>
      <c r="AE341" s="17"/>
    </row>
    <row r="342" spans="1:31" x14ac:dyDescent="0.25">
      <c r="A342" s="17" t="str">
        <f>IF(Worksheet!B338&lt;&gt;"",Worksheet!B338,"")</f>
        <v>QUATTROCLIMA</v>
      </c>
      <c r="B342" t="str">
        <f>Worksheet!E338</f>
        <v>Напольно-потолочные</v>
      </c>
      <c r="C342">
        <f>IF(Worksheet!M338&lt;&gt;"",Worksheet!M338,"")</f>
        <v>16.12</v>
      </c>
      <c r="D342">
        <f t="shared" si="15"/>
        <v>161</v>
      </c>
      <c r="E342" t="str">
        <f>IF(Worksheet!L338&lt;&gt;"",IF(Worksheet!L338="Y","да","нет"),"")</f>
        <v>нет</v>
      </c>
      <c r="F342">
        <f>IF(Worksheet!N338&lt;&gt;"",Worksheet!N338,"")</f>
        <v>17.579999999999998</v>
      </c>
      <c r="G342">
        <f>IF(Worksheet!O338&lt;&gt;"",Worksheet!O338,"")</f>
        <v>5.2</v>
      </c>
      <c r="H342">
        <f>IF(Worksheet!P338&lt;&gt;"",Worksheet!P338,"")</f>
        <v>5.0999999999999996</v>
      </c>
      <c r="I342" s="6"/>
      <c r="J342" s="6"/>
      <c r="K342" t="str">
        <f>IF(Worksheet!BI338&lt;&gt;"",Worksheet!BI338,"")</f>
        <v>3 / 380 / 50</v>
      </c>
      <c r="L342" t="str">
        <f>IF(Worksheet!AU338&lt;&gt;"",Worksheet!AU338,"")</f>
        <v>R410A</v>
      </c>
      <c r="M342" s="6"/>
      <c r="N342" s="6"/>
      <c r="O342" t="str">
        <f>IF(Worksheet!CR338&lt;&gt;"",CONCATENATE(Worksheet!CR338," х ",Worksheet!CP338," х ",Worksheet!CT338),"")</f>
        <v>1600 х 690 х 235</v>
      </c>
      <c r="P342" t="str">
        <f>IF(Worksheet!CS338&lt;&gt;"",CONCATENATE(Worksheet!CS338," х ",Worksheet!CU338," х ",Worksheet!CQ338),"")</f>
        <v>1680 х 325 х 770</v>
      </c>
      <c r="Q342" t="str">
        <f>IF(Worksheet!CV338&lt;&gt;"",CONCATENATE(Worksheet!CV338," / ",Worksheet!CW338),"")</f>
        <v>44 / 50.5</v>
      </c>
      <c r="R342" t="str">
        <f>IF(Worksheet!BS338&lt;&gt;"",Worksheet!BS338,"")</f>
        <v>43/47/51</v>
      </c>
      <c r="S342" t="str">
        <f>IF(Worksheet!AL338&lt;&gt;"",Worksheet!AL338,"")</f>
        <v>HIGHLY</v>
      </c>
      <c r="T342" t="str">
        <f>IF(Worksheet!CJ338&lt;&gt;"",CONCATENATE(Worksheet!CJ338," х ",Worksheet!CL338," х ",Worksheet!CH338),"")</f>
        <v>940 х 370 х 1325</v>
      </c>
      <c r="U342" t="str">
        <f>IF(Worksheet!CK338&lt;&gt;"",CONCATENATE(Worksheet!CK338," х ",Worksheet!CM338," х ",Worksheet!CI338),"")</f>
        <v>1080 х 430 х 1440</v>
      </c>
      <c r="V342" t="str">
        <f>IF(Worksheet!CN338&lt;&gt;"",CONCATENATE(Worksheet!CN338,"/",Worksheet!CO338),"")</f>
        <v>99/109</v>
      </c>
      <c r="W342" s="6"/>
      <c r="X342" s="7">
        <f>IF(Worksheet!AN338&lt;&gt;"",Worksheet!AN338,"")</f>
        <v>9.52</v>
      </c>
      <c r="Y342" s="7">
        <f>IF(Worksheet!AO338&lt;&gt;"",Worksheet!AO338,"")</f>
        <v>19.05</v>
      </c>
      <c r="Z342" s="17">
        <f>IF(Worksheet!Q338&lt;&gt;"",Worksheet!Q338,"")</f>
        <v>50</v>
      </c>
      <c r="AA342" s="17">
        <f>IF(Worksheet!R338&lt;&gt;"",Worksheet!R338,"")</f>
        <v>30</v>
      </c>
      <c r="AB342" t="str">
        <f>IF(Worksheet!X338&lt;&gt;"",CONCATENATE("от ",Worksheet!X338," до +",Worksheet!Y338),"")</f>
        <v>от -15 до +49</v>
      </c>
      <c r="AC342" t="str">
        <f>IF(Worksheet!Z338&lt;&gt;"",CONCATENATE("от ",Worksheet!Z338," до +",Worksheet!AA338),"")</f>
        <v>от -15 до +24</v>
      </c>
      <c r="AD342" s="6" t="s">
        <v>5245</v>
      </c>
      <c r="AE342" s="17"/>
    </row>
    <row r="343" spans="1:31" x14ac:dyDescent="0.25">
      <c r="A343" s="17" t="str">
        <f>IF(Worksheet!B339&lt;&gt;"",Worksheet!B339,"")</f>
        <v>QUATTROCLIMA</v>
      </c>
      <c r="B343" t="str">
        <f>Worksheet!E339</f>
        <v>Напольно-потолочные</v>
      </c>
      <c r="C343">
        <f>IF(Worksheet!M339&lt;&gt;"",Worksheet!M339,"")</f>
        <v>5.3</v>
      </c>
      <c r="D343">
        <f t="shared" si="15"/>
        <v>53</v>
      </c>
      <c r="E343" t="str">
        <f>IF(Worksheet!L339&lt;&gt;"",IF(Worksheet!L339="Y","да","нет"),"")</f>
        <v>нет</v>
      </c>
      <c r="F343">
        <f>IF(Worksheet!N339&lt;&gt;"",Worksheet!N339,"")</f>
        <v>5.9</v>
      </c>
      <c r="G343">
        <f>IF(Worksheet!O339&lt;&gt;"",Worksheet!O339,"")</f>
        <v>1.712</v>
      </c>
      <c r="H343">
        <f>IF(Worksheet!P339&lt;&gt;"",Worksheet!P339,"")</f>
        <v>1.782</v>
      </c>
      <c r="I343" s="6"/>
      <c r="J343" s="6"/>
      <c r="K343" t="str">
        <f>IF(Worksheet!BI339&lt;&gt;"",Worksheet!BI339,"")</f>
        <v>1 / 220 / 50</v>
      </c>
      <c r="L343" t="str">
        <f>IF(Worksheet!AU339&lt;&gt;"",Worksheet!AU339,"")</f>
        <v>R410A</v>
      </c>
      <c r="M343" s="6"/>
      <c r="N343" s="6"/>
      <c r="O343" t="str">
        <f>IF(Worksheet!CR339&lt;&gt;"",CONCATENATE(Worksheet!CR339," х ",Worksheet!CP339," х ",Worksheet!CT339),"")</f>
        <v>1055 х 235 х 675</v>
      </c>
      <c r="P343" t="str">
        <f>IF(Worksheet!CS339&lt;&gt;"",CONCATENATE(Worksheet!CS339," х ",Worksheet!CU339," х ",Worksheet!CQ339),"")</f>
        <v>1130 х 748 х 305</v>
      </c>
      <c r="Q343" t="str">
        <f>IF(Worksheet!CV339&lt;&gt;"",CONCATENATE(Worksheet!CV339," / ",Worksheet!CW339),"")</f>
        <v>24 / 29</v>
      </c>
      <c r="R343" t="str">
        <f>IF(Worksheet!BS339&lt;&gt;"",Worksheet!BS339,"")</f>
        <v>38/41/43</v>
      </c>
      <c r="S343" t="str">
        <f>IF(Worksheet!AL339&lt;&gt;"",Worksheet!AL339,"")</f>
        <v>GMCC</v>
      </c>
      <c r="T343" t="str">
        <f>IF(Worksheet!CJ339&lt;&gt;"",CONCATENATE(Worksheet!CJ339," х ",Worksheet!CL339," х ",Worksheet!CH339),"")</f>
        <v>780 х 290 х 605</v>
      </c>
      <c r="U343" t="str">
        <f>IF(Worksheet!CK339&lt;&gt;"",CONCATENATE(Worksheet!CK339," х ",Worksheet!CM339," х ",Worksheet!CI339),"")</f>
        <v>883 х 412 х 653</v>
      </c>
      <c r="V343" t="str">
        <f>IF(Worksheet!CN339&lt;&gt;"",CONCATENATE(Worksheet!CN339,"/",Worksheet!CO339),"")</f>
        <v>38/42</v>
      </c>
      <c r="W343" s="6"/>
      <c r="X343" s="7">
        <f>IF(Worksheet!AN339&lt;&gt;"",Worksheet!AN339,"")</f>
        <v>6.35</v>
      </c>
      <c r="Y343" s="7">
        <f>IF(Worksheet!AO339&lt;&gt;"",Worksheet!AO339,"")</f>
        <v>12.7</v>
      </c>
      <c r="Z343" s="17">
        <f>IF(Worksheet!Q339&lt;&gt;"",Worksheet!Q339,"")</f>
        <v>25</v>
      </c>
      <c r="AA343" s="17">
        <f>IF(Worksheet!R339&lt;&gt;"",Worksheet!R339,"")</f>
        <v>15</v>
      </c>
      <c r="AB343" t="str">
        <f>IF(Worksheet!X339&lt;&gt;"",CONCATENATE("от ",Worksheet!X339," до +",Worksheet!Y339),"")</f>
        <v>от 17 до +43</v>
      </c>
      <c r="AC343" t="str">
        <f>IF(Worksheet!Z339&lt;&gt;"",CONCATENATE("от ",Worksheet!Z339," до +",Worksheet!AA339),"")</f>
        <v>от -7 до +24</v>
      </c>
      <c r="AD343" s="6" t="s">
        <v>5245</v>
      </c>
      <c r="AE343" s="17"/>
    </row>
    <row r="344" spans="1:31" x14ac:dyDescent="0.25">
      <c r="A344" s="17" t="str">
        <f>IF(Worksheet!B340&lt;&gt;"",Worksheet!B340,"")</f>
        <v>QUATTROCLIMA</v>
      </c>
      <c r="B344" t="str">
        <f>Worksheet!E340</f>
        <v>Напольно-потолочные</v>
      </c>
      <c r="C344">
        <f>IF(Worksheet!M340&lt;&gt;"",Worksheet!M340,"")</f>
        <v>5.3</v>
      </c>
      <c r="D344">
        <f t="shared" si="15"/>
        <v>53</v>
      </c>
      <c r="E344" t="str">
        <f>IF(Worksheet!L340&lt;&gt;"",IF(Worksheet!L340="Y","да","нет"),"")</f>
        <v>нет</v>
      </c>
      <c r="F344">
        <f>IF(Worksheet!N340&lt;&gt;"",Worksheet!N340,"")</f>
        <v>5.9</v>
      </c>
      <c r="G344">
        <f>IF(Worksheet!O340&lt;&gt;"",Worksheet!O340,"")</f>
        <v>1.712</v>
      </c>
      <c r="H344">
        <f>IF(Worksheet!P340&lt;&gt;"",Worksheet!P340,"")</f>
        <v>1.782</v>
      </c>
      <c r="I344" s="6"/>
      <c r="J344" s="6"/>
      <c r="K344" t="str">
        <f>IF(Worksheet!BI340&lt;&gt;"",Worksheet!BI340,"")</f>
        <v>1 / 220 / 50</v>
      </c>
      <c r="L344" t="str">
        <f>IF(Worksheet!AU340&lt;&gt;"",Worksheet!AU340,"")</f>
        <v>R410A</v>
      </c>
      <c r="M344" s="6"/>
      <c r="N344" s="6"/>
      <c r="O344" t="str">
        <f>IF(Worksheet!CR340&lt;&gt;"",CONCATENATE(Worksheet!CR340," х ",Worksheet!CP340," х ",Worksheet!CT340),"")</f>
        <v>1055 х 675 х 235</v>
      </c>
      <c r="P344" t="str">
        <f>IF(Worksheet!CS340&lt;&gt;"",CONCATENATE(Worksheet!CS340," х ",Worksheet!CU340," х ",Worksheet!CQ340),"")</f>
        <v>1130 х 305 х 748</v>
      </c>
      <c r="Q344" t="str">
        <f>IF(Worksheet!CV340&lt;&gt;"",CONCATENATE(Worksheet!CV340," / ",Worksheet!CW340),"")</f>
        <v>24 / 29</v>
      </c>
      <c r="R344" t="str">
        <f>IF(Worksheet!BS340&lt;&gt;"",Worksheet!BS340,"")</f>
        <v>38/41/43</v>
      </c>
      <c r="S344" t="str">
        <f>IF(Worksheet!AL340&lt;&gt;"",Worksheet!AL340,"")</f>
        <v>GMCC</v>
      </c>
      <c r="T344" t="str">
        <f>IF(Worksheet!CJ340&lt;&gt;"",CONCATENATE(Worksheet!CJ340," х ",Worksheet!CL340," х ",Worksheet!CH340),"")</f>
        <v>780 х 290 х 605</v>
      </c>
      <c r="U344" t="str">
        <f>IF(Worksheet!CK340&lt;&gt;"",CONCATENATE(Worksheet!CK340," х ",Worksheet!CM340," х ",Worksheet!CI340),"")</f>
        <v>883 х 412 х 653</v>
      </c>
      <c r="V344" t="str">
        <f>IF(Worksheet!CN340&lt;&gt;"",CONCATENATE(Worksheet!CN340,"/",Worksheet!CO340),"")</f>
        <v>38/42</v>
      </c>
      <c r="W344" s="6"/>
      <c r="X344" s="7">
        <f>IF(Worksheet!AN340&lt;&gt;"",Worksheet!AN340,"")</f>
        <v>6.35</v>
      </c>
      <c r="Y344" s="7">
        <f>IF(Worksheet!AO340&lt;&gt;"",Worksheet!AO340,"")</f>
        <v>12.7</v>
      </c>
      <c r="Z344" s="17">
        <f>IF(Worksheet!Q340&lt;&gt;"",Worksheet!Q340,"")</f>
        <v>25</v>
      </c>
      <c r="AA344" s="17">
        <f>IF(Worksheet!R340&lt;&gt;"",Worksheet!R340,"")</f>
        <v>15</v>
      </c>
      <c r="AB344" t="str">
        <f>IF(Worksheet!X340&lt;&gt;"",CONCATENATE("от ",Worksheet!X340," до +",Worksheet!Y340),"")</f>
        <v>от 17 до +43</v>
      </c>
      <c r="AC344" t="str">
        <f>IF(Worksheet!Z340&lt;&gt;"",CONCATENATE("от ",Worksheet!Z340," до +",Worksheet!AA340),"")</f>
        <v>от 7 до +24</v>
      </c>
      <c r="AD344" s="6" t="s">
        <v>5245</v>
      </c>
      <c r="AE344" s="17"/>
    </row>
    <row r="345" spans="1:31" x14ac:dyDescent="0.25">
      <c r="A345" s="17" t="str">
        <f>IF(Worksheet!B341&lt;&gt;"",Worksheet!B341,"")</f>
        <v>QUATTROCLIMA</v>
      </c>
      <c r="B345" t="str">
        <f>Worksheet!E341</f>
        <v>Напольно-потолочные</v>
      </c>
      <c r="C345">
        <f>IF(Worksheet!M341&lt;&gt;"",Worksheet!M341,"")</f>
        <v>7.2</v>
      </c>
      <c r="D345">
        <f t="shared" si="15"/>
        <v>72</v>
      </c>
      <c r="E345" t="str">
        <f>IF(Worksheet!L341&lt;&gt;"",IF(Worksheet!L341="Y","да","нет"),"")</f>
        <v>нет</v>
      </c>
      <c r="F345">
        <f>IF(Worksheet!N341&lt;&gt;"",Worksheet!N341,"")</f>
        <v>7.9</v>
      </c>
      <c r="G345">
        <f>IF(Worksheet!O341&lt;&gt;"",Worksheet!O341,"")</f>
        <v>2.23</v>
      </c>
      <c r="H345">
        <f>IF(Worksheet!P341&lt;&gt;"",Worksheet!P341,"")</f>
        <v>2.254</v>
      </c>
      <c r="I345" s="6"/>
      <c r="J345" s="6"/>
      <c r="K345" t="str">
        <f>IF(Worksheet!BI341&lt;&gt;"",Worksheet!BI341,"")</f>
        <v>1 / 220 / 50</v>
      </c>
      <c r="L345" t="str">
        <f>IF(Worksheet!AU341&lt;&gt;"",Worksheet!AU341,"")</f>
        <v>R410A</v>
      </c>
      <c r="M345" s="6"/>
      <c r="N345" s="6"/>
      <c r="O345" t="str">
        <f>IF(Worksheet!CR341&lt;&gt;"",CONCATENATE(Worksheet!CR341," х ",Worksheet!CP341," х ",Worksheet!CT341),"")</f>
        <v>1055 х 235 х 675</v>
      </c>
      <c r="P345" t="str">
        <f>IF(Worksheet!CS341&lt;&gt;"",CONCATENATE(Worksheet!CS341," х ",Worksheet!CU341," х ",Worksheet!CQ341),"")</f>
        <v>1130 х 748 х 305</v>
      </c>
      <c r="Q345" t="str">
        <f>IF(Worksheet!CV341&lt;&gt;"",CONCATENATE(Worksheet!CV341," / ",Worksheet!CW341),"")</f>
        <v>24 / 30</v>
      </c>
      <c r="R345" t="str">
        <f>IF(Worksheet!BS341&lt;&gt;"",Worksheet!BS341,"")</f>
        <v>40/43/45</v>
      </c>
      <c r="S345" t="str">
        <f>IF(Worksheet!AL341&lt;&gt;"",Worksheet!AL341,"")</f>
        <v>GMCC</v>
      </c>
      <c r="T345" t="str">
        <f>IF(Worksheet!CJ341&lt;&gt;"",CONCATENATE(Worksheet!CJ341," х ",Worksheet!CL341," х ",Worksheet!CH341),"")</f>
        <v>900 х 310 х 650</v>
      </c>
      <c r="U345" t="str">
        <f>IF(Worksheet!CK341&lt;&gt;"",CONCATENATE(Worksheet!CK341," х ",Worksheet!CM341," х ",Worksheet!CI341),"")</f>
        <v>1015 х 425 х 720</v>
      </c>
      <c r="V345" t="str">
        <f>IF(Worksheet!CN341&lt;&gt;"",CONCATENATE(Worksheet!CN341,"/",Worksheet!CO341),"")</f>
        <v>51/54</v>
      </c>
      <c r="W345" s="6"/>
      <c r="X345" s="7">
        <f>IF(Worksheet!AN341&lt;&gt;"",Worksheet!AN341,"")</f>
        <v>9.52</v>
      </c>
      <c r="Y345" s="7">
        <f>IF(Worksheet!AO341&lt;&gt;"",Worksheet!AO341,"")</f>
        <v>15.88</v>
      </c>
      <c r="Z345" s="17">
        <f>IF(Worksheet!Q341&lt;&gt;"",Worksheet!Q341,"")</f>
        <v>30</v>
      </c>
      <c r="AA345" s="17">
        <f>IF(Worksheet!R341&lt;&gt;"",Worksheet!R341,"")</f>
        <v>15</v>
      </c>
      <c r="AB345" t="str">
        <f>IF(Worksheet!X341&lt;&gt;"",CONCATENATE("от ",Worksheet!X341," до +",Worksheet!Y341),"")</f>
        <v>от 17 до +43</v>
      </c>
      <c r="AC345" t="str">
        <f>IF(Worksheet!Z341&lt;&gt;"",CONCATENATE("от ",Worksheet!Z341," до +",Worksheet!AA341),"")</f>
        <v>от -7 до +24</v>
      </c>
      <c r="AD345" s="6" t="s">
        <v>5245</v>
      </c>
      <c r="AE345" s="17"/>
    </row>
    <row r="346" spans="1:31" x14ac:dyDescent="0.25">
      <c r="A346" s="17" t="str">
        <f>IF(Worksheet!B342&lt;&gt;"",Worksheet!B342,"")</f>
        <v>QUATTROCLIMA</v>
      </c>
      <c r="B346" t="str">
        <f>Worksheet!E342</f>
        <v>Напольно-потолочные</v>
      </c>
      <c r="C346">
        <f>IF(Worksheet!M342&lt;&gt;"",Worksheet!M342,"")</f>
        <v>7.2</v>
      </c>
      <c r="D346">
        <f t="shared" si="15"/>
        <v>72</v>
      </c>
      <c r="E346" t="str">
        <f>IF(Worksheet!L342&lt;&gt;"",IF(Worksheet!L342="Y","да","нет"),"")</f>
        <v>нет</v>
      </c>
      <c r="F346">
        <f>IF(Worksheet!N342&lt;&gt;"",Worksheet!N342,"")</f>
        <v>7.9</v>
      </c>
      <c r="G346">
        <f>IF(Worksheet!O342&lt;&gt;"",Worksheet!O342,"")</f>
        <v>2.23</v>
      </c>
      <c r="H346">
        <f>IF(Worksheet!P342&lt;&gt;"",Worksheet!P342,"")</f>
        <v>2.254</v>
      </c>
      <c r="I346" s="6"/>
      <c r="J346" s="6"/>
      <c r="K346" t="str">
        <f>IF(Worksheet!BI342&lt;&gt;"",Worksheet!BI342,"")</f>
        <v>1 / 220 / 50</v>
      </c>
      <c r="L346" t="str">
        <f>IF(Worksheet!AU342&lt;&gt;"",Worksheet!AU342,"")</f>
        <v>R410A</v>
      </c>
      <c r="M346" s="6"/>
      <c r="N346" s="6"/>
      <c r="O346" t="str">
        <f>IF(Worksheet!CR342&lt;&gt;"",CONCATENATE(Worksheet!CR342," х ",Worksheet!CP342," х ",Worksheet!CT342),"")</f>
        <v>1055 х 675 х 235</v>
      </c>
      <c r="P346" t="str">
        <f>IF(Worksheet!CS342&lt;&gt;"",CONCATENATE(Worksheet!CS342," х ",Worksheet!CU342," х ",Worksheet!CQ342),"")</f>
        <v>1130 х 305 х 748</v>
      </c>
      <c r="Q346" t="str">
        <f>IF(Worksheet!CV342&lt;&gt;"",CONCATENATE(Worksheet!CV342," / ",Worksheet!CW342),"")</f>
        <v>24 / 30</v>
      </c>
      <c r="R346" t="str">
        <f>IF(Worksheet!BS342&lt;&gt;"",Worksheet!BS342,"")</f>
        <v>40/43/45</v>
      </c>
      <c r="S346" t="str">
        <f>IF(Worksheet!AL342&lt;&gt;"",Worksheet!AL342,"")</f>
        <v>GMCC</v>
      </c>
      <c r="T346" t="str">
        <f>IF(Worksheet!CJ342&lt;&gt;"",CONCATENATE(Worksheet!CJ342," х ",Worksheet!CL342," х ",Worksheet!CH342),"")</f>
        <v>900 х 310 х 650</v>
      </c>
      <c r="U346" t="str">
        <f>IF(Worksheet!CK342&lt;&gt;"",CONCATENATE(Worksheet!CK342," х ",Worksheet!CM342," х ",Worksheet!CI342),"")</f>
        <v>1015 х 425 х 720</v>
      </c>
      <c r="V346" t="str">
        <f>IF(Worksheet!CN342&lt;&gt;"",CONCATENATE(Worksheet!CN342,"/",Worksheet!CO342),"")</f>
        <v>51/54</v>
      </c>
      <c r="W346" s="6"/>
      <c r="X346" s="7">
        <f>IF(Worksheet!AN342&lt;&gt;"",Worksheet!AN342,"")</f>
        <v>9.52</v>
      </c>
      <c r="Y346" s="7">
        <f>IF(Worksheet!AO342&lt;&gt;"",Worksheet!AO342,"")</f>
        <v>15.88</v>
      </c>
      <c r="Z346" s="17">
        <f>IF(Worksheet!Q342&lt;&gt;"",Worksheet!Q342,"")</f>
        <v>30</v>
      </c>
      <c r="AA346" s="17">
        <f>IF(Worksheet!R342&lt;&gt;"",Worksheet!R342,"")</f>
        <v>15</v>
      </c>
      <c r="AB346" t="str">
        <f>IF(Worksheet!X342&lt;&gt;"",CONCATENATE("от ",Worksheet!X342," до +",Worksheet!Y342),"")</f>
        <v>от 17 до +43</v>
      </c>
      <c r="AC346" t="str">
        <f>IF(Worksheet!Z342&lt;&gt;"",CONCATENATE("от ",Worksheet!Z342," до +",Worksheet!AA342),"")</f>
        <v>от 7 до +24</v>
      </c>
      <c r="AD346" s="6" t="s">
        <v>5245</v>
      </c>
      <c r="AE346" s="17"/>
    </row>
    <row r="347" spans="1:31" x14ac:dyDescent="0.25">
      <c r="A347" s="17" t="str">
        <f>IF(Worksheet!B343&lt;&gt;"",Worksheet!B343,"")</f>
        <v>QUATTROCLIMA</v>
      </c>
      <c r="B347" t="str">
        <f>Worksheet!E343</f>
        <v>Напольно-потолочные</v>
      </c>
      <c r="C347">
        <f>IF(Worksheet!M343&lt;&gt;"",Worksheet!M343,"")</f>
        <v>10.55</v>
      </c>
      <c r="D347">
        <f t="shared" si="15"/>
        <v>106</v>
      </c>
      <c r="E347" t="str">
        <f>IF(Worksheet!L343&lt;&gt;"",IF(Worksheet!L343="Y","да","нет"),"")</f>
        <v>нет</v>
      </c>
      <c r="F347">
        <f>IF(Worksheet!N343&lt;&gt;"",Worksheet!N343,"")</f>
        <v>12</v>
      </c>
      <c r="G347">
        <f>IF(Worksheet!O343&lt;&gt;"",Worksheet!O343,"")</f>
        <v>3.5779999999999998</v>
      </c>
      <c r="H347">
        <f>IF(Worksheet!P343&lt;&gt;"",Worksheet!P343,"")</f>
        <v>3.468</v>
      </c>
      <c r="I347" s="6"/>
      <c r="J347" s="6"/>
      <c r="K347" t="str">
        <f>IF(Worksheet!BI343&lt;&gt;"",Worksheet!BI343,"")</f>
        <v>3 / 380 / 50</v>
      </c>
      <c r="L347" t="str">
        <f>IF(Worksheet!AU343&lt;&gt;"",Worksheet!AU343,"")</f>
        <v>R410A</v>
      </c>
      <c r="M347" s="6"/>
      <c r="N347" s="6"/>
      <c r="O347" t="str">
        <f>IF(Worksheet!CR343&lt;&gt;"",CONCATENATE(Worksheet!CR343," х ",Worksheet!CP343," х ",Worksheet!CT343),"")</f>
        <v>1275 х 675 х 235</v>
      </c>
      <c r="P347" t="str">
        <f>IF(Worksheet!CS343&lt;&gt;"",CONCATENATE(Worksheet!CS343," х ",Worksheet!CU343," х ",Worksheet!CQ343),"")</f>
        <v>1350 х 305 х 748</v>
      </c>
      <c r="Q347" t="str">
        <f>IF(Worksheet!CV343&lt;&gt;"",CONCATENATE(Worksheet!CV343," / ",Worksheet!CW343),"")</f>
        <v>29 / 35</v>
      </c>
      <c r="R347" t="str">
        <f>IF(Worksheet!BS343&lt;&gt;"",Worksheet!BS343,"")</f>
        <v>40/43/45</v>
      </c>
      <c r="S347" t="str">
        <f>IF(Worksheet!AL343&lt;&gt;"",Worksheet!AL343,"")</f>
        <v>HIGHLY</v>
      </c>
      <c r="T347" t="str">
        <f>IF(Worksheet!CJ343&lt;&gt;"",CONCATENATE(Worksheet!CJ343," х ",Worksheet!CL343," х ",Worksheet!CH343),"")</f>
        <v>900 х 360 х 805</v>
      </c>
      <c r="U347" t="str">
        <f>IF(Worksheet!CK343&lt;&gt;"",CONCATENATE(Worksheet!CK343," х ",Worksheet!CM343," х ",Worksheet!CI343),"")</f>
        <v>1020 х 475 х 860</v>
      </c>
      <c r="V347" t="str">
        <f>IF(Worksheet!CN343&lt;&gt;"",CONCATENATE(Worksheet!CN343,"/",Worksheet!CO343),"")</f>
        <v>64/69</v>
      </c>
      <c r="W347" s="6"/>
      <c r="X347" s="7">
        <f>IF(Worksheet!AN343&lt;&gt;"",Worksheet!AN343,"")</f>
        <v>9.52</v>
      </c>
      <c r="Y347" s="7">
        <f>IF(Worksheet!AO343&lt;&gt;"",Worksheet!AO343,"")</f>
        <v>19.05</v>
      </c>
      <c r="Z347" s="17">
        <f>IF(Worksheet!Q343&lt;&gt;"",Worksheet!Q343,"")</f>
        <v>30</v>
      </c>
      <c r="AA347" s="17">
        <f>IF(Worksheet!R343&lt;&gt;"",Worksheet!R343,"")</f>
        <v>20</v>
      </c>
      <c r="AB347" t="str">
        <f>IF(Worksheet!X343&lt;&gt;"",CONCATENATE("от ",Worksheet!X343," до +",Worksheet!Y343),"")</f>
        <v>от 17 до +43</v>
      </c>
      <c r="AC347" t="str">
        <f>IF(Worksheet!Z343&lt;&gt;"",CONCATENATE("от ",Worksheet!Z343," до +",Worksheet!AA343),"")</f>
        <v>от 7 до +24</v>
      </c>
      <c r="AD347" s="6" t="s">
        <v>5245</v>
      </c>
      <c r="AE347" s="17"/>
    </row>
    <row r="348" spans="1:31" x14ac:dyDescent="0.25">
      <c r="A348" s="17" t="str">
        <f>IF(Worksheet!B344&lt;&gt;"",Worksheet!B344,"")</f>
        <v>QUATTROCLIMA</v>
      </c>
      <c r="B348" t="str">
        <f>Worksheet!E344</f>
        <v>Напольно-потолочные</v>
      </c>
      <c r="C348">
        <f>IF(Worksheet!M344&lt;&gt;"",Worksheet!M344,"")</f>
        <v>14</v>
      </c>
      <c r="D348">
        <f t="shared" si="15"/>
        <v>140</v>
      </c>
      <c r="E348" t="str">
        <f>IF(Worksheet!L344&lt;&gt;"",IF(Worksheet!L344="Y","да","нет"),"")</f>
        <v>нет</v>
      </c>
      <c r="F348">
        <f>IF(Worksheet!N344&lt;&gt;"",Worksheet!N344,"")</f>
        <v>14.65</v>
      </c>
      <c r="G348">
        <f>IF(Worksheet!O344&lt;&gt;"",Worksheet!O344,"")</f>
        <v>4.5510000000000002</v>
      </c>
      <c r="H348">
        <f>IF(Worksheet!P344&lt;&gt;"",Worksheet!P344,"")</f>
        <v>4.0579999999999998</v>
      </c>
      <c r="I348" s="6"/>
      <c r="J348" s="6"/>
      <c r="K348" t="str">
        <f>IF(Worksheet!BI344&lt;&gt;"",Worksheet!BI344,"")</f>
        <v>3 / 380 / 50</v>
      </c>
      <c r="L348" t="str">
        <f>IF(Worksheet!AU344&lt;&gt;"",Worksheet!AU344,"")</f>
        <v>R410A</v>
      </c>
      <c r="M348" s="6"/>
      <c r="N348" s="6"/>
      <c r="O348" t="str">
        <f>IF(Worksheet!CR344&lt;&gt;"",CONCATENATE(Worksheet!CR344," х ",Worksheet!CP344," х ",Worksheet!CT344),"")</f>
        <v>1635 х 235 х 675</v>
      </c>
      <c r="P348" t="str">
        <f>IF(Worksheet!CS344&lt;&gt;"",CONCATENATE(Worksheet!CS344," х ",Worksheet!CU344," х ",Worksheet!CQ344),"")</f>
        <v>1710 х 748 х 305</v>
      </c>
      <c r="Q348" t="str">
        <f>IF(Worksheet!CV344&lt;&gt;"",CONCATENATE(Worksheet!CV344," / ",Worksheet!CW344),"")</f>
        <v>38 / 46</v>
      </c>
      <c r="R348" t="str">
        <f>IF(Worksheet!BS344&lt;&gt;"",Worksheet!BS344,"")</f>
        <v>46/49/52</v>
      </c>
      <c r="S348" t="str">
        <f>IF(Worksheet!AL344&lt;&gt;"",Worksheet!AL344,"")</f>
        <v>HIGHLY</v>
      </c>
      <c r="T348" t="str">
        <f>IF(Worksheet!CJ344&lt;&gt;"",CONCATENATE(Worksheet!CJ344," х ",Worksheet!CL344," х ",Worksheet!CH344),"")</f>
        <v>940 х 340 х 1250</v>
      </c>
      <c r="U348" t="str">
        <f>IF(Worksheet!CK344&lt;&gt;"",CONCATENATE(Worksheet!CK344," х ",Worksheet!CM344," х ",Worksheet!CI344),"")</f>
        <v>1030 х 430 х 1365</v>
      </c>
      <c r="V348" t="str">
        <f>IF(Worksheet!CN344&lt;&gt;"",CONCATENATE(Worksheet!CN344,"/",Worksheet!CO344),"")</f>
        <v>93/103</v>
      </c>
      <c r="W348" s="6"/>
      <c r="X348" s="7">
        <f>IF(Worksheet!AN344&lt;&gt;"",Worksheet!AN344,"")</f>
        <v>9.52</v>
      </c>
      <c r="Y348" s="7">
        <f>IF(Worksheet!AO344&lt;&gt;"",Worksheet!AO344,"")</f>
        <v>19.05</v>
      </c>
      <c r="Z348" s="17">
        <f>IF(Worksheet!Q344&lt;&gt;"",Worksheet!Q344,"")</f>
        <v>50</v>
      </c>
      <c r="AA348" s="17">
        <f>IF(Worksheet!R344&lt;&gt;"",Worksheet!R344,"")</f>
        <v>30</v>
      </c>
      <c r="AB348" t="str">
        <f>IF(Worksheet!X344&lt;&gt;"",CONCATENATE("от ",Worksheet!X344," до +",Worksheet!Y344),"")</f>
        <v>от 17 до +43</v>
      </c>
      <c r="AC348" t="str">
        <f>IF(Worksheet!Z344&lt;&gt;"",CONCATENATE("от ",Worksheet!Z344," до +",Worksheet!AA344),"")</f>
        <v>от -7 до +24</v>
      </c>
      <c r="AD348" s="6" t="s">
        <v>5245</v>
      </c>
      <c r="AE348" s="17"/>
    </row>
    <row r="349" spans="1:31" x14ac:dyDescent="0.25">
      <c r="A349" s="17" t="str">
        <f>IF(Worksheet!B345&lt;&gt;"",Worksheet!B345,"")</f>
        <v>QUATTROCLIMA</v>
      </c>
      <c r="B349" t="str">
        <f>Worksheet!E345</f>
        <v>Напольно-потолочные</v>
      </c>
      <c r="C349">
        <f>IF(Worksheet!M345&lt;&gt;"",Worksheet!M345,"")</f>
        <v>14</v>
      </c>
      <c r="D349">
        <f t="shared" si="15"/>
        <v>140</v>
      </c>
      <c r="E349" t="str">
        <f>IF(Worksheet!L345&lt;&gt;"",IF(Worksheet!L345="Y","да","нет"),"")</f>
        <v>нет</v>
      </c>
      <c r="F349">
        <f>IF(Worksheet!N345&lt;&gt;"",Worksheet!N345,"")</f>
        <v>14.65</v>
      </c>
      <c r="G349">
        <f>IF(Worksheet!O345&lt;&gt;"",Worksheet!O345,"")</f>
        <v>4.5510000000000002</v>
      </c>
      <c r="H349">
        <f>IF(Worksheet!P345&lt;&gt;"",Worksheet!P345,"")</f>
        <v>4.0579999999999998</v>
      </c>
      <c r="I349" s="6"/>
      <c r="J349" s="6"/>
      <c r="K349" t="str">
        <f>IF(Worksheet!BI345&lt;&gt;"",Worksheet!BI345,"")</f>
        <v>3 / 380 / 50</v>
      </c>
      <c r="L349" t="str">
        <f>IF(Worksheet!AU345&lt;&gt;"",Worksheet!AU345,"")</f>
        <v>R410A</v>
      </c>
      <c r="M349" s="6"/>
      <c r="N349" s="6"/>
      <c r="O349" t="str">
        <f>IF(Worksheet!CR345&lt;&gt;"",CONCATENATE(Worksheet!CR345," х ",Worksheet!CP345," х ",Worksheet!CT345),"")</f>
        <v>1635 х 675 х 235</v>
      </c>
      <c r="P349" t="str">
        <f>IF(Worksheet!CS345&lt;&gt;"",CONCATENATE(Worksheet!CS345," х ",Worksheet!CU345," х ",Worksheet!CQ345),"")</f>
        <v>1710 х 305 х 748</v>
      </c>
      <c r="Q349" t="str">
        <f>IF(Worksheet!CV345&lt;&gt;"",CONCATENATE(Worksheet!CV345," / ",Worksheet!CW345),"")</f>
        <v>38 / 46</v>
      </c>
      <c r="R349" t="str">
        <f>IF(Worksheet!BS345&lt;&gt;"",Worksheet!BS345,"")</f>
        <v>46/49/52</v>
      </c>
      <c r="S349" t="str">
        <f>IF(Worksheet!AL345&lt;&gt;"",Worksheet!AL345,"")</f>
        <v>HIGHLY</v>
      </c>
      <c r="T349" t="str">
        <f>IF(Worksheet!CJ345&lt;&gt;"",CONCATENATE(Worksheet!CJ345," х ",Worksheet!CL345," х ",Worksheet!CH345),"")</f>
        <v>940 х 340 х 1250</v>
      </c>
      <c r="U349" t="str">
        <f>IF(Worksheet!CK345&lt;&gt;"",CONCATENATE(Worksheet!CK345," х ",Worksheet!CM345," х ",Worksheet!CI345),"")</f>
        <v>1030 х 430 х 1365</v>
      </c>
      <c r="V349" t="str">
        <f>IF(Worksheet!CN345&lt;&gt;"",CONCATENATE(Worksheet!CN345,"/",Worksheet!CO345),"")</f>
        <v>93/103</v>
      </c>
      <c r="W349" s="6"/>
      <c r="X349" s="7">
        <f>IF(Worksheet!AN345&lt;&gt;"",Worksheet!AN345,"")</f>
        <v>9.52</v>
      </c>
      <c r="Y349" s="7">
        <f>IF(Worksheet!AO345&lt;&gt;"",Worksheet!AO345,"")</f>
        <v>19.05</v>
      </c>
      <c r="Z349" s="17">
        <f>IF(Worksheet!Q345&lt;&gt;"",Worksheet!Q345,"")</f>
        <v>50</v>
      </c>
      <c r="AA349" s="17">
        <f>IF(Worksheet!R345&lt;&gt;"",Worksheet!R345,"")</f>
        <v>30</v>
      </c>
      <c r="AB349" t="str">
        <f>IF(Worksheet!X345&lt;&gt;"",CONCATENATE("от ",Worksheet!X345," до +",Worksheet!Y345),"")</f>
        <v>от 17 до +43</v>
      </c>
      <c r="AC349" t="str">
        <f>IF(Worksheet!Z345&lt;&gt;"",CONCATENATE("от ",Worksheet!Z345," до +",Worksheet!AA345),"")</f>
        <v>от 7 до +24</v>
      </c>
      <c r="AD349" s="6" t="s">
        <v>5245</v>
      </c>
      <c r="AE349" s="17"/>
    </row>
    <row r="350" spans="1:31" x14ac:dyDescent="0.25">
      <c r="A350" s="17" t="str">
        <f>IF(Worksheet!B346&lt;&gt;"",Worksheet!B346,"")</f>
        <v>QUATTROCLIMA</v>
      </c>
      <c r="B350" t="str">
        <f>Worksheet!E346</f>
        <v>Напольно-потолочные</v>
      </c>
      <c r="C350">
        <f>IF(Worksheet!M346&lt;&gt;"",Worksheet!M346,"")</f>
        <v>16.12</v>
      </c>
      <c r="D350">
        <f t="shared" si="15"/>
        <v>161</v>
      </c>
      <c r="E350" t="str">
        <f>IF(Worksheet!L346&lt;&gt;"",IF(Worksheet!L346="Y","да","нет"),"")</f>
        <v>нет</v>
      </c>
      <c r="F350">
        <f>IF(Worksheet!N346&lt;&gt;"",Worksheet!N346,"")</f>
        <v>17.73</v>
      </c>
      <c r="G350">
        <f>IF(Worksheet!O346&lt;&gt;"",Worksheet!O346,"")</f>
        <v>5.5940000000000003</v>
      </c>
      <c r="H350">
        <f>IF(Worksheet!P346&lt;&gt;"",Worksheet!P346,"")</f>
        <v>5.1470000000000002</v>
      </c>
      <c r="I350" s="6"/>
      <c r="J350" s="6"/>
      <c r="K350" t="str">
        <f>IF(Worksheet!BI346&lt;&gt;"",Worksheet!BI346,"")</f>
        <v>3 / 380 / 50</v>
      </c>
      <c r="L350" t="str">
        <f>IF(Worksheet!AU346&lt;&gt;"",Worksheet!AU346,"")</f>
        <v>R410A</v>
      </c>
      <c r="M350" s="6"/>
      <c r="N350" s="6"/>
      <c r="O350" t="str">
        <f>IF(Worksheet!CR346&lt;&gt;"",CONCATENATE(Worksheet!CR346," х ",Worksheet!CP346," х ",Worksheet!CT346),"")</f>
        <v>1635 х 235 х 675</v>
      </c>
      <c r="P350" t="str">
        <f>IF(Worksheet!CS346&lt;&gt;"",CONCATENATE(Worksheet!CS346," х ",Worksheet!CU346," х ",Worksheet!CQ346),"")</f>
        <v>1710 х 748 х 305</v>
      </c>
      <c r="Q350" t="str">
        <f>IF(Worksheet!CV346&lt;&gt;"",CONCATENATE(Worksheet!CV346," / ",Worksheet!CW346),"")</f>
        <v>41 / 48</v>
      </c>
      <c r="R350" t="str">
        <f>IF(Worksheet!BS346&lt;&gt;"",Worksheet!BS346,"")</f>
        <v>46/49/52</v>
      </c>
      <c r="S350" t="str">
        <f>IF(Worksheet!AL346&lt;&gt;"",Worksheet!AL346,"")</f>
        <v>HIGHLY</v>
      </c>
      <c r="T350" t="str">
        <f>IF(Worksheet!CJ346&lt;&gt;"",CONCATENATE(Worksheet!CJ346," х ",Worksheet!CL346," х ",Worksheet!CH346),"")</f>
        <v>940 х 340 х 1250</v>
      </c>
      <c r="U350" t="str">
        <f>IF(Worksheet!CK346&lt;&gt;"",CONCATENATE(Worksheet!CK346," х ",Worksheet!CM346," х ",Worksheet!CI346),"")</f>
        <v>1030 х 430 х 1365</v>
      </c>
      <c r="V350" t="str">
        <f>IF(Worksheet!CN346&lt;&gt;"",CONCATENATE(Worksheet!CN346,"/",Worksheet!CO346),"")</f>
        <v>101/111</v>
      </c>
      <c r="W350" s="6"/>
      <c r="X350" s="7">
        <f>IF(Worksheet!AN346&lt;&gt;"",Worksheet!AN346,"")</f>
        <v>9.52</v>
      </c>
      <c r="Y350" s="7">
        <f>IF(Worksheet!AO346&lt;&gt;"",Worksheet!AO346,"")</f>
        <v>19.05</v>
      </c>
      <c r="Z350" s="17">
        <f>IF(Worksheet!Q346&lt;&gt;"",Worksheet!Q346,"")</f>
        <v>50</v>
      </c>
      <c r="AA350" s="17">
        <f>IF(Worksheet!R346&lt;&gt;"",Worksheet!R346,"")</f>
        <v>30</v>
      </c>
      <c r="AB350" t="str">
        <f>IF(Worksheet!X346&lt;&gt;"",CONCATENATE("от ",Worksheet!X346," до +",Worksheet!Y346),"")</f>
        <v>от 17 до +43</v>
      </c>
      <c r="AC350" t="str">
        <f>IF(Worksheet!Z346&lt;&gt;"",CONCATENATE("от ",Worksheet!Z346," до +",Worksheet!AA346),"")</f>
        <v>от -7 до +24</v>
      </c>
      <c r="AD350" s="6" t="s">
        <v>5245</v>
      </c>
      <c r="AE350" s="17"/>
    </row>
    <row r="351" spans="1:31" x14ac:dyDescent="0.25">
      <c r="A351" s="17" t="str">
        <f>IF(Worksheet!B347&lt;&gt;"",Worksheet!B347,"")</f>
        <v>QUATTROCLIMA</v>
      </c>
      <c r="B351" t="str">
        <f>Worksheet!E347</f>
        <v>Напольно-потолочные</v>
      </c>
      <c r="C351">
        <f>IF(Worksheet!M347&lt;&gt;"",Worksheet!M347,"")</f>
        <v>16.12</v>
      </c>
      <c r="D351">
        <f t="shared" si="15"/>
        <v>161</v>
      </c>
      <c r="E351" t="str">
        <f>IF(Worksheet!L347&lt;&gt;"",IF(Worksheet!L347="Y","да","нет"),"")</f>
        <v>нет</v>
      </c>
      <c r="F351">
        <f>IF(Worksheet!N347&lt;&gt;"",Worksheet!N347,"")</f>
        <v>17.73</v>
      </c>
      <c r="G351">
        <f>IF(Worksheet!O347&lt;&gt;"",Worksheet!O347,"")</f>
        <v>5.5940000000000003</v>
      </c>
      <c r="H351">
        <f>IF(Worksheet!P347&lt;&gt;"",Worksheet!P347,"")</f>
        <v>5.1470000000000002</v>
      </c>
      <c r="I351" s="6"/>
      <c r="J351" s="6"/>
      <c r="K351" t="str">
        <f>IF(Worksheet!BI347&lt;&gt;"",Worksheet!BI347,"")</f>
        <v>3 / 380 / 50</v>
      </c>
      <c r="L351" t="str">
        <f>IF(Worksheet!AU347&lt;&gt;"",Worksheet!AU347,"")</f>
        <v>R410A</v>
      </c>
      <c r="M351" s="6"/>
      <c r="N351" s="6"/>
      <c r="O351" t="str">
        <f>IF(Worksheet!CR347&lt;&gt;"",CONCATENATE(Worksheet!CR347," х ",Worksheet!CP347," х ",Worksheet!CT347),"")</f>
        <v>1635 х 675 х 235</v>
      </c>
      <c r="P351" t="str">
        <f>IF(Worksheet!CS347&lt;&gt;"",CONCATENATE(Worksheet!CS347," х ",Worksheet!CU347," х ",Worksheet!CQ347),"")</f>
        <v>1710 х 305 х 748</v>
      </c>
      <c r="Q351" t="str">
        <f>IF(Worksheet!CV347&lt;&gt;"",CONCATENATE(Worksheet!CV347," / ",Worksheet!CW347),"")</f>
        <v>41 / 48</v>
      </c>
      <c r="R351" t="str">
        <f>IF(Worksheet!BS347&lt;&gt;"",Worksheet!BS347,"")</f>
        <v>46/49/52</v>
      </c>
      <c r="S351" t="str">
        <f>IF(Worksheet!AL347&lt;&gt;"",Worksheet!AL347,"")</f>
        <v>HIGHLY</v>
      </c>
      <c r="T351" t="str">
        <f>IF(Worksheet!CJ347&lt;&gt;"",CONCATENATE(Worksheet!CJ347," х ",Worksheet!CL347," х ",Worksheet!CH347),"")</f>
        <v>940 х 340 х 1250</v>
      </c>
      <c r="U351" t="str">
        <f>IF(Worksheet!CK347&lt;&gt;"",CONCATENATE(Worksheet!CK347," х ",Worksheet!CM347," х ",Worksheet!CI347),"")</f>
        <v>1030 х 430 х 1365</v>
      </c>
      <c r="V351" t="str">
        <f>IF(Worksheet!CN347&lt;&gt;"",CONCATENATE(Worksheet!CN347,"/",Worksheet!CO347),"")</f>
        <v>101/111</v>
      </c>
      <c r="W351" s="6"/>
      <c r="X351" s="7">
        <f>IF(Worksheet!AN347&lt;&gt;"",Worksheet!AN347,"")</f>
        <v>9.52</v>
      </c>
      <c r="Y351" s="7">
        <f>IF(Worksheet!AO347&lt;&gt;"",Worksheet!AO347,"")</f>
        <v>19.05</v>
      </c>
      <c r="Z351" s="17">
        <f>IF(Worksheet!Q347&lt;&gt;"",Worksheet!Q347,"")</f>
        <v>50</v>
      </c>
      <c r="AA351" s="17">
        <f>IF(Worksheet!R347&lt;&gt;"",Worksheet!R347,"")</f>
        <v>30</v>
      </c>
      <c r="AB351" t="str">
        <f>IF(Worksheet!X347&lt;&gt;"",CONCATENATE("от ",Worksheet!X347," до +",Worksheet!Y347),"")</f>
        <v>от 17 до +43</v>
      </c>
      <c r="AC351" t="str">
        <f>IF(Worksheet!Z347&lt;&gt;"",CONCATENATE("от ",Worksheet!Z347," до +",Worksheet!AA347),"")</f>
        <v>от 7 до +24</v>
      </c>
      <c r="AD351" s="6" t="s">
        <v>5245</v>
      </c>
      <c r="AE351" s="17"/>
    </row>
    <row r="352" spans="1:31" x14ac:dyDescent="0.25">
      <c r="A352" s="17" t="str">
        <f>IF(Worksheet!B348&lt;&gt;"",Worksheet!B348,"")</f>
        <v>QUATTROCLIMA</v>
      </c>
      <c r="B352" t="str">
        <f>Worksheet!E348</f>
        <v>Напольно-потолочные</v>
      </c>
      <c r="C352">
        <f>IF(Worksheet!M348&lt;&gt;"",Worksheet!M348,"")</f>
        <v>5.28</v>
      </c>
      <c r="D352">
        <f t="shared" si="15"/>
        <v>53</v>
      </c>
      <c r="E352" t="str">
        <f>IF(Worksheet!L348&lt;&gt;"",IF(Worksheet!L348="Y","да","нет"),"")</f>
        <v>нет</v>
      </c>
      <c r="F352">
        <f>IF(Worksheet!N348&lt;&gt;"",Worksheet!N348,"")</f>
        <v>5.6</v>
      </c>
      <c r="G352">
        <f>IF(Worksheet!O348&lt;&gt;"",Worksheet!O348,"")</f>
        <v>1.7</v>
      </c>
      <c r="H352">
        <f>IF(Worksheet!P348&lt;&gt;"",Worksheet!P348,"")</f>
        <v>1.55</v>
      </c>
      <c r="I352" s="6"/>
      <c r="J352" s="6"/>
      <c r="K352" t="str">
        <f>IF(Worksheet!BI348&lt;&gt;"",Worksheet!BI348,"")</f>
        <v>1 / 220 / 50</v>
      </c>
      <c r="L352" t="str">
        <f>IF(Worksheet!AU348&lt;&gt;"",Worksheet!AU348,"")</f>
        <v>R410A</v>
      </c>
      <c r="M352" s="6"/>
      <c r="N352" s="6"/>
      <c r="O352" t="str">
        <f>IF(Worksheet!CR348&lt;&gt;"",CONCATENATE(Worksheet!CR348," х ",Worksheet!CP348," х ",Worksheet!CT348),"")</f>
        <v>1000 х 235 х 690</v>
      </c>
      <c r="P352" t="str">
        <f>IF(Worksheet!CS348&lt;&gt;"",CONCATENATE(Worksheet!CS348," х ",Worksheet!CU348," х ",Worksheet!CQ348),"")</f>
        <v>1080 х 770 х 325</v>
      </c>
      <c r="Q352" t="str">
        <f>IF(Worksheet!CV348&lt;&gt;"",CONCATENATE(Worksheet!CV348," / ",Worksheet!CW348),"")</f>
        <v>28 / 32</v>
      </c>
      <c r="R352" t="str">
        <f>IF(Worksheet!BS348&lt;&gt;"",Worksheet!BS348,"")</f>
        <v>32/35/43</v>
      </c>
      <c r="S352" t="str">
        <f>IF(Worksheet!AL348&lt;&gt;"",Worksheet!AL348,"")</f>
        <v>HIGHLY</v>
      </c>
      <c r="T352" t="str">
        <f>IF(Worksheet!CJ348&lt;&gt;"",CONCATENATE(Worksheet!CJ348," х ",Worksheet!CL348," х ",Worksheet!CH348),"")</f>
        <v>800 х 315 х 545</v>
      </c>
      <c r="U352" t="str">
        <f>IF(Worksheet!CK348&lt;&gt;"",CONCATENATE(Worksheet!CK348," х ",Worksheet!CM348," х ",Worksheet!CI348),"")</f>
        <v>920 х 400 х 620</v>
      </c>
      <c r="V352" t="str">
        <f>IF(Worksheet!CN348&lt;&gt;"",CONCATENATE(Worksheet!CN348,"/",Worksheet!CO348),"")</f>
        <v>36/39</v>
      </c>
      <c r="W352" s="6"/>
      <c r="X352" s="7">
        <f>IF(Worksheet!AN348&lt;&gt;"",Worksheet!AN348,"")</f>
        <v>6.35</v>
      </c>
      <c r="Y352" s="7">
        <f>IF(Worksheet!AO348&lt;&gt;"",Worksheet!AO348,"")</f>
        <v>12.7</v>
      </c>
      <c r="Z352" s="17">
        <f>IF(Worksheet!Q348&lt;&gt;"",Worksheet!Q348,"")</f>
        <v>20</v>
      </c>
      <c r="AA352" s="17">
        <f>IF(Worksheet!R348&lt;&gt;"",Worksheet!R348,"")</f>
        <v>15</v>
      </c>
      <c r="AB352" t="str">
        <f>IF(Worksheet!X348&lt;&gt;"",CONCATENATE("от ",Worksheet!X348," до +",Worksheet!Y348),"")</f>
        <v>от -15 до +49</v>
      </c>
      <c r="AC352" t="str">
        <f>IF(Worksheet!Z348&lt;&gt;"",CONCATENATE("от ",Worksheet!Z348," до +",Worksheet!AA348),"")</f>
        <v>от -15 до +24</v>
      </c>
      <c r="AD352" s="6" t="s">
        <v>5245</v>
      </c>
      <c r="AE352" s="17"/>
    </row>
    <row r="353" spans="1:31" x14ac:dyDescent="0.25">
      <c r="A353" s="17" t="str">
        <f>IF(Worksheet!B349&lt;&gt;"",Worksheet!B349,"")</f>
        <v>QUATTROCLIMA</v>
      </c>
      <c r="B353" t="str">
        <f>Worksheet!E349</f>
        <v>Напольно-потолочные</v>
      </c>
      <c r="C353">
        <f>IF(Worksheet!M349&lt;&gt;"",Worksheet!M349,"")</f>
        <v>7.03</v>
      </c>
      <c r="D353">
        <f t="shared" si="15"/>
        <v>70</v>
      </c>
      <c r="E353" t="str">
        <f>IF(Worksheet!L349&lt;&gt;"",IF(Worksheet!L349="Y","да","нет"),"")</f>
        <v>нет</v>
      </c>
      <c r="F353">
        <f>IF(Worksheet!N349&lt;&gt;"",Worksheet!N349,"")</f>
        <v>7.4</v>
      </c>
      <c r="G353">
        <f>IF(Worksheet!O349&lt;&gt;"",Worksheet!O349,"")</f>
        <v>2.15</v>
      </c>
      <c r="H353">
        <f>IF(Worksheet!P349&lt;&gt;"",Worksheet!P349,"")</f>
        <v>1.95</v>
      </c>
      <c r="I353" s="6"/>
      <c r="J353" s="6"/>
      <c r="K353" t="str">
        <f>IF(Worksheet!BI349&lt;&gt;"",Worksheet!BI349,"")</f>
        <v>1 / 220 / 50</v>
      </c>
      <c r="L353" t="str">
        <f>IF(Worksheet!AU349&lt;&gt;"",Worksheet!AU349,"")</f>
        <v>R410A</v>
      </c>
      <c r="M353" s="6"/>
      <c r="N353" s="6"/>
      <c r="O353" t="str">
        <f>IF(Worksheet!CR349&lt;&gt;"",CONCATENATE(Worksheet!CR349," х ",Worksheet!CP349," х ",Worksheet!CT349),"")</f>
        <v>1000 х 235 х 690</v>
      </c>
      <c r="P353" t="str">
        <f>IF(Worksheet!CS349&lt;&gt;"",CONCATENATE(Worksheet!CS349," х ",Worksheet!CU349," х ",Worksheet!CQ349),"")</f>
        <v>1080 х 770 х 325</v>
      </c>
      <c r="Q353" t="str">
        <f>IF(Worksheet!CV349&lt;&gt;"",CONCATENATE(Worksheet!CV349," / ",Worksheet!CW349),"")</f>
        <v>29 / 33</v>
      </c>
      <c r="R353" t="str">
        <f>IF(Worksheet!BS349&lt;&gt;"",Worksheet!BS349,"")</f>
        <v>35/39/46</v>
      </c>
      <c r="S353" t="str">
        <f>IF(Worksheet!AL349&lt;&gt;"",Worksheet!AL349,"")</f>
        <v>HIGHLY</v>
      </c>
      <c r="T353" t="str">
        <f>IF(Worksheet!CJ349&lt;&gt;"",CONCATENATE(Worksheet!CJ349," х ",Worksheet!CL349," х ",Worksheet!CH349),"")</f>
        <v>825 х 310 х 655</v>
      </c>
      <c r="U353" t="str">
        <f>IF(Worksheet!CK349&lt;&gt;"",CONCATENATE(Worksheet!CK349," х ",Worksheet!CM349," х ",Worksheet!CI349),"")</f>
        <v>945 х 435 х 725</v>
      </c>
      <c r="V353" t="str">
        <f>IF(Worksheet!CN349&lt;&gt;"",CONCATENATE(Worksheet!CN349,"/",Worksheet!CO349),"")</f>
        <v>46/49</v>
      </c>
      <c r="W353" s="6"/>
      <c r="X353" s="7">
        <f>IF(Worksheet!AN349&lt;&gt;"",Worksheet!AN349,"")</f>
        <v>9.52</v>
      </c>
      <c r="Y353" s="7">
        <f>IF(Worksheet!AO349&lt;&gt;"",Worksheet!AO349,"")</f>
        <v>15.88</v>
      </c>
      <c r="Z353" s="17">
        <f>IF(Worksheet!Q349&lt;&gt;"",Worksheet!Q349,"")</f>
        <v>20</v>
      </c>
      <c r="AA353" s="17">
        <f>IF(Worksheet!R349&lt;&gt;"",Worksheet!R349,"")</f>
        <v>15</v>
      </c>
      <c r="AB353" t="str">
        <f>IF(Worksheet!X349&lt;&gt;"",CONCATENATE("от ",Worksheet!X349," до +",Worksheet!Y349),"")</f>
        <v>от -15 до +49</v>
      </c>
      <c r="AC353" t="str">
        <f>IF(Worksheet!Z349&lt;&gt;"",CONCATENATE("от ",Worksheet!Z349," до +",Worksheet!AA349),"")</f>
        <v>от -15 до +24</v>
      </c>
      <c r="AD353" s="6" t="s">
        <v>5245</v>
      </c>
      <c r="AE353" s="17"/>
    </row>
    <row r="354" spans="1:31" x14ac:dyDescent="0.25">
      <c r="A354" s="17" t="str">
        <f>IF(Worksheet!B350&lt;&gt;"",Worksheet!B350,"")</f>
        <v>QUATTROCLIMA</v>
      </c>
      <c r="B354" t="str">
        <f>Worksheet!E350</f>
        <v>Напольно-потолочные</v>
      </c>
      <c r="C354">
        <f>IF(Worksheet!M350&lt;&gt;"",Worksheet!M350,"")</f>
        <v>10.55</v>
      </c>
      <c r="D354">
        <f t="shared" si="15"/>
        <v>106</v>
      </c>
      <c r="E354" t="str">
        <f>IF(Worksheet!L350&lt;&gt;"",IF(Worksheet!L350="Y","да","нет"),"")</f>
        <v>нет</v>
      </c>
      <c r="F354">
        <f>IF(Worksheet!N350&lt;&gt;"",Worksheet!N350,"")</f>
        <v>11.7</v>
      </c>
      <c r="G354">
        <f>IF(Worksheet!O350&lt;&gt;"",Worksheet!O350,"")</f>
        <v>3.5</v>
      </c>
      <c r="H354">
        <f>IF(Worksheet!P350&lt;&gt;"",Worksheet!P350,"")</f>
        <v>3.24</v>
      </c>
      <c r="I354" s="6"/>
      <c r="J354" s="6"/>
      <c r="K354" t="str">
        <f>IF(Worksheet!BI350&lt;&gt;"",Worksheet!BI350,"")</f>
        <v>3 / 380 / 50</v>
      </c>
      <c r="L354" t="str">
        <f>IF(Worksheet!AU350&lt;&gt;"",Worksheet!AU350,"")</f>
        <v>R410A</v>
      </c>
      <c r="M354" s="6"/>
      <c r="N354" s="6"/>
      <c r="O354" t="str">
        <f>IF(Worksheet!CR350&lt;&gt;"",CONCATENATE(Worksheet!CR350," х ",Worksheet!CP350," х ",Worksheet!CT350),"")</f>
        <v>1280 х 235 х 690</v>
      </c>
      <c r="P354" t="str">
        <f>IF(Worksheet!CS350&lt;&gt;"",CONCATENATE(Worksheet!CS350," х ",Worksheet!CU350," х ",Worksheet!CQ350),"")</f>
        <v>1360 х 770 х 325</v>
      </c>
      <c r="Q354" t="str">
        <f>IF(Worksheet!CV350&lt;&gt;"",CONCATENATE(Worksheet!CV350," / ",Worksheet!CW350),"")</f>
        <v>36 / 42</v>
      </c>
      <c r="R354" t="str">
        <f>IF(Worksheet!BS350&lt;&gt;"",Worksheet!BS350,"")</f>
        <v>40/45/49</v>
      </c>
      <c r="S354" t="str">
        <f>IF(Worksheet!AL350&lt;&gt;"",Worksheet!AL350,"")</f>
        <v>Gree</v>
      </c>
      <c r="T354" t="str">
        <f>IF(Worksheet!CJ350&lt;&gt;"",CONCATENATE(Worksheet!CJ350," х ",Worksheet!CL350," х ",Worksheet!CH350),"")</f>
        <v>970 х 395 х 805</v>
      </c>
      <c r="U354" t="str">
        <f>IF(Worksheet!CK350&lt;&gt;"",CONCATENATE(Worksheet!CK350," х ",Worksheet!CM350," х ",Worksheet!CI350),"")</f>
        <v>1105 х 495 х 890</v>
      </c>
      <c r="V354" t="str">
        <f>IF(Worksheet!CN350&lt;&gt;"",CONCATENATE(Worksheet!CN350,"/",Worksheet!CO350),"")</f>
        <v>64/68</v>
      </c>
      <c r="W354" s="6"/>
      <c r="X354" s="7">
        <f>IF(Worksheet!AN350&lt;&gt;"",Worksheet!AN350,"")</f>
        <v>9.52</v>
      </c>
      <c r="Y354" s="7">
        <f>IF(Worksheet!AO350&lt;&gt;"",Worksheet!AO350,"")</f>
        <v>15.88</v>
      </c>
      <c r="Z354" s="17">
        <f>IF(Worksheet!Q350&lt;&gt;"",Worksheet!Q350,"")</f>
        <v>30</v>
      </c>
      <c r="AA354" s="17">
        <f>IF(Worksheet!R350&lt;&gt;"",Worksheet!R350,"")</f>
        <v>20</v>
      </c>
      <c r="AB354" t="str">
        <f>IF(Worksheet!X350&lt;&gt;"",CONCATENATE("от ",Worksheet!X350," до +",Worksheet!Y350),"")</f>
        <v>от -15 до +49</v>
      </c>
      <c r="AC354" t="str">
        <f>IF(Worksheet!Z350&lt;&gt;"",CONCATENATE("от ",Worksheet!Z350," до +",Worksheet!AA350),"")</f>
        <v>от -15 до +24</v>
      </c>
      <c r="AD354" s="6" t="s">
        <v>5245</v>
      </c>
      <c r="AE354" s="17"/>
    </row>
    <row r="355" spans="1:31" x14ac:dyDescent="0.25">
      <c r="A355" s="17" t="str">
        <f>IF(Worksheet!B351&lt;&gt;"",Worksheet!B351,"")</f>
        <v>QUATTROCLIMA</v>
      </c>
      <c r="B355" t="str">
        <f>Worksheet!E351</f>
        <v>Напольно-потолочные</v>
      </c>
      <c r="C355">
        <f>IF(Worksheet!M351&lt;&gt;"",Worksheet!M351,"")</f>
        <v>14.07</v>
      </c>
      <c r="D355">
        <f t="shared" si="15"/>
        <v>141</v>
      </c>
      <c r="E355" t="str">
        <f>IF(Worksheet!L351&lt;&gt;"",IF(Worksheet!L351="Y","да","нет"),"")</f>
        <v>нет</v>
      </c>
      <c r="F355">
        <f>IF(Worksheet!N351&lt;&gt;"",Worksheet!N351,"")</f>
        <v>15.24</v>
      </c>
      <c r="G355">
        <f>IF(Worksheet!O351&lt;&gt;"",Worksheet!O351,"")</f>
        <v>4.68</v>
      </c>
      <c r="H355">
        <f>IF(Worksheet!P351&lt;&gt;"",Worksheet!P351,"")</f>
        <v>4.42</v>
      </c>
      <c r="I355" s="6"/>
      <c r="J355" s="6"/>
      <c r="K355" t="str">
        <f>IF(Worksheet!BI351&lt;&gt;"",Worksheet!BI351,"")</f>
        <v>3 / 380 / 50</v>
      </c>
      <c r="L355" t="str">
        <f>IF(Worksheet!AU351&lt;&gt;"",Worksheet!AU351,"")</f>
        <v>R410A</v>
      </c>
      <c r="M355" s="6"/>
      <c r="N355" s="6"/>
      <c r="O355" t="str">
        <f>IF(Worksheet!CR351&lt;&gt;"",CONCATENATE(Worksheet!CR351," х ",Worksheet!CP351," х ",Worksheet!CT351),"")</f>
        <v>1600 х 690 х 235</v>
      </c>
      <c r="P355" t="str">
        <f>IF(Worksheet!CS351&lt;&gt;"",CONCATENATE(Worksheet!CS351," х ",Worksheet!CU351," х ",Worksheet!CQ351),"")</f>
        <v>1680 х 325 х 770</v>
      </c>
      <c r="Q355" t="str">
        <f>IF(Worksheet!CV351&lt;&gt;"",CONCATENATE(Worksheet!CV351," / ",Worksheet!CW351),"")</f>
        <v>44 / 50.5</v>
      </c>
      <c r="R355" t="str">
        <f>IF(Worksheet!BS351&lt;&gt;"",Worksheet!BS351,"")</f>
        <v>42/46/51</v>
      </c>
      <c r="S355" t="str">
        <f>IF(Worksheet!AL351&lt;&gt;"",Worksheet!AL351,"")</f>
        <v>GMCC</v>
      </c>
      <c r="T355" t="str">
        <f>IF(Worksheet!CJ351&lt;&gt;"",CONCATENATE(Worksheet!CJ351," х ",Worksheet!CL351," х ",Worksheet!CH351),"")</f>
        <v>940 х 340 х 1320</v>
      </c>
      <c r="U355" t="str">
        <f>IF(Worksheet!CK351&lt;&gt;"",CONCATENATE(Worksheet!CK351," х ",Worksheet!CM351," х ",Worksheet!CI351),"")</f>
        <v>1080 х 430 х 1440</v>
      </c>
      <c r="V355" t="str">
        <f>IF(Worksheet!CN351&lt;&gt;"",CONCATENATE(Worksheet!CN351,"/",Worksheet!CO351),"")</f>
        <v>85/94</v>
      </c>
      <c r="W355" s="6"/>
      <c r="X355" s="7">
        <f>IF(Worksheet!AN351&lt;&gt;"",Worksheet!AN351,"")</f>
        <v>9.52</v>
      </c>
      <c r="Y355" s="7">
        <f>IF(Worksheet!AO351&lt;&gt;"",Worksheet!AO351,"")</f>
        <v>19.05</v>
      </c>
      <c r="Z355" s="17">
        <f>IF(Worksheet!Q351&lt;&gt;"",Worksheet!Q351,"")</f>
        <v>50</v>
      </c>
      <c r="AA355" s="17">
        <f>IF(Worksheet!R351&lt;&gt;"",Worksheet!R351,"")</f>
        <v>30</v>
      </c>
      <c r="AB355" t="str">
        <f>IF(Worksheet!X351&lt;&gt;"",CONCATENATE("от ",Worksheet!X351," до +",Worksheet!Y351),"")</f>
        <v>от -15 до +49</v>
      </c>
      <c r="AC355" t="str">
        <f>IF(Worksheet!Z351&lt;&gt;"",CONCATENATE("от ",Worksheet!Z351," до +",Worksheet!AA351),"")</f>
        <v>от -15 до +24</v>
      </c>
      <c r="AD355" s="6" t="s">
        <v>5245</v>
      </c>
      <c r="AE355" s="17"/>
    </row>
    <row r="356" spans="1:31" x14ac:dyDescent="0.25">
      <c r="A356" s="17" t="str">
        <f>IF(Worksheet!B352&lt;&gt;"",Worksheet!B352,"")</f>
        <v>QUATTROCLIMA</v>
      </c>
      <c r="B356" t="str">
        <f>Worksheet!E352</f>
        <v>Напольно-потолочные</v>
      </c>
      <c r="C356">
        <f>IF(Worksheet!M352&lt;&gt;"",Worksheet!M352,"")</f>
        <v>16.12</v>
      </c>
      <c r="D356">
        <f t="shared" si="15"/>
        <v>161</v>
      </c>
      <c r="E356" t="str">
        <f>IF(Worksheet!L352&lt;&gt;"",IF(Worksheet!L352="Y","да","нет"),"")</f>
        <v>нет</v>
      </c>
      <c r="F356">
        <f>IF(Worksheet!N352&lt;&gt;"",Worksheet!N352,"")</f>
        <v>17.600000000000001</v>
      </c>
      <c r="G356">
        <f>IF(Worksheet!O352&lt;&gt;"",Worksheet!O352,"")</f>
        <v>5.55</v>
      </c>
      <c r="H356">
        <f>IF(Worksheet!P352&lt;&gt;"",Worksheet!P352,"")</f>
        <v>5.01</v>
      </c>
      <c r="I356" s="6"/>
      <c r="J356" s="6"/>
      <c r="K356" t="str">
        <f>IF(Worksheet!BI352&lt;&gt;"",Worksheet!BI352,"")</f>
        <v>3 / 380 / 50</v>
      </c>
      <c r="L356" t="str">
        <f>IF(Worksheet!AU352&lt;&gt;"",Worksheet!AU352,"")</f>
        <v>R410A</v>
      </c>
      <c r="M356" s="6"/>
      <c r="N356" s="6"/>
      <c r="O356" t="str">
        <f>IF(Worksheet!CR352&lt;&gt;"",CONCATENATE(Worksheet!CR352," х ",Worksheet!CP352," х ",Worksheet!CT352),"")</f>
        <v>1600 х 235 х 690</v>
      </c>
      <c r="P356" t="str">
        <f>IF(Worksheet!CS352&lt;&gt;"",CONCATENATE(Worksheet!CS352," х ",Worksheet!CU352," х ",Worksheet!CQ352),"")</f>
        <v>1680 х 770 х 325</v>
      </c>
      <c r="Q356" t="str">
        <f>IF(Worksheet!CV352&lt;&gt;"",CONCATENATE(Worksheet!CV352," / ",Worksheet!CW352),"")</f>
        <v>44 / 50.5</v>
      </c>
      <c r="R356" t="str">
        <f>IF(Worksheet!BS352&lt;&gt;"",Worksheet!BS352,"")</f>
        <v>42/46/51</v>
      </c>
      <c r="S356" t="str">
        <f>IF(Worksheet!AL352&lt;&gt;"",Worksheet!AL352,"")</f>
        <v>GMCC</v>
      </c>
      <c r="T356" t="str">
        <f>IF(Worksheet!CJ352&lt;&gt;"",CONCATENATE(Worksheet!CJ352," х ",Worksheet!CL352," х ",Worksheet!CH352),"")</f>
        <v>940 х 340 х 1320</v>
      </c>
      <c r="U356" t="str">
        <f>IF(Worksheet!CK352&lt;&gt;"",CONCATENATE(Worksheet!CK352," х ",Worksheet!CM352," х ",Worksheet!CI352),"")</f>
        <v>1080 х 430 х 1440</v>
      </c>
      <c r="V356" t="str">
        <f>IF(Worksheet!CN352&lt;&gt;"",CONCATENATE(Worksheet!CN352,"/",Worksheet!CO352),"")</f>
        <v>91/100</v>
      </c>
      <c r="W356" s="6"/>
      <c r="X356" s="7">
        <f>IF(Worksheet!AN352&lt;&gt;"",Worksheet!AN352,"")</f>
        <v>9.52</v>
      </c>
      <c r="Y356" s="7">
        <f>IF(Worksheet!AO352&lt;&gt;"",Worksheet!AO352,"")</f>
        <v>19.05</v>
      </c>
      <c r="Z356" s="17">
        <f>IF(Worksheet!Q352&lt;&gt;"",Worksheet!Q352,"")</f>
        <v>50</v>
      </c>
      <c r="AA356" s="17">
        <f>IF(Worksheet!R352&lt;&gt;"",Worksheet!R352,"")</f>
        <v>30</v>
      </c>
      <c r="AB356" t="str">
        <f>IF(Worksheet!X352&lt;&gt;"",CONCATENATE("от ",Worksheet!X352," до +",Worksheet!Y352),"")</f>
        <v>от -15 до +49</v>
      </c>
      <c r="AC356" t="str">
        <f>IF(Worksheet!Z352&lt;&gt;"",CONCATENATE("от ",Worksheet!Z352," до +",Worksheet!AA352),"")</f>
        <v>от -15 до +24</v>
      </c>
      <c r="AD356" s="6" t="s">
        <v>5245</v>
      </c>
      <c r="AE356" s="17"/>
    </row>
    <row r="357" spans="1:31" x14ac:dyDescent="0.25">
      <c r="A357" s="17" t="str">
        <f>IF(Worksheet!B353&lt;&gt;"",Worksheet!B353,"")</f>
        <v>QUATTROCLIMA</v>
      </c>
      <c r="B357" t="str">
        <f>Worksheet!E353</f>
        <v>Мульти сплит система</v>
      </c>
      <c r="C357">
        <f>IF(Worksheet!M353&lt;&gt;"",Worksheet!M353,"")</f>
        <v>2.0499999999999998</v>
      </c>
      <c r="D357">
        <f t="shared" si="15"/>
        <v>21</v>
      </c>
      <c r="E357" t="str">
        <f>IF(Worksheet!L353&lt;&gt;"",IF(Worksheet!L353="Y","да","нет"),"")</f>
        <v>да</v>
      </c>
      <c r="F357">
        <f>IF(Worksheet!N353&lt;&gt;"",Worksheet!N353,"")</f>
        <v>2.0499999999999998</v>
      </c>
      <c r="G357">
        <f>IF(Worksheet!O353&lt;&gt;"",Worksheet!O353,"")</f>
        <v>3.5000000000000003E-2</v>
      </c>
      <c r="H357">
        <f>IF(Worksheet!P353&lt;&gt;"",Worksheet!P353,"")</f>
        <v>3.5000000000000003E-2</v>
      </c>
      <c r="I357" s="6"/>
      <c r="J357" s="6"/>
      <c r="K357" t="str">
        <f>IF(Worksheet!BI353&lt;&gt;"",Worksheet!BI353,"")</f>
        <v>1 / 220 / 50</v>
      </c>
      <c r="L357" t="str">
        <f>IF(Worksheet!AU353&lt;&gt;"",Worksheet!AU353,"")</f>
        <v>R32</v>
      </c>
      <c r="M357" s="6"/>
      <c r="N357" s="6"/>
      <c r="O357" s="1" t="str">
        <f>IF(Worksheet!BL353&lt;&gt;"",CONCATENATE(Worksheet!BL353," х ",Worksheet!BM353," х ",Worksheet!BK353),"")</f>
        <v>777 х 201 х 250</v>
      </c>
      <c r="P357" s="1" t="str">
        <f>IF(Worksheet!BQ353&lt;&gt;"",CONCATENATE(Worksheet!BQ353," х ",Worksheet!BR353," х ",Worksheet!BP353),"")</f>
        <v>850 х 275 х 320</v>
      </c>
      <c r="Q357" s="1" t="str">
        <f>IF(Worksheet!BN353&lt;&gt;"",CONCATENATE(Worksheet!BN353," / ",Worksheet!BO353),"")</f>
        <v>8 / 10.5</v>
      </c>
      <c r="R357" t="str">
        <f>IF(Worksheet!BS353&lt;&gt;"",Worksheet!BS353,"")</f>
        <v>40/37/33/25/22</v>
      </c>
      <c r="S357" t="str">
        <f>IF(Worksheet!AL353&lt;&gt;"",Worksheet!AL353,"")</f>
        <v/>
      </c>
      <c r="T357" s="1" t="str">
        <f>IF(Worksheet!BL353&lt;&gt;"",CONCATENATE(Worksheet!BL353," х ",Worksheet!BM353," х ",Worksheet!BK353),"")</f>
        <v>777 х 201 х 250</v>
      </c>
      <c r="U357" s="1" t="str">
        <f>IF(Worksheet!BQ353&lt;&gt;"",CONCATENATE(Worksheet!BQ353," х ",Worksheet!BR353," х ",Worksheet!BP353),"")</f>
        <v>850 х 275 х 320</v>
      </c>
      <c r="V357" s="1" t="str">
        <f>IF(Worksheet!BN353&lt;&gt;"",CONCATENATE(Worksheet!BN353," / ",Worksheet!BO353),"")</f>
        <v>8 / 10.5</v>
      </c>
      <c r="W357" s="6"/>
      <c r="X357" s="7">
        <f>IF(Worksheet!AN353&lt;&gt;"",Worksheet!AN353,"")</f>
        <v>6.35</v>
      </c>
      <c r="Y357" s="7">
        <f>IF(Worksheet!AO353&lt;&gt;"",Worksheet!AO353,"")</f>
        <v>9.52</v>
      </c>
      <c r="Z357" s="17" t="str">
        <f>IF(Worksheet!Q353&lt;&gt;"",Worksheet!Q353,"")</f>
        <v/>
      </c>
      <c r="AA357" s="17" t="str">
        <f>IF(Worksheet!R353&lt;&gt;"",Worksheet!R353,"")</f>
        <v/>
      </c>
      <c r="AB357" t="str">
        <f>IF(Worksheet!X353&lt;&gt;"",CONCATENATE("от ",Worksheet!X353," до +",Worksheet!Y353),"")</f>
        <v/>
      </c>
      <c r="AC357" t="str">
        <f>IF(Worksheet!Z353&lt;&gt;"",CONCATENATE("от ",Worksheet!Z353," до +",Worksheet!AA353),"")</f>
        <v/>
      </c>
      <c r="AD357" s="6" t="s">
        <v>5172</v>
      </c>
      <c r="AE357" s="17"/>
    </row>
    <row r="358" spans="1:31" x14ac:dyDescent="0.25">
      <c r="A358" s="17" t="str">
        <f>IF(Worksheet!B354&lt;&gt;"",Worksheet!B354,"")</f>
        <v>QUATTROCLIMA</v>
      </c>
      <c r="B358" t="str">
        <f>Worksheet!E354</f>
        <v>Мульти сплит система</v>
      </c>
      <c r="C358">
        <f>IF(Worksheet!M354&lt;&gt;"",Worksheet!M354,"")</f>
        <v>2.64</v>
      </c>
      <c r="D358">
        <f t="shared" si="15"/>
        <v>26</v>
      </c>
      <c r="E358" t="str">
        <f>IF(Worksheet!L354&lt;&gt;"",IF(Worksheet!L354="Y","да","нет"),"")</f>
        <v>да</v>
      </c>
      <c r="F358">
        <f>IF(Worksheet!N354&lt;&gt;"",Worksheet!N354,"")</f>
        <v>2.64</v>
      </c>
      <c r="G358">
        <f>IF(Worksheet!O354&lt;&gt;"",Worksheet!O354,"")</f>
        <v>3.5000000000000003E-2</v>
      </c>
      <c r="H358">
        <f>IF(Worksheet!P354&lt;&gt;"",Worksheet!P354,"")</f>
        <v>3.5000000000000003E-2</v>
      </c>
      <c r="I358" s="6"/>
      <c r="J358" s="6"/>
      <c r="K358" t="str">
        <f>IF(Worksheet!BI354&lt;&gt;"",Worksheet!BI354,"")</f>
        <v>1 / 220 / 50</v>
      </c>
      <c r="L358" t="str">
        <f>IF(Worksheet!AU354&lt;&gt;"",Worksheet!AU354,"")</f>
        <v>R32</v>
      </c>
      <c r="M358" s="6"/>
      <c r="N358" s="6"/>
      <c r="O358" s="1" t="str">
        <f>IF(Worksheet!BL354&lt;&gt;"",CONCATENATE(Worksheet!BL354," х ",Worksheet!BM354," х ",Worksheet!BK354),"")</f>
        <v>777 х 201 х 250</v>
      </c>
      <c r="P358" s="1" t="str">
        <f>IF(Worksheet!BQ354&lt;&gt;"",CONCATENATE(Worksheet!BQ354," х ",Worksheet!BR354," х ",Worksheet!BP354),"")</f>
        <v>850 х 275 х 320</v>
      </c>
      <c r="Q358" s="1" t="str">
        <f>IF(Worksheet!BN354&lt;&gt;"",CONCATENATE(Worksheet!BN354," / ",Worksheet!BO354),"")</f>
        <v>8 / 10.5</v>
      </c>
      <c r="R358" t="str">
        <f>IF(Worksheet!BS354&lt;&gt;"",Worksheet!BS354,"")</f>
        <v>40/37/33/25/22</v>
      </c>
      <c r="S358" t="str">
        <f>IF(Worksheet!AL354&lt;&gt;"",Worksheet!AL354,"")</f>
        <v/>
      </c>
      <c r="T358" s="1" t="str">
        <f>IF(Worksheet!BL354&lt;&gt;"",CONCATENATE(Worksheet!BL354," х ",Worksheet!BM354," х ",Worksheet!BK354),"")</f>
        <v>777 х 201 х 250</v>
      </c>
      <c r="U358" s="1" t="str">
        <f>IF(Worksheet!BQ354&lt;&gt;"",CONCATENATE(Worksheet!BQ354," х ",Worksheet!BR354," х ",Worksheet!BP354),"")</f>
        <v>850 х 275 х 320</v>
      </c>
      <c r="V358" s="1" t="str">
        <f>IF(Worksheet!BN354&lt;&gt;"",CONCATENATE(Worksheet!BN354," / ",Worksheet!BO354),"")</f>
        <v>8 / 10.5</v>
      </c>
      <c r="W358" s="6"/>
      <c r="X358" s="7">
        <f>IF(Worksheet!AN354&lt;&gt;"",Worksheet!AN354,"")</f>
        <v>6.35</v>
      </c>
      <c r="Y358" s="7">
        <f>IF(Worksheet!AO354&lt;&gt;"",Worksheet!AO354,"")</f>
        <v>9.52</v>
      </c>
      <c r="Z358" s="17" t="str">
        <f>IF(Worksheet!Q354&lt;&gt;"",Worksheet!Q354,"")</f>
        <v/>
      </c>
      <c r="AA358" s="17" t="str">
        <f>IF(Worksheet!R354&lt;&gt;"",Worksheet!R354,"")</f>
        <v/>
      </c>
      <c r="AB358" t="str">
        <f>IF(Worksheet!X354&lt;&gt;"",CONCATENATE("от ",Worksheet!X354," до +",Worksheet!Y354),"")</f>
        <v/>
      </c>
      <c r="AC358" t="str">
        <f>IF(Worksheet!Z354&lt;&gt;"",CONCATENATE("от ",Worksheet!Z354," до +",Worksheet!AA354),"")</f>
        <v/>
      </c>
      <c r="AD358" s="6" t="s">
        <v>5172</v>
      </c>
      <c r="AE358" s="17"/>
    </row>
    <row r="359" spans="1:31" x14ac:dyDescent="0.25">
      <c r="A359" s="17" t="str">
        <f>IF(Worksheet!B355&lt;&gt;"",Worksheet!B355,"")</f>
        <v>QUATTROCLIMA</v>
      </c>
      <c r="B359" t="str">
        <f>Worksheet!E355</f>
        <v>Мульти сплит система</v>
      </c>
      <c r="C359">
        <f>IF(Worksheet!M355&lt;&gt;"",Worksheet!M355,"")</f>
        <v>3.52</v>
      </c>
      <c r="D359">
        <f t="shared" si="15"/>
        <v>35</v>
      </c>
      <c r="E359" t="str">
        <f>IF(Worksheet!L355&lt;&gt;"",IF(Worksheet!L355="Y","да","нет"),"")</f>
        <v>да</v>
      </c>
      <c r="F359">
        <f>IF(Worksheet!N355&lt;&gt;"",Worksheet!N355,"")</f>
        <v>3.52</v>
      </c>
      <c r="G359">
        <f>IF(Worksheet!O355&lt;&gt;"",Worksheet!O355,"")</f>
        <v>3.5000000000000003E-2</v>
      </c>
      <c r="H359">
        <f>IF(Worksheet!P355&lt;&gt;"",Worksheet!P355,"")</f>
        <v>3.5000000000000003E-2</v>
      </c>
      <c r="I359" s="6"/>
      <c r="J359" s="6"/>
      <c r="K359" t="str">
        <f>IF(Worksheet!BI355&lt;&gt;"",Worksheet!BI355,"")</f>
        <v>1 / 220 / 50</v>
      </c>
      <c r="L359" t="str">
        <f>IF(Worksheet!AU355&lt;&gt;"",Worksheet!AU355,"")</f>
        <v>R32</v>
      </c>
      <c r="M359" s="6"/>
      <c r="N359" s="6"/>
      <c r="O359" s="1" t="str">
        <f>IF(Worksheet!BL355&lt;&gt;"",CONCATENATE(Worksheet!BL355," х ",Worksheet!BM355," х ",Worksheet!BK355),"")</f>
        <v>777 х 201 х 250</v>
      </c>
      <c r="P359" s="1" t="str">
        <f>IF(Worksheet!BQ355&lt;&gt;"",CONCATENATE(Worksheet!BQ355," х ",Worksheet!BR355," х ",Worksheet!BP355),"")</f>
        <v>850 х 275 х 320</v>
      </c>
      <c r="Q359" s="1" t="str">
        <f>IF(Worksheet!BN355&lt;&gt;"",CONCATENATE(Worksheet!BN355," / ",Worksheet!BO355),"")</f>
        <v>8 / 10.5</v>
      </c>
      <c r="R359" t="str">
        <f>IF(Worksheet!BS355&lt;&gt;"",Worksheet!BS355,"")</f>
        <v>40/37/33/25/22</v>
      </c>
      <c r="S359" t="str">
        <f>IF(Worksheet!AL355&lt;&gt;"",Worksheet!AL355,"")</f>
        <v/>
      </c>
      <c r="T359" s="1" t="str">
        <f>IF(Worksheet!BL355&lt;&gt;"",CONCATENATE(Worksheet!BL355," х ",Worksheet!BM355," х ",Worksheet!BK355),"")</f>
        <v>777 х 201 х 250</v>
      </c>
      <c r="U359" s="1" t="str">
        <f>IF(Worksheet!BQ355&lt;&gt;"",CONCATENATE(Worksheet!BQ355," х ",Worksheet!BR355," х ",Worksheet!BP355),"")</f>
        <v>850 х 275 х 320</v>
      </c>
      <c r="V359" s="1" t="str">
        <f>IF(Worksheet!BN355&lt;&gt;"",CONCATENATE(Worksheet!BN355," / ",Worksheet!BO355),"")</f>
        <v>8 / 10.5</v>
      </c>
      <c r="W359" s="6"/>
      <c r="X359" s="7">
        <f>IF(Worksheet!AN355&lt;&gt;"",Worksheet!AN355,"")</f>
        <v>6.35</v>
      </c>
      <c r="Y359" s="7">
        <f>IF(Worksheet!AO355&lt;&gt;"",Worksheet!AO355,"")</f>
        <v>9.52</v>
      </c>
      <c r="Z359" s="17" t="str">
        <f>IF(Worksheet!Q355&lt;&gt;"",Worksheet!Q355,"")</f>
        <v/>
      </c>
      <c r="AA359" s="17" t="str">
        <f>IF(Worksheet!R355&lt;&gt;"",Worksheet!R355,"")</f>
        <v/>
      </c>
      <c r="AB359" t="str">
        <f>IF(Worksheet!X355&lt;&gt;"",CONCATENATE("от ",Worksheet!X355," до +",Worksheet!Y355),"")</f>
        <v/>
      </c>
      <c r="AC359" t="str">
        <f>IF(Worksheet!Z355&lt;&gt;"",CONCATENATE("от ",Worksheet!Z355," до +",Worksheet!AA355),"")</f>
        <v/>
      </c>
      <c r="AD359" s="6" t="s">
        <v>5172</v>
      </c>
      <c r="AE359" s="17"/>
    </row>
    <row r="360" spans="1:31" x14ac:dyDescent="0.25">
      <c r="A360" s="17" t="str">
        <f>IF(Worksheet!B356&lt;&gt;"",Worksheet!B356,"")</f>
        <v>QUATTROCLIMA</v>
      </c>
      <c r="B360" t="str">
        <f>Worksheet!E356</f>
        <v>Мульти сплит система</v>
      </c>
      <c r="C360">
        <f>IF(Worksheet!M356&lt;&gt;"",Worksheet!M356,"")</f>
        <v>5.13</v>
      </c>
      <c r="D360">
        <f t="shared" si="15"/>
        <v>51</v>
      </c>
      <c r="E360" t="str">
        <f>IF(Worksheet!L356&lt;&gt;"",IF(Worksheet!L356="Y","да","нет"),"")</f>
        <v>да</v>
      </c>
      <c r="F360">
        <f>IF(Worksheet!N356&lt;&gt;"",Worksheet!N356,"")</f>
        <v>5.21</v>
      </c>
      <c r="G360">
        <f>IF(Worksheet!O356&lt;&gt;"",Worksheet!O356,"")</f>
        <v>5.1999999999999998E-2</v>
      </c>
      <c r="H360">
        <f>IF(Worksheet!P356&lt;&gt;"",Worksheet!P356,"")</f>
        <v>5.1999999999999998E-2</v>
      </c>
      <c r="I360" s="6"/>
      <c r="J360" s="6"/>
      <c r="K360" t="str">
        <f>IF(Worksheet!BI356&lt;&gt;"",Worksheet!BI356,"")</f>
        <v>1 / 220 / 50</v>
      </c>
      <c r="L360" t="str">
        <f>IF(Worksheet!AU356&lt;&gt;"",Worksheet!AU356,"")</f>
        <v>R32</v>
      </c>
      <c r="M360" s="6"/>
      <c r="N360" s="6"/>
      <c r="O360" s="1" t="str">
        <f>IF(Worksheet!BL356&lt;&gt;"",CONCATENATE(Worksheet!BL356," х ",Worksheet!BM356," х ",Worksheet!BK356),"")</f>
        <v>910 х 206 х 294</v>
      </c>
      <c r="P360" s="1" t="str">
        <f>IF(Worksheet!BQ356&lt;&gt;"",CONCATENATE(Worksheet!BQ356," х ",Worksheet!BR356," х ",Worksheet!BP356),"")</f>
        <v>979 х 277 х 372</v>
      </c>
      <c r="Q360" s="1" t="str">
        <f>IF(Worksheet!BN356&lt;&gt;"",CONCATENATE(Worksheet!BN356," / ",Worksheet!BO356),"")</f>
        <v>10 / 13</v>
      </c>
      <c r="R360" t="str">
        <f>IF(Worksheet!BS356&lt;&gt;"",Worksheet!BS356,"")</f>
        <v>43/41/38//35/27</v>
      </c>
      <c r="S360" t="str">
        <f>IF(Worksheet!AL356&lt;&gt;"",Worksheet!AL356,"")</f>
        <v/>
      </c>
      <c r="T360" s="1" t="str">
        <f>IF(Worksheet!BL356&lt;&gt;"",CONCATENATE(Worksheet!BL356," х ",Worksheet!BM356," х ",Worksheet!BK356),"")</f>
        <v>910 х 206 х 294</v>
      </c>
      <c r="U360" s="1" t="str">
        <f>IF(Worksheet!BQ356&lt;&gt;"",CONCATENATE(Worksheet!BQ356," х ",Worksheet!BR356," х ",Worksheet!BP356),"")</f>
        <v>979 х 277 х 372</v>
      </c>
      <c r="V360" s="1" t="str">
        <f>IF(Worksheet!BN356&lt;&gt;"",CONCATENATE(Worksheet!BN356," / ",Worksheet!BO356),"")</f>
        <v>10 / 13</v>
      </c>
      <c r="W360" s="6"/>
      <c r="X360" s="7">
        <f>IF(Worksheet!AN356&lt;&gt;"",Worksheet!AN356,"")</f>
        <v>6.35</v>
      </c>
      <c r="Y360" s="7">
        <f>IF(Worksheet!AO356&lt;&gt;"",Worksheet!AO356,"")</f>
        <v>9.52</v>
      </c>
      <c r="Z360" s="17" t="str">
        <f>IF(Worksheet!Q356&lt;&gt;"",Worksheet!Q356,"")</f>
        <v/>
      </c>
      <c r="AA360" s="17" t="str">
        <f>IF(Worksheet!R356&lt;&gt;"",Worksheet!R356,"")</f>
        <v/>
      </c>
      <c r="AB360" t="str">
        <f>IF(Worksheet!X356&lt;&gt;"",CONCATENATE("от ",Worksheet!X356," до +",Worksheet!Y356),"")</f>
        <v/>
      </c>
      <c r="AC360" t="str">
        <f>IF(Worksheet!Z356&lt;&gt;"",CONCATENATE("от ",Worksheet!Z356," до +",Worksheet!AA356),"")</f>
        <v/>
      </c>
      <c r="AD360" s="6" t="s">
        <v>5172</v>
      </c>
      <c r="AE360" s="17"/>
    </row>
    <row r="361" spans="1:31" x14ac:dyDescent="0.25">
      <c r="A361" s="17" t="str">
        <f>IF(Worksheet!B357&lt;&gt;"",Worksheet!B357,"")</f>
        <v>QUATTROCLIMA</v>
      </c>
      <c r="B361" t="str">
        <f>Worksheet!E357</f>
        <v>Мульти сплит система</v>
      </c>
      <c r="C361" s="21">
        <f>IF(Worksheet!M357&lt;&gt;"",MID(Worksheet!M357,1,FIND(" ",Worksheet!M357,1)-1),"")*1</f>
        <v>4.0999999999999996</v>
      </c>
      <c r="D361">
        <f t="shared" ref="D361:D376" si="16">ROUND(LEFT(C361,3)*10,0)</f>
        <v>41</v>
      </c>
      <c r="E361" t="str">
        <f>IF(Worksheet!L357&lt;&gt;"",IF(Worksheet!L357="Y","да","нет"),"")</f>
        <v>да</v>
      </c>
      <c r="F361" s="21">
        <f>IF(Worksheet!N357&lt;&gt;"",MID(Worksheet!N357,1,FIND(" ",Worksheet!N357,1)-1),"")*1</f>
        <v>4.3099999999999996</v>
      </c>
      <c r="G361" s="21">
        <f>IF(Worksheet!O357&lt;&gt;"",MID(Worksheet!O357,1,FIND(" ",Worksheet!O357,1)-1),"")*1</f>
        <v>1.25</v>
      </c>
      <c r="H361" s="21">
        <f>IF(Worksheet!P357&lt;&gt;"",MID(Worksheet!P357,1,FIND(" ",Worksheet!P357,1)-1),"")*1</f>
        <v>1.1599999999999999</v>
      </c>
      <c r="I361" s="6"/>
      <c r="J361" s="6"/>
      <c r="K361" t="str">
        <f>IF(Worksheet!BI357&lt;&gt;"",Worksheet!BI357,"")</f>
        <v>1 / 220 / 50</v>
      </c>
      <c r="L361" t="str">
        <f>IF(Worksheet!AU357&lt;&gt;"",Worksheet!AU357,"")</f>
        <v>R32</v>
      </c>
      <c r="M361" s="6"/>
      <c r="N361" s="6"/>
      <c r="O361" t="str">
        <f>IF(Worksheet!CR357&lt;&gt;"",CONCATENATE(Worksheet!CR357," х ",Worksheet!CP357," х ",Worksheet!CT357),"")</f>
        <v/>
      </c>
      <c r="P361" t="str">
        <f>IF(Worksheet!CS357&lt;&gt;"",CONCATENATE(Worksheet!CS357," х ",Worksheet!CU357," х ",Worksheet!CQ357),"")</f>
        <v/>
      </c>
      <c r="Q361" t="str">
        <f>IF(Worksheet!CV357&lt;&gt;"",CONCATENATE(Worksheet!CV357," / ",Worksheet!CW357),"")</f>
        <v/>
      </c>
      <c r="R361" t="str">
        <f>IF(Worksheet!BS357&lt;&gt;"",Worksheet!BS357,"")</f>
        <v/>
      </c>
      <c r="S361" t="str">
        <f>IF(Worksheet!AL357&lt;&gt;"",Worksheet!AL357,"")</f>
        <v>RECHI</v>
      </c>
      <c r="T361" t="str">
        <f>IF(Worksheet!CJ357&lt;&gt;"",CONCATENATE(Worksheet!CJ357," х ",Worksheet!CL357," х ",Worksheet!CH357),"")</f>
        <v/>
      </c>
      <c r="U361" t="str">
        <f>IF(Worksheet!CK357&lt;&gt;"",CONCATENATE(Worksheet!CK357," х ",Worksheet!CM357," х ",Worksheet!CI357),"")</f>
        <v/>
      </c>
      <c r="V361" t="str">
        <f>IF(Worksheet!CN357&lt;&gt;"",CONCATENATE(Worksheet!CN357,"/",Worksheet!CO357),"")</f>
        <v/>
      </c>
      <c r="W361" s="6"/>
      <c r="X361" s="25"/>
      <c r="Y361" s="25"/>
      <c r="Z361" s="17">
        <f>IF(Worksheet!Q357&lt;&gt;"",Worksheet!Q357,"")</f>
        <v>30</v>
      </c>
      <c r="AA361" s="17">
        <f>IF(Worksheet!R357&lt;&gt;"",Worksheet!R357,"")</f>
        <v>10</v>
      </c>
      <c r="AB361" t="str">
        <f>IF(Worksheet!X357&lt;&gt;"",CONCATENATE("от ",Worksheet!X357," до +",Worksheet!Y357),"")</f>
        <v>от -15 до +53</v>
      </c>
      <c r="AC361" t="str">
        <f>IF(Worksheet!Z357&lt;&gt;"",CONCATENATE("от ",Worksheet!Z357," до +",Worksheet!AA357),"")</f>
        <v>от -20 до +30</v>
      </c>
      <c r="AD361" s="6" t="s">
        <v>5173</v>
      </c>
      <c r="AE361" s="17"/>
    </row>
    <row r="362" spans="1:31" x14ac:dyDescent="0.25">
      <c r="A362" s="17" t="str">
        <f>IF(Worksheet!B358&lt;&gt;"",Worksheet!B358,"")</f>
        <v>QUATTROCLIMA</v>
      </c>
      <c r="B362" t="str">
        <f>Worksheet!E358</f>
        <v>Мульти сплит система</v>
      </c>
      <c r="C362" s="21">
        <f>IF(Worksheet!M358&lt;&gt;"",MID(Worksheet!M358,1,FIND(" ",Worksheet!M358,1)-1),"")*1</f>
        <v>5.2</v>
      </c>
      <c r="D362">
        <f t="shared" si="16"/>
        <v>52</v>
      </c>
      <c r="E362" t="str">
        <f>IF(Worksheet!L358&lt;&gt;"",IF(Worksheet!L358="Y","да","нет"),"")</f>
        <v>да</v>
      </c>
      <c r="F362" s="21">
        <f>IF(Worksheet!N358&lt;&gt;"",MID(Worksheet!N358,1,FIND(" ",Worksheet!N358,1)-1),"")*1</f>
        <v>5.29</v>
      </c>
      <c r="G362" s="21">
        <f>IF(Worksheet!O358&lt;&gt;"",MID(Worksheet!O358,1,FIND(" ",Worksheet!O358,1)-1),"")*1</f>
        <v>1.61</v>
      </c>
      <c r="H362" s="21">
        <f>IF(Worksheet!P358&lt;&gt;"",MID(Worksheet!P358,1,FIND(" ",Worksheet!P358,1)-1),"")*1</f>
        <v>1.42</v>
      </c>
      <c r="I362" s="6"/>
      <c r="J362" s="6"/>
      <c r="K362" t="str">
        <f>IF(Worksheet!BI358&lt;&gt;"",Worksheet!BI358,"")</f>
        <v>1 / 220 / 50</v>
      </c>
      <c r="L362" t="str">
        <f>IF(Worksheet!AU358&lt;&gt;"",Worksheet!AU358,"")</f>
        <v>R32</v>
      </c>
      <c r="M362" s="6"/>
      <c r="N362" s="6"/>
      <c r="O362" t="str">
        <f>IF(Worksheet!CR358&lt;&gt;"",CONCATENATE(Worksheet!CR358," х ",Worksheet!CP358," х ",Worksheet!CT358),"")</f>
        <v/>
      </c>
      <c r="P362" t="str">
        <f>IF(Worksheet!CS358&lt;&gt;"",CONCATENATE(Worksheet!CS358," х ",Worksheet!CU358," х ",Worksheet!CQ358),"")</f>
        <v/>
      </c>
      <c r="Q362" t="str">
        <f>IF(Worksheet!CV358&lt;&gt;"",CONCATENATE(Worksheet!CV358," / ",Worksheet!CW358),"")</f>
        <v/>
      </c>
      <c r="R362" t="str">
        <f>IF(Worksheet!BS358&lt;&gt;"",Worksheet!BS358,"")</f>
        <v/>
      </c>
      <c r="S362" t="str">
        <f>IF(Worksheet!AL358&lt;&gt;"",Worksheet!AL358,"")</f>
        <v>RECHI</v>
      </c>
      <c r="T362" t="str">
        <f>IF(Worksheet!CJ358&lt;&gt;"",CONCATENATE(Worksheet!CJ358," х ",Worksheet!CL358," х ",Worksheet!CH358),"")</f>
        <v/>
      </c>
      <c r="U362" t="str">
        <f>IF(Worksheet!CK358&lt;&gt;"",CONCATENATE(Worksheet!CK358," х ",Worksheet!CM358," х ",Worksheet!CI358),"")</f>
        <v/>
      </c>
      <c r="V362" t="str">
        <f>IF(Worksheet!CN358&lt;&gt;"",CONCATENATE(Worksheet!CN358,"/",Worksheet!CO358),"")</f>
        <v/>
      </c>
      <c r="W362" s="6"/>
      <c r="X362" s="25"/>
      <c r="Y362" s="25"/>
      <c r="Z362" s="17">
        <f>IF(Worksheet!Q358&lt;&gt;"",Worksheet!Q358,"")</f>
        <v>30</v>
      </c>
      <c r="AA362" s="17">
        <f>IF(Worksheet!R358&lt;&gt;"",Worksheet!R358,"")</f>
        <v>10</v>
      </c>
      <c r="AB362" t="str">
        <f>IF(Worksheet!X358&lt;&gt;"",CONCATENATE("от ",Worksheet!X358," до +",Worksheet!Y358),"")</f>
        <v>от -15 до +53</v>
      </c>
      <c r="AC362" t="str">
        <f>IF(Worksheet!Z358&lt;&gt;"",CONCATENATE("от ",Worksheet!Z358," до +",Worksheet!AA358),"")</f>
        <v>от -20 до +30</v>
      </c>
      <c r="AD362" s="6" t="s">
        <v>5173</v>
      </c>
      <c r="AE362" s="17"/>
    </row>
    <row r="363" spans="1:31" x14ac:dyDescent="0.25">
      <c r="A363" s="17" t="str">
        <f>IF(Worksheet!B359&lt;&gt;"",Worksheet!B359,"")</f>
        <v>QUATTROCLIMA</v>
      </c>
      <c r="B363" t="str">
        <f>Worksheet!E359</f>
        <v>Мульти сплит система</v>
      </c>
      <c r="C363" s="21">
        <f>IF(Worksheet!M359&lt;&gt;"",MID(Worksheet!M359,1,FIND(" ",Worksheet!M359,1)-1),"")*1</f>
        <v>6.2</v>
      </c>
      <c r="D363">
        <f t="shared" si="16"/>
        <v>62</v>
      </c>
      <c r="E363" t="str">
        <f>IF(Worksheet!L359&lt;&gt;"",IF(Worksheet!L359="Y","да","нет"),"")</f>
        <v>да</v>
      </c>
      <c r="F363" s="21">
        <f>IF(Worksheet!N359&lt;&gt;"",MID(Worksheet!N359,1,FIND(" ",Worksheet!N359,1)-1),"")*1</f>
        <v>6.5</v>
      </c>
      <c r="G363" s="21">
        <f>IF(Worksheet!O359&lt;&gt;"",MID(Worksheet!O359,1,FIND(" ",Worksheet!O359,1)-1),"")*1</f>
        <v>1.92</v>
      </c>
      <c r="H363" s="21">
        <f>IF(Worksheet!P359&lt;&gt;"",MID(Worksheet!P359,1,FIND(" ",Worksheet!P359,1)-1),"")*1</f>
        <v>1.75</v>
      </c>
      <c r="I363" s="6"/>
      <c r="J363" s="6"/>
      <c r="K363" t="str">
        <f>IF(Worksheet!BI359&lt;&gt;"",Worksheet!BI359,"")</f>
        <v>1 / 220 / 50</v>
      </c>
      <c r="L363" t="str">
        <f>IF(Worksheet!AU359&lt;&gt;"",Worksheet!AU359,"")</f>
        <v>R32</v>
      </c>
      <c r="M363" s="6"/>
      <c r="N363" s="6"/>
      <c r="O363" t="str">
        <f>IF(Worksheet!CR359&lt;&gt;"",CONCATENATE(Worksheet!CR359," х ",Worksheet!CP359," х ",Worksheet!CT359),"")</f>
        <v/>
      </c>
      <c r="P363" t="str">
        <f>IF(Worksheet!CS359&lt;&gt;"",CONCATENATE(Worksheet!CS359," х ",Worksheet!CU359," х ",Worksheet!CQ359),"")</f>
        <v/>
      </c>
      <c r="Q363" t="str">
        <f>IF(Worksheet!CV359&lt;&gt;"",CONCATENATE(Worksheet!CV359," / ",Worksheet!CW359),"")</f>
        <v/>
      </c>
      <c r="R363" t="str">
        <f>IF(Worksheet!BS359&lt;&gt;"",Worksheet!BS359,"")</f>
        <v/>
      </c>
      <c r="S363" t="str">
        <f>IF(Worksheet!AL359&lt;&gt;"",Worksheet!AL359,"")</f>
        <v>SANYO</v>
      </c>
      <c r="T363" t="str">
        <f>IF(Worksheet!CJ359&lt;&gt;"",CONCATENATE(Worksheet!CJ359," х ",Worksheet!CL359," х ",Worksheet!CH359),"")</f>
        <v/>
      </c>
      <c r="U363" t="str">
        <f>IF(Worksheet!CK359&lt;&gt;"",CONCATENATE(Worksheet!CK359," х ",Worksheet!CM359," х ",Worksheet!CI359),"")</f>
        <v/>
      </c>
      <c r="V363" t="str">
        <f>IF(Worksheet!CN359&lt;&gt;"",CONCATENATE(Worksheet!CN359,"/",Worksheet!CO359),"")</f>
        <v/>
      </c>
      <c r="W363" s="6"/>
      <c r="X363" s="25"/>
      <c r="Y363" s="25"/>
      <c r="Z363" s="17">
        <f>IF(Worksheet!Q359&lt;&gt;"",Worksheet!Q359,"")</f>
        <v>45</v>
      </c>
      <c r="AA363" s="17">
        <f>IF(Worksheet!R359&lt;&gt;"",Worksheet!R359,"")</f>
        <v>10</v>
      </c>
      <c r="AB363" t="str">
        <f>IF(Worksheet!X359&lt;&gt;"",CONCATENATE("от ",Worksheet!X359," до +",Worksheet!Y359),"")</f>
        <v>от -15 до +53</v>
      </c>
      <c r="AC363" t="str">
        <f>IF(Worksheet!Z359&lt;&gt;"",CONCATENATE("от ",Worksheet!Z359," до +",Worksheet!AA359),"")</f>
        <v>от -20 до +30</v>
      </c>
      <c r="AD363" s="6" t="s">
        <v>5173</v>
      </c>
      <c r="AE363" s="17"/>
    </row>
    <row r="364" spans="1:31" x14ac:dyDescent="0.25">
      <c r="A364" s="17" t="str">
        <f>IF(Worksheet!B360&lt;&gt;"",Worksheet!B360,"")</f>
        <v>QUATTROCLIMA</v>
      </c>
      <c r="B364" t="str">
        <f>Worksheet!E360</f>
        <v>Мульти сплит система</v>
      </c>
      <c r="C364" s="21">
        <f>IF(Worksheet!M360&lt;&gt;"",MID(Worksheet!M360,1,FIND(" ",Worksheet!M360,1)-1),"")*1</f>
        <v>7.9</v>
      </c>
      <c r="D364">
        <f t="shared" si="16"/>
        <v>79</v>
      </c>
      <c r="E364" t="str">
        <f>IF(Worksheet!L360&lt;&gt;"",IF(Worksheet!L360="Y","да","нет"),"")</f>
        <v>да</v>
      </c>
      <c r="F364" s="21">
        <f>IF(Worksheet!N360&lt;&gt;"",MID(Worksheet!N360,1,FIND(" ",Worksheet!N360,1)-1),"")*1</f>
        <v>7.96</v>
      </c>
      <c r="G364" s="21">
        <f>IF(Worksheet!O360&lt;&gt;"",MID(Worksheet!O360,1,FIND(" ",Worksheet!O360,1)-1),"")*1</f>
        <v>2.63</v>
      </c>
      <c r="H364" s="21">
        <f>IF(Worksheet!P360&lt;&gt;"",MID(Worksheet!P360,1,FIND(" ",Worksheet!P360,1)-1),"")*1</f>
        <v>2.12</v>
      </c>
      <c r="I364" s="6"/>
      <c r="J364" s="6"/>
      <c r="K364" t="str">
        <f>IF(Worksheet!BI360&lt;&gt;"",Worksheet!BI360,"")</f>
        <v>1 / 220 / 50</v>
      </c>
      <c r="L364" t="str">
        <f>IF(Worksheet!AU360&lt;&gt;"",Worksheet!AU360,"")</f>
        <v>R32</v>
      </c>
      <c r="M364" s="6"/>
      <c r="N364" s="6"/>
      <c r="O364" t="str">
        <f>IF(Worksheet!CR360&lt;&gt;"",CONCATENATE(Worksheet!CR360," х ",Worksheet!CP360," х ",Worksheet!CT360),"")</f>
        <v/>
      </c>
      <c r="P364" t="str">
        <f>IF(Worksheet!CS360&lt;&gt;"",CONCATENATE(Worksheet!CS360," х ",Worksheet!CU360," х ",Worksheet!CQ360),"")</f>
        <v/>
      </c>
      <c r="Q364" t="str">
        <f>IF(Worksheet!CV360&lt;&gt;"",CONCATENATE(Worksheet!CV360," / ",Worksheet!CW360),"")</f>
        <v/>
      </c>
      <c r="R364" t="str">
        <f>IF(Worksheet!BS360&lt;&gt;"",Worksheet!BS360,"")</f>
        <v/>
      </c>
      <c r="S364" t="str">
        <f>IF(Worksheet!AL360&lt;&gt;"",Worksheet!AL360,"")</f>
        <v>SANYO</v>
      </c>
      <c r="T364" t="str">
        <f>IF(Worksheet!CJ360&lt;&gt;"",CONCATENATE(Worksheet!CJ360," х ",Worksheet!CL360," х ",Worksheet!CH360),"")</f>
        <v/>
      </c>
      <c r="U364" t="str">
        <f>IF(Worksheet!CK360&lt;&gt;"",CONCATENATE(Worksheet!CK360," х ",Worksheet!CM360," х ",Worksheet!CI360),"")</f>
        <v/>
      </c>
      <c r="V364" t="str">
        <f>IF(Worksheet!CN360&lt;&gt;"",CONCATENATE(Worksheet!CN360,"/",Worksheet!CO360),"")</f>
        <v/>
      </c>
      <c r="W364" s="6"/>
      <c r="X364" s="25"/>
      <c r="Y364" s="25"/>
      <c r="Z364" s="17">
        <f>IF(Worksheet!Q360&lt;&gt;"",Worksheet!Q360,"")</f>
        <v>45</v>
      </c>
      <c r="AA364" s="17">
        <f>IF(Worksheet!R360&lt;&gt;"",Worksheet!R360,"")</f>
        <v>10</v>
      </c>
      <c r="AB364" t="str">
        <f>IF(Worksheet!X360&lt;&gt;"",CONCATENATE("от ",Worksheet!X360," до +",Worksheet!Y360),"")</f>
        <v>от -15 до +53</v>
      </c>
      <c r="AC364" t="str">
        <f>IF(Worksheet!Z360&lt;&gt;"",CONCATENATE("от ",Worksheet!Z360," до +",Worksheet!AA360),"")</f>
        <v>от -20 до +30</v>
      </c>
      <c r="AD364" s="6" t="s">
        <v>5173</v>
      </c>
      <c r="AE364" s="17"/>
    </row>
    <row r="365" spans="1:31" x14ac:dyDescent="0.25">
      <c r="A365" s="17" t="str">
        <f>IF(Worksheet!B361&lt;&gt;"",Worksheet!B361,"")</f>
        <v>TOSOT</v>
      </c>
      <c r="B365" t="str">
        <f>Worksheet!E361</f>
        <v>Сплит система</v>
      </c>
      <c r="C365" s="21">
        <f>IF(Worksheet!M361&lt;&gt;"",MID(Worksheet!M361,1,FIND(" ",Worksheet!M361,1)-1),"")*1</f>
        <v>2.7</v>
      </c>
      <c r="D365">
        <f t="shared" si="16"/>
        <v>27</v>
      </c>
      <c r="E365" t="str">
        <f>IF(Worksheet!L361&lt;&gt;"",IF(Worksheet!L361="Y","да","нет"),"")</f>
        <v>да</v>
      </c>
      <c r="F365" s="21">
        <f>IF(Worksheet!N361&lt;&gt;"",MID(Worksheet!N361,1,FIND(" ",Worksheet!N361,1)-1),"")*1</f>
        <v>3.2</v>
      </c>
      <c r="G365" s="21">
        <f>IF(Worksheet!O361&lt;&gt;"",MID(Worksheet!O361,1,FIND(" ",Worksheet!O361,1)-1),"")*1</f>
        <v>0.6</v>
      </c>
      <c r="H365" s="21">
        <f>IF(Worksheet!P361&lt;&gt;"",MID(Worksheet!P361,1,FIND(" ",Worksheet!P361,1)-1),"")*1</f>
        <v>0.71499999999999997</v>
      </c>
      <c r="I365" s="6"/>
      <c r="J365" s="6"/>
      <c r="K365" t="str">
        <f>IF(Worksheet!BI361&lt;&gt;"",Worksheet!BI361,"")</f>
        <v>1 / 220 / 50</v>
      </c>
      <c r="L365" t="str">
        <f>IF(Worksheet!AU361&lt;&gt;"",Worksheet!AU361,"")</f>
        <v>R32</v>
      </c>
      <c r="M365" s="6"/>
      <c r="N365" s="6"/>
      <c r="O365" t="str">
        <f>IF(Worksheet!CR361&lt;&gt;"",CONCATENATE(Worksheet!CR361," х ",Worksheet!CP361," х ",Worksheet!CT361),"")</f>
        <v>945 х 293 х 225</v>
      </c>
      <c r="P365" t="str">
        <f>IF(Worksheet!CS361&lt;&gt;"",CONCATENATE(Worksheet!CS361," х ",Worksheet!CU361," х ",Worksheet!CQ361),"")</f>
        <v>1035 х 325 х 384</v>
      </c>
      <c r="Q365" t="str">
        <f>IF(Worksheet!CV361&lt;&gt;"",CONCATENATE(Worksheet!CV361," / ",Worksheet!CW361),"")</f>
        <v>14 / 17</v>
      </c>
      <c r="R365" t="str">
        <f>IF(Worksheet!BS361&lt;&gt;"",Worksheet!BS361,"")</f>
        <v>21/22/28/33/36/39/43</v>
      </c>
      <c r="S365" t="str">
        <f>IF(Worksheet!AL361&lt;&gt;"",Worksheet!AL361,"")</f>
        <v>Gree</v>
      </c>
      <c r="T365" t="str">
        <f>IF(Worksheet!CJ361&lt;&gt;"",CONCATENATE(Worksheet!CJ361," х ",Worksheet!CL361," х ",Worksheet!CH361),"")</f>
        <v>848 х 320 х 596</v>
      </c>
      <c r="U365" t="str">
        <f>IF(Worksheet!CK361&lt;&gt;"",CONCATENATE(Worksheet!CK361," х ",Worksheet!CM361," х ",Worksheet!CI361),"")</f>
        <v>881 х 363 х 645</v>
      </c>
      <c r="V365" t="str">
        <f>IF(Worksheet!CN361&lt;&gt;"",CONCATENATE(Worksheet!CN361,"/",Worksheet!CO361),"")</f>
        <v>33.5/36.5</v>
      </c>
      <c r="W365" s="6"/>
      <c r="X365" s="7">
        <f>IF(Worksheet!AN361&lt;&gt;"",Worksheet!AN361,"")</f>
        <v>6.35</v>
      </c>
      <c r="Y365" s="7">
        <f>IF(Worksheet!AO361&lt;&gt;"",Worksheet!AO361,"")</f>
        <v>9.52</v>
      </c>
      <c r="Z365" s="17">
        <f>IF(Worksheet!Q361&lt;&gt;"",Worksheet!Q361,"")</f>
        <v>15</v>
      </c>
      <c r="AA365" s="17">
        <f>IF(Worksheet!R361&lt;&gt;"",Worksheet!R361,"")</f>
        <v>10</v>
      </c>
      <c r="AB365" t="str">
        <f>IF(Worksheet!X361&lt;&gt;"",CONCATENATE("от ",Worksheet!X361," до +",Worksheet!Y361),"")</f>
        <v>от -15 до +43</v>
      </c>
      <c r="AC365" t="str">
        <f>IF(Worksheet!Z361&lt;&gt;"",CONCATENATE("от ",Worksheet!Z361," до +",Worksheet!AA361),"")</f>
        <v>от -22 до +24</v>
      </c>
      <c r="AD365" s="6" t="s">
        <v>5245</v>
      </c>
      <c r="AE365" s="17"/>
    </row>
    <row r="366" spans="1:31" x14ac:dyDescent="0.25">
      <c r="A366" s="17" t="str">
        <f>IF(Worksheet!B362&lt;&gt;"",Worksheet!B362,"")</f>
        <v>TOSOT</v>
      </c>
      <c r="B366" t="str">
        <f>Worksheet!E362</f>
        <v>Сплит система</v>
      </c>
      <c r="C366" s="21">
        <f>IF(Worksheet!M362&lt;&gt;"",MID(Worksheet!M362,1,FIND(" ",Worksheet!M362,1)-1),"")*1</f>
        <v>3.5</v>
      </c>
      <c r="D366">
        <f t="shared" si="16"/>
        <v>35</v>
      </c>
      <c r="E366" t="str">
        <f>IF(Worksheet!L362&lt;&gt;"",IF(Worksheet!L362="Y","да","нет"),"")</f>
        <v>да</v>
      </c>
      <c r="F366" s="21">
        <f>IF(Worksheet!N362&lt;&gt;"",MID(Worksheet!N362,1,FIND(" ",Worksheet!N362,1)-1),"")*1</f>
        <v>3.81</v>
      </c>
      <c r="G366" s="21">
        <f>IF(Worksheet!O362&lt;&gt;"",MID(Worksheet!O362,1,FIND(" ",Worksheet!O362,1)-1),"")*1</f>
        <v>0.875</v>
      </c>
      <c r="H366" s="21">
        <f>IF(Worksheet!P362&lt;&gt;"",MID(Worksheet!P362,1,FIND(" ",Worksheet!P362,1)-1),"")*1</f>
        <v>0.95199999999999996</v>
      </c>
      <c r="I366" s="6"/>
      <c r="J366" s="6"/>
      <c r="K366" t="str">
        <f>IF(Worksheet!BI362&lt;&gt;"",Worksheet!BI362,"")</f>
        <v>1 / 220 / 50</v>
      </c>
      <c r="L366" t="str">
        <f>IF(Worksheet!AU362&lt;&gt;"",Worksheet!AU362,"")</f>
        <v>R32</v>
      </c>
      <c r="M366" s="6"/>
      <c r="N366" s="6"/>
      <c r="O366" t="str">
        <f>IF(Worksheet!CR362&lt;&gt;"",CONCATENATE(Worksheet!CR362," х ",Worksheet!CP362," х ",Worksheet!CT362),"")</f>
        <v>945 х 293 х 225</v>
      </c>
      <c r="P366" t="str">
        <f>IF(Worksheet!CS362&lt;&gt;"",CONCATENATE(Worksheet!CS362," х ",Worksheet!CU362," х ",Worksheet!CQ362),"")</f>
        <v>1035 х 325 х 384</v>
      </c>
      <c r="Q366" t="str">
        <f>IF(Worksheet!CV362&lt;&gt;"",CONCATENATE(Worksheet!CV362," / ",Worksheet!CW362),"")</f>
        <v>14 / 17</v>
      </c>
      <c r="R366" t="str">
        <f>IF(Worksheet!BS362&lt;&gt;"",Worksheet!BS362,"")</f>
        <v>21/22/28/33/36/39/43</v>
      </c>
      <c r="S366" t="str">
        <f>IF(Worksheet!AL362&lt;&gt;"",Worksheet!AL362,"")</f>
        <v>Gree</v>
      </c>
      <c r="T366" t="str">
        <f>IF(Worksheet!CJ362&lt;&gt;"",CONCATENATE(Worksheet!CJ362," х ",Worksheet!CL362," х ",Worksheet!CH362),"")</f>
        <v>848 х 320 х 596</v>
      </c>
      <c r="U366" t="str">
        <f>IF(Worksheet!CK362&lt;&gt;"",CONCATENATE(Worksheet!CK362," х ",Worksheet!CM362," х ",Worksheet!CI362),"")</f>
        <v>881 х 363 х 645</v>
      </c>
      <c r="V366" t="str">
        <f>IF(Worksheet!CN362&lt;&gt;"",CONCATENATE(Worksheet!CN362,"/",Worksheet!CO362),"")</f>
        <v>33.5/36.5</v>
      </c>
      <c r="W366" s="6"/>
      <c r="X366" s="7">
        <f>IF(Worksheet!AN362&lt;&gt;"",Worksheet!AN362,"")</f>
        <v>6.35</v>
      </c>
      <c r="Y366" s="7">
        <f>IF(Worksheet!AO362&lt;&gt;"",Worksheet!AO362,"")</f>
        <v>9.52</v>
      </c>
      <c r="Z366" s="17">
        <f>IF(Worksheet!Q362&lt;&gt;"",Worksheet!Q362,"")</f>
        <v>15</v>
      </c>
      <c r="AA366" s="17">
        <f>IF(Worksheet!R362&lt;&gt;"",Worksheet!R362,"")</f>
        <v>10</v>
      </c>
      <c r="AB366" t="str">
        <f>IF(Worksheet!X362&lt;&gt;"",CONCATENATE("от ",Worksheet!X362," до +",Worksheet!Y362),"")</f>
        <v>от -15 до +43</v>
      </c>
      <c r="AC366" t="str">
        <f>IF(Worksheet!Z362&lt;&gt;"",CONCATENATE("от ",Worksheet!Z362," до +",Worksheet!AA362),"")</f>
        <v>от -22 до +24</v>
      </c>
      <c r="AD366" s="6" t="s">
        <v>5245</v>
      </c>
      <c r="AE366" s="17"/>
    </row>
    <row r="367" spans="1:31" x14ac:dyDescent="0.25">
      <c r="A367" s="17" t="str">
        <f>IF(Worksheet!B363&lt;&gt;"",Worksheet!B363,"")</f>
        <v>TOSOT</v>
      </c>
      <c r="B367" t="str">
        <f>Worksheet!E363</f>
        <v>Сплит система</v>
      </c>
      <c r="C367" s="21">
        <f>IF(Worksheet!M363&lt;&gt;"",MID(Worksheet!M363,1,FIND(" ",Worksheet!M363,1)-1),"")*1</f>
        <v>2.35</v>
      </c>
      <c r="D367">
        <f t="shared" si="16"/>
        <v>23</v>
      </c>
      <c r="E367" t="str">
        <f>IF(Worksheet!L363&lt;&gt;"",IF(Worksheet!L363="Y","да","нет"),"")</f>
        <v>да</v>
      </c>
      <c r="F367" s="21">
        <f>IF(Worksheet!N363&lt;&gt;"",MID(Worksheet!N363,1,FIND(" ",Worksheet!N363,1)-1),"")*1</f>
        <v>2.5</v>
      </c>
      <c r="G367" s="21">
        <f>IF(Worksheet!O363&lt;&gt;"",MID(Worksheet!O363,1,FIND(" ",Worksheet!O363,1)-1),"")*1</f>
        <v>0.68100000000000005</v>
      </c>
      <c r="H367" s="21">
        <f>IF(Worksheet!P363&lt;&gt;"",MID(Worksheet!P363,1,FIND(" ",Worksheet!P363,1)-1),"")*1</f>
        <v>0.64900000000000002</v>
      </c>
      <c r="I367" s="6"/>
      <c r="J367" s="6"/>
      <c r="K367" t="str">
        <f>IF(Worksheet!BI363&lt;&gt;"",Worksheet!BI363,"")</f>
        <v>1 / 220 / 50</v>
      </c>
      <c r="L367" t="str">
        <f>IF(Worksheet!AU363&lt;&gt;"",Worksheet!AU363,"")</f>
        <v>R32</v>
      </c>
      <c r="M367" s="6"/>
      <c r="N367" s="6"/>
      <c r="O367" t="str">
        <f>IF(Worksheet!CR363&lt;&gt;"",CONCATENATE(Worksheet!CR363," х ",Worksheet!CP363," х ",Worksheet!CT363),"")</f>
        <v>744 х 256 х 185</v>
      </c>
      <c r="P367" t="str">
        <f>IF(Worksheet!CS363&lt;&gt;"",CONCATENATE(Worksheet!CS363," х ",Worksheet!CU363," х ",Worksheet!CQ363),"")</f>
        <v>788 х 249 х 315</v>
      </c>
      <c r="Q367" t="str">
        <f>IF(Worksheet!CV363&lt;&gt;"",CONCATENATE(Worksheet!CV363," / ",Worksheet!CW363),"")</f>
        <v>7.5 / 9</v>
      </c>
      <c r="R367" t="str">
        <f>IF(Worksheet!BS363&lt;&gt;"",Worksheet!BS363,"")</f>
        <v>24/25/29/33/35/38/40</v>
      </c>
      <c r="S367" t="str">
        <f>IF(Worksheet!AL363&lt;&gt;"",Worksheet!AL363,"")</f>
        <v>Gree</v>
      </c>
      <c r="T367" t="str">
        <f>IF(Worksheet!CJ363&lt;&gt;"",CONCATENATE(Worksheet!CJ363," х ",Worksheet!CL363," х ",Worksheet!CH363),"")</f>
        <v>710 х 293 х 450</v>
      </c>
      <c r="U367" t="str">
        <f>IF(Worksheet!CK363&lt;&gt;"",CONCATENATE(Worksheet!CK363," х ",Worksheet!CM363," х ",Worksheet!CI363),"")</f>
        <v>761 х 327 х 500</v>
      </c>
      <c r="V367" t="str">
        <f>IF(Worksheet!CN363&lt;&gt;"",CONCATENATE(Worksheet!CN363,"/",Worksheet!CO363),"")</f>
        <v>20.8/22.8</v>
      </c>
      <c r="W367" s="6"/>
      <c r="X367" s="7">
        <f>IF(Worksheet!AN363&lt;&gt;"",Worksheet!AN363,"")</f>
        <v>6.35</v>
      </c>
      <c r="Y367" s="7">
        <f>IF(Worksheet!AO363&lt;&gt;"",Worksheet!AO363,"")</f>
        <v>9.52</v>
      </c>
      <c r="Z367" s="17">
        <f>IF(Worksheet!Q363&lt;&gt;"",Worksheet!Q363,"")</f>
        <v>15</v>
      </c>
      <c r="AA367" s="17">
        <f>IF(Worksheet!R363&lt;&gt;"",Worksheet!R363,"")</f>
        <v>10</v>
      </c>
      <c r="AB367" t="str">
        <f>IF(Worksheet!X363&lt;&gt;"",CONCATENATE("от ",Worksheet!X363," до +",Worksheet!Y363),"")</f>
        <v>от 18 до +43</v>
      </c>
      <c r="AC367" t="str">
        <f>IF(Worksheet!Z363&lt;&gt;"",CONCATENATE("от ",Worksheet!Z363," до +",Worksheet!AA363),"")</f>
        <v>от -15 до +24</v>
      </c>
      <c r="AD367" s="6" t="s">
        <v>5245</v>
      </c>
      <c r="AE367" s="17"/>
    </row>
    <row r="368" spans="1:31" x14ac:dyDescent="0.25">
      <c r="A368" s="17" t="str">
        <f>IF(Worksheet!B364&lt;&gt;"",Worksheet!B364,"")</f>
        <v>TOSOT</v>
      </c>
      <c r="B368" t="str">
        <f>Worksheet!E364</f>
        <v>Сплит система</v>
      </c>
      <c r="C368" s="21">
        <f>IF(Worksheet!M364&lt;&gt;"",MID(Worksheet!M364,1,FIND(" ",Worksheet!M364,1)-1),"")*1</f>
        <v>2.35</v>
      </c>
      <c r="D368">
        <f t="shared" si="16"/>
        <v>23</v>
      </c>
      <c r="E368" t="str">
        <f>IF(Worksheet!L364&lt;&gt;"",IF(Worksheet!L364="Y","да","нет"),"")</f>
        <v>да</v>
      </c>
      <c r="F368" s="21">
        <f>IF(Worksheet!N364&lt;&gt;"",MID(Worksheet!N364,1,FIND(" ",Worksheet!N364,1)-1),"")*1</f>
        <v>2.5</v>
      </c>
      <c r="G368" s="21">
        <f>IF(Worksheet!O364&lt;&gt;"",MID(Worksheet!O364,1,FIND(" ",Worksheet!O364,1)-1),"")*1</f>
        <v>0.68100000000000005</v>
      </c>
      <c r="H368" s="21">
        <f>IF(Worksheet!P364&lt;&gt;"",MID(Worksheet!P364,1,FIND(" ",Worksheet!P364,1)-1),"")*1</f>
        <v>0.64900000000000002</v>
      </c>
      <c r="I368" s="6"/>
      <c r="J368" s="6"/>
      <c r="K368" t="str">
        <f>IF(Worksheet!BI364&lt;&gt;"",Worksheet!BI364,"")</f>
        <v>1 / 220 / 50</v>
      </c>
      <c r="L368" t="str">
        <f>IF(Worksheet!AU364&lt;&gt;"",Worksheet!AU364,"")</f>
        <v>R32</v>
      </c>
      <c r="M368" s="6"/>
      <c r="N368" s="6"/>
      <c r="O368" t="str">
        <f>IF(Worksheet!CR364&lt;&gt;"",CONCATENATE(Worksheet!CR364," х ",Worksheet!CP364," х ",Worksheet!CT364),"")</f>
        <v>744 х 256 х 185</v>
      </c>
      <c r="P368" t="str">
        <f>IF(Worksheet!CS364&lt;&gt;"",CONCATENATE(Worksheet!CS364," х ",Worksheet!CU364," х ",Worksheet!CQ364),"")</f>
        <v>788 х 249 х 314</v>
      </c>
      <c r="Q368" t="str">
        <f>IF(Worksheet!CV364&lt;&gt;"",CONCATENATE(Worksheet!CV364," / ",Worksheet!CW364),"")</f>
        <v>7.7 / 9.2</v>
      </c>
      <c r="R368" t="str">
        <f>IF(Worksheet!BS364&lt;&gt;"",Worksheet!BS364,"")</f>
        <v>25/33/38/40</v>
      </c>
      <c r="S368" t="str">
        <f>IF(Worksheet!AL364&lt;&gt;"",Worksheet!AL364,"")</f>
        <v>Gree</v>
      </c>
      <c r="T368" t="str">
        <f>IF(Worksheet!CJ364&lt;&gt;"",CONCATENATE(Worksheet!CJ364," х ",Worksheet!CL364," х ",Worksheet!CH364),"")</f>
        <v>710 х 293 х 450</v>
      </c>
      <c r="U368" t="str">
        <f>IF(Worksheet!CK364&lt;&gt;"",CONCATENATE(Worksheet!CK364," х ",Worksheet!CM364," х ",Worksheet!CI364),"")</f>
        <v>761 х 327 х 500</v>
      </c>
      <c r="V368" t="str">
        <f>IF(Worksheet!CN364&lt;&gt;"",CONCATENATE(Worksheet!CN364,"/",Worksheet!CO364),"")</f>
        <v>20.8/22.8</v>
      </c>
      <c r="W368" s="6"/>
      <c r="X368" s="7">
        <f>IF(Worksheet!AN364&lt;&gt;"",Worksheet!AN364,"")</f>
        <v>6</v>
      </c>
      <c r="Y368" s="7">
        <f>IF(Worksheet!AO364&lt;&gt;"",Worksheet!AO364,"")</f>
        <v>9.52</v>
      </c>
      <c r="Z368" s="17">
        <f>IF(Worksheet!Q364&lt;&gt;"",Worksheet!Q364,"")</f>
        <v>15</v>
      </c>
      <c r="AA368" s="17">
        <f>IF(Worksheet!R364&lt;&gt;"",Worksheet!R364,"")</f>
        <v>10</v>
      </c>
      <c r="AB368" t="str">
        <f>IF(Worksheet!X364&lt;&gt;"",CONCATENATE("от ",Worksheet!X364," до +",Worksheet!Y364),"")</f>
        <v>от -15 до +43</v>
      </c>
      <c r="AC368" t="str">
        <f>IF(Worksheet!Z364&lt;&gt;"",CONCATENATE("от ",Worksheet!Z364," до +",Worksheet!AA364),"")</f>
        <v>от -15 до +24</v>
      </c>
      <c r="AD368" s="6" t="s">
        <v>5245</v>
      </c>
      <c r="AE368" s="17"/>
    </row>
    <row r="369" spans="1:31" x14ac:dyDescent="0.25">
      <c r="A369" s="17" t="str">
        <f>IF(Worksheet!B365&lt;&gt;"",Worksheet!B365,"")</f>
        <v>TOSOT</v>
      </c>
      <c r="B369" t="str">
        <f>Worksheet!E365</f>
        <v>Сплит система</v>
      </c>
      <c r="C369" s="21">
        <f>IF(Worksheet!M365&lt;&gt;"",MID(Worksheet!M365,1,FIND(" ",Worksheet!M365,1)-1),"")*1</f>
        <v>2.5</v>
      </c>
      <c r="D369">
        <f t="shared" si="16"/>
        <v>25</v>
      </c>
      <c r="E369" t="str">
        <f>IF(Worksheet!L365&lt;&gt;"",IF(Worksheet!L365="Y","да","нет"),"")</f>
        <v>да</v>
      </c>
      <c r="F369" s="21">
        <f>IF(Worksheet!N365&lt;&gt;"",MID(Worksheet!N365,1,FIND(" ",Worksheet!N365,1)-1),"")*1</f>
        <v>2.8</v>
      </c>
      <c r="G369" s="21">
        <f>IF(Worksheet!O365&lt;&gt;"",MID(Worksheet!O365,1,FIND(" ",Worksheet!O365,1)-1),"")*1</f>
        <v>0.72</v>
      </c>
      <c r="H369" s="21">
        <f>IF(Worksheet!P365&lt;&gt;"",MID(Worksheet!P365,1,FIND(" ",Worksheet!P365,1)-1),"")*1</f>
        <v>0.75</v>
      </c>
      <c r="I369" s="6"/>
      <c r="J369" s="6"/>
      <c r="K369" t="str">
        <f>IF(Worksheet!BI365&lt;&gt;"",Worksheet!BI365,"")</f>
        <v>1 / 220 / 50</v>
      </c>
      <c r="L369" t="str">
        <f>IF(Worksheet!AU365&lt;&gt;"",Worksheet!AU365,"")</f>
        <v>R32</v>
      </c>
      <c r="M369" s="6"/>
      <c r="N369" s="6"/>
      <c r="O369" t="str">
        <f>IF(Worksheet!CR365&lt;&gt;"",CONCATENATE(Worksheet!CR365," х ",Worksheet!CP365," х ",Worksheet!CT365),"")</f>
        <v>744 х 256 х 185</v>
      </c>
      <c r="P369" t="str">
        <f>IF(Worksheet!CS365&lt;&gt;"",CONCATENATE(Worksheet!CS365," х ",Worksheet!CU365," х ",Worksheet!CQ365),"")</f>
        <v>788 х 249 х 315</v>
      </c>
      <c r="Q369" t="str">
        <f>IF(Worksheet!CV365&lt;&gt;"",CONCATENATE(Worksheet!CV365," / ",Worksheet!CW365),"")</f>
        <v>7.5 / 9</v>
      </c>
      <c r="R369" t="str">
        <f>IF(Worksheet!BS365&lt;&gt;"",Worksheet!BS365,"")</f>
        <v>25/32/36/38</v>
      </c>
      <c r="S369" t="str">
        <f>IF(Worksheet!AL365&lt;&gt;"",Worksheet!AL365,"")</f>
        <v>Gree</v>
      </c>
      <c r="T369" t="str">
        <f>IF(Worksheet!CJ365&lt;&gt;"",CONCATENATE(Worksheet!CJ365," х ",Worksheet!CL365," х ",Worksheet!CH365),"")</f>
        <v>732 х 330 х 550</v>
      </c>
      <c r="U369" t="str">
        <f>IF(Worksheet!CK365&lt;&gt;"",CONCATENATE(Worksheet!CK365," х ",Worksheet!CM365," х ",Worksheet!CI365),"")</f>
        <v>789 х 390 х 600</v>
      </c>
      <c r="V369" t="str">
        <f>IF(Worksheet!CN365&lt;&gt;"",CONCATENATE(Worksheet!CN365,"/",Worksheet!CO365),"")</f>
        <v>25/27.5</v>
      </c>
      <c r="W369" s="6"/>
      <c r="X369" s="7">
        <f>IF(Worksheet!AN365&lt;&gt;"",Worksheet!AN365,"")</f>
        <v>6.35</v>
      </c>
      <c r="Y369" s="7">
        <f>IF(Worksheet!AO365&lt;&gt;"",Worksheet!AO365,"")</f>
        <v>9.52</v>
      </c>
      <c r="Z369" s="17">
        <f>IF(Worksheet!Q365&lt;&gt;"",Worksheet!Q365,"")</f>
        <v>15</v>
      </c>
      <c r="AA369" s="17">
        <f>IF(Worksheet!R365&lt;&gt;"",Worksheet!R365,"")</f>
        <v>10</v>
      </c>
      <c r="AB369" t="str">
        <f>IF(Worksheet!X365&lt;&gt;"",CONCATENATE("от ",Worksheet!X365," до +",Worksheet!Y365),"")</f>
        <v>от -15 до +43</v>
      </c>
      <c r="AC369" t="str">
        <f>IF(Worksheet!Z365&lt;&gt;"",CONCATENATE("от ",Worksheet!Z365," до +",Worksheet!AA365),"")</f>
        <v>от -15 до +24</v>
      </c>
      <c r="AD369" s="6" t="s">
        <v>5245</v>
      </c>
      <c r="AE369" s="17"/>
    </row>
    <row r="370" spans="1:31" x14ac:dyDescent="0.25">
      <c r="A370" s="17" t="str">
        <f>IF(Worksheet!B366&lt;&gt;"",Worksheet!B366,"")</f>
        <v>TOSOT</v>
      </c>
      <c r="B370" t="str">
        <f>Worksheet!E366</f>
        <v>Сплит система</v>
      </c>
      <c r="C370" s="21">
        <f>IF(Worksheet!M366&lt;&gt;"",MID(Worksheet!M366,1,FIND(" ",Worksheet!M366,1)-1),"")*1</f>
        <v>2.65</v>
      </c>
      <c r="D370">
        <f t="shared" si="16"/>
        <v>26</v>
      </c>
      <c r="E370" t="str">
        <f>IF(Worksheet!L366&lt;&gt;"",IF(Worksheet!L366="Y","да","нет"),"")</f>
        <v>да</v>
      </c>
      <c r="F370" s="21">
        <f>IF(Worksheet!N366&lt;&gt;"",MID(Worksheet!N366,1,FIND(" ",Worksheet!N366,1)-1),"")*1</f>
        <v>2.85</v>
      </c>
      <c r="G370" s="21">
        <f>IF(Worksheet!O366&lt;&gt;"",MID(Worksheet!O366,1,FIND(" ",Worksheet!O366,1)-1),"")*1</f>
        <v>0.78</v>
      </c>
      <c r="H370" s="21">
        <f>IF(Worksheet!P366&lt;&gt;"",MID(Worksheet!P366,1,FIND(" ",Worksheet!P366,1)-1),"")*1</f>
        <v>0.78100000000000003</v>
      </c>
      <c r="I370" s="6"/>
      <c r="J370" s="6"/>
      <c r="K370" t="str">
        <f>IF(Worksheet!BI366&lt;&gt;"",Worksheet!BI366,"")</f>
        <v>1 / 220 / 50</v>
      </c>
      <c r="L370" t="str">
        <f>IF(Worksheet!AU366&lt;&gt;"",Worksheet!AU366,"")</f>
        <v>R32</v>
      </c>
      <c r="M370" s="6"/>
      <c r="N370" s="6"/>
      <c r="O370" t="str">
        <f>IF(Worksheet!CR366&lt;&gt;"",CONCATENATE(Worksheet!CR366," х ",Worksheet!CP366," х ",Worksheet!CT366),"")</f>
        <v>744 х 256 х 185</v>
      </c>
      <c r="P370" t="str">
        <f>IF(Worksheet!CS366&lt;&gt;"",CONCATENATE(Worksheet!CS366," х ",Worksheet!CU366," х ",Worksheet!CQ366),"")</f>
        <v>788 х 249 х 314</v>
      </c>
      <c r="Q370" t="str">
        <f>IF(Worksheet!CV366&lt;&gt;"",CONCATENATE(Worksheet!CV366," / ",Worksheet!CW366),"")</f>
        <v>7.5 / 9</v>
      </c>
      <c r="R370" t="str">
        <f>IF(Worksheet!BS366&lt;&gt;"",Worksheet!BS366,"")</f>
        <v>24/25/29/33/35/38/40</v>
      </c>
      <c r="S370" t="str">
        <f>IF(Worksheet!AL366&lt;&gt;"",Worksheet!AL366,"")</f>
        <v>Gree</v>
      </c>
      <c r="T370" t="str">
        <f>IF(Worksheet!CJ366&lt;&gt;"",CONCATENATE(Worksheet!CJ366," х ",Worksheet!CL366," х ",Worksheet!CH366),"")</f>
        <v>710 х 293 х 450</v>
      </c>
      <c r="U370" t="str">
        <f>IF(Worksheet!CK366&lt;&gt;"",CONCATENATE(Worksheet!CK366," х ",Worksheet!CM366," х ",Worksheet!CI366),"")</f>
        <v>761 х 327 х 500</v>
      </c>
      <c r="V370" t="str">
        <f>IF(Worksheet!CN366&lt;&gt;"",CONCATENATE(Worksheet!CN366,"/",Worksheet!CO366),"")</f>
        <v>21/23</v>
      </c>
      <c r="W370" s="6"/>
      <c r="X370" s="7">
        <f>IF(Worksheet!AN366&lt;&gt;"",Worksheet!AN366,"")</f>
        <v>6</v>
      </c>
      <c r="Y370" s="7">
        <f>IF(Worksheet!AO366&lt;&gt;"",Worksheet!AO366,"")</f>
        <v>9.52</v>
      </c>
      <c r="Z370" s="17">
        <f>IF(Worksheet!Q366&lt;&gt;"",Worksheet!Q366,"")</f>
        <v>15</v>
      </c>
      <c r="AA370" s="17">
        <f>IF(Worksheet!R366&lt;&gt;"",Worksheet!R366,"")</f>
        <v>10</v>
      </c>
      <c r="AB370" t="str">
        <f>IF(Worksheet!X366&lt;&gt;"",CONCATENATE("от ",Worksheet!X366," до +",Worksheet!Y366),"")</f>
        <v>от -15 до +43</v>
      </c>
      <c r="AC370" t="str">
        <f>IF(Worksheet!Z366&lt;&gt;"",CONCATENATE("от ",Worksheet!Z366," до +",Worksheet!AA366),"")</f>
        <v>от -15 до +24</v>
      </c>
      <c r="AD370" s="6" t="s">
        <v>5245</v>
      </c>
      <c r="AE370" s="17"/>
    </row>
    <row r="371" spans="1:31" x14ac:dyDescent="0.25">
      <c r="A371" s="17" t="str">
        <f>IF(Worksheet!B367&lt;&gt;"",Worksheet!B367,"")</f>
        <v>TOSOT</v>
      </c>
      <c r="B371" t="str">
        <f>Worksheet!E367</f>
        <v>Сплит система</v>
      </c>
      <c r="C371" s="21">
        <f>IF(Worksheet!M367&lt;&gt;"",MID(Worksheet!M367,1,FIND(" ",Worksheet!M367,1)-1),"")*1</f>
        <v>3.2</v>
      </c>
      <c r="D371">
        <f t="shared" si="16"/>
        <v>32</v>
      </c>
      <c r="E371" t="str">
        <f>IF(Worksheet!L367&lt;&gt;"",IF(Worksheet!L367="Y","да","нет"),"")</f>
        <v>да</v>
      </c>
      <c r="F371" s="21">
        <f>IF(Worksheet!N367&lt;&gt;"",MID(Worksheet!N367,1,FIND(" ",Worksheet!N367,1)-1),"")*1</f>
        <v>3.4</v>
      </c>
      <c r="G371" s="21">
        <f>IF(Worksheet!O367&lt;&gt;"",MID(Worksheet!O367,1,FIND(" ",Worksheet!O367,1)-1),"")*1</f>
        <v>0.99099999999999999</v>
      </c>
      <c r="H371" s="21">
        <f>IF(Worksheet!P367&lt;&gt;"",MID(Worksheet!P367,1,FIND(" ",Worksheet!P367,1)-1),"")*1</f>
        <v>0.91600000000000004</v>
      </c>
      <c r="I371" s="6"/>
      <c r="J371" s="6"/>
      <c r="K371" t="str">
        <f>IF(Worksheet!BI367&lt;&gt;"",Worksheet!BI367,"")</f>
        <v>1 / 220 / 50</v>
      </c>
      <c r="L371" t="str">
        <f>IF(Worksheet!AU367&lt;&gt;"",Worksheet!AU367,"")</f>
        <v>R32</v>
      </c>
      <c r="M371" s="6"/>
      <c r="N371" s="6"/>
      <c r="O371" t="str">
        <f>IF(Worksheet!CR367&lt;&gt;"",CONCATENATE(Worksheet!CR367," х ",Worksheet!CP367," х ",Worksheet!CT367),"")</f>
        <v>819 х 256 х 185</v>
      </c>
      <c r="P371" t="str">
        <f>IF(Worksheet!CS367&lt;&gt;"",CONCATENATE(Worksheet!CS367," х ",Worksheet!CU367," х ",Worksheet!CQ367),"")</f>
        <v>863 х 249 х 314</v>
      </c>
      <c r="Q371" t="str">
        <f>IF(Worksheet!CV367&lt;&gt;"",CONCATENATE(Worksheet!CV367," / ",Worksheet!CW367),"")</f>
        <v>8 / 9.5</v>
      </c>
      <c r="R371" t="str">
        <f>IF(Worksheet!BS367&lt;&gt;"",Worksheet!BS367,"")</f>
        <v>26/33/37/41</v>
      </c>
      <c r="S371" t="str">
        <f>IF(Worksheet!AL367&lt;&gt;"",Worksheet!AL367,"")</f>
        <v>Gree</v>
      </c>
      <c r="T371" t="str">
        <f>IF(Worksheet!CJ367&lt;&gt;"",CONCATENATE(Worksheet!CJ367," х ",Worksheet!CL367," х ",Worksheet!CH367),"")</f>
        <v>732 х 330 х 550</v>
      </c>
      <c r="U371" t="str">
        <f>IF(Worksheet!CK367&lt;&gt;"",CONCATENATE(Worksheet!CK367," х ",Worksheet!CM367," х ",Worksheet!CI367),"")</f>
        <v>789 х 390 х 600</v>
      </c>
      <c r="V371" t="str">
        <f>IF(Worksheet!CN367&lt;&gt;"",CONCATENATE(Worksheet!CN367,"/",Worksheet!CO367),"")</f>
        <v>25/27.5</v>
      </c>
      <c r="W371" s="6"/>
      <c r="X371" s="7">
        <f>IF(Worksheet!AN367&lt;&gt;"",Worksheet!AN367,"")</f>
        <v>6.35</v>
      </c>
      <c r="Y371" s="7">
        <f>IF(Worksheet!AO367&lt;&gt;"",Worksheet!AO367,"")</f>
        <v>9.52</v>
      </c>
      <c r="Z371" s="17">
        <f>IF(Worksheet!Q367&lt;&gt;"",Worksheet!Q367,"")</f>
        <v>15</v>
      </c>
      <c r="AA371" s="17">
        <f>IF(Worksheet!R367&lt;&gt;"",Worksheet!R367,"")</f>
        <v>10</v>
      </c>
      <c r="AB371" t="str">
        <f>IF(Worksheet!X367&lt;&gt;"",CONCATENATE("от ",Worksheet!X367," до +",Worksheet!Y367),"")</f>
        <v>от -15 до +43</v>
      </c>
      <c r="AC371" t="str">
        <f>IF(Worksheet!Z367&lt;&gt;"",CONCATENATE("от ",Worksheet!Z367," до +",Worksheet!AA367),"")</f>
        <v>от -15 до +24</v>
      </c>
      <c r="AD371" s="6" t="s">
        <v>5245</v>
      </c>
      <c r="AE371" s="17"/>
    </row>
    <row r="372" spans="1:31" x14ac:dyDescent="0.25">
      <c r="A372" s="17" t="str">
        <f>IF(Worksheet!B368&lt;&gt;"",Worksheet!B368,"")</f>
        <v>TOSOT</v>
      </c>
      <c r="B372" t="str">
        <f>Worksheet!E368</f>
        <v>Сплит система</v>
      </c>
      <c r="C372" s="21">
        <f>IF(Worksheet!M368&lt;&gt;"",MID(Worksheet!M368,1,FIND(" ",Worksheet!M368,1)-1),"")*1</f>
        <v>3.5</v>
      </c>
      <c r="D372">
        <f t="shared" si="16"/>
        <v>35</v>
      </c>
      <c r="E372" t="str">
        <f>IF(Worksheet!L368&lt;&gt;"",IF(Worksheet!L368="Y","да","нет"),"")</f>
        <v>да</v>
      </c>
      <c r="F372" s="21">
        <f>IF(Worksheet!N368&lt;&gt;"",MID(Worksheet!N368,1,FIND(" ",Worksheet!N368,1)-1),"")*1</f>
        <v>3.5</v>
      </c>
      <c r="G372" s="21">
        <f>IF(Worksheet!O368&lt;&gt;"",MID(Worksheet!O368,1,FIND(" ",Worksheet!O368,1)-1),"")*1</f>
        <v>1.083</v>
      </c>
      <c r="H372" s="21">
        <f>IF(Worksheet!P368&lt;&gt;"",MID(Worksheet!P368,1,FIND(" ",Worksheet!P368,1)-1),"")*1</f>
        <v>0.91800000000000004</v>
      </c>
      <c r="I372" s="6"/>
      <c r="J372" s="6"/>
      <c r="K372" t="str">
        <f>IF(Worksheet!BI368&lt;&gt;"",Worksheet!BI368,"")</f>
        <v>1 / 220 / 50</v>
      </c>
      <c r="L372" t="str">
        <f>IF(Worksheet!AU368&lt;&gt;"",Worksheet!AU368,"")</f>
        <v>R32</v>
      </c>
      <c r="M372" s="6"/>
      <c r="N372" s="6"/>
      <c r="O372" t="str">
        <f>IF(Worksheet!CR368&lt;&gt;"",CONCATENATE(Worksheet!CR368," х ",Worksheet!CP368," х ",Worksheet!CT368),"")</f>
        <v>819 х 256 х 185</v>
      </c>
      <c r="P372" t="str">
        <f>IF(Worksheet!CS368&lt;&gt;"",CONCATENATE(Worksheet!CS368," х ",Worksheet!CU368," х ",Worksheet!CQ368),"")</f>
        <v>863 х 249 х 314</v>
      </c>
      <c r="Q372" t="str">
        <f>IF(Worksheet!CV368&lt;&gt;"",CONCATENATE(Worksheet!CV368," / ",Worksheet!CW368),"")</f>
        <v>8.5 / 10</v>
      </c>
      <c r="R372" t="str">
        <f>IF(Worksheet!BS368&lt;&gt;"",Worksheet!BS368,"")</f>
        <v>24/26/30/33/35/37/41</v>
      </c>
      <c r="S372" t="str">
        <f>IF(Worksheet!AL368&lt;&gt;"",Worksheet!AL368,"")</f>
        <v>Gree</v>
      </c>
      <c r="T372" t="str">
        <f>IF(Worksheet!CJ368&lt;&gt;"",CONCATENATE(Worksheet!CJ368," х ",Worksheet!CL368," х ",Worksheet!CH368),"")</f>
        <v>732 х 330 х 550</v>
      </c>
      <c r="U372" t="str">
        <f>IF(Worksheet!CK368&lt;&gt;"",CONCATENATE(Worksheet!CK368," х ",Worksheet!CM368," х ",Worksheet!CI368),"")</f>
        <v>789 х 390 х 600</v>
      </c>
      <c r="V372" t="str">
        <f>IF(Worksheet!CN368&lt;&gt;"",CONCATENATE(Worksheet!CN368,"/",Worksheet!CO368),"")</f>
        <v>25/27.5</v>
      </c>
      <c r="W372" s="6"/>
      <c r="X372" s="7">
        <f>IF(Worksheet!AN368&lt;&gt;"",Worksheet!AN368,"")</f>
        <v>6</v>
      </c>
      <c r="Y372" s="7">
        <f>IF(Worksheet!AO368&lt;&gt;"",Worksheet!AO368,"")</f>
        <v>9.52</v>
      </c>
      <c r="Z372" s="17">
        <f>IF(Worksheet!Q368&lt;&gt;"",Worksheet!Q368,"")</f>
        <v>15</v>
      </c>
      <c r="AA372" s="17">
        <f>IF(Worksheet!R368&lt;&gt;"",Worksheet!R368,"")</f>
        <v>10</v>
      </c>
      <c r="AB372" t="str">
        <f>IF(Worksheet!X368&lt;&gt;"",CONCATENATE("от ",Worksheet!X368," до +",Worksheet!Y368),"")</f>
        <v>от -15 до +43</v>
      </c>
      <c r="AC372" t="str">
        <f>IF(Worksheet!Z368&lt;&gt;"",CONCATENATE("от ",Worksheet!Z368," до +",Worksheet!AA368),"")</f>
        <v>от -15 до +24</v>
      </c>
      <c r="AD372" s="6" t="s">
        <v>5245</v>
      </c>
      <c r="AE372" s="17"/>
    </row>
    <row r="373" spans="1:31" x14ac:dyDescent="0.25">
      <c r="A373" s="17" t="str">
        <f>IF(Worksheet!B369&lt;&gt;"",Worksheet!B369,"")</f>
        <v>TOSOT</v>
      </c>
      <c r="B373" t="str">
        <f>Worksheet!E369</f>
        <v>Сплит система</v>
      </c>
      <c r="C373" s="21">
        <f>IF(Worksheet!M369&lt;&gt;"",MID(Worksheet!M369,1,FIND(" ",Worksheet!M369,1)-1),"")*1</f>
        <v>4.5999999999999996</v>
      </c>
      <c r="D373">
        <f t="shared" si="16"/>
        <v>46</v>
      </c>
      <c r="E373" t="str">
        <f>IF(Worksheet!L369&lt;&gt;"",IF(Worksheet!L369="Y","да","нет"),"")</f>
        <v>да</v>
      </c>
      <c r="F373" s="21">
        <f>IF(Worksheet!N369&lt;&gt;"",MID(Worksheet!N369,1,FIND(" ",Worksheet!N369,1)-1),"")*1</f>
        <v>5.2</v>
      </c>
      <c r="G373" s="21">
        <f>IF(Worksheet!O369&lt;&gt;"",MID(Worksheet!O369,1,FIND(" ",Worksheet!O369,1)-1),"")*1</f>
        <v>1.43</v>
      </c>
      <c r="H373" s="21">
        <f>IF(Worksheet!P369&lt;&gt;"",MID(Worksheet!P369,1,FIND(" ",Worksheet!P369,1)-1),"")*1</f>
        <v>1.4</v>
      </c>
      <c r="I373" s="6"/>
      <c r="J373" s="6"/>
      <c r="K373" t="str">
        <f>IF(Worksheet!BI369&lt;&gt;"",Worksheet!BI369,"")</f>
        <v>1 / 220 / 50</v>
      </c>
      <c r="L373" t="str">
        <f>IF(Worksheet!AU369&lt;&gt;"",Worksheet!AU369,"")</f>
        <v>R32</v>
      </c>
      <c r="M373" s="6"/>
      <c r="N373" s="6"/>
      <c r="O373" t="str">
        <f>IF(Worksheet!CR369&lt;&gt;"",CONCATENATE(Worksheet!CR369," х ",Worksheet!CP369," х ",Worksheet!CT369),"")</f>
        <v>1017 х 304 х 221</v>
      </c>
      <c r="P373" t="str">
        <f>IF(Worksheet!CS369&lt;&gt;"",CONCATENATE(Worksheet!CS369," х ",Worksheet!CU369," х ",Worksheet!CQ369),"")</f>
        <v>1077 х 300 х 375</v>
      </c>
      <c r="Q373" t="str">
        <f>IF(Worksheet!CV369&lt;&gt;"",CONCATENATE(Worksheet!CV369," / ",Worksheet!CW369),"")</f>
        <v>14 / 17</v>
      </c>
      <c r="R373" t="str">
        <f>IF(Worksheet!BS369&lt;&gt;"",Worksheet!BS369,"")</f>
        <v>34/39/45/48</v>
      </c>
      <c r="S373" t="str">
        <f>IF(Worksheet!AL369&lt;&gt;"",Worksheet!AL369,"")</f>
        <v>Gree</v>
      </c>
      <c r="T373" t="str">
        <f>IF(Worksheet!CJ369&lt;&gt;"",CONCATENATE(Worksheet!CJ369," х ",Worksheet!CL369," х ",Worksheet!CH369),"")</f>
        <v>848 х 320 х 596</v>
      </c>
      <c r="U373" t="str">
        <f>IF(Worksheet!CK369&lt;&gt;"",CONCATENATE(Worksheet!CK369," х ",Worksheet!CM369," х ",Worksheet!CI369),"")</f>
        <v>878 х 360 х 630</v>
      </c>
      <c r="V373" t="str">
        <f>IF(Worksheet!CN369&lt;&gt;"",CONCATENATE(Worksheet!CN369,"/",Worksheet!CO369),"")</f>
        <v>34/37</v>
      </c>
      <c r="W373" s="6"/>
      <c r="X373" s="7">
        <f>IF(Worksheet!AN369&lt;&gt;"",Worksheet!AN369,"")</f>
        <v>6.35</v>
      </c>
      <c r="Y373" s="7">
        <f>IF(Worksheet!AO369&lt;&gt;"",Worksheet!AO369,"")</f>
        <v>9.52</v>
      </c>
      <c r="Z373" s="17">
        <f>IF(Worksheet!Q369&lt;&gt;"",Worksheet!Q369,"")</f>
        <v>20</v>
      </c>
      <c r="AA373" s="17">
        <f>IF(Worksheet!R369&lt;&gt;"",Worksheet!R369,"")</f>
        <v>10</v>
      </c>
      <c r="AB373" t="str">
        <f>IF(Worksheet!X369&lt;&gt;"",CONCATENATE("от ",Worksheet!X369," до +",Worksheet!Y369),"")</f>
        <v>от -15 до +43</v>
      </c>
      <c r="AC373" t="str">
        <f>IF(Worksheet!Z369&lt;&gt;"",CONCATENATE("от ",Worksheet!Z369," до +",Worksheet!AA369),"")</f>
        <v>от -15 до +24</v>
      </c>
      <c r="AD373" s="6" t="s">
        <v>5245</v>
      </c>
      <c r="AE373" s="17"/>
    </row>
    <row r="374" spans="1:31" x14ac:dyDescent="0.25">
      <c r="A374" s="17" t="str">
        <f>IF(Worksheet!B370&lt;&gt;"",Worksheet!B370,"")</f>
        <v>TOSOT</v>
      </c>
      <c r="B374" t="str">
        <f>Worksheet!E370</f>
        <v>Сплит система</v>
      </c>
      <c r="C374" s="21">
        <f>IF(Worksheet!M370&lt;&gt;"",MID(Worksheet!M370,1,FIND(" ",Worksheet!M370,1)-1),"")*1</f>
        <v>4.5999999999999996</v>
      </c>
      <c r="D374">
        <f t="shared" si="16"/>
        <v>46</v>
      </c>
      <c r="E374" t="str">
        <f>IF(Worksheet!L370&lt;&gt;"",IF(Worksheet!L370="Y","да","нет"),"")</f>
        <v>да</v>
      </c>
      <c r="F374" s="21">
        <f>IF(Worksheet!N370&lt;&gt;"",MID(Worksheet!N370,1,FIND(" ",Worksheet!N370,1)-1),"")*1</f>
        <v>5.2</v>
      </c>
      <c r="G374" s="21">
        <f>IF(Worksheet!O370&lt;&gt;"",MID(Worksheet!O370,1,FIND(" ",Worksheet!O370,1)-1),"")*1</f>
        <v>1.355</v>
      </c>
      <c r="H374" s="21">
        <f>IF(Worksheet!P370&lt;&gt;"",MID(Worksheet!P370,1,FIND(" ",Worksheet!P370,1)-1),"")*1</f>
        <v>1.34</v>
      </c>
      <c r="I374" s="6"/>
      <c r="J374" s="6"/>
      <c r="K374" t="str">
        <f>IF(Worksheet!BI370&lt;&gt;"",Worksheet!BI370,"")</f>
        <v>1 / 220 / 50</v>
      </c>
      <c r="L374" t="str">
        <f>IF(Worksheet!AU370&lt;&gt;"",Worksheet!AU370,"")</f>
        <v>R32</v>
      </c>
      <c r="M374" s="6"/>
      <c r="N374" s="6"/>
      <c r="O374" t="str">
        <f>IF(Worksheet!CR370&lt;&gt;"",CONCATENATE(Worksheet!CR370," х ",Worksheet!CP370," х ",Worksheet!CT370),"")</f>
        <v>1013 х 307 х 221</v>
      </c>
      <c r="P374" t="str">
        <f>IF(Worksheet!CS370&lt;&gt;"",CONCATENATE(Worksheet!CS370," х ",Worksheet!CU370," х ",Worksheet!CQ370),"")</f>
        <v>1055 х 287 х 366</v>
      </c>
      <c r="Q374" t="str">
        <f>IF(Worksheet!CV370&lt;&gt;"",CONCATENATE(Worksheet!CV370," / ",Worksheet!CW370),"")</f>
        <v>13.5 / 16</v>
      </c>
      <c r="R374" t="str">
        <f>IF(Worksheet!BS370&lt;&gt;"",Worksheet!BS370,"")</f>
        <v>34/38/42/44</v>
      </c>
      <c r="S374" t="str">
        <f>IF(Worksheet!AL370&lt;&gt;"",Worksheet!AL370,"")</f>
        <v>Gree</v>
      </c>
      <c r="T374" t="str">
        <f>IF(Worksheet!CJ370&lt;&gt;"",CONCATENATE(Worksheet!CJ370," х ",Worksheet!CL370," х ",Worksheet!CH370),"")</f>
        <v>732 х 330 х 555</v>
      </c>
      <c r="U374" t="str">
        <f>IF(Worksheet!CK370&lt;&gt;"",CONCATENATE(Worksheet!CK370," х ",Worksheet!CM370," х ",Worksheet!CI370),"")</f>
        <v>791 х 373 х 590</v>
      </c>
      <c r="V374" t="str">
        <f>IF(Worksheet!CN370&lt;&gt;"",CONCATENATE(Worksheet!CN370,"/",Worksheet!CO370),"")</f>
        <v>26.5/29</v>
      </c>
      <c r="W374" s="6"/>
      <c r="X374" s="7">
        <f>IF(Worksheet!AN370&lt;&gt;"",Worksheet!AN370,"")</f>
        <v>6</v>
      </c>
      <c r="Y374" s="7">
        <f>IF(Worksheet!AO370&lt;&gt;"",Worksheet!AO370,"")</f>
        <v>9.52</v>
      </c>
      <c r="Z374" s="17">
        <f>IF(Worksheet!Q370&lt;&gt;"",Worksheet!Q370,"")</f>
        <v>25</v>
      </c>
      <c r="AA374" s="17">
        <f>IF(Worksheet!R370&lt;&gt;"",Worksheet!R370,"")</f>
        <v>10</v>
      </c>
      <c r="AB374" t="str">
        <f>IF(Worksheet!X370&lt;&gt;"",CONCATENATE("от ",Worksheet!X370," до +",Worksheet!Y370),"")</f>
        <v>от -15 до +43</v>
      </c>
      <c r="AC374" t="str">
        <f>IF(Worksheet!Z370&lt;&gt;"",CONCATENATE("от ",Worksheet!Z370," до +",Worksheet!AA370),"")</f>
        <v>от -15 до +24</v>
      </c>
      <c r="AD374" s="6" t="s">
        <v>5245</v>
      </c>
      <c r="AE374" s="17"/>
    </row>
    <row r="375" spans="1:31" x14ac:dyDescent="0.25">
      <c r="A375" s="17" t="str">
        <f>IF(Worksheet!B371&lt;&gt;"",Worksheet!B371,"")</f>
        <v>TOSOT</v>
      </c>
      <c r="B375" t="str">
        <f>Worksheet!E371</f>
        <v>Сплит система</v>
      </c>
      <c r="C375" s="21">
        <f>IF(Worksheet!M371&lt;&gt;"",MID(Worksheet!M371,1,FIND(" ",Worksheet!M371,1)-1),"")*1</f>
        <v>6.16</v>
      </c>
      <c r="D375">
        <f t="shared" si="16"/>
        <v>61</v>
      </c>
      <c r="E375" t="str">
        <f>IF(Worksheet!L371&lt;&gt;"",IF(Worksheet!L371="Y","да","нет"),"")</f>
        <v>да</v>
      </c>
      <c r="F375" s="21">
        <f>IF(Worksheet!N371&lt;&gt;"",MID(Worksheet!N371,1,FIND(" ",Worksheet!N371,1)-1),"")*1</f>
        <v>6.45</v>
      </c>
      <c r="G375" s="21">
        <f>IF(Worksheet!O371&lt;&gt;"",MID(Worksheet!O371,1,FIND(" ",Worksheet!O371,1)-1),"")*1</f>
        <v>1.76</v>
      </c>
      <c r="H375" s="21">
        <f>IF(Worksheet!P371&lt;&gt;"",MID(Worksheet!P371,1,FIND(" ",Worksheet!P371,1)-1),"")*1</f>
        <v>1.86</v>
      </c>
      <c r="I375" s="6"/>
      <c r="J375" s="6"/>
      <c r="K375" t="str">
        <f>IF(Worksheet!BI371&lt;&gt;"",Worksheet!BI371,"")</f>
        <v>1 / 220 / 50</v>
      </c>
      <c r="L375" t="str">
        <f>IF(Worksheet!AU371&lt;&gt;"",Worksheet!AU371,"")</f>
        <v>R32</v>
      </c>
      <c r="M375" s="6"/>
      <c r="N375" s="6"/>
      <c r="O375" t="str">
        <f>IF(Worksheet!CR371&lt;&gt;"",CONCATENATE(Worksheet!CR371," х ",Worksheet!CP371," х ",Worksheet!CT371),"")</f>
        <v>1017 х 304 х 221</v>
      </c>
      <c r="P375" t="str">
        <f>IF(Worksheet!CS371&lt;&gt;"",CONCATENATE(Worksheet!CS371," х ",Worksheet!CU371," х ",Worksheet!CQ371),"")</f>
        <v>1077 х 300 х 375</v>
      </c>
      <c r="Q375" t="str">
        <f>IF(Worksheet!CV371&lt;&gt;"",CONCATENATE(Worksheet!CV371," / ",Worksheet!CW371),"")</f>
        <v>14 / 17</v>
      </c>
      <c r="R375" t="str">
        <f>IF(Worksheet!BS371&lt;&gt;"",Worksheet!BS371,"")</f>
        <v>34/40/44/48</v>
      </c>
      <c r="S375" t="str">
        <f>IF(Worksheet!AL371&lt;&gt;"",Worksheet!AL371,"")</f>
        <v>Gree</v>
      </c>
      <c r="T375" t="str">
        <f>IF(Worksheet!CJ371&lt;&gt;"",CONCATENATE(Worksheet!CJ371," х ",Worksheet!CL371," х ",Worksheet!CH371),"")</f>
        <v>965 х 396 х 700</v>
      </c>
      <c r="U375" t="str">
        <f>IF(Worksheet!CK371&lt;&gt;"",CONCATENATE(Worksheet!CK371," х ",Worksheet!CM371," х ",Worksheet!CI371),"")</f>
        <v>1026 х 455 х 735</v>
      </c>
      <c r="V375" t="str">
        <f>IF(Worksheet!CN371&lt;&gt;"",CONCATENATE(Worksheet!CN371,"/",Worksheet!CO371),"")</f>
        <v>46/50.5</v>
      </c>
      <c r="W375" s="6"/>
      <c r="X375" s="7">
        <f>IF(Worksheet!AN371&lt;&gt;"",Worksheet!AN371,"")</f>
        <v>6.35</v>
      </c>
      <c r="Y375" s="7">
        <f>IF(Worksheet!AO371&lt;&gt;"",Worksheet!AO371,"")</f>
        <v>15.9</v>
      </c>
      <c r="Z375" s="17">
        <f>IF(Worksheet!Q371&lt;&gt;"",Worksheet!Q371,"")</f>
        <v>25</v>
      </c>
      <c r="AA375" s="17">
        <f>IF(Worksheet!R371&lt;&gt;"",Worksheet!R371,"")</f>
        <v>10</v>
      </c>
      <c r="AB375" t="str">
        <f>IF(Worksheet!X371&lt;&gt;"",CONCATENATE("от ",Worksheet!X371," до +",Worksheet!Y371),"")</f>
        <v>от -15 до +43</v>
      </c>
      <c r="AC375" t="str">
        <f>IF(Worksheet!Z371&lt;&gt;"",CONCATENATE("от ",Worksheet!Z371," до +",Worksheet!AA371),"")</f>
        <v>от -15 до +24</v>
      </c>
      <c r="AD375" s="6" t="s">
        <v>5245</v>
      </c>
      <c r="AE375" s="17"/>
    </row>
    <row r="376" spans="1:31" x14ac:dyDescent="0.25">
      <c r="A376" s="17" t="str">
        <f>IF(Worksheet!B372&lt;&gt;"",Worksheet!B372,"")</f>
        <v>TOSOT</v>
      </c>
      <c r="B376" t="str">
        <f>Worksheet!E372</f>
        <v>Сплит система</v>
      </c>
      <c r="C376" s="21">
        <f>IF(Worksheet!M372&lt;&gt;"",MID(Worksheet!M372,1,FIND(" ",Worksheet!M372,1)-1),"")*1</f>
        <v>6.2</v>
      </c>
      <c r="D376">
        <f t="shared" si="16"/>
        <v>62</v>
      </c>
      <c r="E376" t="str">
        <f>IF(Worksheet!L372&lt;&gt;"",IF(Worksheet!L372="Y","да","нет"),"")</f>
        <v>да</v>
      </c>
      <c r="F376" s="21">
        <f>IF(Worksheet!N372&lt;&gt;"",MID(Worksheet!N372,1,FIND(" ",Worksheet!N372,1)-1),"")*1</f>
        <v>6.5</v>
      </c>
      <c r="G376" s="21">
        <f>IF(Worksheet!O372&lt;&gt;"",MID(Worksheet!O372,1,FIND(" ",Worksheet!O372,1)-1),"")*1</f>
        <v>1.827</v>
      </c>
      <c r="H376" s="21">
        <f>IF(Worksheet!P372&lt;&gt;"",MID(Worksheet!P372,1,FIND(" ",Worksheet!P372,1)-1),"")*1</f>
        <v>1.9119999999999999</v>
      </c>
      <c r="I376" s="6"/>
      <c r="J376" s="6"/>
      <c r="K376" t="str">
        <f>IF(Worksheet!BI372&lt;&gt;"",Worksheet!BI372,"")</f>
        <v>1 / 220 / 50</v>
      </c>
      <c r="L376" t="str">
        <f>IF(Worksheet!AU372&lt;&gt;"",Worksheet!AU372,"")</f>
        <v>R32</v>
      </c>
      <c r="M376" s="6"/>
      <c r="N376" s="6"/>
      <c r="O376" t="str">
        <f>IF(Worksheet!CR372&lt;&gt;"",CONCATENATE(Worksheet!CR372," х ",Worksheet!CP372," х ",Worksheet!CT372),"")</f>
        <v>1013 х 307 х 221</v>
      </c>
      <c r="P376" t="str">
        <f>IF(Worksheet!CS372&lt;&gt;"",CONCATENATE(Worksheet!CS372," х ",Worksheet!CU372," х ",Worksheet!CQ372),"")</f>
        <v>1077 х 300 х 375</v>
      </c>
      <c r="Q376" t="str">
        <f>IF(Worksheet!CV372&lt;&gt;"",CONCATENATE(Worksheet!CV372," / ",Worksheet!CW372),"")</f>
        <v>14 / 17</v>
      </c>
      <c r="R376" t="str">
        <f>IF(Worksheet!BS372&lt;&gt;"",Worksheet!BS372,"")</f>
        <v>26/30/32/37/42/45/48</v>
      </c>
      <c r="S376" t="str">
        <f>IF(Worksheet!AL372&lt;&gt;"",Worksheet!AL372,"")</f>
        <v>Gree</v>
      </c>
      <c r="T376" t="str">
        <f>IF(Worksheet!CJ372&lt;&gt;"",CONCATENATE(Worksheet!CJ372," х ",Worksheet!CL372," х ",Worksheet!CH372),"")</f>
        <v>873 х 376 х 555</v>
      </c>
      <c r="U376" t="str">
        <f>IF(Worksheet!CK372&lt;&gt;"",CONCATENATE(Worksheet!CK372," х ",Worksheet!CM372," х ",Worksheet!CI372),"")</f>
        <v>948 х 428 х 591</v>
      </c>
      <c r="V376" t="str">
        <f>IF(Worksheet!CN372&lt;&gt;"",CONCATENATE(Worksheet!CN372,"/",Worksheet!CO372),"")</f>
        <v>36.5/39.5</v>
      </c>
      <c r="W376" s="6"/>
      <c r="X376" s="7">
        <f>IF(Worksheet!AN372&lt;&gt;"",Worksheet!AN372,"")</f>
        <v>6</v>
      </c>
      <c r="Y376" s="7">
        <f>IF(Worksheet!AO372&lt;&gt;"",Worksheet!AO372,"")</f>
        <v>12</v>
      </c>
      <c r="Z376" s="17">
        <f>IF(Worksheet!Q372&lt;&gt;"",Worksheet!Q372,"")</f>
        <v>25</v>
      </c>
      <c r="AA376" s="17">
        <f>IF(Worksheet!R372&lt;&gt;"",Worksheet!R372,"")</f>
        <v>10</v>
      </c>
      <c r="AB376" t="str">
        <f>IF(Worksheet!X372&lt;&gt;"",CONCATENATE("от ",Worksheet!X372," до +",Worksheet!Y372),"")</f>
        <v>от -15 до +43</v>
      </c>
      <c r="AC376" t="str">
        <f>IF(Worksheet!Z372&lt;&gt;"",CONCATENATE("от ",Worksheet!Z372," до +",Worksheet!AA372),"")</f>
        <v>от -15 до +24</v>
      </c>
      <c r="AD376" s="6" t="s">
        <v>5245</v>
      </c>
      <c r="AE376" s="17"/>
    </row>
    <row r="377" spans="1:31" x14ac:dyDescent="0.25">
      <c r="A377" s="17" t="str">
        <f>IF(Worksheet!B373&lt;&gt;"",Worksheet!B373,"")</f>
        <v>TOSOT</v>
      </c>
      <c r="B377" t="str">
        <f>Worksheet!E373</f>
        <v>Сплит система</v>
      </c>
      <c r="C377">
        <f>IF(Worksheet!M373&lt;&gt;"",Worksheet!M373,"")</f>
        <v>2.25</v>
      </c>
      <c r="D377">
        <f t="shared" si="15"/>
        <v>23</v>
      </c>
      <c r="E377" t="str">
        <f>IF(Worksheet!L373&lt;&gt;"",IF(Worksheet!L373="Y","да","нет"),"")</f>
        <v>нет</v>
      </c>
      <c r="F377">
        <f>IF(Worksheet!N373&lt;&gt;"",Worksheet!N373,"")</f>
        <v>2.35</v>
      </c>
      <c r="G377">
        <f>IF(Worksheet!O373&lt;&gt;"",Worksheet!O373,"")</f>
        <v>0.7</v>
      </c>
      <c r="H377">
        <f>IF(Worksheet!P373&lt;&gt;"",Worksheet!P373,"")</f>
        <v>0.65100000000000002</v>
      </c>
      <c r="I377" s="6"/>
      <c r="J377" s="6"/>
      <c r="K377" t="str">
        <f>IF(Worksheet!BI373&lt;&gt;"",Worksheet!BI373,"")</f>
        <v>1 / 220 / 50</v>
      </c>
      <c r="L377" t="str">
        <f>IF(Worksheet!AU373&lt;&gt;"",Worksheet!AU373,"")</f>
        <v>R410A</v>
      </c>
      <c r="M377" s="6"/>
      <c r="N377" s="6"/>
      <c r="O377" t="str">
        <f>IF(Worksheet!CR373&lt;&gt;"",CONCATENATE(Worksheet!CR373," х ",Worksheet!CP373," х ",Worksheet!CT373),"")</f>
        <v>704 х 260 х 185</v>
      </c>
      <c r="P377" t="str">
        <f>IF(Worksheet!CS373&lt;&gt;"",CONCATENATE(Worksheet!CS373," х ",Worksheet!CU373," х ",Worksheet!CQ373),"")</f>
        <v>748 х 247 х 316</v>
      </c>
      <c r="Q377" t="str">
        <f>IF(Worksheet!CV373&lt;&gt;"",CONCATENATE(Worksheet!CV373," / ",Worksheet!CW373),"")</f>
        <v>7.5 / 8.7</v>
      </c>
      <c r="R377" t="str">
        <f>IF(Worksheet!BS373&lt;&gt;"",Worksheet!BS373,"")</f>
        <v>24/27/28/34/35/37/39</v>
      </c>
      <c r="S377" t="str">
        <f>IF(Worksheet!AL373&lt;&gt;"",Worksheet!AL373,"")</f>
        <v>Gree</v>
      </c>
      <c r="T377" t="str">
        <f>IF(Worksheet!CJ373&lt;&gt;"",CONCATENATE(Worksheet!CJ373," х ",Worksheet!CL373," х ",Worksheet!CH373),"")</f>
        <v>720 х 310 х 428</v>
      </c>
      <c r="U377" t="str">
        <f>IF(Worksheet!CK373&lt;&gt;"",CONCATENATE(Worksheet!CK373," х ",Worksheet!CM373," х ",Worksheet!CI373),"")</f>
        <v>765 х 350 х 475</v>
      </c>
      <c r="V377" t="str">
        <f>IF(Worksheet!CN373&lt;&gt;"",CONCATENATE(Worksheet!CN373,"/",Worksheet!CO373),"")</f>
        <v>23.4/25.4</v>
      </c>
      <c r="W377" s="6"/>
      <c r="X377" s="7">
        <f>IF(Worksheet!AN373&lt;&gt;"",Worksheet!AN373,"")</f>
        <v>6.35</v>
      </c>
      <c r="Y377" s="7">
        <f>IF(Worksheet!AO373&lt;&gt;"",Worksheet!AO373,"")</f>
        <v>9.52</v>
      </c>
      <c r="Z377" s="17">
        <f>IF(Worksheet!Q373&lt;&gt;"",Worksheet!Q373,"")</f>
        <v>15</v>
      </c>
      <c r="AA377" s="17">
        <f>IF(Worksheet!R373&lt;&gt;"",Worksheet!R373,"")</f>
        <v>10</v>
      </c>
      <c r="AB377" t="str">
        <f>IF(Worksheet!X373&lt;&gt;"",CONCATENATE("от ",Worksheet!X373," до +",Worksheet!Y373),"")</f>
        <v>от 18 до +43</v>
      </c>
      <c r="AC377" t="str">
        <f>IF(Worksheet!Z373&lt;&gt;"",CONCATENATE("от ",Worksheet!Z373," до +",Worksheet!AA373),"")</f>
        <v>от -15 до +24</v>
      </c>
      <c r="AD377" s="6" t="s">
        <v>5245</v>
      </c>
      <c r="AE377" s="17"/>
    </row>
    <row r="378" spans="1:31" x14ac:dyDescent="0.25">
      <c r="A378" s="17" t="str">
        <f>IF(Worksheet!B374&lt;&gt;"",Worksheet!B374,"")</f>
        <v>TOSOT</v>
      </c>
      <c r="B378" t="str">
        <f>Worksheet!E374</f>
        <v>Сплит система</v>
      </c>
      <c r="C378">
        <f>IF(Worksheet!M374&lt;&gt;"",Worksheet!M374,"")</f>
        <v>2.25</v>
      </c>
      <c r="D378">
        <f t="shared" si="15"/>
        <v>23</v>
      </c>
      <c r="E378" t="str">
        <f>IF(Worksheet!L374&lt;&gt;"",IF(Worksheet!L374="Y","да","нет"),"")</f>
        <v>нет</v>
      </c>
      <c r="F378">
        <f>IF(Worksheet!N374&lt;&gt;"",Worksheet!N374,"")</f>
        <v>2.2999999999999998</v>
      </c>
      <c r="G378">
        <f>IF(Worksheet!O374&lt;&gt;"",Worksheet!O374,"")</f>
        <v>0.7</v>
      </c>
      <c r="H378">
        <f>IF(Worksheet!P374&lt;&gt;"",Worksheet!P374,"")</f>
        <v>0.63700000000000001</v>
      </c>
      <c r="I378" s="6"/>
      <c r="J378" s="6"/>
      <c r="K378" t="str">
        <f>IF(Worksheet!BI374&lt;&gt;"",Worksheet!BI374,"")</f>
        <v>1 / 220 / 50</v>
      </c>
      <c r="L378" t="str">
        <f>IF(Worksheet!AU374&lt;&gt;"",Worksheet!AU374,"")</f>
        <v>R410A</v>
      </c>
      <c r="M378" s="6"/>
      <c r="N378" s="6"/>
      <c r="O378" t="str">
        <f>IF(Worksheet!CR374&lt;&gt;"",CONCATENATE(Worksheet!CR374," х ",Worksheet!CP374," х ",Worksheet!CT374),"")</f>
        <v>704 х 260 х 185</v>
      </c>
      <c r="P378" t="str">
        <f>IF(Worksheet!CS374&lt;&gt;"",CONCATENATE(Worksheet!CS374," х ",Worksheet!CU374," х ",Worksheet!CQ374),"")</f>
        <v>748 х 247 х 316</v>
      </c>
      <c r="Q378" t="str">
        <f>IF(Worksheet!CV374&lt;&gt;"",CONCATENATE(Worksheet!CV374," / ",Worksheet!CW374),"")</f>
        <v>7.5 / 8.7</v>
      </c>
      <c r="R378" t="str">
        <f>IF(Worksheet!BS374&lt;&gt;"",Worksheet!BS374,"")</f>
        <v>25/31/37/40</v>
      </c>
      <c r="S378" t="str">
        <f>IF(Worksheet!AL374&lt;&gt;"",Worksheet!AL374,"")</f>
        <v>Gree</v>
      </c>
      <c r="T378" t="str">
        <f>IF(Worksheet!CJ374&lt;&gt;"",CONCATENATE(Worksheet!CJ374," х ",Worksheet!CL374," х ",Worksheet!CH374),"")</f>
        <v>710 х 293 х 450</v>
      </c>
      <c r="U378" t="str">
        <f>IF(Worksheet!CK374&lt;&gt;"",CONCATENATE(Worksheet!CK374," х ",Worksheet!CM374," х ",Worksheet!CI374),"")</f>
        <v>761 х 327 х 500</v>
      </c>
      <c r="V378" t="str">
        <f>IF(Worksheet!CN374&lt;&gt;"",CONCATENATE(Worksheet!CN374,"/",Worksheet!CO374),"")</f>
        <v>22.3/24.3</v>
      </c>
      <c r="W378" s="6"/>
      <c r="X378" s="7">
        <f>IF(Worksheet!AN374&lt;&gt;"",Worksheet!AN374,"")</f>
        <v>6.35</v>
      </c>
      <c r="Y378" s="7">
        <f>IF(Worksheet!AO374&lt;&gt;"",Worksheet!AO374,"")</f>
        <v>9.52</v>
      </c>
      <c r="Z378" s="17">
        <f>IF(Worksheet!Q374&lt;&gt;"",Worksheet!Q374,"")</f>
        <v>15</v>
      </c>
      <c r="AA378" s="17">
        <f>IF(Worksheet!R374&lt;&gt;"",Worksheet!R374,"")</f>
        <v>10</v>
      </c>
      <c r="AB378" t="str">
        <f>IF(Worksheet!X374&lt;&gt;"",CONCATENATE("от ",Worksheet!X374," до +",Worksheet!Y374),"")</f>
        <v>от 18 до +43</v>
      </c>
      <c r="AC378" t="str">
        <f>IF(Worksheet!Z374&lt;&gt;"",CONCATENATE("от ",Worksheet!Z374," до +",Worksheet!AA374),"")</f>
        <v>от -15 до +24</v>
      </c>
      <c r="AD378" s="6" t="s">
        <v>5245</v>
      </c>
      <c r="AE378" s="17"/>
    </row>
    <row r="379" spans="1:31" x14ac:dyDescent="0.25">
      <c r="A379" s="17" t="str">
        <f>IF(Worksheet!B375&lt;&gt;"",Worksheet!B375,"")</f>
        <v>TOSOT</v>
      </c>
      <c r="B379" t="str">
        <f>Worksheet!E375</f>
        <v>Сплит система</v>
      </c>
      <c r="C379">
        <f>IF(Worksheet!M375&lt;&gt;"",Worksheet!M375,"")</f>
        <v>2.5499999999999998</v>
      </c>
      <c r="D379">
        <f t="shared" si="15"/>
        <v>26</v>
      </c>
      <c r="E379" t="str">
        <f>IF(Worksheet!L375&lt;&gt;"",IF(Worksheet!L375="Y","да","нет"),"")</f>
        <v>нет</v>
      </c>
      <c r="F379">
        <f>IF(Worksheet!N375&lt;&gt;"",Worksheet!N375,"")</f>
        <v>2.65</v>
      </c>
      <c r="G379">
        <f>IF(Worksheet!O375&lt;&gt;"",Worksheet!O375,"")</f>
        <v>0.79400000000000004</v>
      </c>
      <c r="H379">
        <f>IF(Worksheet!P375&lt;&gt;"",Worksheet!P375,"")</f>
        <v>0.73399999999999999</v>
      </c>
      <c r="I379" s="6"/>
      <c r="J379" s="6"/>
      <c r="K379" t="str">
        <f>IF(Worksheet!BI375&lt;&gt;"",Worksheet!BI375,"")</f>
        <v>1 / 220 / 50</v>
      </c>
      <c r="L379" t="str">
        <f>IF(Worksheet!AU375&lt;&gt;"",Worksheet!AU375,"")</f>
        <v>R410A</v>
      </c>
      <c r="M379" s="6"/>
      <c r="N379" s="6"/>
      <c r="O379" t="str">
        <f>IF(Worksheet!CR375&lt;&gt;"",CONCATENATE(Worksheet!CR375," х ",Worksheet!CP375," х ",Worksheet!CT375),"")</f>
        <v>704 х 260 х 185</v>
      </c>
      <c r="P379" t="str">
        <f>IF(Worksheet!CS375&lt;&gt;"",CONCATENATE(Worksheet!CS375," х ",Worksheet!CU375," х ",Worksheet!CQ375),"")</f>
        <v>748 х 247 х 316</v>
      </c>
      <c r="Q379" t="str">
        <f>IF(Worksheet!CV375&lt;&gt;"",CONCATENATE(Worksheet!CV375," / ",Worksheet!CW375),"")</f>
        <v>7.5 / 8.7</v>
      </c>
      <c r="R379" t="str">
        <f>IF(Worksheet!BS375&lt;&gt;"",Worksheet!BS375,"")</f>
        <v>24/27/29/34/36/37/40</v>
      </c>
      <c r="S379" t="str">
        <f>IF(Worksheet!AL375&lt;&gt;"",Worksheet!AL375,"")</f>
        <v>Gree</v>
      </c>
      <c r="T379" t="str">
        <f>IF(Worksheet!CJ375&lt;&gt;"",CONCATENATE(Worksheet!CJ375," х ",Worksheet!CL375," х ",Worksheet!CH375),"")</f>
        <v>720 х 310 х 428</v>
      </c>
      <c r="U379" t="str">
        <f>IF(Worksheet!CK375&lt;&gt;"",CONCATENATE(Worksheet!CK375," х ",Worksheet!CM375," х ",Worksheet!CI375),"")</f>
        <v>765 х 350 х 475</v>
      </c>
      <c r="V379" t="str">
        <f>IF(Worksheet!CN375&lt;&gt;"",CONCATENATE(Worksheet!CN375,"/",Worksheet!CO375),"")</f>
        <v>25/27</v>
      </c>
      <c r="W379" s="6"/>
      <c r="X379" s="7">
        <f>IF(Worksheet!AN375&lt;&gt;"",Worksheet!AN375,"")</f>
        <v>6.35</v>
      </c>
      <c r="Y379" s="7">
        <f>IF(Worksheet!AO375&lt;&gt;"",Worksheet!AO375,"")</f>
        <v>9.52</v>
      </c>
      <c r="Z379" s="17">
        <f>IF(Worksheet!Q375&lt;&gt;"",Worksheet!Q375,"")</f>
        <v>15</v>
      </c>
      <c r="AA379" s="17">
        <f>IF(Worksheet!R375&lt;&gt;"",Worksheet!R375,"")</f>
        <v>10</v>
      </c>
      <c r="AB379" t="str">
        <f>IF(Worksheet!X375&lt;&gt;"",CONCATENATE("от ",Worksheet!X375," до +",Worksheet!Y375),"")</f>
        <v>от 18 до +43</v>
      </c>
      <c r="AC379" t="str">
        <f>IF(Worksheet!Z375&lt;&gt;"",CONCATENATE("от ",Worksheet!Z375," до +",Worksheet!AA375),"")</f>
        <v>от -15 до +24</v>
      </c>
      <c r="AD379" s="6" t="s">
        <v>5245</v>
      </c>
      <c r="AE379" s="17"/>
    </row>
    <row r="380" spans="1:31" x14ac:dyDescent="0.25">
      <c r="A380" s="17" t="str">
        <f>IF(Worksheet!B376&lt;&gt;"",Worksheet!B376,"")</f>
        <v>TOSOT</v>
      </c>
      <c r="B380" t="str">
        <f>Worksheet!E376</f>
        <v>Сплит система</v>
      </c>
      <c r="C380">
        <f>IF(Worksheet!M376&lt;&gt;"",Worksheet!M376,"")</f>
        <v>2.5499999999999998</v>
      </c>
      <c r="D380">
        <f t="shared" si="15"/>
        <v>26</v>
      </c>
      <c r="E380" t="str">
        <f>IF(Worksheet!L376&lt;&gt;"",IF(Worksheet!L376="Y","да","нет"),"")</f>
        <v>нет</v>
      </c>
      <c r="F380">
        <f>IF(Worksheet!N376&lt;&gt;"",Worksheet!N376,"")</f>
        <v>2.65</v>
      </c>
      <c r="G380">
        <f>IF(Worksheet!O376&lt;&gt;"",Worksheet!O376,"")</f>
        <v>0.79400000000000004</v>
      </c>
      <c r="H380">
        <f>IF(Worksheet!P376&lt;&gt;"",Worksheet!P376,"")</f>
        <v>0.73399999999999999</v>
      </c>
      <c r="I380" s="6"/>
      <c r="J380" s="6"/>
      <c r="K380" t="str">
        <f>IF(Worksheet!BI376&lt;&gt;"",Worksheet!BI376,"")</f>
        <v>1 / 220 / 50</v>
      </c>
      <c r="L380" t="str">
        <f>IF(Worksheet!AU376&lt;&gt;"",Worksheet!AU376,"")</f>
        <v>R410A</v>
      </c>
      <c r="M380" s="6"/>
      <c r="N380" s="6"/>
      <c r="O380" t="str">
        <f>IF(Worksheet!CR376&lt;&gt;"",CONCATENATE(Worksheet!CR376," х ",Worksheet!CP376," х ",Worksheet!CT376),"")</f>
        <v>704 х 260 х 185</v>
      </c>
      <c r="P380" t="str">
        <f>IF(Worksheet!CS376&lt;&gt;"",CONCATENATE(Worksheet!CS376," х ",Worksheet!CU376," х ",Worksheet!CQ376),"")</f>
        <v>748 х 247 х 316</v>
      </c>
      <c r="Q380" t="str">
        <f>IF(Worksheet!CV376&lt;&gt;"",CONCATENATE(Worksheet!CV376," / ",Worksheet!CW376),"")</f>
        <v>7.6 / 8.8</v>
      </c>
      <c r="R380" t="str">
        <f>IF(Worksheet!BS376&lt;&gt;"",Worksheet!BS376,"")</f>
        <v>25/31/37/40</v>
      </c>
      <c r="S380" t="str">
        <f>IF(Worksheet!AL376&lt;&gt;"",Worksheet!AL376,"")</f>
        <v>Gree</v>
      </c>
      <c r="T380" t="str">
        <f>IF(Worksheet!CJ376&lt;&gt;"",CONCATENATE(Worksheet!CJ376," х ",Worksheet!CL376," х ",Worksheet!CH376),"")</f>
        <v>710 х 293 х 450</v>
      </c>
      <c r="U380" t="str">
        <f>IF(Worksheet!CK376&lt;&gt;"",CONCATENATE(Worksheet!CK376," х ",Worksheet!CM376," х ",Worksheet!CI376),"")</f>
        <v>761 х 327 х 500</v>
      </c>
      <c r="V380" t="str">
        <f>IF(Worksheet!CN376&lt;&gt;"",CONCATENATE(Worksheet!CN376,"/",Worksheet!CO376),"")</f>
        <v>24.7/26.7</v>
      </c>
      <c r="W380" s="6"/>
      <c r="X380" s="7">
        <f>IF(Worksheet!AN376&lt;&gt;"",Worksheet!AN376,"")</f>
        <v>6.35</v>
      </c>
      <c r="Y380" s="7">
        <f>IF(Worksheet!AO376&lt;&gt;"",Worksheet!AO376,"")</f>
        <v>9.52</v>
      </c>
      <c r="Z380" s="17">
        <f>IF(Worksheet!Q376&lt;&gt;"",Worksheet!Q376,"")</f>
        <v>15</v>
      </c>
      <c r="AA380" s="17">
        <f>IF(Worksheet!R376&lt;&gt;"",Worksheet!R376,"")</f>
        <v>10</v>
      </c>
      <c r="AB380" t="str">
        <f>IF(Worksheet!X376&lt;&gt;"",CONCATENATE("от ",Worksheet!X376," до +",Worksheet!Y376),"")</f>
        <v>от 18 до +43</v>
      </c>
      <c r="AC380" t="str">
        <f>IF(Worksheet!Z376&lt;&gt;"",CONCATENATE("от ",Worksheet!Z376," до +",Worksheet!AA376),"")</f>
        <v>от -15 до +24</v>
      </c>
      <c r="AD380" s="6" t="s">
        <v>5245</v>
      </c>
      <c r="AE380" s="17"/>
    </row>
    <row r="381" spans="1:31" x14ac:dyDescent="0.25">
      <c r="A381" s="17" t="str">
        <f>IF(Worksheet!B377&lt;&gt;"",Worksheet!B377,"")</f>
        <v>TOSOT</v>
      </c>
      <c r="B381" t="str">
        <f>Worksheet!E377</f>
        <v>Сплит система</v>
      </c>
      <c r="C381">
        <f>IF(Worksheet!M377&lt;&gt;"",Worksheet!M377,"")</f>
        <v>3.25</v>
      </c>
      <c r="D381">
        <f t="shared" si="15"/>
        <v>33</v>
      </c>
      <c r="E381" t="str">
        <f>IF(Worksheet!L377&lt;&gt;"",IF(Worksheet!L377="Y","да","нет"),"")</f>
        <v>нет</v>
      </c>
      <c r="F381">
        <f>IF(Worksheet!N377&lt;&gt;"",Worksheet!N377,"")</f>
        <v>3.4</v>
      </c>
      <c r="G381">
        <f>IF(Worksheet!O377&lt;&gt;"",Worksheet!O377,"")</f>
        <v>0.98499999999999999</v>
      </c>
      <c r="H381">
        <f>IF(Worksheet!P377&lt;&gt;"",Worksheet!P377,"")</f>
        <v>0.94099999999999995</v>
      </c>
      <c r="I381" s="6"/>
      <c r="J381" s="6"/>
      <c r="K381" t="str">
        <f>IF(Worksheet!BI377&lt;&gt;"",Worksheet!BI377,"")</f>
        <v>1 / 220 / 50</v>
      </c>
      <c r="L381" t="str">
        <f>IF(Worksheet!AU377&lt;&gt;"",Worksheet!AU377,"")</f>
        <v>R410A</v>
      </c>
      <c r="M381" s="6"/>
      <c r="N381" s="6"/>
      <c r="O381" t="str">
        <f>IF(Worksheet!CR377&lt;&gt;"",CONCATENATE(Worksheet!CR377," х ",Worksheet!CP377," х ",Worksheet!CT377),"")</f>
        <v>779 х 260 х 185</v>
      </c>
      <c r="P381" t="str">
        <f>IF(Worksheet!CS377&lt;&gt;"",CONCATENATE(Worksheet!CS377," х ",Worksheet!CU377," х ",Worksheet!CQ377),"")</f>
        <v>823 х 247 х 316</v>
      </c>
      <c r="Q381" t="str">
        <f>IF(Worksheet!CV377&lt;&gt;"",CONCATENATE(Worksheet!CV377," / ",Worksheet!CW377),"")</f>
        <v>8.2 / 9.7</v>
      </c>
      <c r="R381" t="str">
        <f>IF(Worksheet!BS377&lt;&gt;"",Worksheet!BS377,"")</f>
        <v>28/30/33/34/36/37/41</v>
      </c>
      <c r="S381" t="str">
        <f>IF(Worksheet!AL377&lt;&gt;"",Worksheet!AL377,"")</f>
        <v>Gree</v>
      </c>
      <c r="T381" t="str">
        <f>IF(Worksheet!CJ377&lt;&gt;"",CONCATENATE(Worksheet!CJ377," х ",Worksheet!CL377," х ",Worksheet!CH377),"")</f>
        <v>782 х 320 х 540</v>
      </c>
      <c r="U381" t="str">
        <f>IF(Worksheet!CK377&lt;&gt;"",CONCATENATE(Worksheet!CK377," х ",Worksheet!CM377," х ",Worksheet!CI377),"")</f>
        <v>820 х 355 х 580</v>
      </c>
      <c r="V381" t="str">
        <f>IF(Worksheet!CN377&lt;&gt;"",CONCATENATE(Worksheet!CN377,"/",Worksheet!CO377),"")</f>
        <v>29.2/31.7</v>
      </c>
      <c r="W381" s="6"/>
      <c r="X381" s="7">
        <f>IF(Worksheet!AN377&lt;&gt;"",Worksheet!AN377,"")</f>
        <v>6.35</v>
      </c>
      <c r="Y381" s="7">
        <f>IF(Worksheet!AO377&lt;&gt;"",Worksheet!AO377,"")</f>
        <v>12.7</v>
      </c>
      <c r="Z381" s="17">
        <f>IF(Worksheet!Q377&lt;&gt;"",Worksheet!Q377,"")</f>
        <v>20</v>
      </c>
      <c r="AA381" s="17">
        <f>IF(Worksheet!R377&lt;&gt;"",Worksheet!R377,"")</f>
        <v>10</v>
      </c>
      <c r="AB381" t="str">
        <f>IF(Worksheet!X377&lt;&gt;"",CONCATENATE("от ",Worksheet!X377," до +",Worksheet!Y377),"")</f>
        <v>от 18 до +43</v>
      </c>
      <c r="AC381" t="str">
        <f>IF(Worksheet!Z377&lt;&gt;"",CONCATENATE("от ",Worksheet!Z377," до +",Worksheet!AA377),"")</f>
        <v>от -15 до +24</v>
      </c>
      <c r="AD381" s="6" t="s">
        <v>5245</v>
      </c>
      <c r="AE381" s="17"/>
    </row>
    <row r="382" spans="1:31" x14ac:dyDescent="0.25">
      <c r="A382" s="17" t="str">
        <f>IF(Worksheet!B378&lt;&gt;"",Worksheet!B378,"")</f>
        <v>TOSOT</v>
      </c>
      <c r="B382" t="str">
        <f>Worksheet!E378</f>
        <v>Сплит система</v>
      </c>
      <c r="C382">
        <f>IF(Worksheet!M378&lt;&gt;"",Worksheet!M378,"")</f>
        <v>3.25</v>
      </c>
      <c r="D382">
        <f t="shared" si="15"/>
        <v>33</v>
      </c>
      <c r="E382" t="str">
        <f>IF(Worksheet!L378&lt;&gt;"",IF(Worksheet!L378="Y","да","нет"),"")</f>
        <v>нет</v>
      </c>
      <c r="F382">
        <f>IF(Worksheet!N378&lt;&gt;"",Worksheet!N378,"")</f>
        <v>3.4</v>
      </c>
      <c r="G382">
        <f>IF(Worksheet!O378&lt;&gt;"",Worksheet!O378,"")</f>
        <v>1.0089999999999999</v>
      </c>
      <c r="H382">
        <f>IF(Worksheet!P378&lt;&gt;"",Worksheet!P378,"")</f>
        <v>0.94199999999999995</v>
      </c>
      <c r="I382" s="6"/>
      <c r="J382" s="6"/>
      <c r="K382" t="str">
        <f>IF(Worksheet!BI378&lt;&gt;"",Worksheet!BI378,"")</f>
        <v>1 / 220 / 50</v>
      </c>
      <c r="L382" t="str">
        <f>IF(Worksheet!AU378&lt;&gt;"",Worksheet!AU378,"")</f>
        <v>R410A</v>
      </c>
      <c r="M382" s="6"/>
      <c r="N382" s="6"/>
      <c r="O382" t="str">
        <f>IF(Worksheet!CR378&lt;&gt;"",CONCATENATE(Worksheet!CR378," х ",Worksheet!CP378," х ",Worksheet!CT378),"")</f>
        <v>779 х 260 х 185</v>
      </c>
      <c r="P382" t="str">
        <f>IF(Worksheet!CS378&lt;&gt;"",CONCATENATE(Worksheet!CS378," х ",Worksheet!CU378," х ",Worksheet!CQ378),"")</f>
        <v>823 х 247 х 316</v>
      </c>
      <c r="Q382" t="str">
        <f>IF(Worksheet!CV378&lt;&gt;"",CONCATENATE(Worksheet!CV378," / ",Worksheet!CW378),"")</f>
        <v>8.5 / 10</v>
      </c>
      <c r="R382" t="str">
        <f>IF(Worksheet!BS378&lt;&gt;"",Worksheet!BS378,"")</f>
        <v>30/34/37/40</v>
      </c>
      <c r="S382" t="str">
        <f>IF(Worksheet!AL378&lt;&gt;"",Worksheet!AL378,"")</f>
        <v>Gree</v>
      </c>
      <c r="T382" t="str">
        <f>IF(Worksheet!CJ378&lt;&gt;"",CONCATENATE(Worksheet!CJ378," х ",Worksheet!CL378," х ",Worksheet!CH378),"")</f>
        <v>732 х 330 х 555</v>
      </c>
      <c r="U382" t="str">
        <f>IF(Worksheet!CK378&lt;&gt;"",CONCATENATE(Worksheet!CK378," х ",Worksheet!CM378," х ",Worksheet!CI378),"")</f>
        <v>791 х 373 х 590</v>
      </c>
      <c r="V382" t="str">
        <f>IF(Worksheet!CN378&lt;&gt;"",CONCATENATE(Worksheet!CN378,"/",Worksheet!CO378),"")</f>
        <v>28/30.5</v>
      </c>
      <c r="W382" s="6"/>
      <c r="X382" s="7">
        <f>IF(Worksheet!AN378&lt;&gt;"",Worksheet!AN378,"")</f>
        <v>6.35</v>
      </c>
      <c r="Y382" s="7">
        <f>IF(Worksheet!AO378&lt;&gt;"",Worksheet!AO378,"")</f>
        <v>12.7</v>
      </c>
      <c r="Z382" s="17">
        <f>IF(Worksheet!Q378&lt;&gt;"",Worksheet!Q378,"")</f>
        <v>20</v>
      </c>
      <c r="AA382" s="17">
        <f>IF(Worksheet!R378&lt;&gt;"",Worksheet!R378,"")</f>
        <v>10</v>
      </c>
      <c r="AB382" t="str">
        <f>IF(Worksheet!X378&lt;&gt;"",CONCATENATE("от ",Worksheet!X378," до +",Worksheet!Y378),"")</f>
        <v>от 18 до +43</v>
      </c>
      <c r="AC382" t="str">
        <f>IF(Worksheet!Z378&lt;&gt;"",CONCATENATE("от ",Worksheet!Z378," до +",Worksheet!AA378),"")</f>
        <v>от -15 до +24</v>
      </c>
      <c r="AD382" s="6" t="s">
        <v>5245</v>
      </c>
      <c r="AE382" s="17"/>
    </row>
    <row r="383" spans="1:31" x14ac:dyDescent="0.25">
      <c r="A383" s="17" t="str">
        <f>IF(Worksheet!B379&lt;&gt;"",Worksheet!B379,"")</f>
        <v>TOSOT</v>
      </c>
      <c r="B383" t="str">
        <f>Worksheet!E379</f>
        <v>Сплит система</v>
      </c>
      <c r="C383">
        <f>IF(Worksheet!M379&lt;&gt;"",Worksheet!M379,"")</f>
        <v>4.8</v>
      </c>
      <c r="D383">
        <f t="shared" si="15"/>
        <v>48</v>
      </c>
      <c r="E383" t="str">
        <f>IF(Worksheet!L379&lt;&gt;"",IF(Worksheet!L379="Y","да","нет"),"")</f>
        <v>нет</v>
      </c>
      <c r="F383">
        <f>IF(Worksheet!N379&lt;&gt;"",Worksheet!N379,"")</f>
        <v>5.3</v>
      </c>
      <c r="G383">
        <f>IF(Worksheet!O379&lt;&gt;"",Worksheet!O379,"")</f>
        <v>1.476</v>
      </c>
      <c r="H383">
        <f>IF(Worksheet!P379&lt;&gt;"",Worksheet!P379,"")</f>
        <v>1.468</v>
      </c>
      <c r="I383" s="6"/>
      <c r="J383" s="6"/>
      <c r="K383" t="str">
        <f>IF(Worksheet!BI379&lt;&gt;"",Worksheet!BI379,"")</f>
        <v>1 / 220 / 50</v>
      </c>
      <c r="L383" t="str">
        <f>IF(Worksheet!AU379&lt;&gt;"",Worksheet!AU379,"")</f>
        <v>R410A</v>
      </c>
      <c r="M383" s="6"/>
      <c r="N383" s="6"/>
      <c r="O383" t="str">
        <f>IF(Worksheet!CR379&lt;&gt;"",CONCATENATE(Worksheet!CR379," х ",Worksheet!CP379," х ",Worksheet!CT379),"")</f>
        <v>825 х 293 х 196</v>
      </c>
      <c r="P383" t="str">
        <f>IF(Worksheet!CS379&lt;&gt;"",CONCATENATE(Worksheet!CS379," х ",Worksheet!CU379," х ",Worksheet!CQ379),"")</f>
        <v>870 х 257 х 349</v>
      </c>
      <c r="Q383" t="str">
        <f>IF(Worksheet!CV379&lt;&gt;"",CONCATENATE(Worksheet!CV379," / ",Worksheet!CW379),"")</f>
        <v>10.3 / 11.9</v>
      </c>
      <c r="R383" t="str">
        <f>IF(Worksheet!BS379&lt;&gt;"",Worksheet!BS379,"")</f>
        <v>32/34/35/36/38/39/40</v>
      </c>
      <c r="S383" t="str">
        <f>IF(Worksheet!AL379&lt;&gt;"",Worksheet!AL379,"")</f>
        <v>Gree</v>
      </c>
      <c r="T383" t="str">
        <f>IF(Worksheet!CJ379&lt;&gt;"",CONCATENATE(Worksheet!CJ379," х ",Worksheet!CL379," х ",Worksheet!CH379),"")</f>
        <v>848 х 320 х 540</v>
      </c>
      <c r="U383" t="str">
        <f>IF(Worksheet!CK379&lt;&gt;"",CONCATENATE(Worksheet!CK379," х ",Worksheet!CM379," х ",Worksheet!CI379),"")</f>
        <v>878 х 360 х 580</v>
      </c>
      <c r="V383" t="str">
        <f>IF(Worksheet!CN379&lt;&gt;"",CONCATENATE(Worksheet!CN379,"/",Worksheet!CO379),"")</f>
        <v>38/40.5</v>
      </c>
      <c r="W383" s="6"/>
      <c r="X383" s="7">
        <f>IF(Worksheet!AN379&lt;&gt;"",Worksheet!AN379,"")</f>
        <v>6.35</v>
      </c>
      <c r="Y383" s="7">
        <f>IF(Worksheet!AO379&lt;&gt;"",Worksheet!AO379,"")</f>
        <v>12.7</v>
      </c>
      <c r="Z383" s="17">
        <f>IF(Worksheet!Q379&lt;&gt;"",Worksheet!Q379,"")</f>
        <v>25</v>
      </c>
      <c r="AA383" s="17">
        <f>IF(Worksheet!R379&lt;&gt;"",Worksheet!R379,"")</f>
        <v>10</v>
      </c>
      <c r="AB383" t="str">
        <f>IF(Worksheet!X379&lt;&gt;"",CONCATENATE("от ",Worksheet!X379," до +",Worksheet!Y379),"")</f>
        <v>от 18 до +43</v>
      </c>
      <c r="AC383" t="str">
        <f>IF(Worksheet!Z379&lt;&gt;"",CONCATENATE("от ",Worksheet!Z379," до +",Worksheet!AA379),"")</f>
        <v>от -15 до +24</v>
      </c>
      <c r="AD383" s="6" t="s">
        <v>5245</v>
      </c>
      <c r="AE383" s="17"/>
    </row>
    <row r="384" spans="1:31" x14ac:dyDescent="0.25">
      <c r="A384" s="17" t="str">
        <f>IF(Worksheet!B380&lt;&gt;"",Worksheet!B380,"")</f>
        <v>TOSOT</v>
      </c>
      <c r="B384" t="str">
        <f>Worksheet!E380</f>
        <v>Сплит система</v>
      </c>
      <c r="C384">
        <f>IF(Worksheet!M380&lt;&gt;"",Worksheet!M380,"")</f>
        <v>4.8</v>
      </c>
      <c r="D384">
        <f t="shared" si="15"/>
        <v>48</v>
      </c>
      <c r="E384" t="str">
        <f>IF(Worksheet!L380&lt;&gt;"",IF(Worksheet!L380="Y","да","нет"),"")</f>
        <v>нет</v>
      </c>
      <c r="F384">
        <f>IF(Worksheet!N380&lt;&gt;"",Worksheet!N380,"")</f>
        <v>5.16</v>
      </c>
      <c r="G384">
        <f>IF(Worksheet!O380&lt;&gt;"",Worksheet!O380,"")</f>
        <v>1.4770000000000001</v>
      </c>
      <c r="H384">
        <f>IF(Worksheet!P380&lt;&gt;"",Worksheet!P380,"")</f>
        <v>1.4279999999999999</v>
      </c>
      <c r="I384" s="6"/>
      <c r="J384" s="6"/>
      <c r="K384" t="str">
        <f>IF(Worksheet!BI380&lt;&gt;"",Worksheet!BI380,"")</f>
        <v>1 / 220 / 50</v>
      </c>
      <c r="L384" t="str">
        <f>IF(Worksheet!AU380&lt;&gt;"",Worksheet!AU380,"")</f>
        <v>R410A</v>
      </c>
      <c r="M384" s="6"/>
      <c r="N384" s="6"/>
      <c r="O384" t="str">
        <f>IF(Worksheet!CR380&lt;&gt;"",CONCATENATE(Worksheet!CR380," х ",Worksheet!CP380," х ",Worksheet!CT380),"")</f>
        <v>825 х 293 х 196</v>
      </c>
      <c r="P384" t="str">
        <f>IF(Worksheet!CS380&lt;&gt;"",CONCATENATE(Worksheet!CS380," х ",Worksheet!CU380," х ",Worksheet!CQ380),"")</f>
        <v>870 х 257 х 349</v>
      </c>
      <c r="Q384" t="str">
        <f>IF(Worksheet!CV380&lt;&gt;"",CONCATENATE(Worksheet!CV380," / ",Worksheet!CW380),"")</f>
        <v>10.3 / 11.9</v>
      </c>
      <c r="R384" t="str">
        <f>IF(Worksheet!BS380&lt;&gt;"",Worksheet!BS380,"")</f>
        <v>34/36/40/41</v>
      </c>
      <c r="S384" t="str">
        <f>IF(Worksheet!AL380&lt;&gt;"",Worksheet!AL380,"")</f>
        <v>Gree</v>
      </c>
      <c r="T384" t="str">
        <f>IF(Worksheet!CJ380&lt;&gt;"",CONCATENATE(Worksheet!CJ380," х ",Worksheet!CL380," х ",Worksheet!CH380),"")</f>
        <v>802 х 350 х 555</v>
      </c>
      <c r="U384" t="str">
        <f>IF(Worksheet!CK380&lt;&gt;"",CONCATENATE(Worksheet!CK380," х ",Worksheet!CM380," х ",Worksheet!CI380),"")</f>
        <v>869 х 395 х 594</v>
      </c>
      <c r="V384" t="str">
        <f>IF(Worksheet!CN380&lt;&gt;"",CONCATENATE(Worksheet!CN380,"/",Worksheet!CO380),"")</f>
        <v>38.5/41</v>
      </c>
      <c r="W384" s="6"/>
      <c r="X384" s="7">
        <f>IF(Worksheet!AN380&lt;&gt;"",Worksheet!AN380,"")</f>
        <v>6.35</v>
      </c>
      <c r="Y384" s="7">
        <f>IF(Worksheet!AO380&lt;&gt;"",Worksheet!AO380,"")</f>
        <v>12.7</v>
      </c>
      <c r="Z384" s="17">
        <f>IF(Worksheet!Q380&lt;&gt;"",Worksheet!Q380,"")</f>
        <v>25</v>
      </c>
      <c r="AA384" s="17">
        <f>IF(Worksheet!R380&lt;&gt;"",Worksheet!R380,"")</f>
        <v>10</v>
      </c>
      <c r="AB384" t="str">
        <f>IF(Worksheet!X380&lt;&gt;"",CONCATENATE("от ",Worksheet!X380," до +",Worksheet!Y380),"")</f>
        <v>от 18 до +43</v>
      </c>
      <c r="AC384" t="str">
        <f>IF(Worksheet!Z380&lt;&gt;"",CONCATENATE("от ",Worksheet!Z380," до +",Worksheet!AA380),"")</f>
        <v>от -15 до +24</v>
      </c>
      <c r="AD384" s="6" t="s">
        <v>5245</v>
      </c>
      <c r="AE384" s="17"/>
    </row>
    <row r="385" spans="1:31" x14ac:dyDescent="0.25">
      <c r="A385" s="17" t="str">
        <f>IF(Worksheet!B381&lt;&gt;"",Worksheet!B381,"")</f>
        <v>TOSOT</v>
      </c>
      <c r="B385" t="str">
        <f>Worksheet!E381</f>
        <v>Сплит система</v>
      </c>
      <c r="C385">
        <f>IF(Worksheet!M381&lt;&gt;"",Worksheet!M381,"")</f>
        <v>6.2</v>
      </c>
      <c r="D385">
        <f t="shared" si="15"/>
        <v>62</v>
      </c>
      <c r="E385" t="str">
        <f>IF(Worksheet!L381&lt;&gt;"",IF(Worksheet!L381="Y","да","нет"),"")</f>
        <v>нет</v>
      </c>
      <c r="F385">
        <f>IF(Worksheet!N381&lt;&gt;"",Worksheet!N381,"")</f>
        <v>6.7</v>
      </c>
      <c r="G385">
        <f>IF(Worksheet!O381&lt;&gt;"",Worksheet!O381,"")</f>
        <v>1.907</v>
      </c>
      <c r="H385">
        <f>IF(Worksheet!P381&lt;&gt;"",Worksheet!P381,"")</f>
        <v>1.8560000000000001</v>
      </c>
      <c r="I385" s="6"/>
      <c r="J385" s="6"/>
      <c r="K385" t="str">
        <f>IF(Worksheet!BI381&lt;&gt;"",Worksheet!BI381,"")</f>
        <v>1 / 220 / 50</v>
      </c>
      <c r="L385" t="str">
        <f>IF(Worksheet!AU381&lt;&gt;"",Worksheet!AU381,"")</f>
        <v>R410A</v>
      </c>
      <c r="M385" s="6"/>
      <c r="N385" s="6"/>
      <c r="O385" t="str">
        <f>IF(Worksheet!CR381&lt;&gt;"",CONCATENATE(Worksheet!CR381," х ",Worksheet!CP381," х ",Worksheet!CT381),"")</f>
        <v>982 х 311 х 221</v>
      </c>
      <c r="P385" t="str">
        <f>IF(Worksheet!CS381&lt;&gt;"",CONCATENATE(Worksheet!CS381," х ",Worksheet!CU381," х ",Worksheet!CQ381),"")</f>
        <v>1039 х 287 х 377</v>
      </c>
      <c r="Q385" t="str">
        <f>IF(Worksheet!CV381&lt;&gt;"",CONCATENATE(Worksheet!CV381," / ",Worksheet!CW381),"")</f>
        <v>13.7 / 16</v>
      </c>
      <c r="R385" t="str">
        <f>IF(Worksheet!BS381&lt;&gt;"",Worksheet!BS381,"")</f>
        <v>32/33/35/37/40/42/44</v>
      </c>
      <c r="S385" t="str">
        <f>IF(Worksheet!AL381&lt;&gt;"",Worksheet!AL381,"")</f>
        <v>Gree</v>
      </c>
      <c r="T385" t="str">
        <f>IF(Worksheet!CJ381&lt;&gt;"",CONCATENATE(Worksheet!CJ381," х ",Worksheet!CL381," х ",Worksheet!CH381),"")</f>
        <v>912 х 373 х 646</v>
      </c>
      <c r="U385" t="str">
        <f>IF(Worksheet!CK381&lt;&gt;"",CONCATENATE(Worksheet!CK381," х ",Worksheet!CM381," х ",Worksheet!CI381),"")</f>
        <v>960 х 408 х 680</v>
      </c>
      <c r="V385" t="str">
        <f>IF(Worksheet!CN381&lt;&gt;"",CONCATENATE(Worksheet!CN381,"/",Worksheet!CO381),"")</f>
        <v>46.5/49.5</v>
      </c>
      <c r="W385" s="6"/>
      <c r="X385" s="7">
        <f>IF(Worksheet!AN381&lt;&gt;"",Worksheet!AN381,"")</f>
        <v>6.35</v>
      </c>
      <c r="Y385" s="7">
        <f>IF(Worksheet!AO381&lt;&gt;"",Worksheet!AO381,"")</f>
        <v>12.7</v>
      </c>
      <c r="Z385" s="17">
        <f>IF(Worksheet!Q381&lt;&gt;"",Worksheet!Q381,"")</f>
        <v>25</v>
      </c>
      <c r="AA385" s="17">
        <f>IF(Worksheet!R381&lt;&gt;"",Worksheet!R381,"")</f>
        <v>10</v>
      </c>
      <c r="AB385" t="str">
        <f>IF(Worksheet!X381&lt;&gt;"",CONCATENATE("от ",Worksheet!X381," до +",Worksheet!Y381),"")</f>
        <v>от 18 до +48</v>
      </c>
      <c r="AC385" t="str">
        <f>IF(Worksheet!Z381&lt;&gt;"",CONCATENATE("от ",Worksheet!Z381," до +",Worksheet!AA381),"")</f>
        <v>от -15 до +24</v>
      </c>
      <c r="AD385" s="6" t="s">
        <v>5245</v>
      </c>
      <c r="AE385" s="17"/>
    </row>
    <row r="386" spans="1:31" x14ac:dyDescent="0.25">
      <c r="A386" s="17" t="str">
        <f>IF(Worksheet!B382&lt;&gt;"",Worksheet!B382,"")</f>
        <v>TOSOT</v>
      </c>
      <c r="B386" t="str">
        <f>Worksheet!E382</f>
        <v>Сплит система</v>
      </c>
      <c r="C386">
        <f>IF(Worksheet!M382&lt;&gt;"",Worksheet!M382,"")</f>
        <v>6.1550000000000002</v>
      </c>
      <c r="D386">
        <f t="shared" si="15"/>
        <v>62</v>
      </c>
      <c r="E386" t="str">
        <f>IF(Worksheet!L382&lt;&gt;"",IF(Worksheet!L382="Y","да","нет"),"")</f>
        <v>нет</v>
      </c>
      <c r="F386">
        <f>IF(Worksheet!N382&lt;&gt;"",Worksheet!N382,"")</f>
        <v>6.7</v>
      </c>
      <c r="G386">
        <f>IF(Worksheet!O382&lt;&gt;"",Worksheet!O382,"")</f>
        <v>1.917</v>
      </c>
      <c r="H386">
        <f>IF(Worksheet!P382&lt;&gt;"",Worksheet!P382,"")</f>
        <v>1.8560000000000001</v>
      </c>
      <c r="I386" s="6"/>
      <c r="J386" s="6"/>
      <c r="K386" t="str">
        <f>IF(Worksheet!BI382&lt;&gt;"",Worksheet!BI382,"")</f>
        <v>1 / 220 / 50</v>
      </c>
      <c r="L386" t="str">
        <f>IF(Worksheet!AU382&lt;&gt;"",Worksheet!AU382,"")</f>
        <v>R410A</v>
      </c>
      <c r="M386" s="6"/>
      <c r="N386" s="6"/>
      <c r="O386" t="str">
        <f>IF(Worksheet!CR382&lt;&gt;"",CONCATENATE(Worksheet!CR382," х ",Worksheet!CP382," х ",Worksheet!CT382),"")</f>
        <v>982 х 311 х 221</v>
      </c>
      <c r="P386" t="str">
        <f>IF(Worksheet!CS382&lt;&gt;"",CONCATENATE(Worksheet!CS382," х ",Worksheet!CU382," х ",Worksheet!CQ382),"")</f>
        <v>1039 х 287 х 377</v>
      </c>
      <c r="Q386" t="str">
        <f>IF(Worksheet!CV382&lt;&gt;"",CONCATENATE(Worksheet!CV382," / ",Worksheet!CW382),"")</f>
        <v>13.7 / 16</v>
      </c>
      <c r="R386" t="str">
        <f>IF(Worksheet!BS382&lt;&gt;"",Worksheet!BS382,"")</f>
        <v>35/38/42/44</v>
      </c>
      <c r="S386" t="str">
        <f>IF(Worksheet!AL382&lt;&gt;"",Worksheet!AL382,"")</f>
        <v>Gree</v>
      </c>
      <c r="T386" t="str">
        <f>IF(Worksheet!CJ382&lt;&gt;"",CONCATENATE(Worksheet!CJ382," х ",Worksheet!CL382," х ",Worksheet!CH382),"")</f>
        <v>873 х 376 х 555</v>
      </c>
      <c r="U386" t="str">
        <f>IF(Worksheet!CK382&lt;&gt;"",CONCATENATE(Worksheet!CK382," х ",Worksheet!CM382," х ",Worksheet!CI382),"")</f>
        <v>948 х 428 х 591</v>
      </c>
      <c r="V386" t="str">
        <f>IF(Worksheet!CN382&lt;&gt;"",CONCATENATE(Worksheet!CN382,"/",Worksheet!CO382),"")</f>
        <v>43/46</v>
      </c>
      <c r="W386" s="6"/>
      <c r="X386" s="7">
        <f>IF(Worksheet!AN382&lt;&gt;"",Worksheet!AN382,"")</f>
        <v>6.35</v>
      </c>
      <c r="Y386" s="7">
        <f>IF(Worksheet!AO382&lt;&gt;"",Worksheet!AO382,"")</f>
        <v>12.7</v>
      </c>
      <c r="Z386" s="17">
        <f>IF(Worksheet!Q382&lt;&gt;"",Worksheet!Q382,"")</f>
        <v>25</v>
      </c>
      <c r="AA386" s="17">
        <f>IF(Worksheet!R382&lt;&gt;"",Worksheet!R382,"")</f>
        <v>10</v>
      </c>
      <c r="AB386" t="str">
        <f>IF(Worksheet!X382&lt;&gt;"",CONCATENATE("от ",Worksheet!X382," до +",Worksheet!Y382),"")</f>
        <v>от 18 до +43</v>
      </c>
      <c r="AC386" t="str">
        <f>IF(Worksheet!Z382&lt;&gt;"",CONCATENATE("от ",Worksheet!Z382," до +",Worksheet!AA382),"")</f>
        <v>от -15 до +24</v>
      </c>
      <c r="AD386" s="6" t="s">
        <v>5245</v>
      </c>
      <c r="AE386" s="17"/>
    </row>
    <row r="387" spans="1:31" x14ac:dyDescent="0.25">
      <c r="A387" s="17" t="str">
        <f>IF(Worksheet!B383&lt;&gt;"",Worksheet!B383,"")</f>
        <v>TOSOT</v>
      </c>
      <c r="B387" t="str">
        <f>Worksheet!E383</f>
        <v>Сплит система</v>
      </c>
      <c r="C387">
        <f>IF(Worksheet!M383&lt;&gt;"",Worksheet!M383,"")</f>
        <v>8.5</v>
      </c>
      <c r="D387">
        <f t="shared" si="15"/>
        <v>85</v>
      </c>
      <c r="E387" t="str">
        <f>IF(Worksheet!L383&lt;&gt;"",IF(Worksheet!L383="Y","да","нет"),"")</f>
        <v>нет</v>
      </c>
      <c r="F387">
        <f>IF(Worksheet!N383&lt;&gt;"",Worksheet!N383,"")</f>
        <v>9.1999999999999993</v>
      </c>
      <c r="G387">
        <f>IF(Worksheet!O383&lt;&gt;"",Worksheet!O383,"")</f>
        <v>2.6469999999999998</v>
      </c>
      <c r="H387">
        <f>IF(Worksheet!P383&lt;&gt;"",Worksheet!P383,"")</f>
        <v>2.548</v>
      </c>
      <c r="I387" s="6"/>
      <c r="J387" s="6"/>
      <c r="K387" t="str">
        <f>IF(Worksheet!BI383&lt;&gt;"",Worksheet!BI383,"")</f>
        <v>1 / 220 / 50</v>
      </c>
      <c r="L387" t="str">
        <f>IF(Worksheet!AU383&lt;&gt;"",Worksheet!AU383,"")</f>
        <v>R410A</v>
      </c>
      <c r="M387" s="6"/>
      <c r="N387" s="6"/>
      <c r="O387" t="str">
        <f>IF(Worksheet!CR383&lt;&gt;"",CONCATENATE(Worksheet!CR383," х ",Worksheet!CP383," х ",Worksheet!CT383),"")</f>
        <v>1075 х 333 х 246</v>
      </c>
      <c r="P387" t="str">
        <f>IF(Worksheet!CS383&lt;&gt;"",CONCATENATE(Worksheet!CS383," х ",Worksheet!CU383," х ",Worksheet!CQ383),"")</f>
        <v>1128 х 323 х 406</v>
      </c>
      <c r="Q387" t="str">
        <f>IF(Worksheet!CV383&lt;&gt;"",CONCATENATE(Worksheet!CV383," / ",Worksheet!CW383),"")</f>
        <v>17 / 20</v>
      </c>
      <c r="R387" t="str">
        <f>IF(Worksheet!BS383&lt;&gt;"",Worksheet!BS383,"")</f>
        <v>39/40/41/42/46/47/49</v>
      </c>
      <c r="S387" t="str">
        <f>IF(Worksheet!AL383&lt;&gt;"",Worksheet!AL383,"")</f>
        <v>Gree</v>
      </c>
      <c r="T387" t="str">
        <f>IF(Worksheet!CJ383&lt;&gt;"",CONCATENATE(Worksheet!CJ383," х ",Worksheet!CL383," х ",Worksheet!CH383),"")</f>
        <v>955 х 396 х 700</v>
      </c>
      <c r="U387" t="str">
        <f>IF(Worksheet!CK383&lt;&gt;"",CONCATENATE(Worksheet!CK383," х ",Worksheet!CM383," х ",Worksheet!CI383),"")</f>
        <v>1026 х 455 х 735</v>
      </c>
      <c r="V387" t="str">
        <f>IF(Worksheet!CN383&lt;&gt;"",CONCATENATE(Worksheet!CN383,"/",Worksheet!CO383),"")</f>
        <v>61/65.5</v>
      </c>
      <c r="W387" s="6"/>
      <c r="X387" s="7">
        <f>IF(Worksheet!AN383&lt;&gt;"",Worksheet!AN383,"")</f>
        <v>6.35</v>
      </c>
      <c r="Y387" s="7">
        <f>IF(Worksheet!AO383&lt;&gt;"",Worksheet!AO383,"")</f>
        <v>15.8</v>
      </c>
      <c r="Z387" s="17">
        <f>IF(Worksheet!Q383&lt;&gt;"",Worksheet!Q383,"")</f>
        <v>30</v>
      </c>
      <c r="AA387" s="17">
        <f>IF(Worksheet!R383&lt;&gt;"",Worksheet!R383,"")</f>
        <v>10</v>
      </c>
      <c r="AB387" t="str">
        <f>IF(Worksheet!X383&lt;&gt;"",CONCATENATE("от ",Worksheet!X383," до +",Worksheet!Y383),"")</f>
        <v>от 18 до +43</v>
      </c>
      <c r="AC387" t="str">
        <f>IF(Worksheet!Z383&lt;&gt;"",CONCATENATE("от ",Worksheet!Z383," до +",Worksheet!AA383),"")</f>
        <v>от -15 до +24</v>
      </c>
      <c r="AD387" s="6" t="s">
        <v>5245</v>
      </c>
      <c r="AE387" s="17"/>
    </row>
    <row r="388" spans="1:31" x14ac:dyDescent="0.25">
      <c r="A388" s="17" t="str">
        <f>IF(Worksheet!B384&lt;&gt;"",Worksheet!B384,"")</f>
        <v>TOSOT</v>
      </c>
      <c r="B388" t="str">
        <f>Worksheet!E384</f>
        <v>Сплит система</v>
      </c>
      <c r="C388">
        <f>IF(Worksheet!M384&lt;&gt;"",Worksheet!M384,"")</f>
        <v>8.5</v>
      </c>
      <c r="D388">
        <f t="shared" si="15"/>
        <v>85</v>
      </c>
      <c r="E388" t="str">
        <f>IF(Worksheet!L384&lt;&gt;"",IF(Worksheet!L384="Y","да","нет"),"")</f>
        <v>нет</v>
      </c>
      <c r="F388">
        <f>IF(Worksheet!N384&lt;&gt;"",Worksheet!N384,"")</f>
        <v>8.9</v>
      </c>
      <c r="G388">
        <f>IF(Worksheet!O384&lt;&gt;"",Worksheet!O384,"")</f>
        <v>2.6150000000000002</v>
      </c>
      <c r="H388">
        <f>IF(Worksheet!P384&lt;&gt;"",Worksheet!P384,"")</f>
        <v>2.4649999999999999</v>
      </c>
      <c r="I388" s="6"/>
      <c r="J388" s="6"/>
      <c r="K388" t="str">
        <f>IF(Worksheet!BI384&lt;&gt;"",Worksheet!BI384,"")</f>
        <v>1 / 220 / 50</v>
      </c>
      <c r="L388" t="str">
        <f>IF(Worksheet!AU384&lt;&gt;"",Worksheet!AU384,"")</f>
        <v>R410A</v>
      </c>
      <c r="M388" s="6"/>
      <c r="N388" s="6"/>
      <c r="O388" t="str">
        <f>IF(Worksheet!CR384&lt;&gt;"",CONCATENATE(Worksheet!CR384," х ",Worksheet!CP384," х ",Worksheet!CT384),"")</f>
        <v>1075 х 333 х 246</v>
      </c>
      <c r="P388" t="str">
        <f>IF(Worksheet!CS384&lt;&gt;"",CONCATENATE(Worksheet!CS384," х ",Worksheet!CU384," х ",Worksheet!CQ384),"")</f>
        <v>1128 х 323 х 406</v>
      </c>
      <c r="Q388" t="str">
        <f>IF(Worksheet!CV384&lt;&gt;"",CONCATENATE(Worksheet!CV384," / ",Worksheet!CW384),"")</f>
        <v>17 / 20</v>
      </c>
      <c r="R388" t="str">
        <f>IF(Worksheet!BS384&lt;&gt;"",Worksheet!BS384,"")</f>
        <v>37/40/45/48</v>
      </c>
      <c r="S388" t="str">
        <f>IF(Worksheet!AL384&lt;&gt;"",Worksheet!AL384,"")</f>
        <v>Gree</v>
      </c>
      <c r="T388" t="str">
        <f>IF(Worksheet!CJ384&lt;&gt;"",CONCATENATE(Worksheet!CJ384," х ",Worksheet!CL384," х ",Worksheet!CH384),"")</f>
        <v>958 х 402 х 660</v>
      </c>
      <c r="U388" t="str">
        <f>IF(Worksheet!CK384&lt;&gt;"",CONCATENATE(Worksheet!CK384," х ",Worksheet!CM384," х ",Worksheet!CI384),"")</f>
        <v>1029 х 453 х 715</v>
      </c>
      <c r="V388" t="str">
        <f>IF(Worksheet!CN384&lt;&gt;"",CONCATENATE(Worksheet!CN384,"/",Worksheet!CO384),"")</f>
        <v>57/61.5</v>
      </c>
      <c r="W388" s="6"/>
      <c r="X388" s="7">
        <f>IF(Worksheet!AN384&lt;&gt;"",Worksheet!AN384,"")</f>
        <v>6.35</v>
      </c>
      <c r="Y388" s="7">
        <f>IF(Worksheet!AO384&lt;&gt;"",Worksheet!AO384,"")</f>
        <v>15.8</v>
      </c>
      <c r="Z388" s="17">
        <f>IF(Worksheet!Q384&lt;&gt;"",Worksheet!Q384,"")</f>
        <v>30</v>
      </c>
      <c r="AA388" s="17">
        <f>IF(Worksheet!R384&lt;&gt;"",Worksheet!R384,"")</f>
        <v>10</v>
      </c>
      <c r="AB388" t="str">
        <f>IF(Worksheet!X384&lt;&gt;"",CONCATENATE("от ",Worksheet!X384," до +",Worksheet!Y384),"")</f>
        <v>от 18 до +43</v>
      </c>
      <c r="AC388" t="str">
        <f>IF(Worksheet!Z384&lt;&gt;"",CONCATENATE("от ",Worksheet!Z384," до +",Worksheet!AA384),"")</f>
        <v>от -15 до +24</v>
      </c>
      <c r="AD388" s="6" t="s">
        <v>5245</v>
      </c>
      <c r="AE388" s="17"/>
    </row>
    <row r="389" spans="1:31" x14ac:dyDescent="0.25">
      <c r="A389" s="17" t="str">
        <f>IF(Worksheet!B385&lt;&gt;"",Worksheet!B385,"")</f>
        <v>TOSOT</v>
      </c>
      <c r="B389" t="str">
        <f>Worksheet!E385</f>
        <v>Сплит система</v>
      </c>
      <c r="C389">
        <f>IF(Worksheet!M385&lt;&gt;"",Worksheet!M385,"")</f>
        <v>9.5</v>
      </c>
      <c r="D389">
        <f t="shared" si="15"/>
        <v>95</v>
      </c>
      <c r="E389" t="str">
        <f>IF(Worksheet!L385&lt;&gt;"",IF(Worksheet!L385="Y","да","нет"),"")</f>
        <v>нет</v>
      </c>
      <c r="F389">
        <f>IF(Worksheet!N385&lt;&gt;"",Worksheet!N385,"")</f>
        <v>9.8000000000000007</v>
      </c>
      <c r="G389">
        <f>IF(Worksheet!O385&lt;&gt;"",Worksheet!O385,"")</f>
        <v>2.96</v>
      </c>
      <c r="H389">
        <f>IF(Worksheet!P385&lt;&gt;"",Worksheet!P385,"")</f>
        <v>3.05</v>
      </c>
      <c r="I389" s="6"/>
      <c r="J389" s="6"/>
      <c r="K389" t="str">
        <f>IF(Worksheet!BI385&lt;&gt;"",Worksheet!BI385,"")</f>
        <v>1 / 220 / 50</v>
      </c>
      <c r="L389" t="str">
        <f>IF(Worksheet!AU385&lt;&gt;"",Worksheet!AU385,"")</f>
        <v>R410A</v>
      </c>
      <c r="M389" s="6"/>
      <c r="N389" s="6"/>
      <c r="O389" t="str">
        <f>IF(Worksheet!CR385&lt;&gt;"",CONCATENATE(Worksheet!CR385," х ",Worksheet!CP385," х ",Worksheet!CT385),"")</f>
        <v>1078 х 325 х 246</v>
      </c>
      <c r="P389" t="str">
        <f>IF(Worksheet!CS385&lt;&gt;"",CONCATENATE(Worksheet!CS385," х ",Worksheet!CU385," х ",Worksheet!CQ385),"")</f>
        <v>1148 х 350 х 413</v>
      </c>
      <c r="Q389" t="str">
        <f>IF(Worksheet!CV385&lt;&gt;"",CONCATENATE(Worksheet!CV385," / ",Worksheet!CW385),"")</f>
        <v>16.5 / 20</v>
      </c>
      <c r="R389" t="str">
        <f>IF(Worksheet!BS385&lt;&gt;"",Worksheet!BS385,"")</f>
        <v>41/42/47/48</v>
      </c>
      <c r="S389" t="str">
        <f>IF(Worksheet!AL385&lt;&gt;"",Worksheet!AL385,"")</f>
        <v>Gree</v>
      </c>
      <c r="T389" t="str">
        <f>IF(Worksheet!CJ385&lt;&gt;"",CONCATENATE(Worksheet!CJ385," х ",Worksheet!CL385," х ",Worksheet!CH385),"")</f>
        <v>980 х 427 х 790</v>
      </c>
      <c r="U389" t="str">
        <f>IF(Worksheet!CK385&lt;&gt;"",CONCATENATE(Worksheet!CK385," х ",Worksheet!CM385," х ",Worksheet!CI385),"")</f>
        <v>1083 х 488 х 855</v>
      </c>
      <c r="V389" t="str">
        <f>IF(Worksheet!CN385&lt;&gt;"",CONCATENATE(Worksheet!CN385,"/",Worksheet!CO385),"")</f>
        <v>67/72</v>
      </c>
      <c r="W389" s="6"/>
      <c r="X389" s="7">
        <f>IF(Worksheet!AN385&lt;&gt;"",Worksheet!AN385,"")</f>
        <v>6.35</v>
      </c>
      <c r="Y389" s="7">
        <f>IF(Worksheet!AO385&lt;&gt;"",Worksheet!AO385,"")</f>
        <v>15.8</v>
      </c>
      <c r="Z389" s="17">
        <f>IF(Worksheet!Q385&lt;&gt;"",Worksheet!Q385,"")</f>
        <v>30</v>
      </c>
      <c r="AA389" s="17">
        <f>IF(Worksheet!R385&lt;&gt;"",Worksheet!R385,"")</f>
        <v>10</v>
      </c>
      <c r="AB389" t="str">
        <f>IF(Worksheet!X385&lt;&gt;"",CONCATENATE("от ",Worksheet!X385," до +",Worksheet!Y385),"")</f>
        <v>от 18 до +43</v>
      </c>
      <c r="AC389" t="str">
        <f>IF(Worksheet!Z385&lt;&gt;"",CONCATENATE("от ",Worksheet!Z385," до +",Worksheet!AA385),"")</f>
        <v>от -7 до +24</v>
      </c>
      <c r="AD389" s="6" t="s">
        <v>5245</v>
      </c>
      <c r="AE389" s="17"/>
    </row>
    <row r="390" spans="1:31" x14ac:dyDescent="0.25">
      <c r="A390" s="17" t="str">
        <f>IF(Worksheet!B386&lt;&gt;"",Worksheet!B386,"")</f>
        <v>TOSOT</v>
      </c>
      <c r="B390" t="str">
        <f>Worksheet!E386</f>
        <v>Сплит система</v>
      </c>
      <c r="C390" s="21">
        <f>IF(Worksheet!M386&lt;&gt;"",MID(Worksheet!M386,1,FIND(" ",Worksheet!M386,1)-1),"")*1</f>
        <v>2.7</v>
      </c>
      <c r="D390">
        <f t="shared" ref="D390:D398" si="17">ROUND(LEFT(C390,3)*10,0)</f>
        <v>27</v>
      </c>
      <c r="E390" t="str">
        <f>IF(Worksheet!L386&lt;&gt;"",IF(Worksheet!L386="Y","да","нет"),"")</f>
        <v>да</v>
      </c>
      <c r="F390" s="21">
        <f>IF(Worksheet!N386&lt;&gt;"",MID(Worksheet!N386,1,FIND(" ",Worksheet!N386,1)-1),"")*1</f>
        <v>3.6</v>
      </c>
      <c r="G390" s="21">
        <f>IF(Worksheet!O386&lt;&gt;"",MID(Worksheet!O386,1,FIND(" ",Worksheet!O386,1)-1),"")*1</f>
        <v>0.55000000000000004</v>
      </c>
      <c r="H390" s="21">
        <f>IF(Worksheet!P386&lt;&gt;"",MID(Worksheet!P386,1,FIND(" ",Worksheet!P386,1)-1),"")*1</f>
        <v>0.75</v>
      </c>
      <c r="I390" s="6"/>
      <c r="J390" s="6"/>
      <c r="K390" t="str">
        <f>IF(Worksheet!BI386&lt;&gt;"",Worksheet!BI386,"")</f>
        <v>1 / 220 / 50</v>
      </c>
      <c r="L390" t="str">
        <f>IF(Worksheet!AU386&lt;&gt;"",Worksheet!AU386,"")</f>
        <v>R32</v>
      </c>
      <c r="M390" s="6"/>
      <c r="N390" s="6"/>
      <c r="O390" t="str">
        <f>IF(Worksheet!CR386&lt;&gt;"",CONCATENATE(Worksheet!CR386," х ",Worksheet!CP386," х ",Worksheet!CT386),"")</f>
        <v>977 х 281 х 295</v>
      </c>
      <c r="P390" t="str">
        <f>IF(Worksheet!CS386&lt;&gt;"",CONCATENATE(Worksheet!CS386," х ",Worksheet!CU386," х ",Worksheet!CQ386),"")</f>
        <v>1086 х 402 х 376</v>
      </c>
      <c r="Q390" t="str">
        <f>IF(Worksheet!CV386&lt;&gt;"",CONCATENATE(Worksheet!CV386," / ",Worksheet!CW386),"")</f>
        <v>17 / 21.5</v>
      </c>
      <c r="R390" t="str">
        <f>IF(Worksheet!BS386&lt;&gt;"",Worksheet!BS386,"")</f>
        <v>19/22/29/33/35/38/42</v>
      </c>
      <c r="S390" t="str">
        <f>IF(Worksheet!AL386&lt;&gt;"",Worksheet!AL386,"")</f>
        <v>Gree</v>
      </c>
      <c r="T390" t="str">
        <f>IF(Worksheet!CJ386&lt;&gt;"",CONCATENATE(Worksheet!CJ386," х ",Worksheet!CL386," х ",Worksheet!CH386),"")</f>
        <v>899 х 378 х 596</v>
      </c>
      <c r="U390" t="str">
        <f>IF(Worksheet!CK386&lt;&gt;"",CONCATENATE(Worksheet!CK386," х ",Worksheet!CM386," х ",Worksheet!CI386),"")</f>
        <v>948 х 420 х 645</v>
      </c>
      <c r="V390" t="str">
        <f>IF(Worksheet!CN386&lt;&gt;"",CONCATENATE(Worksheet!CN386,"/",Worksheet!CO386),"")</f>
        <v>37.5/40.5</v>
      </c>
      <c r="W390" s="6"/>
      <c r="X390" s="7">
        <f>IF(Worksheet!AN386&lt;&gt;"",Worksheet!AN386,"")</f>
        <v>6.35</v>
      </c>
      <c r="Y390" s="7">
        <f>IF(Worksheet!AO386&lt;&gt;"",Worksheet!AO386,"")</f>
        <v>9.52</v>
      </c>
      <c r="Z390" s="17">
        <f>IF(Worksheet!Q386&lt;&gt;"",Worksheet!Q386,"")</f>
        <v>15</v>
      </c>
      <c r="AA390" s="17">
        <f>IF(Worksheet!R386&lt;&gt;"",Worksheet!R386,"")</f>
        <v>10</v>
      </c>
      <c r="AB390" t="str">
        <f>IF(Worksheet!X386&lt;&gt;"",CONCATENATE("от ",Worksheet!X386," до +",Worksheet!Y386),"")</f>
        <v>от -15 до +52</v>
      </c>
      <c r="AC390" t="str">
        <f>IF(Worksheet!Z386&lt;&gt;"",CONCATENATE("от ",Worksheet!Z386," до +",Worksheet!AA386),"")</f>
        <v>от -25 до +24</v>
      </c>
      <c r="AD390" s="6" t="s">
        <v>5245</v>
      </c>
      <c r="AE390" s="17"/>
    </row>
    <row r="391" spans="1:31" x14ac:dyDescent="0.25">
      <c r="A391" s="17" t="str">
        <f>IF(Worksheet!B387&lt;&gt;"",Worksheet!B387,"")</f>
        <v>TOSOT</v>
      </c>
      <c r="B391" t="str">
        <f>Worksheet!E387</f>
        <v>Сплит система</v>
      </c>
      <c r="C391" s="21">
        <f>IF(Worksheet!M387&lt;&gt;"",MID(Worksheet!M387,1,FIND(" ",Worksheet!M387,1)-1),"")*1</f>
        <v>2.7</v>
      </c>
      <c r="D391">
        <f t="shared" si="17"/>
        <v>27</v>
      </c>
      <c r="E391" t="str">
        <f>IF(Worksheet!L387&lt;&gt;"",IF(Worksheet!L387="Y","да","нет"),"")</f>
        <v>да</v>
      </c>
      <c r="F391" s="21">
        <f>IF(Worksheet!N387&lt;&gt;"",MID(Worksheet!N387,1,FIND(" ",Worksheet!N387,1)-1),"")*1</f>
        <v>3.6</v>
      </c>
      <c r="G391" s="21">
        <f>IF(Worksheet!O387&lt;&gt;"",MID(Worksheet!O387,1,FIND(" ",Worksheet!O387,1)-1),"")*1</f>
        <v>0.55000000000000004</v>
      </c>
      <c r="H391" s="21">
        <f>IF(Worksheet!P387&lt;&gt;"",MID(Worksheet!P387,1,FIND(" ",Worksheet!P387,1)-1),"")*1</f>
        <v>0.75</v>
      </c>
      <c r="I391" s="6"/>
      <c r="J391" s="6"/>
      <c r="K391" t="str">
        <f>IF(Worksheet!BI387&lt;&gt;"",Worksheet!BI387,"")</f>
        <v>1 / 220 / 50</v>
      </c>
      <c r="L391" t="str">
        <f>IF(Worksheet!AU387&lt;&gt;"",Worksheet!AU387,"")</f>
        <v>R32</v>
      </c>
      <c r="M391" s="6"/>
      <c r="N391" s="6"/>
      <c r="O391" t="str">
        <f>IF(Worksheet!CR387&lt;&gt;"",CONCATENATE(Worksheet!CR387," х ",Worksheet!CP387," х ",Worksheet!CT387),"")</f>
        <v>977 х 281 х 295</v>
      </c>
      <c r="P391" t="str">
        <f>IF(Worksheet!CS387&lt;&gt;"",CONCATENATE(Worksheet!CS387," х ",Worksheet!CU387," х ",Worksheet!CQ387),"")</f>
        <v>1086 х 402 х 376</v>
      </c>
      <c r="Q391" t="str">
        <f>IF(Worksheet!CV387&lt;&gt;"",CONCATENATE(Worksheet!CV387," / ",Worksheet!CW387),"")</f>
        <v>17 / 21.5</v>
      </c>
      <c r="R391" t="str">
        <f>IF(Worksheet!BS387&lt;&gt;"",Worksheet!BS387,"")</f>
        <v>19/22/29/33/35/38/42</v>
      </c>
      <c r="S391" t="str">
        <f>IF(Worksheet!AL387&lt;&gt;"",Worksheet!AL387,"")</f>
        <v>Gree</v>
      </c>
      <c r="T391" t="str">
        <f>IF(Worksheet!CJ387&lt;&gt;"",CONCATENATE(Worksheet!CJ387," х ",Worksheet!CL387," х ",Worksheet!CH387),"")</f>
        <v>899 х 378 х 596</v>
      </c>
      <c r="U391" t="str">
        <f>IF(Worksheet!CK387&lt;&gt;"",CONCATENATE(Worksheet!CK387," х ",Worksheet!CM387," х ",Worksheet!CI387),"")</f>
        <v>948 х 420 х 645</v>
      </c>
      <c r="V391" t="str">
        <f>IF(Worksheet!CN387&lt;&gt;"",CONCATENATE(Worksheet!CN387,"/",Worksheet!CO387),"")</f>
        <v>37.5/40.5</v>
      </c>
      <c r="W391" s="6"/>
      <c r="X391" s="7">
        <f>IF(Worksheet!AN387&lt;&gt;"",Worksheet!AN387,"")</f>
        <v>6.35</v>
      </c>
      <c r="Y391" s="7">
        <f>IF(Worksheet!AO387&lt;&gt;"",Worksheet!AO387,"")</f>
        <v>9.52</v>
      </c>
      <c r="Z391" s="17">
        <f>IF(Worksheet!Q387&lt;&gt;"",Worksheet!Q387,"")</f>
        <v>15</v>
      </c>
      <c r="AA391" s="17">
        <f>IF(Worksheet!R387&lt;&gt;"",Worksheet!R387,"")</f>
        <v>10</v>
      </c>
      <c r="AB391" t="str">
        <f>IF(Worksheet!X387&lt;&gt;"",CONCATENATE("от ",Worksheet!X387," до +",Worksheet!Y387),"")</f>
        <v>от -15 до +52</v>
      </c>
      <c r="AC391" t="str">
        <f>IF(Worksheet!Z387&lt;&gt;"",CONCATENATE("от ",Worksheet!Z387," до +",Worksheet!AA387),"")</f>
        <v>от -25 до +24</v>
      </c>
      <c r="AD391" s="6" t="s">
        <v>5245</v>
      </c>
      <c r="AE391" s="17"/>
    </row>
    <row r="392" spans="1:31" x14ac:dyDescent="0.25">
      <c r="A392" s="17" t="str">
        <f>IF(Worksheet!B388&lt;&gt;"",Worksheet!B388,"")</f>
        <v>TOSOT</v>
      </c>
      <c r="B392" t="str">
        <f>Worksheet!E388</f>
        <v>Сплит система</v>
      </c>
      <c r="C392" s="21">
        <f>IF(Worksheet!M388&lt;&gt;"",MID(Worksheet!M388,1,FIND(" ",Worksheet!M388,1)-1),"")*1</f>
        <v>3.53</v>
      </c>
      <c r="D392">
        <f t="shared" si="17"/>
        <v>35</v>
      </c>
      <c r="E392" t="str">
        <f>IF(Worksheet!L388&lt;&gt;"",IF(Worksheet!L388="Y","да","нет"),"")</f>
        <v>да</v>
      </c>
      <c r="F392" s="21">
        <f>IF(Worksheet!N388&lt;&gt;"",MID(Worksheet!N388,1,FIND(" ",Worksheet!N388,1)-1),"")*1</f>
        <v>4.2</v>
      </c>
      <c r="G392" s="21">
        <f>IF(Worksheet!O388&lt;&gt;"",MID(Worksheet!O388,1,FIND(" ",Worksheet!O388,1)-1),"")*1</f>
        <v>0.80200000000000005</v>
      </c>
      <c r="H392" s="21">
        <f>IF(Worksheet!P388&lt;&gt;"",MID(Worksheet!P388,1,FIND(" ",Worksheet!P388,1)-1),"")*1</f>
        <v>0.93400000000000005</v>
      </c>
      <c r="I392" s="6"/>
      <c r="J392" s="6"/>
      <c r="K392" t="str">
        <f>IF(Worksheet!BI388&lt;&gt;"",Worksheet!BI388,"")</f>
        <v>1 / 220 / 50</v>
      </c>
      <c r="L392" t="str">
        <f>IF(Worksheet!AU388&lt;&gt;"",Worksheet!AU388,"")</f>
        <v>R32</v>
      </c>
      <c r="M392" s="6"/>
      <c r="N392" s="6"/>
      <c r="O392" t="str">
        <f>IF(Worksheet!CR388&lt;&gt;"",CONCATENATE(Worksheet!CR388," х ",Worksheet!CP388," х ",Worksheet!CT388),"")</f>
        <v>977 х 281 х 295</v>
      </c>
      <c r="P392" t="str">
        <f>IF(Worksheet!CS388&lt;&gt;"",CONCATENATE(Worksheet!CS388," х ",Worksheet!CU388," х ",Worksheet!CQ388),"")</f>
        <v>1086 х 402 х 376</v>
      </c>
      <c r="Q392" t="str">
        <f>IF(Worksheet!CV388&lt;&gt;"",CONCATENATE(Worksheet!CV388," / ",Worksheet!CW388),"")</f>
        <v>17 / 21.5</v>
      </c>
      <c r="R392" t="str">
        <f>IF(Worksheet!BS388&lt;&gt;"",Worksheet!BS388,"")</f>
        <v>22/23/29/34/37/39/44</v>
      </c>
      <c r="S392" t="str">
        <f>IF(Worksheet!AL388&lt;&gt;"",Worksheet!AL388,"")</f>
        <v>Gree</v>
      </c>
      <c r="T392" t="str">
        <f>IF(Worksheet!CJ388&lt;&gt;"",CONCATENATE(Worksheet!CJ388," х ",Worksheet!CL388," х ",Worksheet!CH388),"")</f>
        <v>899 х 378 х 596</v>
      </c>
      <c r="U392" t="str">
        <f>IF(Worksheet!CK388&lt;&gt;"",CONCATENATE(Worksheet!CK388," х ",Worksheet!CM388," х ",Worksheet!CI388),"")</f>
        <v>948 х 420 х 645</v>
      </c>
      <c r="V392" t="str">
        <f>IF(Worksheet!CN388&lt;&gt;"",CONCATENATE(Worksheet!CN388,"/",Worksheet!CO388),"")</f>
        <v>37.5/40.5</v>
      </c>
      <c r="W392" s="6"/>
      <c r="X392" s="7">
        <f>IF(Worksheet!AN388&lt;&gt;"",Worksheet!AN388,"")</f>
        <v>6.35</v>
      </c>
      <c r="Y392" s="7">
        <f>IF(Worksheet!AO388&lt;&gt;"",Worksheet!AO388,"")</f>
        <v>9.52</v>
      </c>
      <c r="Z392" s="17">
        <f>IF(Worksheet!Q388&lt;&gt;"",Worksheet!Q388,"")</f>
        <v>20</v>
      </c>
      <c r="AA392" s="17">
        <f>IF(Worksheet!R388&lt;&gt;"",Worksheet!R388,"")</f>
        <v>10</v>
      </c>
      <c r="AB392" t="str">
        <f>IF(Worksheet!X388&lt;&gt;"",CONCATENATE("от ",Worksheet!X388," до +",Worksheet!Y388),"")</f>
        <v>от -15 до +52</v>
      </c>
      <c r="AC392" t="str">
        <f>IF(Worksheet!Z388&lt;&gt;"",CONCATENATE("от ",Worksheet!Z388," до +",Worksheet!AA388),"")</f>
        <v>от -25 до +24</v>
      </c>
      <c r="AD392" s="6" t="s">
        <v>5245</v>
      </c>
      <c r="AE392" s="17"/>
    </row>
    <row r="393" spans="1:31" x14ac:dyDescent="0.25">
      <c r="A393" s="17" t="str">
        <f>IF(Worksheet!B389&lt;&gt;"",Worksheet!B389,"")</f>
        <v>TOSOT</v>
      </c>
      <c r="B393" t="str">
        <f>Worksheet!E389</f>
        <v>Сплит система</v>
      </c>
      <c r="C393" s="21">
        <f>IF(Worksheet!M389&lt;&gt;"",MID(Worksheet!M389,1,FIND(" ",Worksheet!M389,1)-1),"")*1</f>
        <v>3.53</v>
      </c>
      <c r="D393">
        <f t="shared" si="17"/>
        <v>35</v>
      </c>
      <c r="E393" t="str">
        <f>IF(Worksheet!L389&lt;&gt;"",IF(Worksheet!L389="Y","да","нет"),"")</f>
        <v>да</v>
      </c>
      <c r="F393" s="21">
        <f>IF(Worksheet!N389&lt;&gt;"",MID(Worksheet!N389,1,FIND(" ",Worksheet!N389,1)-1),"")*1</f>
        <v>4.2</v>
      </c>
      <c r="G393" s="21">
        <f>IF(Worksheet!O389&lt;&gt;"",MID(Worksheet!O389,1,FIND(" ",Worksheet!O389,1)-1),"")*1</f>
        <v>0.80200000000000005</v>
      </c>
      <c r="H393" s="21">
        <f>IF(Worksheet!P389&lt;&gt;"",MID(Worksheet!P389,1,FIND(" ",Worksheet!P389,1)-1),"")*1</f>
        <v>0.93400000000000005</v>
      </c>
      <c r="I393" s="6"/>
      <c r="J393" s="6"/>
      <c r="K393" t="str">
        <f>IF(Worksheet!BI389&lt;&gt;"",Worksheet!BI389,"")</f>
        <v>1 / 220 / 50</v>
      </c>
      <c r="L393" t="str">
        <f>IF(Worksheet!AU389&lt;&gt;"",Worksheet!AU389,"")</f>
        <v>R32</v>
      </c>
      <c r="M393" s="6"/>
      <c r="N393" s="6"/>
      <c r="O393" t="str">
        <f>IF(Worksheet!CR389&lt;&gt;"",CONCATENATE(Worksheet!CR389," х ",Worksheet!CP389," х ",Worksheet!CT389),"")</f>
        <v>977 х 281 х 295</v>
      </c>
      <c r="P393" t="str">
        <f>IF(Worksheet!CS389&lt;&gt;"",CONCATENATE(Worksheet!CS389," х ",Worksheet!CU389," х ",Worksheet!CQ389),"")</f>
        <v>1086 х 402 х 376</v>
      </c>
      <c r="Q393" t="str">
        <f>IF(Worksheet!CV389&lt;&gt;"",CONCATENATE(Worksheet!CV389," / ",Worksheet!CW389),"")</f>
        <v>17 / 21.5</v>
      </c>
      <c r="R393" t="str">
        <f>IF(Worksheet!BS389&lt;&gt;"",Worksheet!BS389,"")</f>
        <v>22/23/29/34/37/39/44</v>
      </c>
      <c r="S393" t="str">
        <f>IF(Worksheet!AL389&lt;&gt;"",Worksheet!AL389,"")</f>
        <v>Gree</v>
      </c>
      <c r="T393" t="str">
        <f>IF(Worksheet!CJ389&lt;&gt;"",CONCATENATE(Worksheet!CJ389," х ",Worksheet!CL389," х ",Worksheet!CH389),"")</f>
        <v>899 х 378 х 596</v>
      </c>
      <c r="U393" t="str">
        <f>IF(Worksheet!CK389&lt;&gt;"",CONCATENATE(Worksheet!CK389," х ",Worksheet!CM389," х ",Worksheet!CI389),"")</f>
        <v>948 х 420 х 645</v>
      </c>
      <c r="V393" t="str">
        <f>IF(Worksheet!CN389&lt;&gt;"",CONCATENATE(Worksheet!CN389,"/",Worksheet!CO389),"")</f>
        <v>37.5/40.5</v>
      </c>
      <c r="W393" s="6"/>
      <c r="X393" s="7">
        <f>IF(Worksheet!AN389&lt;&gt;"",Worksheet!AN389,"")</f>
        <v>6.35</v>
      </c>
      <c r="Y393" s="7">
        <f>IF(Worksheet!AO389&lt;&gt;"",Worksheet!AO389,"")</f>
        <v>9.52</v>
      </c>
      <c r="Z393" s="17">
        <f>IF(Worksheet!Q389&lt;&gt;"",Worksheet!Q389,"")</f>
        <v>20</v>
      </c>
      <c r="AA393" s="17">
        <f>IF(Worksheet!R389&lt;&gt;"",Worksheet!R389,"")</f>
        <v>10</v>
      </c>
      <c r="AB393" t="str">
        <f>IF(Worksheet!X389&lt;&gt;"",CONCATENATE("от ",Worksheet!X389," до +",Worksheet!Y389),"")</f>
        <v>от -15 до +52</v>
      </c>
      <c r="AC393" t="str">
        <f>IF(Worksheet!Z389&lt;&gt;"",CONCATENATE("от ",Worksheet!Z389," до +",Worksheet!AA389),"")</f>
        <v>от -25 до +24</v>
      </c>
      <c r="AD393" s="6" t="s">
        <v>5245</v>
      </c>
      <c r="AE393" s="17"/>
    </row>
    <row r="394" spans="1:31" x14ac:dyDescent="0.25">
      <c r="A394" s="17" t="str">
        <f>IF(Worksheet!B390&lt;&gt;"",Worksheet!B390,"")</f>
        <v>TOSOT</v>
      </c>
      <c r="B394" t="str">
        <f>Worksheet!E390</f>
        <v>Канальные</v>
      </c>
      <c r="C394" s="21">
        <f>IF(Worksheet!M390&lt;&gt;"",MID(Worksheet!M390,1,FIND(" ",Worksheet!M390,1)-1),"")*1</f>
        <v>5.3</v>
      </c>
      <c r="D394">
        <f t="shared" si="17"/>
        <v>53</v>
      </c>
      <c r="E394" t="str">
        <f>IF(Worksheet!L390&lt;&gt;"",IF(Worksheet!L390="Y","да","нет"),"")</f>
        <v>да</v>
      </c>
      <c r="F394" s="21">
        <f>IF(Worksheet!N390&lt;&gt;"",MID(Worksheet!N390,1,FIND(" ",Worksheet!N390,1)-1),"")*1</f>
        <v>5.8</v>
      </c>
      <c r="G394" s="21">
        <f>IF(Worksheet!O390&lt;&gt;"",MID(Worksheet!O390,1,FIND(" ",Worksheet!O390,1)-1),"")*1</f>
        <v>1.65</v>
      </c>
      <c r="H394" s="21">
        <f>IF(Worksheet!P390&lt;&gt;"",MID(Worksheet!P390,1,FIND(" ",Worksheet!P390,1)-1),"")*1</f>
        <v>1.6</v>
      </c>
      <c r="I394" s="6"/>
      <c r="J394" s="6"/>
      <c r="K394" t="str">
        <f>IF(Worksheet!BI390&lt;&gt;"",Worksheet!BI390,"")</f>
        <v>1 / 220 / 50</v>
      </c>
      <c r="L394" t="str">
        <f>IF(Worksheet!AU390&lt;&gt;"",Worksheet!AU390,"")</f>
        <v>R410A</v>
      </c>
      <c r="M394" s="6"/>
      <c r="N394" s="6"/>
      <c r="O394" t="str">
        <f>IF(Worksheet!CR390&lt;&gt;"",CONCATENATE(Worksheet!CR390," х ",Worksheet!CP390," х ",Worksheet!CT390),"")</f>
        <v>1000 х 200 х 450</v>
      </c>
      <c r="P394" t="str">
        <f>IF(Worksheet!CS390&lt;&gt;"",CONCATENATE(Worksheet!CS390," х ",Worksheet!CU390," х ",Worksheet!CQ390),"")</f>
        <v>1308 х 568 х 275</v>
      </c>
      <c r="Q394" t="str">
        <f>IF(Worksheet!CV390&lt;&gt;"",CONCATENATE(Worksheet!CV390," / ",Worksheet!CW390),"")</f>
        <v>26 / 31</v>
      </c>
      <c r="R394" t="str">
        <f>IF(Worksheet!BS390&lt;&gt;"",Worksheet!BS390,"")</f>
        <v>35/37/39/40</v>
      </c>
      <c r="S394" t="str">
        <f>IF(Worksheet!AL390&lt;&gt;"",Worksheet!AL390,"")</f>
        <v>Gree</v>
      </c>
      <c r="T394" t="str">
        <f>IF(Worksheet!CJ390&lt;&gt;"",CONCATENATE(Worksheet!CJ390," х ",Worksheet!CL390," х ",Worksheet!CH390),"")</f>
        <v>818 х 302 х 596</v>
      </c>
      <c r="U394" t="str">
        <f>IF(Worksheet!CK390&lt;&gt;"",CONCATENATE(Worksheet!CK390," х ",Worksheet!CM390," х ",Worksheet!CI390),"")</f>
        <v>948 х 420 х 645</v>
      </c>
      <c r="V394" t="str">
        <f>IF(Worksheet!CN390&lt;&gt;"",CONCATENATE(Worksheet!CN390,"/",Worksheet!CO390),"")</f>
        <v>41/44</v>
      </c>
      <c r="W394" s="6"/>
      <c r="X394" s="7">
        <f>IF(Worksheet!AN390&lt;&gt;"",Worksheet!AN390,"")</f>
        <v>6.35</v>
      </c>
      <c r="Y394" s="7">
        <f>IF(Worksheet!AO390&lt;&gt;"",Worksheet!AO390,"")</f>
        <v>12.7</v>
      </c>
      <c r="Z394" s="17">
        <f>IF(Worksheet!Q390&lt;&gt;"",Worksheet!Q390,"")</f>
        <v>35</v>
      </c>
      <c r="AA394" s="17">
        <f>IF(Worksheet!R390&lt;&gt;"",Worksheet!R390,"")</f>
        <v>20</v>
      </c>
      <c r="AB394" t="str">
        <f>IF(Worksheet!X390&lt;&gt;"",CONCATENATE("от ",Worksheet!X390," до +",Worksheet!Y390),"")</f>
        <v>от -15 до +48</v>
      </c>
      <c r="AC394" t="str">
        <f>IF(Worksheet!Z390&lt;&gt;"",CONCATENATE("от ",Worksheet!Z390," до +",Worksheet!AA390),"")</f>
        <v>от -15 до +24</v>
      </c>
      <c r="AD394" s="6" t="s">
        <v>5245</v>
      </c>
      <c r="AE394" s="17"/>
    </row>
    <row r="395" spans="1:31" x14ac:dyDescent="0.25">
      <c r="A395" s="17" t="str">
        <f>IF(Worksheet!B391&lt;&gt;"",Worksheet!B391,"")</f>
        <v>TOSOT</v>
      </c>
      <c r="B395" t="str">
        <f>Worksheet!E391</f>
        <v>Канальные</v>
      </c>
      <c r="C395" s="21">
        <f>IF(Worksheet!M391&lt;&gt;"",MID(Worksheet!M391,1,FIND(" ",Worksheet!M391,1)-1),"")*1</f>
        <v>7.15</v>
      </c>
      <c r="D395">
        <f t="shared" si="17"/>
        <v>71</v>
      </c>
      <c r="E395" t="str">
        <f>IF(Worksheet!L391&lt;&gt;"",IF(Worksheet!L391="Y","да","нет"),"")</f>
        <v>да</v>
      </c>
      <c r="F395" s="21">
        <f>IF(Worksheet!N391&lt;&gt;"",MID(Worksheet!N391,1,FIND(" ",Worksheet!N391,1)-1),"")*1</f>
        <v>8</v>
      </c>
      <c r="G395" s="21">
        <f>IF(Worksheet!O391&lt;&gt;"",MID(Worksheet!O391,1,FIND(" ",Worksheet!O391,1)-1),"")*1</f>
        <v>2.4500000000000002</v>
      </c>
      <c r="H395" s="21">
        <f>IF(Worksheet!P391&lt;&gt;"",MID(Worksheet!P391,1,FIND(" ",Worksheet!P391,1)-1),"")*1</f>
        <v>2.5</v>
      </c>
      <c r="I395" s="6"/>
      <c r="J395" s="6"/>
      <c r="K395" t="str">
        <f>IF(Worksheet!BI391&lt;&gt;"",Worksheet!BI391,"")</f>
        <v>1 / 220 / 50</v>
      </c>
      <c r="L395" t="str">
        <f>IF(Worksheet!AU391&lt;&gt;"",Worksheet!AU391,"")</f>
        <v>R410A</v>
      </c>
      <c r="M395" s="6"/>
      <c r="N395" s="6"/>
      <c r="O395" t="str">
        <f>IF(Worksheet!CR391&lt;&gt;"",CONCATENATE(Worksheet!CR391," х ",Worksheet!CP391," х ",Worksheet!CT391),"")</f>
        <v>1000 х 200 х 450</v>
      </c>
      <c r="P395" t="str">
        <f>IF(Worksheet!CS391&lt;&gt;"",CONCATENATE(Worksheet!CS391," х ",Worksheet!CU391," х ",Worksheet!CQ391),"")</f>
        <v>1308 х 568 х 275</v>
      </c>
      <c r="Q395" t="str">
        <f>IF(Worksheet!CV391&lt;&gt;"",CONCATENATE(Worksheet!CV391," / ",Worksheet!CW391),"")</f>
        <v>26 / 31</v>
      </c>
      <c r="R395" t="str">
        <f>IF(Worksheet!BS391&lt;&gt;"",Worksheet!BS391,"")</f>
        <v>38/40/42/43</v>
      </c>
      <c r="S395" t="str">
        <f>IF(Worksheet!AL391&lt;&gt;"",Worksheet!AL391,"")</f>
        <v>Gree</v>
      </c>
      <c r="T395" t="str">
        <f>IF(Worksheet!CJ391&lt;&gt;"",CONCATENATE(Worksheet!CJ391," х ",Worksheet!CL391," х ",Worksheet!CH391),"")</f>
        <v>892 х 340 х 698</v>
      </c>
      <c r="U395" t="str">
        <f>IF(Worksheet!CK391&lt;&gt;"",CONCATENATE(Worksheet!CK391," х ",Worksheet!CM391," х ",Worksheet!CI391),"")</f>
        <v>1029 х 458 х 750</v>
      </c>
      <c r="V395" t="str">
        <f>IF(Worksheet!CN391&lt;&gt;"",CONCATENATE(Worksheet!CN391,"/",Worksheet!CO391),"")</f>
        <v>53/57</v>
      </c>
      <c r="W395" s="6"/>
      <c r="X395" s="7">
        <f>IF(Worksheet!AN391&lt;&gt;"",Worksheet!AN391,"")</f>
        <v>9.52</v>
      </c>
      <c r="Y395" s="7">
        <f>IF(Worksheet!AO391&lt;&gt;"",Worksheet!AO391,"")</f>
        <v>15.87</v>
      </c>
      <c r="Z395" s="17">
        <f>IF(Worksheet!Q391&lt;&gt;"",Worksheet!Q391,"")</f>
        <v>50</v>
      </c>
      <c r="AA395" s="17">
        <f>IF(Worksheet!R391&lt;&gt;"",Worksheet!R391,"")</f>
        <v>25</v>
      </c>
      <c r="AB395" t="str">
        <f>IF(Worksheet!X391&lt;&gt;"",CONCATENATE("от ",Worksheet!X391," до +",Worksheet!Y391),"")</f>
        <v>от -15 до +48</v>
      </c>
      <c r="AC395" t="str">
        <f>IF(Worksheet!Z391&lt;&gt;"",CONCATENATE("от ",Worksheet!Z391," до +",Worksheet!AA391),"")</f>
        <v>от -15 до +24</v>
      </c>
      <c r="AD395" s="6" t="s">
        <v>5245</v>
      </c>
      <c r="AE395" s="17"/>
    </row>
    <row r="396" spans="1:31" x14ac:dyDescent="0.25">
      <c r="A396" s="17" t="str">
        <f>IF(Worksheet!B392&lt;&gt;"",Worksheet!B392,"")</f>
        <v>TOSOT</v>
      </c>
      <c r="B396" t="str">
        <f>Worksheet!E392</f>
        <v>Канальные</v>
      </c>
      <c r="C396" s="21">
        <f>IF(Worksheet!M392&lt;&gt;"",MID(Worksheet!M392,1,FIND(" ",Worksheet!M392,1)-1),"")*1</f>
        <v>10.1</v>
      </c>
      <c r="D396">
        <f t="shared" si="17"/>
        <v>100</v>
      </c>
      <c r="E396" t="str">
        <f>IF(Worksheet!L392&lt;&gt;"",IF(Worksheet!L392="Y","да","нет"),"")</f>
        <v>да</v>
      </c>
      <c r="F396" s="21">
        <f>IF(Worksheet!N392&lt;&gt;"",MID(Worksheet!N392,1,FIND(" ",Worksheet!N392,1)-1),"")*1</f>
        <v>11</v>
      </c>
      <c r="G396" s="21">
        <f>IF(Worksheet!O392&lt;&gt;"",MID(Worksheet!O392,1,FIND(" ",Worksheet!O392,1)-1),"")*1</f>
        <v>3.4</v>
      </c>
      <c r="H396" s="21">
        <f>IF(Worksheet!P392&lt;&gt;"",MID(Worksheet!P392,1,FIND(" ",Worksheet!P392,1)-1),"")*1</f>
        <v>3.2</v>
      </c>
      <c r="I396" s="6"/>
      <c r="J396" s="6"/>
      <c r="K396" t="str">
        <f>IF(Worksheet!BI392&lt;&gt;"",Worksheet!BI392,"")</f>
        <v>1 / 220 / 50</v>
      </c>
      <c r="L396" t="str">
        <f>IF(Worksheet!AU392&lt;&gt;"",Worksheet!AU392,"")</f>
        <v>R410A</v>
      </c>
      <c r="M396" s="6"/>
      <c r="N396" s="6"/>
      <c r="O396" t="str">
        <f>IF(Worksheet!CR392&lt;&gt;"",CONCATENATE(Worksheet!CR392," х ",Worksheet!CP392," х ",Worksheet!CT392),"")</f>
        <v>1000 х 300 х 700</v>
      </c>
      <c r="P396" t="str">
        <f>IF(Worksheet!CS392&lt;&gt;"",CONCATENATE(Worksheet!CS392," х ",Worksheet!CU392," х ",Worksheet!CQ392),"")</f>
        <v>1205 х 813 х 360</v>
      </c>
      <c r="Q396" t="str">
        <f>IF(Worksheet!CV392&lt;&gt;"",CONCATENATE(Worksheet!CV392," / ",Worksheet!CW392),"")</f>
        <v>41 / 47</v>
      </c>
      <c r="R396" t="str">
        <f>IF(Worksheet!BS392&lt;&gt;"",Worksheet!BS392,"")</f>
        <v>37/39/41/43</v>
      </c>
      <c r="S396" t="str">
        <f>IF(Worksheet!AL392&lt;&gt;"",Worksheet!AL392,"")</f>
        <v>Gree</v>
      </c>
      <c r="T396" t="str">
        <f>IF(Worksheet!CJ392&lt;&gt;"",CONCATENATE(Worksheet!CJ392," х ",Worksheet!CL392," х ",Worksheet!CH392),"")</f>
        <v>920 х 370 х 790</v>
      </c>
      <c r="U396" t="str">
        <f>IF(Worksheet!CK392&lt;&gt;"",CONCATENATE(Worksheet!CK392," х ",Worksheet!CM392," х ",Worksheet!CI392),"")</f>
        <v>1083 х 488 х 855</v>
      </c>
      <c r="V396" t="str">
        <f>IF(Worksheet!CN392&lt;&gt;"",CONCATENATE(Worksheet!CN392,"/",Worksheet!CO392),"")</f>
        <v>61/66</v>
      </c>
      <c r="W396" s="6"/>
      <c r="X396" s="7">
        <f>IF(Worksheet!AN392&lt;&gt;"",Worksheet!AN392,"")</f>
        <v>9.52</v>
      </c>
      <c r="Y396" s="7">
        <f>IF(Worksheet!AO392&lt;&gt;"",Worksheet!AO392,"")</f>
        <v>15.87</v>
      </c>
      <c r="Z396" s="17">
        <f>IF(Worksheet!Q392&lt;&gt;"",Worksheet!Q392,"")</f>
        <v>50</v>
      </c>
      <c r="AA396" s="17">
        <f>IF(Worksheet!R392&lt;&gt;"",Worksheet!R392,"")</f>
        <v>25</v>
      </c>
      <c r="AB396" t="str">
        <f>IF(Worksheet!X392&lt;&gt;"",CONCATENATE("от ",Worksheet!X392," до +",Worksheet!Y392),"")</f>
        <v>от -15 до +48</v>
      </c>
      <c r="AC396" t="str">
        <f>IF(Worksheet!Z392&lt;&gt;"",CONCATENATE("от ",Worksheet!Z392," до +",Worksheet!AA392),"")</f>
        <v>от -15 до +24</v>
      </c>
      <c r="AD396" s="6" t="s">
        <v>5245</v>
      </c>
      <c r="AE396" s="17"/>
    </row>
    <row r="397" spans="1:31" x14ac:dyDescent="0.25">
      <c r="A397" s="17" t="str">
        <f>IF(Worksheet!B393&lt;&gt;"",Worksheet!B393,"")</f>
        <v>TOSOT</v>
      </c>
      <c r="B397" t="str">
        <f>Worksheet!E393</f>
        <v>Канальные</v>
      </c>
      <c r="C397" s="21">
        <f>IF(Worksheet!M393&lt;&gt;"",MID(Worksheet!M393,1,FIND(" ",Worksheet!M393,1)-1),"")*1</f>
        <v>14</v>
      </c>
      <c r="D397">
        <f t="shared" si="17"/>
        <v>140</v>
      </c>
      <c r="E397" t="str">
        <f>IF(Worksheet!L393&lt;&gt;"",IF(Worksheet!L393="Y","да","нет"),"")</f>
        <v>да</v>
      </c>
      <c r="F397" s="21">
        <f>IF(Worksheet!N393&lt;&gt;"",MID(Worksheet!N393,1,FIND(" ",Worksheet!N393,1)-1),"")*1</f>
        <v>15</v>
      </c>
      <c r="G397" s="21">
        <f>IF(Worksheet!O393&lt;&gt;"",MID(Worksheet!O393,1,FIND(" ",Worksheet!O393,1)-1),"")*1</f>
        <v>5</v>
      </c>
      <c r="H397" s="21">
        <f>IF(Worksheet!P393&lt;&gt;"",MID(Worksheet!P393,1,FIND(" ",Worksheet!P393,1)-1),"")*1</f>
        <v>4.4000000000000004</v>
      </c>
      <c r="I397" s="6"/>
      <c r="J397" s="6"/>
      <c r="K397" t="str">
        <f>IF(Worksheet!BI393&lt;&gt;"",Worksheet!BI393,"")</f>
        <v>3 / 380 / 50</v>
      </c>
      <c r="L397" t="str">
        <f>IF(Worksheet!AU393&lt;&gt;"",Worksheet!AU393,"")</f>
        <v>R410A</v>
      </c>
      <c r="M397" s="6"/>
      <c r="N397" s="6"/>
      <c r="O397" t="str">
        <f>IF(Worksheet!CR393&lt;&gt;"",CONCATENATE(Worksheet!CR393," х ",Worksheet!CP393," х ",Worksheet!CT393),"")</f>
        <v>1400 х 300 х 700</v>
      </c>
      <c r="P397" t="str">
        <f>IF(Worksheet!CS393&lt;&gt;"",CONCATENATE(Worksheet!CS393," х ",Worksheet!CU393," х ",Worksheet!CQ393),"")</f>
        <v>1601 х 813 х 365</v>
      </c>
      <c r="Q397" t="str">
        <f>IF(Worksheet!CV393&lt;&gt;"",CONCATENATE(Worksheet!CV393," / ",Worksheet!CW393),"")</f>
        <v>50 / 56</v>
      </c>
      <c r="R397" t="str">
        <f>IF(Worksheet!BS393&lt;&gt;"",Worksheet!BS393,"")</f>
        <v>37/39/40/42</v>
      </c>
      <c r="S397" t="str">
        <f>IF(Worksheet!AL393&lt;&gt;"",Worksheet!AL393,"")</f>
        <v>Gree</v>
      </c>
      <c r="T397" t="str">
        <f>IF(Worksheet!CJ393&lt;&gt;"",CONCATENATE(Worksheet!CJ393," х ",Worksheet!CL393," х ",Worksheet!CH393),"")</f>
        <v>940 х 460 х 820</v>
      </c>
      <c r="U397" t="str">
        <f>IF(Worksheet!CK393&lt;&gt;"",CONCATENATE(Worksheet!CK393," х ",Worksheet!CM393," х ",Worksheet!CI393),"")</f>
        <v>1083 х 573 х 973</v>
      </c>
      <c r="V397" t="str">
        <f>IF(Worksheet!CN393&lt;&gt;"",CONCATENATE(Worksheet!CN393,"/",Worksheet!CO393),"")</f>
        <v>96/108</v>
      </c>
      <c r="W397" s="6"/>
      <c r="X397" s="7">
        <f>IF(Worksheet!AN393&lt;&gt;"",Worksheet!AN393,"")</f>
        <v>9.52</v>
      </c>
      <c r="Y397" s="7">
        <f>IF(Worksheet!AO393&lt;&gt;"",Worksheet!AO393,"")</f>
        <v>15.87</v>
      </c>
      <c r="Z397" s="17">
        <f>IF(Worksheet!Q393&lt;&gt;"",Worksheet!Q393,"")</f>
        <v>75</v>
      </c>
      <c r="AA397" s="17">
        <f>IF(Worksheet!R393&lt;&gt;"",Worksheet!R393,"")</f>
        <v>30</v>
      </c>
      <c r="AB397" t="str">
        <f>IF(Worksheet!X393&lt;&gt;"",CONCATENATE("от ",Worksheet!X393," до +",Worksheet!Y393),"")</f>
        <v>от -15 до +48</v>
      </c>
      <c r="AC397" t="str">
        <f>IF(Worksheet!Z393&lt;&gt;"",CONCATENATE("от ",Worksheet!Z393," до +",Worksheet!AA393),"")</f>
        <v>от -15 до +24</v>
      </c>
      <c r="AD397" s="6" t="s">
        <v>5245</v>
      </c>
      <c r="AE397" s="17"/>
    </row>
    <row r="398" spans="1:31" x14ac:dyDescent="0.25">
      <c r="A398" s="17" t="str">
        <f>IF(Worksheet!B394&lt;&gt;"",Worksheet!B394,"")</f>
        <v>TOSOT</v>
      </c>
      <c r="B398" t="str">
        <f>Worksheet!E394</f>
        <v>Канальные</v>
      </c>
      <c r="C398" s="21">
        <f>IF(Worksheet!M394&lt;&gt;"",MID(Worksheet!M394,1,FIND(" ",Worksheet!M394,1)-1),"")*1</f>
        <v>15.6</v>
      </c>
      <c r="D398">
        <f t="shared" si="17"/>
        <v>150</v>
      </c>
      <c r="E398" t="str">
        <f>IF(Worksheet!L394&lt;&gt;"",IF(Worksheet!L394="Y","да","нет"),"")</f>
        <v>да</v>
      </c>
      <c r="F398" s="21">
        <f>IF(Worksheet!N394&lt;&gt;"",MID(Worksheet!N394,1,FIND(" ",Worksheet!N394,1)-1),"")*1</f>
        <v>17</v>
      </c>
      <c r="G398" s="21">
        <f>IF(Worksheet!O394&lt;&gt;"",MID(Worksheet!O394,1,FIND(" ",Worksheet!O394,1)-1),"")*1</f>
        <v>5.4</v>
      </c>
      <c r="H398" s="21">
        <f>IF(Worksheet!P394&lt;&gt;"",MID(Worksheet!P394,1,FIND(" ",Worksheet!P394,1)-1),"")*1</f>
        <v>4.8</v>
      </c>
      <c r="I398" s="6"/>
      <c r="J398" s="6"/>
      <c r="K398" t="str">
        <f>IF(Worksheet!BI394&lt;&gt;"",Worksheet!BI394,"")</f>
        <v>3 / 380 / 50</v>
      </c>
      <c r="L398" t="str">
        <f>IF(Worksheet!AU394&lt;&gt;"",Worksheet!AU394,"")</f>
        <v>R410A</v>
      </c>
      <c r="M398" s="6"/>
      <c r="N398" s="6"/>
      <c r="O398" t="str">
        <f>IF(Worksheet!CR394&lt;&gt;"",CONCATENATE(Worksheet!CR394," х ",Worksheet!CP394," х ",Worksheet!CT394),"")</f>
        <v>1400 х 300 х 700</v>
      </c>
      <c r="P398" t="str">
        <f>IF(Worksheet!CS394&lt;&gt;"",CONCATENATE(Worksheet!CS394," х ",Worksheet!CU394," х ",Worksheet!CQ394),"")</f>
        <v>1678 х 808 х 365</v>
      </c>
      <c r="Q398" t="str">
        <f>IF(Worksheet!CV394&lt;&gt;"",CONCATENATE(Worksheet!CV394," / ",Worksheet!CW394),"")</f>
        <v>57 / 64</v>
      </c>
      <c r="R398" t="str">
        <f>IF(Worksheet!BS394&lt;&gt;"",Worksheet!BS394,"")</f>
        <v>42/44/45/50</v>
      </c>
      <c r="S398" t="str">
        <f>IF(Worksheet!AL394&lt;&gt;"",Worksheet!AL394,"")</f>
        <v>Gree</v>
      </c>
      <c r="T398" t="str">
        <f>IF(Worksheet!CJ394&lt;&gt;"",CONCATENATE(Worksheet!CJ394," х ",Worksheet!CL394," х ",Worksheet!CH394),"")</f>
        <v>940 х 460 х 820</v>
      </c>
      <c r="U398" t="str">
        <f>IF(Worksheet!CK394&lt;&gt;"",CONCATENATE(Worksheet!CK394," х ",Worksheet!CM394," х ",Worksheet!CI394),"")</f>
        <v>1083 х 573 х 973</v>
      </c>
      <c r="V398" t="str">
        <f>IF(Worksheet!CN394&lt;&gt;"",CONCATENATE(Worksheet!CN394,"/",Worksheet!CO394),"")</f>
        <v>100/112</v>
      </c>
      <c r="W398" s="6"/>
      <c r="X398" s="7">
        <f>IF(Worksheet!AN394&lt;&gt;"",Worksheet!AN394,"")</f>
        <v>9.52</v>
      </c>
      <c r="Y398" s="7">
        <f>IF(Worksheet!AO394&lt;&gt;"",Worksheet!AO394,"")</f>
        <v>15.87</v>
      </c>
      <c r="Z398" s="17">
        <f>IF(Worksheet!Q394&lt;&gt;"",Worksheet!Q394,"")</f>
        <v>75</v>
      </c>
      <c r="AA398" s="17">
        <f>IF(Worksheet!R394&lt;&gt;"",Worksheet!R394,"")</f>
        <v>30</v>
      </c>
      <c r="AB398" t="str">
        <f>IF(Worksheet!X394&lt;&gt;"",CONCATENATE("от ",Worksheet!X394," до +",Worksheet!Y394),"")</f>
        <v>от -15 до +48</v>
      </c>
      <c r="AC398" t="str">
        <f>IF(Worksheet!Z394&lt;&gt;"",CONCATENATE("от ",Worksheet!Z394," до +",Worksheet!AA394),"")</f>
        <v>от -15 до +24</v>
      </c>
      <c r="AD398" s="6" t="s">
        <v>5245</v>
      </c>
      <c r="AE398" s="17"/>
    </row>
    <row r="399" spans="1:31" x14ac:dyDescent="0.25">
      <c r="A399" s="17" t="str">
        <f>IF(Worksheet!B395&lt;&gt;"",Worksheet!B395,"")</f>
        <v>TOSOT</v>
      </c>
      <c r="B399" t="str">
        <f>Worksheet!E395</f>
        <v>Канальные</v>
      </c>
      <c r="C399">
        <f>IF(Worksheet!M395&lt;&gt;"",Worksheet!M395,"")</f>
        <v>20</v>
      </c>
      <c r="D399">
        <f t="shared" ref="D399:D454" si="18">ROUND(C399*10,0)</f>
        <v>200</v>
      </c>
      <c r="E399" t="str">
        <f>IF(Worksheet!L395&lt;&gt;"",IF(Worksheet!L395="Y","да","нет"),"")</f>
        <v>да</v>
      </c>
      <c r="F399">
        <f>IF(Worksheet!N395&lt;&gt;"",Worksheet!N395,"")</f>
        <v>22</v>
      </c>
      <c r="G399">
        <f>IF(Worksheet!O395&lt;&gt;"",Worksheet!O395,"")</f>
        <v>7.8</v>
      </c>
      <c r="H399">
        <f>IF(Worksheet!P395&lt;&gt;"",Worksheet!P395,"")</f>
        <v>7</v>
      </c>
      <c r="I399" s="6"/>
      <c r="J399" s="6"/>
      <c r="K399" t="str">
        <f>IF(Worksheet!BI395&lt;&gt;"",Worksheet!BI395,"")</f>
        <v>3 / 380 / 50</v>
      </c>
      <c r="L399" t="str">
        <f>IF(Worksheet!AU395&lt;&gt;"",Worksheet!AU395,"")</f>
        <v>R410A</v>
      </c>
      <c r="M399" s="6"/>
      <c r="N399" s="6"/>
      <c r="O399" t="str">
        <f>IF(Worksheet!CR395&lt;&gt;"",CONCATENATE(Worksheet!CR395," х ",Worksheet!CP395," х ",Worksheet!CT395),"")</f>
        <v>1460 х 365 х 790</v>
      </c>
      <c r="P399" t="str">
        <f>IF(Worksheet!CS395&lt;&gt;"",CONCATENATE(Worksheet!CS395," х ",Worksheet!CU395," х ",Worksheet!CQ395),"")</f>
        <v>1578 х 883 х 400</v>
      </c>
      <c r="Q399" t="str">
        <f>IF(Worksheet!CV395&lt;&gt;"",CONCATENATE(Worksheet!CV395," / ",Worksheet!CW395),"")</f>
        <v>82 / 104</v>
      </c>
      <c r="R399" t="str">
        <f>IF(Worksheet!BS395&lt;&gt;"",Worksheet!BS395,"")</f>
        <v>50/51/52</v>
      </c>
      <c r="S399" t="str">
        <f>IF(Worksheet!AL395&lt;&gt;"",Worksheet!AL395,"")</f>
        <v>Mitsubishi</v>
      </c>
      <c r="T399" t="str">
        <f>IF(Worksheet!CJ395&lt;&gt;"",CONCATENATE(Worksheet!CJ395," х ",Worksheet!CL395," х ",Worksheet!CH395),"")</f>
        <v>940 х 320 х 1430</v>
      </c>
      <c r="U399" t="str">
        <f>IF(Worksheet!CK395&lt;&gt;"",CONCATENATE(Worksheet!CK395," х ",Worksheet!CM395," х ",Worksheet!CI395),"")</f>
        <v>1023 х 423 х 1475</v>
      </c>
      <c r="V399" t="str">
        <f>IF(Worksheet!CN395&lt;&gt;"",CONCATENATE(Worksheet!CN395,"/",Worksheet!CO395),"")</f>
        <v>120/130</v>
      </c>
      <c r="W399" s="6"/>
      <c r="X399" s="7">
        <f>IF(Worksheet!AN395&lt;&gt;"",Worksheet!AN395,"")</f>
        <v>9.52</v>
      </c>
      <c r="Y399" s="7">
        <f>IF(Worksheet!AO395&lt;&gt;"",Worksheet!AO395,"")</f>
        <v>19</v>
      </c>
      <c r="Z399" s="17">
        <f>IF(Worksheet!Q395&lt;&gt;"",Worksheet!Q395,"")</f>
        <v>50</v>
      </c>
      <c r="AA399" s="17">
        <f>IF(Worksheet!R395&lt;&gt;"",Worksheet!R395,"")</f>
        <v>30</v>
      </c>
      <c r="AB399" t="str">
        <f>IF(Worksheet!X395&lt;&gt;"",CONCATENATE("от ",Worksheet!X395," до +",Worksheet!Y395),"")</f>
        <v>от -7 до +48</v>
      </c>
      <c r="AC399" t="str">
        <f>IF(Worksheet!Z395&lt;&gt;"",CONCATENATE("от ",Worksheet!Z395," до +",Worksheet!AA395),"")</f>
        <v>от -15 до +24</v>
      </c>
      <c r="AD399" s="6" t="s">
        <v>5245</v>
      </c>
      <c r="AE399" s="17"/>
    </row>
    <row r="400" spans="1:31" x14ac:dyDescent="0.25">
      <c r="A400" s="17" t="str">
        <f>IF(Worksheet!B396&lt;&gt;"",Worksheet!B396,"")</f>
        <v>TOSOT</v>
      </c>
      <c r="B400" t="str">
        <f>Worksheet!E396</f>
        <v>Канальные</v>
      </c>
      <c r="C400">
        <f>IF(Worksheet!M396&lt;&gt;"",Worksheet!M396,"")</f>
        <v>25</v>
      </c>
      <c r="D400">
        <f t="shared" si="18"/>
        <v>250</v>
      </c>
      <c r="E400" t="str">
        <f>IF(Worksheet!L396&lt;&gt;"",IF(Worksheet!L396="Y","да","нет"),"")</f>
        <v>да</v>
      </c>
      <c r="F400">
        <f>IF(Worksheet!N396&lt;&gt;"",Worksheet!N396,"")</f>
        <v>27.5</v>
      </c>
      <c r="G400">
        <f>IF(Worksheet!O396&lt;&gt;"",Worksheet!O396,"")</f>
        <v>9.4</v>
      </c>
      <c r="H400">
        <f>IF(Worksheet!P396&lt;&gt;"",Worksheet!P396,"")</f>
        <v>8.9</v>
      </c>
      <c r="I400" s="6"/>
      <c r="J400" s="6"/>
      <c r="K400" t="str">
        <f>IF(Worksheet!BI396&lt;&gt;"",Worksheet!BI396,"")</f>
        <v>3 / 380 / 50</v>
      </c>
      <c r="L400" t="str">
        <f>IF(Worksheet!AU396&lt;&gt;"",Worksheet!AU396,"")</f>
        <v>R410A</v>
      </c>
      <c r="M400" s="6"/>
      <c r="N400" s="6"/>
      <c r="O400" t="str">
        <f>IF(Worksheet!CR396&lt;&gt;"",CONCATENATE(Worksheet!CR396," х ",Worksheet!CP396," х ",Worksheet!CT396),"")</f>
        <v>1690 х 440 х 870</v>
      </c>
      <c r="P400" t="str">
        <f>IF(Worksheet!CS396&lt;&gt;"",CONCATENATE(Worksheet!CS396," х ",Worksheet!CU396," х ",Worksheet!CQ396),"")</f>
        <v>1788 х 988 х 988</v>
      </c>
      <c r="Q400" t="str">
        <f>IF(Worksheet!CV396&lt;&gt;"",CONCATENATE(Worksheet!CV396," / ",Worksheet!CW396),"")</f>
        <v>99 / 134</v>
      </c>
      <c r="R400" t="str">
        <f>IF(Worksheet!BS396&lt;&gt;"",Worksheet!BS396,"")</f>
        <v>51/52/53</v>
      </c>
      <c r="S400" t="str">
        <f>IF(Worksheet!AL396&lt;&gt;"",Worksheet!AL396,"")</f>
        <v>Mitsubishi</v>
      </c>
      <c r="T400" t="str">
        <f>IF(Worksheet!CJ396&lt;&gt;"",CONCATENATE(Worksheet!CJ396," х ",Worksheet!CL396," х ",Worksheet!CH396),"")</f>
        <v>460 х 940 х 1615</v>
      </c>
      <c r="U400" t="str">
        <f>IF(Worksheet!CK396&lt;&gt;"",CONCATENATE(Worksheet!CK396," х ",Worksheet!CM396," х ",Worksheet!CI396),"")</f>
        <v>1660 х 1023 х 563</v>
      </c>
      <c r="V400" t="str">
        <f>IF(Worksheet!CN396&lt;&gt;"",CONCATENATE(Worksheet!CN396,"/",Worksheet!CO396),"")</f>
        <v>146/162</v>
      </c>
      <c r="W400" s="6"/>
      <c r="X400" s="7">
        <f>IF(Worksheet!AN396&lt;&gt;"",Worksheet!AN396,"")</f>
        <v>9.52</v>
      </c>
      <c r="Y400" s="7">
        <f>IF(Worksheet!AO396&lt;&gt;"",Worksheet!AO396,"")</f>
        <v>22</v>
      </c>
      <c r="Z400" s="17">
        <f>IF(Worksheet!Q396&lt;&gt;"",Worksheet!Q396,"")</f>
        <v>50</v>
      </c>
      <c r="AA400" s="17">
        <f>IF(Worksheet!R396&lt;&gt;"",Worksheet!R396,"")</f>
        <v>30</v>
      </c>
      <c r="AB400" t="str">
        <f>IF(Worksheet!X396&lt;&gt;"",CONCATENATE("от ",Worksheet!X396," до +",Worksheet!Y396),"")</f>
        <v>от -7 до +48</v>
      </c>
      <c r="AC400" t="str">
        <f>IF(Worksheet!Z396&lt;&gt;"",CONCATENATE("от ",Worksheet!Z396," до +",Worksheet!AA396),"")</f>
        <v>от -15 до +24</v>
      </c>
      <c r="AD400" s="6" t="s">
        <v>5245</v>
      </c>
      <c r="AE400" s="17"/>
    </row>
    <row r="401" spans="1:31" x14ac:dyDescent="0.25">
      <c r="A401" s="17" t="str">
        <f>IF(Worksheet!B397&lt;&gt;"",Worksheet!B397,"")</f>
        <v>TOSOT</v>
      </c>
      <c r="B401" t="str">
        <f>Worksheet!E397</f>
        <v>Канальные</v>
      </c>
      <c r="C401">
        <f>IF(Worksheet!M397&lt;&gt;"",Worksheet!M397,"")</f>
        <v>30</v>
      </c>
      <c r="D401">
        <f t="shared" si="18"/>
        <v>300</v>
      </c>
      <c r="E401" t="str">
        <f>IF(Worksheet!L397&lt;&gt;"",IF(Worksheet!L397="Y","да","нет"),"")</f>
        <v>да</v>
      </c>
      <c r="F401">
        <f>IF(Worksheet!N397&lt;&gt;"",Worksheet!N397,"")</f>
        <v>33</v>
      </c>
      <c r="G401">
        <f>IF(Worksheet!O397&lt;&gt;"",Worksheet!O397,"")</f>
        <v>11.3</v>
      </c>
      <c r="H401">
        <f>IF(Worksheet!P397&lt;&gt;"",Worksheet!P397,"")</f>
        <v>10.3</v>
      </c>
      <c r="I401" s="6"/>
      <c r="J401" s="6"/>
      <c r="K401" t="str">
        <f>IF(Worksheet!BI397&lt;&gt;"",Worksheet!BI397,"")</f>
        <v>3 / 380 / 50</v>
      </c>
      <c r="L401" t="str">
        <f>IF(Worksheet!AU397&lt;&gt;"",Worksheet!AU397,"")</f>
        <v>R410A</v>
      </c>
      <c r="M401" s="6"/>
      <c r="N401" s="6"/>
      <c r="O401" t="str">
        <f>IF(Worksheet!CR397&lt;&gt;"",CONCATENATE(Worksheet!CR397," х ",Worksheet!CP397," х ",Worksheet!CT397),"")</f>
        <v>1690 х 440 х 870</v>
      </c>
      <c r="P401" t="str">
        <f>IF(Worksheet!CS397&lt;&gt;"",CONCATENATE(Worksheet!CS397," х ",Worksheet!CU397," х ",Worksheet!CQ397),"")</f>
        <v>1788 х 988 х 465</v>
      </c>
      <c r="Q401" t="str">
        <f>IF(Worksheet!CV397&lt;&gt;"",CONCATENATE(Worksheet!CV397," / ",Worksheet!CW397),"")</f>
        <v>105 / 145</v>
      </c>
      <c r="R401" t="str">
        <f>IF(Worksheet!BS397&lt;&gt;"",Worksheet!BS397,"")</f>
        <v>53/54/55</v>
      </c>
      <c r="S401" t="str">
        <f>IF(Worksheet!AL397&lt;&gt;"",Worksheet!AL397,"")</f>
        <v>HITACHI</v>
      </c>
      <c r="T401" t="str">
        <f>IF(Worksheet!CJ397&lt;&gt;"",CONCATENATE(Worksheet!CJ397," х ",Worksheet!CL397," х ",Worksheet!CH397),"")</f>
        <v>940 х 460 х 1615</v>
      </c>
      <c r="U401" t="str">
        <f>IF(Worksheet!CK397&lt;&gt;"",CONCATENATE(Worksheet!CK397," х ",Worksheet!CM397," х ",Worksheet!CI397),"")</f>
        <v>1023 х 563 х 1660</v>
      </c>
      <c r="V401" t="str">
        <f>IF(Worksheet!CN397&lt;&gt;"",CONCATENATE(Worksheet!CN397,"/",Worksheet!CO397),"")</f>
        <v>175/190</v>
      </c>
      <c r="W401" s="6"/>
      <c r="X401" s="7">
        <f>IF(Worksheet!AN397&lt;&gt;"",Worksheet!AN397,"")</f>
        <v>12.7</v>
      </c>
      <c r="Y401" s="7">
        <f>IF(Worksheet!AO397&lt;&gt;"",Worksheet!AO397,"")</f>
        <v>25.4</v>
      </c>
      <c r="Z401" s="17">
        <f>IF(Worksheet!Q397&lt;&gt;"",Worksheet!Q397,"")</f>
        <v>50</v>
      </c>
      <c r="AA401" s="17">
        <f>IF(Worksheet!R397&lt;&gt;"",Worksheet!R397,"")</f>
        <v>30</v>
      </c>
      <c r="AB401" t="str">
        <f>IF(Worksheet!X397&lt;&gt;"",CONCATENATE("от ",Worksheet!X397," до +",Worksheet!Y397),"")</f>
        <v>от -7 до +48</v>
      </c>
      <c r="AC401" t="str">
        <f>IF(Worksheet!Z397&lt;&gt;"",CONCATENATE("от ",Worksheet!Z397," до +",Worksheet!AA397),"")</f>
        <v>от -15 до +24</v>
      </c>
      <c r="AD401" s="6" t="s">
        <v>5245</v>
      </c>
      <c r="AE401" s="17"/>
    </row>
    <row r="402" spans="1:31" x14ac:dyDescent="0.25">
      <c r="A402" s="17" t="str">
        <f>IF(Worksheet!B398&lt;&gt;"",Worksheet!B398,"")</f>
        <v>TOSOT</v>
      </c>
      <c r="B402" t="str">
        <f>Worksheet!E398</f>
        <v>Канальные</v>
      </c>
      <c r="C402">
        <f>IF(Worksheet!M398&lt;&gt;"",Worksheet!M398,"")</f>
        <v>40</v>
      </c>
      <c r="D402">
        <f t="shared" si="18"/>
        <v>400</v>
      </c>
      <c r="E402" t="str">
        <f>IF(Worksheet!L398&lt;&gt;"",IF(Worksheet!L398="Y","да","нет"),"")</f>
        <v>да</v>
      </c>
      <c r="F402">
        <f>IF(Worksheet!N398&lt;&gt;"",Worksheet!N398,"")</f>
        <v>43</v>
      </c>
      <c r="G402">
        <f>IF(Worksheet!O398&lt;&gt;"",Worksheet!O398,"")</f>
        <v>15.4</v>
      </c>
      <c r="H402">
        <f>IF(Worksheet!P398&lt;&gt;"",Worksheet!P398,"")</f>
        <v>13.9</v>
      </c>
      <c r="I402" s="6"/>
      <c r="J402" s="6"/>
      <c r="K402" t="str">
        <f>IF(Worksheet!BI398&lt;&gt;"",Worksheet!BI398,"")</f>
        <v>3 / 380 / 50</v>
      </c>
      <c r="L402" t="str">
        <f>IF(Worksheet!AU398&lt;&gt;"",Worksheet!AU398,"")</f>
        <v>R410A</v>
      </c>
      <c r="M402" s="6"/>
      <c r="N402" s="6"/>
      <c r="O402" t="str">
        <f>IF(Worksheet!CR398&lt;&gt;"",CONCATENATE(Worksheet!CR398," х ",Worksheet!CP398," х ",Worksheet!CT398),"")</f>
        <v>1680 х 650 х 900</v>
      </c>
      <c r="P402" t="str">
        <f>IF(Worksheet!CS398&lt;&gt;"",CONCATENATE(Worksheet!CS398," х ",Worksheet!CU398," х ",Worksheet!CQ398),"")</f>
        <v>1803 х 1023 х 685</v>
      </c>
      <c r="Q402" t="str">
        <f>IF(Worksheet!CV398&lt;&gt;"",CONCATENATE(Worksheet!CV398," / ",Worksheet!CW398),"")</f>
        <v>165 / 210</v>
      </c>
      <c r="R402" t="str">
        <f>IF(Worksheet!BS398&lt;&gt;"",Worksheet!BS398,"")</f>
        <v>54/55/56</v>
      </c>
      <c r="S402" t="str">
        <f>IF(Worksheet!AL398&lt;&gt;"",Worksheet!AL398,"")</f>
        <v>Mitsubishi</v>
      </c>
      <c r="T402" t="str">
        <f>IF(Worksheet!CJ398&lt;&gt;"",CONCATENATE(Worksheet!CJ398," х ",Worksheet!CL398," х ",Worksheet!CH398),"")</f>
        <v>940 х 320 х 1430</v>
      </c>
      <c r="U402" t="str">
        <f>IF(Worksheet!CK398&lt;&gt;"",CONCATENATE(Worksheet!CK398," х ",Worksheet!CM398," х ",Worksheet!CI398),"")</f>
        <v>1023 х 423 х 1475</v>
      </c>
      <c r="V402" t="str">
        <f>IF(Worksheet!CN398&lt;&gt;"",CONCATENATE(Worksheet!CN398,"/",Worksheet!CO398),"")</f>
        <v>120/130</v>
      </c>
      <c r="W402" s="6"/>
      <c r="X402" s="7">
        <f>IF(Worksheet!AN398&lt;&gt;"",Worksheet!AN398,"")</f>
        <v>9.52</v>
      </c>
      <c r="Y402" s="7">
        <f>IF(Worksheet!AO398&lt;&gt;"",Worksheet!AO398,"")</f>
        <v>19</v>
      </c>
      <c r="Z402" s="17">
        <f>IF(Worksheet!Q398&lt;&gt;"",Worksheet!Q398,"")</f>
        <v>50</v>
      </c>
      <c r="AA402" s="17">
        <f>IF(Worksheet!R398&lt;&gt;"",Worksheet!R398,"")</f>
        <v>30</v>
      </c>
      <c r="AB402" t="str">
        <f>IF(Worksheet!X398&lt;&gt;"",CONCATENATE("от ",Worksheet!X398," до +",Worksheet!Y398),"")</f>
        <v>от -7 до +48</v>
      </c>
      <c r="AC402" t="str">
        <f>IF(Worksheet!Z398&lt;&gt;"",CONCATENATE("от ",Worksheet!Z398," до +",Worksheet!AA398),"")</f>
        <v>от -15 до +24</v>
      </c>
      <c r="AD402" s="6" t="s">
        <v>5245</v>
      </c>
      <c r="AE402" s="17"/>
    </row>
    <row r="403" spans="1:31" x14ac:dyDescent="0.25">
      <c r="A403" s="17" t="str">
        <f>IF(Worksheet!B399&lt;&gt;"",Worksheet!B399,"")</f>
        <v>TOSOT</v>
      </c>
      <c r="B403" t="str">
        <f>Worksheet!E399</f>
        <v>Кассетные</v>
      </c>
      <c r="C403" s="21">
        <f>IF(Worksheet!M399&lt;&gt;"",MID(Worksheet!M399,1,FIND(" ",Worksheet!M399,1)-1),"")*1</f>
        <v>3.5</v>
      </c>
      <c r="D403">
        <f t="shared" ref="D403:D413" si="19">ROUND(LEFT(C403,3)*10,0)</f>
        <v>35</v>
      </c>
      <c r="E403" t="str">
        <f>IF(Worksheet!L399&lt;&gt;"",IF(Worksheet!L399="Y","да","нет"),"")</f>
        <v>да</v>
      </c>
      <c r="F403" s="21">
        <f>IF(Worksheet!N399&lt;&gt;"",MID(Worksheet!N399,1,FIND(" ",Worksheet!N399,1)-1),"")*1</f>
        <v>4</v>
      </c>
      <c r="G403" s="21">
        <f>IF(Worksheet!O399&lt;&gt;"",MID(Worksheet!O399,1,FIND(" ",Worksheet!O399,1)-1),"")*1</f>
        <v>1.03</v>
      </c>
      <c r="H403" s="21">
        <f>IF(Worksheet!P399&lt;&gt;"",MID(Worksheet!P399,1,FIND(" ",Worksheet!P399,1)-1),"")*1</f>
        <v>1.1000000000000001</v>
      </c>
      <c r="I403" s="6"/>
      <c r="J403" s="6"/>
      <c r="K403" t="str">
        <f>IF(Worksheet!BI399&lt;&gt;"",Worksheet!BI399,"")</f>
        <v>1 / 220 / 50</v>
      </c>
      <c r="L403" t="str">
        <f>IF(Worksheet!AU399&lt;&gt;"",Worksheet!AU399,"")</f>
        <v>R410A</v>
      </c>
      <c r="M403" s="6"/>
      <c r="N403" s="6"/>
      <c r="O403" t="str">
        <f>IF(Worksheet!CR399&lt;&gt;"",CONCATENATE(Worksheet!CR399," х ",Worksheet!CP399," х ",Worksheet!CT399),"")</f>
        <v>570 х 265 х 570</v>
      </c>
      <c r="P403" t="str">
        <f>IF(Worksheet!CS399&lt;&gt;"",CONCATENATE(Worksheet!CS399," х ",Worksheet!CU399," х ",Worksheet!CQ399),"")</f>
        <v>653 х 698 х 295</v>
      </c>
      <c r="Q403" t="str">
        <f>IF(Worksheet!CV399&lt;&gt;"",CONCATENATE(Worksheet!CV399," / ",Worksheet!CW399),"")</f>
        <v>17 / 22</v>
      </c>
      <c r="R403" t="str">
        <f>IF(Worksheet!BS399&lt;&gt;"",Worksheet!BS399,"")</f>
        <v>31/35/37/41</v>
      </c>
      <c r="S403" t="str">
        <f>IF(Worksheet!AL399&lt;&gt;"",Worksheet!AL399,"")</f>
        <v>Gree</v>
      </c>
      <c r="T403" t="str">
        <f>IF(Worksheet!CJ399&lt;&gt;"",CONCATENATE(Worksheet!CJ399," х ",Worksheet!CL399," х ",Worksheet!CH399),"")</f>
        <v>818 х 302 х 596</v>
      </c>
      <c r="U403" t="str">
        <f>IF(Worksheet!CK399&lt;&gt;"",CONCATENATE(Worksheet!CK399," х ",Worksheet!CM399," х ",Worksheet!CI399),"")</f>
        <v>948 х 420 х 645</v>
      </c>
      <c r="V403" t="str">
        <f>IF(Worksheet!CN399&lt;&gt;"",CONCATENATE(Worksheet!CN399,"/",Worksheet!CO399),"")</f>
        <v>38/41</v>
      </c>
      <c r="W403" s="6"/>
      <c r="X403" s="7">
        <f>IF(Worksheet!AN399&lt;&gt;"",Worksheet!AN399,"")</f>
        <v>6.35</v>
      </c>
      <c r="Y403" s="7">
        <f>IF(Worksheet!AO399&lt;&gt;"",Worksheet!AO399,"")</f>
        <v>9.52</v>
      </c>
      <c r="Z403" s="17">
        <f>IF(Worksheet!Q399&lt;&gt;"",Worksheet!Q399,"")</f>
        <v>30</v>
      </c>
      <c r="AA403" s="17">
        <f>IF(Worksheet!R399&lt;&gt;"",Worksheet!R399,"")</f>
        <v>15</v>
      </c>
      <c r="AB403" t="str">
        <f>IF(Worksheet!X399&lt;&gt;"",CONCATENATE("от ",Worksheet!X399," до +",Worksheet!Y399),"")</f>
        <v>от -15 до +48</v>
      </c>
      <c r="AC403" t="str">
        <f>IF(Worksheet!Z399&lt;&gt;"",CONCATENATE("от ",Worksheet!Z399," до +",Worksheet!AA399),"")</f>
        <v>от -15 до +24</v>
      </c>
      <c r="AD403" s="6" t="s">
        <v>5245</v>
      </c>
      <c r="AE403" s="17"/>
    </row>
    <row r="404" spans="1:31" x14ac:dyDescent="0.25">
      <c r="A404" s="17" t="str">
        <f>IF(Worksheet!B400&lt;&gt;"",Worksheet!B400,"")</f>
        <v>TOSOT</v>
      </c>
      <c r="B404" t="str">
        <f>Worksheet!E400</f>
        <v>Кассетные</v>
      </c>
      <c r="C404" s="21">
        <f>IF(Worksheet!M400&lt;&gt;"",MID(Worksheet!M400,1,FIND(" ",Worksheet!M400,1)-1),"")*1</f>
        <v>5</v>
      </c>
      <c r="D404">
        <f t="shared" si="19"/>
        <v>50</v>
      </c>
      <c r="E404" t="str">
        <f>IF(Worksheet!L400&lt;&gt;"",IF(Worksheet!L400="Y","да","нет"),"")</f>
        <v>да</v>
      </c>
      <c r="F404" s="21">
        <f>IF(Worksheet!N400&lt;&gt;"",MID(Worksheet!N400,1,FIND(" ",Worksheet!N400,1)-1),"")*1</f>
        <v>5.6</v>
      </c>
      <c r="G404" s="21">
        <f>IF(Worksheet!O400&lt;&gt;"",MID(Worksheet!O400,1,FIND(" ",Worksheet!O400,1)-1),"")*1</f>
        <v>1.56</v>
      </c>
      <c r="H404" s="21">
        <f>IF(Worksheet!P400&lt;&gt;"",MID(Worksheet!P400,1,FIND(" ",Worksheet!P400,1)-1),"")*1</f>
        <v>1.6</v>
      </c>
      <c r="I404" s="6"/>
      <c r="J404" s="6"/>
      <c r="K404" t="str">
        <f>IF(Worksheet!BI400&lt;&gt;"",Worksheet!BI400,"")</f>
        <v>1 / 220 / 50</v>
      </c>
      <c r="L404" t="str">
        <f>IF(Worksheet!AU400&lt;&gt;"",Worksheet!AU400,"")</f>
        <v>R410A</v>
      </c>
      <c r="M404" s="6"/>
      <c r="N404" s="6"/>
      <c r="O404" t="str">
        <f>IF(Worksheet!CR400&lt;&gt;"",CONCATENATE(Worksheet!CR400," х ",Worksheet!CP400," х ",Worksheet!CT400),"")</f>
        <v>570 х 265 х 570</v>
      </c>
      <c r="P404" t="str">
        <f>IF(Worksheet!CS400&lt;&gt;"",CONCATENATE(Worksheet!CS400," х ",Worksheet!CU400," х ",Worksheet!CQ400),"")</f>
        <v>653 х 698 х 295</v>
      </c>
      <c r="Q404" t="str">
        <f>IF(Worksheet!CV400&lt;&gt;"",CONCATENATE(Worksheet!CV400," / ",Worksheet!CW400),"")</f>
        <v>17 / 22</v>
      </c>
      <c r="R404" t="str">
        <f>IF(Worksheet!BS400&lt;&gt;"",Worksheet!BS400,"")</f>
        <v>31/35/39/44</v>
      </c>
      <c r="S404" t="str">
        <f>IF(Worksheet!AL400&lt;&gt;"",Worksheet!AL400,"")</f>
        <v>Gree</v>
      </c>
      <c r="T404" t="str">
        <f>IF(Worksheet!CJ400&lt;&gt;"",CONCATENATE(Worksheet!CJ400," х ",Worksheet!CL400," х ",Worksheet!CH400),"")</f>
        <v>818 х 302 х 596</v>
      </c>
      <c r="U404" t="str">
        <f>IF(Worksheet!CK400&lt;&gt;"",CONCATENATE(Worksheet!CK400," х ",Worksheet!CM400," х ",Worksheet!CI400),"")</f>
        <v>948 х 420 х 645</v>
      </c>
      <c r="V404" t="str">
        <f>IF(Worksheet!CN400&lt;&gt;"",CONCATENATE(Worksheet!CN400,"/",Worksheet!CO400),"")</f>
        <v>41/44</v>
      </c>
      <c r="W404" s="6"/>
      <c r="X404" s="7">
        <f>IF(Worksheet!AN400&lt;&gt;"",Worksheet!AN400,"")</f>
        <v>6.35</v>
      </c>
      <c r="Y404" s="7">
        <f>IF(Worksheet!AO400&lt;&gt;"",Worksheet!AO400,"")</f>
        <v>12.7</v>
      </c>
      <c r="Z404" s="17">
        <f>IF(Worksheet!Q400&lt;&gt;"",Worksheet!Q400,"")</f>
        <v>35</v>
      </c>
      <c r="AA404" s="17">
        <f>IF(Worksheet!R400&lt;&gt;"",Worksheet!R400,"")</f>
        <v>20</v>
      </c>
      <c r="AB404" t="str">
        <f>IF(Worksheet!X400&lt;&gt;"",CONCATENATE("от ",Worksheet!X400," до +",Worksheet!Y400),"")</f>
        <v>от -15 до +48</v>
      </c>
      <c r="AC404" t="str">
        <f>IF(Worksheet!Z400&lt;&gt;"",CONCATENATE("от ",Worksheet!Z400," до +",Worksheet!AA400),"")</f>
        <v>от -15 до +24</v>
      </c>
      <c r="AD404" s="6" t="s">
        <v>5245</v>
      </c>
      <c r="AE404" s="17"/>
    </row>
    <row r="405" spans="1:31" x14ac:dyDescent="0.25">
      <c r="A405" s="17" t="str">
        <f>IF(Worksheet!B401&lt;&gt;"",Worksheet!B401,"")</f>
        <v>TOSOT</v>
      </c>
      <c r="B405" t="str">
        <f>Worksheet!E401</f>
        <v>Кассетные</v>
      </c>
      <c r="C405" s="21">
        <f>IF(Worksheet!M401&lt;&gt;"",MID(Worksheet!M401,1,FIND(" ",Worksheet!M401,1)-1),"")*1</f>
        <v>7</v>
      </c>
      <c r="D405">
        <f t="shared" si="19"/>
        <v>70</v>
      </c>
      <c r="E405" t="str">
        <f>IF(Worksheet!L401&lt;&gt;"",IF(Worksheet!L401="Y","да","нет"),"")</f>
        <v>да</v>
      </c>
      <c r="F405" s="21">
        <f>IF(Worksheet!N401&lt;&gt;"",MID(Worksheet!N401,1,FIND(" ",Worksheet!N401,1)-1),"")*1</f>
        <v>8</v>
      </c>
      <c r="G405" s="21">
        <f>IF(Worksheet!O401&lt;&gt;"",MID(Worksheet!O401,1,FIND(" ",Worksheet!O401,1)-1),"")*1</f>
        <v>2.1800000000000002</v>
      </c>
      <c r="H405" s="21">
        <f>IF(Worksheet!P401&lt;&gt;"",MID(Worksheet!P401,1,FIND(" ",Worksheet!P401,1)-1),"")*1</f>
        <v>2.2000000000000002</v>
      </c>
      <c r="I405" s="6"/>
      <c r="J405" s="6"/>
      <c r="K405" t="str">
        <f>IF(Worksheet!BI401&lt;&gt;"",Worksheet!BI401,"")</f>
        <v>1 / 220 / 50</v>
      </c>
      <c r="L405" t="str">
        <f>IF(Worksheet!AU401&lt;&gt;"",Worksheet!AU401,"")</f>
        <v>R410A</v>
      </c>
      <c r="M405" s="6"/>
      <c r="N405" s="6"/>
      <c r="O405" t="str">
        <f>IF(Worksheet!CR401&lt;&gt;"",CONCATENATE(Worksheet!CR401," х ",Worksheet!CP401," х ",Worksheet!CT401),"")</f>
        <v>840 х 200 х 840</v>
      </c>
      <c r="P405" t="str">
        <f>IF(Worksheet!CS401&lt;&gt;"",CONCATENATE(Worksheet!CS401," х ",Worksheet!CU401," х ",Worksheet!CQ401),"")</f>
        <v>923 х 943 х 245</v>
      </c>
      <c r="Q405" t="str">
        <f>IF(Worksheet!CV401&lt;&gt;"",CONCATENATE(Worksheet!CV401," / ",Worksheet!CW401),"")</f>
        <v>23 / 30</v>
      </c>
      <c r="R405" t="str">
        <f>IF(Worksheet!BS401&lt;&gt;"",Worksheet!BS401,"")</f>
        <v>39/41/45/47</v>
      </c>
      <c r="S405" t="str">
        <f>IF(Worksheet!AL401&lt;&gt;"",Worksheet!AL401,"")</f>
        <v>Gree</v>
      </c>
      <c r="T405" t="str">
        <f>IF(Worksheet!CJ401&lt;&gt;"",CONCATENATE(Worksheet!CJ401," х ",Worksheet!CL401," х ",Worksheet!CH401),"")</f>
        <v>892 х 340 х 698</v>
      </c>
      <c r="U405" t="str">
        <f>IF(Worksheet!CK401&lt;&gt;"",CONCATENATE(Worksheet!CK401," х ",Worksheet!CM401," х ",Worksheet!CI401),"")</f>
        <v>1029 х 458 х 750</v>
      </c>
      <c r="V405" t="str">
        <f>IF(Worksheet!CN401&lt;&gt;"",CONCATENATE(Worksheet!CN401,"/",Worksheet!CO401),"")</f>
        <v>53/57</v>
      </c>
      <c r="W405" s="6"/>
      <c r="X405" s="7">
        <f>IF(Worksheet!AN401&lt;&gt;"",Worksheet!AN401,"")</f>
        <v>9.52</v>
      </c>
      <c r="Y405" s="7">
        <f>IF(Worksheet!AO401&lt;&gt;"",Worksheet!AO401,"")</f>
        <v>15.87</v>
      </c>
      <c r="Z405" s="17">
        <f>IF(Worksheet!Q401&lt;&gt;"",Worksheet!Q401,"")</f>
        <v>50</v>
      </c>
      <c r="AA405" s="17">
        <f>IF(Worksheet!R401&lt;&gt;"",Worksheet!R401,"")</f>
        <v>25</v>
      </c>
      <c r="AB405" t="str">
        <f>IF(Worksheet!X401&lt;&gt;"",CONCATENATE("от ",Worksheet!X401," до +",Worksheet!Y401),"")</f>
        <v>от -15 до +48</v>
      </c>
      <c r="AC405" t="str">
        <f>IF(Worksheet!Z401&lt;&gt;"",CONCATENATE("от ",Worksheet!Z401," до +",Worksheet!AA401),"")</f>
        <v>от -15 до +24</v>
      </c>
      <c r="AD405" s="6" t="s">
        <v>5245</v>
      </c>
      <c r="AE405" s="17"/>
    </row>
    <row r="406" spans="1:31" x14ac:dyDescent="0.25">
      <c r="A406" s="17" t="str">
        <f>IF(Worksheet!B402&lt;&gt;"",Worksheet!B402,"")</f>
        <v>TOSOT</v>
      </c>
      <c r="B406" t="str">
        <f>Worksheet!E402</f>
        <v>Кассетные</v>
      </c>
      <c r="C406" s="21">
        <f>IF(Worksheet!M402&lt;&gt;"",MID(Worksheet!M402,1,FIND(" ",Worksheet!M402,1)-1),"")*1</f>
        <v>10.1</v>
      </c>
      <c r="D406">
        <f t="shared" si="19"/>
        <v>100</v>
      </c>
      <c r="E406" t="str">
        <f>IF(Worksheet!L402&lt;&gt;"",IF(Worksheet!L402="Y","да","нет"),"")</f>
        <v>да</v>
      </c>
      <c r="F406" s="21">
        <f>IF(Worksheet!N402&lt;&gt;"",MID(Worksheet!N402,1,FIND(" ",Worksheet!N402,1)-1),"")*1</f>
        <v>11</v>
      </c>
      <c r="G406" s="21">
        <f>IF(Worksheet!O402&lt;&gt;"",MID(Worksheet!O402,1,FIND(" ",Worksheet!O402,1)-1),"")*1</f>
        <v>3.4</v>
      </c>
      <c r="H406" s="21">
        <f>IF(Worksheet!P402&lt;&gt;"",MID(Worksheet!P402,1,FIND(" ",Worksheet!P402,1)-1),"")*1</f>
        <v>3</v>
      </c>
      <c r="I406" s="6"/>
      <c r="J406" s="6"/>
      <c r="K406" t="str">
        <f>IF(Worksheet!BI402&lt;&gt;"",Worksheet!BI402,"")</f>
        <v>1 / 220 / 50</v>
      </c>
      <c r="L406" t="str">
        <f>IF(Worksheet!AU402&lt;&gt;"",Worksheet!AU402,"")</f>
        <v>R410A</v>
      </c>
      <c r="M406" s="6"/>
      <c r="N406" s="6"/>
      <c r="O406" t="str">
        <f>IF(Worksheet!CR402&lt;&gt;"",CONCATENATE(Worksheet!CR402," х ",Worksheet!CP402," х ",Worksheet!CT402),"")</f>
        <v>840 х 240 х 840</v>
      </c>
      <c r="P406" t="str">
        <f>IF(Worksheet!CS402&lt;&gt;"",CONCATENATE(Worksheet!CS402," х ",Worksheet!CU402," х ",Worksheet!CQ402),"")</f>
        <v>963 х 963 х 325</v>
      </c>
      <c r="Q406" t="str">
        <f>IF(Worksheet!CV402&lt;&gt;"",CONCATENATE(Worksheet!CV402," / ",Worksheet!CW402),"")</f>
        <v>31 / 38</v>
      </c>
      <c r="R406" t="str">
        <f>IF(Worksheet!BS402&lt;&gt;"",Worksheet!BS402,"")</f>
        <v>42/46/48/50</v>
      </c>
      <c r="S406" t="str">
        <f>IF(Worksheet!AL402&lt;&gt;"",Worksheet!AL402,"")</f>
        <v>Gree</v>
      </c>
      <c r="T406" t="str">
        <f>IF(Worksheet!CJ402&lt;&gt;"",CONCATENATE(Worksheet!CJ402," х ",Worksheet!CL402," х ",Worksheet!CH402),"")</f>
        <v>920 х 370 х 790</v>
      </c>
      <c r="U406" t="str">
        <f>IF(Worksheet!CK402&lt;&gt;"",CONCATENATE(Worksheet!CK402," х ",Worksheet!CM402," х ",Worksheet!CI402),"")</f>
        <v>1083 х 488 х 855</v>
      </c>
      <c r="V406" t="str">
        <f>IF(Worksheet!CN402&lt;&gt;"",CONCATENATE(Worksheet!CN402,"/",Worksheet!CO402),"")</f>
        <v>61/66</v>
      </c>
      <c r="W406" s="6"/>
      <c r="X406" s="7">
        <f>IF(Worksheet!AN402&lt;&gt;"",Worksheet!AN402,"")</f>
        <v>9.52</v>
      </c>
      <c r="Y406" s="7">
        <f>IF(Worksheet!AO402&lt;&gt;"",Worksheet!AO402,"")</f>
        <v>15.87</v>
      </c>
      <c r="Z406" s="17">
        <f>IF(Worksheet!Q402&lt;&gt;"",Worksheet!Q402,"")</f>
        <v>50</v>
      </c>
      <c r="AA406" s="17">
        <f>IF(Worksheet!R402&lt;&gt;"",Worksheet!R402,"")</f>
        <v>25</v>
      </c>
      <c r="AB406" t="str">
        <f>IF(Worksheet!X402&lt;&gt;"",CONCATENATE("от ",Worksheet!X402," до +",Worksheet!Y402),"")</f>
        <v>от -15 до +48</v>
      </c>
      <c r="AC406" t="str">
        <f>IF(Worksheet!Z402&lt;&gt;"",CONCATENATE("от ",Worksheet!Z402," до +",Worksheet!AA402),"")</f>
        <v>от -15 до +24</v>
      </c>
      <c r="AD406" s="6" t="s">
        <v>5245</v>
      </c>
      <c r="AE406" s="17"/>
    </row>
    <row r="407" spans="1:31" x14ac:dyDescent="0.25">
      <c r="A407" s="17" t="str">
        <f>IF(Worksheet!B403&lt;&gt;"",Worksheet!B403,"")</f>
        <v>TOSOT</v>
      </c>
      <c r="B407" t="str">
        <f>Worksheet!E403</f>
        <v>Кассетные</v>
      </c>
      <c r="C407" s="21">
        <f>IF(Worksheet!M403&lt;&gt;"",MID(Worksheet!M403,1,FIND(" ",Worksheet!M403,1)-1),"")*1</f>
        <v>14</v>
      </c>
      <c r="D407">
        <f t="shared" si="19"/>
        <v>140</v>
      </c>
      <c r="E407" t="str">
        <f>IF(Worksheet!L403&lt;&gt;"",IF(Worksheet!L403="Y","да","нет"),"")</f>
        <v>да</v>
      </c>
      <c r="F407" s="21">
        <f>IF(Worksheet!N403&lt;&gt;"",MID(Worksheet!N403,1,FIND(" ",Worksheet!N403,1)-1),"")*1</f>
        <v>15</v>
      </c>
      <c r="G407" s="21">
        <f>IF(Worksheet!O403&lt;&gt;"",MID(Worksheet!O403,1,FIND(" ",Worksheet!O403,1)-1),"")*1</f>
        <v>5</v>
      </c>
      <c r="H407" s="21">
        <f>IF(Worksheet!P403&lt;&gt;"",MID(Worksheet!P403,1,FIND(" ",Worksheet!P403,1)-1),"")*1</f>
        <v>4.4000000000000004</v>
      </c>
      <c r="I407" s="6"/>
      <c r="J407" s="6"/>
      <c r="K407" t="str">
        <f>IF(Worksheet!BI403&lt;&gt;"",Worksheet!BI403,"")</f>
        <v>1 / 380 / 50</v>
      </c>
      <c r="L407" t="str">
        <f>IF(Worksheet!AU403&lt;&gt;"",Worksheet!AU403,"")</f>
        <v>R410A</v>
      </c>
      <c r="M407" s="6"/>
      <c r="N407" s="6"/>
      <c r="O407" t="str">
        <f>IF(Worksheet!CR403&lt;&gt;"",CONCATENATE(Worksheet!CR403," х ",Worksheet!CP403," х ",Worksheet!CT403),"")</f>
        <v>840 х 290 х 840</v>
      </c>
      <c r="P407" t="str">
        <f>IF(Worksheet!CS403&lt;&gt;"",CONCATENATE(Worksheet!CS403," х ",Worksheet!CU403," х ",Worksheet!CQ403),"")</f>
        <v>963 х 963 х 379</v>
      </c>
      <c r="Q407" t="str">
        <f>IF(Worksheet!CV403&lt;&gt;"",CONCATENATE(Worksheet!CV403," / ",Worksheet!CW403),"")</f>
        <v>33 / 41</v>
      </c>
      <c r="R407" t="str">
        <f>IF(Worksheet!BS403&lt;&gt;"",Worksheet!BS403,"")</f>
        <v>42/46/49/51</v>
      </c>
      <c r="S407" t="str">
        <f>IF(Worksheet!AL403&lt;&gt;"",Worksheet!AL403,"")</f>
        <v>Gree</v>
      </c>
      <c r="T407" t="str">
        <f>IF(Worksheet!CJ403&lt;&gt;"",CONCATENATE(Worksheet!CJ403," х ",Worksheet!CL403," х ",Worksheet!CH403),"")</f>
        <v>940 х 460 х 820</v>
      </c>
      <c r="U407" t="str">
        <f>IF(Worksheet!CK403&lt;&gt;"",CONCATENATE(Worksheet!CK403," х ",Worksheet!CM403," х ",Worksheet!CI403),"")</f>
        <v>1083 х 573 х 973</v>
      </c>
      <c r="V407" t="str">
        <f>IF(Worksheet!CN403&lt;&gt;"",CONCATENATE(Worksheet!CN403,"/",Worksheet!CO403),"")</f>
        <v>96/108</v>
      </c>
      <c r="W407" s="6"/>
      <c r="X407" s="7">
        <f>IF(Worksheet!AN403&lt;&gt;"",Worksheet!AN403,"")</f>
        <v>9.52</v>
      </c>
      <c r="Y407" s="7">
        <f>IF(Worksheet!AO403&lt;&gt;"",Worksheet!AO403,"")</f>
        <v>15.87</v>
      </c>
      <c r="Z407" s="17">
        <f>IF(Worksheet!Q403&lt;&gt;"",Worksheet!Q403,"")</f>
        <v>75</v>
      </c>
      <c r="AA407" s="17">
        <f>IF(Worksheet!R403&lt;&gt;"",Worksheet!R403,"")</f>
        <v>30</v>
      </c>
      <c r="AB407" t="str">
        <f>IF(Worksheet!X403&lt;&gt;"",CONCATENATE("от ",Worksheet!X403," до +",Worksheet!Y403),"")</f>
        <v>от -15 до +48</v>
      </c>
      <c r="AC407" t="str">
        <f>IF(Worksheet!Z403&lt;&gt;"",CONCATENATE("от ",Worksheet!Z403," до +",Worksheet!AA403),"")</f>
        <v>от -15 до +24</v>
      </c>
      <c r="AD407" s="6" t="s">
        <v>5245</v>
      </c>
      <c r="AE407" s="17"/>
    </row>
    <row r="408" spans="1:31" x14ac:dyDescent="0.25">
      <c r="A408" s="17" t="str">
        <f>IF(Worksheet!B404&lt;&gt;"",Worksheet!B404,"")</f>
        <v>TOSOT</v>
      </c>
      <c r="B408" t="str">
        <f>Worksheet!E404</f>
        <v>Кассетные</v>
      </c>
      <c r="C408" s="21">
        <f>IF(Worksheet!M404&lt;&gt;"",MID(Worksheet!M404,1,FIND(" ",Worksheet!M404,1)-1),"")*1</f>
        <v>15</v>
      </c>
      <c r="D408">
        <f t="shared" si="19"/>
        <v>150</v>
      </c>
      <c r="E408" t="str">
        <f>IF(Worksheet!L404&lt;&gt;"",IF(Worksheet!L404="Y","да","нет"),"")</f>
        <v>да</v>
      </c>
      <c r="F408" s="21">
        <f>IF(Worksheet!N404&lt;&gt;"",MID(Worksheet!N404,1,FIND(" ",Worksheet!N404,1)-1),"")*1</f>
        <v>17</v>
      </c>
      <c r="G408" s="21">
        <f>IF(Worksheet!O404&lt;&gt;"",MID(Worksheet!O404,1,FIND(" ",Worksheet!O404,1)-1),"")*1</f>
        <v>5.2</v>
      </c>
      <c r="H408" s="21">
        <f>IF(Worksheet!P404&lt;&gt;"",MID(Worksheet!P404,1,FIND(" ",Worksheet!P404,1)-1),"")*1</f>
        <v>4.7</v>
      </c>
      <c r="I408" s="6"/>
      <c r="J408" s="6"/>
      <c r="K408" t="str">
        <f>IF(Worksheet!BI404&lt;&gt;"",Worksheet!BI404,"")</f>
        <v>3 / 380 / 50</v>
      </c>
      <c r="L408" t="str">
        <f>IF(Worksheet!AU404&lt;&gt;"",Worksheet!AU404,"")</f>
        <v>R410A</v>
      </c>
      <c r="M408" s="6"/>
      <c r="N408" s="6"/>
      <c r="O408" t="str">
        <f>IF(Worksheet!CR404&lt;&gt;"",CONCATENATE(Worksheet!CR404," х ",Worksheet!CP404," х ",Worksheet!CT404),"")</f>
        <v>840 х 290 х 840</v>
      </c>
      <c r="P408" t="str">
        <f>IF(Worksheet!CS404&lt;&gt;"",CONCATENATE(Worksheet!CS404," х ",Worksheet!CU404," х ",Worksheet!CQ404),"")</f>
        <v>963 х 963 х 379</v>
      </c>
      <c r="Q408" t="str">
        <f>IF(Worksheet!CV404&lt;&gt;"",CONCATENATE(Worksheet!CV404," / ",Worksheet!CW404),"")</f>
        <v>36 / 44</v>
      </c>
      <c r="R408" t="str">
        <f>IF(Worksheet!BS404&lt;&gt;"",Worksheet!BS404,"")</f>
        <v>48/50/52/54</v>
      </c>
      <c r="S408" t="str">
        <f>IF(Worksheet!AL404&lt;&gt;"",Worksheet!AL404,"")</f>
        <v>Gree</v>
      </c>
      <c r="T408" t="str">
        <f>IF(Worksheet!CJ404&lt;&gt;"",CONCATENATE(Worksheet!CJ404," х ",Worksheet!CL404," х ",Worksheet!CH404),"")</f>
        <v>940 х 460 х 820</v>
      </c>
      <c r="U408" t="str">
        <f>IF(Worksheet!CK404&lt;&gt;"",CONCATENATE(Worksheet!CK404," х ",Worksheet!CM404," х ",Worksheet!CI404),"")</f>
        <v>1083 х 573 х 973</v>
      </c>
      <c r="V408" t="str">
        <f>IF(Worksheet!CN404&lt;&gt;"",CONCATENATE(Worksheet!CN404,"/",Worksheet!CO404),"")</f>
        <v>100/112</v>
      </c>
      <c r="W408" s="6"/>
      <c r="X408" s="7">
        <f>IF(Worksheet!AN404&lt;&gt;"",Worksheet!AN404,"")</f>
        <v>9.52</v>
      </c>
      <c r="Y408" s="7">
        <f>IF(Worksheet!AO404&lt;&gt;"",Worksheet!AO404,"")</f>
        <v>15.87</v>
      </c>
      <c r="Z408" s="17">
        <f>IF(Worksheet!Q404&lt;&gt;"",Worksheet!Q404,"")</f>
        <v>75</v>
      </c>
      <c r="AA408" s="17">
        <f>IF(Worksheet!R404&lt;&gt;"",Worksheet!R404,"")</f>
        <v>30</v>
      </c>
      <c r="AB408" t="str">
        <f>IF(Worksheet!X404&lt;&gt;"",CONCATENATE("от ",Worksheet!X404," до +",Worksheet!Y404),"")</f>
        <v>от -15 до +48</v>
      </c>
      <c r="AC408" t="str">
        <f>IF(Worksheet!Z404&lt;&gt;"",CONCATENATE("от ",Worksheet!Z404," до +",Worksheet!AA404),"")</f>
        <v>от -15 до +24</v>
      </c>
      <c r="AD408" s="6" t="s">
        <v>5245</v>
      </c>
      <c r="AE408" s="17"/>
    </row>
    <row r="409" spans="1:31" x14ac:dyDescent="0.25">
      <c r="A409" s="17" t="str">
        <f>IF(Worksheet!B405&lt;&gt;"",Worksheet!B405,"")</f>
        <v>TOSOT</v>
      </c>
      <c r="B409" t="str">
        <f>Worksheet!E405</f>
        <v>Напольно-потолочные</v>
      </c>
      <c r="C409" s="21">
        <f>IF(Worksheet!M405&lt;&gt;"",MID(Worksheet!M405,1,FIND(" ",Worksheet!M405,1)-1),"")*1</f>
        <v>5.2</v>
      </c>
      <c r="D409">
        <f t="shared" si="19"/>
        <v>52</v>
      </c>
      <c r="E409" t="str">
        <f>IF(Worksheet!L405&lt;&gt;"",IF(Worksheet!L405="Y","да","нет"),"")</f>
        <v>да</v>
      </c>
      <c r="F409" s="21">
        <f>IF(Worksheet!N405&lt;&gt;"",MID(Worksheet!N405,1,FIND(" ",Worksheet!N405,1)-1),"")*1</f>
        <v>5.8</v>
      </c>
      <c r="G409" s="21">
        <f>IF(Worksheet!O405&lt;&gt;"",MID(Worksheet!O405,1,FIND(" ",Worksheet!O405,1)-1),"")*1</f>
        <v>1.62</v>
      </c>
      <c r="H409" s="21">
        <f>IF(Worksheet!P405&lt;&gt;"",MID(Worksheet!P405,1,FIND(" ",Worksheet!P405,1)-1),"")*1</f>
        <v>1.7</v>
      </c>
      <c r="I409" s="6"/>
      <c r="J409" s="6"/>
      <c r="K409" t="str">
        <f>IF(Worksheet!BI405&lt;&gt;"",Worksheet!BI405,"")</f>
        <v>1 / 220 / 50</v>
      </c>
      <c r="L409" t="str">
        <f>IF(Worksheet!AU405&lt;&gt;"",Worksheet!AU405,"")</f>
        <v>R410A</v>
      </c>
      <c r="M409" s="6"/>
      <c r="N409" s="6"/>
      <c r="O409" t="str">
        <f>IF(Worksheet!CR405&lt;&gt;"",CONCATENATE(Worksheet!CR405," х ",Worksheet!CP405," х ",Worksheet!CT405),"")</f>
        <v>870 х 665 х 235</v>
      </c>
      <c r="P409" t="str">
        <f>IF(Worksheet!CS405&lt;&gt;"",CONCATENATE(Worksheet!CS405," х ",Worksheet!CU405," х ",Worksheet!CQ405),"")</f>
        <v>1033 х 300 х 770</v>
      </c>
      <c r="Q409" t="str">
        <f>IF(Worksheet!CV405&lt;&gt;"",CONCATENATE(Worksheet!CV405," / ",Worksheet!CW405),"")</f>
        <v>26 / 31</v>
      </c>
      <c r="R409" t="str">
        <f>IF(Worksheet!BS405&lt;&gt;"",Worksheet!BS405,"")</f>
        <v>36/39/42/44</v>
      </c>
      <c r="S409" t="str">
        <f>IF(Worksheet!AL405&lt;&gt;"",Worksheet!AL405,"")</f>
        <v>Gree</v>
      </c>
      <c r="T409" t="str">
        <f>IF(Worksheet!CJ405&lt;&gt;"",CONCATENATE(Worksheet!CJ405," х ",Worksheet!CL405," х ",Worksheet!CH405),"")</f>
        <v>818 х 302 х 596</v>
      </c>
      <c r="U409" t="str">
        <f>IF(Worksheet!CK405&lt;&gt;"",CONCATENATE(Worksheet!CK405," х ",Worksheet!CM405," х ",Worksheet!CI405),"")</f>
        <v>948 х 420 х 645</v>
      </c>
      <c r="V409" t="str">
        <f>IF(Worksheet!CN405&lt;&gt;"",CONCATENATE(Worksheet!CN405,"/",Worksheet!CO405),"")</f>
        <v>41/44</v>
      </c>
      <c r="W409" s="6"/>
      <c r="X409" s="7">
        <f>IF(Worksheet!AN405&lt;&gt;"",Worksheet!AN405,"")</f>
        <v>6.35</v>
      </c>
      <c r="Y409" s="7">
        <f>IF(Worksheet!AO405&lt;&gt;"",Worksheet!AO405,"")</f>
        <v>12.7</v>
      </c>
      <c r="Z409" s="17">
        <f>IF(Worksheet!Q405&lt;&gt;"",Worksheet!Q405,"")</f>
        <v>35</v>
      </c>
      <c r="AA409" s="17">
        <f>IF(Worksheet!R405&lt;&gt;"",Worksheet!R405,"")</f>
        <v>20</v>
      </c>
      <c r="AB409" t="str">
        <f>IF(Worksheet!X405&lt;&gt;"",CONCATENATE("от ",Worksheet!X405," до +",Worksheet!Y405),"")</f>
        <v>от -15 до +48</v>
      </c>
      <c r="AC409" t="str">
        <f>IF(Worksheet!Z405&lt;&gt;"",CONCATENATE("от ",Worksheet!Z405," до +",Worksheet!AA405),"")</f>
        <v>от -15 до +24</v>
      </c>
      <c r="AD409" s="6" t="s">
        <v>5245</v>
      </c>
      <c r="AE409" s="17"/>
    </row>
    <row r="410" spans="1:31" x14ac:dyDescent="0.25">
      <c r="A410" s="17" t="str">
        <f>IF(Worksheet!B406&lt;&gt;"",Worksheet!B406,"")</f>
        <v>TOSOT</v>
      </c>
      <c r="B410" t="str">
        <f>Worksheet!E406</f>
        <v>Напольно-потолочные</v>
      </c>
      <c r="C410" s="21">
        <f>IF(Worksheet!M406&lt;&gt;"",MID(Worksheet!M406,1,FIND(" ",Worksheet!M406,1)-1),"")*1</f>
        <v>7.15</v>
      </c>
      <c r="D410">
        <f t="shared" si="19"/>
        <v>71</v>
      </c>
      <c r="E410" t="str">
        <f>IF(Worksheet!L406&lt;&gt;"",IF(Worksheet!L406="Y","да","нет"),"")</f>
        <v>да</v>
      </c>
      <c r="F410" s="21">
        <f>IF(Worksheet!N406&lt;&gt;"",MID(Worksheet!N406,1,FIND(" ",Worksheet!N406,1)-1),"")*1</f>
        <v>8</v>
      </c>
      <c r="G410" s="21">
        <f>IF(Worksheet!O406&lt;&gt;"",MID(Worksheet!O406,1,FIND(" ",Worksheet!O406,1)-1),"")*1</f>
        <v>2.4</v>
      </c>
      <c r="H410" s="21">
        <f>IF(Worksheet!P406&lt;&gt;"",MID(Worksheet!P406,1,FIND(" ",Worksheet!P406,1)-1),"")*1</f>
        <v>2.5499999999999998</v>
      </c>
      <c r="I410" s="6"/>
      <c r="J410" s="6"/>
      <c r="K410" t="str">
        <f>IF(Worksheet!BI406&lt;&gt;"",Worksheet!BI406,"")</f>
        <v>1 / 220 / 50</v>
      </c>
      <c r="L410" t="str">
        <f>IF(Worksheet!AU406&lt;&gt;"",Worksheet!AU406,"")</f>
        <v>R410A</v>
      </c>
      <c r="M410" s="6"/>
      <c r="N410" s="6"/>
      <c r="O410" t="str">
        <f>IF(Worksheet!CR406&lt;&gt;"",CONCATENATE(Worksheet!CR406," х ",Worksheet!CP406," х ",Worksheet!CT406),"")</f>
        <v>870 х 665 х 235</v>
      </c>
      <c r="P410" t="str">
        <f>IF(Worksheet!CS406&lt;&gt;"",CONCATENATE(Worksheet!CS406," х ",Worksheet!CU406," х ",Worksheet!CQ406),"")</f>
        <v>1033 х 300 х 770</v>
      </c>
      <c r="Q410" t="str">
        <f>IF(Worksheet!CV406&lt;&gt;"",CONCATENATE(Worksheet!CV406," / ",Worksheet!CW406),"")</f>
        <v>26 / 31</v>
      </c>
      <c r="R410" t="str">
        <f>IF(Worksheet!BS406&lt;&gt;"",Worksheet!BS406,"")</f>
        <v>43/45/48/49</v>
      </c>
      <c r="S410" t="str">
        <f>IF(Worksheet!AL406&lt;&gt;"",Worksheet!AL406,"")</f>
        <v>Gree</v>
      </c>
      <c r="T410" t="str">
        <f>IF(Worksheet!CJ406&lt;&gt;"",CONCATENATE(Worksheet!CJ406," х ",Worksheet!CL406," х ",Worksheet!CH406),"")</f>
        <v>892 х 340 х 698</v>
      </c>
      <c r="U410" t="str">
        <f>IF(Worksheet!CK406&lt;&gt;"",CONCATENATE(Worksheet!CK406," х ",Worksheet!CM406," х ",Worksheet!CI406),"")</f>
        <v>1029 х 458 х 750</v>
      </c>
      <c r="V410" t="str">
        <f>IF(Worksheet!CN406&lt;&gt;"",CONCATENATE(Worksheet!CN406,"/",Worksheet!CO406),"")</f>
        <v>53/57</v>
      </c>
      <c r="W410" s="6"/>
      <c r="X410" s="7">
        <f>IF(Worksheet!AN406&lt;&gt;"",Worksheet!AN406,"")</f>
        <v>9.52</v>
      </c>
      <c r="Y410" s="7">
        <f>IF(Worksheet!AO406&lt;&gt;"",Worksheet!AO406,"")</f>
        <v>15.87</v>
      </c>
      <c r="Z410" s="17">
        <f>IF(Worksheet!Q406&lt;&gt;"",Worksheet!Q406,"")</f>
        <v>50</v>
      </c>
      <c r="AA410" s="17">
        <f>IF(Worksheet!R406&lt;&gt;"",Worksheet!R406,"")</f>
        <v>25</v>
      </c>
      <c r="AB410" t="str">
        <f>IF(Worksheet!X406&lt;&gt;"",CONCATENATE("от ",Worksheet!X406," до +",Worksheet!Y406),"")</f>
        <v>от -15 до +48</v>
      </c>
      <c r="AC410" t="str">
        <f>IF(Worksheet!Z406&lt;&gt;"",CONCATENATE("от ",Worksheet!Z406," до +",Worksheet!AA406),"")</f>
        <v>от -15 до +24</v>
      </c>
      <c r="AD410" s="6" t="s">
        <v>5245</v>
      </c>
      <c r="AE410" s="17"/>
    </row>
    <row r="411" spans="1:31" x14ac:dyDescent="0.25">
      <c r="A411" s="17" t="str">
        <f>IF(Worksheet!B407&lt;&gt;"",Worksheet!B407,"")</f>
        <v>TOSOT</v>
      </c>
      <c r="B411" t="str">
        <f>Worksheet!E407</f>
        <v>Напольно-потолочные</v>
      </c>
      <c r="C411" s="21">
        <f>IF(Worksheet!M407&lt;&gt;"",MID(Worksheet!M407,1,FIND(" ",Worksheet!M407,1)-1),"")*1</f>
        <v>10</v>
      </c>
      <c r="D411">
        <f t="shared" si="19"/>
        <v>100</v>
      </c>
      <c r="E411" t="str">
        <f>IF(Worksheet!L407&lt;&gt;"",IF(Worksheet!L407="Y","да","нет"),"")</f>
        <v>да</v>
      </c>
      <c r="F411" s="21">
        <f>IF(Worksheet!N407&lt;&gt;"",MID(Worksheet!N407,1,FIND(" ",Worksheet!N407,1)-1),"")*1</f>
        <v>11</v>
      </c>
      <c r="G411" s="21">
        <f>IF(Worksheet!O407&lt;&gt;"",MID(Worksheet!O407,1,FIND(" ",Worksheet!O407,1)-1),"")*1</f>
        <v>3.4</v>
      </c>
      <c r="H411" s="21">
        <f>IF(Worksheet!P407&lt;&gt;"",MID(Worksheet!P407,1,FIND(" ",Worksheet!P407,1)-1),"")*1</f>
        <v>3.2</v>
      </c>
      <c r="I411" s="6"/>
      <c r="J411" s="6"/>
      <c r="K411" t="str">
        <f>IF(Worksheet!BI407&lt;&gt;"",Worksheet!BI407,"")</f>
        <v>1 / 220 / 50</v>
      </c>
      <c r="L411" t="str">
        <f>IF(Worksheet!AU407&lt;&gt;"",Worksheet!AU407,"")</f>
        <v>R410A</v>
      </c>
      <c r="M411" s="6"/>
      <c r="N411" s="6"/>
      <c r="O411" t="str">
        <f>IF(Worksheet!CR407&lt;&gt;"",CONCATENATE(Worksheet!CR407," х ",Worksheet!CP407," х ",Worksheet!CT407),"")</f>
        <v>1200 х 665 х 235</v>
      </c>
      <c r="P411" t="str">
        <f>IF(Worksheet!CS407&lt;&gt;"",CONCATENATE(Worksheet!CS407," х ",Worksheet!CU407," х ",Worksheet!CQ407),"")</f>
        <v>1363 х 300 х 770</v>
      </c>
      <c r="Q411" t="str">
        <f>IF(Worksheet!CV407&lt;&gt;"",CONCATENATE(Worksheet!CV407," / ",Worksheet!CW407),"")</f>
        <v>32 / 38</v>
      </c>
      <c r="R411" t="str">
        <f>IF(Worksheet!BS407&lt;&gt;"",Worksheet!BS407,"")</f>
        <v>43/45/47/49</v>
      </c>
      <c r="S411" t="str">
        <f>IF(Worksheet!AL407&lt;&gt;"",Worksheet!AL407,"")</f>
        <v>Gree</v>
      </c>
      <c r="T411" t="str">
        <f>IF(Worksheet!CJ407&lt;&gt;"",CONCATENATE(Worksheet!CJ407," х ",Worksheet!CL407," х ",Worksheet!CH407),"")</f>
        <v>920 х 370 х 790</v>
      </c>
      <c r="U411" t="str">
        <f>IF(Worksheet!CK407&lt;&gt;"",CONCATENATE(Worksheet!CK407," х ",Worksheet!CM407," х ",Worksheet!CI407),"")</f>
        <v>1083 х 488 х 855</v>
      </c>
      <c r="V411" t="str">
        <f>IF(Worksheet!CN407&lt;&gt;"",CONCATENATE(Worksheet!CN407,"/",Worksheet!CO407),"")</f>
        <v>61/66</v>
      </c>
      <c r="W411" s="6"/>
      <c r="X411" s="7">
        <f>IF(Worksheet!AN407&lt;&gt;"",Worksheet!AN407,"")</f>
        <v>9.52</v>
      </c>
      <c r="Y411" s="7">
        <f>IF(Worksheet!AO407&lt;&gt;"",Worksheet!AO407,"")</f>
        <v>15.87</v>
      </c>
      <c r="Z411" s="17">
        <f>IF(Worksheet!Q407&lt;&gt;"",Worksheet!Q407,"")</f>
        <v>50</v>
      </c>
      <c r="AA411" s="17">
        <f>IF(Worksheet!R407&lt;&gt;"",Worksheet!R407,"")</f>
        <v>25</v>
      </c>
      <c r="AB411" t="str">
        <f>IF(Worksheet!X407&lt;&gt;"",CONCATENATE("от ",Worksheet!X407," до +",Worksheet!Y407),"")</f>
        <v>от -15 до +48</v>
      </c>
      <c r="AC411" t="str">
        <f>IF(Worksheet!Z407&lt;&gt;"",CONCATENATE("от ",Worksheet!Z407," до +",Worksheet!AA407),"")</f>
        <v>от -15 до +24</v>
      </c>
      <c r="AD411" s="6" t="s">
        <v>5245</v>
      </c>
      <c r="AE411" s="17"/>
    </row>
    <row r="412" spans="1:31" x14ac:dyDescent="0.25">
      <c r="A412" s="17" t="str">
        <f>IF(Worksheet!B408&lt;&gt;"",Worksheet!B408,"")</f>
        <v>TOSOT</v>
      </c>
      <c r="B412" t="str">
        <f>Worksheet!E408</f>
        <v>Напольно-потолочные</v>
      </c>
      <c r="C412" s="21">
        <f>IF(Worksheet!M408&lt;&gt;"",MID(Worksheet!M408,1,FIND(" ",Worksheet!M408,1)-1),"")*1</f>
        <v>14</v>
      </c>
      <c r="D412">
        <f t="shared" si="19"/>
        <v>140</v>
      </c>
      <c r="E412" t="str">
        <f>IF(Worksheet!L408&lt;&gt;"",IF(Worksheet!L408="Y","да","нет"),"")</f>
        <v>да</v>
      </c>
      <c r="F412" s="21">
        <f>IF(Worksheet!N408&lt;&gt;"",MID(Worksheet!N408,1,FIND(" ",Worksheet!N408,1)-1),"")*1</f>
        <v>15</v>
      </c>
      <c r="G412" s="21">
        <f>IF(Worksheet!O408&lt;&gt;"",MID(Worksheet!O408,1,FIND(" ",Worksheet!O408,1)-1),"")*1</f>
        <v>5.2</v>
      </c>
      <c r="H412" s="21">
        <f>IF(Worksheet!P408&lt;&gt;"",MID(Worksheet!P408,1,FIND(" ",Worksheet!P408,1)-1),"")*1</f>
        <v>4.4000000000000004</v>
      </c>
      <c r="I412" s="6"/>
      <c r="J412" s="6"/>
      <c r="K412" t="str">
        <f>IF(Worksheet!BI408&lt;&gt;"",Worksheet!BI408,"")</f>
        <v>3 / 380 / 50</v>
      </c>
      <c r="L412" t="str">
        <f>IF(Worksheet!AU408&lt;&gt;"",Worksheet!AU408,"")</f>
        <v>R410A</v>
      </c>
      <c r="M412" s="6"/>
      <c r="N412" s="6"/>
      <c r="O412" t="str">
        <f>IF(Worksheet!CR408&lt;&gt;"",CONCATENATE(Worksheet!CR408," х ",Worksheet!CP408," х ",Worksheet!CT408),"")</f>
        <v>1570 х 665 х 235</v>
      </c>
      <c r="P412" t="str">
        <f>IF(Worksheet!CS408&lt;&gt;"",CONCATENATE(Worksheet!CS408," х ",Worksheet!CU408," х ",Worksheet!CQ408),"")</f>
        <v>1729 х 300 х 770</v>
      </c>
      <c r="Q412" t="str">
        <f>IF(Worksheet!CV408&lt;&gt;"",CONCATENATE(Worksheet!CV408," / ",Worksheet!CW408),"")</f>
        <v>40 / 47</v>
      </c>
      <c r="R412" t="str">
        <f>IF(Worksheet!BS408&lt;&gt;"",Worksheet!BS408,"")</f>
        <v>44/48/50/52</v>
      </c>
      <c r="S412" t="str">
        <f>IF(Worksheet!AL408&lt;&gt;"",Worksheet!AL408,"")</f>
        <v>Gree</v>
      </c>
      <c r="T412" t="str">
        <f>IF(Worksheet!CJ408&lt;&gt;"",CONCATENATE(Worksheet!CJ408," х ",Worksheet!CL408," х ",Worksheet!CH408),"")</f>
        <v>940 х 460 х 820</v>
      </c>
      <c r="U412" t="str">
        <f>IF(Worksheet!CK408&lt;&gt;"",CONCATENATE(Worksheet!CK408," х ",Worksheet!CM408," х ",Worksheet!CI408),"")</f>
        <v>1083 х 573 х 973</v>
      </c>
      <c r="V412" t="str">
        <f>IF(Worksheet!CN408&lt;&gt;"",CONCATENATE(Worksheet!CN408,"/",Worksheet!CO408),"")</f>
        <v>96/108</v>
      </c>
      <c r="W412" s="6"/>
      <c r="X412" s="7">
        <f>IF(Worksheet!AN408&lt;&gt;"",Worksheet!AN408,"")</f>
        <v>9.52</v>
      </c>
      <c r="Y412" s="7">
        <f>IF(Worksheet!AO408&lt;&gt;"",Worksheet!AO408,"")</f>
        <v>15.87</v>
      </c>
      <c r="Z412" s="17">
        <f>IF(Worksheet!Q408&lt;&gt;"",Worksheet!Q408,"")</f>
        <v>75</v>
      </c>
      <c r="AA412" s="17">
        <f>IF(Worksheet!R408&lt;&gt;"",Worksheet!R408,"")</f>
        <v>30</v>
      </c>
      <c r="AB412" t="str">
        <f>IF(Worksheet!X408&lt;&gt;"",CONCATENATE("от ",Worksheet!X408," до +",Worksheet!Y408),"")</f>
        <v>от -15 до +48</v>
      </c>
      <c r="AC412" t="str">
        <f>IF(Worksheet!Z408&lt;&gt;"",CONCATENATE("от ",Worksheet!Z408," до +",Worksheet!AA408),"")</f>
        <v>от -15 до +24</v>
      </c>
      <c r="AD412" s="6" t="s">
        <v>5245</v>
      </c>
      <c r="AE412" s="17"/>
    </row>
    <row r="413" spans="1:31" x14ac:dyDescent="0.25">
      <c r="A413" s="17" t="str">
        <f>IF(Worksheet!B409&lt;&gt;"",Worksheet!B409,"")</f>
        <v>TOSOT</v>
      </c>
      <c r="B413" t="str">
        <f>Worksheet!E409</f>
        <v>Напольно-потолочные</v>
      </c>
      <c r="C413" s="21">
        <f>IF(Worksheet!M409&lt;&gt;"",MID(Worksheet!M409,1,FIND(" ",Worksheet!M409,1)-1),"")*1</f>
        <v>15.4</v>
      </c>
      <c r="D413">
        <f t="shared" si="19"/>
        <v>150</v>
      </c>
      <c r="E413" t="str">
        <f>IF(Worksheet!L409&lt;&gt;"",IF(Worksheet!L409="Y","да","нет"),"")</f>
        <v>да</v>
      </c>
      <c r="F413" s="21">
        <f>IF(Worksheet!N409&lt;&gt;"",MID(Worksheet!N409,1,FIND(" ",Worksheet!N409,1)-1),"")*1</f>
        <v>17</v>
      </c>
      <c r="G413" s="21">
        <f>IF(Worksheet!O409&lt;&gt;"",MID(Worksheet!O409,1,FIND(" ",Worksheet!O409,1)-1),"")*1</f>
        <v>5.2</v>
      </c>
      <c r="H413" s="21">
        <f>IF(Worksheet!P409&lt;&gt;"",MID(Worksheet!P409,1,FIND(" ",Worksheet!P409,1)-1),"")*1</f>
        <v>4.8</v>
      </c>
      <c r="I413" s="6"/>
      <c r="J413" s="6"/>
      <c r="K413" t="str">
        <f>IF(Worksheet!BI409&lt;&gt;"",Worksheet!BI409,"")</f>
        <v>3 / 380 / 50</v>
      </c>
      <c r="L413" t="str">
        <f>IF(Worksheet!AU409&lt;&gt;"",Worksheet!AU409,"")</f>
        <v>R410A</v>
      </c>
      <c r="M413" s="6"/>
      <c r="N413" s="6"/>
      <c r="O413" t="str">
        <f>IF(Worksheet!CR409&lt;&gt;"",CONCATENATE(Worksheet!CR409," х ",Worksheet!CP409," х ",Worksheet!CT409),"")</f>
        <v>1570 х 665 х 235</v>
      </c>
      <c r="P413" t="str">
        <f>IF(Worksheet!CS409&lt;&gt;"",CONCATENATE(Worksheet!CS409," х ",Worksheet!CU409," х ",Worksheet!CQ409),"")</f>
        <v>1729 х 300 х 770</v>
      </c>
      <c r="Q413" t="str">
        <f>IF(Worksheet!CV409&lt;&gt;"",CONCATENATE(Worksheet!CV409," / ",Worksheet!CW409),"")</f>
        <v>42 / 49</v>
      </c>
      <c r="R413" t="str">
        <f>IF(Worksheet!BS409&lt;&gt;"",Worksheet!BS409,"")</f>
        <v>45/49/53/54</v>
      </c>
      <c r="S413" t="str">
        <f>IF(Worksheet!AL409&lt;&gt;"",Worksheet!AL409,"")</f>
        <v>Gree</v>
      </c>
      <c r="T413" t="str">
        <f>IF(Worksheet!CJ409&lt;&gt;"",CONCATENATE(Worksheet!CJ409," х ",Worksheet!CL409," х ",Worksheet!CH409),"")</f>
        <v>940 х 460 х 820</v>
      </c>
      <c r="U413" t="str">
        <f>IF(Worksheet!CK409&lt;&gt;"",CONCATENATE(Worksheet!CK409," х ",Worksheet!CM409," х ",Worksheet!CI409),"")</f>
        <v>1083 х 573 х 973</v>
      </c>
      <c r="V413" t="str">
        <f>IF(Worksheet!CN409&lt;&gt;"",CONCATENATE(Worksheet!CN409,"/",Worksheet!CO409),"")</f>
        <v>100/112</v>
      </c>
      <c r="W413" s="6"/>
      <c r="X413" s="7">
        <f>IF(Worksheet!AN409&lt;&gt;"",Worksheet!AN409,"")</f>
        <v>9.52</v>
      </c>
      <c r="Y413" s="7">
        <f>IF(Worksheet!AO409&lt;&gt;"",Worksheet!AO409,"")</f>
        <v>15.87</v>
      </c>
      <c r="Z413" s="17">
        <f>IF(Worksheet!Q409&lt;&gt;"",Worksheet!Q409,"")</f>
        <v>75</v>
      </c>
      <c r="AA413" s="17">
        <f>IF(Worksheet!R409&lt;&gt;"",Worksheet!R409,"")</f>
        <v>30</v>
      </c>
      <c r="AB413" t="str">
        <f>IF(Worksheet!X409&lt;&gt;"",CONCATENATE("от ",Worksheet!X409," до +",Worksheet!Y409),"")</f>
        <v>от -15 до +48</v>
      </c>
      <c r="AC413" t="str">
        <f>IF(Worksheet!Z409&lt;&gt;"",CONCATENATE("от ",Worksheet!Z409," до +",Worksheet!AA409),"")</f>
        <v>от -15 до +24</v>
      </c>
      <c r="AD413" s="6" t="s">
        <v>5245</v>
      </c>
      <c r="AE413" s="17"/>
    </row>
    <row r="414" spans="1:31" x14ac:dyDescent="0.25">
      <c r="A414" s="17" t="str">
        <f>IF(Worksheet!B410&lt;&gt;"",Worksheet!B410,"")</f>
        <v>TOSOT</v>
      </c>
      <c r="B414" t="str">
        <f>Worksheet!E410</f>
        <v>Канальные</v>
      </c>
      <c r="C414">
        <f>IF(Worksheet!M410&lt;&gt;"",Worksheet!M410,"")</f>
        <v>12</v>
      </c>
      <c r="D414">
        <f t="shared" si="18"/>
        <v>120</v>
      </c>
      <c r="E414" t="str">
        <f>IF(Worksheet!L410&lt;&gt;"",IF(Worksheet!L410="Y","да","нет"),"")</f>
        <v>нет</v>
      </c>
      <c r="F414">
        <f>IF(Worksheet!N410&lt;&gt;"",Worksheet!N410,"")</f>
        <v>14.8</v>
      </c>
      <c r="G414">
        <f>IF(Worksheet!O410&lt;&gt;"",Worksheet!O410,"")</f>
        <v>4.2</v>
      </c>
      <c r="H414">
        <f>IF(Worksheet!P410&lt;&gt;"",Worksheet!P410,"")</f>
        <v>4.2</v>
      </c>
      <c r="I414" s="6"/>
      <c r="J414" s="6"/>
      <c r="K414" t="str">
        <f>IF(Worksheet!BI410&lt;&gt;"",Worksheet!BI410,"")</f>
        <v>3 / 380 / 50</v>
      </c>
      <c r="L414" t="str">
        <f>IF(Worksheet!AU410&lt;&gt;"",Worksheet!AU410,"")</f>
        <v>R410A</v>
      </c>
      <c r="M414" s="6"/>
      <c r="N414" s="6"/>
      <c r="O414" t="str">
        <f>IF(Worksheet!CR410&lt;&gt;"",CONCATENATE(Worksheet!CR410," х ",Worksheet!CP410," х ",Worksheet!CT410),"")</f>
        <v/>
      </c>
      <c r="P414" t="str">
        <f>IF(Worksheet!CS410&lt;&gt;"",CONCATENATE(Worksheet!CS410," х ",Worksheet!CU410," х ",Worksheet!CQ410),"")</f>
        <v/>
      </c>
      <c r="Q414" t="str">
        <f>IF(Worksheet!CV410&lt;&gt;"",CONCATENATE(Worksheet!CV410," / ",Worksheet!CW410),"")</f>
        <v/>
      </c>
      <c r="R414" t="str">
        <f>IF(Worksheet!BS410&lt;&gt;"",Worksheet!BS410,"")</f>
        <v/>
      </c>
      <c r="S414" t="str">
        <f>IF(Worksheet!AL410&lt;&gt;"",Worksheet!AL410,"")</f>
        <v>Gree</v>
      </c>
      <c r="T414" t="str">
        <f>IF(Worksheet!CJ410&lt;&gt;"",CONCATENATE(Worksheet!CJ410," х ",Worksheet!CL410," х ",Worksheet!CH410),"")</f>
        <v/>
      </c>
      <c r="U414" t="str">
        <f>IF(Worksheet!CK410&lt;&gt;"",CONCATENATE(Worksheet!CK410," х ",Worksheet!CM410," х ",Worksheet!CI410),"")</f>
        <v/>
      </c>
      <c r="V414" t="str">
        <f>IF(Worksheet!CN410&lt;&gt;"",CONCATENATE(Worksheet!CN410,"/",Worksheet!CO410),"")</f>
        <v/>
      </c>
      <c r="W414" s="6"/>
      <c r="X414" s="7">
        <f>IF(Worksheet!AN410&lt;&gt;"",Worksheet!AN410,"")</f>
        <v>9.52</v>
      </c>
      <c r="Y414" s="7">
        <f>IF(Worksheet!AO410&lt;&gt;"",Worksheet!AO410,"")</f>
        <v>15.8</v>
      </c>
      <c r="Z414" s="17">
        <f>IF(Worksheet!Q410&lt;&gt;"",Worksheet!Q410,"")</f>
        <v>50</v>
      </c>
      <c r="AA414" s="17">
        <f>IF(Worksheet!R410&lt;&gt;"",Worksheet!R410,"")</f>
        <v>30</v>
      </c>
      <c r="AB414" t="str">
        <f>IF(Worksheet!X410&lt;&gt;"",CONCATENATE("от ",Worksheet!X410," до +",Worksheet!Y410),"")</f>
        <v>от -15 до +48</v>
      </c>
      <c r="AC414" t="str">
        <f>IF(Worksheet!Z410&lt;&gt;"",CONCATENATE("от ",Worksheet!Z410," до +",Worksheet!AA410),"")</f>
        <v>от -15 до +24</v>
      </c>
      <c r="AD414" s="6" t="s">
        <v>5173</v>
      </c>
      <c r="AE414" s="17"/>
    </row>
    <row r="415" spans="1:31" x14ac:dyDescent="0.25">
      <c r="A415" s="17" t="str">
        <f>IF(Worksheet!B411&lt;&gt;"",Worksheet!B411,"")</f>
        <v>TOSOT</v>
      </c>
      <c r="B415" t="str">
        <f>Worksheet!E411</f>
        <v>Канальные</v>
      </c>
      <c r="C415">
        <f>IF(Worksheet!M411&lt;&gt;"",Worksheet!M411,"")</f>
        <v>7</v>
      </c>
      <c r="D415">
        <f t="shared" si="18"/>
        <v>70</v>
      </c>
      <c r="E415" t="str">
        <f>IF(Worksheet!L411&lt;&gt;"",IF(Worksheet!L411="Y","да","нет"),"")</f>
        <v>нет</v>
      </c>
      <c r="F415">
        <f>IF(Worksheet!N411&lt;&gt;"",Worksheet!N411,"")</f>
        <v>7.4</v>
      </c>
      <c r="G415">
        <f>IF(Worksheet!O411&lt;&gt;"",Worksheet!O411,"")</f>
        <v>2.5</v>
      </c>
      <c r="H415">
        <f>IF(Worksheet!P411&lt;&gt;"",Worksheet!P411,"")</f>
        <v>2.2999999999999998</v>
      </c>
      <c r="I415" s="6"/>
      <c r="J415" s="6"/>
      <c r="K415" t="str">
        <f>IF(Worksheet!BI411&lt;&gt;"",Worksheet!BI411,"")</f>
        <v>1 / 220 / 50</v>
      </c>
      <c r="L415" t="str">
        <f>IF(Worksheet!AU411&lt;&gt;"",Worksheet!AU411,"")</f>
        <v>R410A</v>
      </c>
      <c r="M415" s="6"/>
      <c r="N415" s="6"/>
      <c r="O415" t="str">
        <f>IF(Worksheet!CR411&lt;&gt;"",CONCATENATE(Worksheet!CR411," х ",Worksheet!CP411," х ",Worksheet!CT411),"")</f>
        <v>1260 х 270 х 555</v>
      </c>
      <c r="P415" t="str">
        <f>IF(Worksheet!CS411&lt;&gt;"",CONCATENATE(Worksheet!CS411," х ",Worksheet!CU411," х ",Worksheet!CQ411),"")</f>
        <v>1348 х 597 х 283</v>
      </c>
      <c r="Q415" t="str">
        <f>IF(Worksheet!CV411&lt;&gt;"",CONCATENATE(Worksheet!CV411," / ",Worksheet!CW411),"")</f>
        <v>33 / 38</v>
      </c>
      <c r="R415" t="str">
        <f>IF(Worksheet!BS411&lt;&gt;"",Worksheet!BS411,"")</f>
        <v>43/38/34/32</v>
      </c>
      <c r="S415" t="str">
        <f>IF(Worksheet!AL411&lt;&gt;"",Worksheet!AL411,"")</f>
        <v>Gree</v>
      </c>
      <c r="T415" t="str">
        <f>IF(Worksheet!CJ411&lt;&gt;"",CONCATENATE(Worksheet!CJ411," х ",Worksheet!CL411," х ",Worksheet!CH411),"")</f>
        <v/>
      </c>
      <c r="U415" t="str">
        <f>IF(Worksheet!CK411&lt;&gt;"",CONCATENATE(Worksheet!CK411," х ",Worksheet!CM411," х ",Worksheet!CI411),"")</f>
        <v/>
      </c>
      <c r="V415" t="str">
        <f>IF(Worksheet!CN411&lt;&gt;"",CONCATENATE(Worksheet!CN411,"/",Worksheet!CO411),"")</f>
        <v/>
      </c>
      <c r="W415" s="6"/>
      <c r="X415" s="7">
        <f>IF(Worksheet!AN411&lt;&gt;"",Worksheet!AN411,"")</f>
        <v>9.52</v>
      </c>
      <c r="Y415" s="7">
        <f>IF(Worksheet!AO411&lt;&gt;"",Worksheet!AO411,"")</f>
        <v>15.8</v>
      </c>
      <c r="Z415" s="17">
        <f>IF(Worksheet!Q411&lt;&gt;"",Worksheet!Q411,"")</f>
        <v>30</v>
      </c>
      <c r="AA415" s="17">
        <f>IF(Worksheet!R411&lt;&gt;"",Worksheet!R411,"")</f>
        <v>15</v>
      </c>
      <c r="AB415" t="str">
        <f>IF(Worksheet!X411&lt;&gt;"",CONCATENATE("от ",Worksheet!X411," до +",Worksheet!Y411),"")</f>
        <v>от -15 до +43</v>
      </c>
      <c r="AC415" t="str">
        <f>IF(Worksheet!Z411&lt;&gt;"",CONCATENATE("от ",Worksheet!Z411," до +",Worksheet!AA411),"")</f>
        <v>от -15 до +24</v>
      </c>
      <c r="AD415" s="6" t="s">
        <v>5245</v>
      </c>
      <c r="AE415" s="17"/>
    </row>
    <row r="416" spans="1:31" x14ac:dyDescent="0.25">
      <c r="A416" s="17" t="str">
        <f>IF(Worksheet!B412&lt;&gt;"",Worksheet!B412,"")</f>
        <v>TOSOT</v>
      </c>
      <c r="B416" t="str">
        <f>Worksheet!E412</f>
        <v>Канальные</v>
      </c>
      <c r="C416">
        <f>IF(Worksheet!M412&lt;&gt;"",Worksheet!M412,"")</f>
        <v>10.1</v>
      </c>
      <c r="D416">
        <f t="shared" si="18"/>
        <v>101</v>
      </c>
      <c r="E416" t="str">
        <f>IF(Worksheet!L412&lt;&gt;"",IF(Worksheet!L412="Y","да","нет"),"")</f>
        <v>нет</v>
      </c>
      <c r="F416">
        <f>IF(Worksheet!N412&lt;&gt;"",Worksheet!N412,"")</f>
        <v>12</v>
      </c>
      <c r="G416">
        <f>IF(Worksheet!O412&lt;&gt;"",Worksheet!O412,"")</f>
        <v>3.2</v>
      </c>
      <c r="H416">
        <f>IF(Worksheet!P412&lt;&gt;"",Worksheet!P412,"")</f>
        <v>3.2</v>
      </c>
      <c r="I416" s="6"/>
      <c r="J416" s="6"/>
      <c r="K416" t="str">
        <f>IF(Worksheet!BI412&lt;&gt;"",Worksheet!BI412,"")</f>
        <v>3 / 380 / 50</v>
      </c>
      <c r="L416" t="str">
        <f>IF(Worksheet!AU412&lt;&gt;"",Worksheet!AU412,"")</f>
        <v>R410A</v>
      </c>
      <c r="M416" s="6"/>
      <c r="N416" s="6"/>
      <c r="O416" t="str">
        <f>IF(Worksheet!CR412&lt;&gt;"",CONCATENATE(Worksheet!CR412," х ",Worksheet!CP412," х ",Worksheet!CT412),"")</f>
        <v>700 х 300 х 1000</v>
      </c>
      <c r="P416" t="str">
        <f>IF(Worksheet!CS412&lt;&gt;"",CONCATENATE(Worksheet!CS412," х ",Worksheet!CU412," х ",Worksheet!CQ412),"")</f>
        <v>813 х 1205 х 360</v>
      </c>
      <c r="Q416" t="str">
        <f>IF(Worksheet!CV412&lt;&gt;"",CONCATENATE(Worksheet!CV412," / ",Worksheet!CW412),"")</f>
        <v>41 / 47</v>
      </c>
      <c r="R416" t="str">
        <f>IF(Worksheet!BS412&lt;&gt;"",Worksheet!BS412,"")</f>
        <v>35/38/42/44</v>
      </c>
      <c r="S416" t="str">
        <f>IF(Worksheet!AL412&lt;&gt;"",Worksheet!AL412,"")</f>
        <v>Gree</v>
      </c>
      <c r="T416" t="str">
        <f>IF(Worksheet!CJ412&lt;&gt;"",CONCATENATE(Worksheet!CJ412," х ",Worksheet!CL412," х ",Worksheet!CH412),"")</f>
        <v/>
      </c>
      <c r="U416" t="str">
        <f>IF(Worksheet!CK412&lt;&gt;"",CONCATENATE(Worksheet!CK412," х ",Worksheet!CM412," х ",Worksheet!CI412),"")</f>
        <v/>
      </c>
      <c r="V416" t="str">
        <f>IF(Worksheet!CN412&lt;&gt;"",CONCATENATE(Worksheet!CN412,"/",Worksheet!CO412),"")</f>
        <v/>
      </c>
      <c r="W416" s="6"/>
      <c r="X416" s="7">
        <f>IF(Worksheet!AN412&lt;&gt;"",Worksheet!AN412,"")</f>
        <v>9.52</v>
      </c>
      <c r="Y416" s="7">
        <f>IF(Worksheet!AO412&lt;&gt;"",Worksheet!AO412,"")</f>
        <v>15.88</v>
      </c>
      <c r="Z416" s="17">
        <f>IF(Worksheet!Q412&lt;&gt;"",Worksheet!Q412,"")</f>
        <v>30</v>
      </c>
      <c r="AA416" s="17">
        <f>IF(Worksheet!R412&lt;&gt;"",Worksheet!R412,"")</f>
        <v>20</v>
      </c>
      <c r="AB416" t="str">
        <f>IF(Worksheet!X412&lt;&gt;"",CONCATENATE("от ",Worksheet!X412," до +",Worksheet!Y412),"")</f>
        <v>от -15 до +48</v>
      </c>
      <c r="AC416" t="str">
        <f>IF(Worksheet!Z412&lt;&gt;"",CONCATENATE("от ",Worksheet!Z412," до +",Worksheet!AA412),"")</f>
        <v>от 15 до +24</v>
      </c>
      <c r="AD416" s="6" t="s">
        <v>5245</v>
      </c>
      <c r="AE416" s="17"/>
    </row>
    <row r="417" spans="1:31" x14ac:dyDescent="0.25">
      <c r="A417" s="17" t="str">
        <f>IF(Worksheet!B413&lt;&gt;"",Worksheet!B413,"")</f>
        <v>TOSOT</v>
      </c>
      <c r="B417" t="str">
        <f>Worksheet!E413</f>
        <v>Канальные</v>
      </c>
      <c r="C417">
        <f>IF(Worksheet!M413&lt;&gt;"",Worksheet!M413,"")</f>
        <v>12</v>
      </c>
      <c r="D417">
        <f t="shared" si="18"/>
        <v>120</v>
      </c>
      <c r="E417" t="str">
        <f>IF(Worksheet!L413&lt;&gt;"",IF(Worksheet!L413="Y","да","нет"),"")</f>
        <v>нет</v>
      </c>
      <c r="F417">
        <f>IF(Worksheet!N413&lt;&gt;"",Worksheet!N413,"")</f>
        <v>13.5</v>
      </c>
      <c r="G417">
        <f>IF(Worksheet!O413&lt;&gt;"",Worksheet!O413,"")</f>
        <v>4.4000000000000004</v>
      </c>
      <c r="H417">
        <f>IF(Worksheet!P413&lt;&gt;"",Worksheet!P413,"")</f>
        <v>4.05</v>
      </c>
      <c r="I417" s="6"/>
      <c r="J417" s="6"/>
      <c r="K417" t="str">
        <f>IF(Worksheet!BI413&lt;&gt;"",Worksheet!BI413,"")</f>
        <v>3 / 380 / 50</v>
      </c>
      <c r="L417" t="str">
        <f>IF(Worksheet!AU413&lt;&gt;"",Worksheet!AU413,"")</f>
        <v>R410A</v>
      </c>
      <c r="M417" s="6"/>
      <c r="N417" s="6"/>
      <c r="O417" t="str">
        <f>IF(Worksheet!CR413&lt;&gt;"",CONCATENATE(Worksheet!CR413," х ",Worksheet!CP413," х ",Worksheet!CT413),"")</f>
        <v>1230 х 290 х 790</v>
      </c>
      <c r="P417" t="str">
        <f>IF(Worksheet!CS413&lt;&gt;"",CONCATENATE(Worksheet!CS413," х ",Worksheet!CU413," х ",Worksheet!CQ413),"")</f>
        <v>1338 х 837 х 305</v>
      </c>
      <c r="Q417" t="str">
        <f>IF(Worksheet!CV413&lt;&gt;"",CONCATENATE(Worksheet!CV413," / ",Worksheet!CW413),"")</f>
        <v>47 / 53</v>
      </c>
      <c r="R417" t="str">
        <f>IF(Worksheet!BS413&lt;&gt;"",Worksheet!BS413,"")</f>
        <v>51/48/46/44</v>
      </c>
      <c r="S417" t="str">
        <f>IF(Worksheet!AL413&lt;&gt;"",Worksheet!AL413,"")</f>
        <v>HITACHI</v>
      </c>
      <c r="T417" t="str">
        <f>IF(Worksheet!CJ413&lt;&gt;"",CONCATENATE(Worksheet!CJ413," х ",Worksheet!CL413," х ",Worksheet!CH413),"")</f>
        <v/>
      </c>
      <c r="U417" t="str">
        <f>IF(Worksheet!CK413&lt;&gt;"",CONCATENATE(Worksheet!CK413," х ",Worksheet!CM413," х ",Worksheet!CI413),"")</f>
        <v/>
      </c>
      <c r="V417" t="str">
        <f>IF(Worksheet!CN413&lt;&gt;"",CONCATENATE(Worksheet!CN413,"/",Worksheet!CO413),"")</f>
        <v/>
      </c>
      <c r="W417" s="6"/>
      <c r="X417" s="7">
        <f>IF(Worksheet!AN413&lt;&gt;"",Worksheet!AN413,"")</f>
        <v>12.7</v>
      </c>
      <c r="Y417" s="7">
        <f>IF(Worksheet!AO413&lt;&gt;"",Worksheet!AO413,"")</f>
        <v>19</v>
      </c>
      <c r="Z417" s="17">
        <f>IF(Worksheet!Q413&lt;&gt;"",Worksheet!Q413,"")</f>
        <v>50</v>
      </c>
      <c r="AA417" s="17">
        <f>IF(Worksheet!R413&lt;&gt;"",Worksheet!R413,"")</f>
        <v>30</v>
      </c>
      <c r="AB417" t="str">
        <f>IF(Worksheet!X413&lt;&gt;"",CONCATENATE("от ",Worksheet!X413," до +",Worksheet!Y413),"")</f>
        <v>от -15 до +43</v>
      </c>
      <c r="AC417" t="str">
        <f>IF(Worksheet!Z413&lt;&gt;"",CONCATENATE("от ",Worksheet!Z413," до +",Worksheet!AA413),"")</f>
        <v>от -15 до +24</v>
      </c>
      <c r="AD417" s="6" t="s">
        <v>5245</v>
      </c>
      <c r="AE417" s="17"/>
    </row>
    <row r="418" spans="1:31" x14ac:dyDescent="0.25">
      <c r="A418" s="17" t="str">
        <f>IF(Worksheet!B414&lt;&gt;"",Worksheet!B414,"")</f>
        <v>TOSOT</v>
      </c>
      <c r="B418" t="str">
        <f>Worksheet!E414</f>
        <v>Канальные</v>
      </c>
      <c r="C418">
        <f>IF(Worksheet!M414&lt;&gt;"",Worksheet!M414,"")</f>
        <v>14</v>
      </c>
      <c r="D418">
        <f t="shared" si="18"/>
        <v>140</v>
      </c>
      <c r="E418" t="str">
        <f>IF(Worksheet!L414&lt;&gt;"",IF(Worksheet!L414="Y","да","нет"),"")</f>
        <v>нет</v>
      </c>
      <c r="F418">
        <f>IF(Worksheet!N414&lt;&gt;"",Worksheet!N414,"")</f>
        <v>15</v>
      </c>
      <c r="G418">
        <f>IF(Worksheet!O414&lt;&gt;"",Worksheet!O414,"")</f>
        <v>5</v>
      </c>
      <c r="H418">
        <f>IF(Worksheet!P414&lt;&gt;"",Worksheet!P414,"")</f>
        <v>4.7</v>
      </c>
      <c r="I418" s="6"/>
      <c r="J418" s="6"/>
      <c r="K418" t="str">
        <f>IF(Worksheet!BI414&lt;&gt;"",Worksheet!BI414,"")</f>
        <v>3 / 380 / 50</v>
      </c>
      <c r="L418" t="str">
        <f>IF(Worksheet!AU414&lt;&gt;"",Worksheet!AU414,"")</f>
        <v>R410A</v>
      </c>
      <c r="M418" s="6"/>
      <c r="N418" s="6"/>
      <c r="O418" t="str">
        <f>IF(Worksheet!CR414&lt;&gt;"",CONCATENATE(Worksheet!CR414," х ",Worksheet!CP414," х ",Worksheet!CT414),"")</f>
        <v>1230 х 290 х 790</v>
      </c>
      <c r="P418" t="str">
        <f>IF(Worksheet!CS414&lt;&gt;"",CONCATENATE(Worksheet!CS414," х ",Worksheet!CU414," х ",Worksheet!CQ414),"")</f>
        <v>1338 х 837 х 305</v>
      </c>
      <c r="Q418" t="str">
        <f>IF(Worksheet!CV414&lt;&gt;"",CONCATENATE(Worksheet!CV414," / ",Worksheet!CW414),"")</f>
        <v>53 / 59.83</v>
      </c>
      <c r="R418" t="str">
        <f>IF(Worksheet!BS414&lt;&gt;"",Worksheet!BS414,"")</f>
        <v/>
      </c>
      <c r="S418" t="str">
        <f>IF(Worksheet!AL414&lt;&gt;"",Worksheet!AL414,"")</f>
        <v>SANYO</v>
      </c>
      <c r="T418" t="str">
        <f>IF(Worksheet!CJ414&lt;&gt;"",CONCATENATE(Worksheet!CJ414," х ",Worksheet!CL414," х ",Worksheet!CH414),"")</f>
        <v/>
      </c>
      <c r="U418" t="str">
        <f>IF(Worksheet!CK414&lt;&gt;"",CONCATENATE(Worksheet!CK414," х ",Worksheet!CM414," х ",Worksheet!CI414),"")</f>
        <v/>
      </c>
      <c r="V418" t="str">
        <f>IF(Worksheet!CN414&lt;&gt;"",CONCATENATE(Worksheet!CN414,"/",Worksheet!CO414),"")</f>
        <v/>
      </c>
      <c r="W418" s="6"/>
      <c r="X418" s="7">
        <f>IF(Worksheet!AN414&lt;&gt;"",Worksheet!AN414,"")</f>
        <v>12.7</v>
      </c>
      <c r="Y418" s="7">
        <f>IF(Worksheet!AO414&lt;&gt;"",Worksheet!AO414,"")</f>
        <v>19</v>
      </c>
      <c r="Z418" s="17">
        <f>IF(Worksheet!Q414&lt;&gt;"",Worksheet!Q414,"")</f>
        <v>50</v>
      </c>
      <c r="AA418" s="17">
        <f>IF(Worksheet!R414&lt;&gt;"",Worksheet!R414,"")</f>
        <v>30</v>
      </c>
      <c r="AB418" t="str">
        <f>IF(Worksheet!X414&lt;&gt;"",CONCATENATE("от ",Worksheet!X414," до +",Worksheet!Y414),"")</f>
        <v>от -15 до +43</v>
      </c>
      <c r="AC418" t="str">
        <f>IF(Worksheet!Z414&lt;&gt;"",CONCATENATE("от ",Worksheet!Z414," до +",Worksheet!AA414),"")</f>
        <v>от -15 до +24</v>
      </c>
      <c r="AD418" s="6" t="s">
        <v>5245</v>
      </c>
      <c r="AE418" s="17"/>
    </row>
    <row r="419" spans="1:31" x14ac:dyDescent="0.25">
      <c r="A419" s="17" t="str">
        <f>IF(Worksheet!B415&lt;&gt;"",Worksheet!B415,"")</f>
        <v>TOSOT</v>
      </c>
      <c r="B419" t="str">
        <f>Worksheet!E415</f>
        <v>Канальные</v>
      </c>
      <c r="C419">
        <f>IF(Worksheet!M415&lt;&gt;"",Worksheet!M415,"")</f>
        <v>16</v>
      </c>
      <c r="D419">
        <f t="shared" si="18"/>
        <v>160</v>
      </c>
      <c r="E419" t="str">
        <f>IF(Worksheet!L415&lt;&gt;"",IF(Worksheet!L415="Y","да","нет"),"")</f>
        <v>нет</v>
      </c>
      <c r="F419">
        <f>IF(Worksheet!N415&lt;&gt;"",Worksheet!N415,"")</f>
        <v>19</v>
      </c>
      <c r="G419">
        <f>IF(Worksheet!O415&lt;&gt;"",Worksheet!O415,"")</f>
        <v>4.3</v>
      </c>
      <c r="H419">
        <f>IF(Worksheet!P415&lt;&gt;"",Worksheet!P415,"")</f>
        <v>5.4</v>
      </c>
      <c r="I419" s="6"/>
      <c r="J419" s="6"/>
      <c r="K419" t="str">
        <f>IF(Worksheet!BI415&lt;&gt;"",Worksheet!BI415,"")</f>
        <v>3 / 380 / 50</v>
      </c>
      <c r="L419" t="str">
        <f>IF(Worksheet!AU415&lt;&gt;"",Worksheet!AU415,"")</f>
        <v>R410A</v>
      </c>
      <c r="M419" s="6"/>
      <c r="N419" s="6"/>
      <c r="O419" t="str">
        <f>IF(Worksheet!CR415&lt;&gt;"",CONCATENATE(Worksheet!CR415," х ",Worksheet!CP415," х ",Worksheet!CT415),"")</f>
        <v>700 х 300 х 1400</v>
      </c>
      <c r="P419" t="str">
        <f>IF(Worksheet!CS415&lt;&gt;"",CONCATENATE(Worksheet!CS415," х ",Worksheet!CU415," х ",Worksheet!CQ415),"")</f>
        <v>813 х 1601 х 365</v>
      </c>
      <c r="Q419" t="str">
        <f>IF(Worksheet!CV415&lt;&gt;"",CONCATENATE(Worksheet!CV415," / ",Worksheet!CW415),"")</f>
        <v>55 / 62</v>
      </c>
      <c r="R419" t="str">
        <f>IF(Worksheet!BS415&lt;&gt;"",Worksheet!BS415,"")</f>
        <v>37/40/45/47</v>
      </c>
      <c r="S419" t="str">
        <f>IF(Worksheet!AL415&lt;&gt;"",Worksheet!AL415,"")</f>
        <v>Gree</v>
      </c>
      <c r="T419" t="str">
        <f>IF(Worksheet!CJ415&lt;&gt;"",CONCATENATE(Worksheet!CJ415," х ",Worksheet!CL415," х ",Worksheet!CH415),"")</f>
        <v/>
      </c>
      <c r="U419" t="str">
        <f>IF(Worksheet!CK415&lt;&gt;"",CONCATENATE(Worksheet!CK415," х ",Worksheet!CM415," х ",Worksheet!CI415),"")</f>
        <v/>
      </c>
      <c r="V419" t="str">
        <f>IF(Worksheet!CN415&lt;&gt;"",CONCATENATE(Worksheet!CN415,"/",Worksheet!CO415),"")</f>
        <v/>
      </c>
      <c r="W419" s="6"/>
      <c r="X419" s="7">
        <f>IF(Worksheet!AN415&lt;&gt;"",Worksheet!AN415,"")</f>
        <v>9.52</v>
      </c>
      <c r="Y419" s="7">
        <f>IF(Worksheet!AO415&lt;&gt;"",Worksheet!AO415,"")</f>
        <v>15.88</v>
      </c>
      <c r="Z419" s="17">
        <f>IF(Worksheet!Q415&lt;&gt;"",Worksheet!Q415,"")</f>
        <v>50</v>
      </c>
      <c r="AA419" s="17">
        <f>IF(Worksheet!R415&lt;&gt;"",Worksheet!R415,"")</f>
        <v>30</v>
      </c>
      <c r="AB419" t="str">
        <f>IF(Worksheet!X415&lt;&gt;"",CONCATENATE("от ",Worksheet!X415," до +",Worksheet!Y415),"")</f>
        <v>от -15 до +48</v>
      </c>
      <c r="AC419" t="str">
        <f>IF(Worksheet!Z415&lt;&gt;"",CONCATENATE("от ",Worksheet!Z415," до +",Worksheet!AA415),"")</f>
        <v>от -15 до +24</v>
      </c>
      <c r="AD419" s="6" t="s">
        <v>5245</v>
      </c>
      <c r="AE419" s="17"/>
    </row>
    <row r="420" spans="1:31" x14ac:dyDescent="0.25">
      <c r="A420" s="17" t="str">
        <f>IF(Worksheet!B416&lt;&gt;"",Worksheet!B416,"")</f>
        <v>TOSOT</v>
      </c>
      <c r="B420" t="str">
        <f>Worksheet!E416</f>
        <v>Канальные</v>
      </c>
      <c r="C420">
        <f>IF(Worksheet!M416&lt;&gt;"",Worksheet!M416,"")</f>
        <v>8.3000000000000007</v>
      </c>
      <c r="D420">
        <f t="shared" si="18"/>
        <v>83</v>
      </c>
      <c r="E420" t="str">
        <f>IF(Worksheet!L416&lt;&gt;"",IF(Worksheet!L416="Y","да","нет"),"")</f>
        <v>нет</v>
      </c>
      <c r="F420">
        <f>IF(Worksheet!N416&lt;&gt;"",Worksheet!N416,"")</f>
        <v>8.8000000000000007</v>
      </c>
      <c r="G420">
        <f>IF(Worksheet!O416&lt;&gt;"",Worksheet!O416,"")</f>
        <v>2.8</v>
      </c>
      <c r="H420">
        <f>IF(Worksheet!P416&lt;&gt;"",Worksheet!P416,"")</f>
        <v>2.7</v>
      </c>
      <c r="I420" s="6"/>
      <c r="J420" s="6"/>
      <c r="K420" t="str">
        <f>IF(Worksheet!BI416&lt;&gt;"",Worksheet!BI416,"")</f>
        <v>1 / 220 / 50</v>
      </c>
      <c r="L420" t="str">
        <f>IF(Worksheet!AU416&lt;&gt;"",Worksheet!AU416,"")</f>
        <v>R410A</v>
      </c>
      <c r="M420" s="6"/>
      <c r="N420" s="6"/>
      <c r="O420" t="str">
        <f>IF(Worksheet!CR416&lt;&gt;"",CONCATENATE(Worksheet!CR416," х ",Worksheet!CP416," х ",Worksheet!CT416),"")</f>
        <v>1260 х 270 х 555</v>
      </c>
      <c r="P420" t="str">
        <f>IF(Worksheet!CS416&lt;&gt;"",CONCATENATE(Worksheet!CS416," х ",Worksheet!CU416," х ",Worksheet!CQ416),"")</f>
        <v>1348 х 597 х 283</v>
      </c>
      <c r="Q420" t="str">
        <f>IF(Worksheet!CV416&lt;&gt;"",CONCATENATE(Worksheet!CV416," / ",Worksheet!CW416),"")</f>
        <v>35 / 40</v>
      </c>
      <c r="R420" t="str">
        <f>IF(Worksheet!BS416&lt;&gt;"",Worksheet!BS416,"")</f>
        <v>48/46/45/44</v>
      </c>
      <c r="S420" t="str">
        <f>IF(Worksheet!AL416&lt;&gt;"",Worksheet!AL416,"")</f>
        <v>Gree</v>
      </c>
      <c r="T420" t="str">
        <f>IF(Worksheet!CJ416&lt;&gt;"",CONCATENATE(Worksheet!CJ416," х ",Worksheet!CL416," х ",Worksheet!CH416),"")</f>
        <v>980 х 425 х 790</v>
      </c>
      <c r="U420" t="str">
        <f>IF(Worksheet!CK416&lt;&gt;"",CONCATENATE(Worksheet!CK416," х ",Worksheet!CM416," х ",Worksheet!CI416),"")</f>
        <v>1083 х 488 х 875</v>
      </c>
      <c r="V420" t="str">
        <f>IF(Worksheet!CN416&lt;&gt;"",CONCATENATE(Worksheet!CN416,"/",Worksheet!CO416),"")</f>
        <v>69/74</v>
      </c>
      <c r="W420" s="6"/>
      <c r="X420" s="7">
        <f>IF(Worksheet!AN416&lt;&gt;"",Worksheet!AN416,"")</f>
        <v>9.52</v>
      </c>
      <c r="Y420" s="7">
        <f>IF(Worksheet!AO416&lt;&gt;"",Worksheet!AO416,"")</f>
        <v>15.8</v>
      </c>
      <c r="Z420" s="17">
        <f>IF(Worksheet!Q416&lt;&gt;"",Worksheet!Q416,"")</f>
        <v>30</v>
      </c>
      <c r="AA420" s="17">
        <f>IF(Worksheet!R416&lt;&gt;"",Worksheet!R416,"")</f>
        <v>15</v>
      </c>
      <c r="AB420" t="str">
        <f>IF(Worksheet!X416&lt;&gt;"",CONCATENATE("от ",Worksheet!X416," до +",Worksheet!Y416),"")</f>
        <v>от -15 до +43</v>
      </c>
      <c r="AC420" t="str">
        <f>IF(Worksheet!Z416&lt;&gt;"",CONCATENATE("от ",Worksheet!Z416," до +",Worksheet!AA416),"")</f>
        <v>от -15 до +24</v>
      </c>
      <c r="AD420" s="6" t="s">
        <v>5245</v>
      </c>
      <c r="AE420" s="17"/>
    </row>
    <row r="421" spans="1:31" x14ac:dyDescent="0.25">
      <c r="A421" s="17" t="str">
        <f>IF(Worksheet!B417&lt;&gt;"",Worksheet!B417,"")</f>
        <v>TOSOT</v>
      </c>
      <c r="B421" t="str">
        <f>Worksheet!E417</f>
        <v>Канальные</v>
      </c>
      <c r="C421">
        <f>IF(Worksheet!M417&lt;&gt;"",Worksheet!M417,"")</f>
        <v>11.98</v>
      </c>
      <c r="D421">
        <f t="shared" si="18"/>
        <v>120</v>
      </c>
      <c r="E421" t="str">
        <f>IF(Worksheet!L417&lt;&gt;"",IF(Worksheet!L417="Y","да","нет"),"")</f>
        <v>нет</v>
      </c>
      <c r="F421">
        <f>IF(Worksheet!N417&lt;&gt;"",Worksheet!N417,"")</f>
        <v>13.5</v>
      </c>
      <c r="G421">
        <f>IF(Worksheet!O417&lt;&gt;"",Worksheet!O417,"")</f>
        <v>4.4000000000000004</v>
      </c>
      <c r="H421">
        <f>IF(Worksheet!P417&lt;&gt;"",Worksheet!P417,"")</f>
        <v>4.05</v>
      </c>
      <c r="I421" s="6"/>
      <c r="J421" s="6"/>
      <c r="K421" t="str">
        <f>IF(Worksheet!BI417&lt;&gt;"",Worksheet!BI417,"")</f>
        <v>3 / 380 / 50</v>
      </c>
      <c r="L421" t="str">
        <f>IF(Worksheet!AU417&lt;&gt;"",Worksheet!AU417,"")</f>
        <v>R410A</v>
      </c>
      <c r="M421" s="6"/>
      <c r="N421" s="6"/>
      <c r="O421" t="str">
        <f>IF(Worksheet!CR417&lt;&gt;"",CONCATENATE(Worksheet!CR417," х ",Worksheet!CP417," х ",Worksheet!CT417),"")</f>
        <v>700 х 300 х 1000</v>
      </c>
      <c r="P421" t="str">
        <f>IF(Worksheet!CS417&lt;&gt;"",CONCATENATE(Worksheet!CS417," х ",Worksheet!CU417," х ",Worksheet!CQ417),"")</f>
        <v>813 х 1205 х 360</v>
      </c>
      <c r="Q421" t="str">
        <f>IF(Worksheet!CV417&lt;&gt;"",CONCATENATE(Worksheet!CV417," / ",Worksheet!CW417),"")</f>
        <v>42 / 48</v>
      </c>
      <c r="R421" t="str">
        <f>IF(Worksheet!BS417&lt;&gt;"",Worksheet!BS417,"")</f>
        <v>35/38/42/44</v>
      </c>
      <c r="S421" t="str">
        <f>IF(Worksheet!AL417&lt;&gt;"",Worksheet!AL417,"")</f>
        <v>Gree</v>
      </c>
      <c r="T421" t="str">
        <f>IF(Worksheet!CJ417&lt;&gt;"",CONCATENATE(Worksheet!CJ417," х ",Worksheet!CL417," х ",Worksheet!CH417),"")</f>
        <v>460 х 940 х 820</v>
      </c>
      <c r="U421" t="str">
        <f>IF(Worksheet!CK417&lt;&gt;"",CONCATENATE(Worksheet!CK417," х ",Worksheet!CM417," х ",Worksheet!CI417),"")</f>
        <v>573 х 1083 х 973</v>
      </c>
      <c r="V421" t="str">
        <f>IF(Worksheet!CN417&lt;&gt;"",CONCATENATE(Worksheet!CN417,"/",Worksheet!CO417),"")</f>
        <v>97/108</v>
      </c>
      <c r="W421" s="6"/>
      <c r="X421" s="7">
        <f>IF(Worksheet!AN417&lt;&gt;"",Worksheet!AN417,"")</f>
        <v>9.52</v>
      </c>
      <c r="Y421" s="7">
        <f>IF(Worksheet!AO417&lt;&gt;"",Worksheet!AO417,"")</f>
        <v>15.88</v>
      </c>
      <c r="Z421" s="17">
        <f>IF(Worksheet!Q417&lt;&gt;"",Worksheet!Q417,"")</f>
        <v>50</v>
      </c>
      <c r="AA421" s="17">
        <f>IF(Worksheet!R417&lt;&gt;"",Worksheet!R417,"")</f>
        <v>30</v>
      </c>
      <c r="AB421" t="str">
        <f>IF(Worksheet!X417&lt;&gt;"",CONCATENATE("от ",Worksheet!X417," до +",Worksheet!Y417),"")</f>
        <v>от -15 до +48</v>
      </c>
      <c r="AC421" t="str">
        <f>IF(Worksheet!Z417&lt;&gt;"",CONCATENATE("от ",Worksheet!Z417," до +",Worksheet!AA417),"")</f>
        <v>от 15 до +24</v>
      </c>
      <c r="AD421" s="6" t="s">
        <v>5245</v>
      </c>
      <c r="AE421" s="17"/>
    </row>
    <row r="422" spans="1:31" x14ac:dyDescent="0.25">
      <c r="A422" s="17" t="str">
        <f>IF(Worksheet!B418&lt;&gt;"",Worksheet!B418,"")</f>
        <v>TOSOT</v>
      </c>
      <c r="B422" t="str">
        <f>Worksheet!E418</f>
        <v>Кассетные</v>
      </c>
      <c r="C422">
        <f>IF(Worksheet!M418&lt;&gt;"",Worksheet!M418,"")</f>
        <v>5</v>
      </c>
      <c r="D422">
        <f t="shared" si="18"/>
        <v>50</v>
      </c>
      <c r="E422" t="str">
        <f>IF(Worksheet!L418&lt;&gt;"",IF(Worksheet!L418="Y","да","нет"),"")</f>
        <v>нет</v>
      </c>
      <c r="F422">
        <f>IF(Worksheet!N418&lt;&gt;"",Worksheet!N418,"")</f>
        <v>5.4</v>
      </c>
      <c r="G422">
        <f>IF(Worksheet!O418&lt;&gt;"",Worksheet!O418,"")</f>
        <v>2</v>
      </c>
      <c r="H422">
        <f>IF(Worksheet!P418&lt;&gt;"",Worksheet!P418,"")</f>
        <v>1.9</v>
      </c>
      <c r="I422" s="6"/>
      <c r="J422" s="6"/>
      <c r="K422" t="str">
        <f>IF(Worksheet!BI418&lt;&gt;"",Worksheet!BI418,"")</f>
        <v>1 / 220 / 50</v>
      </c>
      <c r="L422" t="str">
        <f>IF(Worksheet!AU418&lt;&gt;"",Worksheet!AU418,"")</f>
        <v>R410A</v>
      </c>
      <c r="M422" s="6"/>
      <c r="N422" s="6"/>
      <c r="O422" t="str">
        <f>IF(Worksheet!CR418&lt;&gt;"",CONCATENATE(Worksheet!CR418," х ",Worksheet!CP418," х ",Worksheet!CT418),"")</f>
        <v>670 х 50 х 670</v>
      </c>
      <c r="P422" t="str">
        <f>IF(Worksheet!CS418&lt;&gt;"",CONCATENATE(Worksheet!CS418," х ",Worksheet!CU418," х ",Worksheet!CQ418),"")</f>
        <v>763 х 763 х 105</v>
      </c>
      <c r="Q422" t="str">
        <f>IF(Worksheet!CV418&lt;&gt;"",CONCATENATE(Worksheet!CV418," / ",Worksheet!CW418),"")</f>
        <v>3.5 / 5</v>
      </c>
      <c r="R422" t="str">
        <f>IF(Worksheet!BS418&lt;&gt;"",Worksheet!BS418,"")</f>
        <v>50/49/47/46</v>
      </c>
      <c r="S422" t="str">
        <f>IF(Worksheet!AL418&lt;&gt;"",Worksheet!AL418,"")</f>
        <v>Gree</v>
      </c>
      <c r="T422" t="str">
        <f>IF(Worksheet!CJ418&lt;&gt;"",CONCATENATE(Worksheet!CJ418," х ",Worksheet!CL418," х ",Worksheet!CH418),"")</f>
        <v>955 х 395 х 700</v>
      </c>
      <c r="U422" t="str">
        <f>IF(Worksheet!CK418&lt;&gt;"",CONCATENATE(Worksheet!CK418," х ",Worksheet!CM418," х ",Worksheet!CI418),"")</f>
        <v>1029 х 458 х 750</v>
      </c>
      <c r="V422" t="str">
        <f>IF(Worksheet!CN418&lt;&gt;"",CONCATENATE(Worksheet!CN418,"/",Worksheet!CO418),"")</f>
        <v>53/58</v>
      </c>
      <c r="W422" s="6"/>
      <c r="X422" s="7">
        <f>IF(Worksheet!AN418&lt;&gt;"",Worksheet!AN418,"")</f>
        <v>6.35</v>
      </c>
      <c r="Y422" s="7">
        <f>IF(Worksheet!AO418&lt;&gt;"",Worksheet!AO418,"")</f>
        <v>12.7</v>
      </c>
      <c r="Z422" s="17">
        <f>IF(Worksheet!Q418&lt;&gt;"",Worksheet!Q418,"")</f>
        <v>25</v>
      </c>
      <c r="AA422" s="17">
        <f>IF(Worksheet!R418&lt;&gt;"",Worksheet!R418,"")</f>
        <v>15</v>
      </c>
      <c r="AB422" t="str">
        <f>IF(Worksheet!X418&lt;&gt;"",CONCATENATE("от ",Worksheet!X418," до +",Worksheet!Y418),"")</f>
        <v>от -15 до +43</v>
      </c>
      <c r="AC422" t="str">
        <f>IF(Worksheet!Z418&lt;&gt;"",CONCATENATE("от ",Worksheet!Z418," до +",Worksheet!AA418),"")</f>
        <v>от -15 до +24</v>
      </c>
      <c r="AD422" s="6" t="s">
        <v>5245</v>
      </c>
      <c r="AE422" s="17"/>
    </row>
    <row r="423" spans="1:31" x14ac:dyDescent="0.25">
      <c r="A423" s="17" t="str">
        <f>IF(Worksheet!B419&lt;&gt;"",Worksheet!B419,"")</f>
        <v>TOSOT</v>
      </c>
      <c r="B423" t="str">
        <f>Worksheet!E419</f>
        <v>Кассетные</v>
      </c>
      <c r="C423">
        <f>IF(Worksheet!M419&lt;&gt;"",Worksheet!M419,"")</f>
        <v>4.8</v>
      </c>
      <c r="D423">
        <f t="shared" si="18"/>
        <v>48</v>
      </c>
      <c r="E423" t="str">
        <f>IF(Worksheet!L419&lt;&gt;"",IF(Worksheet!L419="Y","да","нет"),"")</f>
        <v>нет</v>
      </c>
      <c r="F423">
        <f>IF(Worksheet!N419&lt;&gt;"",Worksheet!N419,"")</f>
        <v>5</v>
      </c>
      <c r="G423">
        <f>IF(Worksheet!O419&lt;&gt;"",Worksheet!O419,"")</f>
        <v>1.55</v>
      </c>
      <c r="H423">
        <f>IF(Worksheet!P419&lt;&gt;"",Worksheet!P419,"")</f>
        <v>1.35</v>
      </c>
      <c r="I423" s="6"/>
      <c r="J423" s="6"/>
      <c r="K423" t="str">
        <f>IF(Worksheet!BI419&lt;&gt;"",Worksheet!BI419,"")</f>
        <v>1 / 220 / 50</v>
      </c>
      <c r="L423" t="str">
        <f>IF(Worksheet!AU419&lt;&gt;"",Worksheet!AU419,"")</f>
        <v>R410A</v>
      </c>
      <c r="M423" s="6"/>
      <c r="N423" s="6"/>
      <c r="O423" t="str">
        <f>IF(Worksheet!CR419&lt;&gt;"",CONCATENATE(Worksheet!CR419," х ",Worksheet!CP419," х ",Worksheet!CT419),"")</f>
        <v>620 х 47.5 х 620</v>
      </c>
      <c r="P423" t="str">
        <f>IF(Worksheet!CS419&lt;&gt;"",CONCATENATE(Worksheet!CS419," х ",Worksheet!CU419," х ",Worksheet!CQ419),"")</f>
        <v>701 х 701 х 125</v>
      </c>
      <c r="Q423" t="str">
        <f>IF(Worksheet!CV419&lt;&gt;"",CONCATENATE(Worksheet!CV419," / ",Worksheet!CW419),"")</f>
        <v>3 / 4.5</v>
      </c>
      <c r="R423" t="str">
        <f>IF(Worksheet!BS419&lt;&gt;"",Worksheet!BS419,"")</f>
        <v>35/38/43/44</v>
      </c>
      <c r="S423" t="str">
        <f>IF(Worksheet!AL419&lt;&gt;"",Worksheet!AL419,"")</f>
        <v>Gree</v>
      </c>
      <c r="T423" t="str">
        <f>IF(Worksheet!CJ419&lt;&gt;"",CONCATENATE(Worksheet!CJ419," х ",Worksheet!CL419," х ",Worksheet!CH419),"")</f>
        <v>761 х 256 х 548</v>
      </c>
      <c r="U423" t="str">
        <f>IF(Worksheet!CK419&lt;&gt;"",CONCATENATE(Worksheet!CK419," х ",Worksheet!CM419," х ",Worksheet!CI419),"")</f>
        <v>881 х 363 х 595</v>
      </c>
      <c r="V423" t="str">
        <f>IF(Worksheet!CN419&lt;&gt;"",CONCATENATE(Worksheet!CN419,"/",Worksheet!CO419),"")</f>
        <v>39/41.5</v>
      </c>
      <c r="W423" s="6"/>
      <c r="X423" s="7">
        <f>IF(Worksheet!AN419&lt;&gt;"",Worksheet!AN419,"")</f>
        <v>6.35</v>
      </c>
      <c r="Y423" s="7">
        <f>IF(Worksheet!AO419&lt;&gt;"",Worksheet!AO419,"")</f>
        <v>12.7</v>
      </c>
      <c r="Z423" s="17">
        <f>IF(Worksheet!Q419&lt;&gt;"",Worksheet!Q419,"")</f>
        <v>30</v>
      </c>
      <c r="AA423" s="17">
        <f>IF(Worksheet!R419&lt;&gt;"",Worksheet!R419,"")</f>
        <v>15</v>
      </c>
      <c r="AB423" t="str">
        <f>IF(Worksheet!X419&lt;&gt;"",CONCATENATE("от ",Worksheet!X419," до +",Worksheet!Y419),"")</f>
        <v/>
      </c>
      <c r="AC423" t="str">
        <f>IF(Worksheet!Z419&lt;&gt;"",CONCATENATE("от ",Worksheet!Z419," до +",Worksheet!AA419),"")</f>
        <v>от -15 до +24</v>
      </c>
      <c r="AD423" s="6" t="s">
        <v>5245</v>
      </c>
      <c r="AE423" s="17"/>
    </row>
    <row r="424" spans="1:31" x14ac:dyDescent="0.25">
      <c r="A424" s="17" t="str">
        <f>IF(Worksheet!B420&lt;&gt;"",Worksheet!B420,"")</f>
        <v>TOSOT</v>
      </c>
      <c r="B424" t="str">
        <f>Worksheet!E420</f>
        <v>Кассетные</v>
      </c>
      <c r="C424">
        <f>IF(Worksheet!M420&lt;&gt;"",Worksheet!M420,"")</f>
        <v>7</v>
      </c>
      <c r="D424">
        <f t="shared" si="18"/>
        <v>70</v>
      </c>
      <c r="E424" t="str">
        <f>IF(Worksheet!L420&lt;&gt;"",IF(Worksheet!L420="Y","да","нет"),"")</f>
        <v>нет</v>
      </c>
      <c r="F424">
        <f>IF(Worksheet!N420&lt;&gt;"",Worksheet!N420,"")</f>
        <v>7.6</v>
      </c>
      <c r="G424">
        <f>IF(Worksheet!O420&lt;&gt;"",Worksheet!O420,"")</f>
        <v>2.5</v>
      </c>
      <c r="H424">
        <f>IF(Worksheet!P420&lt;&gt;"",Worksheet!P420,"")</f>
        <v>2.2999999999999998</v>
      </c>
      <c r="I424" s="6"/>
      <c r="J424" s="6"/>
      <c r="K424" t="str">
        <f>IF(Worksheet!BI420&lt;&gt;"",Worksheet!BI420,"")</f>
        <v>1 / 220 / 50</v>
      </c>
      <c r="L424" t="str">
        <f>IF(Worksheet!AU420&lt;&gt;"",Worksheet!AU420,"")</f>
        <v>R410A</v>
      </c>
      <c r="M424" s="6"/>
      <c r="N424" s="6"/>
      <c r="O424" t="str">
        <f>IF(Worksheet!CR420&lt;&gt;"",CONCATENATE(Worksheet!CR420," х ",Worksheet!CP420," х ",Worksheet!CT420),"")</f>
        <v>950 х 60 х 950</v>
      </c>
      <c r="P424" t="str">
        <f>IF(Worksheet!CS420&lt;&gt;"",CONCATENATE(Worksheet!CS420," х ",Worksheet!CU420," х ",Worksheet!CQ420),"")</f>
        <v>1038 х 1033 х 133</v>
      </c>
      <c r="Q424" t="str">
        <f>IF(Worksheet!CV420&lt;&gt;"",CONCATENATE(Worksheet!CV420," / ",Worksheet!CW420),"")</f>
        <v>7 / 11</v>
      </c>
      <c r="R424" t="str">
        <f>IF(Worksheet!BS420&lt;&gt;"",Worksheet!BS420,"")</f>
        <v>49/48/47/46</v>
      </c>
      <c r="S424" t="str">
        <f>IF(Worksheet!AL420&lt;&gt;"",Worksheet!AL420,"")</f>
        <v>Gree</v>
      </c>
      <c r="T424" t="str">
        <f>IF(Worksheet!CJ420&lt;&gt;"",CONCATENATE(Worksheet!CJ420," х ",Worksheet!CL420," х ",Worksheet!CH420),"")</f>
        <v>955 х 395 х 700</v>
      </c>
      <c r="U424" t="str">
        <f>IF(Worksheet!CK420&lt;&gt;"",CONCATENATE(Worksheet!CK420," х ",Worksheet!CM420," х ",Worksheet!CI420),"")</f>
        <v>1029 х 458 х 750</v>
      </c>
      <c r="V424" t="str">
        <f>IF(Worksheet!CN420&lt;&gt;"",CONCATENATE(Worksheet!CN420,"/",Worksheet!CO420),"")</f>
        <v>61/66</v>
      </c>
      <c r="W424" s="6"/>
      <c r="X424" s="7">
        <f>IF(Worksheet!AN420&lt;&gt;"",Worksheet!AN420,"")</f>
        <v>9.52</v>
      </c>
      <c r="Y424" s="7">
        <f>IF(Worksheet!AO420&lt;&gt;"",Worksheet!AO420,"")</f>
        <v>15.8</v>
      </c>
      <c r="Z424" s="17">
        <f>IF(Worksheet!Q420&lt;&gt;"",Worksheet!Q420,"")</f>
        <v>30</v>
      </c>
      <c r="AA424" s="17">
        <f>IF(Worksheet!R420&lt;&gt;"",Worksheet!R420,"")</f>
        <v>15</v>
      </c>
      <c r="AB424" t="str">
        <f>IF(Worksheet!X420&lt;&gt;"",CONCATENATE("от ",Worksheet!X420," до +",Worksheet!Y420),"")</f>
        <v>от -15 до +43</v>
      </c>
      <c r="AC424" t="str">
        <f>IF(Worksheet!Z420&lt;&gt;"",CONCATENATE("от ",Worksheet!Z420," до +",Worksheet!AA420),"")</f>
        <v>от -15 до +24</v>
      </c>
      <c r="AD424" s="6" t="s">
        <v>5245</v>
      </c>
      <c r="AE424" s="17"/>
    </row>
    <row r="425" spans="1:31" x14ac:dyDescent="0.25">
      <c r="A425" s="17" t="str">
        <f>IF(Worksheet!B421&lt;&gt;"",Worksheet!B421,"")</f>
        <v>TOSOT</v>
      </c>
      <c r="B425" t="str">
        <f>Worksheet!E421</f>
        <v>Кассетные</v>
      </c>
      <c r="C425">
        <f>IF(Worksheet!M421&lt;&gt;"",Worksheet!M421,"")</f>
        <v>7.1</v>
      </c>
      <c r="D425">
        <f t="shared" si="18"/>
        <v>71</v>
      </c>
      <c r="E425" t="str">
        <f>IF(Worksheet!L421&lt;&gt;"",IF(Worksheet!L421="Y","да","нет"),"")</f>
        <v>нет</v>
      </c>
      <c r="F425">
        <f>IF(Worksheet!N421&lt;&gt;"",Worksheet!N421,"")</f>
        <v>7.4</v>
      </c>
      <c r="G425">
        <f>IF(Worksheet!O421&lt;&gt;"",Worksheet!O421,"")</f>
        <v>2.15</v>
      </c>
      <c r="H425">
        <f>IF(Worksheet!P421&lt;&gt;"",Worksheet!P421,"")</f>
        <v>2.0499999999999998</v>
      </c>
      <c r="I425" s="6"/>
      <c r="J425" s="6"/>
      <c r="K425" t="str">
        <f>IF(Worksheet!BI421&lt;&gt;"",Worksheet!BI421,"")</f>
        <v>1 / 220 / 50</v>
      </c>
      <c r="L425" t="str">
        <f>IF(Worksheet!AU421&lt;&gt;"",Worksheet!AU421,"")</f>
        <v>R410A</v>
      </c>
      <c r="M425" s="6"/>
      <c r="N425" s="6"/>
      <c r="O425" t="str">
        <f>IF(Worksheet!CR421&lt;&gt;"",CONCATENATE(Worksheet!CR421," х ",Worksheet!CP421," х ",Worksheet!CT421),"")</f>
        <v>950 х 52 х 950</v>
      </c>
      <c r="P425" t="str">
        <f>IF(Worksheet!CS421&lt;&gt;"",CONCATENATE(Worksheet!CS421," х ",Worksheet!CU421," х ",Worksheet!CQ421),"")</f>
        <v>1033 х 1038 х 112</v>
      </c>
      <c r="Q425" t="str">
        <f>IF(Worksheet!CV421&lt;&gt;"",CONCATENATE(Worksheet!CV421," / ",Worksheet!CW421),"")</f>
        <v>6 / 9.5</v>
      </c>
      <c r="R425" t="str">
        <f>IF(Worksheet!BS421&lt;&gt;"",Worksheet!BS421,"")</f>
        <v>39/42/45/46</v>
      </c>
      <c r="S425" t="str">
        <f>IF(Worksheet!AL421&lt;&gt;"",Worksheet!AL421,"")</f>
        <v>Gree</v>
      </c>
      <c r="T425" t="str">
        <f>IF(Worksheet!CJ421&lt;&gt;"",CONCATENATE(Worksheet!CJ421," х ",Worksheet!CL421," х ",Worksheet!CH421),"")</f>
        <v>892 х 340 х 698</v>
      </c>
      <c r="U425" t="str">
        <f>IF(Worksheet!CK421&lt;&gt;"",CONCATENATE(Worksheet!CK421," х ",Worksheet!CM421," х ",Worksheet!CI421),"")</f>
        <v>1029 х 458 х 750</v>
      </c>
      <c r="V425" t="str">
        <f>IF(Worksheet!CN421&lt;&gt;"",CONCATENATE(Worksheet!CN421,"/",Worksheet!CO421),"")</f>
        <v>59/63</v>
      </c>
      <c r="W425" s="6"/>
      <c r="X425" s="7">
        <f>IF(Worksheet!AN421&lt;&gt;"",Worksheet!AN421,"")</f>
        <v>9.52</v>
      </c>
      <c r="Y425" s="7">
        <f>IF(Worksheet!AO421&lt;&gt;"",Worksheet!AO421,"")</f>
        <v>15.88</v>
      </c>
      <c r="Z425" s="17">
        <f>IF(Worksheet!Q421&lt;&gt;"",Worksheet!Q421,"")</f>
        <v>30</v>
      </c>
      <c r="AA425" s="17">
        <f>IF(Worksheet!R421&lt;&gt;"",Worksheet!R421,"")</f>
        <v>15</v>
      </c>
      <c r="AB425" t="str">
        <f>IF(Worksheet!X421&lt;&gt;"",CONCATENATE("от ",Worksheet!X421," до +",Worksheet!Y421),"")</f>
        <v>от -15 до +48</v>
      </c>
      <c r="AC425" t="str">
        <f>IF(Worksheet!Z421&lt;&gt;"",CONCATENATE("от ",Worksheet!Z421," до +",Worksheet!AA421),"")</f>
        <v>от -15 до +24</v>
      </c>
      <c r="AD425" s="6" t="s">
        <v>5245</v>
      </c>
      <c r="AE425" s="17"/>
    </row>
    <row r="426" spans="1:31" x14ac:dyDescent="0.25">
      <c r="A426" s="17" t="str">
        <f>IF(Worksheet!B422&lt;&gt;"",Worksheet!B422,"")</f>
        <v>TOSOT</v>
      </c>
      <c r="B426" t="str">
        <f>Worksheet!E422</f>
        <v>Кассетные</v>
      </c>
      <c r="C426">
        <f>IF(Worksheet!M422&lt;&gt;"",Worksheet!M422,"")</f>
        <v>8.5</v>
      </c>
      <c r="D426">
        <f t="shared" si="18"/>
        <v>85</v>
      </c>
      <c r="E426" t="str">
        <f>IF(Worksheet!L422&lt;&gt;"",IF(Worksheet!L422="Y","да","нет"),"")</f>
        <v>нет</v>
      </c>
      <c r="F426">
        <f>IF(Worksheet!N422&lt;&gt;"",Worksheet!N422,"")</f>
        <v>9</v>
      </c>
      <c r="G426">
        <f>IF(Worksheet!O422&lt;&gt;"",Worksheet!O422,"")</f>
        <v>2.7</v>
      </c>
      <c r="H426">
        <f>IF(Worksheet!P422&lt;&gt;"",Worksheet!P422,"")</f>
        <v>2.6</v>
      </c>
      <c r="I426" s="6"/>
      <c r="J426" s="6"/>
      <c r="K426" t="str">
        <f>IF(Worksheet!BI422&lt;&gt;"",Worksheet!BI422,"")</f>
        <v>1 / 220 / 50</v>
      </c>
      <c r="L426" t="str">
        <f>IF(Worksheet!AU422&lt;&gt;"",Worksheet!AU422,"")</f>
        <v>R410A</v>
      </c>
      <c r="M426" s="6"/>
      <c r="N426" s="6"/>
      <c r="O426" t="str">
        <f>IF(Worksheet!CR422&lt;&gt;"",CONCATENATE(Worksheet!CR422," х ",Worksheet!CP422," х ",Worksheet!CT422),"")</f>
        <v>950 х 60 х 950</v>
      </c>
      <c r="P426" t="str">
        <f>IF(Worksheet!CS422&lt;&gt;"",CONCATENATE(Worksheet!CS422," х ",Worksheet!CU422," х ",Worksheet!CQ422),"")</f>
        <v>1038 х 1033 х 133</v>
      </c>
      <c r="Q426" t="str">
        <f>IF(Worksheet!CV422&lt;&gt;"",CONCATENATE(Worksheet!CV422," / ",Worksheet!CW422),"")</f>
        <v>7 / 11</v>
      </c>
      <c r="R426" t="str">
        <f>IF(Worksheet!BS422&lt;&gt;"",Worksheet!BS422,"")</f>
        <v>51/50/49/48</v>
      </c>
      <c r="S426" t="str">
        <f>IF(Worksheet!AL422&lt;&gt;"",Worksheet!AL422,"")</f>
        <v>Gree</v>
      </c>
      <c r="T426" t="str">
        <f>IF(Worksheet!CJ422&lt;&gt;"",CONCATENATE(Worksheet!CJ422," х ",Worksheet!CL422," х ",Worksheet!CH422),"")</f>
        <v>980 х 425 х 790</v>
      </c>
      <c r="U426" t="str">
        <f>IF(Worksheet!CK422&lt;&gt;"",CONCATENATE(Worksheet!CK422," х ",Worksheet!CM422," х ",Worksheet!CI422),"")</f>
        <v>1083 х 488 х 875</v>
      </c>
      <c r="V426" t="str">
        <f>IF(Worksheet!CN422&lt;&gt;"",CONCATENATE(Worksheet!CN422,"/",Worksheet!CO422),"")</f>
        <v>69/74</v>
      </c>
      <c r="W426" s="6"/>
      <c r="X426" s="7">
        <f>IF(Worksheet!AN422&lt;&gt;"",Worksheet!AN422,"")</f>
        <v>9.52</v>
      </c>
      <c r="Y426" s="7">
        <f>IF(Worksheet!AO422&lt;&gt;"",Worksheet!AO422,"")</f>
        <v>15.8</v>
      </c>
      <c r="Z426" s="17">
        <f>IF(Worksheet!Q422&lt;&gt;"",Worksheet!Q422,"")</f>
        <v>30</v>
      </c>
      <c r="AA426" s="17">
        <f>IF(Worksheet!R422&lt;&gt;"",Worksheet!R422,"")</f>
        <v>15</v>
      </c>
      <c r="AB426" t="str">
        <f>IF(Worksheet!X422&lt;&gt;"",CONCATENATE("от ",Worksheet!X422," до +",Worksheet!Y422),"")</f>
        <v>от -15 до +43</v>
      </c>
      <c r="AC426" t="str">
        <f>IF(Worksheet!Z422&lt;&gt;"",CONCATENATE("от ",Worksheet!Z422," до +",Worksheet!AA422),"")</f>
        <v>от -15 до +24</v>
      </c>
      <c r="AD426" s="6" t="s">
        <v>5245</v>
      </c>
      <c r="AE426" s="17"/>
    </row>
    <row r="427" spans="1:31" x14ac:dyDescent="0.25">
      <c r="A427" s="17" t="str">
        <f>IF(Worksheet!B423&lt;&gt;"",Worksheet!B423,"")</f>
        <v>TOSOT</v>
      </c>
      <c r="B427" t="str">
        <f>Worksheet!E423</f>
        <v>Кассетные</v>
      </c>
      <c r="C427">
        <f>IF(Worksheet!M423&lt;&gt;"",Worksheet!M423,"")</f>
        <v>8.3000000000000007</v>
      </c>
      <c r="D427">
        <f t="shared" si="18"/>
        <v>83</v>
      </c>
      <c r="E427" t="str">
        <f>IF(Worksheet!L423&lt;&gt;"",IF(Worksheet!L423="Y","да","нет"),"")</f>
        <v>нет</v>
      </c>
      <c r="F427">
        <f>IF(Worksheet!N423&lt;&gt;"",Worksheet!N423,"")</f>
        <v>8.8000000000000007</v>
      </c>
      <c r="G427">
        <f>IF(Worksheet!O423&lt;&gt;"",Worksheet!O423,"")</f>
        <v>2.8</v>
      </c>
      <c r="H427">
        <f>IF(Worksheet!P423&lt;&gt;"",Worksheet!P423,"")</f>
        <v>2.7</v>
      </c>
      <c r="I427" s="6"/>
      <c r="J427" s="6"/>
      <c r="K427" t="str">
        <f>IF(Worksheet!BI423&lt;&gt;"",Worksheet!BI423,"")</f>
        <v>1 / 220 / 50</v>
      </c>
      <c r="L427" t="str">
        <f>IF(Worksheet!AU423&lt;&gt;"",Worksheet!AU423,"")</f>
        <v>R410A</v>
      </c>
      <c r="M427" s="6"/>
      <c r="N427" s="6"/>
      <c r="O427" t="str">
        <f>IF(Worksheet!CR423&lt;&gt;"",CONCATENATE(Worksheet!CR423," х ",Worksheet!CP423," х ",Worksheet!CT423),"")</f>
        <v>950 х 52 х 950</v>
      </c>
      <c r="P427" t="str">
        <f>IF(Worksheet!CS423&lt;&gt;"",CONCATENATE(Worksheet!CS423," х ",Worksheet!CU423," х ",Worksheet!CQ423),"")</f>
        <v>1033 х 1038 х 112</v>
      </c>
      <c r="Q427" t="str">
        <f>IF(Worksheet!CV423&lt;&gt;"",CONCATENATE(Worksheet!CV423," / ",Worksheet!CW423),"")</f>
        <v>6 / 9.5</v>
      </c>
      <c r="R427" t="str">
        <f>IF(Worksheet!BS423&lt;&gt;"",Worksheet!BS423,"")</f>
        <v>45/48/50/52</v>
      </c>
      <c r="S427" t="str">
        <f>IF(Worksheet!AL423&lt;&gt;"",Worksheet!AL423,"")</f>
        <v>Gree</v>
      </c>
      <c r="T427" t="str">
        <f>IF(Worksheet!CJ423&lt;&gt;"",CONCATENATE(Worksheet!CJ423," х ",Worksheet!CL423," х ",Worksheet!CH423),"")</f>
        <v>340 х 892 х 698</v>
      </c>
      <c r="U427" t="str">
        <f>IF(Worksheet!CK423&lt;&gt;"",CONCATENATE(Worksheet!CK423," х ",Worksheet!CM423," х ",Worksheet!CI423),"")</f>
        <v>458 х 1029 х 750</v>
      </c>
      <c r="V427" t="str">
        <f>IF(Worksheet!CN423&lt;&gt;"",CONCATENATE(Worksheet!CN423,"/",Worksheet!CO423),"")</f>
        <v>64/69</v>
      </c>
      <c r="W427" s="6"/>
      <c r="X427" s="7">
        <f>IF(Worksheet!AN423&lt;&gt;"",Worksheet!AN423,"")</f>
        <v>9.52</v>
      </c>
      <c r="Y427" s="7">
        <f>IF(Worksheet!AO423&lt;&gt;"",Worksheet!AO423,"")</f>
        <v>15.88</v>
      </c>
      <c r="Z427" s="17">
        <f>IF(Worksheet!Q423&lt;&gt;"",Worksheet!Q423,"")</f>
        <v>30</v>
      </c>
      <c r="AA427" s="17">
        <f>IF(Worksheet!R423&lt;&gt;"",Worksheet!R423,"")</f>
        <v>15</v>
      </c>
      <c r="AB427" t="str">
        <f>IF(Worksheet!X423&lt;&gt;"",CONCATENATE("от ",Worksheet!X423," до +",Worksheet!Y423),"")</f>
        <v>от -15 до +48</v>
      </c>
      <c r="AC427" t="str">
        <f>IF(Worksheet!Z423&lt;&gt;"",CONCATENATE("от ",Worksheet!Z423," до +",Worksheet!AA423),"")</f>
        <v>от -15 до +24</v>
      </c>
      <c r="AD427" s="6" t="s">
        <v>5245</v>
      </c>
      <c r="AE427" s="17"/>
    </row>
    <row r="428" spans="1:31" x14ac:dyDescent="0.25">
      <c r="A428" s="17" t="str">
        <f>IF(Worksheet!B424&lt;&gt;"",Worksheet!B424,"")</f>
        <v>TOSOT</v>
      </c>
      <c r="B428" t="str">
        <f>Worksheet!E424</f>
        <v>Кассетные</v>
      </c>
      <c r="C428">
        <f>IF(Worksheet!M424&lt;&gt;"",Worksheet!M424,"")</f>
        <v>10</v>
      </c>
      <c r="D428">
        <f t="shared" si="18"/>
        <v>100</v>
      </c>
      <c r="E428" t="str">
        <f>IF(Worksheet!L424&lt;&gt;"",IF(Worksheet!L424="Y","да","нет"),"")</f>
        <v>нет</v>
      </c>
      <c r="F428">
        <f>IF(Worksheet!N424&lt;&gt;"",Worksheet!N424,"")</f>
        <v>11.5</v>
      </c>
      <c r="G428">
        <f>IF(Worksheet!O424&lt;&gt;"",Worksheet!O424,"")</f>
        <v>3.5</v>
      </c>
      <c r="H428">
        <f>IF(Worksheet!P424&lt;&gt;"",Worksheet!P424,"")</f>
        <v>3.3</v>
      </c>
      <c r="I428" s="6"/>
      <c r="J428" s="6"/>
      <c r="K428" t="str">
        <f>IF(Worksheet!BI424&lt;&gt;"",Worksheet!BI424,"")</f>
        <v>3 / 380 / 50</v>
      </c>
      <c r="L428" t="str">
        <f>IF(Worksheet!AU424&lt;&gt;"",Worksheet!AU424,"")</f>
        <v>R410A</v>
      </c>
      <c r="M428" s="6"/>
      <c r="N428" s="6"/>
      <c r="O428" t="str">
        <f>IF(Worksheet!CR424&lt;&gt;"",CONCATENATE(Worksheet!CR424," х ",Worksheet!CP424," х ",Worksheet!CT424),"")</f>
        <v>950 х 60 х 950</v>
      </c>
      <c r="P428" t="str">
        <f>IF(Worksheet!CS424&lt;&gt;"",CONCATENATE(Worksheet!CS424," х ",Worksheet!CU424," х ",Worksheet!CQ424),"")</f>
        <v>1038 х 1033 х 133</v>
      </c>
      <c r="Q428" t="str">
        <f>IF(Worksheet!CV424&lt;&gt;"",CONCATENATE(Worksheet!CV424," / ",Worksheet!CW424),"")</f>
        <v>7 / 11</v>
      </c>
      <c r="R428" t="str">
        <f>IF(Worksheet!BS424&lt;&gt;"",Worksheet!BS424,"")</f>
        <v>52/47/46/43</v>
      </c>
      <c r="S428" t="str">
        <f>IF(Worksheet!AL424&lt;&gt;"",Worksheet!AL424,"")</f>
        <v>HITACHI</v>
      </c>
      <c r="T428" t="str">
        <f>IF(Worksheet!CJ424&lt;&gt;"",CONCATENATE(Worksheet!CJ424," х ",Worksheet!CL424," х ",Worksheet!CH424),"")</f>
        <v>980 х 425 х 790</v>
      </c>
      <c r="U428" t="str">
        <f>IF(Worksheet!CK424&lt;&gt;"",CONCATENATE(Worksheet!CK424," х ",Worksheet!CM424," х ",Worksheet!CI424),"")</f>
        <v>1083 х 488 х 875</v>
      </c>
      <c r="V428" t="str">
        <f>IF(Worksheet!CN424&lt;&gt;"",CONCATENATE(Worksheet!CN424,"/",Worksheet!CO424),"")</f>
        <v>69/74</v>
      </c>
      <c r="W428" s="6"/>
      <c r="X428" s="7">
        <f>IF(Worksheet!AN424&lt;&gt;"",Worksheet!AN424,"")</f>
        <v>9.52</v>
      </c>
      <c r="Y428" s="7">
        <f>IF(Worksheet!AO424&lt;&gt;"",Worksheet!AO424,"")</f>
        <v>19</v>
      </c>
      <c r="Z428" s="17">
        <f>IF(Worksheet!Q424&lt;&gt;"",Worksheet!Q424,"")</f>
        <v>30</v>
      </c>
      <c r="AA428" s="17">
        <f>IF(Worksheet!R424&lt;&gt;"",Worksheet!R424,"")</f>
        <v>15</v>
      </c>
      <c r="AB428" t="str">
        <f>IF(Worksheet!X424&lt;&gt;"",CONCATENATE("от ",Worksheet!X424," до +",Worksheet!Y424),"")</f>
        <v>от -15 до +43</v>
      </c>
      <c r="AC428" t="str">
        <f>IF(Worksheet!Z424&lt;&gt;"",CONCATENATE("от ",Worksheet!Z424," до +",Worksheet!AA424),"")</f>
        <v>от -15 до +24</v>
      </c>
      <c r="AD428" s="6" t="s">
        <v>5245</v>
      </c>
      <c r="AE428" s="17"/>
    </row>
    <row r="429" spans="1:31" x14ac:dyDescent="0.25">
      <c r="A429" s="17" t="str">
        <f>IF(Worksheet!B425&lt;&gt;"",Worksheet!B425,"")</f>
        <v>TOSOT</v>
      </c>
      <c r="B429" t="str">
        <f>Worksheet!E425</f>
        <v>Кассетные</v>
      </c>
      <c r="C429">
        <f>IF(Worksheet!M425&lt;&gt;"",Worksheet!M425,"")</f>
        <v>10.01</v>
      </c>
      <c r="D429">
        <f t="shared" si="18"/>
        <v>100</v>
      </c>
      <c r="E429" t="str">
        <f>IF(Worksheet!L425&lt;&gt;"",IF(Worksheet!L425="Y","да","нет"),"")</f>
        <v>нет</v>
      </c>
      <c r="F429">
        <f>IF(Worksheet!N425&lt;&gt;"",Worksheet!N425,"")</f>
        <v>12</v>
      </c>
      <c r="G429">
        <f>IF(Worksheet!O425&lt;&gt;"",Worksheet!O425,"")</f>
        <v>3.25</v>
      </c>
      <c r="H429">
        <f>IF(Worksheet!P425&lt;&gt;"",Worksheet!P425,"")</f>
        <v>3.2</v>
      </c>
      <c r="I429" s="6"/>
      <c r="J429" s="6"/>
      <c r="K429" t="str">
        <f>IF(Worksheet!BI425&lt;&gt;"",Worksheet!BI425,"")</f>
        <v>3 / 380 / 50</v>
      </c>
      <c r="L429" t="str">
        <f>IF(Worksheet!AU425&lt;&gt;"",Worksheet!AU425,"")</f>
        <v>R410A</v>
      </c>
      <c r="M429" s="6"/>
      <c r="N429" s="6"/>
      <c r="O429" t="str">
        <f>IF(Worksheet!CR425&lt;&gt;"",CONCATENATE(Worksheet!CR425," х ",Worksheet!CP425," х ",Worksheet!CT425),"")</f>
        <v>950 х 52 х 950</v>
      </c>
      <c r="P429" t="str">
        <f>IF(Worksheet!CS425&lt;&gt;"",CONCATENATE(Worksheet!CS425," х ",Worksheet!CU425," х ",Worksheet!CQ425),"")</f>
        <v>1033 х 1038 х 112</v>
      </c>
      <c r="Q429" t="str">
        <f>IF(Worksheet!CV425&lt;&gt;"",CONCATENATE(Worksheet!CV425," / ",Worksheet!CW425),"")</f>
        <v>6 / 9.5</v>
      </c>
      <c r="R429" t="str">
        <f>IF(Worksheet!BS425&lt;&gt;"",Worksheet!BS425,"")</f>
        <v>45/48/50/52</v>
      </c>
      <c r="S429" t="str">
        <f>IF(Worksheet!AL425&lt;&gt;"",Worksheet!AL425,"")</f>
        <v>Gree</v>
      </c>
      <c r="T429" t="str">
        <f>IF(Worksheet!CJ425&lt;&gt;"",CONCATENATE(Worksheet!CJ425," х ",Worksheet!CL425," х ",Worksheet!CH425),"")</f>
        <v>370 х 920 х 790</v>
      </c>
      <c r="U429" t="str">
        <f>IF(Worksheet!CK425&lt;&gt;"",CONCATENATE(Worksheet!CK425," х ",Worksheet!CM425," х ",Worksheet!CI425),"")</f>
        <v>1083 х 488 х 875</v>
      </c>
      <c r="V429" t="str">
        <f>IF(Worksheet!CN425&lt;&gt;"",CONCATENATE(Worksheet!CN425,"/",Worksheet!CO425),"")</f>
        <v>70/75</v>
      </c>
      <c r="W429" s="6"/>
      <c r="X429" s="7">
        <f>IF(Worksheet!AN425&lt;&gt;"",Worksheet!AN425,"")</f>
        <v>9.52</v>
      </c>
      <c r="Y429" s="7">
        <f>IF(Worksheet!AO425&lt;&gt;"",Worksheet!AO425,"")</f>
        <v>15.88</v>
      </c>
      <c r="Z429" s="17">
        <f>IF(Worksheet!Q425&lt;&gt;"",Worksheet!Q425,"")</f>
        <v>30</v>
      </c>
      <c r="AA429" s="17">
        <f>IF(Worksheet!R425&lt;&gt;"",Worksheet!R425,"")</f>
        <v>20</v>
      </c>
      <c r="AB429" t="str">
        <f>IF(Worksheet!X425&lt;&gt;"",CONCATENATE("от ",Worksheet!X425," до +",Worksheet!Y425),"")</f>
        <v>от -15 до +48</v>
      </c>
      <c r="AC429" t="str">
        <f>IF(Worksheet!Z425&lt;&gt;"",CONCATENATE("от ",Worksheet!Z425," до +",Worksheet!AA425),"")</f>
        <v>от -15 до +24</v>
      </c>
      <c r="AD429" s="6" t="s">
        <v>5245</v>
      </c>
      <c r="AE429" s="17"/>
    </row>
    <row r="430" spans="1:31" x14ac:dyDescent="0.25">
      <c r="A430" s="17" t="str">
        <f>IF(Worksheet!B426&lt;&gt;"",Worksheet!B426,"")</f>
        <v>TOSOT</v>
      </c>
      <c r="B430" t="str">
        <f>Worksheet!E426</f>
        <v>Кассетные</v>
      </c>
      <c r="C430">
        <f>IF(Worksheet!M426&lt;&gt;"",Worksheet!M426,"")</f>
        <v>12</v>
      </c>
      <c r="D430">
        <f t="shared" si="18"/>
        <v>120</v>
      </c>
      <c r="E430" t="str">
        <f>IF(Worksheet!L426&lt;&gt;"",IF(Worksheet!L426="Y","да","нет"),"")</f>
        <v>нет</v>
      </c>
      <c r="F430">
        <f>IF(Worksheet!N426&lt;&gt;"",Worksheet!N426,"")</f>
        <v>13.5</v>
      </c>
      <c r="G430">
        <f>IF(Worksheet!O426&lt;&gt;"",Worksheet!O426,"")</f>
        <v>4.2</v>
      </c>
      <c r="H430">
        <f>IF(Worksheet!P426&lt;&gt;"",Worksheet!P426,"")</f>
        <v>4</v>
      </c>
      <c r="I430" s="6"/>
      <c r="J430" s="6"/>
      <c r="K430" t="str">
        <f>IF(Worksheet!BI426&lt;&gt;"",Worksheet!BI426,"")</f>
        <v>3 / 380 / 50</v>
      </c>
      <c r="L430" t="str">
        <f>IF(Worksheet!AU426&lt;&gt;"",Worksheet!AU426,"")</f>
        <v>R410A</v>
      </c>
      <c r="M430" s="6"/>
      <c r="N430" s="6"/>
      <c r="O430" t="str">
        <f>IF(Worksheet!CR426&lt;&gt;"",CONCATENATE(Worksheet!CR426," х ",Worksheet!CP426," х ",Worksheet!CT426),"")</f>
        <v>950 х 60 х 950</v>
      </c>
      <c r="P430" t="str">
        <f>IF(Worksheet!CS426&lt;&gt;"",CONCATENATE(Worksheet!CS426," х ",Worksheet!CU426," х ",Worksheet!CQ426),"")</f>
        <v>1038 х 1033 х 133</v>
      </c>
      <c r="Q430" t="str">
        <f>IF(Worksheet!CV426&lt;&gt;"",CONCATENATE(Worksheet!CV426," / ",Worksheet!CW426),"")</f>
        <v>7 / 11</v>
      </c>
      <c r="R430" t="str">
        <f>IF(Worksheet!BS426&lt;&gt;"",Worksheet!BS426,"")</f>
        <v>52/47/46/43</v>
      </c>
      <c r="S430" t="str">
        <f>IF(Worksheet!AL426&lt;&gt;"",Worksheet!AL426,"")</f>
        <v>HITACHI</v>
      </c>
      <c r="T430" t="str">
        <f>IF(Worksheet!CJ426&lt;&gt;"",CONCATENATE(Worksheet!CJ426," х ",Worksheet!CL426," х ",Worksheet!CH426),"")</f>
        <v>1120 х 440 х 1100</v>
      </c>
      <c r="U430" t="str">
        <f>IF(Worksheet!CK426&lt;&gt;"",CONCATENATE(Worksheet!CK426," х ",Worksheet!CM426," х ",Worksheet!CI426),"")</f>
        <v>1235 х 483 х 1158</v>
      </c>
      <c r="V430" t="str">
        <f>IF(Worksheet!CN426&lt;&gt;"",CONCATENATE(Worksheet!CN426,"/",Worksheet!CO426),"")</f>
        <v>100/112</v>
      </c>
      <c r="W430" s="6"/>
      <c r="X430" s="7">
        <f>IF(Worksheet!AN426&lt;&gt;"",Worksheet!AN426,"")</f>
        <v>12.7</v>
      </c>
      <c r="Y430" s="7">
        <f>IF(Worksheet!AO426&lt;&gt;"",Worksheet!AO426,"")</f>
        <v>19</v>
      </c>
      <c r="Z430" s="17">
        <f>IF(Worksheet!Q426&lt;&gt;"",Worksheet!Q426,"")</f>
        <v>50</v>
      </c>
      <c r="AA430" s="17">
        <f>IF(Worksheet!R426&lt;&gt;"",Worksheet!R426,"")</f>
        <v>30</v>
      </c>
      <c r="AB430" t="str">
        <f>IF(Worksheet!X426&lt;&gt;"",CONCATENATE("от ",Worksheet!X426," до +",Worksheet!Y426),"")</f>
        <v>от -15 до +43</v>
      </c>
      <c r="AC430" t="str">
        <f>IF(Worksheet!Z426&lt;&gt;"",CONCATENATE("от ",Worksheet!Z426," до +",Worksheet!AA426),"")</f>
        <v>от -15 до +24</v>
      </c>
      <c r="AD430" s="6" t="s">
        <v>5245</v>
      </c>
      <c r="AE430" s="17"/>
    </row>
    <row r="431" spans="1:31" x14ac:dyDescent="0.25">
      <c r="A431" s="17" t="str">
        <f>IF(Worksheet!B427&lt;&gt;"",Worksheet!B427,"")</f>
        <v>TOSOT</v>
      </c>
      <c r="B431" t="str">
        <f>Worksheet!E427</f>
        <v>Кассетные</v>
      </c>
      <c r="C431">
        <f>IF(Worksheet!M427&lt;&gt;"",Worksheet!M427,"")</f>
        <v>14</v>
      </c>
      <c r="D431">
        <f t="shared" si="18"/>
        <v>140</v>
      </c>
      <c r="E431" t="str">
        <f>IF(Worksheet!L427&lt;&gt;"",IF(Worksheet!L427="Y","да","нет"),"")</f>
        <v>нет</v>
      </c>
      <c r="F431">
        <f>IF(Worksheet!N427&lt;&gt;"",Worksheet!N427,"")</f>
        <v>14.8</v>
      </c>
      <c r="G431">
        <f>IF(Worksheet!O427&lt;&gt;"",Worksheet!O427,"")</f>
        <v>4.8</v>
      </c>
      <c r="H431">
        <f>IF(Worksheet!P427&lt;&gt;"",Worksheet!P427,"")</f>
        <v>4.9000000000000004</v>
      </c>
      <c r="I431" s="6"/>
      <c r="J431" s="6"/>
      <c r="K431" t="str">
        <f>IF(Worksheet!BI427&lt;&gt;"",Worksheet!BI427,"")</f>
        <v>3 / 380 / 50</v>
      </c>
      <c r="L431" t="str">
        <f>IF(Worksheet!AU427&lt;&gt;"",Worksheet!AU427,"")</f>
        <v>R410A</v>
      </c>
      <c r="M431" s="6"/>
      <c r="N431" s="6"/>
      <c r="O431" t="str">
        <f>IF(Worksheet!CR427&lt;&gt;"",CONCATENATE(Worksheet!CR427," х ",Worksheet!CP427," х ",Worksheet!CT427),"")</f>
        <v>950 х 60 х 950</v>
      </c>
      <c r="P431" t="str">
        <f>IF(Worksheet!CS427&lt;&gt;"",CONCATENATE(Worksheet!CS427," х ",Worksheet!CU427," х ",Worksheet!CQ427),"")</f>
        <v>1038 х 1033 х 133</v>
      </c>
      <c r="Q431" t="str">
        <f>IF(Worksheet!CV427&lt;&gt;"",CONCATENATE(Worksheet!CV427," / ",Worksheet!CW427),"")</f>
        <v>7 / 11</v>
      </c>
      <c r="R431" t="str">
        <f>IF(Worksheet!BS427&lt;&gt;"",Worksheet!BS427,"")</f>
        <v/>
      </c>
      <c r="S431" t="str">
        <f>IF(Worksheet!AL427&lt;&gt;"",Worksheet!AL427,"")</f>
        <v>SANYO</v>
      </c>
      <c r="T431" t="str">
        <f>IF(Worksheet!CJ427&lt;&gt;"",CONCATENATE(Worksheet!CJ427," х ",Worksheet!CL427," х ",Worksheet!CH427),"")</f>
        <v>1120 х 440 х 1100</v>
      </c>
      <c r="U431" t="str">
        <f>IF(Worksheet!CK427&lt;&gt;"",CONCATENATE(Worksheet!CK427," х ",Worksheet!CM427," х ",Worksheet!CI427),"")</f>
        <v>1235 х 483 х 1158</v>
      </c>
      <c r="V431" t="str">
        <f>IF(Worksheet!CN427&lt;&gt;"",CONCATENATE(Worksheet!CN427,"/",Worksheet!CO427),"")</f>
        <v>103/115</v>
      </c>
      <c r="W431" s="6"/>
      <c r="X431" s="7">
        <f>IF(Worksheet!AN427&lt;&gt;"",Worksheet!AN427,"")</f>
        <v>12.7</v>
      </c>
      <c r="Y431" s="7">
        <f>IF(Worksheet!AO427&lt;&gt;"",Worksheet!AO427,"")</f>
        <v>19</v>
      </c>
      <c r="Z431" s="17">
        <f>IF(Worksheet!Q427&lt;&gt;"",Worksheet!Q427,"")</f>
        <v>50</v>
      </c>
      <c r="AA431" s="17">
        <f>IF(Worksheet!R427&lt;&gt;"",Worksheet!R427,"")</f>
        <v>30</v>
      </c>
      <c r="AB431" t="str">
        <f>IF(Worksheet!X427&lt;&gt;"",CONCATENATE("от ",Worksheet!X427," до +",Worksheet!Y427),"")</f>
        <v>от -15 до +43</v>
      </c>
      <c r="AC431" t="str">
        <f>IF(Worksheet!Z427&lt;&gt;"",CONCATENATE("от ",Worksheet!Z427," до +",Worksheet!AA427),"")</f>
        <v>от -15 до +24</v>
      </c>
      <c r="AD431" s="6" t="s">
        <v>5245</v>
      </c>
      <c r="AE431" s="17"/>
    </row>
    <row r="432" spans="1:31" x14ac:dyDescent="0.25">
      <c r="A432" s="17" t="str">
        <f>IF(Worksheet!B428&lt;&gt;"",Worksheet!B428,"")</f>
        <v>TOSOT</v>
      </c>
      <c r="B432" t="str">
        <f>Worksheet!E428</f>
        <v>Кассетные</v>
      </c>
      <c r="C432">
        <f>IF(Worksheet!M428&lt;&gt;"",Worksheet!M428,"")</f>
        <v>14.1</v>
      </c>
      <c r="D432">
        <f t="shared" si="18"/>
        <v>141</v>
      </c>
      <c r="E432" t="str">
        <f>IF(Worksheet!L428&lt;&gt;"",IF(Worksheet!L428="Y","да","нет"),"")</f>
        <v>нет</v>
      </c>
      <c r="F432">
        <f>IF(Worksheet!N428&lt;&gt;"",Worksheet!N428,"")</f>
        <v>15.1</v>
      </c>
      <c r="G432">
        <f>IF(Worksheet!O428&lt;&gt;"",Worksheet!O428,"")</f>
        <v>4.5</v>
      </c>
      <c r="H432">
        <f>IF(Worksheet!P428&lt;&gt;"",Worksheet!P428,"")</f>
        <v>4.3</v>
      </c>
      <c r="I432" s="6"/>
      <c r="J432" s="6"/>
      <c r="K432" t="str">
        <f>IF(Worksheet!BI428&lt;&gt;"",Worksheet!BI428,"")</f>
        <v>3 / 380 / 50</v>
      </c>
      <c r="L432" t="str">
        <f>IF(Worksheet!AU428&lt;&gt;"",Worksheet!AU428,"")</f>
        <v>R410A</v>
      </c>
      <c r="M432" s="6"/>
      <c r="N432" s="6"/>
      <c r="O432" t="str">
        <f>IF(Worksheet!CR428&lt;&gt;"",CONCATENATE(Worksheet!CR428," х ",Worksheet!CP428," х ",Worksheet!CT428),"")</f>
        <v>950 х 52 х 950</v>
      </c>
      <c r="P432" t="str">
        <f>IF(Worksheet!CS428&lt;&gt;"",CONCATENATE(Worksheet!CS428," х ",Worksheet!CU428," х ",Worksheet!CQ428),"")</f>
        <v>1033 х 1038 х 112</v>
      </c>
      <c r="Q432" t="str">
        <f>IF(Worksheet!CV428&lt;&gt;"",CONCATENATE(Worksheet!CV428," / ",Worksheet!CW428),"")</f>
        <v>6 / 9.5</v>
      </c>
      <c r="R432" t="str">
        <f>IF(Worksheet!BS428&lt;&gt;"",Worksheet!BS428,"")</f>
        <v>45/47/51/54</v>
      </c>
      <c r="S432" t="str">
        <f>IF(Worksheet!AL428&lt;&gt;"",Worksheet!AL428,"")</f>
        <v>Gree</v>
      </c>
      <c r="T432" t="str">
        <f>IF(Worksheet!CJ428&lt;&gt;"",CONCATENATE(Worksheet!CJ428," х ",Worksheet!CL428," х ",Worksheet!CH428),"")</f>
        <v>460 х 940 х 820</v>
      </c>
      <c r="U432" t="str">
        <f>IF(Worksheet!CK428&lt;&gt;"",CONCATENATE(Worksheet!CK428," х ",Worksheet!CM428," х ",Worksheet!CI428),"")</f>
        <v>573 х 1083 х 973</v>
      </c>
      <c r="V432" t="str">
        <f>IF(Worksheet!CN428&lt;&gt;"",CONCATENATE(Worksheet!CN428,"/",Worksheet!CO428),"")</f>
        <v>97/108</v>
      </c>
      <c r="W432" s="6"/>
      <c r="X432" s="7">
        <f>IF(Worksheet!AN428&lt;&gt;"",Worksheet!AN428,"")</f>
        <v>9.52</v>
      </c>
      <c r="Y432" s="7">
        <f>IF(Worksheet!AO428&lt;&gt;"",Worksheet!AO428,"")</f>
        <v>15.88</v>
      </c>
      <c r="Z432" s="17">
        <f>IF(Worksheet!Q428&lt;&gt;"",Worksheet!Q428,"")</f>
        <v>50</v>
      </c>
      <c r="AA432" s="17">
        <f>IF(Worksheet!R428&lt;&gt;"",Worksheet!R428,"")</f>
        <v>30</v>
      </c>
      <c r="AB432" t="str">
        <f>IF(Worksheet!X428&lt;&gt;"",CONCATENATE("от ",Worksheet!X428," до +",Worksheet!Y428),"")</f>
        <v>от -15 до +48</v>
      </c>
      <c r="AC432" t="str">
        <f>IF(Worksheet!Z428&lt;&gt;"",CONCATENATE("от ",Worksheet!Z428," до +",Worksheet!AA428),"")</f>
        <v>от -15 до +24</v>
      </c>
      <c r="AD432" s="6" t="s">
        <v>5245</v>
      </c>
      <c r="AE432" s="17"/>
    </row>
    <row r="433" spans="1:31" x14ac:dyDescent="0.25">
      <c r="A433" s="17" t="str">
        <f>IF(Worksheet!B429&lt;&gt;"",Worksheet!B429,"")</f>
        <v>TOSOT</v>
      </c>
      <c r="B433" t="str">
        <f>Worksheet!E429</f>
        <v>Кассетные</v>
      </c>
      <c r="C433">
        <f>IF(Worksheet!M429&lt;&gt;"",Worksheet!M429,"")</f>
        <v>15</v>
      </c>
      <c r="D433">
        <f t="shared" si="18"/>
        <v>150</v>
      </c>
      <c r="E433" t="str">
        <f>IF(Worksheet!L429&lt;&gt;"",IF(Worksheet!L429="Y","да","нет"),"")</f>
        <v>нет</v>
      </c>
      <c r="F433">
        <f>IF(Worksheet!N429&lt;&gt;"",Worksheet!N429,"")</f>
        <v>16.8</v>
      </c>
      <c r="G433">
        <f>IF(Worksheet!O429&lt;&gt;"",Worksheet!O429,"")</f>
        <v>5.3</v>
      </c>
      <c r="H433">
        <f>IF(Worksheet!P429&lt;&gt;"",Worksheet!P429,"")</f>
        <v>5.2</v>
      </c>
      <c r="I433" s="6"/>
      <c r="J433" s="6"/>
      <c r="K433" t="str">
        <f>IF(Worksheet!BI429&lt;&gt;"",Worksheet!BI429,"")</f>
        <v>3 / 380 / 50</v>
      </c>
      <c r="L433" t="str">
        <f>IF(Worksheet!AU429&lt;&gt;"",Worksheet!AU429,"")</f>
        <v>R410A</v>
      </c>
      <c r="M433" s="6"/>
      <c r="N433" s="6"/>
      <c r="O433" t="str">
        <f>IF(Worksheet!CR429&lt;&gt;"",CONCATENATE(Worksheet!CR429," х ",Worksheet!CP429," х ",Worksheet!CT429),"")</f>
        <v>950 х 60 х 950</v>
      </c>
      <c r="P433" t="str">
        <f>IF(Worksheet!CS429&lt;&gt;"",CONCATENATE(Worksheet!CS429," х ",Worksheet!CU429," х ",Worksheet!CQ429),"")</f>
        <v>1038 х 1033 х 133</v>
      </c>
      <c r="Q433" t="str">
        <f>IF(Worksheet!CV429&lt;&gt;"",CONCATENATE(Worksheet!CV429," / ",Worksheet!CW429),"")</f>
        <v>7 / 11</v>
      </c>
      <c r="R433" t="str">
        <f>IF(Worksheet!BS429&lt;&gt;"",Worksheet!BS429,"")</f>
        <v/>
      </c>
      <c r="S433" t="str">
        <f>IF(Worksheet!AL429&lt;&gt;"",Worksheet!AL429,"")</f>
        <v>SANYO</v>
      </c>
      <c r="T433" t="str">
        <f>IF(Worksheet!CJ429&lt;&gt;"",CONCATENATE(Worksheet!CJ429," х ",Worksheet!CL429," х ",Worksheet!CH429),"")</f>
        <v>980 х 410 х 1350</v>
      </c>
      <c r="U433" t="str">
        <f>IF(Worksheet!CK429&lt;&gt;"",CONCATENATE(Worksheet!CK429," х ",Worksheet!CM429," х ",Worksheet!CI429),"")</f>
        <v>1027 х 443 х 1500</v>
      </c>
      <c r="V433" t="str">
        <f>IF(Worksheet!CN429&lt;&gt;"",CONCATENATE(Worksheet!CN429,"/",Worksheet!CO429),"")</f>
        <v>118/129</v>
      </c>
      <c r="W433" s="6"/>
      <c r="X433" s="7">
        <f>IF(Worksheet!AN429&lt;&gt;"",Worksheet!AN429,"")</f>
        <v>12.7</v>
      </c>
      <c r="Y433" s="7">
        <f>IF(Worksheet!AO429&lt;&gt;"",Worksheet!AO429,"")</f>
        <v>19</v>
      </c>
      <c r="Z433" s="17">
        <f>IF(Worksheet!Q429&lt;&gt;"",Worksheet!Q429,"")</f>
        <v>50</v>
      </c>
      <c r="AA433" s="17">
        <f>IF(Worksheet!R429&lt;&gt;"",Worksheet!R429,"")</f>
        <v>30</v>
      </c>
      <c r="AB433" t="str">
        <f>IF(Worksheet!X429&lt;&gt;"",CONCATENATE("от ",Worksheet!X429," до +",Worksheet!Y429),"")</f>
        <v>от -15 до +43</v>
      </c>
      <c r="AC433" t="str">
        <f>IF(Worksheet!Z429&lt;&gt;"",CONCATENATE("от ",Worksheet!Z429," до +",Worksheet!AA429),"")</f>
        <v>от -15 до +24</v>
      </c>
      <c r="AD433" s="6" t="s">
        <v>5245</v>
      </c>
      <c r="AE433" s="17"/>
    </row>
    <row r="434" spans="1:31" x14ac:dyDescent="0.25">
      <c r="A434" s="17" t="str">
        <f>IF(Worksheet!B430&lt;&gt;"",Worksheet!B430,"")</f>
        <v>TOSOT</v>
      </c>
      <c r="B434" t="str">
        <f>Worksheet!E430</f>
        <v>Кассетные</v>
      </c>
      <c r="C434">
        <f>IF(Worksheet!M430&lt;&gt;"",Worksheet!M430,"")</f>
        <v>15</v>
      </c>
      <c r="D434">
        <f t="shared" si="18"/>
        <v>150</v>
      </c>
      <c r="E434" t="str">
        <f>IF(Worksheet!L430&lt;&gt;"",IF(Worksheet!L430="Y","да","нет"),"")</f>
        <v>нет</v>
      </c>
      <c r="F434">
        <f>IF(Worksheet!N430&lt;&gt;"",Worksheet!N430,"")</f>
        <v>17.399999999999999</v>
      </c>
      <c r="G434">
        <f>IF(Worksheet!O430&lt;&gt;"",Worksheet!O430,"")</f>
        <v>5.3</v>
      </c>
      <c r="H434">
        <f>IF(Worksheet!P430&lt;&gt;"",Worksheet!P430,"")</f>
        <v>5.6</v>
      </c>
      <c r="I434" s="6"/>
      <c r="J434" s="6"/>
      <c r="K434" t="str">
        <f>IF(Worksheet!BI430&lt;&gt;"",Worksheet!BI430,"")</f>
        <v>3 / 380 / 50</v>
      </c>
      <c r="L434" t="str">
        <f>IF(Worksheet!AU430&lt;&gt;"",Worksheet!AU430,"")</f>
        <v>R410A</v>
      </c>
      <c r="M434" s="6"/>
      <c r="N434" s="6"/>
      <c r="O434" t="str">
        <f>IF(Worksheet!CR430&lt;&gt;"",CONCATENATE(Worksheet!CR430," х ",Worksheet!CP430," х ",Worksheet!CT430),"")</f>
        <v>950 х 52 х 950</v>
      </c>
      <c r="P434" t="str">
        <f>IF(Worksheet!CS430&lt;&gt;"",CONCATENATE(Worksheet!CS430," х ",Worksheet!CU430," х ",Worksheet!CQ430),"")</f>
        <v>1033 х 1038 х 112</v>
      </c>
      <c r="Q434" t="str">
        <f>IF(Worksheet!CV430&lt;&gt;"",CONCATENATE(Worksheet!CV430," / ",Worksheet!CW430),"")</f>
        <v>6 / 9.5</v>
      </c>
      <c r="R434" t="str">
        <f>IF(Worksheet!BS430&lt;&gt;"",Worksheet!BS430,"")</f>
        <v>45/47/51/55</v>
      </c>
      <c r="S434" t="str">
        <f>IF(Worksheet!AL430&lt;&gt;"",Worksheet!AL430,"")</f>
        <v>Gree</v>
      </c>
      <c r="T434" t="str">
        <f>IF(Worksheet!CJ430&lt;&gt;"",CONCATENATE(Worksheet!CJ430," х ",Worksheet!CL430," х ",Worksheet!CH430),"")</f>
        <v>460 х 940 х 820</v>
      </c>
      <c r="U434" t="str">
        <f>IF(Worksheet!CK430&lt;&gt;"",CONCATENATE(Worksheet!CK430," х ",Worksheet!CM430," х ",Worksheet!CI430),"")</f>
        <v>573 х 1083 х 973</v>
      </c>
      <c r="V434" t="str">
        <f>IF(Worksheet!CN430&lt;&gt;"",CONCATENATE(Worksheet!CN430,"/",Worksheet!CO430),"")</f>
        <v>103/114</v>
      </c>
      <c r="W434" s="6"/>
      <c r="X434" s="7">
        <f>IF(Worksheet!AN430&lt;&gt;"",Worksheet!AN430,"")</f>
        <v>9.52</v>
      </c>
      <c r="Y434" s="7">
        <f>IF(Worksheet!AO430&lt;&gt;"",Worksheet!AO430,"")</f>
        <v>15.88</v>
      </c>
      <c r="Z434" s="17">
        <f>IF(Worksheet!Q430&lt;&gt;"",Worksheet!Q430,"")</f>
        <v>50</v>
      </c>
      <c r="AA434" s="17">
        <f>IF(Worksheet!R430&lt;&gt;"",Worksheet!R430,"")</f>
        <v>30</v>
      </c>
      <c r="AB434" t="str">
        <f>IF(Worksheet!X430&lt;&gt;"",CONCATENATE("от ",Worksheet!X430," до +",Worksheet!Y430),"")</f>
        <v>от -15 до +48</v>
      </c>
      <c r="AC434" t="str">
        <f>IF(Worksheet!Z430&lt;&gt;"",CONCATENATE("от ",Worksheet!Z430," до +",Worksheet!AA430),"")</f>
        <v>от -15 до +24</v>
      </c>
      <c r="AD434" s="6" t="s">
        <v>5245</v>
      </c>
      <c r="AE434" s="17"/>
    </row>
    <row r="435" spans="1:31" x14ac:dyDescent="0.25">
      <c r="A435" s="17" t="str">
        <f>IF(Worksheet!B431&lt;&gt;"",Worksheet!B431,"")</f>
        <v>TOSOT</v>
      </c>
      <c r="B435" t="str">
        <f>Worksheet!E431</f>
        <v>Колонные</v>
      </c>
      <c r="C435">
        <f>IF(Worksheet!M431&lt;&gt;"",Worksheet!M431,"")</f>
        <v>7.06</v>
      </c>
      <c r="D435">
        <f t="shared" si="18"/>
        <v>71</v>
      </c>
      <c r="E435" t="str">
        <f>IF(Worksheet!L431&lt;&gt;"",IF(Worksheet!L431="Y","да","нет"),"")</f>
        <v>нет</v>
      </c>
      <c r="F435">
        <f>IF(Worksheet!N431&lt;&gt;"",Worksheet!N431,"")</f>
        <v>7.8</v>
      </c>
      <c r="G435">
        <f>IF(Worksheet!O431&lt;&gt;"",Worksheet!O431,"")</f>
        <v>2.4300000000000002</v>
      </c>
      <c r="H435">
        <f>IF(Worksheet!P431&lt;&gt;"",Worksheet!P431,"")</f>
        <v>2.35</v>
      </c>
      <c r="I435" s="6"/>
      <c r="J435" s="6"/>
      <c r="K435" t="str">
        <f>IF(Worksheet!BI431&lt;&gt;"",Worksheet!BI431,"")</f>
        <v>1 / 220 / 50</v>
      </c>
      <c r="L435" t="str">
        <f>IF(Worksheet!AU431&lt;&gt;"",Worksheet!AU431,"")</f>
        <v>R410A</v>
      </c>
      <c r="M435" s="6"/>
      <c r="N435" s="6"/>
      <c r="O435" t="str">
        <f>IF(Worksheet!CR431&lt;&gt;"",CONCATENATE(Worksheet!CR431," х ",Worksheet!CP431," х ",Worksheet!CT431),"")</f>
        <v>507 х 1770 х 320</v>
      </c>
      <c r="P435" t="str">
        <f>IF(Worksheet!CS431&lt;&gt;"",CONCATENATE(Worksheet!CS431," х ",Worksheet!CU431," х ",Worksheet!CQ431),"")</f>
        <v>623 х 440 х 1988</v>
      </c>
      <c r="Q435" t="str">
        <f>IF(Worksheet!CV431&lt;&gt;"",CONCATENATE(Worksheet!CV431," / ",Worksheet!CW431),"")</f>
        <v>40 / 52</v>
      </c>
      <c r="R435" t="str">
        <f>IF(Worksheet!BS431&lt;&gt;"",Worksheet!BS431,"")</f>
        <v>38/41/44/46</v>
      </c>
      <c r="S435" t="str">
        <f>IF(Worksheet!AL431&lt;&gt;"",Worksheet!AL431,"")</f>
        <v>Gree</v>
      </c>
      <c r="T435" t="str">
        <f>IF(Worksheet!CJ431&lt;&gt;"",CONCATENATE(Worksheet!CJ431," х ",Worksheet!CL431," х ",Worksheet!CH431),"")</f>
        <v>955 х 396 х 700</v>
      </c>
      <c r="U435" t="str">
        <f>IF(Worksheet!CK431&lt;&gt;"",CONCATENATE(Worksheet!CK431," х ",Worksheet!CM431," х ",Worksheet!CI431),"")</f>
        <v>1029 х 458 х 750</v>
      </c>
      <c r="V435" t="str">
        <f>IF(Worksheet!CN431&lt;&gt;"",CONCATENATE(Worksheet!CN431,"/",Worksheet!CO431),"")</f>
        <v>60/64.5</v>
      </c>
      <c r="W435" s="6"/>
      <c r="X435" s="7">
        <f>IF(Worksheet!AN431&lt;&gt;"",Worksheet!AN431,"")</f>
        <v>6.35</v>
      </c>
      <c r="Y435" s="7">
        <f>IF(Worksheet!AO431&lt;&gt;"",Worksheet!AO431,"")</f>
        <v>15.88</v>
      </c>
      <c r="Z435" s="17">
        <f>IF(Worksheet!Q431&lt;&gt;"",Worksheet!Q431,"")</f>
        <v>25</v>
      </c>
      <c r="AA435" s="17">
        <f>IF(Worksheet!R431&lt;&gt;"",Worksheet!R431,"")</f>
        <v>10</v>
      </c>
      <c r="AB435" t="str">
        <f>IF(Worksheet!X431&lt;&gt;"",CONCATENATE("от ",Worksheet!X431," до +",Worksheet!Y431),"")</f>
        <v>от 18 до +43</v>
      </c>
      <c r="AC435" t="str">
        <f>IF(Worksheet!Z431&lt;&gt;"",CONCATENATE("от ",Worksheet!Z431," до +",Worksheet!AA431),"")</f>
        <v>от -15 до +24</v>
      </c>
      <c r="AD435" s="6" t="s">
        <v>5245</v>
      </c>
      <c r="AE435" s="17"/>
    </row>
    <row r="436" spans="1:31" x14ac:dyDescent="0.25">
      <c r="A436" s="17" t="str">
        <f>IF(Worksheet!B432&lt;&gt;"",Worksheet!B432,"")</f>
        <v>TOSOT</v>
      </c>
      <c r="B436" t="str">
        <f>Worksheet!E432</f>
        <v>Колонные</v>
      </c>
      <c r="C436">
        <f>IF(Worksheet!M432&lt;&gt;"",Worksheet!M432,"")</f>
        <v>14.1</v>
      </c>
      <c r="D436">
        <f t="shared" si="18"/>
        <v>141</v>
      </c>
      <c r="E436" t="str">
        <f>IF(Worksheet!L432&lt;&gt;"",IF(Worksheet!L432="Y","да","нет"),"")</f>
        <v>нет</v>
      </c>
      <c r="F436">
        <f>IF(Worksheet!N432&lt;&gt;"",Worksheet!N432,"")</f>
        <v>15.5</v>
      </c>
      <c r="G436">
        <f>IF(Worksheet!O432&lt;&gt;"",Worksheet!O432,"")</f>
        <v>5</v>
      </c>
      <c r="H436">
        <f>IF(Worksheet!P432&lt;&gt;"",Worksheet!P432,"")</f>
        <v>4.83</v>
      </c>
      <c r="I436" s="6"/>
      <c r="J436" s="6"/>
      <c r="K436" t="str">
        <f>IF(Worksheet!BI432&lt;&gt;"",Worksheet!BI432,"")</f>
        <v>3 / 380 / 50</v>
      </c>
      <c r="L436" t="str">
        <f>IF(Worksheet!AU432&lt;&gt;"",Worksheet!AU432,"")</f>
        <v>R410A</v>
      </c>
      <c r="M436" s="6"/>
      <c r="N436" s="6"/>
      <c r="O436" t="str">
        <f>IF(Worksheet!CR432&lt;&gt;"",CONCATENATE(Worksheet!CR432," х ",Worksheet!CP432," х ",Worksheet!CT432),"")</f>
        <v>587 х 1882 х 394</v>
      </c>
      <c r="P436" t="str">
        <f>IF(Worksheet!CS432&lt;&gt;"",CONCATENATE(Worksheet!CS432," х ",Worksheet!CU432," х ",Worksheet!CQ432),"")</f>
        <v>738 х 545 х 2153</v>
      </c>
      <c r="Q436" t="str">
        <f>IF(Worksheet!CV432&lt;&gt;"",CONCATENATE(Worksheet!CV432," / ",Worksheet!CW432),"")</f>
        <v>61 / 83.5</v>
      </c>
      <c r="R436" t="str">
        <f>IF(Worksheet!BS432&lt;&gt;"",Worksheet!BS432,"")</f>
        <v>45/48/50/52</v>
      </c>
      <c r="S436" t="str">
        <f>IF(Worksheet!AL432&lt;&gt;"",Worksheet!AL432,"")</f>
        <v>Gree</v>
      </c>
      <c r="T436" t="str">
        <f>IF(Worksheet!CJ432&lt;&gt;"",CONCATENATE(Worksheet!CJ432," х ",Worksheet!CL432," х ",Worksheet!CH432),"")</f>
        <v>1032 х 412 х 1250</v>
      </c>
      <c r="U436" t="str">
        <f>IF(Worksheet!CK432&lt;&gt;"",CONCATENATE(Worksheet!CK432," х ",Worksheet!CM432," х ",Worksheet!CI432),"")</f>
        <v>1113 х 453 х 1400</v>
      </c>
      <c r="V436" t="str">
        <f>IF(Worksheet!CN432&lt;&gt;"",CONCATENATE(Worksheet!CN432,"/",Worksheet!CO432),"")</f>
        <v>107/118</v>
      </c>
      <c r="W436" s="6"/>
      <c r="X436" s="7">
        <f>IF(Worksheet!AN432&lt;&gt;"",Worksheet!AN432,"")</f>
        <v>12.7</v>
      </c>
      <c r="Y436" s="7">
        <f>IF(Worksheet!AO432&lt;&gt;"",Worksheet!AO432,"")</f>
        <v>19.05</v>
      </c>
      <c r="Z436" s="17">
        <f>IF(Worksheet!Q432&lt;&gt;"",Worksheet!Q432,"")</f>
        <v>30</v>
      </c>
      <c r="AA436" s="17">
        <f>IF(Worksheet!R432&lt;&gt;"",Worksheet!R432,"")</f>
        <v>20</v>
      </c>
      <c r="AB436" t="str">
        <f>IF(Worksheet!X432&lt;&gt;"",CONCATENATE("от ",Worksheet!X432," до +",Worksheet!Y432),"")</f>
        <v>от 18 до +43</v>
      </c>
      <c r="AC436" t="str">
        <f>IF(Worksheet!Z432&lt;&gt;"",CONCATENATE("от ",Worksheet!Z432," до +",Worksheet!AA432),"")</f>
        <v>от -15 до +24</v>
      </c>
      <c r="AD436" s="6" t="s">
        <v>5245</v>
      </c>
      <c r="AE436" s="17"/>
    </row>
    <row r="437" spans="1:31" x14ac:dyDescent="0.25">
      <c r="A437" s="17" t="str">
        <f>IF(Worksheet!B433&lt;&gt;"",Worksheet!B433,"")</f>
        <v>TOSOT</v>
      </c>
      <c r="B437" t="str">
        <f>Worksheet!E433</f>
        <v>Колонные</v>
      </c>
      <c r="C437">
        <f>IF(Worksheet!M433&lt;&gt;"",Worksheet!M433,"")</f>
        <v>15.2</v>
      </c>
      <c r="D437">
        <f t="shared" si="18"/>
        <v>152</v>
      </c>
      <c r="E437" t="str">
        <f>IF(Worksheet!L433&lt;&gt;"",IF(Worksheet!L433="Y","да","нет"),"")</f>
        <v>нет</v>
      </c>
      <c r="F437">
        <f>IF(Worksheet!N433&lt;&gt;"",Worksheet!N433,"")</f>
        <v>17</v>
      </c>
      <c r="G437">
        <f>IF(Worksheet!O433&lt;&gt;"",Worksheet!O433,"")</f>
        <v>5.41</v>
      </c>
      <c r="H437">
        <f>IF(Worksheet!P433&lt;&gt;"",Worksheet!P433,"")</f>
        <v>5.29</v>
      </c>
      <c r="I437" s="6"/>
      <c r="J437" s="6"/>
      <c r="K437" t="str">
        <f>IF(Worksheet!BI433&lt;&gt;"",Worksheet!BI433,"")</f>
        <v>3 / 380 / 50</v>
      </c>
      <c r="L437" t="str">
        <f>IF(Worksheet!AU433&lt;&gt;"",Worksheet!AU433,"")</f>
        <v>R410A</v>
      </c>
      <c r="M437" s="6"/>
      <c r="N437" s="6"/>
      <c r="O437" t="str">
        <f>IF(Worksheet!CR433&lt;&gt;"",CONCATENATE(Worksheet!CR433," х ",Worksheet!CP433," х ",Worksheet!CT433),"")</f>
        <v>587 х 1882 х 394</v>
      </c>
      <c r="P437" t="str">
        <f>IF(Worksheet!CS433&lt;&gt;"",CONCATENATE(Worksheet!CS433," х ",Worksheet!CU433," х ",Worksheet!CQ433),"")</f>
        <v>738 х 545 х 2153</v>
      </c>
      <c r="Q437" t="str">
        <f>IF(Worksheet!CV433&lt;&gt;"",CONCATENATE(Worksheet!CV433," / ",Worksheet!CW433),"")</f>
        <v>61 / 83.5</v>
      </c>
      <c r="R437" t="str">
        <f>IF(Worksheet!BS433&lt;&gt;"",Worksheet!BS433,"")</f>
        <v>44/47/50/52</v>
      </c>
      <c r="S437" t="str">
        <f>IF(Worksheet!AL433&lt;&gt;"",Worksheet!AL433,"")</f>
        <v>Gree</v>
      </c>
      <c r="T437" t="str">
        <f>IF(Worksheet!CJ433&lt;&gt;"",CONCATENATE(Worksheet!CJ433," х ",Worksheet!CL433," х ",Worksheet!CH433),"")</f>
        <v>1032 х 412 х 1250</v>
      </c>
      <c r="U437" t="str">
        <f>IF(Worksheet!CK433&lt;&gt;"",CONCATENATE(Worksheet!CK433," х ",Worksheet!CM433," х ",Worksheet!CI433),"")</f>
        <v>1113 х 453 х 1400</v>
      </c>
      <c r="V437" t="str">
        <f>IF(Worksheet!CN433&lt;&gt;"",CONCATENATE(Worksheet!CN433,"/",Worksheet!CO433),"")</f>
        <v>107/118</v>
      </c>
      <c r="W437" s="6"/>
      <c r="X437" s="7">
        <f>IF(Worksheet!AN433&lt;&gt;"",Worksheet!AN433,"")</f>
        <v>12.7</v>
      </c>
      <c r="Y437" s="7">
        <f>IF(Worksheet!AO433&lt;&gt;"",Worksheet!AO433,"")</f>
        <v>19.05</v>
      </c>
      <c r="Z437" s="17">
        <f>IF(Worksheet!Q433&lt;&gt;"",Worksheet!Q433,"")</f>
        <v>30</v>
      </c>
      <c r="AA437" s="17">
        <f>IF(Worksheet!R433&lt;&gt;"",Worksheet!R433,"")</f>
        <v>20</v>
      </c>
      <c r="AB437" t="str">
        <f>IF(Worksheet!X433&lt;&gt;"",CONCATENATE("от ",Worksheet!X433," до +",Worksheet!Y433),"")</f>
        <v>от 18 до +43</v>
      </c>
      <c r="AC437" t="str">
        <f>IF(Worksheet!Z433&lt;&gt;"",CONCATENATE("от ",Worksheet!Z433," до +",Worksheet!AA433),"")</f>
        <v>от -15 до +24</v>
      </c>
      <c r="AD437" s="6" t="s">
        <v>5245</v>
      </c>
      <c r="AE437" s="17"/>
    </row>
    <row r="438" spans="1:31" x14ac:dyDescent="0.25">
      <c r="A438" s="17" t="str">
        <f>IF(Worksheet!B434&lt;&gt;"",Worksheet!B434,"")</f>
        <v>TOSOT</v>
      </c>
      <c r="B438" t="str">
        <f>Worksheet!E434</f>
        <v>Напольно-потолочные</v>
      </c>
      <c r="C438">
        <f>IF(Worksheet!M434&lt;&gt;"",Worksheet!M434,"")</f>
        <v>5.5</v>
      </c>
      <c r="D438">
        <f t="shared" si="18"/>
        <v>55</v>
      </c>
      <c r="E438" t="str">
        <f>IF(Worksheet!L434&lt;&gt;"",IF(Worksheet!L434="Y","да","нет"),"")</f>
        <v>нет</v>
      </c>
      <c r="F438">
        <f>IF(Worksheet!N434&lt;&gt;"",Worksheet!N434,"")</f>
        <v>5.7</v>
      </c>
      <c r="G438">
        <f>IF(Worksheet!O434&lt;&gt;"",Worksheet!O434,"")</f>
        <v>2</v>
      </c>
      <c r="H438">
        <f>IF(Worksheet!P434&lt;&gt;"",Worksheet!P434,"")</f>
        <v>2</v>
      </c>
      <c r="I438" s="6"/>
      <c r="J438" s="6"/>
      <c r="K438" t="str">
        <f>IF(Worksheet!BI434&lt;&gt;"",Worksheet!BI434,"")</f>
        <v>1 / 220 / 50</v>
      </c>
      <c r="L438" t="str">
        <f>IF(Worksheet!AU434&lt;&gt;"",Worksheet!AU434,"")</f>
        <v>R410A</v>
      </c>
      <c r="M438" s="6"/>
      <c r="N438" s="6"/>
      <c r="O438" t="str">
        <f>IF(Worksheet!CR434&lt;&gt;"",CONCATENATE(Worksheet!CR434," х ",Worksheet!CP434," х ",Worksheet!CT434),"")</f>
        <v>1200 х 665 х 235</v>
      </c>
      <c r="P438" t="str">
        <f>IF(Worksheet!CS434&lt;&gt;"",CONCATENATE(Worksheet!CS434," х ",Worksheet!CU434," х ",Worksheet!CQ434),"")</f>
        <v>1363 х 288 х 782</v>
      </c>
      <c r="Q438" t="str">
        <f>IF(Worksheet!CV434&lt;&gt;"",CONCATENATE(Worksheet!CV434," / ",Worksheet!CW434),"")</f>
        <v>31 / 38</v>
      </c>
      <c r="R438" t="str">
        <f>IF(Worksheet!BS434&lt;&gt;"",Worksheet!BS434,"")</f>
        <v>33-37</v>
      </c>
      <c r="S438" t="str">
        <f>IF(Worksheet!AL434&lt;&gt;"",Worksheet!AL434,"")</f>
        <v>Gree</v>
      </c>
      <c r="T438" t="str">
        <f>IF(Worksheet!CJ434&lt;&gt;"",CONCATENATE(Worksheet!CJ434," х ",Worksheet!CL434," х ",Worksheet!CH434),"")</f>
        <v/>
      </c>
      <c r="U438" t="str">
        <f>IF(Worksheet!CK434&lt;&gt;"",CONCATENATE(Worksheet!CK434," х ",Worksheet!CM434," х ",Worksheet!CI434),"")</f>
        <v/>
      </c>
      <c r="V438" t="str">
        <f>IF(Worksheet!CN434&lt;&gt;"",CONCATENATE(Worksheet!CN434,"/",Worksheet!CO434),"")</f>
        <v/>
      </c>
      <c r="W438" s="6"/>
      <c r="X438" s="7">
        <f>IF(Worksheet!AN434&lt;&gt;"",Worksheet!AN434,"")</f>
        <v>6.35</v>
      </c>
      <c r="Y438" s="7">
        <f>IF(Worksheet!AO434&lt;&gt;"",Worksheet!AO434,"")</f>
        <v>12.7</v>
      </c>
      <c r="Z438" s="17">
        <f>IF(Worksheet!Q434&lt;&gt;"",Worksheet!Q434,"")</f>
        <v>25</v>
      </c>
      <c r="AA438" s="17">
        <f>IF(Worksheet!R434&lt;&gt;"",Worksheet!R434,"")</f>
        <v>15</v>
      </c>
      <c r="AB438" t="str">
        <f>IF(Worksheet!X434&lt;&gt;"",CONCATENATE("от ",Worksheet!X434," до +",Worksheet!Y434),"")</f>
        <v>от -15 до +43</v>
      </c>
      <c r="AC438" t="str">
        <f>IF(Worksheet!Z434&lt;&gt;"",CONCATENATE("от ",Worksheet!Z434," до +",Worksheet!AA434),"")</f>
        <v>от -15 до +24</v>
      </c>
      <c r="AD438" s="6" t="s">
        <v>5245</v>
      </c>
      <c r="AE438" s="17"/>
    </row>
    <row r="439" spans="1:31" x14ac:dyDescent="0.25">
      <c r="A439" s="17" t="str">
        <f>IF(Worksheet!B435&lt;&gt;"",Worksheet!B435,"")</f>
        <v>TOSOT</v>
      </c>
      <c r="B439" t="str">
        <f>Worksheet!E435</f>
        <v>Напольно-потолочные</v>
      </c>
      <c r="C439">
        <f>IF(Worksheet!M435&lt;&gt;"",Worksheet!M435,"")</f>
        <v>5</v>
      </c>
      <c r="D439">
        <f t="shared" si="18"/>
        <v>50</v>
      </c>
      <c r="E439" t="str">
        <f>IF(Worksheet!L435&lt;&gt;"",IF(Worksheet!L435="Y","да","нет"),"")</f>
        <v>нет</v>
      </c>
      <c r="F439">
        <f>IF(Worksheet!N435&lt;&gt;"",Worksheet!N435,"")</f>
        <v>5.2</v>
      </c>
      <c r="G439">
        <f>IF(Worksheet!O435&lt;&gt;"",Worksheet!O435,"")</f>
        <v>1.65</v>
      </c>
      <c r="H439">
        <f>IF(Worksheet!P435&lt;&gt;"",Worksheet!P435,"")</f>
        <v>1.45</v>
      </c>
      <c r="I439" s="6"/>
      <c r="J439" s="6"/>
      <c r="K439" t="str">
        <f>IF(Worksheet!BI435&lt;&gt;"",Worksheet!BI435,"")</f>
        <v>1 / 220 / 50</v>
      </c>
      <c r="L439" t="str">
        <f>IF(Worksheet!AU435&lt;&gt;"",Worksheet!AU435,"")</f>
        <v>R410A</v>
      </c>
      <c r="M439" s="6"/>
      <c r="N439" s="6"/>
      <c r="O439" t="str">
        <f>IF(Worksheet!CR435&lt;&gt;"",CONCATENATE(Worksheet!CR435," х ",Worksheet!CP435," х ",Worksheet!CT435),"")</f>
        <v>235 х 665 х 870</v>
      </c>
      <c r="P439" t="str">
        <f>IF(Worksheet!CS435&lt;&gt;"",CONCATENATE(Worksheet!CS435," х ",Worksheet!CU435," х ",Worksheet!CQ435),"")</f>
        <v>300 х 1033 х 770</v>
      </c>
      <c r="Q439" t="str">
        <f>IF(Worksheet!CV435&lt;&gt;"",CONCATENATE(Worksheet!CV435," / ",Worksheet!CW435),"")</f>
        <v>25 / 30</v>
      </c>
      <c r="R439" t="str">
        <f>IF(Worksheet!BS435&lt;&gt;"",Worksheet!BS435,"")</f>
        <v>33/37/40/41</v>
      </c>
      <c r="S439" t="str">
        <f>IF(Worksheet!AL435&lt;&gt;"",Worksheet!AL435,"")</f>
        <v>Gree</v>
      </c>
      <c r="T439" t="str">
        <f>IF(Worksheet!CJ435&lt;&gt;"",CONCATENATE(Worksheet!CJ435," х ",Worksheet!CL435," х ",Worksheet!CH435),"")</f>
        <v/>
      </c>
      <c r="U439" t="str">
        <f>IF(Worksheet!CK435&lt;&gt;"",CONCATENATE(Worksheet!CK435," х ",Worksheet!CM435," х ",Worksheet!CI435),"")</f>
        <v/>
      </c>
      <c r="V439" t="str">
        <f>IF(Worksheet!CN435&lt;&gt;"",CONCATENATE(Worksheet!CN435,"/",Worksheet!CO435),"")</f>
        <v/>
      </c>
      <c r="W439" s="6"/>
      <c r="X439" s="7">
        <f>IF(Worksheet!AN435&lt;&gt;"",Worksheet!AN435,"")</f>
        <v>6.35</v>
      </c>
      <c r="Y439" s="7">
        <f>IF(Worksheet!AO435&lt;&gt;"",Worksheet!AO435,"")</f>
        <v>12.7</v>
      </c>
      <c r="Z439" s="17">
        <f>IF(Worksheet!Q435&lt;&gt;"",Worksheet!Q435,"")</f>
        <v>30</v>
      </c>
      <c r="AA439" s="17">
        <f>IF(Worksheet!R435&lt;&gt;"",Worksheet!R435,"")</f>
        <v>15</v>
      </c>
      <c r="AB439" t="str">
        <f>IF(Worksheet!X435&lt;&gt;"",CONCATENATE("от ",Worksheet!X435," до +",Worksheet!Y435),"")</f>
        <v>от -15 до +48</v>
      </c>
      <c r="AC439" t="str">
        <f>IF(Worksheet!Z435&lt;&gt;"",CONCATENATE("от ",Worksheet!Z435," до +",Worksheet!AA435),"")</f>
        <v>от -15 до +24</v>
      </c>
      <c r="AD439" s="6" t="s">
        <v>5245</v>
      </c>
      <c r="AE439" s="17"/>
    </row>
    <row r="440" spans="1:31" x14ac:dyDescent="0.25">
      <c r="A440" s="17" t="str">
        <f>IF(Worksheet!B436&lt;&gt;"",Worksheet!B436,"")</f>
        <v>TOSOT</v>
      </c>
      <c r="B440" t="str">
        <f>Worksheet!E436</f>
        <v>Напольно-потолочные</v>
      </c>
      <c r="C440">
        <f>IF(Worksheet!M436&lt;&gt;"",Worksheet!M436,"")</f>
        <v>7.2</v>
      </c>
      <c r="D440">
        <f t="shared" si="18"/>
        <v>72</v>
      </c>
      <c r="E440" t="str">
        <f>IF(Worksheet!L436&lt;&gt;"",IF(Worksheet!L436="Y","да","нет"),"")</f>
        <v>нет</v>
      </c>
      <c r="F440">
        <f>IF(Worksheet!N436&lt;&gt;"",Worksheet!N436,"")</f>
        <v>8.1999999999999993</v>
      </c>
      <c r="G440">
        <f>IF(Worksheet!O436&lt;&gt;"",Worksheet!O436,"")</f>
        <v>2.5</v>
      </c>
      <c r="H440">
        <f>IF(Worksheet!P436&lt;&gt;"",Worksheet!P436,"")</f>
        <v>2.4</v>
      </c>
      <c r="I440" s="6"/>
      <c r="J440" s="6"/>
      <c r="K440" t="str">
        <f>IF(Worksheet!BI436&lt;&gt;"",Worksheet!BI436,"")</f>
        <v>1 / 220 / 50</v>
      </c>
      <c r="L440" t="str">
        <f>IF(Worksheet!AU436&lt;&gt;"",Worksheet!AU436,"")</f>
        <v>R410A</v>
      </c>
      <c r="M440" s="6"/>
      <c r="N440" s="6"/>
      <c r="O440" t="str">
        <f>IF(Worksheet!CR436&lt;&gt;"",CONCATENATE(Worksheet!CR436," х ",Worksheet!CP436," х ",Worksheet!CT436),"")</f>
        <v>1200 х 665 х 235</v>
      </c>
      <c r="P440" t="str">
        <f>IF(Worksheet!CS436&lt;&gt;"",CONCATENATE(Worksheet!CS436," х ",Worksheet!CU436," х ",Worksheet!CQ436),"")</f>
        <v>1363 х 288 х 782</v>
      </c>
      <c r="Q440" t="str">
        <f>IF(Worksheet!CV436&lt;&gt;"",CONCATENATE(Worksheet!CV436," / ",Worksheet!CW436),"")</f>
        <v>32 / 39</v>
      </c>
      <c r="R440" t="str">
        <f>IF(Worksheet!BS436&lt;&gt;"",Worksheet!BS436,"")</f>
        <v>40-46</v>
      </c>
      <c r="S440" t="str">
        <f>IF(Worksheet!AL436&lt;&gt;"",Worksheet!AL436,"")</f>
        <v>Gree</v>
      </c>
      <c r="T440" t="str">
        <f>IF(Worksheet!CJ436&lt;&gt;"",CONCATENATE(Worksheet!CJ436," х ",Worksheet!CL436," х ",Worksheet!CH436),"")</f>
        <v/>
      </c>
      <c r="U440" t="str">
        <f>IF(Worksheet!CK436&lt;&gt;"",CONCATENATE(Worksheet!CK436," х ",Worksheet!CM436," х ",Worksheet!CI436),"")</f>
        <v/>
      </c>
      <c r="V440" t="str">
        <f>IF(Worksheet!CN436&lt;&gt;"",CONCATENATE(Worksheet!CN436,"/",Worksheet!CO436),"")</f>
        <v/>
      </c>
      <c r="W440" s="6"/>
      <c r="X440" s="7">
        <f>IF(Worksheet!AN436&lt;&gt;"",Worksheet!AN436,"")</f>
        <v>9.52</v>
      </c>
      <c r="Y440" s="7">
        <f>IF(Worksheet!AO436&lt;&gt;"",Worksheet!AO436,"")</f>
        <v>15.8</v>
      </c>
      <c r="Z440" s="17">
        <f>IF(Worksheet!Q436&lt;&gt;"",Worksheet!Q436,"")</f>
        <v>30</v>
      </c>
      <c r="AA440" s="17">
        <f>IF(Worksheet!R436&lt;&gt;"",Worksheet!R436,"")</f>
        <v>15</v>
      </c>
      <c r="AB440" t="str">
        <f>IF(Worksheet!X436&lt;&gt;"",CONCATENATE("от ",Worksheet!X436," до +",Worksheet!Y436),"")</f>
        <v>от -15 до +43</v>
      </c>
      <c r="AC440" t="str">
        <f>IF(Worksheet!Z436&lt;&gt;"",CONCATENATE("от ",Worksheet!Z436," до +",Worksheet!AA436),"")</f>
        <v>от -15 до +24</v>
      </c>
      <c r="AD440" s="6" t="s">
        <v>5245</v>
      </c>
      <c r="AE440" s="17"/>
    </row>
    <row r="441" spans="1:31" x14ac:dyDescent="0.25">
      <c r="A441" s="17" t="str">
        <f>IF(Worksheet!B437&lt;&gt;"",Worksheet!B437,"")</f>
        <v>TOSOT</v>
      </c>
      <c r="B441" t="str">
        <f>Worksheet!E437</f>
        <v>Напольно-потолочные</v>
      </c>
      <c r="C441">
        <f>IF(Worksheet!M437&lt;&gt;"",Worksheet!M437,"")</f>
        <v>7.3</v>
      </c>
      <c r="D441">
        <f t="shared" si="18"/>
        <v>73</v>
      </c>
      <c r="E441" t="str">
        <f>IF(Worksheet!L437&lt;&gt;"",IF(Worksheet!L437="Y","да","нет"),"")</f>
        <v>нет</v>
      </c>
      <c r="F441">
        <f>IF(Worksheet!N437&lt;&gt;"",Worksheet!N437,"")</f>
        <v>7.7</v>
      </c>
      <c r="G441">
        <f>IF(Worksheet!O437&lt;&gt;"",Worksheet!O437,"")</f>
        <v>2.25</v>
      </c>
      <c r="H441">
        <f>IF(Worksheet!P437&lt;&gt;"",Worksheet!P437,"")</f>
        <v>2.2000000000000002</v>
      </c>
      <c r="I441" s="6"/>
      <c r="J441" s="6"/>
      <c r="K441" t="str">
        <f>IF(Worksheet!BI437&lt;&gt;"",Worksheet!BI437,"")</f>
        <v>1 / 220 / 50</v>
      </c>
      <c r="L441" t="str">
        <f>IF(Worksheet!AU437&lt;&gt;"",Worksheet!AU437,"")</f>
        <v>R410A</v>
      </c>
      <c r="M441" s="6"/>
      <c r="N441" s="6"/>
      <c r="O441" t="str">
        <f>IF(Worksheet!CR437&lt;&gt;"",CONCATENATE(Worksheet!CR437," х ",Worksheet!CP437," х ",Worksheet!CT437),"")</f>
        <v>235 х 665 х 1200</v>
      </c>
      <c r="P441" t="str">
        <f>IF(Worksheet!CS437&lt;&gt;"",CONCATENATE(Worksheet!CS437," х ",Worksheet!CU437," х ",Worksheet!CQ437),"")</f>
        <v>300 х 1363 х 770</v>
      </c>
      <c r="Q441" t="str">
        <f>IF(Worksheet!CV437&lt;&gt;"",CONCATENATE(Worksheet!CV437," / ",Worksheet!CW437),"")</f>
        <v>33 / 39</v>
      </c>
      <c r="R441" t="str">
        <f>IF(Worksheet!BS437&lt;&gt;"",Worksheet!BS437,"")</f>
        <v>41/44/46/47</v>
      </c>
      <c r="S441" t="str">
        <f>IF(Worksheet!AL437&lt;&gt;"",Worksheet!AL437,"")</f>
        <v>Gree</v>
      </c>
      <c r="T441" t="str">
        <f>IF(Worksheet!CJ437&lt;&gt;"",CONCATENATE(Worksheet!CJ437," х ",Worksheet!CL437," х ",Worksheet!CH437),"")</f>
        <v/>
      </c>
      <c r="U441" t="str">
        <f>IF(Worksheet!CK437&lt;&gt;"",CONCATENATE(Worksheet!CK437," х ",Worksheet!CM437," х ",Worksheet!CI437),"")</f>
        <v/>
      </c>
      <c r="V441" t="str">
        <f>IF(Worksheet!CN437&lt;&gt;"",CONCATENATE(Worksheet!CN437,"/",Worksheet!CO437),"")</f>
        <v/>
      </c>
      <c r="W441" s="6"/>
      <c r="X441" s="7">
        <f>IF(Worksheet!AN437&lt;&gt;"",Worksheet!AN437,"")</f>
        <v>9.52</v>
      </c>
      <c r="Y441" s="7">
        <f>IF(Worksheet!AO437&lt;&gt;"",Worksheet!AO437,"")</f>
        <v>15.88</v>
      </c>
      <c r="Z441" s="17">
        <f>IF(Worksheet!Q437&lt;&gt;"",Worksheet!Q437,"")</f>
        <v>30</v>
      </c>
      <c r="AA441" s="17">
        <f>IF(Worksheet!R437&lt;&gt;"",Worksheet!R437,"")</f>
        <v>15</v>
      </c>
      <c r="AB441" t="str">
        <f>IF(Worksheet!X437&lt;&gt;"",CONCATENATE("от ",Worksheet!X437," до +",Worksheet!Y437),"")</f>
        <v>от -15 до +48</v>
      </c>
      <c r="AC441" t="str">
        <f>IF(Worksheet!Z437&lt;&gt;"",CONCATENATE("от ",Worksheet!Z437," до +",Worksheet!AA437),"")</f>
        <v>от -15 до +24</v>
      </c>
      <c r="AD441" s="6" t="s">
        <v>5245</v>
      </c>
      <c r="AE441" s="17"/>
    </row>
    <row r="442" spans="1:31" x14ac:dyDescent="0.25">
      <c r="A442" s="17" t="str">
        <f>IF(Worksheet!B438&lt;&gt;"",Worksheet!B438,"")</f>
        <v>TOSOT</v>
      </c>
      <c r="B442" t="str">
        <f>Worksheet!E438</f>
        <v>Напольно-потолочные</v>
      </c>
      <c r="C442">
        <f>IF(Worksheet!M438&lt;&gt;"",Worksheet!M438,"")</f>
        <v>10.6</v>
      </c>
      <c r="D442">
        <f t="shared" si="18"/>
        <v>106</v>
      </c>
      <c r="E442" t="str">
        <f>IF(Worksheet!L438&lt;&gt;"",IF(Worksheet!L438="Y","да","нет"),"")</f>
        <v>нет</v>
      </c>
      <c r="F442">
        <f>IF(Worksheet!N438&lt;&gt;"",Worksheet!N438,"")</f>
        <v>11.8</v>
      </c>
      <c r="G442">
        <f>IF(Worksheet!O438&lt;&gt;"",Worksheet!O438,"")</f>
        <v>3.6</v>
      </c>
      <c r="H442">
        <f>IF(Worksheet!P438&lt;&gt;"",Worksheet!P438,"")</f>
        <v>3.6</v>
      </c>
      <c r="I442" s="6"/>
      <c r="J442" s="6"/>
      <c r="K442" t="str">
        <f>IF(Worksheet!BI438&lt;&gt;"",Worksheet!BI438,"")</f>
        <v>3 / 380 / 50</v>
      </c>
      <c r="L442" t="str">
        <f>IF(Worksheet!AU438&lt;&gt;"",Worksheet!AU438,"")</f>
        <v>R410A</v>
      </c>
      <c r="M442" s="6"/>
      <c r="N442" s="6"/>
      <c r="O442" t="str">
        <f>IF(Worksheet!CR438&lt;&gt;"",CONCATENATE(Worksheet!CR438," х ",Worksheet!CP438," х ",Worksheet!CT438),"")</f>
        <v>1200 х 665 х 235</v>
      </c>
      <c r="P442" t="str">
        <f>IF(Worksheet!CS438&lt;&gt;"",CONCATENATE(Worksheet!CS438," х ",Worksheet!CU438," х ",Worksheet!CQ438),"")</f>
        <v>1363 х 288 х 782</v>
      </c>
      <c r="Q442" t="str">
        <f>IF(Worksheet!CV438&lt;&gt;"",CONCATENATE(Worksheet!CV438," / ",Worksheet!CW438),"")</f>
        <v>36 / 43</v>
      </c>
      <c r="R442" t="str">
        <f>IF(Worksheet!BS438&lt;&gt;"",Worksheet!BS438,"")</f>
        <v>49-51</v>
      </c>
      <c r="S442" t="str">
        <f>IF(Worksheet!AL438&lt;&gt;"",Worksheet!AL438,"")</f>
        <v>HITACHI</v>
      </c>
      <c r="T442" t="str">
        <f>IF(Worksheet!CJ438&lt;&gt;"",CONCATENATE(Worksheet!CJ438," х ",Worksheet!CL438," х ",Worksheet!CH438),"")</f>
        <v/>
      </c>
      <c r="U442" t="str">
        <f>IF(Worksheet!CK438&lt;&gt;"",CONCATENATE(Worksheet!CK438," х ",Worksheet!CM438," х ",Worksheet!CI438),"")</f>
        <v/>
      </c>
      <c r="V442" t="str">
        <f>IF(Worksheet!CN438&lt;&gt;"",CONCATENATE(Worksheet!CN438,"/",Worksheet!CO438),"")</f>
        <v/>
      </c>
      <c r="W442" s="6"/>
      <c r="X442" s="7">
        <f>IF(Worksheet!AN438&lt;&gt;"",Worksheet!AN438,"")</f>
        <v>9.52</v>
      </c>
      <c r="Y442" s="7">
        <f>IF(Worksheet!AO438&lt;&gt;"",Worksheet!AO438,"")</f>
        <v>19</v>
      </c>
      <c r="Z442" s="17">
        <f>IF(Worksheet!Q438&lt;&gt;"",Worksheet!Q438,"")</f>
        <v>30</v>
      </c>
      <c r="AA442" s="17">
        <f>IF(Worksheet!R438&lt;&gt;"",Worksheet!R438,"")</f>
        <v>15</v>
      </c>
      <c r="AB442" t="str">
        <f>IF(Worksheet!X438&lt;&gt;"",CONCATENATE("от ",Worksheet!X438," до +",Worksheet!Y438),"")</f>
        <v>от -15 до +43</v>
      </c>
      <c r="AC442" t="str">
        <f>IF(Worksheet!Z438&lt;&gt;"",CONCATENATE("от ",Worksheet!Z438," до +",Worksheet!AA438),"")</f>
        <v>от -15 до +24</v>
      </c>
      <c r="AD442" s="6" t="s">
        <v>5245</v>
      </c>
      <c r="AE442" s="17"/>
    </row>
    <row r="443" spans="1:31" x14ac:dyDescent="0.25">
      <c r="A443" s="17" t="str">
        <f>IF(Worksheet!B439&lt;&gt;"",Worksheet!B439,"")</f>
        <v>TOSOT</v>
      </c>
      <c r="B443" t="str">
        <f>Worksheet!E439</f>
        <v>Напольно-потолочные</v>
      </c>
      <c r="C443">
        <f>IF(Worksheet!M439&lt;&gt;"",Worksheet!M439,"")</f>
        <v>10.1</v>
      </c>
      <c r="D443">
        <f t="shared" si="18"/>
        <v>101</v>
      </c>
      <c r="E443" t="str">
        <f>IF(Worksheet!L439&lt;&gt;"",IF(Worksheet!L439="Y","да","нет"),"")</f>
        <v>нет</v>
      </c>
      <c r="F443">
        <f>IF(Worksheet!N439&lt;&gt;"",Worksheet!N439,"")</f>
        <v>12</v>
      </c>
      <c r="G443">
        <f>IF(Worksheet!O439&lt;&gt;"",Worksheet!O439,"")</f>
        <v>3.2</v>
      </c>
      <c r="H443">
        <f>IF(Worksheet!P439&lt;&gt;"",Worksheet!P439,"")</f>
        <v>3.4</v>
      </c>
      <c r="I443" s="6"/>
      <c r="J443" s="6"/>
      <c r="K443" t="str">
        <f>IF(Worksheet!BI439&lt;&gt;"",Worksheet!BI439,"")</f>
        <v>3 / 380 / 50</v>
      </c>
      <c r="L443" t="str">
        <f>IF(Worksheet!AU439&lt;&gt;"",Worksheet!AU439,"")</f>
        <v>R410A</v>
      </c>
      <c r="M443" s="6"/>
      <c r="N443" s="6"/>
      <c r="O443" t="str">
        <f>IF(Worksheet!CR439&lt;&gt;"",CONCATENATE(Worksheet!CR439," х ",Worksheet!CP439," х ",Worksheet!CT439),"")</f>
        <v>235 х 665 х 1200</v>
      </c>
      <c r="P443" t="str">
        <f>IF(Worksheet!CS439&lt;&gt;"",CONCATENATE(Worksheet!CS439," х ",Worksheet!CU439," х ",Worksheet!CQ439),"")</f>
        <v>300 х 1363 х 770</v>
      </c>
      <c r="Q443" t="str">
        <f>IF(Worksheet!CV439&lt;&gt;"",CONCATENATE(Worksheet!CV439," / ",Worksheet!CW439),"")</f>
        <v>36 / 42</v>
      </c>
      <c r="R443" t="str">
        <f>IF(Worksheet!BS439&lt;&gt;"",Worksheet!BS439,"")</f>
        <v>48/49/50/51</v>
      </c>
      <c r="S443" t="str">
        <f>IF(Worksheet!AL439&lt;&gt;"",Worksheet!AL439,"")</f>
        <v>Gree</v>
      </c>
      <c r="T443" t="str">
        <f>IF(Worksheet!CJ439&lt;&gt;"",CONCATENATE(Worksheet!CJ439," х ",Worksheet!CL439," х ",Worksheet!CH439),"")</f>
        <v/>
      </c>
      <c r="U443" t="str">
        <f>IF(Worksheet!CK439&lt;&gt;"",CONCATENATE(Worksheet!CK439," х ",Worksheet!CM439," х ",Worksheet!CI439),"")</f>
        <v/>
      </c>
      <c r="V443" t="str">
        <f>IF(Worksheet!CN439&lt;&gt;"",CONCATENATE(Worksheet!CN439,"/",Worksheet!CO439),"")</f>
        <v/>
      </c>
      <c r="W443" s="6"/>
      <c r="X443" s="7">
        <f>IF(Worksheet!AN439&lt;&gt;"",Worksheet!AN439,"")</f>
        <v>9.52</v>
      </c>
      <c r="Y443" s="7">
        <f>IF(Worksheet!AO439&lt;&gt;"",Worksheet!AO439,"")</f>
        <v>15.88</v>
      </c>
      <c r="Z443" s="17">
        <f>IF(Worksheet!Q439&lt;&gt;"",Worksheet!Q439,"")</f>
        <v>30</v>
      </c>
      <c r="AA443" s="17">
        <f>IF(Worksheet!R439&lt;&gt;"",Worksheet!R439,"")</f>
        <v>20</v>
      </c>
      <c r="AB443" t="str">
        <f>IF(Worksheet!X439&lt;&gt;"",CONCATENATE("от ",Worksheet!X439," до +",Worksheet!Y439),"")</f>
        <v>от -15 до +48</v>
      </c>
      <c r="AC443" t="str">
        <f>IF(Worksheet!Z439&lt;&gt;"",CONCATENATE("от ",Worksheet!Z439," до +",Worksheet!AA439),"")</f>
        <v>от -15 до +24</v>
      </c>
      <c r="AD443" s="6" t="s">
        <v>5245</v>
      </c>
      <c r="AE443" s="17"/>
    </row>
    <row r="444" spans="1:31" x14ac:dyDescent="0.25">
      <c r="A444" s="17" t="str">
        <f>IF(Worksheet!B440&lt;&gt;"",Worksheet!B440,"")</f>
        <v>TOSOT</v>
      </c>
      <c r="B444" t="str">
        <f>Worksheet!E440</f>
        <v>Напольно-потолочные</v>
      </c>
      <c r="C444">
        <f>IF(Worksheet!M440&lt;&gt;"",Worksheet!M440,"")</f>
        <v>12</v>
      </c>
      <c r="D444">
        <f t="shared" si="18"/>
        <v>120</v>
      </c>
      <c r="E444" t="str">
        <f>IF(Worksheet!L440&lt;&gt;"",IF(Worksheet!L440="Y","да","нет"),"")</f>
        <v>нет</v>
      </c>
      <c r="F444">
        <f>IF(Worksheet!N440&lt;&gt;"",Worksheet!N440,"")</f>
        <v>13.2</v>
      </c>
      <c r="G444">
        <f>IF(Worksheet!O440&lt;&gt;"",Worksheet!O440,"")</f>
        <v>4.3</v>
      </c>
      <c r="H444">
        <f>IF(Worksheet!P440&lt;&gt;"",Worksheet!P440,"")</f>
        <v>4.0999999999999996</v>
      </c>
      <c r="I444" s="6"/>
      <c r="J444" s="6"/>
      <c r="K444" t="str">
        <f>IF(Worksheet!BI440&lt;&gt;"",Worksheet!BI440,"")</f>
        <v>3 / 380 / 50</v>
      </c>
      <c r="L444" t="str">
        <f>IF(Worksheet!AU440&lt;&gt;"",Worksheet!AU440,"")</f>
        <v>R410A</v>
      </c>
      <c r="M444" s="6"/>
      <c r="N444" s="6"/>
      <c r="O444" t="str">
        <f>IF(Worksheet!CR440&lt;&gt;"",CONCATENATE(Worksheet!CR440," х ",Worksheet!CP440," х ",Worksheet!CT440),"")</f>
        <v>1200 х 665 х 235</v>
      </c>
      <c r="P444" t="str">
        <f>IF(Worksheet!CS440&lt;&gt;"",CONCATENATE(Worksheet!CS440," х ",Worksheet!CU440," х ",Worksheet!CQ440),"")</f>
        <v>1363 х 288 х 782</v>
      </c>
      <c r="Q444" t="str">
        <f>IF(Worksheet!CV440&lt;&gt;"",CONCATENATE(Worksheet!CV440," / ",Worksheet!CW440),"")</f>
        <v>38 / 45</v>
      </c>
      <c r="R444" t="str">
        <f>IF(Worksheet!BS440&lt;&gt;"",Worksheet!BS440,"")</f>
        <v>49-51</v>
      </c>
      <c r="S444" t="str">
        <f>IF(Worksheet!AL440&lt;&gt;"",Worksheet!AL440,"")</f>
        <v>HITACHI</v>
      </c>
      <c r="T444" t="str">
        <f>IF(Worksheet!CJ440&lt;&gt;"",CONCATENATE(Worksheet!CJ440," х ",Worksheet!CL440," х ",Worksheet!CH440),"")</f>
        <v/>
      </c>
      <c r="U444" t="str">
        <f>IF(Worksheet!CK440&lt;&gt;"",CONCATENATE(Worksheet!CK440," х ",Worksheet!CM440," х ",Worksheet!CI440),"")</f>
        <v/>
      </c>
      <c r="V444" t="str">
        <f>IF(Worksheet!CN440&lt;&gt;"",CONCATENATE(Worksheet!CN440,"/",Worksheet!CO440),"")</f>
        <v/>
      </c>
      <c r="W444" s="6"/>
      <c r="X444" s="7">
        <f>IF(Worksheet!AN440&lt;&gt;"",Worksheet!AN440,"")</f>
        <v>12.7</v>
      </c>
      <c r="Y444" s="7">
        <f>IF(Worksheet!AO440&lt;&gt;"",Worksheet!AO440,"")</f>
        <v>19</v>
      </c>
      <c r="Z444" s="17">
        <f>IF(Worksheet!Q440&lt;&gt;"",Worksheet!Q440,"")</f>
        <v>50</v>
      </c>
      <c r="AA444" s="17">
        <f>IF(Worksheet!R440&lt;&gt;"",Worksheet!R440,"")</f>
        <v>30</v>
      </c>
      <c r="AB444" t="str">
        <f>IF(Worksheet!X440&lt;&gt;"",CONCATENATE("от ",Worksheet!X440," до +",Worksheet!Y440),"")</f>
        <v>от -15 до +43</v>
      </c>
      <c r="AC444" t="str">
        <f>IF(Worksheet!Z440&lt;&gt;"",CONCATENATE("от ",Worksheet!Z440," до +",Worksheet!AA440),"")</f>
        <v>от -15 до +24</v>
      </c>
      <c r="AD444" s="6" t="s">
        <v>5245</v>
      </c>
      <c r="AE444" s="17"/>
    </row>
    <row r="445" spans="1:31" x14ac:dyDescent="0.25">
      <c r="A445" s="17" t="str">
        <f>IF(Worksheet!B441&lt;&gt;"",Worksheet!B441,"")</f>
        <v>TOSOT</v>
      </c>
      <c r="B445" t="str">
        <f>Worksheet!E441</f>
        <v>Напольно-потолочные</v>
      </c>
      <c r="C445">
        <f>IF(Worksheet!M441&lt;&gt;"",Worksheet!M441,"")</f>
        <v>14.2</v>
      </c>
      <c r="D445">
        <f t="shared" si="18"/>
        <v>142</v>
      </c>
      <c r="E445" t="str">
        <f>IF(Worksheet!L441&lt;&gt;"",IF(Worksheet!L441="Y","да","нет"),"")</f>
        <v>нет</v>
      </c>
      <c r="F445">
        <f>IF(Worksheet!N441&lt;&gt;"",Worksheet!N441,"")</f>
        <v>16</v>
      </c>
      <c r="G445">
        <f>IF(Worksheet!O441&lt;&gt;"",Worksheet!O441,"")</f>
        <v>5</v>
      </c>
      <c r="H445">
        <f>IF(Worksheet!P441&lt;&gt;"",Worksheet!P441,"")</f>
        <v>4.7</v>
      </c>
      <c r="I445" s="6"/>
      <c r="J445" s="6"/>
      <c r="K445" t="str">
        <f>IF(Worksheet!BI441&lt;&gt;"",Worksheet!BI441,"")</f>
        <v>3 / 380 / 50</v>
      </c>
      <c r="L445" t="str">
        <f>IF(Worksheet!AU441&lt;&gt;"",Worksheet!AU441,"")</f>
        <v>R410A</v>
      </c>
      <c r="M445" s="6"/>
      <c r="N445" s="6"/>
      <c r="O445" t="str">
        <f>IF(Worksheet!CR441&lt;&gt;"",CONCATENATE(Worksheet!CR441," х ",Worksheet!CP441," х ",Worksheet!CT441),"")</f>
        <v>1570 х 665 х 235</v>
      </c>
      <c r="P445" t="str">
        <f>IF(Worksheet!CS441&lt;&gt;"",CONCATENATE(Worksheet!CS441," х ",Worksheet!CU441," х ",Worksheet!CQ441),"")</f>
        <v>1729 х 288 х 782</v>
      </c>
      <c r="Q445" t="str">
        <f>IF(Worksheet!CV441&lt;&gt;"",CONCATENATE(Worksheet!CV441," / ",Worksheet!CW441),"")</f>
        <v>46 / 53</v>
      </c>
      <c r="R445" t="str">
        <f>IF(Worksheet!BS441&lt;&gt;"",Worksheet!BS441,"")</f>
        <v/>
      </c>
      <c r="S445" t="str">
        <f>IF(Worksheet!AL441&lt;&gt;"",Worksheet!AL441,"")</f>
        <v>SANYO</v>
      </c>
      <c r="T445" t="str">
        <f>IF(Worksheet!CJ441&lt;&gt;"",CONCATENATE(Worksheet!CJ441," х ",Worksheet!CL441," х ",Worksheet!CH441),"")</f>
        <v/>
      </c>
      <c r="U445" t="str">
        <f>IF(Worksheet!CK441&lt;&gt;"",CONCATENATE(Worksheet!CK441," х ",Worksheet!CM441," х ",Worksheet!CI441),"")</f>
        <v/>
      </c>
      <c r="V445" t="str">
        <f>IF(Worksheet!CN441&lt;&gt;"",CONCATENATE(Worksheet!CN441,"/",Worksheet!CO441),"")</f>
        <v/>
      </c>
      <c r="W445" s="6"/>
      <c r="X445" s="7">
        <f>IF(Worksheet!AN441&lt;&gt;"",Worksheet!AN441,"")</f>
        <v>12.7</v>
      </c>
      <c r="Y445" s="7">
        <f>IF(Worksheet!AO441&lt;&gt;"",Worksheet!AO441,"")</f>
        <v>19</v>
      </c>
      <c r="Z445" s="17">
        <f>IF(Worksheet!Q441&lt;&gt;"",Worksheet!Q441,"")</f>
        <v>50</v>
      </c>
      <c r="AA445" s="17">
        <f>IF(Worksheet!R441&lt;&gt;"",Worksheet!R441,"")</f>
        <v>30</v>
      </c>
      <c r="AB445" t="str">
        <f>IF(Worksheet!X441&lt;&gt;"",CONCATENATE("от ",Worksheet!X441," до +",Worksheet!Y441),"")</f>
        <v>от -15 до +43</v>
      </c>
      <c r="AC445" t="str">
        <f>IF(Worksheet!Z441&lt;&gt;"",CONCATENATE("от ",Worksheet!Z441," до +",Worksheet!AA441),"")</f>
        <v>от -15 до +24</v>
      </c>
      <c r="AD445" s="6" t="s">
        <v>5245</v>
      </c>
      <c r="AE445" s="17"/>
    </row>
    <row r="446" spans="1:31" x14ac:dyDescent="0.25">
      <c r="A446" s="17" t="str">
        <f>IF(Worksheet!B442&lt;&gt;"",Worksheet!B442,"")</f>
        <v>TOSOT</v>
      </c>
      <c r="B446" t="str">
        <f>Worksheet!E442</f>
        <v>Напольно-потолочные</v>
      </c>
      <c r="C446">
        <f>IF(Worksheet!M442&lt;&gt;"",Worksheet!M442,"")</f>
        <v>14.1</v>
      </c>
      <c r="D446">
        <f t="shared" si="18"/>
        <v>141</v>
      </c>
      <c r="E446" t="str">
        <f>IF(Worksheet!L442&lt;&gt;"",IF(Worksheet!L442="Y","да","нет"),"")</f>
        <v>нет</v>
      </c>
      <c r="F446">
        <f>IF(Worksheet!N442&lt;&gt;"",Worksheet!N442,"")</f>
        <v>16.5</v>
      </c>
      <c r="G446">
        <f>IF(Worksheet!O442&lt;&gt;"",Worksheet!O442,"")</f>
        <v>4.5</v>
      </c>
      <c r="H446">
        <f>IF(Worksheet!P442&lt;&gt;"",Worksheet!P442,"")</f>
        <v>5.48</v>
      </c>
      <c r="I446" s="6"/>
      <c r="J446" s="6"/>
      <c r="K446" t="str">
        <f>IF(Worksheet!BI442&lt;&gt;"",Worksheet!BI442,"")</f>
        <v>3 / 380 / 50</v>
      </c>
      <c r="L446" t="str">
        <f>IF(Worksheet!AU442&lt;&gt;"",Worksheet!AU442,"")</f>
        <v>R410A</v>
      </c>
      <c r="M446" s="6"/>
      <c r="N446" s="6"/>
      <c r="O446" t="str">
        <f>IF(Worksheet!CR442&lt;&gt;"",CONCATENATE(Worksheet!CR442," х ",Worksheet!CP442," х ",Worksheet!CT442),"")</f>
        <v>235 х 665 х 1570</v>
      </c>
      <c r="P446" t="str">
        <f>IF(Worksheet!CS442&lt;&gt;"",CONCATENATE(Worksheet!CS442," х ",Worksheet!CU442," х ",Worksheet!CQ442),"")</f>
        <v>300 х 1729 х 770</v>
      </c>
      <c r="Q446" t="str">
        <f>IF(Worksheet!CV442&lt;&gt;"",CONCATENATE(Worksheet!CV442," / ",Worksheet!CW442),"")</f>
        <v>43 / 50</v>
      </c>
      <c r="R446" t="str">
        <f>IF(Worksheet!BS442&lt;&gt;"",Worksheet!BS442,"")</f>
        <v>51/52/53/54</v>
      </c>
      <c r="S446" t="str">
        <f>IF(Worksheet!AL442&lt;&gt;"",Worksheet!AL442,"")</f>
        <v>Gree</v>
      </c>
      <c r="T446" t="str">
        <f>IF(Worksheet!CJ442&lt;&gt;"",CONCATENATE(Worksheet!CJ442," х ",Worksheet!CL442," х ",Worksheet!CH442),"")</f>
        <v/>
      </c>
      <c r="U446" t="str">
        <f>IF(Worksheet!CK442&lt;&gt;"",CONCATENATE(Worksheet!CK442," х ",Worksheet!CM442," х ",Worksheet!CI442),"")</f>
        <v/>
      </c>
      <c r="V446" t="str">
        <f>IF(Worksheet!CN442&lt;&gt;"",CONCATENATE(Worksheet!CN442,"/",Worksheet!CO442),"")</f>
        <v/>
      </c>
      <c r="W446" s="6"/>
      <c r="X446" s="7">
        <f>IF(Worksheet!AN442&lt;&gt;"",Worksheet!AN442,"")</f>
        <v>9.52</v>
      </c>
      <c r="Y446" s="7">
        <f>IF(Worksheet!AO442&lt;&gt;"",Worksheet!AO442,"")</f>
        <v>15.88</v>
      </c>
      <c r="Z446" s="17">
        <f>IF(Worksheet!Q442&lt;&gt;"",Worksheet!Q442,"")</f>
        <v>50</v>
      </c>
      <c r="AA446" s="17">
        <f>IF(Worksheet!R442&lt;&gt;"",Worksheet!R442,"")</f>
        <v>30</v>
      </c>
      <c r="AB446" t="str">
        <f>IF(Worksheet!X442&lt;&gt;"",CONCATENATE("от ",Worksheet!X442," до +",Worksheet!Y442),"")</f>
        <v>от -15 до +48</v>
      </c>
      <c r="AC446" t="str">
        <f>IF(Worksheet!Z442&lt;&gt;"",CONCATENATE("от ",Worksheet!Z442," до +",Worksheet!AA442),"")</f>
        <v>от -15 до +24</v>
      </c>
      <c r="AD446" s="6" t="s">
        <v>5245</v>
      </c>
      <c r="AE446" s="17"/>
    </row>
    <row r="447" spans="1:31" x14ac:dyDescent="0.25">
      <c r="A447" s="17" t="str">
        <f>IF(Worksheet!B443&lt;&gt;"",Worksheet!B443,"")</f>
        <v>TOSOT</v>
      </c>
      <c r="B447" t="str">
        <f>Worksheet!E443</f>
        <v>Напольно-потолочные</v>
      </c>
      <c r="C447">
        <f>IF(Worksheet!M443&lt;&gt;"",Worksheet!M443,"")</f>
        <v>15.8</v>
      </c>
      <c r="D447">
        <f t="shared" si="18"/>
        <v>158</v>
      </c>
      <c r="E447" t="str">
        <f>IF(Worksheet!L443&lt;&gt;"",IF(Worksheet!L443="Y","да","нет"),"")</f>
        <v>нет</v>
      </c>
      <c r="F447">
        <f>IF(Worksheet!N443&lt;&gt;"",Worksheet!N443,"")</f>
        <v>18.2</v>
      </c>
      <c r="G447">
        <f>IF(Worksheet!O443&lt;&gt;"",Worksheet!O443,"")</f>
        <v>5.5</v>
      </c>
      <c r="H447">
        <f>IF(Worksheet!P443&lt;&gt;"",Worksheet!P443,"")</f>
        <v>5.45</v>
      </c>
      <c r="I447" s="6"/>
      <c r="J447" s="6"/>
      <c r="K447" t="str">
        <f>IF(Worksheet!BI443&lt;&gt;"",Worksheet!BI443,"")</f>
        <v>3 / 380 / 50</v>
      </c>
      <c r="L447" t="str">
        <f>IF(Worksheet!AU443&lt;&gt;"",Worksheet!AU443,"")</f>
        <v>R410A</v>
      </c>
      <c r="M447" s="6"/>
      <c r="N447" s="6"/>
      <c r="O447" t="str">
        <f>IF(Worksheet!CR443&lt;&gt;"",CONCATENATE(Worksheet!CR443," х ",Worksheet!CP443," х ",Worksheet!CT443),"")</f>
        <v>1570 х 665 х 235</v>
      </c>
      <c r="P447" t="str">
        <f>IF(Worksheet!CS443&lt;&gt;"",CONCATENATE(Worksheet!CS443," х ",Worksheet!CU443," х ",Worksheet!CQ443),"")</f>
        <v>1729 х 288 х 782</v>
      </c>
      <c r="Q447" t="str">
        <f>IF(Worksheet!CV443&lt;&gt;"",CONCATENATE(Worksheet!CV443," / ",Worksheet!CW443),"")</f>
        <v>46 / 53</v>
      </c>
      <c r="R447" t="str">
        <f>IF(Worksheet!BS443&lt;&gt;"",Worksheet!BS443,"")</f>
        <v/>
      </c>
      <c r="S447" t="str">
        <f>IF(Worksheet!AL443&lt;&gt;"",Worksheet!AL443,"")</f>
        <v>SANYO</v>
      </c>
      <c r="T447" t="str">
        <f>IF(Worksheet!CJ443&lt;&gt;"",CONCATENATE(Worksheet!CJ443," х ",Worksheet!CL443," х ",Worksheet!CH443),"")</f>
        <v/>
      </c>
      <c r="U447" t="str">
        <f>IF(Worksheet!CK443&lt;&gt;"",CONCATENATE(Worksheet!CK443," х ",Worksheet!CM443," х ",Worksheet!CI443),"")</f>
        <v/>
      </c>
      <c r="V447" t="str">
        <f>IF(Worksheet!CN443&lt;&gt;"",CONCATENATE(Worksheet!CN443,"/",Worksheet!CO443),"")</f>
        <v/>
      </c>
      <c r="W447" s="6"/>
      <c r="X447" s="7">
        <f>IF(Worksheet!AN443&lt;&gt;"",Worksheet!AN443,"")</f>
        <v>12.7</v>
      </c>
      <c r="Y447" s="7">
        <f>IF(Worksheet!AO443&lt;&gt;"",Worksheet!AO443,"")</f>
        <v>19</v>
      </c>
      <c r="Z447" s="17">
        <f>IF(Worksheet!Q443&lt;&gt;"",Worksheet!Q443,"")</f>
        <v>50</v>
      </c>
      <c r="AA447" s="17">
        <f>IF(Worksheet!R443&lt;&gt;"",Worksheet!R443,"")</f>
        <v>30</v>
      </c>
      <c r="AB447" t="str">
        <f>IF(Worksheet!X443&lt;&gt;"",CONCATENATE("от ",Worksheet!X443," до +",Worksheet!Y443),"")</f>
        <v>от -15 до +43</v>
      </c>
      <c r="AC447" t="str">
        <f>IF(Worksheet!Z443&lt;&gt;"",CONCATENATE("от ",Worksheet!Z443," до +",Worksheet!AA443),"")</f>
        <v>от -15 до +24</v>
      </c>
      <c r="AD447" s="6" t="s">
        <v>5245</v>
      </c>
      <c r="AE447" s="17"/>
    </row>
    <row r="448" spans="1:31" x14ac:dyDescent="0.25">
      <c r="A448" s="17" t="str">
        <f>IF(Worksheet!B444&lt;&gt;"",Worksheet!B444,"")</f>
        <v>TOSOT</v>
      </c>
      <c r="B448" t="str">
        <f>Worksheet!E444</f>
        <v>Напольно-потолочные</v>
      </c>
      <c r="C448">
        <f>IF(Worksheet!M444&lt;&gt;"",Worksheet!M444,"")</f>
        <v>15.8</v>
      </c>
      <c r="D448">
        <f t="shared" si="18"/>
        <v>158</v>
      </c>
      <c r="E448" t="str">
        <f>IF(Worksheet!L444&lt;&gt;"",IF(Worksheet!L444="Y","да","нет"),"")</f>
        <v>нет</v>
      </c>
      <c r="F448">
        <f>IF(Worksheet!N444&lt;&gt;"",Worksheet!N444,"")</f>
        <v>19.100000000000001</v>
      </c>
      <c r="G448">
        <f>IF(Worksheet!O444&lt;&gt;"",Worksheet!O444,"")</f>
        <v>5.48</v>
      </c>
      <c r="H448">
        <f>IF(Worksheet!P444&lt;&gt;"",Worksheet!P444,"")</f>
        <v>5.4</v>
      </c>
      <c r="I448" s="6"/>
      <c r="J448" s="6"/>
      <c r="K448" t="str">
        <f>IF(Worksheet!BI444&lt;&gt;"",Worksheet!BI444,"")</f>
        <v>3 / 380 / 50</v>
      </c>
      <c r="L448" t="str">
        <f>IF(Worksheet!AU444&lt;&gt;"",Worksheet!AU444,"")</f>
        <v>R410A</v>
      </c>
      <c r="M448" s="6"/>
      <c r="N448" s="6"/>
      <c r="O448" t="str">
        <f>IF(Worksheet!CR444&lt;&gt;"",CONCATENATE(Worksheet!CR444," х ",Worksheet!CP444," х ",Worksheet!CT444),"")</f>
        <v>235 х 665 х 1570</v>
      </c>
      <c r="P448" t="str">
        <f>IF(Worksheet!CS444&lt;&gt;"",CONCATENATE(Worksheet!CS444," х ",Worksheet!CU444," х ",Worksheet!CQ444),"")</f>
        <v>300 х 1729 х 770</v>
      </c>
      <c r="Q448" t="str">
        <f>IF(Worksheet!CV444&lt;&gt;"",CONCATENATE(Worksheet!CV444," / ",Worksheet!CW444),"")</f>
        <v>45 / 52</v>
      </c>
      <c r="R448" t="str">
        <f>IF(Worksheet!BS444&lt;&gt;"",Worksheet!BS444,"")</f>
        <v>51/52/53/54</v>
      </c>
      <c r="S448" t="str">
        <f>IF(Worksheet!AL444&lt;&gt;"",Worksheet!AL444,"")</f>
        <v>Gree</v>
      </c>
      <c r="T448" t="str">
        <f>IF(Worksheet!CJ444&lt;&gt;"",CONCATENATE(Worksheet!CJ444," х ",Worksheet!CL444," х ",Worksheet!CH444),"")</f>
        <v/>
      </c>
      <c r="U448" t="str">
        <f>IF(Worksheet!CK444&lt;&gt;"",CONCATENATE(Worksheet!CK444," х ",Worksheet!CM444," х ",Worksheet!CI444),"")</f>
        <v/>
      </c>
      <c r="V448" t="str">
        <f>IF(Worksheet!CN444&lt;&gt;"",CONCATENATE(Worksheet!CN444,"/",Worksheet!CO444),"")</f>
        <v/>
      </c>
      <c r="W448" s="6"/>
      <c r="X448" s="7">
        <f>IF(Worksheet!AN444&lt;&gt;"",Worksheet!AN444,"")</f>
        <v>9.52</v>
      </c>
      <c r="Y448" s="7">
        <f>IF(Worksheet!AO444&lt;&gt;"",Worksheet!AO444,"")</f>
        <v>15.88</v>
      </c>
      <c r="Z448" s="17">
        <f>IF(Worksheet!Q444&lt;&gt;"",Worksheet!Q444,"")</f>
        <v>50</v>
      </c>
      <c r="AA448" s="17">
        <f>IF(Worksheet!R444&lt;&gt;"",Worksheet!R444,"")</f>
        <v>30</v>
      </c>
      <c r="AB448" t="str">
        <f>IF(Worksheet!X444&lt;&gt;"",CONCATENATE("от ",Worksheet!X444," до +",Worksheet!Y444),"")</f>
        <v>от -15 до +48</v>
      </c>
      <c r="AC448" t="str">
        <f>IF(Worksheet!Z444&lt;&gt;"",CONCATENATE("от ",Worksheet!Z444," до +",Worksheet!AA444),"")</f>
        <v>от -15 до +24</v>
      </c>
      <c r="AD448" s="6" t="s">
        <v>5245</v>
      </c>
      <c r="AE448" s="17"/>
    </row>
    <row r="449" spans="1:31" x14ac:dyDescent="0.25">
      <c r="A449" s="17" t="str">
        <f>IF(Worksheet!B445&lt;&gt;"",Worksheet!B445,"")</f>
        <v>TOSOT</v>
      </c>
      <c r="B449" t="str">
        <f>Worksheet!E445</f>
        <v>Напольно-потолочные</v>
      </c>
      <c r="C449">
        <f>IF(Worksheet!M445&lt;&gt;"",Worksheet!M445,"")</f>
        <v>8.5</v>
      </c>
      <c r="D449">
        <f t="shared" si="18"/>
        <v>85</v>
      </c>
      <c r="E449" t="str">
        <f>IF(Worksheet!L445&lt;&gt;"",IF(Worksheet!L445="Y","да","нет"),"")</f>
        <v>нет</v>
      </c>
      <c r="F449">
        <f>IF(Worksheet!N445&lt;&gt;"",Worksheet!N445,"")</f>
        <v>9.8000000000000007</v>
      </c>
      <c r="G449">
        <f>IF(Worksheet!O445&lt;&gt;"",Worksheet!O445,"")</f>
        <v>2.8</v>
      </c>
      <c r="H449">
        <f>IF(Worksheet!P445&lt;&gt;"",Worksheet!P445,"")</f>
        <v>2.8</v>
      </c>
      <c r="I449" s="6"/>
      <c r="J449" s="6"/>
      <c r="K449" t="str">
        <f>IF(Worksheet!BI445&lt;&gt;"",Worksheet!BI445,"")</f>
        <v>1 / 220 / 50</v>
      </c>
      <c r="L449" t="str">
        <f>IF(Worksheet!AU445&lt;&gt;"",Worksheet!AU445,"")</f>
        <v>R410A</v>
      </c>
      <c r="M449" s="6"/>
      <c r="N449" s="6"/>
      <c r="O449" t="str">
        <f>IF(Worksheet!CR445&lt;&gt;"",CONCATENATE(Worksheet!CR445," х ",Worksheet!CP445," х ",Worksheet!CT445),"")</f>
        <v>1200 х 665 х 235</v>
      </c>
      <c r="P449" t="str">
        <f>IF(Worksheet!CS445&lt;&gt;"",CONCATENATE(Worksheet!CS445," х ",Worksheet!CU445," х ",Worksheet!CQ445),"")</f>
        <v>1363 х 288 х 782</v>
      </c>
      <c r="Q449" t="str">
        <f>IF(Worksheet!CV445&lt;&gt;"",CONCATENATE(Worksheet!CV445," / ",Worksheet!CW445),"")</f>
        <v>32 / 39</v>
      </c>
      <c r="R449" t="str">
        <f>IF(Worksheet!BS445&lt;&gt;"",Worksheet!BS445,"")</f>
        <v>43-48</v>
      </c>
      <c r="S449" t="str">
        <f>IF(Worksheet!AL445&lt;&gt;"",Worksheet!AL445,"")</f>
        <v>Gree</v>
      </c>
      <c r="T449" t="str">
        <f>IF(Worksheet!CJ445&lt;&gt;"",CONCATENATE(Worksheet!CJ445," х ",Worksheet!CL445," х ",Worksheet!CH445),"")</f>
        <v>980 х 425 х 790</v>
      </c>
      <c r="U449" t="str">
        <f>IF(Worksheet!CK445&lt;&gt;"",CONCATENATE(Worksheet!CK445," х ",Worksheet!CM445," х ",Worksheet!CI445),"")</f>
        <v>1083 х 488 х 875</v>
      </c>
      <c r="V449" t="str">
        <f>IF(Worksheet!CN445&lt;&gt;"",CONCATENATE(Worksheet!CN445,"/",Worksheet!CO445),"")</f>
        <v>69/74</v>
      </c>
      <c r="W449" s="6"/>
      <c r="X449" s="7">
        <f>IF(Worksheet!AN445&lt;&gt;"",Worksheet!AN445,"")</f>
        <v>9.52</v>
      </c>
      <c r="Y449" s="7">
        <f>IF(Worksheet!AO445&lt;&gt;"",Worksheet!AO445,"")</f>
        <v>15.8</v>
      </c>
      <c r="Z449" s="17">
        <f>IF(Worksheet!Q445&lt;&gt;"",Worksheet!Q445,"")</f>
        <v>30</v>
      </c>
      <c r="AA449" s="17">
        <f>IF(Worksheet!R445&lt;&gt;"",Worksheet!R445,"")</f>
        <v>15</v>
      </c>
      <c r="AB449" t="str">
        <f>IF(Worksheet!X445&lt;&gt;"",CONCATENATE("от ",Worksheet!X445," до +",Worksheet!Y445),"")</f>
        <v>от -15 до +43</v>
      </c>
      <c r="AC449" t="str">
        <f>IF(Worksheet!Z445&lt;&gt;"",CONCATENATE("от ",Worksheet!Z445," до +",Worksheet!AA445),"")</f>
        <v>от -15 до +24</v>
      </c>
      <c r="AD449" s="6" t="s">
        <v>5245</v>
      </c>
      <c r="AE449" s="17"/>
    </row>
    <row r="450" spans="1:31" x14ac:dyDescent="0.25">
      <c r="A450" s="17" t="str">
        <f>IF(Worksheet!B446&lt;&gt;"",Worksheet!B446,"")</f>
        <v>TOSOT</v>
      </c>
      <c r="B450" t="str">
        <f>Worksheet!E446</f>
        <v>Канальные</v>
      </c>
      <c r="C450">
        <f>IF(Worksheet!M446&lt;&gt;"",Worksheet!M446,"")</f>
        <v>2.5</v>
      </c>
      <c r="D450">
        <f t="shared" si="18"/>
        <v>25</v>
      </c>
      <c r="E450" t="str">
        <f>IF(Worksheet!L446&lt;&gt;"",IF(Worksheet!L446="Y","да","нет"),"")</f>
        <v>да</v>
      </c>
      <c r="F450">
        <f>IF(Worksheet!N446&lt;&gt;"",Worksheet!N446,"")</f>
        <v>2.8</v>
      </c>
      <c r="G450">
        <f>IF(Worksheet!O446&lt;&gt;"",Worksheet!O446,"")</f>
        <v>7.4999999999999997E-2</v>
      </c>
      <c r="H450">
        <f>IF(Worksheet!P446&lt;&gt;"",Worksheet!P446,"")</f>
        <v>7.4999999999999997E-2</v>
      </c>
      <c r="I450" s="6"/>
      <c r="J450" s="6"/>
      <c r="K450" t="str">
        <f>IF(Worksheet!BI446&lt;&gt;"",Worksheet!BI446,"")</f>
        <v>1 / 220 / 50</v>
      </c>
      <c r="L450" t="str">
        <f>IF(Worksheet!AU446&lt;&gt;"",Worksheet!AU446,"")</f>
        <v>R410A</v>
      </c>
      <c r="M450" s="6"/>
      <c r="N450" s="6"/>
      <c r="O450" s="1" t="str">
        <f>IF(Worksheet!BL446&lt;&gt;"",CONCATENATE(Worksheet!BL446," х ",Worksheet!BM446," х ",Worksheet!BK446),"")</f>
        <v>700 х 615 х 200</v>
      </c>
      <c r="P450" s="1" t="str">
        <f>IF(Worksheet!BQ446&lt;&gt;"",CONCATENATE(Worksheet!BQ446," х ",Worksheet!BR446," х ",Worksheet!BP446),"")</f>
        <v>893 х 743 х 305</v>
      </c>
      <c r="Q450" s="1" t="str">
        <f>IF(Worksheet!BN446&lt;&gt;"",CONCATENATE(Worksheet!BN446," / ",Worksheet!BO446),"")</f>
        <v>22 / 27</v>
      </c>
      <c r="R450" t="str">
        <f>IF(Worksheet!BS446&lt;&gt;"",Worksheet!BS446,"")</f>
        <v>31/37</v>
      </c>
      <c r="S450" t="str">
        <f>IF(Worksheet!AL446&lt;&gt;"",Worksheet!AL446,"")</f>
        <v/>
      </c>
      <c r="T450" s="1" t="str">
        <f>IF(Worksheet!BL446&lt;&gt;"",CONCATENATE(Worksheet!BL446," х ",Worksheet!BM446," х ",Worksheet!BK446),"")</f>
        <v>700 х 615 х 200</v>
      </c>
      <c r="U450" s="1" t="str">
        <f>IF(Worksheet!BQ446&lt;&gt;"",CONCATENATE(Worksheet!BQ446," х ",Worksheet!BR446," х ",Worksheet!BP446),"")</f>
        <v>893 х 743 х 305</v>
      </c>
      <c r="V450" s="1" t="str">
        <f>IF(Worksheet!BN446&lt;&gt;"",CONCATENATE(Worksheet!BN446," / ",Worksheet!BO446),"")</f>
        <v>22 / 27</v>
      </c>
      <c r="W450" s="6"/>
      <c r="X450" s="7">
        <f>IF(Worksheet!AN446&lt;&gt;"",Worksheet!AN446,"")</f>
        <v>6.35</v>
      </c>
      <c r="Y450" s="7">
        <f>IF(Worksheet!AO446&lt;&gt;"",Worksheet!AO446,"")</f>
        <v>9.5</v>
      </c>
      <c r="Z450" s="17" t="str">
        <f>IF(Worksheet!Q446&lt;&gt;"",Worksheet!Q446,"")</f>
        <v/>
      </c>
      <c r="AA450" s="17" t="str">
        <f>IF(Worksheet!R446&lt;&gt;"",Worksheet!R446,"")</f>
        <v/>
      </c>
      <c r="AB450" t="str">
        <f>IF(Worksheet!X446&lt;&gt;"",CONCATENATE("от ",Worksheet!X446," до +",Worksheet!Y446),"")</f>
        <v/>
      </c>
      <c r="AC450" t="str">
        <f>IF(Worksheet!Z446&lt;&gt;"",CONCATENATE("от ",Worksheet!Z446," до +",Worksheet!AA446),"")</f>
        <v/>
      </c>
      <c r="AD450" s="6" t="s">
        <v>5172</v>
      </c>
      <c r="AE450" s="17"/>
    </row>
    <row r="451" spans="1:31" x14ac:dyDescent="0.25">
      <c r="A451" s="17" t="str">
        <f>IF(Worksheet!B447&lt;&gt;"",Worksheet!B447,"")</f>
        <v>TOSOT</v>
      </c>
      <c r="B451" t="str">
        <f>Worksheet!E447</f>
        <v>Канальные</v>
      </c>
      <c r="C451">
        <f>IF(Worksheet!M447&lt;&gt;"",Worksheet!M447,"")</f>
        <v>2.5</v>
      </c>
      <c r="D451">
        <f t="shared" si="18"/>
        <v>25</v>
      </c>
      <c r="E451" t="str">
        <f>IF(Worksheet!L447&lt;&gt;"",IF(Worksheet!L447="Y","да","нет"),"")</f>
        <v>да</v>
      </c>
      <c r="F451">
        <f>IF(Worksheet!N447&lt;&gt;"",Worksheet!N447,"")</f>
        <v>2.8</v>
      </c>
      <c r="G451">
        <f>IF(Worksheet!O447&lt;&gt;"",Worksheet!O447,"")</f>
        <v>6.5000000000000002E-2</v>
      </c>
      <c r="H451" t="str">
        <f>IF(Worksheet!P447&lt;&gt;"",Worksheet!P447,"")</f>
        <v/>
      </c>
      <c r="I451" s="6"/>
      <c r="J451" s="6"/>
      <c r="K451" t="str">
        <f>IF(Worksheet!BI447&lt;&gt;"",Worksheet!BI447,"")</f>
        <v>1 / 220 / 50</v>
      </c>
      <c r="L451" t="str">
        <f>IF(Worksheet!AU447&lt;&gt;"",Worksheet!AU447,"")</f>
        <v>R32</v>
      </c>
      <c r="M451" s="6"/>
      <c r="N451" s="6"/>
      <c r="O451" s="1" t="str">
        <f>IF(Worksheet!BL447&lt;&gt;"",CONCATENATE(Worksheet!BL447," х ",Worksheet!BM447," х ",Worksheet!BK447),"")</f>
        <v>700 х 615 х 200</v>
      </c>
      <c r="P451" s="1" t="str">
        <f>IF(Worksheet!BQ447&lt;&gt;"",CONCATENATE(Worksheet!BQ447," х ",Worksheet!BR447," х ",Worksheet!BP447),"")</f>
        <v>740 х 890 х 290</v>
      </c>
      <c r="Q451" s="1" t="str">
        <f>IF(Worksheet!BN447&lt;&gt;"",CONCATENATE(Worksheet!BN447," / ",Worksheet!BO447),"")</f>
        <v>21 / 26</v>
      </c>
      <c r="R451" t="str">
        <f>IF(Worksheet!BS447&lt;&gt;"",Worksheet!BS447,"")</f>
        <v>31/34/37/41</v>
      </c>
      <c r="S451" t="str">
        <f>IF(Worksheet!AL447&lt;&gt;"",Worksheet!AL447,"")</f>
        <v/>
      </c>
      <c r="T451" s="1" t="str">
        <f>IF(Worksheet!BL447&lt;&gt;"",CONCATENATE(Worksheet!BL447," х ",Worksheet!BM447," х ",Worksheet!BK447),"")</f>
        <v>700 х 615 х 200</v>
      </c>
      <c r="U451" s="1" t="str">
        <f>IF(Worksheet!BQ447&lt;&gt;"",CONCATENATE(Worksheet!BQ447," х ",Worksheet!BR447," х ",Worksheet!BP447),"")</f>
        <v>740 х 890 х 290</v>
      </c>
      <c r="V451" s="1" t="str">
        <f>IF(Worksheet!BN447&lt;&gt;"",CONCATENATE(Worksheet!BN447," / ",Worksheet!BO447),"")</f>
        <v>21 / 26</v>
      </c>
      <c r="W451" s="6"/>
      <c r="X451" s="7">
        <f>IF(Worksheet!AN447&lt;&gt;"",Worksheet!AN447,"")</f>
        <v>6.35</v>
      </c>
      <c r="Y451" s="7">
        <f>IF(Worksheet!AO447&lt;&gt;"",Worksheet!AO447,"")</f>
        <v>9.52</v>
      </c>
      <c r="Z451" s="17" t="str">
        <f>IF(Worksheet!Q447&lt;&gt;"",Worksheet!Q447,"")</f>
        <v/>
      </c>
      <c r="AA451" s="17" t="str">
        <f>IF(Worksheet!R447&lt;&gt;"",Worksheet!R447,"")</f>
        <v/>
      </c>
      <c r="AB451" t="str">
        <f>IF(Worksheet!X447&lt;&gt;"",CONCATENATE("от ",Worksheet!X447," до +",Worksheet!Y447),"")</f>
        <v/>
      </c>
      <c r="AC451" t="str">
        <f>IF(Worksheet!Z447&lt;&gt;"",CONCATENATE("от ",Worksheet!Z447," до +",Worksheet!AA447),"")</f>
        <v/>
      </c>
      <c r="AD451" s="6" t="s">
        <v>5172</v>
      </c>
      <c r="AE451" s="17"/>
    </row>
    <row r="452" spans="1:31" x14ac:dyDescent="0.25">
      <c r="A452" s="17" t="str">
        <f>IF(Worksheet!B448&lt;&gt;"",Worksheet!B448,"")</f>
        <v>TOSOT</v>
      </c>
      <c r="B452" t="str">
        <f>Worksheet!E448</f>
        <v>Канальные</v>
      </c>
      <c r="C452">
        <f>IF(Worksheet!M448&lt;&gt;"",Worksheet!M448,"")</f>
        <v>3.5</v>
      </c>
      <c r="D452">
        <f t="shared" si="18"/>
        <v>35</v>
      </c>
      <c r="E452" t="str">
        <f>IF(Worksheet!L448&lt;&gt;"",IF(Worksheet!L448="Y","да","нет"),"")</f>
        <v>да</v>
      </c>
      <c r="F452">
        <f>IF(Worksheet!N448&lt;&gt;"",Worksheet!N448,"")</f>
        <v>3.85</v>
      </c>
      <c r="G452">
        <f>IF(Worksheet!O448&lt;&gt;"",Worksheet!O448,"")</f>
        <v>7.4999999999999997E-2</v>
      </c>
      <c r="H452">
        <f>IF(Worksheet!P448&lt;&gt;"",Worksheet!P448,"")</f>
        <v>7.4999999999999997E-2</v>
      </c>
      <c r="I452" s="6"/>
      <c r="J452" s="6"/>
      <c r="K452" t="str">
        <f>IF(Worksheet!BI448&lt;&gt;"",Worksheet!BI448,"")</f>
        <v>1 / 220 / 50</v>
      </c>
      <c r="L452" t="str">
        <f>IF(Worksheet!AU448&lt;&gt;"",Worksheet!AU448,"")</f>
        <v>R410A</v>
      </c>
      <c r="M452" s="6"/>
      <c r="N452" s="6"/>
      <c r="O452" s="1" t="str">
        <f>IF(Worksheet!BL448&lt;&gt;"",CONCATENATE(Worksheet!BL448," х ",Worksheet!BM448," х ",Worksheet!BK448),"")</f>
        <v>700 х 615 х 200</v>
      </c>
      <c r="P452" s="1" t="str">
        <f>IF(Worksheet!BQ448&lt;&gt;"",CONCATENATE(Worksheet!BQ448," х ",Worksheet!BR448," х ",Worksheet!BP448),"")</f>
        <v>893 х 743 х 305</v>
      </c>
      <c r="Q452" s="1" t="str">
        <f>IF(Worksheet!BN448&lt;&gt;"",CONCATENATE(Worksheet!BN448," / ",Worksheet!BO448),"")</f>
        <v>23 / 29</v>
      </c>
      <c r="R452" t="str">
        <f>IF(Worksheet!BS448&lt;&gt;"",Worksheet!BS448,"")</f>
        <v>32/39</v>
      </c>
      <c r="S452" t="str">
        <f>IF(Worksheet!AL448&lt;&gt;"",Worksheet!AL448,"")</f>
        <v/>
      </c>
      <c r="T452" s="1" t="str">
        <f>IF(Worksheet!BL448&lt;&gt;"",CONCATENATE(Worksheet!BL448," х ",Worksheet!BM448," х ",Worksheet!BK448),"")</f>
        <v>700 х 615 х 200</v>
      </c>
      <c r="U452" s="1" t="str">
        <f>IF(Worksheet!BQ448&lt;&gt;"",CONCATENATE(Worksheet!BQ448," х ",Worksheet!BR448," х ",Worksheet!BP448),"")</f>
        <v>893 х 743 х 305</v>
      </c>
      <c r="V452" s="1" t="str">
        <f>IF(Worksheet!BN448&lt;&gt;"",CONCATENATE(Worksheet!BN448," / ",Worksheet!BO448),"")</f>
        <v>23 / 29</v>
      </c>
      <c r="W452" s="6"/>
      <c r="X452" s="7">
        <f>IF(Worksheet!AN448&lt;&gt;"",Worksheet!AN448,"")</f>
        <v>6.35</v>
      </c>
      <c r="Y452" s="7">
        <f>IF(Worksheet!AO448&lt;&gt;"",Worksheet!AO448,"")</f>
        <v>9.5</v>
      </c>
      <c r="Z452" s="17" t="str">
        <f>IF(Worksheet!Q448&lt;&gt;"",Worksheet!Q448,"")</f>
        <v/>
      </c>
      <c r="AA452" s="17" t="str">
        <f>IF(Worksheet!R448&lt;&gt;"",Worksheet!R448,"")</f>
        <v/>
      </c>
      <c r="AB452" t="str">
        <f>IF(Worksheet!X448&lt;&gt;"",CONCATENATE("от ",Worksheet!X448," до +",Worksheet!Y448),"")</f>
        <v/>
      </c>
      <c r="AC452" t="str">
        <f>IF(Worksheet!Z448&lt;&gt;"",CONCATENATE("от ",Worksheet!Z448," до +",Worksheet!AA448),"")</f>
        <v/>
      </c>
      <c r="AD452" s="6" t="s">
        <v>5172</v>
      </c>
      <c r="AE452" s="17"/>
    </row>
    <row r="453" spans="1:31" x14ac:dyDescent="0.25">
      <c r="A453" s="17" t="str">
        <f>IF(Worksheet!B449&lt;&gt;"",Worksheet!B449,"")</f>
        <v>TOSOT</v>
      </c>
      <c r="B453" t="str">
        <f>Worksheet!E449</f>
        <v>Канальные</v>
      </c>
      <c r="C453">
        <f>IF(Worksheet!M449&lt;&gt;"",Worksheet!M449,"")</f>
        <v>3.5</v>
      </c>
      <c r="D453">
        <f t="shared" si="18"/>
        <v>35</v>
      </c>
      <c r="E453" t="str">
        <f>IF(Worksheet!L449&lt;&gt;"",IF(Worksheet!L449="Y","да","нет"),"")</f>
        <v>да</v>
      </c>
      <c r="F453">
        <f>IF(Worksheet!N449&lt;&gt;"",Worksheet!N449,"")</f>
        <v>3.85</v>
      </c>
      <c r="G453">
        <f>IF(Worksheet!O449&lt;&gt;"",Worksheet!O449,"")</f>
        <v>7.4999999999999997E-2</v>
      </c>
      <c r="H453" t="str">
        <f>IF(Worksheet!P449&lt;&gt;"",Worksheet!P449,"")</f>
        <v/>
      </c>
      <c r="I453" s="6"/>
      <c r="J453" s="6"/>
      <c r="K453" t="str">
        <f>IF(Worksheet!BI449&lt;&gt;"",Worksheet!BI449,"")</f>
        <v>1 / 220 / 50</v>
      </c>
      <c r="L453" t="str">
        <f>IF(Worksheet!AU449&lt;&gt;"",Worksheet!AU449,"")</f>
        <v>R32</v>
      </c>
      <c r="M453" s="6"/>
      <c r="N453" s="6"/>
      <c r="O453" s="1" t="str">
        <f>IF(Worksheet!BL449&lt;&gt;"",CONCATENATE(Worksheet!BL449," х ",Worksheet!BM449," х ",Worksheet!BK449),"")</f>
        <v>700 х 615 х 200</v>
      </c>
      <c r="P453" s="1" t="str">
        <f>IF(Worksheet!BQ449&lt;&gt;"",CONCATENATE(Worksheet!BQ449," х ",Worksheet!BR449," х ",Worksheet!BP449),"")</f>
        <v>740 х 890 х 290</v>
      </c>
      <c r="Q453" s="1" t="str">
        <f>IF(Worksheet!BN449&lt;&gt;"",CONCATENATE(Worksheet!BN449," / ",Worksheet!BO449),"")</f>
        <v>22 / 28</v>
      </c>
      <c r="R453" t="str">
        <f>IF(Worksheet!BS449&lt;&gt;"",Worksheet!BS449,"")</f>
        <v>32/35/39/42</v>
      </c>
      <c r="S453" t="str">
        <f>IF(Worksheet!AL449&lt;&gt;"",Worksheet!AL449,"")</f>
        <v/>
      </c>
      <c r="T453" s="1" t="str">
        <f>IF(Worksheet!BL449&lt;&gt;"",CONCATENATE(Worksheet!BL449," х ",Worksheet!BM449," х ",Worksheet!BK449),"")</f>
        <v>700 х 615 х 200</v>
      </c>
      <c r="U453" s="1" t="str">
        <f>IF(Worksheet!BQ449&lt;&gt;"",CONCATENATE(Worksheet!BQ449," х ",Worksheet!BR449," х ",Worksheet!BP449),"")</f>
        <v>740 х 890 х 290</v>
      </c>
      <c r="V453" s="1" t="str">
        <f>IF(Worksheet!BN449&lt;&gt;"",CONCATENATE(Worksheet!BN449," / ",Worksheet!BO449),"")</f>
        <v>22 / 28</v>
      </c>
      <c r="W453" s="6"/>
      <c r="X453" s="7">
        <f>IF(Worksheet!AN449&lt;&gt;"",Worksheet!AN449,"")</f>
        <v>6.35</v>
      </c>
      <c r="Y453" s="7">
        <f>IF(Worksheet!AO449&lt;&gt;"",Worksheet!AO449,"")</f>
        <v>9.52</v>
      </c>
      <c r="Z453" s="17" t="str">
        <f>IF(Worksheet!Q449&lt;&gt;"",Worksheet!Q449,"")</f>
        <v/>
      </c>
      <c r="AA453" s="17" t="str">
        <f>IF(Worksheet!R449&lt;&gt;"",Worksheet!R449,"")</f>
        <v/>
      </c>
      <c r="AB453" t="str">
        <f>IF(Worksheet!X449&lt;&gt;"",CONCATENATE("от ",Worksheet!X449," до +",Worksheet!Y449),"")</f>
        <v/>
      </c>
      <c r="AC453" t="str">
        <f>IF(Worksheet!Z449&lt;&gt;"",CONCATENATE("от ",Worksheet!Z449," до +",Worksheet!AA449),"")</f>
        <v/>
      </c>
      <c r="AD453" s="6" t="s">
        <v>5172</v>
      </c>
      <c r="AE453" s="17"/>
    </row>
    <row r="454" spans="1:31" x14ac:dyDescent="0.25">
      <c r="A454" s="17" t="str">
        <f>IF(Worksheet!B450&lt;&gt;"",Worksheet!B450,"")</f>
        <v>TOSOT</v>
      </c>
      <c r="B454" t="str">
        <f>Worksheet!E450</f>
        <v>Канальные</v>
      </c>
      <c r="C454">
        <f>IF(Worksheet!M450&lt;&gt;"",Worksheet!M450,"")</f>
        <v>5</v>
      </c>
      <c r="D454">
        <f t="shared" si="18"/>
        <v>50</v>
      </c>
      <c r="E454" t="str">
        <f>IF(Worksheet!L450&lt;&gt;"",IF(Worksheet!L450="Y","да","нет"),"")</f>
        <v>да</v>
      </c>
      <c r="F454">
        <f>IF(Worksheet!N450&lt;&gt;"",Worksheet!N450,"")</f>
        <v>5.5</v>
      </c>
      <c r="G454">
        <f>IF(Worksheet!O450&lt;&gt;"",Worksheet!O450,"")</f>
        <v>0.08</v>
      </c>
      <c r="H454">
        <f>IF(Worksheet!P450&lt;&gt;"",Worksheet!P450,"")</f>
        <v>0.08</v>
      </c>
      <c r="I454" s="6"/>
      <c r="J454" s="6"/>
      <c r="K454" t="str">
        <f>IF(Worksheet!BI450&lt;&gt;"",Worksheet!BI450,"")</f>
        <v>1 / 220 / 50</v>
      </c>
      <c r="L454" t="str">
        <f>IF(Worksheet!AU450&lt;&gt;"",Worksheet!AU450,"")</f>
        <v>R410A</v>
      </c>
      <c r="M454" s="6"/>
      <c r="N454" s="6"/>
      <c r="O454" s="1" t="str">
        <f>IF(Worksheet!BL450&lt;&gt;"",CONCATENATE(Worksheet!BL450," х ",Worksheet!BM450," х ",Worksheet!BK450),"")</f>
        <v>900 х 615 х 200</v>
      </c>
      <c r="P454" s="1" t="str">
        <f>IF(Worksheet!BQ450&lt;&gt;"",CONCATENATE(Worksheet!BQ450," х ",Worksheet!BR450," х ",Worksheet!BP450),"")</f>
        <v>1123 х 743 х 305</v>
      </c>
      <c r="Q454" s="1" t="str">
        <f>IF(Worksheet!BN450&lt;&gt;"",CONCATENATE(Worksheet!BN450," / ",Worksheet!BO450),"")</f>
        <v>27 / 36</v>
      </c>
      <c r="R454" t="str">
        <f>IF(Worksheet!BS450&lt;&gt;"",Worksheet!BS450,"")</f>
        <v>33/40</v>
      </c>
      <c r="S454" t="str">
        <f>IF(Worksheet!AL450&lt;&gt;"",Worksheet!AL450,"")</f>
        <v/>
      </c>
      <c r="T454" s="1" t="str">
        <f>IF(Worksheet!BL450&lt;&gt;"",CONCATENATE(Worksheet!BL450," х ",Worksheet!BM450," х ",Worksheet!BK450),"")</f>
        <v>900 х 615 х 200</v>
      </c>
      <c r="U454" s="1" t="str">
        <f>IF(Worksheet!BQ450&lt;&gt;"",CONCATENATE(Worksheet!BQ450," х ",Worksheet!BR450," х ",Worksheet!BP450),"")</f>
        <v>1123 х 743 х 305</v>
      </c>
      <c r="V454" s="1" t="str">
        <f>IF(Worksheet!BN450&lt;&gt;"",CONCATENATE(Worksheet!BN450," / ",Worksheet!BO450),"")</f>
        <v>27 / 36</v>
      </c>
      <c r="W454" s="6"/>
      <c r="X454" s="7">
        <f>IF(Worksheet!AN450&lt;&gt;"",Worksheet!AN450,"")</f>
        <v>6.35</v>
      </c>
      <c r="Y454" s="7">
        <f>IF(Worksheet!AO450&lt;&gt;"",Worksheet!AO450,"")</f>
        <v>12.7</v>
      </c>
      <c r="Z454" s="17" t="str">
        <f>IF(Worksheet!Q450&lt;&gt;"",Worksheet!Q450,"")</f>
        <v/>
      </c>
      <c r="AA454" s="17" t="str">
        <f>IF(Worksheet!R450&lt;&gt;"",Worksheet!R450,"")</f>
        <v/>
      </c>
      <c r="AB454" t="str">
        <f>IF(Worksheet!X450&lt;&gt;"",CONCATENATE("от ",Worksheet!X450," до +",Worksheet!Y450),"")</f>
        <v/>
      </c>
      <c r="AC454" t="str">
        <f>IF(Worksheet!Z450&lt;&gt;"",CONCATENATE("от ",Worksheet!Z450," до +",Worksheet!AA450),"")</f>
        <v/>
      </c>
      <c r="AD454" s="6" t="s">
        <v>5172</v>
      </c>
      <c r="AE454" s="17"/>
    </row>
    <row r="455" spans="1:31" x14ac:dyDescent="0.25">
      <c r="A455" s="17" t="str">
        <f>IF(Worksheet!B451&lt;&gt;"",Worksheet!B451,"")</f>
        <v>TOSOT</v>
      </c>
      <c r="B455" t="str">
        <f>Worksheet!E451</f>
        <v>Канальные</v>
      </c>
      <c r="C455">
        <f>IF(Worksheet!M451&lt;&gt;"",Worksheet!M451,"")</f>
        <v>5</v>
      </c>
      <c r="D455">
        <f t="shared" ref="D455:D479" si="20">ROUND(C455*10,0)</f>
        <v>50</v>
      </c>
      <c r="E455" t="str">
        <f>IF(Worksheet!L451&lt;&gt;"",IF(Worksheet!L451="Y","да","нет"),"")</f>
        <v>да</v>
      </c>
      <c r="F455">
        <f>IF(Worksheet!N451&lt;&gt;"",Worksheet!N451,"")</f>
        <v>5.5</v>
      </c>
      <c r="G455">
        <f>IF(Worksheet!O451&lt;&gt;"",Worksheet!O451,"")</f>
        <v>9.5000000000000001E-2</v>
      </c>
      <c r="H455" t="str">
        <f>IF(Worksheet!P451&lt;&gt;"",Worksheet!P451,"")</f>
        <v/>
      </c>
      <c r="I455" s="6"/>
      <c r="J455" s="6"/>
      <c r="K455" t="str">
        <f>IF(Worksheet!BI451&lt;&gt;"",Worksheet!BI451,"")</f>
        <v>1 / 220 / 50</v>
      </c>
      <c r="L455" t="str">
        <f>IF(Worksheet!AU451&lt;&gt;"",Worksheet!AU451,"")</f>
        <v>R32</v>
      </c>
      <c r="M455" s="6"/>
      <c r="N455" s="6"/>
      <c r="O455" s="1" t="str">
        <f>IF(Worksheet!BL451&lt;&gt;"",CONCATENATE(Worksheet!BL451," х ",Worksheet!BM451," х ",Worksheet!BK451),"")</f>
        <v>900 х 615 х 200</v>
      </c>
      <c r="P455" s="1" t="str">
        <f>IF(Worksheet!BQ451&lt;&gt;"",CONCATENATE(Worksheet!BQ451," х ",Worksheet!BR451," х ",Worksheet!BP451),"")</f>
        <v>740 х 1120 х 290</v>
      </c>
      <c r="Q455" s="1" t="str">
        <f>IF(Worksheet!BN451&lt;&gt;"",CONCATENATE(Worksheet!BN451," / ",Worksheet!BO451),"")</f>
        <v>26 / 32</v>
      </c>
      <c r="R455" t="str">
        <f>IF(Worksheet!BS451&lt;&gt;"",Worksheet!BS451,"")</f>
        <v>33/36/41/45</v>
      </c>
      <c r="S455" t="str">
        <f>IF(Worksheet!AL451&lt;&gt;"",Worksheet!AL451,"")</f>
        <v/>
      </c>
      <c r="T455" s="1" t="str">
        <f>IF(Worksheet!BL451&lt;&gt;"",CONCATENATE(Worksheet!BL451," х ",Worksheet!BM451," х ",Worksheet!BK451),"")</f>
        <v>900 х 615 х 200</v>
      </c>
      <c r="U455" s="1" t="str">
        <f>IF(Worksheet!BQ451&lt;&gt;"",CONCATENATE(Worksheet!BQ451," х ",Worksheet!BR451," х ",Worksheet!BP451),"")</f>
        <v>740 х 1120 х 290</v>
      </c>
      <c r="V455" s="1" t="str">
        <f>IF(Worksheet!BN451&lt;&gt;"",CONCATENATE(Worksheet!BN451," / ",Worksheet!BO451),"")</f>
        <v>26 / 32</v>
      </c>
      <c r="W455" s="6"/>
      <c r="X455" s="7">
        <f>IF(Worksheet!AN451&lt;&gt;"",Worksheet!AN451,"")</f>
        <v>6.35</v>
      </c>
      <c r="Y455" s="7">
        <f>IF(Worksheet!AO451&lt;&gt;"",Worksheet!AO451,"")</f>
        <v>12.7</v>
      </c>
      <c r="Z455" s="17" t="str">
        <f>IF(Worksheet!Q451&lt;&gt;"",Worksheet!Q451,"")</f>
        <v/>
      </c>
      <c r="AA455" s="17" t="str">
        <f>IF(Worksheet!R451&lt;&gt;"",Worksheet!R451,"")</f>
        <v/>
      </c>
      <c r="AB455" t="str">
        <f>IF(Worksheet!X451&lt;&gt;"",CONCATENATE("от ",Worksheet!X451," до +",Worksheet!Y451),"")</f>
        <v/>
      </c>
      <c r="AC455" t="str">
        <f>IF(Worksheet!Z451&lt;&gt;"",CONCATENATE("от ",Worksheet!Z451," до +",Worksheet!AA451),"")</f>
        <v/>
      </c>
      <c r="AD455" s="6" t="s">
        <v>5172</v>
      </c>
      <c r="AE455" s="17"/>
    </row>
    <row r="456" spans="1:31" x14ac:dyDescent="0.25">
      <c r="A456" s="17" t="str">
        <f>IF(Worksheet!B452&lt;&gt;"",Worksheet!B452,"")</f>
        <v>TOSOT</v>
      </c>
      <c r="B456" t="str">
        <f>Worksheet!E452</f>
        <v>Канальные</v>
      </c>
      <c r="C456">
        <f>IF(Worksheet!M452&lt;&gt;"",Worksheet!M452,"")</f>
        <v>6</v>
      </c>
      <c r="D456">
        <f t="shared" si="20"/>
        <v>60</v>
      </c>
      <c r="E456" t="str">
        <f>IF(Worksheet!L452&lt;&gt;"",IF(Worksheet!L452="Y","да","нет"),"")</f>
        <v>да</v>
      </c>
      <c r="F456">
        <f>IF(Worksheet!N452&lt;&gt;"",Worksheet!N452,"")</f>
        <v>6.6</v>
      </c>
      <c r="G456">
        <f>IF(Worksheet!O452&lt;&gt;"",Worksheet!O452,"")</f>
        <v>0.11</v>
      </c>
      <c r="H456">
        <f>IF(Worksheet!P452&lt;&gt;"",Worksheet!P452,"")</f>
        <v>0.11</v>
      </c>
      <c r="I456" s="6"/>
      <c r="J456" s="6"/>
      <c r="K456" t="str">
        <f>IF(Worksheet!BI452&lt;&gt;"",Worksheet!BI452,"")</f>
        <v>1 / 220 / 50</v>
      </c>
      <c r="L456" t="str">
        <f>IF(Worksheet!AU452&lt;&gt;"",Worksheet!AU452,"")</f>
        <v>R410A</v>
      </c>
      <c r="M456" s="6"/>
      <c r="N456" s="6"/>
      <c r="O456" s="1" t="str">
        <f>IF(Worksheet!BL452&lt;&gt;"",CONCATENATE(Worksheet!BL452," х ",Worksheet!BM452," х ",Worksheet!BK452),"")</f>
        <v>1100 х 615 х 200</v>
      </c>
      <c r="P456" s="1" t="str">
        <f>IF(Worksheet!BQ452&lt;&gt;"",CONCATENATE(Worksheet!BQ452," х ",Worksheet!BR452," х ",Worksheet!BP452),"")</f>
        <v>1323 х 743 х 205</v>
      </c>
      <c r="Q456" s="1" t="str">
        <f>IF(Worksheet!BN452&lt;&gt;"",CONCATENATE(Worksheet!BN452," / ",Worksheet!BO452),"")</f>
        <v>31 / 41</v>
      </c>
      <c r="R456" t="str">
        <f>IF(Worksheet!BS452&lt;&gt;"",Worksheet!BS452,"")</f>
        <v>34/42</v>
      </c>
      <c r="S456" t="str">
        <f>IF(Worksheet!AL452&lt;&gt;"",Worksheet!AL452,"")</f>
        <v/>
      </c>
      <c r="T456" s="1" t="str">
        <f>IF(Worksheet!BL452&lt;&gt;"",CONCATENATE(Worksheet!BL452," х ",Worksheet!BM452," х ",Worksheet!BK452),"")</f>
        <v>1100 х 615 х 200</v>
      </c>
      <c r="U456" s="1" t="str">
        <f>IF(Worksheet!BQ452&lt;&gt;"",CONCATENATE(Worksheet!BQ452," х ",Worksheet!BR452," х ",Worksheet!BP452),"")</f>
        <v>1323 х 743 х 205</v>
      </c>
      <c r="V456" s="1" t="str">
        <f>IF(Worksheet!BN452&lt;&gt;"",CONCATENATE(Worksheet!BN452," / ",Worksheet!BO452),"")</f>
        <v>31 / 41</v>
      </c>
      <c r="W456" s="6"/>
      <c r="X456" s="7">
        <f>IF(Worksheet!AN452&lt;&gt;"",Worksheet!AN452,"")</f>
        <v>9.5</v>
      </c>
      <c r="Y456" s="7">
        <f>IF(Worksheet!AO452&lt;&gt;"",Worksheet!AO452,"")</f>
        <v>15.8</v>
      </c>
      <c r="Z456" s="17" t="str">
        <f>IF(Worksheet!Q452&lt;&gt;"",Worksheet!Q452,"")</f>
        <v/>
      </c>
      <c r="AA456" s="17" t="str">
        <f>IF(Worksheet!R452&lt;&gt;"",Worksheet!R452,"")</f>
        <v/>
      </c>
      <c r="AB456" t="str">
        <f>IF(Worksheet!X452&lt;&gt;"",CONCATENATE("от ",Worksheet!X452," до +",Worksheet!Y452),"")</f>
        <v/>
      </c>
      <c r="AC456" t="str">
        <f>IF(Worksheet!Z452&lt;&gt;"",CONCATENATE("от ",Worksheet!Z452," до +",Worksheet!AA452),"")</f>
        <v/>
      </c>
      <c r="AD456" s="6" t="s">
        <v>5172</v>
      </c>
      <c r="AE456" s="17"/>
    </row>
    <row r="457" spans="1:31" x14ac:dyDescent="0.25">
      <c r="A457" s="17" t="str">
        <f>IF(Worksheet!B453&lt;&gt;"",Worksheet!B453,"")</f>
        <v>TOSOT</v>
      </c>
      <c r="B457" t="str">
        <f>Worksheet!E453</f>
        <v>Канальные</v>
      </c>
      <c r="C457">
        <f>IF(Worksheet!M453&lt;&gt;"",Worksheet!M453,"")</f>
        <v>6</v>
      </c>
      <c r="D457">
        <f t="shared" si="20"/>
        <v>60</v>
      </c>
      <c r="E457" t="str">
        <f>IF(Worksheet!L453&lt;&gt;"",IF(Worksheet!L453="Y","да","нет"),"")</f>
        <v>да</v>
      </c>
      <c r="F457">
        <f>IF(Worksheet!N453&lt;&gt;"",Worksheet!N453,"")</f>
        <v>6.6</v>
      </c>
      <c r="G457">
        <f>IF(Worksheet!O453&lt;&gt;"",Worksheet!O453,"")</f>
        <v>0.11</v>
      </c>
      <c r="H457" t="str">
        <f>IF(Worksheet!P453&lt;&gt;"",Worksheet!P453,"")</f>
        <v/>
      </c>
      <c r="I457" s="6"/>
      <c r="J457" s="6"/>
      <c r="K457" t="str">
        <f>IF(Worksheet!BI453&lt;&gt;"",Worksheet!BI453,"")</f>
        <v>1 / 220 / 50</v>
      </c>
      <c r="L457" t="str">
        <f>IF(Worksheet!AU453&lt;&gt;"",Worksheet!AU453,"")</f>
        <v>R32</v>
      </c>
      <c r="M457" s="6"/>
      <c r="N457" s="6"/>
      <c r="O457" s="1" t="str">
        <f>IF(Worksheet!BL453&lt;&gt;"",CONCATENATE(Worksheet!BL453," х ",Worksheet!BM453," х ",Worksheet!BK453),"")</f>
        <v>1100 х 615 х 200</v>
      </c>
      <c r="P457" s="1" t="str">
        <f>IF(Worksheet!BQ453&lt;&gt;"",CONCATENATE(Worksheet!BQ453," х ",Worksheet!BR453," х ",Worksheet!BP453),"")</f>
        <v>740 х 1320 х 290</v>
      </c>
      <c r="Q457" s="1" t="str">
        <f>IF(Worksheet!BN453&lt;&gt;"",CONCATENATE(Worksheet!BN453," / ",Worksheet!BO453),"")</f>
        <v>30 / 40</v>
      </c>
      <c r="R457" t="str">
        <f>IF(Worksheet!BS453&lt;&gt;"",Worksheet!BS453,"")</f>
        <v>34/37/42/48</v>
      </c>
      <c r="S457" t="str">
        <f>IF(Worksheet!AL453&lt;&gt;"",Worksheet!AL453,"")</f>
        <v/>
      </c>
      <c r="T457" s="1" t="str">
        <f>IF(Worksheet!BL453&lt;&gt;"",CONCATENATE(Worksheet!BL453," х ",Worksheet!BM453," х ",Worksheet!BK453),"")</f>
        <v>1100 х 615 х 200</v>
      </c>
      <c r="U457" s="1" t="str">
        <f>IF(Worksheet!BQ453&lt;&gt;"",CONCATENATE(Worksheet!BQ453," х ",Worksheet!BR453," х ",Worksheet!BP453),"")</f>
        <v>740 х 1320 х 290</v>
      </c>
      <c r="V457" s="1" t="str">
        <f>IF(Worksheet!BN453&lt;&gt;"",CONCATENATE(Worksheet!BN453," / ",Worksheet!BO453),"")</f>
        <v>30 / 40</v>
      </c>
      <c r="W457" s="6"/>
      <c r="X457" s="7">
        <f>IF(Worksheet!AN453&lt;&gt;"",Worksheet!AN453,"")</f>
        <v>9.52</v>
      </c>
      <c r="Y457" s="7">
        <f>IF(Worksheet!AO453&lt;&gt;"",Worksheet!AO453,"")</f>
        <v>15.8</v>
      </c>
      <c r="Z457" s="17" t="str">
        <f>IF(Worksheet!Q453&lt;&gt;"",Worksheet!Q453,"")</f>
        <v/>
      </c>
      <c r="AA457" s="17" t="str">
        <f>IF(Worksheet!R453&lt;&gt;"",Worksheet!R453,"")</f>
        <v/>
      </c>
      <c r="AB457" t="str">
        <f>IF(Worksheet!X453&lt;&gt;"",CONCATENATE("от ",Worksheet!X453," до +",Worksheet!Y453),"")</f>
        <v/>
      </c>
      <c r="AC457" t="str">
        <f>IF(Worksheet!Z453&lt;&gt;"",CONCATENATE("от ",Worksheet!Z453," до +",Worksheet!AA453),"")</f>
        <v/>
      </c>
      <c r="AD457" s="6" t="s">
        <v>5172</v>
      </c>
      <c r="AE457" s="17"/>
    </row>
    <row r="458" spans="1:31" x14ac:dyDescent="0.25">
      <c r="A458" s="17" t="str">
        <f>IF(Worksheet!B454&lt;&gt;"",Worksheet!B454,"")</f>
        <v>TOSOT</v>
      </c>
      <c r="B458" t="str">
        <f>Worksheet!E454</f>
        <v>Канальные</v>
      </c>
      <c r="C458">
        <f>IF(Worksheet!M454&lt;&gt;"",Worksheet!M454,"")</f>
        <v>7.1</v>
      </c>
      <c r="D458">
        <f t="shared" si="20"/>
        <v>71</v>
      </c>
      <c r="E458" t="str">
        <f>IF(Worksheet!L454&lt;&gt;"",IF(Worksheet!L454="Y","да","нет"),"")</f>
        <v>да</v>
      </c>
      <c r="F458">
        <f>IF(Worksheet!N454&lt;&gt;"",Worksheet!N454,"")</f>
        <v>8</v>
      </c>
      <c r="G458">
        <f>IF(Worksheet!O454&lt;&gt;"",Worksheet!O454,"")</f>
        <v>0.11</v>
      </c>
      <c r="H458">
        <f>IF(Worksheet!P454&lt;&gt;"",Worksheet!P454,"")</f>
        <v>0.11</v>
      </c>
      <c r="I458" s="6"/>
      <c r="J458" s="6"/>
      <c r="K458" t="str">
        <f>IF(Worksheet!BI454&lt;&gt;"",Worksheet!BI454,"")</f>
        <v>1 / 220 / 50</v>
      </c>
      <c r="L458" t="str">
        <f>IF(Worksheet!AU454&lt;&gt;"",Worksheet!AU454,"")</f>
        <v>R410A</v>
      </c>
      <c r="M458" s="6"/>
      <c r="N458" s="6"/>
      <c r="O458" s="1" t="str">
        <f>IF(Worksheet!BL454&lt;&gt;"",CONCATENATE(Worksheet!BL454," х ",Worksheet!BM454," х ",Worksheet!BK454),"")</f>
        <v>1100 х 615 х 200</v>
      </c>
      <c r="P458" s="1" t="str">
        <f>IF(Worksheet!BQ454&lt;&gt;"",CONCATENATE(Worksheet!BQ454," х ",Worksheet!BR454," х ",Worksheet!BP454),"")</f>
        <v>1323 х 743 х 205</v>
      </c>
      <c r="Q458" s="1" t="str">
        <f>IF(Worksheet!BN454&lt;&gt;"",CONCATENATE(Worksheet!BN454," / ",Worksheet!BO454),"")</f>
        <v>31 / 41</v>
      </c>
      <c r="R458" t="str">
        <f>IF(Worksheet!BS454&lt;&gt;"",Worksheet!BS454,"")</f>
        <v>34/42</v>
      </c>
      <c r="S458" t="str">
        <f>IF(Worksheet!AL454&lt;&gt;"",Worksheet!AL454,"")</f>
        <v/>
      </c>
      <c r="T458" s="1" t="str">
        <f>IF(Worksheet!BL454&lt;&gt;"",CONCATENATE(Worksheet!BL454," х ",Worksheet!BM454," х ",Worksheet!BK454),"")</f>
        <v>1100 х 615 х 200</v>
      </c>
      <c r="U458" s="1" t="str">
        <f>IF(Worksheet!BQ454&lt;&gt;"",CONCATENATE(Worksheet!BQ454," х ",Worksheet!BR454," х ",Worksheet!BP454),"")</f>
        <v>1323 х 743 х 205</v>
      </c>
      <c r="V458" s="1" t="str">
        <f>IF(Worksheet!BN454&lt;&gt;"",CONCATENATE(Worksheet!BN454," / ",Worksheet!BO454),"")</f>
        <v>31 / 41</v>
      </c>
      <c r="W458" s="6"/>
      <c r="X458" s="7">
        <f>IF(Worksheet!AN454&lt;&gt;"",Worksheet!AN454,"")</f>
        <v>9.5</v>
      </c>
      <c r="Y458" s="7">
        <f>IF(Worksheet!AO454&lt;&gt;"",Worksheet!AO454,"")</f>
        <v>15.8</v>
      </c>
      <c r="Z458" s="17" t="str">
        <f>IF(Worksheet!Q454&lt;&gt;"",Worksheet!Q454,"")</f>
        <v/>
      </c>
      <c r="AA458" s="17" t="str">
        <f>IF(Worksheet!R454&lt;&gt;"",Worksheet!R454,"")</f>
        <v/>
      </c>
      <c r="AB458" t="str">
        <f>IF(Worksheet!X454&lt;&gt;"",CONCATENATE("от ",Worksheet!X454," до +",Worksheet!Y454),"")</f>
        <v/>
      </c>
      <c r="AC458" t="str">
        <f>IF(Worksheet!Z454&lt;&gt;"",CONCATENATE("от ",Worksheet!Z454," до +",Worksheet!AA454),"")</f>
        <v/>
      </c>
      <c r="AD458" s="6" t="s">
        <v>5172</v>
      </c>
      <c r="AE458" s="17"/>
    </row>
    <row r="459" spans="1:31" x14ac:dyDescent="0.25">
      <c r="A459" s="17" t="str">
        <f>IF(Worksheet!B455&lt;&gt;"",Worksheet!B455,"")</f>
        <v>TOSOT</v>
      </c>
      <c r="B459" t="str">
        <f>Worksheet!E455</f>
        <v>Канальные</v>
      </c>
      <c r="C459">
        <f>IF(Worksheet!M455&lt;&gt;"",Worksheet!M455,"")</f>
        <v>7.1</v>
      </c>
      <c r="D459">
        <f t="shared" si="20"/>
        <v>71</v>
      </c>
      <c r="E459" t="str">
        <f>IF(Worksheet!L455&lt;&gt;"",IF(Worksheet!L455="Y","да","нет"),"")</f>
        <v>да</v>
      </c>
      <c r="F459">
        <f>IF(Worksheet!N455&lt;&gt;"",Worksheet!N455,"")</f>
        <v>8</v>
      </c>
      <c r="G459">
        <f>IF(Worksheet!O455&lt;&gt;"",Worksheet!O455,"")</f>
        <v>0.11</v>
      </c>
      <c r="H459" t="str">
        <f>IF(Worksheet!P455&lt;&gt;"",Worksheet!P455,"")</f>
        <v/>
      </c>
      <c r="I459" s="6"/>
      <c r="J459" s="6"/>
      <c r="K459" t="str">
        <f>IF(Worksheet!BI455&lt;&gt;"",Worksheet!BI455,"")</f>
        <v>1 / 220 / 50</v>
      </c>
      <c r="L459" t="str">
        <f>IF(Worksheet!AU455&lt;&gt;"",Worksheet!AU455,"")</f>
        <v>R32</v>
      </c>
      <c r="M459" s="6"/>
      <c r="N459" s="6"/>
      <c r="O459" s="1" t="str">
        <f>IF(Worksheet!BL455&lt;&gt;"",CONCATENATE(Worksheet!BL455," х ",Worksheet!BM455," х ",Worksheet!BK455),"")</f>
        <v>1100 х 615 х 200</v>
      </c>
      <c r="P459" s="1" t="str">
        <f>IF(Worksheet!BQ455&lt;&gt;"",CONCATENATE(Worksheet!BQ455," х ",Worksheet!BR455," х ",Worksheet!BP455),"")</f>
        <v>740 х 1320 х 290</v>
      </c>
      <c r="Q459" s="1" t="str">
        <f>IF(Worksheet!BN455&lt;&gt;"",CONCATENATE(Worksheet!BN455," / ",Worksheet!BO455),"")</f>
        <v>30 / 40</v>
      </c>
      <c r="R459" t="str">
        <f>IF(Worksheet!BS455&lt;&gt;"",Worksheet!BS455,"")</f>
        <v>34/37/42/48</v>
      </c>
      <c r="S459" t="str">
        <f>IF(Worksheet!AL455&lt;&gt;"",Worksheet!AL455,"")</f>
        <v/>
      </c>
      <c r="T459" s="1" t="str">
        <f>IF(Worksheet!BL455&lt;&gt;"",CONCATENATE(Worksheet!BL455," х ",Worksheet!BM455," х ",Worksheet!BK455),"")</f>
        <v>1100 х 615 х 200</v>
      </c>
      <c r="U459" s="1" t="str">
        <f>IF(Worksheet!BQ455&lt;&gt;"",CONCATENATE(Worksheet!BQ455," х ",Worksheet!BR455," х ",Worksheet!BP455),"")</f>
        <v>740 х 1320 х 290</v>
      </c>
      <c r="V459" s="1" t="str">
        <f>IF(Worksheet!BN455&lt;&gt;"",CONCATENATE(Worksheet!BN455," / ",Worksheet!BO455),"")</f>
        <v>30 / 40</v>
      </c>
      <c r="W459" s="6"/>
      <c r="X459" s="7">
        <f>IF(Worksheet!AN455&lt;&gt;"",Worksheet!AN455,"")</f>
        <v>9.52</v>
      </c>
      <c r="Y459" s="7">
        <f>IF(Worksheet!AO455&lt;&gt;"",Worksheet!AO455,"")</f>
        <v>15.8</v>
      </c>
      <c r="Z459" s="17" t="str">
        <f>IF(Worksheet!Q455&lt;&gt;"",Worksheet!Q455,"")</f>
        <v/>
      </c>
      <c r="AA459" s="17" t="str">
        <f>IF(Worksheet!R455&lt;&gt;"",Worksheet!R455,"")</f>
        <v/>
      </c>
      <c r="AB459" t="str">
        <f>IF(Worksheet!X455&lt;&gt;"",CONCATENATE("от ",Worksheet!X455," до +",Worksheet!Y455),"")</f>
        <v/>
      </c>
      <c r="AC459" t="str">
        <f>IF(Worksheet!Z455&lt;&gt;"",CONCATENATE("от ",Worksheet!Z455," до +",Worksheet!AA455),"")</f>
        <v/>
      </c>
      <c r="AD459" s="6" t="s">
        <v>5172</v>
      </c>
      <c r="AE459" s="17"/>
    </row>
    <row r="460" spans="1:31" x14ac:dyDescent="0.25">
      <c r="A460" s="17" t="str">
        <f>IF(Worksheet!B456&lt;&gt;"",Worksheet!B456,"")</f>
        <v>TOSOT</v>
      </c>
      <c r="B460" t="str">
        <f>Worksheet!E456</f>
        <v>Кассетные</v>
      </c>
      <c r="C460">
        <f>IF(Worksheet!M456&lt;&gt;"",Worksheet!M456,"")</f>
        <v>3.5</v>
      </c>
      <c r="D460">
        <f t="shared" si="20"/>
        <v>35</v>
      </c>
      <c r="E460" t="str">
        <f>IF(Worksheet!L456&lt;&gt;"",IF(Worksheet!L456="Y","да","нет"),"")</f>
        <v>да</v>
      </c>
      <c r="F460">
        <f>IF(Worksheet!N456&lt;&gt;"",Worksheet!N456,"")</f>
        <v>4</v>
      </c>
      <c r="G460" t="str">
        <f>IF(Worksheet!O456&lt;&gt;"",Worksheet!O456,"")</f>
        <v/>
      </c>
      <c r="H460" t="str">
        <f>IF(Worksheet!P456&lt;&gt;"",Worksheet!P456,"")</f>
        <v/>
      </c>
      <c r="I460" s="6"/>
      <c r="J460" s="6"/>
      <c r="K460" t="str">
        <f>IF(Worksheet!BI456&lt;&gt;"",Worksheet!BI456,"")</f>
        <v/>
      </c>
      <c r="L460" t="str">
        <f>IF(Worksheet!AU456&lt;&gt;"",Worksheet!AU456,"")</f>
        <v/>
      </c>
      <c r="M460" s="6"/>
      <c r="N460" s="6"/>
      <c r="O460" s="1" t="str">
        <f>IF(Worksheet!BL456&lt;&gt;"",CONCATENATE(Worksheet!BL456," х ",Worksheet!BM456," х ",Worksheet!BK456),"")</f>
        <v/>
      </c>
      <c r="P460" s="1" t="str">
        <f>IF(Worksheet!BQ456&lt;&gt;"",CONCATENATE(Worksheet!BQ456," х ",Worksheet!BR456," х ",Worksheet!BP456),"")</f>
        <v/>
      </c>
      <c r="Q460" s="1" t="str">
        <f>IF(Worksheet!BN456&lt;&gt;"",CONCATENATE(Worksheet!BN456," / ",Worksheet!BO456),"")</f>
        <v/>
      </c>
      <c r="R460" t="str">
        <f>IF(Worksheet!BS456&lt;&gt;"",Worksheet!BS456,"")</f>
        <v/>
      </c>
      <c r="S460" t="str">
        <f>IF(Worksheet!AL456&lt;&gt;"",Worksheet!AL456,"")</f>
        <v/>
      </c>
      <c r="T460" s="1" t="str">
        <f>IF(Worksheet!BL456&lt;&gt;"",CONCATENATE(Worksheet!BL456," х ",Worksheet!BM456," х ",Worksheet!BK456),"")</f>
        <v/>
      </c>
      <c r="U460" s="1" t="str">
        <f>IF(Worksheet!BQ456&lt;&gt;"",CONCATENATE(Worksheet!BQ456," х ",Worksheet!BR456," х ",Worksheet!BP456),"")</f>
        <v/>
      </c>
      <c r="V460" s="1" t="str">
        <f>IF(Worksheet!BN456&lt;&gt;"",CONCATENATE(Worksheet!BN456," / ",Worksheet!BO456),"")</f>
        <v/>
      </c>
      <c r="W460" s="6"/>
      <c r="X460" s="7">
        <f>IF(Worksheet!AN456&lt;&gt;"",Worksheet!AN456,"")</f>
        <v>6.35</v>
      </c>
      <c r="Y460" s="7">
        <f>IF(Worksheet!AO456&lt;&gt;"",Worksheet!AO456,"")</f>
        <v>9.5</v>
      </c>
      <c r="Z460" s="17" t="str">
        <f>IF(Worksheet!Q456&lt;&gt;"",Worksheet!Q456,"")</f>
        <v/>
      </c>
      <c r="AA460" s="17" t="str">
        <f>IF(Worksheet!R456&lt;&gt;"",Worksheet!R456,"")</f>
        <v/>
      </c>
      <c r="AB460" t="str">
        <f>IF(Worksheet!X456&lt;&gt;"",CONCATENATE("от ",Worksheet!X456," до +",Worksheet!Y456),"")</f>
        <v/>
      </c>
      <c r="AC460" t="str">
        <f>IF(Worksheet!Z456&lt;&gt;"",CONCATENATE("от ",Worksheet!Z456," до +",Worksheet!AA456),"")</f>
        <v/>
      </c>
      <c r="AD460" s="6" t="s">
        <v>5172</v>
      </c>
      <c r="AE460" s="17"/>
    </row>
    <row r="461" spans="1:31" x14ac:dyDescent="0.25">
      <c r="A461" s="17" t="str">
        <f>IF(Worksheet!B457&lt;&gt;"",Worksheet!B457,"")</f>
        <v>TOSOT</v>
      </c>
      <c r="B461" t="str">
        <f>Worksheet!E457</f>
        <v>Кассетные</v>
      </c>
      <c r="C461" t="str">
        <f>IF(Worksheet!M457&lt;&gt;"",Worksheet!M457,"")</f>
        <v/>
      </c>
      <c r="E461" t="str">
        <f>IF(Worksheet!L457&lt;&gt;"",IF(Worksheet!L457="Y","да","нет"),"")</f>
        <v>да</v>
      </c>
      <c r="F461" t="str">
        <f>IF(Worksheet!N457&lt;&gt;"",Worksheet!N457,"")</f>
        <v/>
      </c>
      <c r="G461" t="str">
        <f>IF(Worksheet!O457&lt;&gt;"",Worksheet!O457,"")</f>
        <v/>
      </c>
      <c r="H461" t="str">
        <f>IF(Worksheet!P457&lt;&gt;"",Worksheet!P457,"")</f>
        <v/>
      </c>
      <c r="I461" s="6"/>
      <c r="J461" s="6"/>
      <c r="K461" t="str">
        <f>IF(Worksheet!BI457&lt;&gt;"",Worksheet!BI457,"")</f>
        <v/>
      </c>
      <c r="L461" t="str">
        <f>IF(Worksheet!AU457&lt;&gt;"",Worksheet!AU457,"")</f>
        <v/>
      </c>
      <c r="M461" s="6"/>
      <c r="N461" s="6"/>
      <c r="O461" s="1" t="str">
        <f>IF(Worksheet!BL457&lt;&gt;"",CONCATENATE(Worksheet!BL457," х ",Worksheet!BM457," х ",Worksheet!BK457),"")</f>
        <v/>
      </c>
      <c r="P461" s="1" t="str">
        <f>IF(Worksheet!BQ457&lt;&gt;"",CONCATENATE(Worksheet!BQ457," х ",Worksheet!BR457," х ",Worksheet!BP457),"")</f>
        <v/>
      </c>
      <c r="Q461" s="1" t="str">
        <f>IF(Worksheet!BN457&lt;&gt;"",CONCATENATE(Worksheet!BN457," / ",Worksheet!BO457),"")</f>
        <v/>
      </c>
      <c r="R461" t="str">
        <f>IF(Worksheet!BS457&lt;&gt;"",Worksheet!BS457,"")</f>
        <v/>
      </c>
      <c r="S461" t="str">
        <f>IF(Worksheet!AL457&lt;&gt;"",Worksheet!AL457,"")</f>
        <v/>
      </c>
      <c r="T461" s="1" t="str">
        <f>IF(Worksheet!BL457&lt;&gt;"",CONCATENATE(Worksheet!BL457," х ",Worksheet!BM457," х ",Worksheet!BK457),"")</f>
        <v/>
      </c>
      <c r="U461" s="1" t="str">
        <f>IF(Worksheet!BQ457&lt;&gt;"",CONCATENATE(Worksheet!BQ457," х ",Worksheet!BR457," х ",Worksheet!BP457),"")</f>
        <v/>
      </c>
      <c r="V461" s="1" t="str">
        <f>IF(Worksheet!BN457&lt;&gt;"",CONCATENATE(Worksheet!BN457," / ",Worksheet!BO457),"")</f>
        <v/>
      </c>
      <c r="W461" s="6"/>
      <c r="X461" s="7" t="str">
        <f>IF(Worksheet!AN457&lt;&gt;"",Worksheet!AN457,"")</f>
        <v/>
      </c>
      <c r="Y461" s="7" t="str">
        <f>IF(Worksheet!AO457&lt;&gt;"",Worksheet!AO457,"")</f>
        <v/>
      </c>
      <c r="Z461" s="17" t="str">
        <f>IF(Worksheet!Q457&lt;&gt;"",Worksheet!Q457,"")</f>
        <v/>
      </c>
      <c r="AA461" s="17" t="str">
        <f>IF(Worksheet!R457&lt;&gt;"",Worksheet!R457,"")</f>
        <v/>
      </c>
      <c r="AB461" t="str">
        <f>IF(Worksheet!X457&lt;&gt;"",CONCATENATE("от ",Worksheet!X457," до +",Worksheet!Y457),"")</f>
        <v/>
      </c>
      <c r="AC461" t="str">
        <f>IF(Worksheet!Z457&lt;&gt;"",CONCATENATE("от ",Worksheet!Z457," до +",Worksheet!AA457),"")</f>
        <v/>
      </c>
      <c r="AD461" s="6" t="s">
        <v>5172</v>
      </c>
      <c r="AE461" s="17"/>
    </row>
    <row r="462" spans="1:31" x14ac:dyDescent="0.25">
      <c r="A462" s="17" t="str">
        <f>IF(Worksheet!B458&lt;&gt;"",Worksheet!B458,"")</f>
        <v>TOSOT</v>
      </c>
      <c r="B462" t="str">
        <f>Worksheet!E458</f>
        <v>Кассетные</v>
      </c>
      <c r="C462">
        <f>IF(Worksheet!M458&lt;&gt;"",Worksheet!M458,"")</f>
        <v>4.5</v>
      </c>
      <c r="D462">
        <f t="shared" si="20"/>
        <v>45</v>
      </c>
      <c r="E462" t="str">
        <f>IF(Worksheet!L458&lt;&gt;"",IF(Worksheet!L458="Y","да","нет"),"")</f>
        <v>да</v>
      </c>
      <c r="F462">
        <f>IF(Worksheet!N458&lt;&gt;"",Worksheet!N458,"")</f>
        <v>5</v>
      </c>
      <c r="G462" t="str">
        <f>IF(Worksheet!O458&lt;&gt;"",Worksheet!O458,"")</f>
        <v/>
      </c>
      <c r="H462" t="str">
        <f>IF(Worksheet!P458&lt;&gt;"",Worksheet!P458,"")</f>
        <v/>
      </c>
      <c r="I462" s="6"/>
      <c r="J462" s="6"/>
      <c r="K462" t="str">
        <f>IF(Worksheet!BI458&lt;&gt;"",Worksheet!BI458,"")</f>
        <v/>
      </c>
      <c r="L462" t="str">
        <f>IF(Worksheet!AU458&lt;&gt;"",Worksheet!AU458,"")</f>
        <v/>
      </c>
      <c r="M462" s="6"/>
      <c r="N462" s="6"/>
      <c r="O462" s="1" t="str">
        <f>IF(Worksheet!BL458&lt;&gt;"",CONCATENATE(Worksheet!BL458," х ",Worksheet!BM458," х ",Worksheet!BK458),"")</f>
        <v/>
      </c>
      <c r="P462" s="1" t="str">
        <f>IF(Worksheet!BQ458&lt;&gt;"",CONCATENATE(Worksheet!BQ458," х ",Worksheet!BR458," х ",Worksheet!BP458),"")</f>
        <v/>
      </c>
      <c r="Q462" s="1" t="str">
        <f>IF(Worksheet!BN458&lt;&gt;"",CONCATENATE(Worksheet!BN458," / ",Worksheet!BO458),"")</f>
        <v/>
      </c>
      <c r="R462" t="str">
        <f>IF(Worksheet!BS458&lt;&gt;"",Worksheet!BS458,"")</f>
        <v/>
      </c>
      <c r="S462" t="str">
        <f>IF(Worksheet!AL458&lt;&gt;"",Worksheet!AL458,"")</f>
        <v/>
      </c>
      <c r="T462" s="1" t="str">
        <f>IF(Worksheet!BL458&lt;&gt;"",CONCATENATE(Worksheet!BL458," х ",Worksheet!BM458," х ",Worksheet!BK458),"")</f>
        <v/>
      </c>
      <c r="U462" s="1" t="str">
        <f>IF(Worksheet!BQ458&lt;&gt;"",CONCATENATE(Worksheet!BQ458," х ",Worksheet!BR458," х ",Worksheet!BP458),"")</f>
        <v/>
      </c>
      <c r="V462" s="1" t="str">
        <f>IF(Worksheet!BN458&lt;&gt;"",CONCATENATE(Worksheet!BN458," / ",Worksheet!BO458),"")</f>
        <v/>
      </c>
      <c r="W462" s="6"/>
      <c r="X462" s="7">
        <f>IF(Worksheet!AN458&lt;&gt;"",Worksheet!AN458,"")</f>
        <v>6.35</v>
      </c>
      <c r="Y462" s="7">
        <f>IF(Worksheet!AO458&lt;&gt;"",Worksheet!AO458,"")</f>
        <v>12.7</v>
      </c>
      <c r="Z462" s="17" t="str">
        <f>IF(Worksheet!Q458&lt;&gt;"",Worksheet!Q458,"")</f>
        <v/>
      </c>
      <c r="AA462" s="17" t="str">
        <f>IF(Worksheet!R458&lt;&gt;"",Worksheet!R458,"")</f>
        <v/>
      </c>
      <c r="AB462" t="str">
        <f>IF(Worksheet!X458&lt;&gt;"",CONCATENATE("от ",Worksheet!X458," до +",Worksheet!Y458),"")</f>
        <v/>
      </c>
      <c r="AC462" t="str">
        <f>IF(Worksheet!Z458&lt;&gt;"",CONCATENATE("от ",Worksheet!Z458," до +",Worksheet!AA458),"")</f>
        <v/>
      </c>
      <c r="AD462" s="6" t="s">
        <v>5172</v>
      </c>
      <c r="AE462" s="17"/>
    </row>
    <row r="463" spans="1:31" x14ac:dyDescent="0.25">
      <c r="A463" s="17" t="str">
        <f>IF(Worksheet!B459&lt;&gt;"",Worksheet!B459,"")</f>
        <v>TOSOT</v>
      </c>
      <c r="B463" t="str">
        <f>Worksheet!E459</f>
        <v>Кассетные</v>
      </c>
      <c r="C463" t="str">
        <f>IF(Worksheet!M459&lt;&gt;"",Worksheet!M459,"")</f>
        <v/>
      </c>
      <c r="E463" t="str">
        <f>IF(Worksheet!L459&lt;&gt;"",IF(Worksheet!L459="Y","да","нет"),"")</f>
        <v>да</v>
      </c>
      <c r="F463" t="str">
        <f>IF(Worksheet!N459&lt;&gt;"",Worksheet!N459,"")</f>
        <v/>
      </c>
      <c r="G463" t="str">
        <f>IF(Worksheet!O459&lt;&gt;"",Worksheet!O459,"")</f>
        <v/>
      </c>
      <c r="H463" t="str">
        <f>IF(Worksheet!P459&lt;&gt;"",Worksheet!P459,"")</f>
        <v/>
      </c>
      <c r="I463" s="6"/>
      <c r="J463" s="6"/>
      <c r="K463" t="str">
        <f>IF(Worksheet!BI459&lt;&gt;"",Worksheet!BI459,"")</f>
        <v/>
      </c>
      <c r="L463" t="str">
        <f>IF(Worksheet!AU459&lt;&gt;"",Worksheet!AU459,"")</f>
        <v/>
      </c>
      <c r="M463" s="6"/>
      <c r="N463" s="6"/>
      <c r="O463" s="1" t="str">
        <f>IF(Worksheet!BL459&lt;&gt;"",CONCATENATE(Worksheet!BL459," х ",Worksheet!BM459," х ",Worksheet!BK459),"")</f>
        <v/>
      </c>
      <c r="P463" s="1" t="str">
        <f>IF(Worksheet!BQ459&lt;&gt;"",CONCATENATE(Worksheet!BQ459," х ",Worksheet!BR459," х ",Worksheet!BP459),"")</f>
        <v/>
      </c>
      <c r="Q463" s="1" t="str">
        <f>IF(Worksheet!BN459&lt;&gt;"",CONCATENATE(Worksheet!BN459," / ",Worksheet!BO459),"")</f>
        <v/>
      </c>
      <c r="R463" t="str">
        <f>IF(Worksheet!BS459&lt;&gt;"",Worksheet!BS459,"")</f>
        <v/>
      </c>
      <c r="S463" t="str">
        <f>IF(Worksheet!AL459&lt;&gt;"",Worksheet!AL459,"")</f>
        <v/>
      </c>
      <c r="T463" s="1" t="str">
        <f>IF(Worksheet!BL459&lt;&gt;"",CONCATENATE(Worksheet!BL459," х ",Worksheet!BM459," х ",Worksheet!BK459),"")</f>
        <v/>
      </c>
      <c r="U463" s="1" t="str">
        <f>IF(Worksheet!BQ459&lt;&gt;"",CONCATENATE(Worksheet!BQ459," х ",Worksheet!BR459," х ",Worksheet!BP459),"")</f>
        <v/>
      </c>
      <c r="V463" s="1" t="str">
        <f>IF(Worksheet!BN459&lt;&gt;"",CONCATENATE(Worksheet!BN459," / ",Worksheet!BO459),"")</f>
        <v/>
      </c>
      <c r="W463" s="6"/>
      <c r="X463" s="7" t="str">
        <f>IF(Worksheet!AN459&lt;&gt;"",Worksheet!AN459,"")</f>
        <v/>
      </c>
      <c r="Y463" s="7" t="str">
        <f>IF(Worksheet!AO459&lt;&gt;"",Worksheet!AO459,"")</f>
        <v/>
      </c>
      <c r="Z463" s="17" t="str">
        <f>IF(Worksheet!Q459&lt;&gt;"",Worksheet!Q459,"")</f>
        <v/>
      </c>
      <c r="AA463" s="17" t="str">
        <f>IF(Worksheet!R459&lt;&gt;"",Worksheet!R459,"")</f>
        <v/>
      </c>
      <c r="AB463" t="str">
        <f>IF(Worksheet!X459&lt;&gt;"",CONCATENATE("от ",Worksheet!X459," до +",Worksheet!Y459),"")</f>
        <v/>
      </c>
      <c r="AC463" t="str">
        <f>IF(Worksheet!Z459&lt;&gt;"",CONCATENATE("от ",Worksheet!Z459," до +",Worksheet!AA459),"")</f>
        <v/>
      </c>
      <c r="AD463" s="6" t="s">
        <v>5172</v>
      </c>
      <c r="AE463" s="17"/>
    </row>
    <row r="464" spans="1:31" x14ac:dyDescent="0.25">
      <c r="A464" s="17" t="str">
        <f>IF(Worksheet!B460&lt;&gt;"",Worksheet!B460,"")</f>
        <v>TOSOT</v>
      </c>
      <c r="B464" t="str">
        <f>Worksheet!E460</f>
        <v>Кассетные</v>
      </c>
      <c r="C464" t="str">
        <f>IF(Worksheet!M460&lt;&gt;"",Worksheet!M460,"")</f>
        <v/>
      </c>
      <c r="E464" t="str">
        <f>IF(Worksheet!L460&lt;&gt;"",IF(Worksheet!L460="Y","да","нет"),"")</f>
        <v>да</v>
      </c>
      <c r="F464" t="str">
        <f>IF(Worksheet!N460&lt;&gt;"",Worksheet!N460,"")</f>
        <v/>
      </c>
      <c r="G464" t="str">
        <f>IF(Worksheet!O460&lt;&gt;"",Worksheet!O460,"")</f>
        <v/>
      </c>
      <c r="H464" t="str">
        <f>IF(Worksheet!P460&lt;&gt;"",Worksheet!P460,"")</f>
        <v/>
      </c>
      <c r="I464" s="6"/>
      <c r="J464" s="6"/>
      <c r="K464" t="str">
        <f>IF(Worksheet!BI460&lt;&gt;"",Worksheet!BI460,"")</f>
        <v/>
      </c>
      <c r="L464" t="str">
        <f>IF(Worksheet!AU460&lt;&gt;"",Worksheet!AU460,"")</f>
        <v/>
      </c>
      <c r="M464" s="6"/>
      <c r="N464" s="6"/>
      <c r="O464" s="1" t="str">
        <f>IF(Worksheet!BL460&lt;&gt;"",CONCATENATE(Worksheet!BL460," х ",Worksheet!BM460," х ",Worksheet!BK460),"")</f>
        <v/>
      </c>
      <c r="P464" s="1" t="str">
        <f>IF(Worksheet!BQ460&lt;&gt;"",CONCATENATE(Worksheet!BQ460," х ",Worksheet!BR460," х ",Worksheet!BP460),"")</f>
        <v/>
      </c>
      <c r="Q464" s="1" t="str">
        <f>IF(Worksheet!BN460&lt;&gt;"",CONCATENATE(Worksheet!BN460," / ",Worksheet!BO460),"")</f>
        <v/>
      </c>
      <c r="R464" t="str">
        <f>IF(Worksheet!BS460&lt;&gt;"",Worksheet!BS460,"")</f>
        <v/>
      </c>
      <c r="S464" t="str">
        <f>IF(Worksheet!AL460&lt;&gt;"",Worksheet!AL460,"")</f>
        <v/>
      </c>
      <c r="T464" s="1" t="str">
        <f>IF(Worksheet!BL460&lt;&gt;"",CONCATENATE(Worksheet!BL460," х ",Worksheet!BM460," х ",Worksheet!BK460),"")</f>
        <v/>
      </c>
      <c r="U464" s="1" t="str">
        <f>IF(Worksheet!BQ460&lt;&gt;"",CONCATENATE(Worksheet!BQ460," х ",Worksheet!BR460," х ",Worksheet!BP460),"")</f>
        <v/>
      </c>
      <c r="V464" s="1" t="str">
        <f>IF(Worksheet!BN460&lt;&gt;"",CONCATENATE(Worksheet!BN460," / ",Worksheet!BO460),"")</f>
        <v/>
      </c>
      <c r="W464" s="6"/>
      <c r="X464" s="7" t="str">
        <f>IF(Worksheet!AN460&lt;&gt;"",Worksheet!AN460,"")</f>
        <v/>
      </c>
      <c r="Y464" s="7" t="str">
        <f>IF(Worksheet!AO460&lt;&gt;"",Worksheet!AO460,"")</f>
        <v/>
      </c>
      <c r="Z464" s="17" t="str">
        <f>IF(Worksheet!Q460&lt;&gt;"",Worksheet!Q460,"")</f>
        <v/>
      </c>
      <c r="AA464" s="17" t="str">
        <f>IF(Worksheet!R460&lt;&gt;"",Worksheet!R460,"")</f>
        <v/>
      </c>
      <c r="AB464" t="str">
        <f>IF(Worksheet!X460&lt;&gt;"",CONCATENATE("от ",Worksheet!X460," до +",Worksheet!Y460),"")</f>
        <v/>
      </c>
      <c r="AC464" t="str">
        <f>IF(Worksheet!Z460&lt;&gt;"",CONCATENATE("от ",Worksheet!Z460," до +",Worksheet!AA460),"")</f>
        <v/>
      </c>
      <c r="AD464" s="6" t="s">
        <v>5172</v>
      </c>
      <c r="AE464" s="17"/>
    </row>
    <row r="465" spans="1:31" x14ac:dyDescent="0.25">
      <c r="A465" s="17" t="str">
        <f>IF(Worksheet!B461&lt;&gt;"",Worksheet!B461,"")</f>
        <v>TOSOT</v>
      </c>
      <c r="B465" t="str">
        <f>Worksheet!E461</f>
        <v>Кассетные</v>
      </c>
      <c r="C465">
        <f>IF(Worksheet!M461&lt;&gt;"",Worksheet!M461,"")</f>
        <v>7.1</v>
      </c>
      <c r="D465">
        <f t="shared" si="20"/>
        <v>71</v>
      </c>
      <c r="E465" t="str">
        <f>IF(Worksheet!L461&lt;&gt;"",IF(Worksheet!L461="Y","да","нет"),"")</f>
        <v>да</v>
      </c>
      <c r="F465">
        <f>IF(Worksheet!N461&lt;&gt;"",Worksheet!N461,"")</f>
        <v>8</v>
      </c>
      <c r="G465" t="str">
        <f>IF(Worksheet!O461&lt;&gt;"",Worksheet!O461,"")</f>
        <v/>
      </c>
      <c r="H465" t="str">
        <f>IF(Worksheet!P461&lt;&gt;"",Worksheet!P461,"")</f>
        <v/>
      </c>
      <c r="I465" s="6"/>
      <c r="J465" s="6"/>
      <c r="K465" t="str">
        <f>IF(Worksheet!BI461&lt;&gt;"",Worksheet!BI461,"")</f>
        <v/>
      </c>
      <c r="L465" t="str">
        <f>IF(Worksheet!AU461&lt;&gt;"",Worksheet!AU461,"")</f>
        <v/>
      </c>
      <c r="M465" s="6"/>
      <c r="N465" s="6"/>
      <c r="O465" s="1" t="str">
        <f>IF(Worksheet!BL461&lt;&gt;"",CONCATENATE(Worksheet!BL461," х ",Worksheet!BM461," х ",Worksheet!BK461),"")</f>
        <v/>
      </c>
      <c r="P465" s="1" t="str">
        <f>IF(Worksheet!BQ461&lt;&gt;"",CONCATENATE(Worksheet!BQ461," х ",Worksheet!BR461," х ",Worksheet!BP461),"")</f>
        <v/>
      </c>
      <c r="Q465" s="1" t="str">
        <f>IF(Worksheet!BN461&lt;&gt;"",CONCATENATE(Worksheet!BN461," / ",Worksheet!BO461),"")</f>
        <v/>
      </c>
      <c r="R465" t="str">
        <f>IF(Worksheet!BS461&lt;&gt;"",Worksheet!BS461,"")</f>
        <v/>
      </c>
      <c r="S465" t="str">
        <f>IF(Worksheet!AL461&lt;&gt;"",Worksheet!AL461,"")</f>
        <v/>
      </c>
      <c r="T465" s="1" t="str">
        <f>IF(Worksheet!BL461&lt;&gt;"",CONCATENATE(Worksheet!BL461," х ",Worksheet!BM461," х ",Worksheet!BK461),"")</f>
        <v/>
      </c>
      <c r="U465" s="1" t="str">
        <f>IF(Worksheet!BQ461&lt;&gt;"",CONCATENATE(Worksheet!BQ461," х ",Worksheet!BR461," х ",Worksheet!BP461),"")</f>
        <v/>
      </c>
      <c r="V465" s="1" t="str">
        <f>IF(Worksheet!BN461&lt;&gt;"",CONCATENATE(Worksheet!BN461," / ",Worksheet!BO461),"")</f>
        <v/>
      </c>
      <c r="W465" s="6"/>
      <c r="X465" s="7">
        <f>IF(Worksheet!AN461&lt;&gt;"",Worksheet!AN461,"")</f>
        <v>9.5</v>
      </c>
      <c r="Y465" s="7">
        <f>IF(Worksheet!AO461&lt;&gt;"",Worksheet!AO461,"")</f>
        <v>15.8</v>
      </c>
      <c r="Z465" s="17" t="str">
        <f>IF(Worksheet!Q461&lt;&gt;"",Worksheet!Q461,"")</f>
        <v/>
      </c>
      <c r="AA465" s="17" t="str">
        <f>IF(Worksheet!R461&lt;&gt;"",Worksheet!R461,"")</f>
        <v/>
      </c>
      <c r="AB465" t="str">
        <f>IF(Worksheet!X461&lt;&gt;"",CONCATENATE("от ",Worksheet!X461," до +",Worksheet!Y461),"")</f>
        <v/>
      </c>
      <c r="AC465" t="str">
        <f>IF(Worksheet!Z461&lt;&gt;"",CONCATENATE("от ",Worksheet!Z461," до +",Worksheet!AA461),"")</f>
        <v/>
      </c>
      <c r="AD465" s="6" t="s">
        <v>5172</v>
      </c>
      <c r="AE465" s="17"/>
    </row>
    <row r="466" spans="1:31" x14ac:dyDescent="0.25">
      <c r="A466" s="17" t="str">
        <f>IF(Worksheet!B462&lt;&gt;"",Worksheet!B462,"")</f>
        <v>TOSOT</v>
      </c>
      <c r="B466" t="str">
        <f>Worksheet!E462</f>
        <v>Напольно-потолочные</v>
      </c>
      <c r="C466">
        <f>IF(Worksheet!M462&lt;&gt;"",Worksheet!M462,"")</f>
        <v>2.5</v>
      </c>
      <c r="D466">
        <f t="shared" si="20"/>
        <v>25</v>
      </c>
      <c r="E466" t="str">
        <f>IF(Worksheet!L462&lt;&gt;"",IF(Worksheet!L462="Y","да","нет"),"")</f>
        <v>да</v>
      </c>
      <c r="F466">
        <f>IF(Worksheet!N462&lt;&gt;"",Worksheet!N462,"")</f>
        <v>2.8</v>
      </c>
      <c r="G466">
        <f>IF(Worksheet!O462&lt;&gt;"",Worksheet!O462,"")</f>
        <v>5.5E-2</v>
      </c>
      <c r="H466">
        <f>IF(Worksheet!P462&lt;&gt;"",Worksheet!P462,"")</f>
        <v>5.5E-2</v>
      </c>
      <c r="I466" s="6"/>
      <c r="J466" s="6"/>
      <c r="K466" t="str">
        <f>IF(Worksheet!BI462&lt;&gt;"",Worksheet!BI462,"")</f>
        <v>1 / 220 / 50</v>
      </c>
      <c r="L466" t="str">
        <f>IF(Worksheet!AU462&lt;&gt;"",Worksheet!AU462,"")</f>
        <v>R410A</v>
      </c>
      <c r="M466" s="6"/>
      <c r="N466" s="6"/>
      <c r="O466" s="1" t="str">
        <f>IF(Worksheet!BL462&lt;&gt;"",CONCATENATE(Worksheet!BL462," х ",Worksheet!BM462," х ",Worksheet!BK462),"")</f>
        <v>1220 х 225 х 700</v>
      </c>
      <c r="P466" s="1" t="str">
        <f>IF(Worksheet!BQ462&lt;&gt;"",CONCATENATE(Worksheet!BQ462," х ",Worksheet!BR462," х ",Worksheet!BP462),"")</f>
        <v>1343 х 315 х 823</v>
      </c>
      <c r="Q466" s="1" t="str">
        <f>IF(Worksheet!BN462&lt;&gt;"",CONCATENATE(Worksheet!BN462," / ",Worksheet!BO462),"")</f>
        <v>40 / 50</v>
      </c>
      <c r="R466" t="str">
        <f>IF(Worksheet!BS462&lt;&gt;"",Worksheet!BS462,"")</f>
        <v>36/40</v>
      </c>
      <c r="S466" t="str">
        <f>IF(Worksheet!AL462&lt;&gt;"",Worksheet!AL462,"")</f>
        <v/>
      </c>
      <c r="T466" s="1" t="str">
        <f>IF(Worksheet!BL462&lt;&gt;"",CONCATENATE(Worksheet!BL462," х ",Worksheet!BM462," х ",Worksheet!BK462),"")</f>
        <v>1220 х 225 х 700</v>
      </c>
      <c r="U466" s="1" t="str">
        <f>IF(Worksheet!BQ462&lt;&gt;"",CONCATENATE(Worksheet!BQ462," х ",Worksheet!BR462," х ",Worksheet!BP462),"")</f>
        <v>1343 х 315 х 823</v>
      </c>
      <c r="V466" s="1" t="str">
        <f>IF(Worksheet!BN462&lt;&gt;"",CONCATENATE(Worksheet!BN462," / ",Worksheet!BO462),"")</f>
        <v>40 / 50</v>
      </c>
      <c r="W466" s="6"/>
      <c r="X466" s="7">
        <f>IF(Worksheet!AN462&lt;&gt;"",Worksheet!AN462,"")</f>
        <v>6.35</v>
      </c>
      <c r="Y466" s="7">
        <f>IF(Worksheet!AO462&lt;&gt;"",Worksheet!AO462,"")</f>
        <v>9.5</v>
      </c>
      <c r="Z466" s="17" t="str">
        <f>IF(Worksheet!Q462&lt;&gt;"",Worksheet!Q462,"")</f>
        <v/>
      </c>
      <c r="AA466" s="17" t="str">
        <f>IF(Worksheet!R462&lt;&gt;"",Worksheet!R462,"")</f>
        <v/>
      </c>
      <c r="AB466" t="str">
        <f>IF(Worksheet!X462&lt;&gt;"",CONCATENATE("от ",Worksheet!X462," до +",Worksheet!Y462),"")</f>
        <v/>
      </c>
      <c r="AC466" t="str">
        <f>IF(Worksheet!Z462&lt;&gt;"",CONCATENATE("от ",Worksheet!Z462," до +",Worksheet!AA462),"")</f>
        <v/>
      </c>
      <c r="AD466" s="6" t="s">
        <v>5172</v>
      </c>
      <c r="AE466" s="17"/>
    </row>
    <row r="467" spans="1:31" x14ac:dyDescent="0.25">
      <c r="A467" s="17" t="str">
        <f>IF(Worksheet!B463&lt;&gt;"",Worksheet!B463,"")</f>
        <v>TOSOT</v>
      </c>
      <c r="B467" t="str">
        <f>Worksheet!E463</f>
        <v>Напольно-потолочные</v>
      </c>
      <c r="C467">
        <f>IF(Worksheet!M463&lt;&gt;"",Worksheet!M463,"")</f>
        <v>3.5</v>
      </c>
      <c r="D467">
        <f t="shared" si="20"/>
        <v>35</v>
      </c>
      <c r="E467" t="str">
        <f>IF(Worksheet!L463&lt;&gt;"",IF(Worksheet!L463="Y","да","нет"),"")</f>
        <v>да</v>
      </c>
      <c r="F467">
        <f>IF(Worksheet!N463&lt;&gt;"",Worksheet!N463,"")</f>
        <v>3.85</v>
      </c>
      <c r="G467">
        <f>IF(Worksheet!O463&lt;&gt;"",Worksheet!O463,"")</f>
        <v>5.5E-2</v>
      </c>
      <c r="H467">
        <f>IF(Worksheet!P463&lt;&gt;"",Worksheet!P463,"")</f>
        <v>5.5E-2</v>
      </c>
      <c r="I467" s="6"/>
      <c r="J467" s="6"/>
      <c r="K467" t="str">
        <f>IF(Worksheet!BI463&lt;&gt;"",Worksheet!BI463,"")</f>
        <v>1 / 220 / 50</v>
      </c>
      <c r="L467" t="str">
        <f>IF(Worksheet!AU463&lt;&gt;"",Worksheet!AU463,"")</f>
        <v>R410A</v>
      </c>
      <c r="M467" s="6"/>
      <c r="N467" s="6"/>
      <c r="O467" s="1" t="str">
        <f>IF(Worksheet!BL463&lt;&gt;"",CONCATENATE(Worksheet!BL463," х ",Worksheet!BM463," х ",Worksheet!BK463),"")</f>
        <v>1220 х 225 х 700</v>
      </c>
      <c r="P467" s="1" t="str">
        <f>IF(Worksheet!BQ463&lt;&gt;"",CONCATENATE(Worksheet!BQ463," х ",Worksheet!BR463," х ",Worksheet!BP463),"")</f>
        <v>1343 х 315 х 823</v>
      </c>
      <c r="Q467" s="1" t="str">
        <f>IF(Worksheet!BN463&lt;&gt;"",CONCATENATE(Worksheet!BN463," / ",Worksheet!BO463),"")</f>
        <v>40 / 50</v>
      </c>
      <c r="R467" t="str">
        <f>IF(Worksheet!BS463&lt;&gt;"",Worksheet!BS463,"")</f>
        <v>36/40</v>
      </c>
      <c r="S467" t="str">
        <f>IF(Worksheet!AL463&lt;&gt;"",Worksheet!AL463,"")</f>
        <v/>
      </c>
      <c r="T467" s="1" t="str">
        <f>IF(Worksheet!BL463&lt;&gt;"",CONCATENATE(Worksheet!BL463," х ",Worksheet!BM463," х ",Worksheet!BK463),"")</f>
        <v>1220 х 225 х 700</v>
      </c>
      <c r="U467" s="1" t="str">
        <f>IF(Worksheet!BQ463&lt;&gt;"",CONCATENATE(Worksheet!BQ463," х ",Worksheet!BR463," х ",Worksheet!BP463),"")</f>
        <v>1343 х 315 х 823</v>
      </c>
      <c r="V467" s="1" t="str">
        <f>IF(Worksheet!BN463&lt;&gt;"",CONCATENATE(Worksheet!BN463," / ",Worksheet!BO463),"")</f>
        <v>40 / 50</v>
      </c>
      <c r="W467" s="6"/>
      <c r="X467" s="7">
        <f>IF(Worksheet!AN463&lt;&gt;"",Worksheet!AN463,"")</f>
        <v>6.35</v>
      </c>
      <c r="Y467" s="7">
        <f>IF(Worksheet!AO463&lt;&gt;"",Worksheet!AO463,"")</f>
        <v>9.5</v>
      </c>
      <c r="Z467" s="17" t="str">
        <f>IF(Worksheet!Q463&lt;&gt;"",Worksheet!Q463,"")</f>
        <v/>
      </c>
      <c r="AA467" s="17" t="str">
        <f>IF(Worksheet!R463&lt;&gt;"",Worksheet!R463,"")</f>
        <v/>
      </c>
      <c r="AB467" t="str">
        <f>IF(Worksheet!X463&lt;&gt;"",CONCATENATE("от ",Worksheet!X463," до +",Worksheet!Y463),"")</f>
        <v/>
      </c>
      <c r="AC467" t="str">
        <f>IF(Worksheet!Z463&lt;&gt;"",CONCATENATE("от ",Worksheet!Z463," до +",Worksheet!AA463),"")</f>
        <v/>
      </c>
      <c r="AD467" s="6" t="s">
        <v>5172</v>
      </c>
      <c r="AE467" s="17"/>
    </row>
    <row r="468" spans="1:31" x14ac:dyDescent="0.25">
      <c r="A468" s="17" t="str">
        <f>IF(Worksheet!B464&lt;&gt;"",Worksheet!B464,"")</f>
        <v>TOSOT</v>
      </c>
      <c r="B468" t="str">
        <f>Worksheet!E464</f>
        <v>Напольно-потолочные</v>
      </c>
      <c r="C468">
        <f>IF(Worksheet!M464&lt;&gt;"",Worksheet!M464,"")</f>
        <v>5</v>
      </c>
      <c r="D468">
        <f t="shared" si="20"/>
        <v>50</v>
      </c>
      <c r="E468" t="str">
        <f>IF(Worksheet!L464&lt;&gt;"",IF(Worksheet!L464="Y","да","нет"),"")</f>
        <v>да</v>
      </c>
      <c r="F468">
        <f>IF(Worksheet!N464&lt;&gt;"",Worksheet!N464,"")</f>
        <v>5.5</v>
      </c>
      <c r="G468">
        <f>IF(Worksheet!O464&lt;&gt;"",Worksheet!O464,"")</f>
        <v>0.11</v>
      </c>
      <c r="H468">
        <f>IF(Worksheet!P464&lt;&gt;"",Worksheet!P464,"")</f>
        <v>0.11</v>
      </c>
      <c r="I468" s="6"/>
      <c r="J468" s="6"/>
      <c r="K468" t="str">
        <f>IF(Worksheet!BI464&lt;&gt;"",Worksheet!BI464,"")</f>
        <v>1 / 220 / 50</v>
      </c>
      <c r="L468" t="str">
        <f>IF(Worksheet!AU464&lt;&gt;"",Worksheet!AU464,"")</f>
        <v>R410A</v>
      </c>
      <c r="M468" s="6"/>
      <c r="N468" s="6"/>
      <c r="O468" s="1" t="str">
        <f>IF(Worksheet!BL464&lt;&gt;"",CONCATENATE(Worksheet!BL464," х ",Worksheet!BM464," х ",Worksheet!BK464),"")</f>
        <v>1220 х 225 х 700</v>
      </c>
      <c r="P468" s="1" t="str">
        <f>IF(Worksheet!BQ464&lt;&gt;"",CONCATENATE(Worksheet!BQ464," х ",Worksheet!BR464," х ",Worksheet!BP464),"")</f>
        <v>1343 х 315 х 823</v>
      </c>
      <c r="Q468" s="1" t="str">
        <f>IF(Worksheet!BN464&lt;&gt;"",CONCATENATE(Worksheet!BN464," / ",Worksheet!BO464),"")</f>
        <v>40 / 50</v>
      </c>
      <c r="R468" t="str">
        <f>IF(Worksheet!BS464&lt;&gt;"",Worksheet!BS464,"")</f>
        <v>40/45</v>
      </c>
      <c r="S468" t="str">
        <f>IF(Worksheet!AL464&lt;&gt;"",Worksheet!AL464,"")</f>
        <v/>
      </c>
      <c r="T468" s="1" t="str">
        <f>IF(Worksheet!BL464&lt;&gt;"",CONCATENATE(Worksheet!BL464," х ",Worksheet!BM464," х ",Worksheet!BK464),"")</f>
        <v>1220 х 225 х 700</v>
      </c>
      <c r="U468" s="1" t="str">
        <f>IF(Worksheet!BQ464&lt;&gt;"",CONCATENATE(Worksheet!BQ464," х ",Worksheet!BR464," х ",Worksheet!BP464),"")</f>
        <v>1343 х 315 х 823</v>
      </c>
      <c r="V468" s="1" t="str">
        <f>IF(Worksheet!BN464&lt;&gt;"",CONCATENATE(Worksheet!BN464," / ",Worksheet!BO464),"")</f>
        <v>40 / 50</v>
      </c>
      <c r="W468" s="6"/>
      <c r="X468" s="7">
        <f>IF(Worksheet!AN464&lt;&gt;"",Worksheet!AN464,"")</f>
        <v>6.35</v>
      </c>
      <c r="Y468" s="7">
        <f>IF(Worksheet!AO464&lt;&gt;"",Worksheet!AO464,"")</f>
        <v>12.7</v>
      </c>
      <c r="Z468" s="17" t="str">
        <f>IF(Worksheet!Q464&lt;&gt;"",Worksheet!Q464,"")</f>
        <v/>
      </c>
      <c r="AA468" s="17" t="str">
        <f>IF(Worksheet!R464&lt;&gt;"",Worksheet!R464,"")</f>
        <v/>
      </c>
      <c r="AB468" t="str">
        <f>IF(Worksheet!X464&lt;&gt;"",CONCATENATE("от ",Worksheet!X464," до +",Worksheet!Y464),"")</f>
        <v/>
      </c>
      <c r="AC468" t="str">
        <f>IF(Worksheet!Z464&lt;&gt;"",CONCATENATE("от ",Worksheet!Z464," до +",Worksheet!AA464),"")</f>
        <v/>
      </c>
      <c r="AD468" s="6" t="s">
        <v>5172</v>
      </c>
      <c r="AE468" s="17"/>
    </row>
    <row r="469" spans="1:31" x14ac:dyDescent="0.25">
      <c r="A469" s="17" t="str">
        <f>IF(Worksheet!B465&lt;&gt;"",Worksheet!B465,"")</f>
        <v>TOSOT</v>
      </c>
      <c r="B469" t="str">
        <f>Worksheet!E465</f>
        <v>Напольно-потолочные</v>
      </c>
      <c r="C469">
        <f>IF(Worksheet!M465&lt;&gt;"",Worksheet!M465,"")</f>
        <v>7.1</v>
      </c>
      <c r="D469">
        <f t="shared" si="20"/>
        <v>71</v>
      </c>
      <c r="E469" t="str">
        <f>IF(Worksheet!L465&lt;&gt;"",IF(Worksheet!L465="Y","да","нет"),"")</f>
        <v>да</v>
      </c>
      <c r="F469">
        <f>IF(Worksheet!N465&lt;&gt;"",Worksheet!N465,"")</f>
        <v>8</v>
      </c>
      <c r="G469">
        <f>IF(Worksheet!O465&lt;&gt;"",Worksheet!O465,"")</f>
        <v>0.11</v>
      </c>
      <c r="H469">
        <f>IF(Worksheet!P465&lt;&gt;"",Worksheet!P465,"")</f>
        <v>0.11</v>
      </c>
      <c r="I469" s="6"/>
      <c r="J469" s="6"/>
      <c r="K469" t="str">
        <f>IF(Worksheet!BI465&lt;&gt;"",Worksheet!BI465,"")</f>
        <v>1 / 220 / 50</v>
      </c>
      <c r="L469" t="str">
        <f>IF(Worksheet!AU465&lt;&gt;"",Worksheet!AU465,"")</f>
        <v>R410A</v>
      </c>
      <c r="M469" s="6"/>
      <c r="N469" s="6"/>
      <c r="O469" s="1" t="str">
        <f>IF(Worksheet!BL465&lt;&gt;"",CONCATENATE(Worksheet!BL465," х ",Worksheet!BM465," х ",Worksheet!BK465),"")</f>
        <v>1220 х 225 х 700</v>
      </c>
      <c r="P469" s="1" t="str">
        <f>IF(Worksheet!BQ465&lt;&gt;"",CONCATENATE(Worksheet!BQ465," х ",Worksheet!BR465," х ",Worksheet!BP465),"")</f>
        <v>1343 х 315 х 823</v>
      </c>
      <c r="Q469" s="1" t="str">
        <f>IF(Worksheet!BN465&lt;&gt;"",CONCATENATE(Worksheet!BN465," / ",Worksheet!BO465),"")</f>
        <v>45 / 54</v>
      </c>
      <c r="R469" t="str">
        <f>IF(Worksheet!BS465&lt;&gt;"",Worksheet!BS465,"")</f>
        <v>40/48</v>
      </c>
      <c r="S469" t="str">
        <f>IF(Worksheet!AL465&lt;&gt;"",Worksheet!AL465,"")</f>
        <v/>
      </c>
      <c r="T469" s="1" t="str">
        <f>IF(Worksheet!BL465&lt;&gt;"",CONCATENATE(Worksheet!BL465," х ",Worksheet!BM465," х ",Worksheet!BK465),"")</f>
        <v>1220 х 225 х 700</v>
      </c>
      <c r="U469" s="1" t="str">
        <f>IF(Worksheet!BQ465&lt;&gt;"",CONCATENATE(Worksheet!BQ465," х ",Worksheet!BR465," х ",Worksheet!BP465),"")</f>
        <v>1343 х 315 х 823</v>
      </c>
      <c r="V469" s="1" t="str">
        <f>IF(Worksheet!BN465&lt;&gt;"",CONCATENATE(Worksheet!BN465," / ",Worksheet!BO465),"")</f>
        <v>45 / 54</v>
      </c>
      <c r="W469" s="6"/>
      <c r="X469" s="7">
        <f>IF(Worksheet!AN465&lt;&gt;"",Worksheet!AN465,"")</f>
        <v>9.5</v>
      </c>
      <c r="Y469" s="7">
        <f>IF(Worksheet!AO465&lt;&gt;"",Worksheet!AO465,"")</f>
        <v>15.8</v>
      </c>
      <c r="Z469" s="17" t="str">
        <f>IF(Worksheet!Q465&lt;&gt;"",Worksheet!Q465,"")</f>
        <v/>
      </c>
      <c r="AA469" s="17" t="str">
        <f>IF(Worksheet!R465&lt;&gt;"",Worksheet!R465,"")</f>
        <v/>
      </c>
      <c r="AB469" t="str">
        <f>IF(Worksheet!X465&lt;&gt;"",CONCATENATE("от ",Worksheet!X465," до +",Worksheet!Y465),"")</f>
        <v/>
      </c>
      <c r="AC469" t="str">
        <f>IF(Worksheet!Z465&lt;&gt;"",CONCATENATE("от ",Worksheet!Z465," до +",Worksheet!AA465),"")</f>
        <v/>
      </c>
      <c r="AD469" s="6" t="s">
        <v>5172</v>
      </c>
      <c r="AE469" s="17"/>
    </row>
    <row r="470" spans="1:31" x14ac:dyDescent="0.25">
      <c r="A470" s="17" t="str">
        <f>IF(Worksheet!B466&lt;&gt;"",Worksheet!B466,"")</f>
        <v>TOSOT</v>
      </c>
      <c r="B470" t="str">
        <f>Worksheet!E466</f>
        <v>Мульти сплит система</v>
      </c>
      <c r="C470">
        <f>IF(Worksheet!M466&lt;&gt;"",Worksheet!M466,"")</f>
        <v>2.2000000000000002</v>
      </c>
      <c r="D470">
        <f t="shared" si="20"/>
        <v>22</v>
      </c>
      <c r="E470" t="str">
        <f>IF(Worksheet!L466&lt;&gt;"",IF(Worksheet!L466="Y","да","нет"),"")</f>
        <v>да</v>
      </c>
      <c r="F470">
        <f>IF(Worksheet!N466&lt;&gt;"",Worksheet!N466,"")</f>
        <v>2.2999999999999998</v>
      </c>
      <c r="G470">
        <f>IF(Worksheet!O466&lt;&gt;"",Worksheet!O466,"")</f>
        <v>0.03</v>
      </c>
      <c r="H470">
        <f>IF(Worksheet!P466&lt;&gt;"",Worksheet!P466,"")</f>
        <v>0.03</v>
      </c>
      <c r="I470" s="6"/>
      <c r="J470" s="6"/>
      <c r="K470" t="str">
        <f>IF(Worksheet!BI466&lt;&gt;"",Worksheet!BI466,"")</f>
        <v>1 / 220 / 50</v>
      </c>
      <c r="L470" t="str">
        <f>IF(Worksheet!AU466&lt;&gt;"",Worksheet!AU466,"")</f>
        <v>R410A</v>
      </c>
      <c r="M470" s="6"/>
      <c r="N470" s="6"/>
      <c r="O470" s="1" t="str">
        <f>IF(Worksheet!BL466&lt;&gt;"",CONCATENATE(Worksheet!BL466," х ",Worksheet!BM466," х ",Worksheet!BK466),"")</f>
        <v>819 х 185 х 256</v>
      </c>
      <c r="P470" s="1" t="str">
        <f>IF(Worksheet!BQ466&lt;&gt;"",CONCATENATE(Worksheet!BQ466," х ",Worksheet!BR466," х ",Worksheet!BP466),"")</f>
        <v>868 х 260 х 330</v>
      </c>
      <c r="Q470" s="1" t="str">
        <f>IF(Worksheet!BN466&lt;&gt;"",CONCATENATE(Worksheet!BN466," / ",Worksheet!BO466),"")</f>
        <v>8.5 / 10</v>
      </c>
      <c r="R470" t="str">
        <f>IF(Worksheet!BS466&lt;&gt;"",Worksheet!BS466,"")</f>
        <v>24/31/37/40</v>
      </c>
      <c r="S470" t="str">
        <f>IF(Worksheet!AL466&lt;&gt;"",Worksheet!AL466,"")</f>
        <v/>
      </c>
      <c r="T470" s="1" t="str">
        <f>IF(Worksheet!BL466&lt;&gt;"",CONCATENATE(Worksheet!BL466," х ",Worksheet!BM466," х ",Worksheet!BK466),"")</f>
        <v>819 х 185 х 256</v>
      </c>
      <c r="U470" s="1" t="str">
        <f>IF(Worksheet!BQ466&lt;&gt;"",CONCATENATE(Worksheet!BQ466," х ",Worksheet!BR466," х ",Worksheet!BP466),"")</f>
        <v>868 х 260 х 330</v>
      </c>
      <c r="V470" s="1" t="str">
        <f>IF(Worksheet!BN466&lt;&gt;"",CONCATENATE(Worksheet!BN466," / ",Worksheet!BO466),"")</f>
        <v>8.5 / 10</v>
      </c>
      <c r="W470" s="6"/>
      <c r="X470" s="7">
        <f>IF(Worksheet!AN466&lt;&gt;"",Worksheet!AN466,"")</f>
        <v>6.35</v>
      </c>
      <c r="Y470" s="7">
        <f>IF(Worksheet!AO466&lt;&gt;"",Worksheet!AO466,"")</f>
        <v>9.52</v>
      </c>
      <c r="Z470" s="17" t="str">
        <f>IF(Worksheet!Q466&lt;&gt;"",Worksheet!Q466,"")</f>
        <v/>
      </c>
      <c r="AA470" s="17" t="str">
        <f>IF(Worksheet!R466&lt;&gt;"",Worksheet!R466,"")</f>
        <v/>
      </c>
      <c r="AB470" t="str">
        <f>IF(Worksheet!X466&lt;&gt;"",CONCATENATE("от ",Worksheet!X466," до +",Worksheet!Y466),"")</f>
        <v/>
      </c>
      <c r="AC470" t="str">
        <f>IF(Worksheet!Z466&lt;&gt;"",CONCATENATE("от ",Worksheet!Z466," до +",Worksheet!AA466),"")</f>
        <v/>
      </c>
      <c r="AD470" s="6" t="s">
        <v>5172</v>
      </c>
      <c r="AE470" s="17"/>
    </row>
    <row r="471" spans="1:31" x14ac:dyDescent="0.25">
      <c r="A471" s="17" t="str">
        <f>IF(Worksheet!B467&lt;&gt;"",Worksheet!B467,"")</f>
        <v>TOSOT</v>
      </c>
      <c r="B471" t="str">
        <f>Worksheet!E467</f>
        <v>Мульти сплит система</v>
      </c>
      <c r="C471">
        <f>IF(Worksheet!M467&lt;&gt;"",Worksheet!M467,"")</f>
        <v>2.5</v>
      </c>
      <c r="D471">
        <f t="shared" si="20"/>
        <v>25</v>
      </c>
      <c r="E471" t="str">
        <f>IF(Worksheet!L467&lt;&gt;"",IF(Worksheet!L467="Y","да","нет"),"")</f>
        <v>да</v>
      </c>
      <c r="F471">
        <f>IF(Worksheet!N467&lt;&gt;"",Worksheet!N467,"")</f>
        <v>2.5</v>
      </c>
      <c r="G471">
        <f>IF(Worksheet!O467&lt;&gt;"",Worksheet!O467,"")</f>
        <v>0.03</v>
      </c>
      <c r="H471">
        <f>IF(Worksheet!P467&lt;&gt;"",Worksheet!P467,"")</f>
        <v>0.03</v>
      </c>
      <c r="I471" s="6"/>
      <c r="J471" s="6"/>
      <c r="K471" t="str">
        <f>IF(Worksheet!BI467&lt;&gt;"",Worksheet!BI467,"")</f>
        <v>1 / 220 / 50</v>
      </c>
      <c r="L471" t="str">
        <f>IF(Worksheet!AU467&lt;&gt;"",Worksheet!AU467,"")</f>
        <v>R410A</v>
      </c>
      <c r="M471" s="6"/>
      <c r="N471" s="6"/>
      <c r="O471" s="1" t="str">
        <f>IF(Worksheet!BL467&lt;&gt;"",CONCATENATE(Worksheet!BL467," х ",Worksheet!BM467," х ",Worksheet!BK467),"")</f>
        <v>819 х 185 х 256</v>
      </c>
      <c r="P471" s="1" t="str">
        <f>IF(Worksheet!BQ467&lt;&gt;"",CONCATENATE(Worksheet!BQ467," х ",Worksheet!BR467," х ",Worksheet!BP467),"")</f>
        <v>868 х 260 х 330</v>
      </c>
      <c r="Q471" s="1" t="str">
        <f>IF(Worksheet!BN467&lt;&gt;"",CONCATENATE(Worksheet!BN467," / ",Worksheet!BO467),"")</f>
        <v>8.5 / 10</v>
      </c>
      <c r="R471" t="str">
        <f>IF(Worksheet!BS467&lt;&gt;"",Worksheet!BS467,"")</f>
        <v>27/35/37/40</v>
      </c>
      <c r="S471" t="str">
        <f>IF(Worksheet!AL467&lt;&gt;"",Worksheet!AL467,"")</f>
        <v/>
      </c>
      <c r="T471" s="1" t="str">
        <f>IF(Worksheet!BL467&lt;&gt;"",CONCATENATE(Worksheet!BL467," х ",Worksheet!BM467," х ",Worksheet!BK467),"")</f>
        <v>819 х 185 х 256</v>
      </c>
      <c r="U471" s="1" t="str">
        <f>IF(Worksheet!BQ467&lt;&gt;"",CONCATENATE(Worksheet!BQ467," х ",Worksheet!BR467," х ",Worksheet!BP467),"")</f>
        <v>868 х 260 х 330</v>
      </c>
      <c r="V471" s="1" t="str">
        <f>IF(Worksheet!BN467&lt;&gt;"",CONCATENATE(Worksheet!BN467," / ",Worksheet!BO467),"")</f>
        <v>8.5 / 10</v>
      </c>
      <c r="W471" s="6"/>
      <c r="X471" s="7">
        <f>IF(Worksheet!AN467&lt;&gt;"",Worksheet!AN467,"")</f>
        <v>6.35</v>
      </c>
      <c r="Y471" s="7">
        <f>IF(Worksheet!AO467&lt;&gt;"",Worksheet!AO467,"")</f>
        <v>9.52</v>
      </c>
      <c r="Z471" s="17" t="str">
        <f>IF(Worksheet!Q467&lt;&gt;"",Worksheet!Q467,"")</f>
        <v/>
      </c>
      <c r="AA471" s="17" t="str">
        <f>IF(Worksheet!R467&lt;&gt;"",Worksheet!R467,"")</f>
        <v/>
      </c>
      <c r="AB471" t="str">
        <f>IF(Worksheet!X467&lt;&gt;"",CONCATENATE("от ",Worksheet!X467," до +",Worksheet!Y467),"")</f>
        <v/>
      </c>
      <c r="AC471" t="str">
        <f>IF(Worksheet!Z467&lt;&gt;"",CONCATENATE("от ",Worksheet!Z467," до +",Worksheet!AA467),"")</f>
        <v/>
      </c>
      <c r="AD471" s="6" t="s">
        <v>5172</v>
      </c>
      <c r="AE471" s="17"/>
    </row>
    <row r="472" spans="1:31" x14ac:dyDescent="0.25">
      <c r="A472" s="17" t="str">
        <f>IF(Worksheet!B468&lt;&gt;"",Worksheet!B468,"")</f>
        <v>TOSOT</v>
      </c>
      <c r="B472" t="str">
        <f>Worksheet!E468</f>
        <v>Мульти сплит система</v>
      </c>
      <c r="C472">
        <f>IF(Worksheet!M468&lt;&gt;"",Worksheet!M468,"")</f>
        <v>3.2</v>
      </c>
      <c r="D472">
        <f t="shared" si="20"/>
        <v>32</v>
      </c>
      <c r="E472" t="str">
        <f>IF(Worksheet!L468&lt;&gt;"",IF(Worksheet!L468="Y","да","нет"),"")</f>
        <v>да</v>
      </c>
      <c r="F472">
        <f>IF(Worksheet!N468&lt;&gt;"",Worksheet!N468,"")</f>
        <v>3.3</v>
      </c>
      <c r="G472">
        <f>IF(Worksheet!O468&lt;&gt;"",Worksheet!O468,"")</f>
        <v>0.03</v>
      </c>
      <c r="H472">
        <f>IF(Worksheet!P468&lt;&gt;"",Worksheet!P468,"")</f>
        <v>0.03</v>
      </c>
      <c r="I472" s="6"/>
      <c r="J472" s="6"/>
      <c r="K472" t="str">
        <f>IF(Worksheet!BI468&lt;&gt;"",Worksheet!BI468,"")</f>
        <v>1 / 220 / 50</v>
      </c>
      <c r="L472" t="str">
        <f>IF(Worksheet!AU468&lt;&gt;"",Worksheet!AU468,"")</f>
        <v>R410A</v>
      </c>
      <c r="M472" s="6"/>
      <c r="N472" s="6"/>
      <c r="O472" s="1" t="str">
        <f>IF(Worksheet!BL468&lt;&gt;"",CONCATENATE(Worksheet!BL468," х ",Worksheet!BM468," х ",Worksheet!BK468),"")</f>
        <v>819 х 185 х 256</v>
      </c>
      <c r="P472" s="1" t="str">
        <f>IF(Worksheet!BQ468&lt;&gt;"",CONCATENATE(Worksheet!BQ468," х ",Worksheet!BR468," х ",Worksheet!BP468),"")</f>
        <v>868 х 260 х 330</v>
      </c>
      <c r="Q472" s="1" t="str">
        <f>IF(Worksheet!BN468&lt;&gt;"",CONCATENATE(Worksheet!BN468," / ",Worksheet!BO468),"")</f>
        <v>8.5 / 10</v>
      </c>
      <c r="R472" t="str">
        <f>IF(Worksheet!BS468&lt;&gt;"",Worksheet!BS468,"")</f>
        <v>29/33/36/40</v>
      </c>
      <c r="S472" t="str">
        <f>IF(Worksheet!AL468&lt;&gt;"",Worksheet!AL468,"")</f>
        <v/>
      </c>
      <c r="T472" s="1" t="str">
        <f>IF(Worksheet!BL468&lt;&gt;"",CONCATENATE(Worksheet!BL468," х ",Worksheet!BM468," х ",Worksheet!BK468),"")</f>
        <v>819 х 185 х 256</v>
      </c>
      <c r="U472" s="1" t="str">
        <f>IF(Worksheet!BQ468&lt;&gt;"",CONCATENATE(Worksheet!BQ468," х ",Worksheet!BR468," х ",Worksheet!BP468),"")</f>
        <v>868 х 260 х 330</v>
      </c>
      <c r="V472" s="1" t="str">
        <f>IF(Worksheet!BN468&lt;&gt;"",CONCATENATE(Worksheet!BN468," / ",Worksheet!BO468),"")</f>
        <v>8.5 / 10</v>
      </c>
      <c r="W472" s="6"/>
      <c r="X472" s="7">
        <f>IF(Worksheet!AN468&lt;&gt;"",Worksheet!AN468,"")</f>
        <v>6.35</v>
      </c>
      <c r="Y472" s="7">
        <f>IF(Worksheet!AO468&lt;&gt;"",Worksheet!AO468,"")</f>
        <v>9.52</v>
      </c>
      <c r="Z472" s="17" t="str">
        <f>IF(Worksheet!Q468&lt;&gt;"",Worksheet!Q468,"")</f>
        <v/>
      </c>
      <c r="AA472" s="17" t="str">
        <f>IF(Worksheet!R468&lt;&gt;"",Worksheet!R468,"")</f>
        <v/>
      </c>
      <c r="AB472" t="str">
        <f>IF(Worksheet!X468&lt;&gt;"",CONCATENATE("от ",Worksheet!X468," до +",Worksheet!Y468),"")</f>
        <v/>
      </c>
      <c r="AC472" t="str">
        <f>IF(Worksheet!Z468&lt;&gt;"",CONCATENATE("от ",Worksheet!Z468," до +",Worksheet!AA468),"")</f>
        <v/>
      </c>
      <c r="AD472" s="6" t="s">
        <v>5172</v>
      </c>
      <c r="AE472" s="17"/>
    </row>
    <row r="473" spans="1:31" x14ac:dyDescent="0.25">
      <c r="A473" s="17" t="str">
        <f>IF(Worksheet!B469&lt;&gt;"",Worksheet!B469,"")</f>
        <v>TOSOT</v>
      </c>
      <c r="B473" t="str">
        <f>Worksheet!E469</f>
        <v>Мульти сплит система</v>
      </c>
      <c r="C473">
        <f>IF(Worksheet!M469&lt;&gt;"",Worksheet!M469,"")</f>
        <v>4.5999999999999996</v>
      </c>
      <c r="D473">
        <f t="shared" si="20"/>
        <v>46</v>
      </c>
      <c r="E473" t="str">
        <f>IF(Worksheet!L469&lt;&gt;"",IF(Worksheet!L469="Y","да","нет"),"")</f>
        <v>да</v>
      </c>
      <c r="F473">
        <f>IF(Worksheet!N469&lt;&gt;"",Worksheet!N469,"")</f>
        <v>5</v>
      </c>
      <c r="G473">
        <f>IF(Worksheet!O469&lt;&gt;"",Worksheet!O469,"")</f>
        <v>0.04</v>
      </c>
      <c r="H473">
        <f>IF(Worksheet!P469&lt;&gt;"",Worksheet!P469,"")</f>
        <v>0.04</v>
      </c>
      <c r="I473" s="6"/>
      <c r="J473" s="6"/>
      <c r="K473" t="str">
        <f>IF(Worksheet!BI469&lt;&gt;"",Worksheet!BI469,"")</f>
        <v>1 / 220 / 50</v>
      </c>
      <c r="L473" t="str">
        <f>IF(Worksheet!AU469&lt;&gt;"",Worksheet!AU469,"")</f>
        <v>R410A</v>
      </c>
      <c r="M473" s="6"/>
      <c r="N473" s="6"/>
      <c r="O473" s="1" t="str">
        <f>IF(Worksheet!BL469&lt;&gt;"",CONCATENATE(Worksheet!BL469," х ",Worksheet!BM469," х ",Worksheet!BK469),"")</f>
        <v>1013 х 221 х 307</v>
      </c>
      <c r="P473" s="1" t="str">
        <f>IF(Worksheet!BQ469&lt;&gt;"",CONCATENATE(Worksheet!BQ469," х ",Worksheet!BR469," х ",Worksheet!BP469),"")</f>
        <v>1080 х 315 х 378</v>
      </c>
      <c r="Q473" s="1" t="str">
        <f>IF(Worksheet!BN469&lt;&gt;"",CONCATENATE(Worksheet!BN469," / ",Worksheet!BO469),"")</f>
        <v>13.5 / 16.5</v>
      </c>
      <c r="R473" t="str">
        <f>IF(Worksheet!BS469&lt;&gt;"",Worksheet!BS469,"")</f>
        <v>33/37/43/45</v>
      </c>
      <c r="S473" t="str">
        <f>IF(Worksheet!AL469&lt;&gt;"",Worksheet!AL469,"")</f>
        <v/>
      </c>
      <c r="T473" s="1" t="str">
        <f>IF(Worksheet!BL469&lt;&gt;"",CONCATENATE(Worksheet!BL469," х ",Worksheet!BM469," х ",Worksheet!BK469),"")</f>
        <v>1013 х 221 х 307</v>
      </c>
      <c r="U473" s="1" t="str">
        <f>IF(Worksheet!BQ469&lt;&gt;"",CONCATENATE(Worksheet!BQ469," х ",Worksheet!BR469," х ",Worksheet!BP469),"")</f>
        <v>1080 х 315 х 378</v>
      </c>
      <c r="V473" s="1" t="str">
        <f>IF(Worksheet!BN469&lt;&gt;"",CONCATENATE(Worksheet!BN469," / ",Worksheet!BO469),"")</f>
        <v>13.5 / 16.5</v>
      </c>
      <c r="W473" s="6"/>
      <c r="X473" s="7">
        <f>IF(Worksheet!AN469&lt;&gt;"",Worksheet!AN469,"")</f>
        <v>6.35</v>
      </c>
      <c r="Y473" s="7">
        <f>IF(Worksheet!AO469&lt;&gt;"",Worksheet!AO469,"")</f>
        <v>9.52</v>
      </c>
      <c r="Z473" s="17" t="str">
        <f>IF(Worksheet!Q469&lt;&gt;"",Worksheet!Q469,"")</f>
        <v/>
      </c>
      <c r="AA473" s="17" t="str">
        <f>IF(Worksheet!R469&lt;&gt;"",Worksheet!R469,"")</f>
        <v/>
      </c>
      <c r="AB473" t="str">
        <f>IF(Worksheet!X469&lt;&gt;"",CONCATENATE("от ",Worksheet!X469," до +",Worksheet!Y469),"")</f>
        <v/>
      </c>
      <c r="AC473" t="str">
        <f>IF(Worksheet!Z469&lt;&gt;"",CONCATENATE("от ",Worksheet!Z469," до +",Worksheet!AA469),"")</f>
        <v/>
      </c>
      <c r="AD473" s="6" t="s">
        <v>5172</v>
      </c>
      <c r="AE473" s="17"/>
    </row>
    <row r="474" spans="1:31" x14ac:dyDescent="0.25">
      <c r="A474" s="17" t="str">
        <f>IF(Worksheet!B470&lt;&gt;"",Worksheet!B470,"")</f>
        <v>TOSOT</v>
      </c>
      <c r="B474" t="str">
        <f>Worksheet!E470</f>
        <v>Мульти сплит система</v>
      </c>
      <c r="C474">
        <f>IF(Worksheet!M470&lt;&gt;"",Worksheet!M470,"")</f>
        <v>6.16</v>
      </c>
      <c r="D474">
        <f t="shared" si="20"/>
        <v>62</v>
      </c>
      <c r="E474" t="str">
        <f>IF(Worksheet!L470&lt;&gt;"",IF(Worksheet!L470="Y","да","нет"),"")</f>
        <v>да</v>
      </c>
      <c r="F474">
        <f>IF(Worksheet!N470&lt;&gt;"",Worksheet!N470,"")</f>
        <v>6.2</v>
      </c>
      <c r="G474">
        <f>IF(Worksheet!O470&lt;&gt;"",Worksheet!O470,"")</f>
        <v>0.04</v>
      </c>
      <c r="H474">
        <f>IF(Worksheet!P470&lt;&gt;"",Worksheet!P470,"")</f>
        <v>0.04</v>
      </c>
      <c r="I474" s="6"/>
      <c r="J474" s="6"/>
      <c r="K474" t="str">
        <f>IF(Worksheet!BI470&lt;&gt;"",Worksheet!BI470,"")</f>
        <v>1 / 220 / 50</v>
      </c>
      <c r="L474" t="str">
        <f>IF(Worksheet!AU470&lt;&gt;"",Worksheet!AU470,"")</f>
        <v>R410A</v>
      </c>
      <c r="M474" s="6"/>
      <c r="N474" s="6"/>
      <c r="O474" s="1" t="str">
        <f>IF(Worksheet!BL470&lt;&gt;"",CONCATENATE(Worksheet!BL470," х ",Worksheet!BM470," х ",Worksheet!BK470),"")</f>
        <v>1013 х 221 х 307</v>
      </c>
      <c r="P474" s="1" t="str">
        <f>IF(Worksheet!BQ470&lt;&gt;"",CONCATENATE(Worksheet!BQ470," х ",Worksheet!BR470," х ",Worksheet!BP470),"")</f>
        <v>1080 х 315 х 378</v>
      </c>
      <c r="Q474" s="1" t="str">
        <f>IF(Worksheet!BN470&lt;&gt;"",CONCATENATE(Worksheet!BN470," / ",Worksheet!BO470),"")</f>
        <v>14 / 17</v>
      </c>
      <c r="R474" t="str">
        <f>IF(Worksheet!BS470&lt;&gt;"",Worksheet!BS470,"")</f>
        <v>34/39/43/47</v>
      </c>
      <c r="S474" t="str">
        <f>IF(Worksheet!AL470&lt;&gt;"",Worksheet!AL470,"")</f>
        <v/>
      </c>
      <c r="T474" s="1" t="str">
        <f>IF(Worksheet!BL470&lt;&gt;"",CONCATENATE(Worksheet!BL470," х ",Worksheet!BM470," х ",Worksheet!BK470),"")</f>
        <v>1013 х 221 х 307</v>
      </c>
      <c r="U474" s="1" t="str">
        <f>IF(Worksheet!BQ470&lt;&gt;"",CONCATENATE(Worksheet!BQ470," х ",Worksheet!BR470," х ",Worksheet!BP470),"")</f>
        <v>1080 х 315 х 378</v>
      </c>
      <c r="V474" s="1" t="str">
        <f>IF(Worksheet!BN470&lt;&gt;"",CONCATENATE(Worksheet!BN470," / ",Worksheet!BO470),"")</f>
        <v>14 / 17</v>
      </c>
      <c r="W474" s="6"/>
      <c r="X474" s="7">
        <f>IF(Worksheet!AN470&lt;&gt;"",Worksheet!AN470,"")</f>
        <v>6.35</v>
      </c>
      <c r="Y474" s="7">
        <f>IF(Worksheet!AO470&lt;&gt;"",Worksheet!AO470,"")</f>
        <v>15.88</v>
      </c>
      <c r="Z474" s="17" t="str">
        <f>IF(Worksheet!Q470&lt;&gt;"",Worksheet!Q470,"")</f>
        <v/>
      </c>
      <c r="AA474" s="17" t="str">
        <f>IF(Worksheet!R470&lt;&gt;"",Worksheet!R470,"")</f>
        <v/>
      </c>
      <c r="AB474" t="str">
        <f>IF(Worksheet!X470&lt;&gt;"",CONCATENATE("от ",Worksheet!X470," до +",Worksheet!Y470),"")</f>
        <v/>
      </c>
      <c r="AC474" t="str">
        <f>IF(Worksheet!Z470&lt;&gt;"",CONCATENATE("от ",Worksheet!Z470," до +",Worksheet!AA470),"")</f>
        <v/>
      </c>
      <c r="AD474" s="6" t="s">
        <v>5172</v>
      </c>
      <c r="AE474" s="17"/>
    </row>
    <row r="475" spans="1:31" x14ac:dyDescent="0.25">
      <c r="A475" s="17" t="str">
        <f>IF(Worksheet!B471&lt;&gt;"",Worksheet!B471,"")</f>
        <v>TOSOT</v>
      </c>
      <c r="B475" t="str">
        <f>Worksheet!E471</f>
        <v>Мульти сплит система</v>
      </c>
      <c r="C475">
        <f>IF(Worksheet!M471&lt;&gt;"",Worksheet!M471,"")</f>
        <v>2.35</v>
      </c>
      <c r="D475">
        <f t="shared" si="20"/>
        <v>24</v>
      </c>
      <c r="E475" t="str">
        <f>IF(Worksheet!L471&lt;&gt;"",IF(Worksheet!L471="Y","да","нет"),"")</f>
        <v>да</v>
      </c>
      <c r="F475">
        <f>IF(Worksheet!N471&lt;&gt;"",Worksheet!N471,"")</f>
        <v>2.5</v>
      </c>
      <c r="G475">
        <f>IF(Worksheet!O471&lt;&gt;"",Worksheet!O471,"")</f>
        <v>2.1999999999999999E-2</v>
      </c>
      <c r="H475" t="str">
        <f>IF(Worksheet!P471&lt;&gt;"",Worksheet!P471,"")</f>
        <v/>
      </c>
      <c r="I475" s="6"/>
      <c r="J475" s="6"/>
      <c r="K475" t="str">
        <f>IF(Worksheet!BI471&lt;&gt;"",Worksheet!BI471,"")</f>
        <v>1 / 220 / 50</v>
      </c>
      <c r="L475" t="str">
        <f>IF(Worksheet!AU471&lt;&gt;"",Worksheet!AU471,"")</f>
        <v>R32</v>
      </c>
      <c r="M475" s="6"/>
      <c r="N475" s="6"/>
      <c r="O475" s="1" t="str">
        <f>IF(Worksheet!BL471&lt;&gt;"",CONCATENATE(Worksheet!BL471," х ",Worksheet!BM471," х ",Worksheet!BK471),"")</f>
        <v>744 х 185 х 256</v>
      </c>
      <c r="P475" s="1" t="str">
        <f>IF(Worksheet!BQ471&lt;&gt;"",CONCATENATE(Worksheet!BQ471," х ",Worksheet!BR471," х ",Worksheet!BP471),"")</f>
        <v>788 х 249 х 314</v>
      </c>
      <c r="Q475" s="1" t="str">
        <f>IF(Worksheet!BN471&lt;&gt;"",CONCATENATE(Worksheet!BN471," / ",Worksheet!BO471),"")</f>
        <v>7.7 / 9.2</v>
      </c>
      <c r="R475" t="str">
        <f>IF(Worksheet!BS471&lt;&gt;"",Worksheet!BS471,"")</f>
        <v>27/33/38/40</v>
      </c>
      <c r="S475" t="str">
        <f>IF(Worksheet!AL471&lt;&gt;"",Worksheet!AL471,"")</f>
        <v/>
      </c>
      <c r="T475" s="1" t="str">
        <f>IF(Worksheet!BL471&lt;&gt;"",CONCATENATE(Worksheet!BL471," х ",Worksheet!BM471," х ",Worksheet!BK471),"")</f>
        <v>744 х 185 х 256</v>
      </c>
      <c r="U475" s="1" t="str">
        <f>IF(Worksheet!BQ471&lt;&gt;"",CONCATENATE(Worksheet!BQ471," х ",Worksheet!BR471," х ",Worksheet!BP471),"")</f>
        <v>788 х 249 х 314</v>
      </c>
      <c r="V475" s="1" t="str">
        <f>IF(Worksheet!BN471&lt;&gt;"",CONCATENATE(Worksheet!BN471," / ",Worksheet!BO471),"")</f>
        <v>7.7 / 9.2</v>
      </c>
      <c r="W475" s="6"/>
      <c r="X475" s="7">
        <f>IF(Worksheet!AN471&lt;&gt;"",Worksheet!AN471,"")</f>
        <v>6.35</v>
      </c>
      <c r="Y475" s="7">
        <f>IF(Worksheet!AO471&lt;&gt;"",Worksheet!AO471,"")</f>
        <v>9.52</v>
      </c>
      <c r="Z475" s="17" t="str">
        <f>IF(Worksheet!Q471&lt;&gt;"",Worksheet!Q471,"")</f>
        <v/>
      </c>
      <c r="AA475" s="17" t="str">
        <f>IF(Worksheet!R471&lt;&gt;"",Worksheet!R471,"")</f>
        <v/>
      </c>
      <c r="AB475" t="str">
        <f>IF(Worksheet!X471&lt;&gt;"",CONCATENATE("от ",Worksheet!X471," до +",Worksheet!Y471),"")</f>
        <v/>
      </c>
      <c r="AC475" t="str">
        <f>IF(Worksheet!Z471&lt;&gt;"",CONCATENATE("от ",Worksheet!Z471," до +",Worksheet!AA471),"")</f>
        <v/>
      </c>
      <c r="AD475" s="6" t="s">
        <v>5172</v>
      </c>
      <c r="AE475" s="17"/>
    </row>
    <row r="476" spans="1:31" x14ac:dyDescent="0.25">
      <c r="A476" s="17" t="str">
        <f>IF(Worksheet!B472&lt;&gt;"",Worksheet!B472,"")</f>
        <v>TOSOT</v>
      </c>
      <c r="B476" t="str">
        <f>Worksheet!E472</f>
        <v>Мульти сплит система</v>
      </c>
      <c r="C476">
        <f>IF(Worksheet!M472&lt;&gt;"",Worksheet!M472,"")</f>
        <v>2.5</v>
      </c>
      <c r="D476">
        <f t="shared" si="20"/>
        <v>25</v>
      </c>
      <c r="E476" t="str">
        <f>IF(Worksheet!L472&lt;&gt;"",IF(Worksheet!L472="Y","да","нет"),"")</f>
        <v>да</v>
      </c>
      <c r="F476">
        <f>IF(Worksheet!N472&lt;&gt;"",Worksheet!N472,"")</f>
        <v>2.8</v>
      </c>
      <c r="G476">
        <f>IF(Worksheet!O472&lt;&gt;"",Worksheet!O472,"")</f>
        <v>2.1999999999999999E-2</v>
      </c>
      <c r="H476" t="str">
        <f>IF(Worksheet!P472&lt;&gt;"",Worksheet!P472,"")</f>
        <v/>
      </c>
      <c r="I476" s="6"/>
      <c r="J476" s="6"/>
      <c r="K476" t="str">
        <f>IF(Worksheet!BI472&lt;&gt;"",Worksheet!BI472,"")</f>
        <v>1 / 220 / 50</v>
      </c>
      <c r="L476" t="str">
        <f>IF(Worksheet!AU472&lt;&gt;"",Worksheet!AU472,"")</f>
        <v>R32</v>
      </c>
      <c r="M476" s="6"/>
      <c r="N476" s="6"/>
      <c r="O476" s="1" t="str">
        <f>IF(Worksheet!BL472&lt;&gt;"",CONCATENATE(Worksheet!BL472," х ",Worksheet!BM472," х ",Worksheet!BK472),"")</f>
        <v>744 х 185 х 256</v>
      </c>
      <c r="P476" s="1" t="str">
        <f>IF(Worksheet!BQ472&lt;&gt;"",CONCATENATE(Worksheet!BQ472," х ",Worksheet!BR472," х ",Worksheet!BP472),"")</f>
        <v>788 х 249 х 314</v>
      </c>
      <c r="Q476" s="1" t="str">
        <f>IF(Worksheet!BN472&lt;&gt;"",CONCATENATE(Worksheet!BN472," / ",Worksheet!BO472),"")</f>
        <v>7.5 / 9</v>
      </c>
      <c r="R476" t="str">
        <f>IF(Worksheet!BS472&lt;&gt;"",Worksheet!BS472,"")</f>
        <v>25/32/36/38</v>
      </c>
      <c r="S476" t="str">
        <f>IF(Worksheet!AL472&lt;&gt;"",Worksheet!AL472,"")</f>
        <v/>
      </c>
      <c r="T476" s="1" t="str">
        <f>IF(Worksheet!BL472&lt;&gt;"",CONCATENATE(Worksheet!BL472," х ",Worksheet!BM472," х ",Worksheet!BK472),"")</f>
        <v>744 х 185 х 256</v>
      </c>
      <c r="U476" s="1" t="str">
        <f>IF(Worksheet!BQ472&lt;&gt;"",CONCATENATE(Worksheet!BQ472," х ",Worksheet!BR472," х ",Worksheet!BP472),"")</f>
        <v>788 х 249 х 314</v>
      </c>
      <c r="V476" s="1" t="str">
        <f>IF(Worksheet!BN472&lt;&gt;"",CONCATENATE(Worksheet!BN472," / ",Worksheet!BO472),"")</f>
        <v>7.5 / 9</v>
      </c>
      <c r="W476" s="6"/>
      <c r="X476" s="7">
        <f>IF(Worksheet!AN472&lt;&gt;"",Worksheet!AN472,"")</f>
        <v>6.35</v>
      </c>
      <c r="Y476" s="7">
        <f>IF(Worksheet!AO472&lt;&gt;"",Worksheet!AO472,"")</f>
        <v>9.52</v>
      </c>
      <c r="Z476" s="17" t="str">
        <f>IF(Worksheet!Q472&lt;&gt;"",Worksheet!Q472,"")</f>
        <v/>
      </c>
      <c r="AA476" s="17" t="str">
        <f>IF(Worksheet!R472&lt;&gt;"",Worksheet!R472,"")</f>
        <v/>
      </c>
      <c r="AB476" t="str">
        <f>IF(Worksheet!X472&lt;&gt;"",CONCATENATE("от ",Worksheet!X472," до +",Worksheet!Y472),"")</f>
        <v/>
      </c>
      <c r="AC476" t="str">
        <f>IF(Worksheet!Z472&lt;&gt;"",CONCATENATE("от ",Worksheet!Z472," до +",Worksheet!AA472),"")</f>
        <v/>
      </c>
      <c r="AD476" s="6" t="s">
        <v>5172</v>
      </c>
      <c r="AE476" s="17"/>
    </row>
    <row r="477" spans="1:31" x14ac:dyDescent="0.25">
      <c r="A477" s="17" t="str">
        <f>IF(Worksheet!B473&lt;&gt;"",Worksheet!B473,"")</f>
        <v>TOSOT</v>
      </c>
      <c r="B477" t="str">
        <f>Worksheet!E473</f>
        <v>Мульти сплит система</v>
      </c>
      <c r="C477">
        <f>IF(Worksheet!M473&lt;&gt;"",Worksheet!M473,"")</f>
        <v>3.2</v>
      </c>
      <c r="D477">
        <f t="shared" si="20"/>
        <v>32</v>
      </c>
      <c r="E477" t="str">
        <f>IF(Worksheet!L473&lt;&gt;"",IF(Worksheet!L473="Y","да","нет"),"")</f>
        <v>да</v>
      </c>
      <c r="F477">
        <f>IF(Worksheet!N473&lt;&gt;"",Worksheet!N473,"")</f>
        <v>3.4</v>
      </c>
      <c r="G477">
        <f>IF(Worksheet!O473&lt;&gt;"",Worksheet!O473,"")</f>
        <v>0.03</v>
      </c>
      <c r="H477" t="str">
        <f>IF(Worksheet!P473&lt;&gt;"",Worksheet!P473,"")</f>
        <v/>
      </c>
      <c r="I477" s="6"/>
      <c r="J477" s="6"/>
      <c r="K477" t="str">
        <f>IF(Worksheet!BI473&lt;&gt;"",Worksheet!BI473,"")</f>
        <v>1 / 220 / 50</v>
      </c>
      <c r="L477" t="str">
        <f>IF(Worksheet!AU473&lt;&gt;"",Worksheet!AU473,"")</f>
        <v>R32</v>
      </c>
      <c r="M477" s="6"/>
      <c r="N477" s="6"/>
      <c r="O477" s="1" t="str">
        <f>IF(Worksheet!BL473&lt;&gt;"",CONCATENATE(Worksheet!BL473," х ",Worksheet!BM473," х ",Worksheet!BK473),"")</f>
        <v>819 х 185 х 256</v>
      </c>
      <c r="P477" s="1" t="str">
        <f>IF(Worksheet!BQ473&lt;&gt;"",CONCATENATE(Worksheet!BQ473," х ",Worksheet!BR473," х ",Worksheet!BP473),"")</f>
        <v>863 х 249 х 314</v>
      </c>
      <c r="Q477" s="1" t="str">
        <f>IF(Worksheet!BN473&lt;&gt;"",CONCATENATE(Worksheet!BN473," / ",Worksheet!BO473),"")</f>
        <v>8 / 9.5</v>
      </c>
      <c r="R477" t="str">
        <f>IF(Worksheet!BS473&lt;&gt;"",Worksheet!BS473,"")</f>
        <v>26/33/37/41</v>
      </c>
      <c r="S477" t="str">
        <f>IF(Worksheet!AL473&lt;&gt;"",Worksheet!AL473,"")</f>
        <v/>
      </c>
      <c r="T477" s="1" t="str">
        <f>IF(Worksheet!BL473&lt;&gt;"",CONCATENATE(Worksheet!BL473," х ",Worksheet!BM473," х ",Worksheet!BK473),"")</f>
        <v>819 х 185 х 256</v>
      </c>
      <c r="U477" s="1" t="str">
        <f>IF(Worksheet!BQ473&lt;&gt;"",CONCATENATE(Worksheet!BQ473," х ",Worksheet!BR473," х ",Worksheet!BP473),"")</f>
        <v>863 х 249 х 314</v>
      </c>
      <c r="V477" s="1" t="str">
        <f>IF(Worksheet!BN473&lt;&gt;"",CONCATENATE(Worksheet!BN473," / ",Worksheet!BO473),"")</f>
        <v>8 / 9.5</v>
      </c>
      <c r="W477" s="6"/>
      <c r="X477" s="7">
        <f>IF(Worksheet!AN473&lt;&gt;"",Worksheet!AN473,"")</f>
        <v>6.35</v>
      </c>
      <c r="Y477" s="7">
        <f>IF(Worksheet!AO473&lt;&gt;"",Worksheet!AO473,"")</f>
        <v>9.52</v>
      </c>
      <c r="Z477" s="17" t="str">
        <f>IF(Worksheet!Q473&lt;&gt;"",Worksheet!Q473,"")</f>
        <v/>
      </c>
      <c r="AA477" s="17" t="str">
        <f>IF(Worksheet!R473&lt;&gt;"",Worksheet!R473,"")</f>
        <v/>
      </c>
      <c r="AB477" t="str">
        <f>IF(Worksheet!X473&lt;&gt;"",CONCATENATE("от ",Worksheet!X473," до +",Worksheet!Y473),"")</f>
        <v/>
      </c>
      <c r="AC477" t="str">
        <f>IF(Worksheet!Z473&lt;&gt;"",CONCATENATE("от ",Worksheet!Z473," до +",Worksheet!AA473),"")</f>
        <v/>
      </c>
      <c r="AD477" s="6" t="s">
        <v>5172</v>
      </c>
      <c r="AE477" s="17"/>
    </row>
    <row r="478" spans="1:31" x14ac:dyDescent="0.25">
      <c r="A478" s="17" t="str">
        <f>IF(Worksheet!B474&lt;&gt;"",Worksheet!B474,"")</f>
        <v>TOSOT</v>
      </c>
      <c r="B478" t="str">
        <f>Worksheet!E474</f>
        <v>Мульти сплит система</v>
      </c>
      <c r="C478">
        <f>IF(Worksheet!M474&lt;&gt;"",Worksheet!M474,"")</f>
        <v>4.5999999999999996</v>
      </c>
      <c r="D478">
        <f t="shared" si="20"/>
        <v>46</v>
      </c>
      <c r="E478" t="str">
        <f>IF(Worksheet!L474&lt;&gt;"",IF(Worksheet!L474="Y","да","нет"),"")</f>
        <v>да</v>
      </c>
      <c r="F478">
        <f>IF(Worksheet!N474&lt;&gt;"",Worksheet!N474,"")</f>
        <v>5.2</v>
      </c>
      <c r="G478">
        <f>IF(Worksheet!O474&lt;&gt;"",Worksheet!O474,"")</f>
        <v>3.5000000000000003E-2</v>
      </c>
      <c r="H478" t="str">
        <f>IF(Worksheet!P474&lt;&gt;"",Worksheet!P474,"")</f>
        <v/>
      </c>
      <c r="I478" s="6"/>
      <c r="J478" s="6"/>
      <c r="K478" t="str">
        <f>IF(Worksheet!BI474&lt;&gt;"",Worksheet!BI474,"")</f>
        <v>1 / 220 / 50</v>
      </c>
      <c r="L478" t="str">
        <f>IF(Worksheet!AU474&lt;&gt;"",Worksheet!AU474,"")</f>
        <v>R32</v>
      </c>
      <c r="M478" s="6"/>
      <c r="N478" s="6"/>
      <c r="O478" s="1" t="str">
        <f>IF(Worksheet!BL474&lt;&gt;"",CONCATENATE(Worksheet!BL474," х ",Worksheet!BM474," х ",Worksheet!BK474),"")</f>
        <v>1017 х 221 х 304</v>
      </c>
      <c r="P478" s="1" t="str">
        <f>IF(Worksheet!BQ474&lt;&gt;"",CONCATENATE(Worksheet!BQ474," х ",Worksheet!BR474," х ",Worksheet!BP474),"")</f>
        <v>1077 х 300 х 375</v>
      </c>
      <c r="Q478" s="1" t="str">
        <f>IF(Worksheet!BN474&lt;&gt;"",CONCATENATE(Worksheet!BN474," / ",Worksheet!BO474),"")</f>
        <v>14 / 17</v>
      </c>
      <c r="R478" t="str">
        <f>IF(Worksheet!BS474&lt;&gt;"",Worksheet!BS474,"")</f>
        <v>34/39/45/48</v>
      </c>
      <c r="S478" t="str">
        <f>IF(Worksheet!AL474&lt;&gt;"",Worksheet!AL474,"")</f>
        <v/>
      </c>
      <c r="T478" s="1" t="str">
        <f>IF(Worksheet!BL474&lt;&gt;"",CONCATENATE(Worksheet!BL474," х ",Worksheet!BM474," х ",Worksheet!BK474),"")</f>
        <v>1017 х 221 х 304</v>
      </c>
      <c r="U478" s="1" t="str">
        <f>IF(Worksheet!BQ474&lt;&gt;"",CONCATENATE(Worksheet!BQ474," х ",Worksheet!BR474," х ",Worksheet!BP474),"")</f>
        <v>1077 х 300 х 375</v>
      </c>
      <c r="V478" s="1" t="str">
        <f>IF(Worksheet!BN474&lt;&gt;"",CONCATENATE(Worksheet!BN474," / ",Worksheet!BO474),"")</f>
        <v>14 / 17</v>
      </c>
      <c r="W478" s="6"/>
      <c r="X478" s="7">
        <f>IF(Worksheet!AN474&lt;&gt;"",Worksheet!AN474,"")</f>
        <v>6.35</v>
      </c>
      <c r="Y478" s="7">
        <f>IF(Worksheet!AO474&lt;&gt;"",Worksheet!AO474,"")</f>
        <v>9.52</v>
      </c>
      <c r="Z478" s="17" t="str">
        <f>IF(Worksheet!Q474&lt;&gt;"",Worksheet!Q474,"")</f>
        <v/>
      </c>
      <c r="AA478" s="17" t="str">
        <f>IF(Worksheet!R474&lt;&gt;"",Worksheet!R474,"")</f>
        <v/>
      </c>
      <c r="AB478" t="str">
        <f>IF(Worksheet!X474&lt;&gt;"",CONCATENATE("от ",Worksheet!X474," до +",Worksheet!Y474),"")</f>
        <v/>
      </c>
      <c r="AC478" t="str">
        <f>IF(Worksheet!Z474&lt;&gt;"",CONCATENATE("от ",Worksheet!Z474," до +",Worksheet!AA474),"")</f>
        <v/>
      </c>
      <c r="AD478" s="6" t="s">
        <v>5172</v>
      </c>
      <c r="AE478" s="17"/>
    </row>
    <row r="479" spans="1:31" x14ac:dyDescent="0.25">
      <c r="A479" s="17" t="str">
        <f>IF(Worksheet!B475&lt;&gt;"",Worksheet!B475,"")</f>
        <v>TOSOT</v>
      </c>
      <c r="B479" t="str">
        <f>Worksheet!E475</f>
        <v>Мульти сплит система</v>
      </c>
      <c r="C479">
        <f>IF(Worksheet!M475&lt;&gt;"",Worksheet!M475,"")</f>
        <v>6.16</v>
      </c>
      <c r="D479">
        <f t="shared" si="20"/>
        <v>62</v>
      </c>
      <c r="E479" t="str">
        <f>IF(Worksheet!L475&lt;&gt;"",IF(Worksheet!L475="Y","да","нет"),"")</f>
        <v>да</v>
      </c>
      <c r="F479">
        <f>IF(Worksheet!N475&lt;&gt;"",Worksheet!N475,"")</f>
        <v>6.45</v>
      </c>
      <c r="G479">
        <f>IF(Worksheet!O475&lt;&gt;"",Worksheet!O475,"")</f>
        <v>0.06</v>
      </c>
      <c r="H479" t="str">
        <f>IF(Worksheet!P475&lt;&gt;"",Worksheet!P475,"")</f>
        <v/>
      </c>
      <c r="I479" s="6"/>
      <c r="J479" s="6"/>
      <c r="K479" t="str">
        <f>IF(Worksheet!BI475&lt;&gt;"",Worksheet!BI475,"")</f>
        <v>1 / 220 / 50</v>
      </c>
      <c r="L479" t="str">
        <f>IF(Worksheet!AU475&lt;&gt;"",Worksheet!AU475,"")</f>
        <v>R32</v>
      </c>
      <c r="M479" s="6"/>
      <c r="N479" s="6"/>
      <c r="O479" s="1" t="str">
        <f>IF(Worksheet!BL475&lt;&gt;"",CONCATENATE(Worksheet!BL475," х ",Worksheet!BM475," х ",Worksheet!BK475),"")</f>
        <v>1017 х 221 х 304</v>
      </c>
      <c r="P479" s="1" t="str">
        <f>IF(Worksheet!BQ475&lt;&gt;"",CONCATENATE(Worksheet!BQ475," х ",Worksheet!BR475," х ",Worksheet!BP475),"")</f>
        <v>1077 х 300 х 375</v>
      </c>
      <c r="Q479" s="1" t="str">
        <f>IF(Worksheet!BN475&lt;&gt;"",CONCATENATE(Worksheet!BN475," / ",Worksheet!BO475),"")</f>
        <v>14 / 17</v>
      </c>
      <c r="R479" t="str">
        <f>IF(Worksheet!BS475&lt;&gt;"",Worksheet!BS475,"")</f>
        <v>34/40/44/48</v>
      </c>
      <c r="S479" t="str">
        <f>IF(Worksheet!AL475&lt;&gt;"",Worksheet!AL475,"")</f>
        <v/>
      </c>
      <c r="T479" s="1" t="str">
        <f>IF(Worksheet!BL475&lt;&gt;"",CONCATENATE(Worksheet!BL475," х ",Worksheet!BM475," х ",Worksheet!BK475),"")</f>
        <v>1017 х 221 х 304</v>
      </c>
      <c r="U479" s="1" t="str">
        <f>IF(Worksheet!BQ475&lt;&gt;"",CONCATENATE(Worksheet!BQ475," х ",Worksheet!BR475," х ",Worksheet!BP475),"")</f>
        <v>1077 х 300 х 375</v>
      </c>
      <c r="V479" s="1" t="str">
        <f>IF(Worksheet!BN475&lt;&gt;"",CONCATENATE(Worksheet!BN475," / ",Worksheet!BO475),"")</f>
        <v>14 / 17</v>
      </c>
      <c r="W479" s="6"/>
      <c r="X479" s="7">
        <f>IF(Worksheet!AN475&lt;&gt;"",Worksheet!AN475,"")</f>
        <v>6.35</v>
      </c>
      <c r="Y479" s="7">
        <f>IF(Worksheet!AO475&lt;&gt;"",Worksheet!AO475,"")</f>
        <v>15.88</v>
      </c>
      <c r="Z479" s="17" t="str">
        <f>IF(Worksheet!Q475&lt;&gt;"",Worksheet!Q475,"")</f>
        <v/>
      </c>
      <c r="AA479" s="17" t="str">
        <f>IF(Worksheet!R475&lt;&gt;"",Worksheet!R475,"")</f>
        <v/>
      </c>
      <c r="AB479" t="str">
        <f>IF(Worksheet!X475&lt;&gt;"",CONCATENATE("от ",Worksheet!X475," до +",Worksheet!Y475),"")</f>
        <v/>
      </c>
      <c r="AC479" t="str">
        <f>IF(Worksheet!Z475&lt;&gt;"",CONCATENATE("от ",Worksheet!Z475," до +",Worksheet!AA475),"")</f>
        <v/>
      </c>
      <c r="AD479" s="6" t="s">
        <v>5172</v>
      </c>
      <c r="AE479" s="17"/>
    </row>
    <row r="480" spans="1:31" x14ac:dyDescent="0.25">
      <c r="A480" s="17" t="str">
        <f>IF(Worksheet!B476&lt;&gt;"",Worksheet!B476,"")</f>
        <v>TOSOT</v>
      </c>
      <c r="B480" t="str">
        <f>Worksheet!E476</f>
        <v>Мульти сплит система</v>
      </c>
      <c r="C480" s="21">
        <f>IF(Worksheet!M476&lt;&gt;"",MID(Worksheet!M476,1,FIND(" ",Worksheet!M476,1)-1),"")*1</f>
        <v>4.0999999999999996</v>
      </c>
      <c r="D480">
        <f t="shared" ref="D480:D498" si="21">ROUND(LEFT(C480,3)*10,0)</f>
        <v>41</v>
      </c>
      <c r="E480" t="str">
        <f>IF(Worksheet!L476&lt;&gt;"",IF(Worksheet!L476="Y","да","нет"),"")</f>
        <v>да</v>
      </c>
      <c r="F480" s="21">
        <f>IF(Worksheet!N476&lt;&gt;"",MID(Worksheet!N476,1,FIND(" ",Worksheet!N476,1)-1),"")*1</f>
        <v>4.4000000000000004</v>
      </c>
      <c r="G480">
        <f>IF(Worksheet!O476&lt;&gt;"",Worksheet!O476,"")</f>
        <v>1.2</v>
      </c>
      <c r="H480">
        <f>IF(Worksheet!P476&lt;&gt;"",Worksheet!P476,"")</f>
        <v>1.18</v>
      </c>
      <c r="I480" s="6"/>
      <c r="J480" s="6"/>
      <c r="K480" t="str">
        <f>IF(Worksheet!BI476&lt;&gt;"",Worksheet!BI476,"")</f>
        <v>1 / 220 / 50</v>
      </c>
      <c r="L480" t="str">
        <f>IF(Worksheet!AU476&lt;&gt;"",Worksheet!AU476,"")</f>
        <v>R410A</v>
      </c>
      <c r="M480" s="6"/>
      <c r="N480" s="6"/>
      <c r="O480" t="str">
        <f>IF(Worksheet!CR476&lt;&gt;"",CONCATENATE(Worksheet!CR476," х ",Worksheet!CP476," х ",Worksheet!CT476),"")</f>
        <v/>
      </c>
      <c r="P480" t="str">
        <f>IF(Worksheet!CS476&lt;&gt;"",CONCATENATE(Worksheet!CS476," х ",Worksheet!CU476," х ",Worksheet!CQ476),"")</f>
        <v/>
      </c>
      <c r="Q480" t="str">
        <f>IF(Worksheet!CV476&lt;&gt;"",CONCATENATE(Worksheet!CV476," / ",Worksheet!CW476),"")</f>
        <v/>
      </c>
      <c r="R480" t="str">
        <f>IF(Worksheet!BS476&lt;&gt;"",Worksheet!BS476,"")</f>
        <v/>
      </c>
      <c r="S480" t="str">
        <f>IF(Worksheet!AL476&lt;&gt;"",Worksheet!AL476,"")</f>
        <v>Gree</v>
      </c>
      <c r="T480" t="str">
        <f>IF(Worksheet!CJ476&lt;&gt;"",CONCATENATE(Worksheet!CJ476," х ",Worksheet!CL476," х ",Worksheet!CH476),"")</f>
        <v/>
      </c>
      <c r="U480" t="str">
        <f>IF(Worksheet!CK476&lt;&gt;"",CONCATENATE(Worksheet!CK476," х ",Worksheet!CM476," х ",Worksheet!CI476),"")</f>
        <v/>
      </c>
      <c r="V480" t="str">
        <f>IF(Worksheet!CN476&lt;&gt;"",CONCATENATE(Worksheet!CN476,"/",Worksheet!CO476),"")</f>
        <v/>
      </c>
      <c r="W480" s="6"/>
      <c r="X480" s="25"/>
      <c r="Y480" s="25"/>
      <c r="Z480" s="17">
        <f>IF(Worksheet!Q476&lt;&gt;"",Worksheet!Q476,"")</f>
        <v>20</v>
      </c>
      <c r="AA480" s="17">
        <f>IF(Worksheet!R476&lt;&gt;"",Worksheet!R476,"")</f>
        <v>5</v>
      </c>
      <c r="AB480" t="str">
        <f>IF(Worksheet!X476&lt;&gt;"",CONCATENATE("от ",Worksheet!X476," до +",Worksheet!Y476),"")</f>
        <v>от -15 до +43</v>
      </c>
      <c r="AC480" t="str">
        <f>IF(Worksheet!Z476&lt;&gt;"",CONCATENATE("от ",Worksheet!Z476," до +",Worksheet!AA476),"")</f>
        <v>от -20 до +24</v>
      </c>
      <c r="AD480" s="6" t="s">
        <v>5173</v>
      </c>
      <c r="AE480" s="17"/>
    </row>
    <row r="481" spans="1:31" x14ac:dyDescent="0.25">
      <c r="A481" s="17" t="str">
        <f>IF(Worksheet!B477&lt;&gt;"",Worksheet!B477,"")</f>
        <v>TOSOT</v>
      </c>
      <c r="B481" t="str">
        <f>Worksheet!E477</f>
        <v>Мульти сплит система</v>
      </c>
      <c r="C481" s="21">
        <f>IF(Worksheet!M477&lt;&gt;"",MID(Worksheet!M477,1,FIND(" ",Worksheet!M477,1)-1),"")*1</f>
        <v>5.2</v>
      </c>
      <c r="D481">
        <f t="shared" si="21"/>
        <v>52</v>
      </c>
      <c r="E481" t="str">
        <f>IF(Worksheet!L477&lt;&gt;"",IF(Worksheet!L477="Y","да","нет"),"")</f>
        <v>да</v>
      </c>
      <c r="F481" s="21">
        <f>IF(Worksheet!N477&lt;&gt;"",MID(Worksheet!N477,1,FIND(" ",Worksheet!N477,1)-1),"")*1</f>
        <v>5.4</v>
      </c>
      <c r="G481">
        <f>IF(Worksheet!O477&lt;&gt;"",Worksheet!O477,"")</f>
        <v>1.45</v>
      </c>
      <c r="H481">
        <f>IF(Worksheet!P477&lt;&gt;"",Worksheet!P477,"")</f>
        <v>1.45</v>
      </c>
      <c r="I481" s="6"/>
      <c r="J481" s="6"/>
      <c r="K481" t="str">
        <f>IF(Worksheet!BI477&lt;&gt;"",Worksheet!BI477,"")</f>
        <v>1 / 220 / 50</v>
      </c>
      <c r="L481" t="str">
        <f>IF(Worksheet!AU477&lt;&gt;"",Worksheet!AU477,"")</f>
        <v>R410A</v>
      </c>
      <c r="M481" s="6"/>
      <c r="N481" s="6"/>
      <c r="O481" t="str">
        <f>IF(Worksheet!CR477&lt;&gt;"",CONCATENATE(Worksheet!CR477," х ",Worksheet!CP477," х ",Worksheet!CT477),"")</f>
        <v/>
      </c>
      <c r="P481" t="str">
        <f>IF(Worksheet!CS477&lt;&gt;"",CONCATENATE(Worksheet!CS477," х ",Worksheet!CU477," х ",Worksheet!CQ477),"")</f>
        <v/>
      </c>
      <c r="Q481" t="str">
        <f>IF(Worksheet!CV477&lt;&gt;"",CONCATENATE(Worksheet!CV477," / ",Worksheet!CW477),"")</f>
        <v/>
      </c>
      <c r="R481" t="str">
        <f>IF(Worksheet!BS477&lt;&gt;"",Worksheet!BS477,"")</f>
        <v/>
      </c>
      <c r="S481" t="str">
        <f>IF(Worksheet!AL477&lt;&gt;"",Worksheet!AL477,"")</f>
        <v>Gree</v>
      </c>
      <c r="T481" t="str">
        <f>IF(Worksheet!CJ477&lt;&gt;"",CONCATENATE(Worksheet!CJ477," х ",Worksheet!CL477," х ",Worksheet!CH477),"")</f>
        <v/>
      </c>
      <c r="U481" t="str">
        <f>IF(Worksheet!CK477&lt;&gt;"",CONCATENATE(Worksheet!CK477," х ",Worksheet!CM477," х ",Worksheet!CI477),"")</f>
        <v/>
      </c>
      <c r="V481" t="str">
        <f>IF(Worksheet!CN477&lt;&gt;"",CONCATENATE(Worksheet!CN477,"/",Worksheet!CO477),"")</f>
        <v/>
      </c>
      <c r="W481" s="6"/>
      <c r="X481" s="25"/>
      <c r="Y481" s="25"/>
      <c r="Z481" s="17">
        <f>IF(Worksheet!Q477&lt;&gt;"",Worksheet!Q477,"")</f>
        <v>20</v>
      </c>
      <c r="AA481" s="17">
        <f>IF(Worksheet!R477&lt;&gt;"",Worksheet!R477,"")</f>
        <v>5</v>
      </c>
      <c r="AB481" t="str">
        <f>IF(Worksheet!X477&lt;&gt;"",CONCATENATE("от ",Worksheet!X477," до +",Worksheet!Y477),"")</f>
        <v>от -15 до +43</v>
      </c>
      <c r="AC481" t="str">
        <f>IF(Worksheet!Z477&lt;&gt;"",CONCATENATE("от ",Worksheet!Z477," до +",Worksheet!AA477),"")</f>
        <v>от -20 до +24</v>
      </c>
      <c r="AD481" s="6" t="s">
        <v>5173</v>
      </c>
      <c r="AE481" s="17"/>
    </row>
    <row r="482" spans="1:31" x14ac:dyDescent="0.25">
      <c r="A482" s="17" t="str">
        <f>IF(Worksheet!B478&lt;&gt;"",Worksheet!B478,"")</f>
        <v>TOSOT</v>
      </c>
      <c r="B482" t="str">
        <f>Worksheet!E478</f>
        <v>Мульти сплит система</v>
      </c>
      <c r="C482" s="21">
        <f>IF(Worksheet!M478&lt;&gt;"",MID(Worksheet!M478,1,FIND(" ",Worksheet!M478,1)-1),"")*1</f>
        <v>6.1</v>
      </c>
      <c r="D482">
        <f t="shared" si="21"/>
        <v>61</v>
      </c>
      <c r="E482" t="str">
        <f>IF(Worksheet!L478&lt;&gt;"",IF(Worksheet!L478="Y","да","нет"),"")</f>
        <v>да</v>
      </c>
      <c r="F482" s="21">
        <f>IF(Worksheet!N478&lt;&gt;"",MID(Worksheet!N478,1,FIND(" ",Worksheet!N478,1)-1),"")*1</f>
        <v>6.5</v>
      </c>
      <c r="G482">
        <f>IF(Worksheet!O478&lt;&gt;"",Worksheet!O478,"")</f>
        <v>1.91</v>
      </c>
      <c r="H482">
        <f>IF(Worksheet!P478&lt;&gt;"",Worksheet!P478,"")</f>
        <v>1.73</v>
      </c>
      <c r="I482" s="6"/>
      <c r="J482" s="6"/>
      <c r="K482" t="str">
        <f>IF(Worksheet!BI478&lt;&gt;"",Worksheet!BI478,"")</f>
        <v>1 / 220 / 50</v>
      </c>
      <c r="L482" t="str">
        <f>IF(Worksheet!AU478&lt;&gt;"",Worksheet!AU478,"")</f>
        <v>R410A</v>
      </c>
      <c r="M482" s="6"/>
      <c r="N482" s="6"/>
      <c r="O482" t="str">
        <f>IF(Worksheet!CR478&lt;&gt;"",CONCATENATE(Worksheet!CR478," х ",Worksheet!CP478," х ",Worksheet!CT478),"")</f>
        <v/>
      </c>
      <c r="P482" t="str">
        <f>IF(Worksheet!CS478&lt;&gt;"",CONCATENATE(Worksheet!CS478," х ",Worksheet!CU478," х ",Worksheet!CQ478),"")</f>
        <v/>
      </c>
      <c r="Q482" t="str">
        <f>IF(Worksheet!CV478&lt;&gt;"",CONCATENATE(Worksheet!CV478," / ",Worksheet!CW478),"")</f>
        <v/>
      </c>
      <c r="R482" t="str">
        <f>IF(Worksheet!BS478&lt;&gt;"",Worksheet!BS478,"")</f>
        <v/>
      </c>
      <c r="S482" t="str">
        <f>IF(Worksheet!AL478&lt;&gt;"",Worksheet!AL478,"")</f>
        <v>Gree</v>
      </c>
      <c r="T482" t="str">
        <f>IF(Worksheet!CJ478&lt;&gt;"",CONCATENATE(Worksheet!CJ478," х ",Worksheet!CL478," х ",Worksheet!CH478),"")</f>
        <v/>
      </c>
      <c r="U482" t="str">
        <f>IF(Worksheet!CK478&lt;&gt;"",CONCATENATE(Worksheet!CK478," х ",Worksheet!CM478," х ",Worksheet!CI478),"")</f>
        <v/>
      </c>
      <c r="V482" t="str">
        <f>IF(Worksheet!CN478&lt;&gt;"",CONCATENATE(Worksheet!CN478,"/",Worksheet!CO478),"")</f>
        <v/>
      </c>
      <c r="W482" s="6"/>
      <c r="X482" s="25"/>
      <c r="Y482" s="25"/>
      <c r="Z482" s="17">
        <f>IF(Worksheet!Q478&lt;&gt;"",Worksheet!Q478,"")</f>
        <v>60</v>
      </c>
      <c r="AA482" s="17">
        <f>IF(Worksheet!R478&lt;&gt;"",Worksheet!R478,"")</f>
        <v>10</v>
      </c>
      <c r="AB482" t="str">
        <f>IF(Worksheet!X478&lt;&gt;"",CONCATENATE("от ",Worksheet!X478," до +",Worksheet!Y478),"")</f>
        <v>от -15 до +43</v>
      </c>
      <c r="AC482" t="str">
        <f>IF(Worksheet!Z478&lt;&gt;"",CONCATENATE("от ",Worksheet!Z478," до +",Worksheet!AA478),"")</f>
        <v>от -20 до +24</v>
      </c>
      <c r="AD482" s="6" t="s">
        <v>5173</v>
      </c>
      <c r="AE482" s="17"/>
    </row>
    <row r="483" spans="1:31" x14ac:dyDescent="0.25">
      <c r="A483" s="17" t="str">
        <f>IF(Worksheet!B479&lt;&gt;"",Worksheet!B479,"")</f>
        <v>TOSOT</v>
      </c>
      <c r="B483" t="str">
        <f>Worksheet!E479</f>
        <v>Мульти сплит система</v>
      </c>
      <c r="C483" s="21">
        <f>IF(Worksheet!M479&lt;&gt;"",MID(Worksheet!M479,1,FIND(" ",Worksheet!M479,1)-1),"")*1</f>
        <v>7.1</v>
      </c>
      <c r="D483">
        <f t="shared" si="21"/>
        <v>71</v>
      </c>
      <c r="E483" t="str">
        <f>IF(Worksheet!L479&lt;&gt;"",IF(Worksheet!L479="Y","да","нет"),"")</f>
        <v>да</v>
      </c>
      <c r="F483" s="21">
        <f>IF(Worksheet!N479&lt;&gt;"",MID(Worksheet!N479,1,FIND(" ",Worksheet!N479,1)-1),"")*1</f>
        <v>8.5</v>
      </c>
      <c r="G483">
        <f>IF(Worksheet!O479&lt;&gt;"",Worksheet!O479,"")</f>
        <v>2.1800000000000002</v>
      </c>
      <c r="H483">
        <f>IF(Worksheet!P479&lt;&gt;"",Worksheet!P479,"")</f>
        <v>2.2799999999999998</v>
      </c>
      <c r="I483" s="6"/>
      <c r="J483" s="6"/>
      <c r="K483" t="str">
        <f>IF(Worksheet!BI479&lt;&gt;"",Worksheet!BI479,"")</f>
        <v>1 / 220 / 50</v>
      </c>
      <c r="L483" t="str">
        <f>IF(Worksheet!AU479&lt;&gt;"",Worksheet!AU479,"")</f>
        <v>R410A</v>
      </c>
      <c r="M483" s="6"/>
      <c r="N483" s="6"/>
      <c r="O483" t="str">
        <f>IF(Worksheet!CR479&lt;&gt;"",CONCATENATE(Worksheet!CR479," х ",Worksheet!CP479," х ",Worksheet!CT479),"")</f>
        <v/>
      </c>
      <c r="P483" t="str">
        <f>IF(Worksheet!CS479&lt;&gt;"",CONCATENATE(Worksheet!CS479," х ",Worksheet!CU479," х ",Worksheet!CQ479),"")</f>
        <v/>
      </c>
      <c r="Q483" t="str">
        <f>IF(Worksheet!CV479&lt;&gt;"",CONCATENATE(Worksheet!CV479," / ",Worksheet!CW479),"")</f>
        <v/>
      </c>
      <c r="R483" t="str">
        <f>IF(Worksheet!BS479&lt;&gt;"",Worksheet!BS479,"")</f>
        <v/>
      </c>
      <c r="S483" t="str">
        <f>IF(Worksheet!AL479&lt;&gt;"",Worksheet!AL479,"")</f>
        <v>Gree</v>
      </c>
      <c r="T483" t="str">
        <f>IF(Worksheet!CJ479&lt;&gt;"",CONCATENATE(Worksheet!CJ479," х ",Worksheet!CL479," х ",Worksheet!CH479),"")</f>
        <v/>
      </c>
      <c r="U483" t="str">
        <f>IF(Worksheet!CK479&lt;&gt;"",CONCATENATE(Worksheet!CK479," х ",Worksheet!CM479," х ",Worksheet!CI479),"")</f>
        <v/>
      </c>
      <c r="V483" t="str">
        <f>IF(Worksheet!CN479&lt;&gt;"",CONCATENATE(Worksheet!CN479,"/",Worksheet!CO479),"")</f>
        <v/>
      </c>
      <c r="W483" s="6"/>
      <c r="X483" s="25"/>
      <c r="Y483" s="25"/>
      <c r="Z483" s="17">
        <f>IF(Worksheet!Q479&lt;&gt;"",Worksheet!Q479,"")</f>
        <v>60</v>
      </c>
      <c r="AA483" s="17">
        <f>IF(Worksheet!R479&lt;&gt;"",Worksheet!R479,"")</f>
        <v>10</v>
      </c>
      <c r="AB483" t="str">
        <f>IF(Worksheet!X479&lt;&gt;"",CONCATENATE("от ",Worksheet!X479," до +",Worksheet!Y479),"")</f>
        <v>от -15 до +43</v>
      </c>
      <c r="AC483" t="str">
        <f>IF(Worksheet!Z479&lt;&gt;"",CONCATENATE("от ",Worksheet!Z479," до +",Worksheet!AA479),"")</f>
        <v>от -20 до +24</v>
      </c>
      <c r="AD483" s="6" t="s">
        <v>5173</v>
      </c>
      <c r="AE483" s="17"/>
    </row>
    <row r="484" spans="1:31" x14ac:dyDescent="0.25">
      <c r="A484" s="17" t="str">
        <f>IF(Worksheet!B480&lt;&gt;"",Worksheet!B480,"")</f>
        <v>TOSOT</v>
      </c>
      <c r="B484" t="str">
        <f>Worksheet!E480</f>
        <v>Мульти сплит система</v>
      </c>
      <c r="C484" s="21">
        <f>IF(Worksheet!M480&lt;&gt;"",MID(Worksheet!M480,1,FIND(" ",Worksheet!M480,1)-1),"")*1</f>
        <v>8</v>
      </c>
      <c r="D484">
        <f t="shared" si="21"/>
        <v>80</v>
      </c>
      <c r="E484" t="str">
        <f>IF(Worksheet!L480&lt;&gt;"",IF(Worksheet!L480="Y","да","нет"),"")</f>
        <v>да</v>
      </c>
      <c r="F484" s="21">
        <f>IF(Worksheet!N480&lt;&gt;"",MID(Worksheet!N480,1,FIND(" ",Worksheet!N480,1)-1),"")*1</f>
        <v>9.3000000000000007</v>
      </c>
      <c r="G484">
        <f>IF(Worksheet!O480&lt;&gt;"",Worksheet!O480,"")</f>
        <v>2.54</v>
      </c>
      <c r="H484">
        <f>IF(Worksheet!P480&lt;&gt;"",Worksheet!P480,"")</f>
        <v>2.4900000000000002</v>
      </c>
      <c r="I484" s="6"/>
      <c r="J484" s="6"/>
      <c r="K484" t="str">
        <f>IF(Worksheet!BI480&lt;&gt;"",Worksheet!BI480,"")</f>
        <v>1 / 220 / 50</v>
      </c>
      <c r="L484" t="str">
        <f>IF(Worksheet!AU480&lt;&gt;"",Worksheet!AU480,"")</f>
        <v>R410A</v>
      </c>
      <c r="M484" s="6"/>
      <c r="N484" s="6"/>
      <c r="O484" t="str">
        <f>IF(Worksheet!CR480&lt;&gt;"",CONCATENATE(Worksheet!CR480," х ",Worksheet!CP480," х ",Worksheet!CT480),"")</f>
        <v/>
      </c>
      <c r="P484" t="str">
        <f>IF(Worksheet!CS480&lt;&gt;"",CONCATENATE(Worksheet!CS480," х ",Worksheet!CU480," х ",Worksheet!CQ480),"")</f>
        <v/>
      </c>
      <c r="Q484" t="str">
        <f>IF(Worksheet!CV480&lt;&gt;"",CONCATENATE(Worksheet!CV480," / ",Worksheet!CW480),"")</f>
        <v/>
      </c>
      <c r="R484" t="str">
        <f>IF(Worksheet!BS480&lt;&gt;"",Worksheet!BS480,"")</f>
        <v/>
      </c>
      <c r="S484" t="str">
        <f>IF(Worksheet!AL480&lt;&gt;"",Worksheet!AL480,"")</f>
        <v>Gree</v>
      </c>
      <c r="T484" t="str">
        <f>IF(Worksheet!CJ480&lt;&gt;"",CONCATENATE(Worksheet!CJ480," х ",Worksheet!CL480," х ",Worksheet!CH480),"")</f>
        <v/>
      </c>
      <c r="U484" t="str">
        <f>IF(Worksheet!CK480&lt;&gt;"",CONCATENATE(Worksheet!CK480," х ",Worksheet!CM480," х ",Worksheet!CI480),"")</f>
        <v/>
      </c>
      <c r="V484" t="str">
        <f>IF(Worksheet!CN480&lt;&gt;"",CONCATENATE(Worksheet!CN480,"/",Worksheet!CO480),"")</f>
        <v/>
      </c>
      <c r="W484" s="6"/>
      <c r="X484" s="25"/>
      <c r="Y484" s="25"/>
      <c r="Z484" s="17">
        <f>IF(Worksheet!Q480&lt;&gt;"",Worksheet!Q480,"")</f>
        <v>70</v>
      </c>
      <c r="AA484" s="17">
        <f>IF(Worksheet!R480&lt;&gt;"",Worksheet!R480,"")</f>
        <v>10</v>
      </c>
      <c r="AB484" t="str">
        <f>IF(Worksheet!X480&lt;&gt;"",CONCATENATE("от ",Worksheet!X480," до +",Worksheet!Y480),"")</f>
        <v>от -15 до +43</v>
      </c>
      <c r="AC484" t="str">
        <f>IF(Worksheet!Z480&lt;&gt;"",CONCATENATE("от ",Worksheet!Z480," до +",Worksheet!AA480),"")</f>
        <v>от -20 до +24</v>
      </c>
      <c r="AD484" s="6" t="s">
        <v>5173</v>
      </c>
      <c r="AE484" s="17"/>
    </row>
    <row r="485" spans="1:31" x14ac:dyDescent="0.25">
      <c r="A485" s="17" t="str">
        <f>IF(Worksheet!B481&lt;&gt;"",Worksheet!B481,"")</f>
        <v>TOSOT</v>
      </c>
      <c r="B485" t="str">
        <f>Worksheet!E481</f>
        <v>Мульти сплит система</v>
      </c>
      <c r="C485" s="21">
        <f>IF(Worksheet!M481&lt;&gt;"",MID(Worksheet!M481,1,FIND(" ",Worksheet!M481,1)-1),"")*1</f>
        <v>10.5</v>
      </c>
      <c r="D485">
        <f t="shared" si="21"/>
        <v>100</v>
      </c>
      <c r="E485" t="str">
        <f>IF(Worksheet!L481&lt;&gt;"",IF(Worksheet!L481="Y","да","нет"),"")</f>
        <v>да</v>
      </c>
      <c r="F485" s="21">
        <f>IF(Worksheet!N481&lt;&gt;"",MID(Worksheet!N481,1,FIND(" ",Worksheet!N481,1)-1),"")*1</f>
        <v>12</v>
      </c>
      <c r="G485">
        <f>IF(Worksheet!O481&lt;&gt;"",Worksheet!O481,"")</f>
        <v>3.5</v>
      </c>
      <c r="H485">
        <f>IF(Worksheet!P481&lt;&gt;"",Worksheet!P481,"")</f>
        <v>3.75</v>
      </c>
      <c r="I485" s="6"/>
      <c r="J485" s="6"/>
      <c r="K485" t="str">
        <f>IF(Worksheet!BI481&lt;&gt;"",Worksheet!BI481,"")</f>
        <v>1 / 220 / 50</v>
      </c>
      <c r="L485" t="str">
        <f>IF(Worksheet!AU481&lt;&gt;"",Worksheet!AU481,"")</f>
        <v>R410A</v>
      </c>
      <c r="M485" s="6"/>
      <c r="N485" s="6"/>
      <c r="O485" t="str">
        <f>IF(Worksheet!CR481&lt;&gt;"",CONCATENATE(Worksheet!CR481," х ",Worksheet!CP481," х ",Worksheet!CT481),"")</f>
        <v/>
      </c>
      <c r="P485" t="str">
        <f>IF(Worksheet!CS481&lt;&gt;"",CONCATENATE(Worksheet!CS481," х ",Worksheet!CU481," х ",Worksheet!CQ481),"")</f>
        <v/>
      </c>
      <c r="Q485" t="str">
        <f>IF(Worksheet!CV481&lt;&gt;"",CONCATENATE(Worksheet!CV481," / ",Worksheet!CW481),"")</f>
        <v/>
      </c>
      <c r="R485" t="str">
        <f>IF(Worksheet!BS481&lt;&gt;"",Worksheet!BS481,"")</f>
        <v/>
      </c>
      <c r="S485" t="str">
        <f>IF(Worksheet!AL481&lt;&gt;"",Worksheet!AL481,"")</f>
        <v>Gree</v>
      </c>
      <c r="T485" t="str">
        <f>IF(Worksheet!CJ481&lt;&gt;"",CONCATENATE(Worksheet!CJ481," х ",Worksheet!CL481," х ",Worksheet!CH481),"")</f>
        <v/>
      </c>
      <c r="U485" t="str">
        <f>IF(Worksheet!CK481&lt;&gt;"",CONCATENATE(Worksheet!CK481," х ",Worksheet!CM481," х ",Worksheet!CI481),"")</f>
        <v/>
      </c>
      <c r="V485" t="str">
        <f>IF(Worksheet!CN481&lt;&gt;"",CONCATENATE(Worksheet!CN481,"/",Worksheet!CO481),"")</f>
        <v/>
      </c>
      <c r="W485" s="6"/>
      <c r="X485" s="25"/>
      <c r="Y485" s="25"/>
      <c r="Z485" s="17">
        <f>IF(Worksheet!Q481&lt;&gt;"",Worksheet!Q481,"")</f>
        <v>70</v>
      </c>
      <c r="AA485" s="17">
        <f>IF(Worksheet!R481&lt;&gt;"",Worksheet!R481,"")</f>
        <v>15</v>
      </c>
      <c r="AB485" t="str">
        <f>IF(Worksheet!X481&lt;&gt;"",CONCATENATE("от ",Worksheet!X481," до +",Worksheet!Y481),"")</f>
        <v>от -5 до +48</v>
      </c>
      <c r="AC485" t="str">
        <f>IF(Worksheet!Z481&lt;&gt;"",CONCATENATE("от ",Worksheet!Z481," до +",Worksheet!AA481),"")</f>
        <v>от -15 до +27</v>
      </c>
      <c r="AD485" s="6" t="s">
        <v>5173</v>
      </c>
      <c r="AE485" s="17"/>
    </row>
    <row r="486" spans="1:31" x14ac:dyDescent="0.25">
      <c r="A486" s="17" t="str">
        <f>IF(Worksheet!B482&lt;&gt;"",Worksheet!B482,"")</f>
        <v>TOSOT</v>
      </c>
      <c r="B486" t="str">
        <f>Worksheet!E482</f>
        <v>Мульти сплит система</v>
      </c>
      <c r="C486" s="21">
        <f>IF(Worksheet!M482&lt;&gt;"",MID(Worksheet!M482,1,FIND(" ",Worksheet!M482,1)-1),"")*1</f>
        <v>12.1</v>
      </c>
      <c r="D486">
        <f t="shared" si="21"/>
        <v>120</v>
      </c>
      <c r="E486" t="str">
        <f>IF(Worksheet!L482&lt;&gt;"",IF(Worksheet!L482="Y","да","нет"),"")</f>
        <v>да</v>
      </c>
      <c r="F486" s="21">
        <f>IF(Worksheet!N482&lt;&gt;"",MID(Worksheet!N482,1,FIND(" ",Worksheet!N482,1)-1),"")*1</f>
        <v>13</v>
      </c>
      <c r="G486">
        <f>IF(Worksheet!O482&lt;&gt;"",Worksheet!O482,"")</f>
        <v>3.76</v>
      </c>
      <c r="H486">
        <f>IF(Worksheet!P482&lt;&gt;"",Worksheet!P482,"")</f>
        <v>3.45</v>
      </c>
      <c r="I486" s="6"/>
      <c r="J486" s="6"/>
      <c r="K486" t="str">
        <f>IF(Worksheet!BI482&lt;&gt;"",Worksheet!BI482,"")</f>
        <v>1 / 220 / 50</v>
      </c>
      <c r="L486" t="str">
        <f>IF(Worksheet!AU482&lt;&gt;"",Worksheet!AU482,"")</f>
        <v>R410A</v>
      </c>
      <c r="M486" s="6"/>
      <c r="N486" s="6"/>
      <c r="O486" t="str">
        <f>IF(Worksheet!CR482&lt;&gt;"",CONCATENATE(Worksheet!CR482," х ",Worksheet!CP482," х ",Worksheet!CT482),"")</f>
        <v/>
      </c>
      <c r="P486" t="str">
        <f>IF(Worksheet!CS482&lt;&gt;"",CONCATENATE(Worksheet!CS482," х ",Worksheet!CU482," х ",Worksheet!CQ482),"")</f>
        <v/>
      </c>
      <c r="Q486" t="str">
        <f>IF(Worksheet!CV482&lt;&gt;"",CONCATENATE(Worksheet!CV482," / ",Worksheet!CW482),"")</f>
        <v/>
      </c>
      <c r="R486" t="str">
        <f>IF(Worksheet!BS482&lt;&gt;"",Worksheet!BS482,"")</f>
        <v/>
      </c>
      <c r="S486" t="str">
        <f>IF(Worksheet!AL482&lt;&gt;"",Worksheet!AL482,"")</f>
        <v>Gree</v>
      </c>
      <c r="T486" t="str">
        <f>IF(Worksheet!CJ482&lt;&gt;"",CONCATENATE(Worksheet!CJ482," х ",Worksheet!CL482," х ",Worksheet!CH482),"")</f>
        <v/>
      </c>
      <c r="U486" t="str">
        <f>IF(Worksheet!CK482&lt;&gt;"",CONCATENATE(Worksheet!CK482," х ",Worksheet!CM482," х ",Worksheet!CI482),"")</f>
        <v/>
      </c>
      <c r="V486" t="str">
        <f>IF(Worksheet!CN482&lt;&gt;"",CONCATENATE(Worksheet!CN482,"/",Worksheet!CO482),"")</f>
        <v/>
      </c>
      <c r="W486" s="6"/>
      <c r="X486" s="25"/>
      <c r="Y486" s="25"/>
      <c r="Z486" s="17">
        <f>IF(Worksheet!Q482&lt;&gt;"",Worksheet!Q482,"")</f>
        <v>80</v>
      </c>
      <c r="AA486" s="17">
        <f>IF(Worksheet!R482&lt;&gt;"",Worksheet!R482,"")</f>
        <v>15</v>
      </c>
      <c r="AB486" t="str">
        <f>IF(Worksheet!X482&lt;&gt;"",CONCATENATE("от ",Worksheet!X482," до +",Worksheet!Y482),"")</f>
        <v>от -5 до +48</v>
      </c>
      <c r="AC486" t="str">
        <f>IF(Worksheet!Z482&lt;&gt;"",CONCATENATE("от ",Worksheet!Z482," до +",Worksheet!AA482),"")</f>
        <v>от -15 до +27</v>
      </c>
      <c r="AD486" s="6" t="s">
        <v>5173</v>
      </c>
      <c r="AE486" s="17"/>
    </row>
    <row r="487" spans="1:31" x14ac:dyDescent="0.25">
      <c r="A487" s="17" t="str">
        <f>IF(Worksheet!B483&lt;&gt;"",Worksheet!B483,"")</f>
        <v>TOSOT</v>
      </c>
      <c r="B487" t="str">
        <f>Worksheet!E483</f>
        <v>Мульти сплит система</v>
      </c>
      <c r="C487" s="21">
        <f>IF(Worksheet!M483&lt;&gt;"",MID(Worksheet!M483,1,FIND(" ",Worksheet!M483,1)-1),"")*1</f>
        <v>4.0999999999999996</v>
      </c>
      <c r="D487">
        <f t="shared" si="21"/>
        <v>41</v>
      </c>
      <c r="E487" t="str">
        <f>IF(Worksheet!L483&lt;&gt;"",IF(Worksheet!L483="Y","да","нет"),"")</f>
        <v>да</v>
      </c>
      <c r="F487" s="21">
        <f>IF(Worksheet!N483&lt;&gt;"",MID(Worksheet!N483,1,FIND(" ",Worksheet!N483,1)-1),"")*1</f>
        <v>4.4000000000000004</v>
      </c>
      <c r="G487">
        <f>IF(Worksheet!O483&lt;&gt;"",Worksheet!O483,"")</f>
        <v>1.1000000000000001</v>
      </c>
      <c r="H487">
        <f>IF(Worksheet!P483&lt;&gt;"",Worksheet!P483,"")</f>
        <v>0.97</v>
      </c>
      <c r="I487" s="6"/>
      <c r="J487" s="6"/>
      <c r="K487" t="str">
        <f>IF(Worksheet!BI483&lt;&gt;"",Worksheet!BI483,"")</f>
        <v>1 / 220 / 50</v>
      </c>
      <c r="L487" t="str">
        <f>IF(Worksheet!AU483&lt;&gt;"",Worksheet!AU483,"")</f>
        <v>R32</v>
      </c>
      <c r="M487" s="6"/>
      <c r="N487" s="6"/>
      <c r="O487" t="str">
        <f>IF(Worksheet!CR483&lt;&gt;"",CONCATENATE(Worksheet!CR483," х ",Worksheet!CP483," х ",Worksheet!CT483),"")</f>
        <v/>
      </c>
      <c r="P487" t="str">
        <f>IF(Worksheet!CS483&lt;&gt;"",CONCATENATE(Worksheet!CS483," х ",Worksheet!CU483," х ",Worksheet!CQ483),"")</f>
        <v/>
      </c>
      <c r="Q487" t="str">
        <f>IF(Worksheet!CV483&lt;&gt;"",CONCATENATE(Worksheet!CV483," / ",Worksheet!CW483),"")</f>
        <v/>
      </c>
      <c r="R487" t="str">
        <f>IF(Worksheet!BS483&lt;&gt;"",Worksheet!BS483,"")</f>
        <v/>
      </c>
      <c r="S487" t="str">
        <f>IF(Worksheet!AL483&lt;&gt;"",Worksheet!AL483,"")</f>
        <v>Gree</v>
      </c>
      <c r="T487" t="str">
        <f>IF(Worksheet!CJ483&lt;&gt;"",CONCATENATE(Worksheet!CJ483," х ",Worksheet!CL483," х ",Worksheet!CH483),"")</f>
        <v/>
      </c>
      <c r="U487" t="str">
        <f>IF(Worksheet!CK483&lt;&gt;"",CONCATENATE(Worksheet!CK483," х ",Worksheet!CM483," х ",Worksheet!CI483),"")</f>
        <v/>
      </c>
      <c r="V487" t="str">
        <f>IF(Worksheet!CN483&lt;&gt;"",CONCATENATE(Worksheet!CN483,"/",Worksheet!CO483),"")</f>
        <v/>
      </c>
      <c r="W487" s="6"/>
      <c r="X487" s="25"/>
      <c r="Y487" s="25"/>
      <c r="Z487" s="17">
        <f>IF(Worksheet!Q483&lt;&gt;"",Worksheet!Q483,"")</f>
        <v>40</v>
      </c>
      <c r="AA487" s="17">
        <f>IF(Worksheet!R483&lt;&gt;"",Worksheet!R483,"")</f>
        <v>15</v>
      </c>
      <c r="AB487" t="str">
        <f>IF(Worksheet!X483&lt;&gt;"",CONCATENATE("от ",Worksheet!X483," до +",Worksheet!Y483),"")</f>
        <v>от -15 до +43</v>
      </c>
      <c r="AC487" t="str">
        <f>IF(Worksheet!Z483&lt;&gt;"",CONCATENATE("от ",Worksheet!Z483," до +",Worksheet!AA483),"")</f>
        <v>от -22 до +24</v>
      </c>
      <c r="AD487" s="6" t="s">
        <v>5173</v>
      </c>
      <c r="AE487" s="17"/>
    </row>
    <row r="488" spans="1:31" x14ac:dyDescent="0.25">
      <c r="A488" s="17" t="str">
        <f>IF(Worksheet!B484&lt;&gt;"",Worksheet!B484,"")</f>
        <v>TOSOT</v>
      </c>
      <c r="B488" t="str">
        <f>Worksheet!E484</f>
        <v>Мульти сплит система</v>
      </c>
      <c r="C488" s="21">
        <f>IF(Worksheet!M484&lt;&gt;"",MID(Worksheet!M484,1,FIND(" ",Worksheet!M484,1)-1),"")*1</f>
        <v>5.3</v>
      </c>
      <c r="D488">
        <f t="shared" si="21"/>
        <v>53</v>
      </c>
      <c r="E488" t="str">
        <f>IF(Worksheet!L484&lt;&gt;"",IF(Worksheet!L484="Y","да","нет"),"")</f>
        <v>да</v>
      </c>
      <c r="F488" s="21">
        <f>IF(Worksheet!N484&lt;&gt;"",MID(Worksheet!N484,1,FIND(" ",Worksheet!N484,1)-1),"")*1</f>
        <v>5.65</v>
      </c>
      <c r="G488">
        <f>IF(Worksheet!O484&lt;&gt;"",Worksheet!O484,"")</f>
        <v>1.48</v>
      </c>
      <c r="H488">
        <f>IF(Worksheet!P484&lt;&gt;"",Worksheet!P484,"")</f>
        <v>1.25</v>
      </c>
      <c r="I488" s="6"/>
      <c r="J488" s="6"/>
      <c r="K488" t="str">
        <f>IF(Worksheet!BI484&lt;&gt;"",Worksheet!BI484,"")</f>
        <v>1 / 220 / 50</v>
      </c>
      <c r="L488" t="str">
        <f>IF(Worksheet!AU484&lt;&gt;"",Worksheet!AU484,"")</f>
        <v>R32</v>
      </c>
      <c r="M488" s="6"/>
      <c r="N488" s="6"/>
      <c r="O488" t="str">
        <f>IF(Worksheet!CR484&lt;&gt;"",CONCATENATE(Worksheet!CR484," х ",Worksheet!CP484," х ",Worksheet!CT484),"")</f>
        <v/>
      </c>
      <c r="P488" t="str">
        <f>IF(Worksheet!CS484&lt;&gt;"",CONCATENATE(Worksheet!CS484," х ",Worksheet!CU484," х ",Worksheet!CQ484),"")</f>
        <v/>
      </c>
      <c r="Q488" t="str">
        <f>IF(Worksheet!CV484&lt;&gt;"",CONCATENATE(Worksheet!CV484," / ",Worksheet!CW484),"")</f>
        <v/>
      </c>
      <c r="R488" t="str">
        <f>IF(Worksheet!BS484&lt;&gt;"",Worksheet!BS484,"")</f>
        <v/>
      </c>
      <c r="S488" t="str">
        <f>IF(Worksheet!AL484&lt;&gt;"",Worksheet!AL484,"")</f>
        <v>Gree</v>
      </c>
      <c r="T488" t="str">
        <f>IF(Worksheet!CJ484&lt;&gt;"",CONCATENATE(Worksheet!CJ484," х ",Worksheet!CL484," х ",Worksheet!CH484),"")</f>
        <v/>
      </c>
      <c r="U488" t="str">
        <f>IF(Worksheet!CK484&lt;&gt;"",CONCATENATE(Worksheet!CK484," х ",Worksheet!CM484," х ",Worksheet!CI484),"")</f>
        <v/>
      </c>
      <c r="V488" t="str">
        <f>IF(Worksheet!CN484&lt;&gt;"",CONCATENATE(Worksheet!CN484,"/",Worksheet!CO484),"")</f>
        <v/>
      </c>
      <c r="W488" s="6"/>
      <c r="X488" s="25"/>
      <c r="Y488" s="25"/>
      <c r="Z488" s="17">
        <f>IF(Worksheet!Q484&lt;&gt;"",Worksheet!Q484,"")</f>
        <v>40</v>
      </c>
      <c r="AA488" s="17">
        <f>IF(Worksheet!R484&lt;&gt;"",Worksheet!R484,"")</f>
        <v>15</v>
      </c>
      <c r="AB488" t="str">
        <f>IF(Worksheet!X484&lt;&gt;"",CONCATENATE("от ",Worksheet!X484," до +",Worksheet!Y484),"")</f>
        <v>от -15 до +43</v>
      </c>
      <c r="AC488" t="str">
        <f>IF(Worksheet!Z484&lt;&gt;"",CONCATENATE("от ",Worksheet!Z484," до +",Worksheet!AA484),"")</f>
        <v>от -22 до +24</v>
      </c>
      <c r="AD488" s="6" t="s">
        <v>5173</v>
      </c>
      <c r="AE488" s="17"/>
    </row>
    <row r="489" spans="1:31" x14ac:dyDescent="0.25">
      <c r="A489" s="17" t="str">
        <f>IF(Worksheet!B485&lt;&gt;"",Worksheet!B485,"")</f>
        <v>TOSOT</v>
      </c>
      <c r="B489" t="str">
        <f>Worksheet!E485</f>
        <v>Мульти сплит система</v>
      </c>
      <c r="C489" s="21">
        <f>IF(Worksheet!M485&lt;&gt;"",MID(Worksheet!M485,1,FIND(" ",Worksheet!M485,1)-1),"")*1</f>
        <v>6.1</v>
      </c>
      <c r="D489">
        <f t="shared" si="21"/>
        <v>61</v>
      </c>
      <c r="E489" t="str">
        <f>IF(Worksheet!L485&lt;&gt;"",IF(Worksheet!L485="Y","да","нет"),"")</f>
        <v>да</v>
      </c>
      <c r="F489" s="21">
        <f>IF(Worksheet!N485&lt;&gt;"",MID(Worksheet!N485,1,FIND(" ",Worksheet!N485,1)-1),"")*1</f>
        <v>6.5</v>
      </c>
      <c r="G489">
        <f>IF(Worksheet!O485&lt;&gt;"",Worksheet!O485,"")</f>
        <v>1.48</v>
      </c>
      <c r="H489">
        <f>IF(Worksheet!P485&lt;&gt;"",Worksheet!P485,"")</f>
        <v>1.43</v>
      </c>
      <c r="I489" s="6"/>
      <c r="J489" s="6"/>
      <c r="K489" t="str">
        <f>IF(Worksheet!BI485&lt;&gt;"",Worksheet!BI485,"")</f>
        <v>1 / 220 / 50</v>
      </c>
      <c r="L489" t="str">
        <f>IF(Worksheet!AU485&lt;&gt;"",Worksheet!AU485,"")</f>
        <v>R32</v>
      </c>
      <c r="M489" s="6"/>
      <c r="N489" s="6"/>
      <c r="O489" t="str">
        <f>IF(Worksheet!CR485&lt;&gt;"",CONCATENATE(Worksheet!CR485," х ",Worksheet!CP485," х ",Worksheet!CT485),"")</f>
        <v/>
      </c>
      <c r="P489" t="str">
        <f>IF(Worksheet!CS485&lt;&gt;"",CONCATENATE(Worksheet!CS485," х ",Worksheet!CU485," х ",Worksheet!CQ485),"")</f>
        <v/>
      </c>
      <c r="Q489" t="str">
        <f>IF(Worksheet!CV485&lt;&gt;"",CONCATENATE(Worksheet!CV485," / ",Worksheet!CW485),"")</f>
        <v/>
      </c>
      <c r="R489" t="str">
        <f>IF(Worksheet!BS485&lt;&gt;"",Worksheet!BS485,"")</f>
        <v/>
      </c>
      <c r="S489" t="str">
        <f>IF(Worksheet!AL485&lt;&gt;"",Worksheet!AL485,"")</f>
        <v>Gree</v>
      </c>
      <c r="T489" t="str">
        <f>IF(Worksheet!CJ485&lt;&gt;"",CONCATENATE(Worksheet!CJ485," х ",Worksheet!CL485," х ",Worksheet!CH485),"")</f>
        <v/>
      </c>
      <c r="U489" t="str">
        <f>IF(Worksheet!CK485&lt;&gt;"",CONCATENATE(Worksheet!CK485," х ",Worksheet!CM485," х ",Worksheet!CI485),"")</f>
        <v/>
      </c>
      <c r="V489" t="str">
        <f>IF(Worksheet!CN485&lt;&gt;"",CONCATENATE(Worksheet!CN485,"/",Worksheet!CO485),"")</f>
        <v/>
      </c>
      <c r="W489" s="6"/>
      <c r="X489" s="25"/>
      <c r="Y489" s="25"/>
      <c r="Z489" s="17">
        <f>IF(Worksheet!Q485&lt;&gt;"",Worksheet!Q485,"")</f>
        <v>60</v>
      </c>
      <c r="AA489" s="17">
        <f>IF(Worksheet!R485&lt;&gt;"",Worksheet!R485,"")</f>
        <v>15</v>
      </c>
      <c r="AB489" t="str">
        <f>IF(Worksheet!X485&lt;&gt;"",CONCATENATE("от ",Worksheet!X485," до +",Worksheet!Y485),"")</f>
        <v>от -15 до +43</v>
      </c>
      <c r="AC489" t="str">
        <f>IF(Worksheet!Z485&lt;&gt;"",CONCATENATE("от ",Worksheet!Z485," до +",Worksheet!AA485),"")</f>
        <v>от -22 до +24</v>
      </c>
      <c r="AD489" s="6" t="s">
        <v>5173</v>
      </c>
      <c r="AE489" s="17"/>
    </row>
    <row r="490" spans="1:31" x14ac:dyDescent="0.25">
      <c r="A490" s="17" t="str">
        <f>IF(Worksheet!B486&lt;&gt;"",Worksheet!B486,"")</f>
        <v>TOSOT</v>
      </c>
      <c r="B490" t="str">
        <f>Worksheet!E486</f>
        <v>Мульти сплит система</v>
      </c>
      <c r="C490" s="21">
        <f>IF(Worksheet!M486&lt;&gt;"",MID(Worksheet!M486,1,FIND(" ",Worksheet!M486,1)-1),"")*1</f>
        <v>7.1</v>
      </c>
      <c r="D490">
        <f t="shared" si="21"/>
        <v>71</v>
      </c>
      <c r="E490" t="str">
        <f>IF(Worksheet!L486&lt;&gt;"",IF(Worksheet!L486="Y","да","нет"),"")</f>
        <v>да</v>
      </c>
      <c r="F490" s="21">
        <f>IF(Worksheet!N486&lt;&gt;"",MID(Worksheet!N486,1,FIND(" ",Worksheet!N486,1)-1),"")*1</f>
        <v>8.6</v>
      </c>
      <c r="G490">
        <f>IF(Worksheet!O486&lt;&gt;"",Worksheet!O486,"")</f>
        <v>1.88</v>
      </c>
      <c r="H490">
        <f>IF(Worksheet!P486&lt;&gt;"",Worksheet!P486,"")</f>
        <v>2.23</v>
      </c>
      <c r="I490" s="6"/>
      <c r="J490" s="6"/>
      <c r="K490" t="str">
        <f>IF(Worksheet!BI486&lt;&gt;"",Worksheet!BI486,"")</f>
        <v>1 / 220 / 50</v>
      </c>
      <c r="L490" t="str">
        <f>IF(Worksheet!AU486&lt;&gt;"",Worksheet!AU486,"")</f>
        <v>R32</v>
      </c>
      <c r="M490" s="6"/>
      <c r="N490" s="6"/>
      <c r="O490" t="str">
        <f>IF(Worksheet!CR486&lt;&gt;"",CONCATENATE(Worksheet!CR486," х ",Worksheet!CP486," х ",Worksheet!CT486),"")</f>
        <v/>
      </c>
      <c r="P490" t="str">
        <f>IF(Worksheet!CS486&lt;&gt;"",CONCATENATE(Worksheet!CS486," х ",Worksheet!CU486," х ",Worksheet!CQ486),"")</f>
        <v/>
      </c>
      <c r="Q490" t="str">
        <f>IF(Worksheet!CV486&lt;&gt;"",CONCATENATE(Worksheet!CV486," / ",Worksheet!CW486),"")</f>
        <v/>
      </c>
      <c r="R490" t="str">
        <f>IF(Worksheet!BS486&lt;&gt;"",Worksheet!BS486,"")</f>
        <v/>
      </c>
      <c r="S490" t="str">
        <f>IF(Worksheet!AL486&lt;&gt;"",Worksheet!AL486,"")</f>
        <v>Gree</v>
      </c>
      <c r="T490" t="str">
        <f>IF(Worksheet!CJ486&lt;&gt;"",CONCATENATE(Worksheet!CJ486," х ",Worksheet!CL486," х ",Worksheet!CH486),"")</f>
        <v/>
      </c>
      <c r="U490" t="str">
        <f>IF(Worksheet!CK486&lt;&gt;"",CONCATENATE(Worksheet!CK486," х ",Worksheet!CM486," х ",Worksheet!CI486),"")</f>
        <v/>
      </c>
      <c r="V490" t="str">
        <f>IF(Worksheet!CN486&lt;&gt;"",CONCATENATE(Worksheet!CN486,"/",Worksheet!CO486),"")</f>
        <v/>
      </c>
      <c r="W490" s="6"/>
      <c r="X490" s="25"/>
      <c r="Y490" s="25"/>
      <c r="Z490" s="17">
        <f>IF(Worksheet!Q486&lt;&gt;"",Worksheet!Q486,"")</f>
        <v>60</v>
      </c>
      <c r="AA490" s="17">
        <f>IF(Worksheet!R486&lt;&gt;"",Worksheet!R486,"")</f>
        <v>15</v>
      </c>
      <c r="AB490" t="str">
        <f>IF(Worksheet!X486&lt;&gt;"",CONCATENATE("от ",Worksheet!X486," до +",Worksheet!Y486),"")</f>
        <v>от -15 до +43</v>
      </c>
      <c r="AC490" t="str">
        <f>IF(Worksheet!Z486&lt;&gt;"",CONCATENATE("от ",Worksheet!Z486," до +",Worksheet!AA486),"")</f>
        <v>от -22 до +24</v>
      </c>
      <c r="AD490" s="6" t="s">
        <v>5173</v>
      </c>
      <c r="AE490" s="17"/>
    </row>
    <row r="491" spans="1:31" x14ac:dyDescent="0.25">
      <c r="A491" s="17" t="str">
        <f>IF(Worksheet!B487&lt;&gt;"",Worksheet!B487,"")</f>
        <v>TOSOT</v>
      </c>
      <c r="B491" t="str">
        <f>Worksheet!E487</f>
        <v>Мульти сплит система</v>
      </c>
      <c r="C491" s="21">
        <f>IF(Worksheet!M487&lt;&gt;"",MID(Worksheet!M487,1,FIND(" ",Worksheet!M487,1)-1),"")*1</f>
        <v>8</v>
      </c>
      <c r="D491">
        <f t="shared" si="21"/>
        <v>80</v>
      </c>
      <c r="E491" t="str">
        <f>IF(Worksheet!L487&lt;&gt;"",IF(Worksheet!L487="Y","да","нет"),"")</f>
        <v>да</v>
      </c>
      <c r="F491" s="21">
        <f>IF(Worksheet!N487&lt;&gt;"",MID(Worksheet!N487,1,FIND(" ",Worksheet!N487,1)-1),"")*1</f>
        <v>9.5</v>
      </c>
      <c r="G491">
        <f>IF(Worksheet!O487&lt;&gt;"",Worksheet!O487,"")</f>
        <v>2.12</v>
      </c>
      <c r="H491">
        <f>IF(Worksheet!P487&lt;&gt;"",Worksheet!P487,"")</f>
        <v>2.2000000000000002</v>
      </c>
      <c r="I491" s="6"/>
      <c r="J491" s="6"/>
      <c r="K491" t="str">
        <f>IF(Worksheet!BI487&lt;&gt;"",Worksheet!BI487,"")</f>
        <v>1 / 220 / 50</v>
      </c>
      <c r="L491" t="str">
        <f>IF(Worksheet!AU487&lt;&gt;"",Worksheet!AU487,"")</f>
        <v>R32</v>
      </c>
      <c r="M491" s="6"/>
      <c r="N491" s="6"/>
      <c r="O491" t="str">
        <f>IF(Worksheet!CR487&lt;&gt;"",CONCATENATE(Worksheet!CR487," х ",Worksheet!CP487," х ",Worksheet!CT487),"")</f>
        <v/>
      </c>
      <c r="P491" t="str">
        <f>IF(Worksheet!CS487&lt;&gt;"",CONCATENATE(Worksheet!CS487," х ",Worksheet!CU487," х ",Worksheet!CQ487),"")</f>
        <v/>
      </c>
      <c r="Q491" t="str">
        <f>IF(Worksheet!CV487&lt;&gt;"",CONCATENATE(Worksheet!CV487," / ",Worksheet!CW487),"")</f>
        <v/>
      </c>
      <c r="R491" t="str">
        <f>IF(Worksheet!BS487&lt;&gt;"",Worksheet!BS487,"")</f>
        <v/>
      </c>
      <c r="S491" t="str">
        <f>IF(Worksheet!AL487&lt;&gt;"",Worksheet!AL487,"")</f>
        <v>Gree</v>
      </c>
      <c r="T491" t="str">
        <f>IF(Worksheet!CJ487&lt;&gt;"",CONCATENATE(Worksheet!CJ487," х ",Worksheet!CL487," х ",Worksheet!CH487),"")</f>
        <v/>
      </c>
      <c r="U491" t="str">
        <f>IF(Worksheet!CK487&lt;&gt;"",CONCATENATE(Worksheet!CK487," х ",Worksheet!CM487," х ",Worksheet!CI487),"")</f>
        <v/>
      </c>
      <c r="V491" t="str">
        <f>IF(Worksheet!CN487&lt;&gt;"",CONCATENATE(Worksheet!CN487,"/",Worksheet!CO487),"")</f>
        <v/>
      </c>
      <c r="W491" s="6"/>
      <c r="X491" s="25"/>
      <c r="Y491" s="25"/>
      <c r="Z491" s="17">
        <f>IF(Worksheet!Q487&lt;&gt;"",Worksheet!Q487,"")</f>
        <v>70</v>
      </c>
      <c r="AA491" s="17">
        <f>IF(Worksheet!R487&lt;&gt;"",Worksheet!R487,"")</f>
        <v>15</v>
      </c>
      <c r="AB491" t="str">
        <f>IF(Worksheet!X487&lt;&gt;"",CONCATENATE("от ",Worksheet!X487," до +",Worksheet!Y487),"")</f>
        <v>от -15 до +43</v>
      </c>
      <c r="AC491" t="str">
        <f>IF(Worksheet!Z487&lt;&gt;"",CONCATENATE("от ",Worksheet!Z487," до +",Worksheet!AA487),"")</f>
        <v>от -22 до +24</v>
      </c>
      <c r="AD491" s="6" t="s">
        <v>5173</v>
      </c>
      <c r="AE491" s="17"/>
    </row>
    <row r="492" spans="1:31" x14ac:dyDescent="0.25">
      <c r="A492" s="17" t="str">
        <f>IF(Worksheet!B488&lt;&gt;"",Worksheet!B488,"")</f>
        <v>TOSOT</v>
      </c>
      <c r="B492" t="str">
        <f>Worksheet!E488</f>
        <v>Мульти сплит система</v>
      </c>
      <c r="C492" s="21">
        <f>IF(Worksheet!M488&lt;&gt;"",MID(Worksheet!M488,1,FIND(" ",Worksheet!M488,1)-1),"")*1</f>
        <v>10.5</v>
      </c>
      <c r="D492">
        <f t="shared" si="21"/>
        <v>100</v>
      </c>
      <c r="E492" t="str">
        <f>IF(Worksheet!L488&lt;&gt;"",IF(Worksheet!L488="Y","да","нет"),"")</f>
        <v>да</v>
      </c>
      <c r="F492" s="21">
        <f>IF(Worksheet!N488&lt;&gt;"",MID(Worksheet!N488,1,FIND(" ",Worksheet!N488,1)-1),"")*1</f>
        <v>12</v>
      </c>
      <c r="G492">
        <f>IF(Worksheet!O488&lt;&gt;"",Worksheet!O488,"")</f>
        <v>3.1</v>
      </c>
      <c r="H492">
        <f>IF(Worksheet!P488&lt;&gt;"",Worksheet!P488,"")</f>
        <v>3.2</v>
      </c>
      <c r="I492" s="6"/>
      <c r="J492" s="6"/>
      <c r="K492" t="str">
        <f>IF(Worksheet!BI488&lt;&gt;"",Worksheet!BI488,"")</f>
        <v>1 / 220 / 50</v>
      </c>
      <c r="L492" t="str">
        <f>IF(Worksheet!AU488&lt;&gt;"",Worksheet!AU488,"")</f>
        <v>R32</v>
      </c>
      <c r="M492" s="6"/>
      <c r="N492" s="6"/>
      <c r="O492" t="str">
        <f>IF(Worksheet!CR488&lt;&gt;"",CONCATENATE(Worksheet!CR488," х ",Worksheet!CP488," х ",Worksheet!CT488),"")</f>
        <v/>
      </c>
      <c r="P492" t="str">
        <f>IF(Worksheet!CS488&lt;&gt;"",CONCATENATE(Worksheet!CS488," х ",Worksheet!CU488," х ",Worksheet!CQ488),"")</f>
        <v/>
      </c>
      <c r="Q492" t="str">
        <f>IF(Worksheet!CV488&lt;&gt;"",CONCATENATE(Worksheet!CV488," / ",Worksheet!CW488),"")</f>
        <v/>
      </c>
      <c r="R492" t="str">
        <f>IF(Worksheet!BS488&lt;&gt;"",Worksheet!BS488,"")</f>
        <v/>
      </c>
      <c r="S492" t="str">
        <f>IF(Worksheet!AL488&lt;&gt;"",Worksheet!AL488,"")</f>
        <v>Gree</v>
      </c>
      <c r="T492" t="str">
        <f>IF(Worksheet!CJ488&lt;&gt;"",CONCATENATE(Worksheet!CJ488," х ",Worksheet!CL488," х ",Worksheet!CH488),"")</f>
        <v/>
      </c>
      <c r="U492" t="str">
        <f>IF(Worksheet!CK488&lt;&gt;"",CONCATENATE(Worksheet!CK488," х ",Worksheet!CM488," х ",Worksheet!CI488),"")</f>
        <v/>
      </c>
      <c r="V492" t="str">
        <f>IF(Worksheet!CN488&lt;&gt;"",CONCATENATE(Worksheet!CN488,"/",Worksheet!CO488),"")</f>
        <v/>
      </c>
      <c r="W492" s="6"/>
      <c r="X492" s="25"/>
      <c r="Y492" s="25"/>
      <c r="Z492" s="17">
        <f>IF(Worksheet!Q488&lt;&gt;"",Worksheet!Q488,"")</f>
        <v>75</v>
      </c>
      <c r="AA492" s="17">
        <f>IF(Worksheet!R488&lt;&gt;"",Worksheet!R488,"")</f>
        <v>15</v>
      </c>
      <c r="AB492" t="str">
        <f>IF(Worksheet!X488&lt;&gt;"",CONCATENATE("от ",Worksheet!X488," до +",Worksheet!Y488),"")</f>
        <v>от -15 до +43</v>
      </c>
      <c r="AC492" t="str">
        <f>IF(Worksheet!Z488&lt;&gt;"",CONCATENATE("от ",Worksheet!Z488," до +",Worksheet!AA488),"")</f>
        <v>от -22 до +24</v>
      </c>
      <c r="AD492" s="6" t="s">
        <v>5173</v>
      </c>
      <c r="AE492" s="17"/>
    </row>
    <row r="493" spans="1:31" x14ac:dyDescent="0.25">
      <c r="A493" s="17" t="str">
        <f>IF(Worksheet!B489&lt;&gt;"",Worksheet!B489,"")</f>
        <v>TOSOT</v>
      </c>
      <c r="B493" t="str">
        <f>Worksheet!E489</f>
        <v>Мульти сплит система</v>
      </c>
      <c r="C493" s="21">
        <f>IF(Worksheet!M489&lt;&gt;"",MID(Worksheet!M489,1,FIND(" ",Worksheet!M489,1)-1),"")*1</f>
        <v>12</v>
      </c>
      <c r="D493">
        <f t="shared" si="21"/>
        <v>120</v>
      </c>
      <c r="E493" t="str">
        <f>IF(Worksheet!L489&lt;&gt;"",IF(Worksheet!L489="Y","да","нет"),"")</f>
        <v>да</v>
      </c>
      <c r="F493" s="21">
        <f>IF(Worksheet!N489&lt;&gt;"",MID(Worksheet!N489,1,FIND(" ",Worksheet!N489,1)-1),"")*1</f>
        <v>13</v>
      </c>
      <c r="G493">
        <f>IF(Worksheet!O489&lt;&gt;"",Worksheet!O489,"")</f>
        <v>3.45</v>
      </c>
      <c r="H493">
        <f>IF(Worksheet!P489&lt;&gt;"",Worksheet!P489,"")</f>
        <v>3.5</v>
      </c>
      <c r="I493" s="6"/>
      <c r="J493" s="6"/>
      <c r="K493" t="str">
        <f>IF(Worksheet!BI489&lt;&gt;"",Worksheet!BI489,"")</f>
        <v>1 / 220 / 50</v>
      </c>
      <c r="L493" t="str">
        <f>IF(Worksheet!AU489&lt;&gt;"",Worksheet!AU489,"")</f>
        <v>R32</v>
      </c>
      <c r="M493" s="6"/>
      <c r="N493" s="6"/>
      <c r="O493" t="str">
        <f>IF(Worksheet!CR489&lt;&gt;"",CONCATENATE(Worksheet!CR489," х ",Worksheet!CP489," х ",Worksheet!CT489),"")</f>
        <v/>
      </c>
      <c r="P493" t="str">
        <f>IF(Worksheet!CS489&lt;&gt;"",CONCATENATE(Worksheet!CS489," х ",Worksheet!CU489," х ",Worksheet!CQ489),"")</f>
        <v/>
      </c>
      <c r="Q493" t="str">
        <f>IF(Worksheet!CV489&lt;&gt;"",CONCATENATE(Worksheet!CV489," / ",Worksheet!CW489),"")</f>
        <v/>
      </c>
      <c r="R493" t="str">
        <f>IF(Worksheet!BS489&lt;&gt;"",Worksheet!BS489,"")</f>
        <v/>
      </c>
      <c r="S493" t="str">
        <f>IF(Worksheet!AL489&lt;&gt;"",Worksheet!AL489,"")</f>
        <v>Gree</v>
      </c>
      <c r="T493" t="str">
        <f>IF(Worksheet!CJ489&lt;&gt;"",CONCATENATE(Worksheet!CJ489," х ",Worksheet!CL489," х ",Worksheet!CH489),"")</f>
        <v/>
      </c>
      <c r="U493" t="str">
        <f>IF(Worksheet!CK489&lt;&gt;"",CONCATENATE(Worksheet!CK489," х ",Worksheet!CM489," х ",Worksheet!CI489),"")</f>
        <v/>
      </c>
      <c r="V493" t="str">
        <f>IF(Worksheet!CN489&lt;&gt;"",CONCATENATE(Worksheet!CN489,"/",Worksheet!CO489),"")</f>
        <v/>
      </c>
      <c r="W493" s="6"/>
      <c r="X493" s="25"/>
      <c r="Y493" s="25"/>
      <c r="Z493" s="17">
        <f>IF(Worksheet!Q489&lt;&gt;"",Worksheet!Q489,"")</f>
        <v>75</v>
      </c>
      <c r="AA493" s="17">
        <f>IF(Worksheet!R489&lt;&gt;"",Worksheet!R489,"")</f>
        <v>15</v>
      </c>
      <c r="AB493" t="str">
        <f>IF(Worksheet!X489&lt;&gt;"",CONCATENATE("от ",Worksheet!X489," до +",Worksheet!Y489),"")</f>
        <v>от -15 до +43</v>
      </c>
      <c r="AC493" t="str">
        <f>IF(Worksheet!Z489&lt;&gt;"",CONCATENATE("от ",Worksheet!Z489," до +",Worksheet!AA489),"")</f>
        <v>от -22 до +24</v>
      </c>
      <c r="AD493" s="6" t="s">
        <v>5173</v>
      </c>
      <c r="AE493" s="17"/>
    </row>
    <row r="494" spans="1:31" x14ac:dyDescent="0.25">
      <c r="A494" s="17" t="str">
        <f>IF(Worksheet!B490&lt;&gt;"",Worksheet!B490,"")</f>
        <v>TOSOT</v>
      </c>
      <c r="B494" t="str">
        <f>Worksheet!E490</f>
        <v>Мульти сплит система</v>
      </c>
      <c r="C494" s="21">
        <f>IF(Worksheet!M490&lt;&gt;"",MID(Worksheet!M490,1,FIND(" ",Worksheet!M490,1)-1),"")*1</f>
        <v>12.1</v>
      </c>
      <c r="D494">
        <f t="shared" si="21"/>
        <v>120</v>
      </c>
      <c r="E494" t="str">
        <f>IF(Worksheet!L490&lt;&gt;"",IF(Worksheet!L490="Y","да","нет"),"")</f>
        <v>да</v>
      </c>
      <c r="F494" s="21">
        <f>IF(Worksheet!N490&lt;&gt;"",MID(Worksheet!N490,1,FIND(" ",Worksheet!N490,1)-1),"")*1</f>
        <v>12.5</v>
      </c>
      <c r="G494">
        <f>IF(Worksheet!O490&lt;&gt;"",Worksheet!O490,"")</f>
        <v>4.0999999999999996</v>
      </c>
      <c r="H494">
        <f>IF(Worksheet!P490&lt;&gt;"",Worksheet!P490,"")</f>
        <v>3.7</v>
      </c>
      <c r="I494" s="6"/>
      <c r="J494" s="6"/>
      <c r="K494" t="str">
        <f>IF(Worksheet!BI490&lt;&gt;"",Worksheet!BI490,"")</f>
        <v>1 / 220 / 50</v>
      </c>
      <c r="L494" t="str">
        <f>IF(Worksheet!AU490&lt;&gt;"",Worksheet!AU490,"")</f>
        <v>R410A</v>
      </c>
      <c r="M494" s="6"/>
      <c r="N494" s="6"/>
      <c r="O494" t="str">
        <f>IF(Worksheet!CR490&lt;&gt;"",CONCATENATE(Worksheet!CR490," х ",Worksheet!CP490," х ",Worksheet!CT490),"")</f>
        <v/>
      </c>
      <c r="P494" t="str">
        <f>IF(Worksheet!CS490&lt;&gt;"",CONCATENATE(Worksheet!CS490," х ",Worksheet!CU490," х ",Worksheet!CQ490),"")</f>
        <v/>
      </c>
      <c r="Q494" t="str">
        <f>IF(Worksheet!CV490&lt;&gt;"",CONCATENATE(Worksheet!CV490," / ",Worksheet!CW490),"")</f>
        <v/>
      </c>
      <c r="R494" t="str">
        <f>IF(Worksheet!BS490&lt;&gt;"",Worksheet!BS490,"")</f>
        <v/>
      </c>
      <c r="S494" t="str">
        <f>IF(Worksheet!AL490&lt;&gt;"",Worksheet!AL490,"")</f>
        <v>Gree</v>
      </c>
      <c r="T494" t="str">
        <f>IF(Worksheet!CJ490&lt;&gt;"",CONCATENATE(Worksheet!CJ490," х ",Worksheet!CL490," х ",Worksheet!CH490),"")</f>
        <v/>
      </c>
      <c r="U494" t="str">
        <f>IF(Worksheet!CK490&lt;&gt;"",CONCATENATE(Worksheet!CK490," х ",Worksheet!CM490," х ",Worksheet!CI490),"")</f>
        <v/>
      </c>
      <c r="V494" t="str">
        <f>IF(Worksheet!CN490&lt;&gt;"",CONCATENATE(Worksheet!CN490,"/",Worksheet!CO490),"")</f>
        <v/>
      </c>
      <c r="W494" s="6"/>
      <c r="X494" s="7">
        <f>IF(Worksheet!AN490&lt;&gt;"",Worksheet!AN490,"")</f>
        <v>9.5</v>
      </c>
      <c r="Y494" s="7">
        <f>IF(Worksheet!AO490&lt;&gt;"",Worksheet!AO490,"")</f>
        <v>16</v>
      </c>
      <c r="Z494" s="17">
        <f>IF(Worksheet!Q490&lt;&gt;"",Worksheet!Q490,"")</f>
        <v>115</v>
      </c>
      <c r="AA494" s="17">
        <f>IF(Worksheet!R490&lt;&gt;"",Worksheet!R490,"")</f>
        <v>30</v>
      </c>
      <c r="AB494" t="str">
        <f>IF(Worksheet!X490&lt;&gt;"",CONCATENATE("от ",Worksheet!X490," до +",Worksheet!Y490),"")</f>
        <v>от 18 до +48</v>
      </c>
      <c r="AC494" t="str">
        <f>IF(Worksheet!Z490&lt;&gt;"",CONCATENATE("от ",Worksheet!Z490," до +",Worksheet!AA490),"")</f>
        <v>от -10 до +24</v>
      </c>
      <c r="AD494" s="6" t="s">
        <v>5173</v>
      </c>
      <c r="AE494" s="17"/>
    </row>
    <row r="495" spans="1:31" x14ac:dyDescent="0.25">
      <c r="A495" s="17" t="str">
        <f>IF(Worksheet!B491&lt;&gt;"",Worksheet!B491,"")</f>
        <v>TOSOT</v>
      </c>
      <c r="B495" t="str">
        <f>Worksheet!E491</f>
        <v>Мульти сплит система</v>
      </c>
      <c r="C495" s="21">
        <f>IF(Worksheet!M491&lt;&gt;"",MID(Worksheet!M491,1,FIND(" ",Worksheet!M491,1)-1),"")*1</f>
        <v>14</v>
      </c>
      <c r="D495">
        <f t="shared" si="21"/>
        <v>140</v>
      </c>
      <c r="E495" t="str">
        <f>IF(Worksheet!L491&lt;&gt;"",IF(Worksheet!L491="Y","да","нет"),"")</f>
        <v>да</v>
      </c>
      <c r="F495" s="21">
        <f>IF(Worksheet!N491&lt;&gt;"",MID(Worksheet!N491,1,FIND(" ",Worksheet!N491,1)-1),"")*1</f>
        <v>15.5</v>
      </c>
      <c r="G495">
        <f>IF(Worksheet!O491&lt;&gt;"",Worksheet!O491,"")</f>
        <v>4.9000000000000004</v>
      </c>
      <c r="H495">
        <f>IF(Worksheet!P491&lt;&gt;"",Worksheet!P491,"")</f>
        <v>4.3</v>
      </c>
      <c r="I495" s="6"/>
      <c r="J495" s="6"/>
      <c r="K495" t="str">
        <f>IF(Worksheet!BI491&lt;&gt;"",Worksheet!BI491,"")</f>
        <v>1 / 220 / 50</v>
      </c>
      <c r="L495" t="str">
        <f>IF(Worksheet!AU491&lt;&gt;"",Worksheet!AU491,"")</f>
        <v>R410A</v>
      </c>
      <c r="M495" s="6"/>
      <c r="N495" s="6"/>
      <c r="O495" t="str">
        <f>IF(Worksheet!CR491&lt;&gt;"",CONCATENATE(Worksheet!CR491," х ",Worksheet!CP491," х ",Worksheet!CT491),"")</f>
        <v/>
      </c>
      <c r="P495" t="str">
        <f>IF(Worksheet!CS491&lt;&gt;"",CONCATENATE(Worksheet!CS491," х ",Worksheet!CU491," х ",Worksheet!CQ491),"")</f>
        <v/>
      </c>
      <c r="Q495" t="str">
        <f>IF(Worksheet!CV491&lt;&gt;"",CONCATENATE(Worksheet!CV491," / ",Worksheet!CW491),"")</f>
        <v/>
      </c>
      <c r="R495" t="str">
        <f>IF(Worksheet!BS491&lt;&gt;"",Worksheet!BS491,"")</f>
        <v/>
      </c>
      <c r="S495" t="str">
        <f>IF(Worksheet!AL491&lt;&gt;"",Worksheet!AL491,"")</f>
        <v>Gree</v>
      </c>
      <c r="T495" t="str">
        <f>IF(Worksheet!CJ491&lt;&gt;"",CONCATENATE(Worksheet!CJ491," х ",Worksheet!CL491," х ",Worksheet!CH491),"")</f>
        <v/>
      </c>
      <c r="U495" t="str">
        <f>IF(Worksheet!CK491&lt;&gt;"",CONCATENATE(Worksheet!CK491," х ",Worksheet!CM491," х ",Worksheet!CI491),"")</f>
        <v/>
      </c>
      <c r="V495" t="str">
        <f>IF(Worksheet!CN491&lt;&gt;"",CONCATENATE(Worksheet!CN491,"/",Worksheet!CO491),"")</f>
        <v/>
      </c>
      <c r="W495" s="6"/>
      <c r="X495" s="7">
        <f>IF(Worksheet!AN491&lt;&gt;"",Worksheet!AN491,"")</f>
        <v>9.5</v>
      </c>
      <c r="Y495" s="7">
        <f>IF(Worksheet!AO491&lt;&gt;"",Worksheet!AO491,"")</f>
        <v>16</v>
      </c>
      <c r="Z495" s="17">
        <f>IF(Worksheet!Q491&lt;&gt;"",Worksheet!Q491,"")</f>
        <v>135</v>
      </c>
      <c r="AA495" s="17">
        <f>IF(Worksheet!R491&lt;&gt;"",Worksheet!R491,"")</f>
        <v>30</v>
      </c>
      <c r="AB495" t="str">
        <f>IF(Worksheet!X491&lt;&gt;"",CONCATENATE("от ",Worksheet!X491," до +",Worksheet!Y491),"")</f>
        <v>от 18 до +48</v>
      </c>
      <c r="AC495" t="str">
        <f>IF(Worksheet!Z491&lt;&gt;"",CONCATENATE("от ",Worksheet!Z491," до +",Worksheet!AA491),"")</f>
        <v>от -10 до +24</v>
      </c>
      <c r="AD495" s="6" t="s">
        <v>5173</v>
      </c>
      <c r="AE495" s="17"/>
    </row>
    <row r="496" spans="1:31" x14ac:dyDescent="0.25">
      <c r="A496" s="17" t="str">
        <f>IF(Worksheet!B492&lt;&gt;"",Worksheet!B492,"")</f>
        <v>TOSOT</v>
      </c>
      <c r="B496" t="str">
        <f>Worksheet!E492</f>
        <v>Мульти сплит система</v>
      </c>
      <c r="C496" s="21">
        <f>IF(Worksheet!M492&lt;&gt;"",MID(Worksheet!M492,1,FIND(" ",Worksheet!M492,1)-1),"")*1</f>
        <v>14</v>
      </c>
      <c r="D496">
        <f t="shared" si="21"/>
        <v>140</v>
      </c>
      <c r="E496" t="str">
        <f>IF(Worksheet!L492&lt;&gt;"",IF(Worksheet!L492="Y","да","нет"),"")</f>
        <v>да</v>
      </c>
      <c r="F496" s="21">
        <f>IF(Worksheet!N492&lt;&gt;"",MID(Worksheet!N492,1,FIND(" ",Worksheet!N492,1)-1),"")*1</f>
        <v>16</v>
      </c>
      <c r="G496">
        <f>IF(Worksheet!O492&lt;&gt;"",Worksheet!O492,"")</f>
        <v>4.4000000000000004</v>
      </c>
      <c r="H496">
        <f>IF(Worksheet!P492&lt;&gt;"",Worksheet!P492,"")</f>
        <v>4.25</v>
      </c>
      <c r="I496" s="6"/>
      <c r="J496" s="6"/>
      <c r="K496" t="str">
        <f>IF(Worksheet!BI492&lt;&gt;"",Worksheet!BI492,"")</f>
        <v>3 / 380 / 50</v>
      </c>
      <c r="L496" t="str">
        <f>IF(Worksheet!AU492&lt;&gt;"",Worksheet!AU492,"")</f>
        <v>R410A</v>
      </c>
      <c r="M496" s="6"/>
      <c r="N496" s="6"/>
      <c r="O496" t="str">
        <f>IF(Worksheet!CR492&lt;&gt;"",CONCATENATE(Worksheet!CR492," х ",Worksheet!CP492," х ",Worksheet!CT492),"")</f>
        <v/>
      </c>
      <c r="P496" t="str">
        <f>IF(Worksheet!CS492&lt;&gt;"",CONCATENATE(Worksheet!CS492," х ",Worksheet!CU492," х ",Worksheet!CQ492),"")</f>
        <v/>
      </c>
      <c r="Q496" t="str">
        <f>IF(Worksheet!CV492&lt;&gt;"",CONCATENATE(Worksheet!CV492," / ",Worksheet!CW492),"")</f>
        <v/>
      </c>
      <c r="R496" t="str">
        <f>IF(Worksheet!BS492&lt;&gt;"",Worksheet!BS492,"")</f>
        <v/>
      </c>
      <c r="S496" t="str">
        <f>IF(Worksheet!AL492&lt;&gt;"",Worksheet!AL492,"")</f>
        <v>Gree</v>
      </c>
      <c r="T496" t="str">
        <f>IF(Worksheet!CJ492&lt;&gt;"",CONCATENATE(Worksheet!CJ492," х ",Worksheet!CL492," х ",Worksheet!CH492),"")</f>
        <v/>
      </c>
      <c r="U496" t="str">
        <f>IF(Worksheet!CK492&lt;&gt;"",CONCATENATE(Worksheet!CK492," х ",Worksheet!CM492," х ",Worksheet!CI492),"")</f>
        <v/>
      </c>
      <c r="V496" t="str">
        <f>IF(Worksheet!CN492&lt;&gt;"",CONCATENATE(Worksheet!CN492,"/",Worksheet!CO492),"")</f>
        <v/>
      </c>
      <c r="W496" s="6"/>
      <c r="X496" s="7">
        <f>IF(Worksheet!AN492&lt;&gt;"",Worksheet!AN492,"")</f>
        <v>9.5</v>
      </c>
      <c r="Y496" s="7">
        <f>IF(Worksheet!AO492&lt;&gt;"",Worksheet!AO492,"")</f>
        <v>16</v>
      </c>
      <c r="Z496" s="17">
        <f>IF(Worksheet!Q492&lt;&gt;"",Worksheet!Q492,"")</f>
        <v>135</v>
      </c>
      <c r="AA496" s="17">
        <f>IF(Worksheet!R492&lt;&gt;"",Worksheet!R492,"")</f>
        <v>30</v>
      </c>
      <c r="AB496" t="str">
        <f>IF(Worksheet!X492&lt;&gt;"",CONCATENATE("от ",Worksheet!X492," до +",Worksheet!Y492),"")</f>
        <v>от 10 до +48</v>
      </c>
      <c r="AC496" t="str">
        <f>IF(Worksheet!Z492&lt;&gt;"",CONCATENATE("от ",Worksheet!Z492," до +",Worksheet!AA492),"")</f>
        <v>от -15 до +27</v>
      </c>
      <c r="AD496" s="6" t="s">
        <v>5173</v>
      </c>
      <c r="AE496" s="17"/>
    </row>
    <row r="497" spans="1:31" x14ac:dyDescent="0.25">
      <c r="A497" s="17" t="str">
        <f>IF(Worksheet!B493&lt;&gt;"",Worksheet!B493,"")</f>
        <v>TOSOT</v>
      </c>
      <c r="B497" t="str">
        <f>Worksheet!E493</f>
        <v>Мульти сплит система</v>
      </c>
      <c r="C497" s="21">
        <f>IF(Worksheet!M493&lt;&gt;"",MID(Worksheet!M493,1,FIND(" ",Worksheet!M493,1)-1),"")*1</f>
        <v>15.5</v>
      </c>
      <c r="D497">
        <f t="shared" si="21"/>
        <v>150</v>
      </c>
      <c r="E497" t="str">
        <f>IF(Worksheet!L493&lt;&gt;"",IF(Worksheet!L493="Y","да","нет"),"")</f>
        <v>да</v>
      </c>
      <c r="F497" s="21">
        <f>IF(Worksheet!N493&lt;&gt;"",MID(Worksheet!N493,1,FIND(" ",Worksheet!N493,1)-1),"")*1</f>
        <v>17.5</v>
      </c>
      <c r="G497">
        <f>IF(Worksheet!O493&lt;&gt;"",Worksheet!O493,"")</f>
        <v>5.3</v>
      </c>
      <c r="H497">
        <f>IF(Worksheet!P493&lt;&gt;"",Worksheet!P493,"")</f>
        <v>4.8</v>
      </c>
      <c r="I497" s="6"/>
      <c r="J497" s="6"/>
      <c r="K497" t="str">
        <f>IF(Worksheet!BI493&lt;&gt;"",Worksheet!BI493,"")</f>
        <v>1 / 220 / 50</v>
      </c>
      <c r="L497" t="str">
        <f>IF(Worksheet!AU493&lt;&gt;"",Worksheet!AU493,"")</f>
        <v>R410A</v>
      </c>
      <c r="M497" s="6"/>
      <c r="N497" s="6"/>
      <c r="O497" t="str">
        <f>IF(Worksheet!CR493&lt;&gt;"",CONCATENATE(Worksheet!CR493," х ",Worksheet!CP493," х ",Worksheet!CT493),"")</f>
        <v/>
      </c>
      <c r="P497" t="str">
        <f>IF(Worksheet!CS493&lt;&gt;"",CONCATENATE(Worksheet!CS493," х ",Worksheet!CU493," х ",Worksheet!CQ493),"")</f>
        <v/>
      </c>
      <c r="Q497" t="str">
        <f>IF(Worksheet!CV493&lt;&gt;"",CONCATENATE(Worksheet!CV493," / ",Worksheet!CW493),"")</f>
        <v/>
      </c>
      <c r="R497" t="str">
        <f>IF(Worksheet!BS493&lt;&gt;"",Worksheet!BS493,"")</f>
        <v/>
      </c>
      <c r="S497" t="str">
        <f>IF(Worksheet!AL493&lt;&gt;"",Worksheet!AL493,"")</f>
        <v>Gree</v>
      </c>
      <c r="T497" t="str">
        <f>IF(Worksheet!CJ493&lt;&gt;"",CONCATENATE(Worksheet!CJ493," х ",Worksheet!CL493," х ",Worksheet!CH493),"")</f>
        <v/>
      </c>
      <c r="U497" t="str">
        <f>IF(Worksheet!CK493&lt;&gt;"",CONCATENATE(Worksheet!CK493," х ",Worksheet!CM493," х ",Worksheet!CI493),"")</f>
        <v/>
      </c>
      <c r="V497" t="str">
        <f>IF(Worksheet!CN493&lt;&gt;"",CONCATENATE(Worksheet!CN493,"/",Worksheet!CO493),"")</f>
        <v/>
      </c>
      <c r="W497" s="6"/>
      <c r="X497" s="7">
        <f>IF(Worksheet!AN493&lt;&gt;"",Worksheet!AN493,"")</f>
        <v>9.5</v>
      </c>
      <c r="Y497" s="7">
        <f>IF(Worksheet!AO493&lt;&gt;"",Worksheet!AO493,"")</f>
        <v>16</v>
      </c>
      <c r="Z497" s="17">
        <f>IF(Worksheet!Q493&lt;&gt;"",Worksheet!Q493,"")</f>
        <v>145</v>
      </c>
      <c r="AA497" s="17">
        <f>IF(Worksheet!R493&lt;&gt;"",Worksheet!R493,"")</f>
        <v>30</v>
      </c>
      <c r="AB497" t="str">
        <f>IF(Worksheet!X493&lt;&gt;"",CONCATENATE("от ",Worksheet!X493," до +",Worksheet!Y493),"")</f>
        <v>от 18 до +48</v>
      </c>
      <c r="AC497" t="str">
        <f>IF(Worksheet!Z493&lt;&gt;"",CONCATENATE("от ",Worksheet!Z493," до +",Worksheet!AA493),"")</f>
        <v>от -10 до +24</v>
      </c>
      <c r="AD497" s="6" t="s">
        <v>5173</v>
      </c>
      <c r="AE497" s="17"/>
    </row>
    <row r="498" spans="1:31" x14ac:dyDescent="0.25">
      <c r="A498" s="17" t="str">
        <f>IF(Worksheet!B494&lt;&gt;"",Worksheet!B494,"")</f>
        <v>TOSOT</v>
      </c>
      <c r="B498" t="str">
        <f>Worksheet!E494</f>
        <v>Мульти сплит система</v>
      </c>
      <c r="C498" s="21">
        <f>IF(Worksheet!M494&lt;&gt;"",MID(Worksheet!M494,1,FIND(" ",Worksheet!M494,1)-1),"")*1</f>
        <v>16</v>
      </c>
      <c r="D498">
        <f t="shared" si="21"/>
        <v>160</v>
      </c>
      <c r="E498" t="str">
        <f>IF(Worksheet!L494&lt;&gt;"",IF(Worksheet!L494="Y","да","нет"),"")</f>
        <v>да</v>
      </c>
      <c r="F498" s="21">
        <f>IF(Worksheet!N494&lt;&gt;"",MID(Worksheet!N494,1,FIND(" ",Worksheet!N494,1)-1),"")*1</f>
        <v>18</v>
      </c>
      <c r="G498">
        <f>IF(Worksheet!O494&lt;&gt;"",Worksheet!O494,"")</f>
        <v>5</v>
      </c>
      <c r="H498">
        <f>IF(Worksheet!P494&lt;&gt;"",Worksheet!P494,"")</f>
        <v>4.7</v>
      </c>
      <c r="I498" s="6"/>
      <c r="J498" s="6"/>
      <c r="K498" t="str">
        <f>IF(Worksheet!BI494&lt;&gt;"",Worksheet!BI494,"")</f>
        <v>3 / 380 / 50</v>
      </c>
      <c r="L498" t="str">
        <f>IF(Worksheet!AU494&lt;&gt;"",Worksheet!AU494,"")</f>
        <v>R410A</v>
      </c>
      <c r="M498" s="6"/>
      <c r="N498" s="6"/>
      <c r="O498" t="str">
        <f>IF(Worksheet!CR494&lt;&gt;"",CONCATENATE(Worksheet!CR494," х ",Worksheet!CP494," х ",Worksheet!CT494),"")</f>
        <v/>
      </c>
      <c r="P498" t="str">
        <f>IF(Worksheet!CS494&lt;&gt;"",CONCATENATE(Worksheet!CS494," х ",Worksheet!CU494," х ",Worksheet!CQ494),"")</f>
        <v/>
      </c>
      <c r="Q498" t="str">
        <f>IF(Worksheet!CV494&lt;&gt;"",CONCATENATE(Worksheet!CV494," / ",Worksheet!CW494),"")</f>
        <v/>
      </c>
      <c r="R498" t="str">
        <f>IF(Worksheet!BS494&lt;&gt;"",Worksheet!BS494,"")</f>
        <v/>
      </c>
      <c r="S498" t="str">
        <f>IF(Worksheet!AL494&lt;&gt;"",Worksheet!AL494,"")</f>
        <v>Gree</v>
      </c>
      <c r="T498" t="str">
        <f>IF(Worksheet!CJ494&lt;&gt;"",CONCATENATE(Worksheet!CJ494," х ",Worksheet!CL494," х ",Worksheet!CH494),"")</f>
        <v/>
      </c>
      <c r="U498" t="str">
        <f>IF(Worksheet!CK494&lt;&gt;"",CONCATENATE(Worksheet!CK494," х ",Worksheet!CM494," х ",Worksheet!CI494),"")</f>
        <v/>
      </c>
      <c r="V498" t="str">
        <f>IF(Worksheet!CN494&lt;&gt;"",CONCATENATE(Worksheet!CN494,"/",Worksheet!CO494),"")</f>
        <v/>
      </c>
      <c r="W498" s="6"/>
      <c r="X498" s="7">
        <f>IF(Worksheet!AN494&lt;&gt;"",Worksheet!AN494,"")</f>
        <v>9.5</v>
      </c>
      <c r="Y498" s="7">
        <f>IF(Worksheet!AO494&lt;&gt;"",Worksheet!AO494,"")</f>
        <v>19</v>
      </c>
      <c r="Z498" s="17">
        <f>IF(Worksheet!Q494&lt;&gt;"",Worksheet!Q494,"")</f>
        <v>145</v>
      </c>
      <c r="AA498" s="17">
        <f>IF(Worksheet!R494&lt;&gt;"",Worksheet!R494,"")</f>
        <v>30</v>
      </c>
      <c r="AB498" t="str">
        <f>IF(Worksheet!X494&lt;&gt;"",CONCATENATE("от ",Worksheet!X494," до +",Worksheet!Y494),"")</f>
        <v>от 10 до +48</v>
      </c>
      <c r="AC498" t="str">
        <f>IF(Worksheet!Z494&lt;&gt;"",CONCATENATE("от ",Worksheet!Z494," до +",Worksheet!AA494),"")</f>
        <v>от -15 до +27</v>
      </c>
      <c r="AD498" s="6" t="s">
        <v>5173</v>
      </c>
      <c r="AE498" s="17"/>
    </row>
    <row r="499" spans="1:31" x14ac:dyDescent="0.25">
      <c r="I499" s="6"/>
      <c r="J499" s="6"/>
      <c r="M499" s="6"/>
      <c r="N499" s="6"/>
      <c r="W499" s="6"/>
    </row>
    <row r="500" spans="1:31" x14ac:dyDescent="0.25">
      <c r="I500" s="6"/>
      <c r="J500" s="6"/>
      <c r="M500" s="6"/>
      <c r="N500" s="6"/>
      <c r="W500" s="6"/>
    </row>
    <row r="501" spans="1:31" x14ac:dyDescent="0.25">
      <c r="I501" s="6"/>
      <c r="J501" s="6"/>
      <c r="M501" s="6"/>
      <c r="N501" s="6"/>
      <c r="W501" s="6"/>
    </row>
    <row r="502" spans="1:31" x14ac:dyDescent="0.25">
      <c r="I502" s="6"/>
      <c r="J502" s="6"/>
      <c r="M502" s="6"/>
      <c r="N502" s="6"/>
      <c r="W502" s="6"/>
    </row>
  </sheetData>
  <autoFilter ref="B5:AD49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E498"/>
  <sheetViews>
    <sheetView topLeftCell="A42" workbookViewId="0">
      <selection activeCell="A63" sqref="A63"/>
    </sheetView>
  </sheetViews>
  <sheetFormatPr defaultRowHeight="15" x14ac:dyDescent="0.25"/>
  <cols>
    <col min="1" max="1" width="11.28515625" customWidth="1"/>
    <col min="2" max="2" width="13.5703125" customWidth="1"/>
    <col min="3" max="3" width="58.140625" customWidth="1"/>
    <col min="4" max="25" width="14.42578125" customWidth="1"/>
    <col min="26" max="26" width="72.7109375" customWidth="1"/>
    <col min="27" max="29" width="14.42578125" customWidth="1"/>
  </cols>
  <sheetData>
    <row r="1" spans="1:31" x14ac:dyDescent="0.25">
      <c r="A1" s="6" t="s">
        <v>5803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s="6"/>
    </row>
    <row r="2" spans="1:31" s="4" customFormat="1" ht="97.5" customHeight="1" x14ac:dyDescent="0.25">
      <c r="A2" s="20" t="s">
        <v>5804</v>
      </c>
      <c r="B2" s="4" t="s">
        <v>2154</v>
      </c>
      <c r="C2" s="4" t="s">
        <v>2155</v>
      </c>
      <c r="D2" s="4" t="s">
        <v>2156</v>
      </c>
      <c r="E2" s="4" t="s">
        <v>2157</v>
      </c>
      <c r="F2" s="4" t="s">
        <v>2158</v>
      </c>
      <c r="G2" s="4" t="s">
        <v>2159</v>
      </c>
      <c r="H2" s="4" t="s">
        <v>2160</v>
      </c>
      <c r="I2" s="5" t="s">
        <v>2161</v>
      </c>
      <c r="J2" s="5" t="s">
        <v>2162</v>
      </c>
      <c r="K2" s="4" t="s">
        <v>2163</v>
      </c>
      <c r="L2" s="4" t="s">
        <v>2164</v>
      </c>
      <c r="M2" s="5" t="s">
        <v>2165</v>
      </c>
      <c r="N2" s="5" t="s">
        <v>2166</v>
      </c>
      <c r="O2" s="4" t="s">
        <v>5250</v>
      </c>
      <c r="P2" s="4" t="s">
        <v>5251</v>
      </c>
      <c r="Q2" s="4" t="s">
        <v>2169</v>
      </c>
      <c r="R2" s="4" t="s">
        <v>2170</v>
      </c>
      <c r="S2" s="4" t="s">
        <v>2171</v>
      </c>
      <c r="T2" s="4" t="s">
        <v>5252</v>
      </c>
      <c r="U2" s="4" t="s">
        <v>5253</v>
      </c>
      <c r="V2" s="4" t="s">
        <v>2174</v>
      </c>
      <c r="W2" s="5" t="s">
        <v>2175</v>
      </c>
      <c r="X2" s="4" t="s">
        <v>2176</v>
      </c>
      <c r="Y2" s="4" t="s">
        <v>2177</v>
      </c>
      <c r="Z2" s="4" t="s">
        <v>2178</v>
      </c>
      <c r="AA2" s="4" t="s">
        <v>2179</v>
      </c>
      <c r="AB2" s="4" t="s">
        <v>2180</v>
      </c>
      <c r="AC2" s="4" t="s">
        <v>2181</v>
      </c>
      <c r="AE2" s="20"/>
    </row>
    <row r="3" spans="1:31" s="4" customFormat="1" ht="97.5" customHeight="1" x14ac:dyDescent="0.25">
      <c r="A3" s="4" t="s">
        <v>5806</v>
      </c>
      <c r="B3" s="4" t="s">
        <v>3761</v>
      </c>
      <c r="C3" s="4" t="s">
        <v>3762</v>
      </c>
      <c r="D3" s="4" t="s">
        <v>3762</v>
      </c>
      <c r="E3" s="4" t="s">
        <v>3761</v>
      </c>
      <c r="F3" s="4" t="s">
        <v>3762</v>
      </c>
      <c r="G3" s="4" t="s">
        <v>3762</v>
      </c>
      <c r="H3" s="4" t="s">
        <v>3761</v>
      </c>
      <c r="I3" s="4" t="s">
        <v>3761</v>
      </c>
      <c r="J3" s="4" t="s">
        <v>3761</v>
      </c>
      <c r="K3" s="4" t="s">
        <v>3761</v>
      </c>
      <c r="L3" s="4" t="s">
        <v>3761</v>
      </c>
      <c r="M3" s="4" t="s">
        <v>3762</v>
      </c>
      <c r="N3" s="4" t="s">
        <v>3761</v>
      </c>
      <c r="O3" s="4" t="s">
        <v>3761</v>
      </c>
      <c r="P3" s="4" t="s">
        <v>3761</v>
      </c>
      <c r="Q3" s="4" t="s">
        <v>3761</v>
      </c>
      <c r="R3" s="4" t="s">
        <v>3761</v>
      </c>
      <c r="S3" s="4" t="s">
        <v>3761</v>
      </c>
      <c r="T3" s="4" t="s">
        <v>3761</v>
      </c>
      <c r="U3" s="4" t="s">
        <v>3761</v>
      </c>
      <c r="V3" s="4" t="s">
        <v>3761</v>
      </c>
      <c r="W3" s="4" t="s">
        <v>3762</v>
      </c>
      <c r="X3" s="4" t="s">
        <v>3762</v>
      </c>
      <c r="Y3" s="4" t="s">
        <v>3762</v>
      </c>
      <c r="Z3" s="4" t="s">
        <v>3762</v>
      </c>
      <c r="AA3" s="4" t="s">
        <v>3761</v>
      </c>
      <c r="AB3" s="4" t="s">
        <v>3761</v>
      </c>
      <c r="AC3" s="4" t="s">
        <v>3761</v>
      </c>
    </row>
    <row r="4" spans="1:31" s="4" customFormat="1" ht="87" customHeight="1" x14ac:dyDescent="0.25">
      <c r="A4" s="16" t="s">
        <v>5805</v>
      </c>
      <c r="B4" s="16" t="s">
        <v>2182</v>
      </c>
      <c r="C4" s="16" t="s">
        <v>2183</v>
      </c>
      <c r="D4" s="4" t="s">
        <v>2184</v>
      </c>
      <c r="E4" s="4" t="s">
        <v>2185</v>
      </c>
      <c r="F4" s="4" t="s">
        <v>2186</v>
      </c>
      <c r="G4" s="4" t="s">
        <v>2187</v>
      </c>
      <c r="H4" s="4" t="s">
        <v>2188</v>
      </c>
      <c r="I4" s="5" t="s">
        <v>2189</v>
      </c>
      <c r="J4" s="5" t="s">
        <v>2190</v>
      </c>
      <c r="K4" s="4" t="s">
        <v>2191</v>
      </c>
      <c r="L4" s="4" t="s">
        <v>2192</v>
      </c>
      <c r="M4" s="5" t="s">
        <v>2193</v>
      </c>
      <c r="N4" s="5" t="s">
        <v>2194</v>
      </c>
      <c r="O4" s="4" t="s">
        <v>2195</v>
      </c>
      <c r="P4" s="4" t="s">
        <v>2196</v>
      </c>
      <c r="Q4" s="4" t="s">
        <v>2197</v>
      </c>
      <c r="R4" s="4" t="s">
        <v>2198</v>
      </c>
      <c r="S4" s="4" t="s">
        <v>2199</v>
      </c>
      <c r="T4" s="4" t="s">
        <v>2200</v>
      </c>
      <c r="U4" s="4" t="s">
        <v>2201</v>
      </c>
      <c r="V4" s="4" t="s">
        <v>2202</v>
      </c>
      <c r="W4" s="5" t="s">
        <v>2203</v>
      </c>
      <c r="X4" s="4" t="s">
        <v>2204</v>
      </c>
      <c r="Y4" s="4" t="s">
        <v>2205</v>
      </c>
      <c r="Z4" s="4" t="s">
        <v>2206</v>
      </c>
      <c r="AA4" s="4" t="s">
        <v>2207</v>
      </c>
      <c r="AB4" s="4" t="s">
        <v>2208</v>
      </c>
      <c r="AC4" s="4" t="s">
        <v>2209</v>
      </c>
      <c r="AE4" s="16"/>
    </row>
    <row r="5" spans="1:31" s="1" customFormat="1" x14ac:dyDescent="0.25">
      <c r="A5" s="14" t="s">
        <v>926</v>
      </c>
      <c r="B5" s="14" t="s">
        <v>2210</v>
      </c>
      <c r="C5" s="14" t="s">
        <v>2211</v>
      </c>
      <c r="D5" s="14" t="s">
        <v>2213</v>
      </c>
      <c r="E5" s="14" t="s">
        <v>2212</v>
      </c>
      <c r="F5" s="14" t="s">
        <v>49</v>
      </c>
      <c r="G5" s="14" t="s">
        <v>2214</v>
      </c>
      <c r="H5" s="14" t="s">
        <v>2215</v>
      </c>
      <c r="I5" s="14" t="s">
        <v>230</v>
      </c>
      <c r="J5" s="14" t="s">
        <v>230</v>
      </c>
      <c r="K5" s="14" t="s">
        <v>2216</v>
      </c>
      <c r="L5" s="14" t="s">
        <v>2217</v>
      </c>
      <c r="M5" s="14" t="s">
        <v>230</v>
      </c>
      <c r="N5" s="14" t="s">
        <v>230</v>
      </c>
      <c r="O5" s="14" t="s">
        <v>2218</v>
      </c>
      <c r="P5" s="14" t="s">
        <v>2219</v>
      </c>
      <c r="Q5" s="14" t="s">
        <v>2220</v>
      </c>
      <c r="R5" s="14" t="s">
        <v>2221</v>
      </c>
      <c r="S5" s="14" t="s">
        <v>2222</v>
      </c>
      <c r="T5" s="14" t="s">
        <v>2223</v>
      </c>
      <c r="U5" s="14" t="s">
        <v>2224</v>
      </c>
      <c r="V5" s="14" t="s">
        <v>2225</v>
      </c>
      <c r="W5" s="14" t="s">
        <v>230</v>
      </c>
      <c r="X5" s="14" t="s">
        <v>2226</v>
      </c>
      <c r="Y5" s="14" t="s">
        <v>2227</v>
      </c>
      <c r="Z5" s="14" t="s">
        <v>2228</v>
      </c>
      <c r="AA5" s="14" t="s">
        <v>2229</v>
      </c>
      <c r="AB5" s="14" t="s">
        <v>2230</v>
      </c>
      <c r="AC5" s="14" t="s">
        <v>2231</v>
      </c>
      <c r="AD5" s="14" t="s">
        <v>5171</v>
      </c>
      <c r="AE5" s="14"/>
    </row>
    <row r="6" spans="1:31" x14ac:dyDescent="0.25">
      <c r="A6" t="str">
        <f>CONCATENATE(A$2,": ",A$3,list1!A6,"]")</f>
        <v>Производитель: E[FUJITSU]</v>
      </c>
      <c r="B6" t="str">
        <f>CONCATENATE(B$2,": ",B$3,list1!B6,"]")</f>
        <v xml:space="preserve"> Тип: S[Сплит система]</v>
      </c>
      <c r="C6" t="str">
        <f>CONCATENATE(C$2,": ",C$3,list1!C6,"]")</f>
        <v xml:space="preserve"> (Сплит система) Холодопроизводительность: N[2]</v>
      </c>
      <c r="D6" t="str">
        <f>CONCATENATE(D$2,": ",D$3,list1!D6,"]")</f>
        <v xml:space="preserve"> (Сплит система) Площадь помещения: N[20]</v>
      </c>
      <c r="E6" t="str">
        <f>CONCATENATE(E$2,": ",E$3,list1!E6,"]")</f>
        <v xml:space="preserve"> (Сплит система) Инвентор: S[да]</v>
      </c>
      <c r="F6" t="str">
        <f>CONCATENATE(F$2,": ",F$3,list1!F6,"]")</f>
        <v xml:space="preserve"> (Сплит система) Теплопроизводительность: N[2]</v>
      </c>
      <c r="G6" t="str">
        <f>CONCATENATE(G$2,": ",G$3,list1!G6,"]")</f>
        <v xml:space="preserve"> (Потребляемая мощность) Охлаждение: N[0.465]</v>
      </c>
      <c r="H6" t="str">
        <f>CONCATENATE(H$2,": ",H$3,list1!H6,"]")</f>
        <v xml:space="preserve"> (Потребляемая мощность) Обогрев: S[0.685]</v>
      </c>
      <c r="I6" t="str">
        <f>CONCATENATE(I$2,": ",I$3,list1!I6,"]")</f>
        <v xml:space="preserve"> (Рабочий ток) Охлаждение: S[]</v>
      </c>
      <c r="J6" t="str">
        <f>CONCATENATE(J$2,": ",J$3,list1!J6,"]")</f>
        <v xml:space="preserve"> (Рабочий ток) Обогрев: S[]</v>
      </c>
      <c r="K6" t="str">
        <f>CONCATENATE(K$2,": ",K$3,list1!K6,"]")</f>
        <v xml:space="preserve"> (Рабочий ток) Напряжение / Частота источника питания: S[1 / 230 / 50]</v>
      </c>
      <c r="L6" t="str">
        <f>CONCATENATE(L$2,": ",L$3,list1!L6,"]")</f>
        <v xml:space="preserve"> (Рабочий ток) Хладагент: S[R410A]</v>
      </c>
      <c r="M6" t="str">
        <f>CONCATENATE(M$2,": ",M$3,list1!M6,"]")</f>
        <v xml:space="preserve"> (Рабочий ток) Количество хладагента: N[]</v>
      </c>
      <c r="N6" t="str">
        <f>CONCATENATE(N$2,": ",N$3,list1!N6,"]")</f>
        <v xml:space="preserve"> (Рабочий ток) Объем рециркулируемого воздуха внутреннего блока: S[]</v>
      </c>
      <c r="O6" t="str">
        <f>CONCATENATE(O$2,": ",O$3,list1!O6,"]")</f>
        <v xml:space="preserve"> (Внутренний блок) Размеры (Ш x Г x В): S[870 х 270 х 204]</v>
      </c>
      <c r="P6" t="str">
        <f>CONCATENATE(P$2,": ",P$3,list1!P6,"]")</f>
        <v xml:space="preserve"> (Внутренний блок) Упаковка (Ш x Г x В): S[925 х 270 х 366]</v>
      </c>
      <c r="Q6" t="str">
        <f>CONCATENATE(Q$2,": ",Q$3,list1!Q6,"]")</f>
        <v xml:space="preserve"> (Внутренний блок) Масса (нетто / брутто): S[8.5 / 10.5]</v>
      </c>
      <c r="R6" t="str">
        <f>CONCATENATE(R$2,": ",R$3,list1!R6,"]")</f>
        <v xml:space="preserve"> (Внутренний блок) Уровень шума мин. / макс.: S[21/32/40/43]</v>
      </c>
      <c r="S6" t="str">
        <f>CONCATENATE(S$2,": ",S$3,list1!S6,"]")</f>
        <v xml:space="preserve"> (Наружный блок) Марка компрессора: S[PANASONIC]</v>
      </c>
      <c r="T6" t="str">
        <f>CONCATENATE(T$2,": ",T$3,list1!T6,"]")</f>
        <v xml:space="preserve"> (Наружный блок) Размеры (Ш x Г x В): S[663 х 293 х 535]</v>
      </c>
      <c r="U6" t="str">
        <f>CONCATENATE(U$2,": ",U$3,list1!U6,"]")</f>
        <v xml:space="preserve"> (Наружный блок) Упаковка (Ш x Г x В): S[790 х 395 х 595]</v>
      </c>
      <c r="V6" t="str">
        <f>CONCATENATE(V$2,": ",V$3,list1!V6,"]")</f>
        <v xml:space="preserve"> (Наружный блок) Масса (нетто / брутто): S[21/25]</v>
      </c>
      <c r="W6" t="str">
        <f>CONCATENATE(W$2,": ",W$3,list1!W6,"]")</f>
        <v xml:space="preserve"> (Наружный блок) Максимальный уровень шума: N[]</v>
      </c>
      <c r="X6" t="str">
        <f>CONCATENATE(X$2,": ",X$3,list1!X6,"]")</f>
        <v xml:space="preserve"> (Соединительные трубы) Жидкостная линия : N[6.35]</v>
      </c>
      <c r="Y6" t="str">
        <f>CONCATENATE(Y$2,": ",Y$3,list1!Y6,"]")</f>
        <v xml:space="preserve"> (Соединительные трубы) Газовая линия : N[9.52]</v>
      </c>
      <c r="Z6" t="str">
        <f>CONCATENATE(Z$2,": ",Z$3,list1!Z6,"]")</f>
        <v xml:space="preserve"> (Соединительные трубы) Максимальная длина трубопровода: N[20]</v>
      </c>
      <c r="AA6" t="str">
        <f>CONCATENATE(AA$2,": ",AA$3,list1!AA6,"]")</f>
        <v xml:space="preserve"> (Соединительные трубы) Максимальный перепад высот: S[15]</v>
      </c>
      <c r="AB6" t="str">
        <f>CONCATENATE(AB$2,": ",AB$3,list1!AB6,"]")</f>
        <v xml:space="preserve"> (Допустимая темп. наружного воздуха) Охлаждение: S[от -10 до +43]</v>
      </c>
      <c r="AC6" t="str">
        <f>CONCATENATE(AC$2,": ",AC$3,list1!AC6,"]")</f>
        <v xml:space="preserve"> (Допустимая темп. наружного воздуха) Обогрев: S[от -15 до +24]</v>
      </c>
      <c r="AD6" s="6" t="s">
        <v>5245</v>
      </c>
    </row>
    <row r="7" spans="1:31" x14ac:dyDescent="0.25">
      <c r="A7" t="str">
        <f>CONCATENATE(A$2,": ",A$3,list1!A7,"]")</f>
        <v>Производитель: E[FUJITSU]</v>
      </c>
      <c r="B7" t="str">
        <f>CONCATENATE(B$2,": ",B$3,list1!B7,"]")</f>
        <v xml:space="preserve"> Тип: S[Сплит система]</v>
      </c>
      <c r="C7" t="str">
        <f>CONCATENATE(C$2,": ",C$3,list1!C7,"]")</f>
        <v xml:space="preserve"> (Сплит система) Холодопроизводительность: N[2.5]</v>
      </c>
      <c r="D7" t="str">
        <f>CONCATENATE(D$2,": ",D$3,list1!D7,"]")</f>
        <v xml:space="preserve"> (Сплит система) Площадь помещения: N[25]</v>
      </c>
      <c r="E7" t="str">
        <f>CONCATENATE(E$2,": ",E$3,list1!E7,"]")</f>
        <v xml:space="preserve"> (Сплит система) Инвентор: S[да]</v>
      </c>
      <c r="F7" t="str">
        <f>CONCATENATE(F$2,": ",F$3,list1!F7,"]")</f>
        <v xml:space="preserve"> (Сплит система) Теплопроизводительность: N[2.5]</v>
      </c>
      <c r="G7" t="str">
        <f>CONCATENATE(G$2,": ",G$3,list1!G7,"]")</f>
        <v xml:space="preserve"> (Потребляемая мощность) Охлаждение: N[0.65]</v>
      </c>
      <c r="H7" t="str">
        <f>CONCATENATE(H$2,": ",H$3,list1!H7,"]")</f>
        <v xml:space="preserve"> (Потребляемая мощность) Обогрев: S[0.73]</v>
      </c>
      <c r="I7" t="str">
        <f>CONCATENATE(I$2,": ",I$3,list1!I7,"]")</f>
        <v xml:space="preserve"> (Рабочий ток) Охлаждение: S[]</v>
      </c>
      <c r="J7" t="str">
        <f>CONCATENATE(J$2,": ",J$3,list1!J7,"]")</f>
        <v xml:space="preserve"> (Рабочий ток) Обогрев: S[]</v>
      </c>
      <c r="K7" t="str">
        <f>CONCATENATE(K$2,": ",K$3,list1!K7,"]")</f>
        <v xml:space="preserve"> (Рабочий ток) Напряжение / Частота источника питания: S[1 / 230 / 50]</v>
      </c>
      <c r="L7" t="str">
        <f>CONCATENATE(L$2,": ",L$3,list1!L7,"]")</f>
        <v xml:space="preserve"> (Рабочий ток) Хладагент: S[R410A]</v>
      </c>
      <c r="M7" t="str">
        <f>CONCATENATE(M$2,": ",M$3,list1!M7,"]")</f>
        <v xml:space="preserve"> (Рабочий ток) Количество хладагента: N[]</v>
      </c>
      <c r="N7" t="str">
        <f>CONCATENATE(N$2,": ",N$3,list1!N7,"]")</f>
        <v xml:space="preserve"> (Рабочий ток) Объем рециркулируемого воздуха внутреннего блока: S[]</v>
      </c>
      <c r="O7" t="str">
        <f>CONCATENATE(O$2,": ",O$3,list1!O7,"]")</f>
        <v xml:space="preserve"> (Внутренний блок) Размеры (Ш x Г x В): S[870 х 270 х 204]</v>
      </c>
      <c r="P7" t="str">
        <f>CONCATENATE(P$2,": ",P$3,list1!P7,"]")</f>
        <v xml:space="preserve"> (Внутренний блок) Упаковка (Ш x Г x В): S[925 х 270 х 366]</v>
      </c>
      <c r="Q7" t="str">
        <f>CONCATENATE(Q$2,": ",Q$3,list1!Q7,"]")</f>
        <v xml:space="preserve"> (Внутренний блок) Масса (нетто / брутто): S[8.5 / 10.5]</v>
      </c>
      <c r="R7" t="str">
        <f>CONCATENATE(R$2,": ",R$3,list1!R7,"]")</f>
        <v xml:space="preserve"> (Внутренний блок) Уровень шума мин. / макс.: S[21/32/40/43]</v>
      </c>
      <c r="S7" t="str">
        <f>CONCATENATE(S$2,": ",S$3,list1!S7,"]")</f>
        <v xml:space="preserve"> (Наружный блок) Марка компрессора: S[PANASONIC]</v>
      </c>
      <c r="T7" t="str">
        <f>CONCATENATE(T$2,": ",T$3,list1!T7,"]")</f>
        <v xml:space="preserve"> (Наружный блок) Размеры (Ш x Г x В): S[663 х 293 х 535]</v>
      </c>
      <c r="U7" t="str">
        <f>CONCATENATE(U$2,": ",U$3,list1!U7,"]")</f>
        <v xml:space="preserve"> (Наружный блок) Упаковка (Ш x Г x В): S[790 х 395 х 595]</v>
      </c>
      <c r="V7" t="str">
        <f>CONCATENATE(V$2,": ",V$3,list1!V7,"]")</f>
        <v xml:space="preserve"> (Наружный блок) Масса (нетто / брутто): S[21/25]</v>
      </c>
      <c r="W7" t="str">
        <f>CONCATENATE(W$2,": ",W$3,list1!W7,"]")</f>
        <v xml:space="preserve"> (Наружный блок) Максимальный уровень шума: N[]</v>
      </c>
      <c r="X7" t="str">
        <f>CONCATENATE(X$2,": ",X$3,list1!X7,"]")</f>
        <v xml:space="preserve"> (Соединительные трубы) Жидкостная линия : N[6.35]</v>
      </c>
      <c r="Y7" t="str">
        <f>CONCATENATE(Y$2,": ",Y$3,list1!Y7,"]")</f>
        <v xml:space="preserve"> (Соединительные трубы) Газовая линия : N[9.52]</v>
      </c>
      <c r="Z7" t="str">
        <f>CONCATENATE(Z$2,": ",Z$3,list1!Z7,"]")</f>
        <v xml:space="preserve"> (Соединительные трубы) Максимальная длина трубопровода: N[20]</v>
      </c>
      <c r="AA7" t="str">
        <f>CONCATENATE(AA$2,": ",AA$3,list1!AA7,"]")</f>
        <v xml:space="preserve"> (Соединительные трубы) Максимальный перепад высот: S[15]</v>
      </c>
      <c r="AB7" t="str">
        <f>CONCATENATE(AB$2,": ",AB$3,list1!AB7,"]")</f>
        <v xml:space="preserve"> (Допустимая темп. наружного воздуха) Охлаждение: S[от -10 до +43]</v>
      </c>
      <c r="AC7" t="str">
        <f>CONCATENATE(AC$2,": ",AC$3,list1!AC7,"]")</f>
        <v xml:space="preserve"> (Допустимая темп. наружного воздуха) Обогрев: S[от -15 до +24]</v>
      </c>
      <c r="AD7" s="6" t="s">
        <v>5245</v>
      </c>
    </row>
    <row r="8" spans="1:31" x14ac:dyDescent="0.25">
      <c r="A8" t="str">
        <f>CONCATENATE(A$2,": ",A$3,list1!A8,"]")</f>
        <v>Производитель: E[FUJITSU]</v>
      </c>
      <c r="B8" t="str">
        <f>CONCATENATE(B$2,": ",B$3,list1!B8,"]")</f>
        <v xml:space="preserve"> Тип: S[Сплит система]</v>
      </c>
      <c r="C8" t="str">
        <f>CONCATENATE(C$2,": ",C$3,list1!C8,"]")</f>
        <v xml:space="preserve"> (Сплит система) Холодопроизводительность: N[3.5]</v>
      </c>
      <c r="D8" t="str">
        <f>CONCATENATE(D$2,": ",D$3,list1!D8,"]")</f>
        <v xml:space="preserve"> (Сплит система) Площадь помещения: N[35]</v>
      </c>
      <c r="E8" t="str">
        <f>CONCATENATE(E$2,": ",E$3,list1!E8,"]")</f>
        <v xml:space="preserve"> (Сплит система) Инвентор: S[да]</v>
      </c>
      <c r="F8" t="str">
        <f>CONCATENATE(F$2,": ",F$3,list1!F8,"]")</f>
        <v xml:space="preserve"> (Сплит система) Теплопроизводительность: N[3.5]</v>
      </c>
      <c r="G8" t="str">
        <f>CONCATENATE(G$2,": ",G$3,list1!G8,"]")</f>
        <v xml:space="preserve"> (Потребляемая мощность) Охлаждение: N[0.97]</v>
      </c>
      <c r="H8" t="str">
        <f>CONCATENATE(H$2,": ",H$3,list1!H8,"]")</f>
        <v xml:space="preserve"> (Потребляемая мощность) Обогрев: S[1.02]</v>
      </c>
      <c r="I8" t="str">
        <f>CONCATENATE(I$2,": ",I$3,list1!I8,"]")</f>
        <v xml:space="preserve"> (Рабочий ток) Охлаждение: S[]</v>
      </c>
      <c r="J8" t="str">
        <f>CONCATENATE(J$2,": ",J$3,list1!J8,"]")</f>
        <v xml:space="preserve"> (Рабочий ток) Обогрев: S[]</v>
      </c>
      <c r="K8" t="str">
        <f>CONCATENATE(K$2,": ",K$3,list1!K8,"]")</f>
        <v xml:space="preserve"> (Рабочий ток) Напряжение / Частота источника питания: S[1 / 230 / 50]</v>
      </c>
      <c r="L8" t="str">
        <f>CONCATENATE(L$2,": ",L$3,list1!L8,"]")</f>
        <v xml:space="preserve"> (Рабочий ток) Хладагент: S[R410A]</v>
      </c>
      <c r="M8" t="str">
        <f>CONCATENATE(M$2,": ",M$3,list1!M8,"]")</f>
        <v xml:space="preserve"> (Рабочий ток) Количество хладагента: N[]</v>
      </c>
      <c r="N8" t="str">
        <f>CONCATENATE(N$2,": ",N$3,list1!N8,"]")</f>
        <v xml:space="preserve"> (Рабочий ток) Объем рециркулируемого воздуха внутреннего блока: S[]</v>
      </c>
      <c r="O8" t="str">
        <f>CONCATENATE(O$2,": ",O$3,list1!O8,"]")</f>
        <v xml:space="preserve"> (Внутренний блок) Размеры (Ш x Г x В): S[870 х 270 х 204]</v>
      </c>
      <c r="P8" t="str">
        <f>CONCATENATE(P$2,": ",P$3,list1!P8,"]")</f>
        <v xml:space="preserve"> (Внутренний блок) Упаковка (Ш x Г x В): S[925 х 270 х 366]</v>
      </c>
      <c r="Q8" t="str">
        <f>CONCATENATE(Q$2,": ",Q$3,list1!Q8,"]")</f>
        <v xml:space="preserve"> (Внутренний блок) Масса (нетто / брутто): S[8.5 / 10.5]</v>
      </c>
      <c r="R8" t="str">
        <f>CONCATENATE(R$2,": ",R$3,list1!R8,"]")</f>
        <v xml:space="preserve"> (Внутренний блок) Уровень шума мин. / макс.: S[21/32/40/43]</v>
      </c>
      <c r="S8" t="str">
        <f>CONCATENATE(S$2,": ",S$3,list1!S8,"]")</f>
        <v xml:space="preserve"> (Наружный блок) Марка компрессора: S[PANASONIC]</v>
      </c>
      <c r="T8" t="str">
        <f>CONCATENATE(T$2,": ",T$3,list1!T8,"]")</f>
        <v xml:space="preserve"> (Наружный блок) Размеры (Ш x Г x В): S[663 х 293 х 535]</v>
      </c>
      <c r="U8" t="str">
        <f>CONCATENATE(U$2,": ",U$3,list1!U8,"]")</f>
        <v xml:space="preserve"> (Наружный блок) Упаковка (Ш x Г x В): S[790 х 395 х 595]</v>
      </c>
      <c r="V8" t="str">
        <f>CONCATENATE(V$2,": ",V$3,list1!V8,"]")</f>
        <v xml:space="preserve"> (Наружный блок) Масса (нетто / брутто): S[26/30]</v>
      </c>
      <c r="W8" t="str">
        <f>CONCATENATE(W$2,": ",W$3,list1!W8,"]")</f>
        <v xml:space="preserve"> (Наружный блок) Максимальный уровень шума: N[]</v>
      </c>
      <c r="X8" t="str">
        <f>CONCATENATE(X$2,": ",X$3,list1!X8,"]")</f>
        <v xml:space="preserve"> (Соединительные трубы) Жидкостная линия : N[6.35]</v>
      </c>
      <c r="Y8" t="str">
        <f>CONCATENATE(Y$2,": ",Y$3,list1!Y8,"]")</f>
        <v xml:space="preserve"> (Соединительные трубы) Газовая линия : N[9.52]</v>
      </c>
      <c r="Z8" t="str">
        <f>CONCATENATE(Z$2,": ",Z$3,list1!Z8,"]")</f>
        <v xml:space="preserve"> (Соединительные трубы) Максимальная длина трубопровода: N[20]</v>
      </c>
      <c r="AA8" t="str">
        <f>CONCATENATE(AA$2,": ",AA$3,list1!AA8,"]")</f>
        <v xml:space="preserve"> (Соединительные трубы) Максимальный перепад высот: S[15]</v>
      </c>
      <c r="AB8" t="str">
        <f>CONCATENATE(AB$2,": ",AB$3,list1!AB8,"]")</f>
        <v xml:space="preserve"> (Допустимая темп. наружного воздуха) Охлаждение: S[от -10 до +43]</v>
      </c>
      <c r="AC8" t="str">
        <f>CONCATENATE(AC$2,": ",AC$3,list1!AC8,"]")</f>
        <v xml:space="preserve"> (Допустимая темп. наружного воздуха) Обогрев: S[от -15 до +24]</v>
      </c>
      <c r="AD8" s="6" t="s">
        <v>5245</v>
      </c>
    </row>
    <row r="9" spans="1:31" x14ac:dyDescent="0.25">
      <c r="A9" t="str">
        <f>CONCATENATE(A$2,": ",A$3,list1!A9,"]")</f>
        <v>Производитель: E[FUJITSU]</v>
      </c>
      <c r="B9" t="str">
        <f>CONCATENATE(B$2,": ",B$3,list1!B9,"]")</f>
        <v xml:space="preserve"> Тип: S[Сплит система]</v>
      </c>
      <c r="C9" t="str">
        <f>CONCATENATE(C$2,": ",C$3,list1!C9,"]")</f>
        <v xml:space="preserve"> (Сплит система) Холодопроизводительность: N[4]</v>
      </c>
      <c r="D9" t="str">
        <f>CONCATENATE(D$2,": ",D$3,list1!D9,"]")</f>
        <v xml:space="preserve"> (Сплит система) Площадь помещения: N[40]</v>
      </c>
      <c r="E9" t="str">
        <f>CONCATENATE(E$2,": ",E$3,list1!E9,"]")</f>
        <v xml:space="preserve"> (Сплит система) Инвентор: S[да]</v>
      </c>
      <c r="F9" t="str">
        <f>CONCATENATE(F$2,": ",F$3,list1!F9,"]")</f>
        <v xml:space="preserve"> (Сплит система) Теплопроизводительность: N[4]</v>
      </c>
      <c r="G9" t="str">
        <f>CONCATENATE(G$2,": ",G$3,list1!G9,"]")</f>
        <v xml:space="preserve"> (Потребляемая мощность) Охлаждение: N[1.135]</v>
      </c>
      <c r="H9" t="str">
        <f>CONCATENATE(H$2,": ",H$3,list1!H9,"]")</f>
        <v xml:space="preserve"> (Потребляемая мощность) Обогрев: S[1.365]</v>
      </c>
      <c r="I9" t="str">
        <f>CONCATENATE(I$2,": ",I$3,list1!I9,"]")</f>
        <v xml:space="preserve"> (Рабочий ток) Охлаждение: S[]</v>
      </c>
      <c r="J9" t="str">
        <f>CONCATENATE(J$2,": ",J$3,list1!J9,"]")</f>
        <v xml:space="preserve"> (Рабочий ток) Обогрев: S[]</v>
      </c>
      <c r="K9" t="str">
        <f>CONCATENATE(K$2,": ",K$3,list1!K9,"]")</f>
        <v xml:space="preserve"> (Рабочий ток) Напряжение / Частота источника питания: S[1 / 230 / 50]</v>
      </c>
      <c r="L9" t="str">
        <f>CONCATENATE(L$2,": ",L$3,list1!L9,"]")</f>
        <v xml:space="preserve"> (Рабочий ток) Хладагент: S[R410A]</v>
      </c>
      <c r="M9" t="str">
        <f>CONCATENATE(M$2,": ",M$3,list1!M9,"]")</f>
        <v xml:space="preserve"> (Рабочий ток) Количество хладагента: N[]</v>
      </c>
      <c r="N9" t="str">
        <f>CONCATENATE(N$2,": ",N$3,list1!N9,"]")</f>
        <v xml:space="preserve"> (Рабочий ток) Объем рециркулируемого воздуха внутреннего блока: S[]</v>
      </c>
      <c r="O9" t="str">
        <f>CONCATENATE(O$2,": ",O$3,list1!O9,"]")</f>
        <v xml:space="preserve"> (Внутренний блок) Размеры (Ш x Г x В): S[870 х 270 х 204]</v>
      </c>
      <c r="P9" t="str">
        <f>CONCATENATE(P$2,": ",P$3,list1!P9,"]")</f>
        <v xml:space="preserve"> (Внутренний блок) Упаковка (Ш x Г x В): S[925 х 270 х 366]</v>
      </c>
      <c r="Q9" t="str">
        <f>CONCATENATE(Q$2,": ",Q$3,list1!Q9,"]")</f>
        <v xml:space="preserve"> (Внутренний блок) Масса (нетто / брутто): S[8.5 / 10.5]</v>
      </c>
      <c r="R9" t="str">
        <f>CONCATENATE(R$2,": ",R$3,list1!R9,"]")</f>
        <v xml:space="preserve"> (Внутренний блок) Уровень шума мин. / макс.: S[25/33/40/44]</v>
      </c>
      <c r="S9" t="str">
        <f>CONCATENATE(S$2,": ",S$3,list1!S9,"]")</f>
        <v xml:space="preserve"> (Наружный блок) Марка компрессора: S[PANASONIC]</v>
      </c>
      <c r="T9" t="str">
        <f>CONCATENATE(T$2,": ",T$3,list1!T9,"]")</f>
        <v xml:space="preserve"> (Наружный блок) Размеры (Ш x Г x В): S[790 х 290 х 540]</v>
      </c>
      <c r="U9" t="str">
        <f>CONCATENATE(U$2,": ",U$3,list1!U9,"]")</f>
        <v xml:space="preserve"> (Наружный блок) Упаковка (Ш x Г x В): S[938 х 400 х 648]</v>
      </c>
      <c r="V9" t="str">
        <f>CONCATENATE(V$2,": ",V$3,list1!V9,"]")</f>
        <v xml:space="preserve"> (Наружный блок) Масса (нетто / брутто): S[34/37]</v>
      </c>
      <c r="W9" t="str">
        <f>CONCATENATE(W$2,": ",W$3,list1!W9,"]")</f>
        <v xml:space="preserve"> (Наружный блок) Максимальный уровень шума: N[]</v>
      </c>
      <c r="X9" t="str">
        <f>CONCATENATE(X$2,": ",X$3,list1!X9,"]")</f>
        <v xml:space="preserve"> (Соединительные трубы) Жидкостная линия : N[6.35]</v>
      </c>
      <c r="Y9" t="str">
        <f>CONCATENATE(Y$2,": ",Y$3,list1!Y9,"]")</f>
        <v xml:space="preserve"> (Соединительные трубы) Газовая линия : N[12.7]</v>
      </c>
      <c r="Z9" t="str">
        <f>CONCATENATE(Z$2,": ",Z$3,list1!Z9,"]")</f>
        <v xml:space="preserve"> (Соединительные трубы) Максимальная длина трубопровода: N[20]</v>
      </c>
      <c r="AA9" t="str">
        <f>CONCATENATE(AA$2,": ",AA$3,list1!AA9,"]")</f>
        <v xml:space="preserve"> (Соединительные трубы) Максимальный перепад высот: S[15]</v>
      </c>
      <c r="AB9" t="str">
        <f>CONCATENATE(AB$2,": ",AB$3,list1!AB9,"]")</f>
        <v xml:space="preserve"> (Допустимая темп. наружного воздуха) Охлаждение: S[от -10 до +43]</v>
      </c>
      <c r="AC9" t="str">
        <f>CONCATENATE(AC$2,": ",AC$3,list1!AC9,"]")</f>
        <v xml:space="preserve"> (Допустимая темп. наружного воздуха) Обогрев: S[от -15 до +24]</v>
      </c>
      <c r="AD9" s="6" t="s">
        <v>5245</v>
      </c>
    </row>
    <row r="10" spans="1:31" x14ac:dyDescent="0.25">
      <c r="A10" t="str">
        <f>CONCATENATE(A$2,": ",A$3,list1!A10,"]")</f>
        <v>Производитель: E[FUJITSU]</v>
      </c>
      <c r="B10" t="str">
        <f>CONCATENATE(B$2,": ",B$3,list1!B10,"]")</f>
        <v xml:space="preserve"> Тип: S[Сплит система]</v>
      </c>
      <c r="C10" t="str">
        <f>CONCATENATE(C$2,": ",C$3,list1!C10,"]")</f>
        <v xml:space="preserve"> (Сплит система) Холодопроизводительность: N[2]</v>
      </c>
      <c r="D10" t="str">
        <f>CONCATENATE(D$2,": ",D$3,list1!D10,"]")</f>
        <v xml:space="preserve"> (Сплит система) Площадь помещения: N[20]</v>
      </c>
      <c r="E10" t="str">
        <f>CONCATENATE(E$2,": ",E$3,list1!E10,"]")</f>
        <v xml:space="preserve"> (Сплит система) Инвентор: S[да]</v>
      </c>
      <c r="F10" t="str">
        <f>CONCATENATE(F$2,": ",F$3,list1!F10,"]")</f>
        <v xml:space="preserve"> (Сплит система) Теплопроизводительность: N[2.5]</v>
      </c>
      <c r="G10" t="str">
        <f>CONCATENATE(G$2,": ",G$3,list1!G10,"]")</f>
        <v xml:space="preserve"> (Потребляемая мощность) Охлаждение: N[0.48]</v>
      </c>
      <c r="H10" t="str">
        <f>CONCATENATE(H$2,": ",H$3,list1!H10,"]")</f>
        <v xml:space="preserve"> (Потребляемая мощность) Обогрев: S[0.63]</v>
      </c>
      <c r="I10" t="str">
        <f>CONCATENATE(I$2,": ",I$3,list1!I10,"]")</f>
        <v xml:space="preserve"> (Рабочий ток) Охлаждение: S[]</v>
      </c>
      <c r="J10" t="str">
        <f>CONCATENATE(J$2,": ",J$3,list1!J10,"]")</f>
        <v xml:space="preserve"> (Рабочий ток) Обогрев: S[]</v>
      </c>
      <c r="K10" t="str">
        <f>CONCATENATE(K$2,": ",K$3,list1!K10,"]")</f>
        <v xml:space="preserve"> (Рабочий ток) Напряжение / Частота источника питания: S[1 / 230 / 50]</v>
      </c>
      <c r="L10" t="str">
        <f>CONCATENATE(L$2,": ",L$3,list1!L10,"]")</f>
        <v xml:space="preserve"> (Рабочий ток) Хладагент: S[R32]</v>
      </c>
      <c r="M10" t="str">
        <f>CONCATENATE(M$2,": ",M$3,list1!M10,"]")</f>
        <v xml:space="preserve"> (Рабочий ток) Количество хладагента: N[]</v>
      </c>
      <c r="N10" t="str">
        <f>CONCATENATE(N$2,": ",N$3,list1!N10,"]")</f>
        <v xml:space="preserve"> (Рабочий ток) Объем рециркулируемого воздуха внутреннего блока: S[]</v>
      </c>
      <c r="O10" t="str">
        <f>CONCATENATE(O$2,": ",O$3,list1!O10,"]")</f>
        <v xml:space="preserve"> (Внутренний блок) Размеры (Ш x Г x В): S[784 х 270 х 224]</v>
      </c>
      <c r="P10" t="str">
        <f>CONCATENATE(P$2,": ",P$3,list1!P10,"]")</f>
        <v xml:space="preserve"> (Внутренний блок) Упаковка (Ш x Г x В): S[864 х 279 х 334]</v>
      </c>
      <c r="Q10" t="str">
        <f>CONCATENATE(Q$2,": ",Q$3,list1!Q10,"]")</f>
        <v xml:space="preserve"> (Внутренний блок) Масса (нетто / брутто): S[8 / 11]</v>
      </c>
      <c r="R10" t="str">
        <f>CONCATENATE(R$2,": ",R$3,list1!R10,"]")</f>
        <v xml:space="preserve"> (Внутренний блок) Уровень шума мин. / макс.: S[22/31/38/45]</v>
      </c>
      <c r="S10" t="str">
        <f>CONCATENATE(S$2,": ",S$3,list1!S10,"]")</f>
        <v xml:space="preserve"> (Наружный блок) Марка компрессора: S[]</v>
      </c>
      <c r="T10" t="str">
        <f>CONCATENATE(T$2,": ",T$3,list1!T10,"]")</f>
        <v xml:space="preserve"> (Наружный блок) Размеры (Ш x Г x В): S[663 х 290 х 541]</v>
      </c>
      <c r="U10" t="str">
        <f>CONCATENATE(U$2,": ",U$3,list1!U10,"]")</f>
        <v xml:space="preserve"> (Наружный блок) Упаковка (Ш x Г x В): S[798 х 369 х 596]</v>
      </c>
      <c r="V10" t="str">
        <f>CONCATENATE(V$2,": ",V$3,list1!V10,"]")</f>
        <v xml:space="preserve"> (Наружный блок) Масса (нетто / брутто): S[23/25]</v>
      </c>
      <c r="W10" t="str">
        <f>CONCATENATE(W$2,": ",W$3,list1!W10,"]")</f>
        <v xml:space="preserve"> (Наружный блок) Максимальный уровень шума: N[]</v>
      </c>
      <c r="X10" t="str">
        <f>CONCATENATE(X$2,": ",X$3,list1!X10,"]")</f>
        <v xml:space="preserve"> (Соединительные трубы) Жидкостная линия : N[6.35]</v>
      </c>
      <c r="Y10" t="str">
        <f>CONCATENATE(Y$2,": ",Y$3,list1!Y10,"]")</f>
        <v xml:space="preserve"> (Соединительные трубы) Газовая линия : N[9.52]</v>
      </c>
      <c r="Z10" t="str">
        <f>CONCATENATE(Z$2,": ",Z$3,list1!Z10,"]")</f>
        <v xml:space="preserve"> (Соединительные трубы) Максимальная длина трубопровода: N[20]</v>
      </c>
      <c r="AA10" t="str">
        <f>CONCATENATE(AA$2,": ",AA$3,list1!AA10,"]")</f>
        <v xml:space="preserve"> (Соединительные трубы) Максимальный перепад высот: S[15]</v>
      </c>
      <c r="AB10" t="str">
        <f>CONCATENATE(AB$2,": ",AB$3,list1!AB10,"]")</f>
        <v xml:space="preserve"> (Допустимая темп. наружного воздуха) Охлаждение: S[от -10 до +46]</v>
      </c>
      <c r="AC10" t="str">
        <f>CONCATENATE(AC$2,": ",AC$3,list1!AC10,"]")</f>
        <v xml:space="preserve"> (Допустимая темп. наружного воздуха) Обогрев: S[от -15 до +24]</v>
      </c>
      <c r="AD10" s="6" t="s">
        <v>5245</v>
      </c>
    </row>
    <row r="11" spans="1:31" x14ac:dyDescent="0.25">
      <c r="A11" t="str">
        <f>CONCATENATE(A$2,": ",A$3,list1!A11,"]")</f>
        <v>Производитель: E[FUJITSU]</v>
      </c>
      <c r="B11" t="str">
        <f>CONCATENATE(B$2,": ",B$3,list1!B11,"]")</f>
        <v xml:space="preserve"> Тип: S[Сплит система]</v>
      </c>
      <c r="C11" t="str">
        <f>CONCATENATE(C$2,": ",C$3,list1!C11,"]")</f>
        <v xml:space="preserve"> (Сплит система) Холодопроизводительность: N[2]</v>
      </c>
      <c r="D11" t="str">
        <f>CONCATENATE(D$2,": ",D$3,list1!D11,"]")</f>
        <v xml:space="preserve"> (Сплит система) Площадь помещения: N[20]</v>
      </c>
      <c r="E11" t="str">
        <f>CONCATENATE(E$2,": ",E$3,list1!E11,"]")</f>
        <v xml:space="preserve"> (Сплит система) Инвентор: S[да]</v>
      </c>
      <c r="F11" t="str">
        <f>CONCATENATE(F$2,": ",F$3,list1!F11,"]")</f>
        <v xml:space="preserve"> (Сплит система) Теплопроизводительность: N[2.5]</v>
      </c>
      <c r="G11" t="str">
        <f>CONCATENATE(G$2,": ",G$3,list1!G11,"]")</f>
        <v xml:space="preserve"> (Потребляемая мощность) Охлаждение: N[0.48]</v>
      </c>
      <c r="H11" t="str">
        <f>CONCATENATE(H$2,": ",H$3,list1!H11,"]")</f>
        <v xml:space="preserve"> (Потребляемая мощность) Обогрев: S[0.63]</v>
      </c>
      <c r="I11" t="str">
        <f>CONCATENATE(I$2,": ",I$3,list1!I11,"]")</f>
        <v xml:space="preserve"> (Рабочий ток) Охлаждение: S[]</v>
      </c>
      <c r="J11" t="str">
        <f>CONCATENATE(J$2,": ",J$3,list1!J11,"]")</f>
        <v xml:space="preserve"> (Рабочий ток) Обогрев: S[]</v>
      </c>
      <c r="K11" t="str">
        <f>CONCATENATE(K$2,": ",K$3,list1!K11,"]")</f>
        <v xml:space="preserve"> (Рабочий ток) Напряжение / Частота источника питания: S[1 / 230 / 50]</v>
      </c>
      <c r="L11" t="str">
        <f>CONCATENATE(L$2,": ",L$3,list1!L11,"]")</f>
        <v xml:space="preserve"> (Рабочий ток) Хладагент: S[R32]</v>
      </c>
      <c r="M11" t="str">
        <f>CONCATENATE(M$2,": ",M$3,list1!M11,"]")</f>
        <v xml:space="preserve"> (Рабочий ток) Количество хладагента: N[]</v>
      </c>
      <c r="N11" t="str">
        <f>CONCATENATE(N$2,": ",N$3,list1!N11,"]")</f>
        <v xml:space="preserve"> (Рабочий ток) Объем рециркулируемого воздуха внутреннего блока: S[]</v>
      </c>
      <c r="O11" t="str">
        <f>CONCATENATE(O$2,": ",O$3,list1!O11,"]")</f>
        <v xml:space="preserve"> (Внутренний блок) Размеры (Ш x Г x В): S[784 х 270 х 224]</v>
      </c>
      <c r="P11" t="str">
        <f>CONCATENATE(P$2,": ",P$3,list1!P11,"]")</f>
        <v xml:space="preserve"> (Внутренний блок) Упаковка (Ш x Г x В): S[864 х 279 х 334]</v>
      </c>
      <c r="Q11" t="str">
        <f>CONCATENATE(Q$2,": ",Q$3,list1!Q11,"]")</f>
        <v xml:space="preserve"> (Внутренний блок) Масса (нетто / брутто): S[8 / 11]</v>
      </c>
      <c r="R11" t="str">
        <f>CONCATENATE(R$2,": ",R$3,list1!R11,"]")</f>
        <v xml:space="preserve"> (Внутренний блок) Уровень шума мин. / макс.: S[22/31/38/45]</v>
      </c>
      <c r="S11" t="str">
        <f>CONCATENATE(S$2,": ",S$3,list1!S11,"]")</f>
        <v xml:space="preserve"> (Наружный блок) Марка компрессора: S[]</v>
      </c>
      <c r="T11" t="str">
        <f>CONCATENATE(T$2,": ",T$3,list1!T11,"]")</f>
        <v xml:space="preserve"> (Наружный блок) Размеры (Ш x Г x В): S[663 х 290 х 541]</v>
      </c>
      <c r="U11" t="str">
        <f>CONCATENATE(U$2,": ",U$3,list1!U11,"]")</f>
        <v xml:space="preserve"> (Наружный блок) Упаковка (Ш x Г x В): S[798 х 369 х 596]</v>
      </c>
      <c r="V11" t="str">
        <f>CONCATENATE(V$2,": ",V$3,list1!V11,"]")</f>
        <v xml:space="preserve"> (Наружный блок) Масса (нетто / брутто): S[23/25]</v>
      </c>
      <c r="W11" t="str">
        <f>CONCATENATE(W$2,": ",W$3,list1!W11,"]")</f>
        <v xml:space="preserve"> (Наружный блок) Максимальный уровень шума: N[]</v>
      </c>
      <c r="X11" t="str">
        <f>CONCATENATE(X$2,": ",X$3,list1!X11,"]")</f>
        <v xml:space="preserve"> (Соединительные трубы) Жидкостная линия : N[6.35]</v>
      </c>
      <c r="Y11" t="str">
        <f>CONCATENATE(Y$2,": ",Y$3,list1!Y11,"]")</f>
        <v xml:space="preserve"> (Соединительные трубы) Газовая линия : N[9.52]</v>
      </c>
      <c r="Z11" t="str">
        <f>CONCATENATE(Z$2,": ",Z$3,list1!Z11,"]")</f>
        <v xml:space="preserve"> (Соединительные трубы) Максимальная длина трубопровода: N[20]</v>
      </c>
      <c r="AA11" t="str">
        <f>CONCATENATE(AA$2,": ",AA$3,list1!AA11,"]")</f>
        <v xml:space="preserve"> (Соединительные трубы) Максимальный перепад высот: S[15]</v>
      </c>
      <c r="AB11" t="str">
        <f>CONCATENATE(AB$2,": ",AB$3,list1!AB11,"]")</f>
        <v xml:space="preserve"> (Допустимая темп. наружного воздуха) Охлаждение: S[от -10 до +46]</v>
      </c>
      <c r="AC11" t="str">
        <f>CONCATENATE(AC$2,": ",AC$3,list1!AC11,"]")</f>
        <v xml:space="preserve"> (Допустимая темп. наружного воздуха) Обогрев: S[от -15 до +24]</v>
      </c>
      <c r="AD11" s="6" t="s">
        <v>5245</v>
      </c>
    </row>
    <row r="12" spans="1:31" x14ac:dyDescent="0.25">
      <c r="A12" t="str">
        <f>CONCATENATE(A$2,": ",A$3,list1!A12,"]")</f>
        <v>Производитель: E[FUJITSU]</v>
      </c>
      <c r="B12" t="str">
        <f>CONCATENATE(B$2,": ",B$3,list1!B12,"]")</f>
        <v xml:space="preserve"> Тип: S[Сплит система]</v>
      </c>
      <c r="C12" t="str">
        <f>CONCATENATE(C$2,": ",C$3,list1!C12,"]")</f>
        <v xml:space="preserve"> (Сплит система) Холодопроизводительность: N[2.5]</v>
      </c>
      <c r="D12" t="str">
        <f>CONCATENATE(D$2,": ",D$3,list1!D12,"]")</f>
        <v xml:space="preserve"> (Сплит система) Площадь помещения: N[25]</v>
      </c>
      <c r="E12" t="str">
        <f>CONCATENATE(E$2,": ",E$3,list1!E12,"]")</f>
        <v xml:space="preserve"> (Сплит система) Инвентор: S[да]</v>
      </c>
      <c r="F12" t="str">
        <f>CONCATENATE(F$2,": ",F$3,list1!F12,"]")</f>
        <v xml:space="preserve"> (Сплит система) Теплопроизводительность: N[2.8]</v>
      </c>
      <c r="G12" t="str">
        <f>CONCATENATE(G$2,": ",G$3,list1!G12,"]")</f>
        <v xml:space="preserve"> (Потребляемая мощность) Охлаждение: N[0.71]</v>
      </c>
      <c r="H12" t="str">
        <f>CONCATENATE(H$2,": ",H$3,list1!H12,"]")</f>
        <v xml:space="preserve"> (Потребляемая мощность) Обогрев: S[0.79]</v>
      </c>
      <c r="I12" t="str">
        <f>CONCATENATE(I$2,": ",I$3,list1!I12,"]")</f>
        <v xml:space="preserve"> (Рабочий ток) Охлаждение: S[]</v>
      </c>
      <c r="J12" t="str">
        <f>CONCATENATE(J$2,": ",J$3,list1!J12,"]")</f>
        <v xml:space="preserve"> (Рабочий ток) Обогрев: S[]</v>
      </c>
      <c r="K12" t="str">
        <f>CONCATENATE(K$2,": ",K$3,list1!K12,"]")</f>
        <v xml:space="preserve"> (Рабочий ток) Напряжение / Частота источника питания: S[1 / 230 / 50]</v>
      </c>
      <c r="L12" t="str">
        <f>CONCATENATE(L$2,": ",L$3,list1!L12,"]")</f>
        <v xml:space="preserve"> (Рабочий ток) Хладагент: S[R32]</v>
      </c>
      <c r="M12" t="str">
        <f>CONCATENATE(M$2,": ",M$3,list1!M12,"]")</f>
        <v xml:space="preserve"> (Рабочий ток) Количество хладагента: N[]</v>
      </c>
      <c r="N12" t="str">
        <f>CONCATENATE(N$2,": ",N$3,list1!N12,"]")</f>
        <v xml:space="preserve"> (Рабочий ток) Объем рециркулируемого воздуха внутреннего блока: S[]</v>
      </c>
      <c r="O12" t="str">
        <f>CONCATENATE(O$2,": ",O$3,list1!O12,"]")</f>
        <v xml:space="preserve"> (Внутренний блок) Размеры (Ш x Г x В): S[784 х 270 х 224]</v>
      </c>
      <c r="P12" t="str">
        <f>CONCATENATE(P$2,": ",P$3,list1!P12,"]")</f>
        <v xml:space="preserve"> (Внутренний блок) Упаковка (Ш x Г x В): S[864 х 279 х 334]</v>
      </c>
      <c r="Q12" t="str">
        <f>CONCATENATE(Q$2,": ",Q$3,list1!Q12,"]")</f>
        <v xml:space="preserve"> (Внутренний блок) Масса (нетто / брутто): S[8 / 11]</v>
      </c>
      <c r="R12" t="str">
        <f>CONCATENATE(R$2,": ",R$3,list1!R12,"]")</f>
        <v xml:space="preserve"> (Внутренний блок) Уровень шума мин. / макс.: S[22/31/38/45]</v>
      </c>
      <c r="S12" t="str">
        <f>CONCATENATE(S$2,": ",S$3,list1!S12,"]")</f>
        <v xml:space="preserve"> (Наружный блок) Марка компрессора: S[]</v>
      </c>
      <c r="T12" t="str">
        <f>CONCATENATE(T$2,": ",T$3,list1!T12,"]")</f>
        <v xml:space="preserve"> (Наружный блок) Размеры (Ш x Г x В): S[663 х 290 х 541]</v>
      </c>
      <c r="U12" t="str">
        <f>CONCATENATE(U$2,": ",U$3,list1!U12,"]")</f>
        <v xml:space="preserve"> (Наружный блок) Упаковка (Ш x Г x В): S[798 х 369 х 596]</v>
      </c>
      <c r="V12" t="str">
        <f>CONCATENATE(V$2,": ",V$3,list1!V12,"]")</f>
        <v xml:space="preserve"> (Наружный блок) Масса (нетто / брутто): S[23/25]</v>
      </c>
      <c r="W12" t="str">
        <f>CONCATENATE(W$2,": ",W$3,list1!W12,"]")</f>
        <v xml:space="preserve"> (Наружный блок) Максимальный уровень шума: N[]</v>
      </c>
      <c r="X12" t="str">
        <f>CONCATENATE(X$2,": ",X$3,list1!X12,"]")</f>
        <v xml:space="preserve"> (Соединительные трубы) Жидкостная линия : N[6.35]</v>
      </c>
      <c r="Y12" t="str">
        <f>CONCATENATE(Y$2,": ",Y$3,list1!Y12,"]")</f>
        <v xml:space="preserve"> (Соединительные трубы) Газовая линия : N[9.52]</v>
      </c>
      <c r="Z12" t="str">
        <f>CONCATENATE(Z$2,": ",Z$3,list1!Z12,"]")</f>
        <v xml:space="preserve"> (Соединительные трубы) Максимальная длина трубопровода: N[20]</v>
      </c>
      <c r="AA12" t="str">
        <f>CONCATENATE(AA$2,": ",AA$3,list1!AA12,"]")</f>
        <v xml:space="preserve"> (Соединительные трубы) Максимальный перепад высот: S[15]</v>
      </c>
      <c r="AB12" t="str">
        <f>CONCATENATE(AB$2,": ",AB$3,list1!AB12,"]")</f>
        <v xml:space="preserve"> (Допустимая темп. наружного воздуха) Охлаждение: S[от -10 до +46]</v>
      </c>
      <c r="AC12" t="str">
        <f>CONCATENATE(AC$2,": ",AC$3,list1!AC12,"]")</f>
        <v xml:space="preserve"> (Допустимая темп. наружного воздуха) Обогрев: S[от -15 до +24]</v>
      </c>
      <c r="AD12" s="6" t="s">
        <v>5245</v>
      </c>
    </row>
    <row r="13" spans="1:31" x14ac:dyDescent="0.25">
      <c r="A13" t="str">
        <f>CONCATENATE(A$2,": ",A$3,list1!A13,"]")</f>
        <v>Производитель: E[FUJITSU]</v>
      </c>
      <c r="B13" t="str">
        <f>CONCATENATE(B$2,": ",B$3,list1!B13,"]")</f>
        <v xml:space="preserve"> Тип: S[Сплит система]</v>
      </c>
      <c r="C13" t="str">
        <f>CONCATENATE(C$2,": ",C$3,list1!C13,"]")</f>
        <v xml:space="preserve"> (Сплит система) Холодопроизводительность: N[2.5]</v>
      </c>
      <c r="D13" t="str">
        <f>CONCATENATE(D$2,": ",D$3,list1!D13,"]")</f>
        <v xml:space="preserve"> (Сплит система) Площадь помещения: N[25]</v>
      </c>
      <c r="E13" t="str">
        <f>CONCATENATE(E$2,": ",E$3,list1!E13,"]")</f>
        <v xml:space="preserve"> (Сплит система) Инвентор: S[да]</v>
      </c>
      <c r="F13" t="str">
        <f>CONCATENATE(F$2,": ",F$3,list1!F13,"]")</f>
        <v xml:space="preserve"> (Сплит система) Теплопроизводительность: N[2.8]</v>
      </c>
      <c r="G13" t="str">
        <f>CONCATENATE(G$2,": ",G$3,list1!G13,"]")</f>
        <v xml:space="preserve"> (Потребляемая мощность) Охлаждение: N[0.71]</v>
      </c>
      <c r="H13" t="str">
        <f>CONCATENATE(H$2,": ",H$3,list1!H13,"]")</f>
        <v xml:space="preserve"> (Потребляемая мощность) Обогрев: S[0.79]</v>
      </c>
      <c r="I13" t="str">
        <f>CONCATENATE(I$2,": ",I$3,list1!I13,"]")</f>
        <v xml:space="preserve"> (Рабочий ток) Охлаждение: S[]</v>
      </c>
      <c r="J13" t="str">
        <f>CONCATENATE(J$2,": ",J$3,list1!J13,"]")</f>
        <v xml:space="preserve"> (Рабочий ток) Обогрев: S[]</v>
      </c>
      <c r="K13" t="str">
        <f>CONCATENATE(K$2,": ",K$3,list1!K13,"]")</f>
        <v xml:space="preserve"> (Рабочий ток) Напряжение / Частота источника питания: S[1 / 230 / 50]</v>
      </c>
      <c r="L13" t="str">
        <f>CONCATENATE(L$2,": ",L$3,list1!L13,"]")</f>
        <v xml:space="preserve"> (Рабочий ток) Хладагент: S[R32]</v>
      </c>
      <c r="M13" t="str">
        <f>CONCATENATE(M$2,": ",M$3,list1!M13,"]")</f>
        <v xml:space="preserve"> (Рабочий ток) Количество хладагента: N[]</v>
      </c>
      <c r="N13" t="str">
        <f>CONCATENATE(N$2,": ",N$3,list1!N13,"]")</f>
        <v xml:space="preserve"> (Рабочий ток) Объем рециркулируемого воздуха внутреннего блока: S[]</v>
      </c>
      <c r="O13" t="str">
        <f>CONCATENATE(O$2,": ",O$3,list1!O13,"]")</f>
        <v xml:space="preserve"> (Внутренний блок) Размеры (Ш x Г x В): S[784 х 270 х 224]</v>
      </c>
      <c r="P13" t="str">
        <f>CONCATENATE(P$2,": ",P$3,list1!P13,"]")</f>
        <v xml:space="preserve"> (Внутренний блок) Упаковка (Ш x Г x В): S[864 х 279 х 334]</v>
      </c>
      <c r="Q13" t="str">
        <f>CONCATENATE(Q$2,": ",Q$3,list1!Q13,"]")</f>
        <v xml:space="preserve"> (Внутренний блок) Масса (нетто / брутто): S[8 / 11]</v>
      </c>
      <c r="R13" t="str">
        <f>CONCATENATE(R$2,": ",R$3,list1!R13,"]")</f>
        <v xml:space="preserve"> (Внутренний блок) Уровень шума мин. / макс.: S[22/31/38/45]</v>
      </c>
      <c r="S13" t="str">
        <f>CONCATENATE(S$2,": ",S$3,list1!S13,"]")</f>
        <v xml:space="preserve"> (Наружный блок) Марка компрессора: S[]</v>
      </c>
      <c r="T13" t="str">
        <f>CONCATENATE(T$2,": ",T$3,list1!T13,"]")</f>
        <v xml:space="preserve"> (Наружный блок) Размеры (Ш x Г x В): S[663 х 290 х 541]</v>
      </c>
      <c r="U13" t="str">
        <f>CONCATENATE(U$2,": ",U$3,list1!U13,"]")</f>
        <v xml:space="preserve"> (Наружный блок) Упаковка (Ш x Г x В): S[798 х 369 х 596]</v>
      </c>
      <c r="V13" t="str">
        <f>CONCATENATE(V$2,": ",V$3,list1!V13,"]")</f>
        <v xml:space="preserve"> (Наружный блок) Масса (нетто / брутто): S[23/25]</v>
      </c>
      <c r="W13" t="str">
        <f>CONCATENATE(W$2,": ",W$3,list1!W13,"]")</f>
        <v xml:space="preserve"> (Наружный блок) Максимальный уровень шума: N[]</v>
      </c>
      <c r="X13" t="str">
        <f>CONCATENATE(X$2,": ",X$3,list1!X13,"]")</f>
        <v xml:space="preserve"> (Соединительные трубы) Жидкостная линия : N[6.35]</v>
      </c>
      <c r="Y13" t="str">
        <f>CONCATENATE(Y$2,": ",Y$3,list1!Y13,"]")</f>
        <v xml:space="preserve"> (Соединительные трубы) Газовая линия : N[9.52]</v>
      </c>
      <c r="Z13" t="str">
        <f>CONCATENATE(Z$2,": ",Z$3,list1!Z13,"]")</f>
        <v xml:space="preserve"> (Соединительные трубы) Максимальная длина трубопровода: N[20]</v>
      </c>
      <c r="AA13" t="str">
        <f>CONCATENATE(AA$2,": ",AA$3,list1!AA13,"]")</f>
        <v xml:space="preserve"> (Соединительные трубы) Максимальный перепад высот: S[15]</v>
      </c>
      <c r="AB13" t="str">
        <f>CONCATENATE(AB$2,": ",AB$3,list1!AB13,"]")</f>
        <v xml:space="preserve"> (Допустимая темп. наружного воздуха) Охлаждение: S[от -10 до +46]</v>
      </c>
      <c r="AC13" t="str">
        <f>CONCATENATE(AC$2,": ",AC$3,list1!AC13,"]")</f>
        <v xml:space="preserve"> (Допустимая темп. наружного воздуха) Обогрев: S[от -15 до +24]</v>
      </c>
      <c r="AD13" s="6" t="s">
        <v>5245</v>
      </c>
    </row>
    <row r="14" spans="1:31" x14ac:dyDescent="0.25">
      <c r="A14" t="str">
        <f>CONCATENATE(A$2,": ",A$3,list1!A14,"]")</f>
        <v>Производитель: E[FUJITSU]</v>
      </c>
      <c r="B14" t="str">
        <f>CONCATENATE(B$2,": ",B$3,list1!B14,"]")</f>
        <v xml:space="preserve"> Тип: S[Сплит система]</v>
      </c>
      <c r="C14" t="str">
        <f>CONCATENATE(C$2,": ",C$3,list1!C14,"]")</f>
        <v xml:space="preserve"> (Сплит система) Холодопроизводительность: N[3.4]</v>
      </c>
      <c r="D14" t="str">
        <f>CONCATENATE(D$2,": ",D$3,list1!D14,"]")</f>
        <v xml:space="preserve"> (Сплит система) Площадь помещения: N[34]</v>
      </c>
      <c r="E14" t="str">
        <f>CONCATENATE(E$2,": ",E$3,list1!E14,"]")</f>
        <v xml:space="preserve"> (Сплит система) Инвентор: S[да]</v>
      </c>
      <c r="F14" t="str">
        <f>CONCATENATE(F$2,": ",F$3,list1!F14,"]")</f>
        <v xml:space="preserve"> (Сплит система) Теплопроизводительность: N[3.8]</v>
      </c>
      <c r="G14" t="str">
        <f>CONCATENATE(G$2,": ",G$3,list1!G14,"]")</f>
        <v xml:space="preserve"> (Потребляемая мощность) Охлаждение: N[1]</v>
      </c>
      <c r="H14" t="str">
        <f>CONCATENATE(H$2,": ",H$3,list1!H14,"]")</f>
        <v xml:space="preserve"> (Потребляемая мощность) Обогрев: S[1.14]</v>
      </c>
      <c r="I14" t="str">
        <f>CONCATENATE(I$2,": ",I$3,list1!I14,"]")</f>
        <v xml:space="preserve"> (Рабочий ток) Охлаждение: S[]</v>
      </c>
      <c r="J14" t="str">
        <f>CONCATENATE(J$2,": ",J$3,list1!J14,"]")</f>
        <v xml:space="preserve"> (Рабочий ток) Обогрев: S[]</v>
      </c>
      <c r="K14" t="str">
        <f>CONCATENATE(K$2,": ",K$3,list1!K14,"]")</f>
        <v xml:space="preserve"> (Рабочий ток) Напряжение / Частота источника питания: S[1 / 230 / 50]</v>
      </c>
      <c r="L14" t="str">
        <f>CONCATENATE(L$2,": ",L$3,list1!L14,"]")</f>
        <v xml:space="preserve"> (Рабочий ток) Хладагент: S[R32]</v>
      </c>
      <c r="M14" t="str">
        <f>CONCATENATE(M$2,": ",M$3,list1!M14,"]")</f>
        <v xml:space="preserve"> (Рабочий ток) Количество хладагента: N[]</v>
      </c>
      <c r="N14" t="str">
        <f>CONCATENATE(N$2,": ",N$3,list1!N14,"]")</f>
        <v xml:space="preserve"> (Рабочий ток) Объем рециркулируемого воздуха внутреннего блока: S[]</v>
      </c>
      <c r="O14" t="str">
        <f>CONCATENATE(O$2,": ",O$3,list1!O14,"]")</f>
        <v xml:space="preserve"> (Внутренний блок) Размеры (Ш x Г x В): S[784 х 270 х 224]</v>
      </c>
      <c r="P14" t="str">
        <f>CONCATENATE(P$2,": ",P$3,list1!P14,"]")</f>
        <v xml:space="preserve"> (Внутренний блок) Упаковка (Ш x Г x В): S[864 х 279 х 334]</v>
      </c>
      <c r="Q14" t="str">
        <f>CONCATENATE(Q$2,": ",Q$3,list1!Q14,"]")</f>
        <v xml:space="preserve"> (Внутренний блок) Масса (нетто / брутто): S[8 / 11]</v>
      </c>
      <c r="R14" t="str">
        <f>CONCATENATE(R$2,": ",R$3,list1!R14,"]")</f>
        <v xml:space="preserve"> (Внутренний блок) Уровень шума мин. / макс.: S[22/33/40/46]</v>
      </c>
      <c r="S14" t="str">
        <f>CONCATENATE(S$2,": ",S$3,list1!S14,"]")</f>
        <v xml:space="preserve"> (Наружный блок) Марка компрессора: S[]</v>
      </c>
      <c r="T14" t="str">
        <f>CONCATENATE(T$2,": ",T$3,list1!T14,"]")</f>
        <v xml:space="preserve"> (Наружный блок) Размеры (Ш x Г x В): S[663 х 290 х 541]</v>
      </c>
      <c r="U14" t="str">
        <f>CONCATENATE(U$2,": ",U$3,list1!U14,"]")</f>
        <v xml:space="preserve"> (Наружный блок) Упаковка (Ш x Г x В): S[798 х 369 х 596]</v>
      </c>
      <c r="V14" t="str">
        <f>CONCATENATE(V$2,": ",V$3,list1!V14,"]")</f>
        <v xml:space="preserve"> (Наружный блок) Масса (нетто / брутто): S[25/27]</v>
      </c>
      <c r="W14" t="str">
        <f>CONCATENATE(W$2,": ",W$3,list1!W14,"]")</f>
        <v xml:space="preserve"> (Наружный блок) Максимальный уровень шума: N[]</v>
      </c>
      <c r="X14" t="str">
        <f>CONCATENATE(X$2,": ",X$3,list1!X14,"]")</f>
        <v xml:space="preserve"> (Соединительные трубы) Жидкостная линия : N[6.35]</v>
      </c>
      <c r="Y14" t="str">
        <f>CONCATENATE(Y$2,": ",Y$3,list1!Y14,"]")</f>
        <v xml:space="preserve"> (Соединительные трубы) Газовая линия : N[9.52]</v>
      </c>
      <c r="Z14" t="str">
        <f>CONCATENATE(Z$2,": ",Z$3,list1!Z14,"]")</f>
        <v xml:space="preserve"> (Соединительные трубы) Максимальная длина трубопровода: N[20]</v>
      </c>
      <c r="AA14" t="str">
        <f>CONCATENATE(AA$2,": ",AA$3,list1!AA14,"]")</f>
        <v xml:space="preserve"> (Соединительные трубы) Максимальный перепад высот: S[15]</v>
      </c>
      <c r="AB14" t="str">
        <f>CONCATENATE(AB$2,": ",AB$3,list1!AB14,"]")</f>
        <v xml:space="preserve"> (Допустимая темп. наружного воздуха) Охлаждение: S[от -10 до +46]</v>
      </c>
      <c r="AC14" t="str">
        <f>CONCATENATE(AC$2,": ",AC$3,list1!AC14,"]")</f>
        <v xml:space="preserve"> (Допустимая темп. наружного воздуха) Обогрев: S[от -15 до +24]</v>
      </c>
      <c r="AD14" s="6" t="s">
        <v>5245</v>
      </c>
    </row>
    <row r="15" spans="1:31" x14ac:dyDescent="0.25">
      <c r="A15" t="str">
        <f>CONCATENATE(A$2,": ",A$3,list1!A15,"]")</f>
        <v>Производитель: E[FUJITSU]</v>
      </c>
      <c r="B15" t="str">
        <f>CONCATENATE(B$2,": ",B$3,list1!B15,"]")</f>
        <v xml:space="preserve"> Тип: S[Сплит система]</v>
      </c>
      <c r="C15" t="str">
        <f>CONCATENATE(C$2,": ",C$3,list1!C15,"]")</f>
        <v xml:space="preserve"> (Сплит система) Холодопроизводительность: N[3.4]</v>
      </c>
      <c r="D15" t="str">
        <f>CONCATENATE(D$2,": ",D$3,list1!D15,"]")</f>
        <v xml:space="preserve"> (Сплит система) Площадь помещения: N[34]</v>
      </c>
      <c r="E15" t="str">
        <f>CONCATENATE(E$2,": ",E$3,list1!E15,"]")</f>
        <v xml:space="preserve"> (Сплит система) Инвентор: S[да]</v>
      </c>
      <c r="F15" t="str">
        <f>CONCATENATE(F$2,": ",F$3,list1!F15,"]")</f>
        <v xml:space="preserve"> (Сплит система) Теплопроизводительность: N[3.8]</v>
      </c>
      <c r="G15" t="str">
        <f>CONCATENATE(G$2,": ",G$3,list1!G15,"]")</f>
        <v xml:space="preserve"> (Потребляемая мощность) Охлаждение: N[1]</v>
      </c>
      <c r="H15" t="str">
        <f>CONCATENATE(H$2,": ",H$3,list1!H15,"]")</f>
        <v xml:space="preserve"> (Потребляемая мощность) Обогрев: S[1.14]</v>
      </c>
      <c r="I15" t="str">
        <f>CONCATENATE(I$2,": ",I$3,list1!I15,"]")</f>
        <v xml:space="preserve"> (Рабочий ток) Охлаждение: S[]</v>
      </c>
      <c r="J15" t="str">
        <f>CONCATENATE(J$2,": ",J$3,list1!J15,"]")</f>
        <v xml:space="preserve"> (Рабочий ток) Обогрев: S[]</v>
      </c>
      <c r="K15" t="str">
        <f>CONCATENATE(K$2,": ",K$3,list1!K15,"]")</f>
        <v xml:space="preserve"> (Рабочий ток) Напряжение / Частота источника питания: S[1 / 230 / 50]</v>
      </c>
      <c r="L15" t="str">
        <f>CONCATENATE(L$2,": ",L$3,list1!L15,"]")</f>
        <v xml:space="preserve"> (Рабочий ток) Хладагент: S[R32]</v>
      </c>
      <c r="M15" t="str">
        <f>CONCATENATE(M$2,": ",M$3,list1!M15,"]")</f>
        <v xml:space="preserve"> (Рабочий ток) Количество хладагента: N[]</v>
      </c>
      <c r="N15" t="str">
        <f>CONCATENATE(N$2,": ",N$3,list1!N15,"]")</f>
        <v xml:space="preserve"> (Рабочий ток) Объем рециркулируемого воздуха внутреннего блока: S[]</v>
      </c>
      <c r="O15" t="str">
        <f>CONCATENATE(O$2,": ",O$3,list1!O15,"]")</f>
        <v xml:space="preserve"> (Внутренний блок) Размеры (Ш x Г x В): S[784 х 270 х 224]</v>
      </c>
      <c r="P15" t="str">
        <f>CONCATENATE(P$2,": ",P$3,list1!P15,"]")</f>
        <v xml:space="preserve"> (Внутренний блок) Упаковка (Ш x Г x В): S[864 х 279 х 334]</v>
      </c>
      <c r="Q15" t="str">
        <f>CONCATENATE(Q$2,": ",Q$3,list1!Q15,"]")</f>
        <v xml:space="preserve"> (Внутренний блок) Масса (нетто / брутто): S[8 / 11]</v>
      </c>
      <c r="R15" t="str">
        <f>CONCATENATE(R$2,": ",R$3,list1!R15,"]")</f>
        <v xml:space="preserve"> (Внутренний блок) Уровень шума мин. / макс.: S[22/33/40/46]</v>
      </c>
      <c r="S15" t="str">
        <f>CONCATENATE(S$2,": ",S$3,list1!S15,"]")</f>
        <v xml:space="preserve"> (Наружный блок) Марка компрессора: S[]</v>
      </c>
      <c r="T15" t="str">
        <f>CONCATENATE(T$2,": ",T$3,list1!T15,"]")</f>
        <v xml:space="preserve"> (Наружный блок) Размеры (Ш x Г x В): S[663 х 290 х 541]</v>
      </c>
      <c r="U15" t="str">
        <f>CONCATENATE(U$2,": ",U$3,list1!U15,"]")</f>
        <v xml:space="preserve"> (Наружный блок) Упаковка (Ш x Г x В): S[798 х 369 х 596]</v>
      </c>
      <c r="V15" t="str">
        <f>CONCATENATE(V$2,": ",V$3,list1!V15,"]")</f>
        <v xml:space="preserve"> (Наружный блок) Масса (нетто / брутто): S[25/27]</v>
      </c>
      <c r="W15" t="str">
        <f>CONCATENATE(W$2,": ",W$3,list1!W15,"]")</f>
        <v xml:space="preserve"> (Наружный блок) Максимальный уровень шума: N[]</v>
      </c>
      <c r="X15" t="str">
        <f>CONCATENATE(X$2,": ",X$3,list1!X15,"]")</f>
        <v xml:space="preserve"> (Соединительные трубы) Жидкостная линия : N[6.35]</v>
      </c>
      <c r="Y15" t="str">
        <f>CONCATENATE(Y$2,": ",Y$3,list1!Y15,"]")</f>
        <v xml:space="preserve"> (Соединительные трубы) Газовая линия : N[9.52]</v>
      </c>
      <c r="Z15" t="str">
        <f>CONCATENATE(Z$2,": ",Z$3,list1!Z15,"]")</f>
        <v xml:space="preserve"> (Соединительные трубы) Максимальная длина трубопровода: N[20]</v>
      </c>
      <c r="AA15" t="str">
        <f>CONCATENATE(AA$2,": ",AA$3,list1!AA15,"]")</f>
        <v xml:space="preserve"> (Соединительные трубы) Максимальный перепад высот: S[15]</v>
      </c>
      <c r="AB15" t="str">
        <f>CONCATENATE(AB$2,": ",AB$3,list1!AB15,"]")</f>
        <v xml:space="preserve"> (Допустимая темп. наружного воздуха) Охлаждение: S[от -10 до +46]</v>
      </c>
      <c r="AC15" t="str">
        <f>CONCATENATE(AC$2,": ",AC$3,list1!AC15,"]")</f>
        <v xml:space="preserve"> (Допустимая темп. наружного воздуха) Обогрев: S[от -15 до +24]</v>
      </c>
      <c r="AD15" s="6" t="s">
        <v>5245</v>
      </c>
    </row>
    <row r="16" spans="1:31" x14ac:dyDescent="0.25">
      <c r="A16" t="str">
        <f>CONCATENATE(A$2,": ",A$3,list1!A16,"]")</f>
        <v>Производитель: E[FUJITSU]</v>
      </c>
      <c r="B16" t="str">
        <f>CONCATENATE(B$2,": ",B$3,list1!B16,"]")</f>
        <v xml:space="preserve"> Тип: S[Сплит система]</v>
      </c>
      <c r="C16" t="str">
        <f>CONCATENATE(C$2,": ",C$3,list1!C16,"]")</f>
        <v xml:space="preserve"> (Сплит система) Холодопроизводительность: N[5.2]</v>
      </c>
      <c r="D16" t="str">
        <f>CONCATENATE(D$2,": ",D$3,list1!D16,"]")</f>
        <v xml:space="preserve"> (Сплит система) Площадь помещения: N[52]</v>
      </c>
      <c r="E16" t="str">
        <f>CONCATENATE(E$2,": ",E$3,list1!E16,"]")</f>
        <v xml:space="preserve"> (Сплит система) Инвентор: S[да]</v>
      </c>
      <c r="F16" t="str">
        <f>CONCATENATE(F$2,": ",F$3,list1!F16,"]")</f>
        <v xml:space="preserve"> (Сплит система) Теплопроизводительность: N[6.3]</v>
      </c>
      <c r="G16" t="str">
        <f>CONCATENATE(G$2,": ",G$3,list1!G16,"]")</f>
        <v xml:space="preserve"> (Потребляемая мощность) Охлаждение: N[1.685]</v>
      </c>
      <c r="H16" t="str">
        <f>CONCATENATE(H$2,": ",H$3,list1!H16,"]")</f>
        <v xml:space="preserve"> (Потребляемая мощность) Обогрев: S[1.8]</v>
      </c>
      <c r="I16" t="str">
        <f>CONCATENATE(I$2,": ",I$3,list1!I16,"]")</f>
        <v xml:space="preserve"> (Рабочий ток) Охлаждение: S[]</v>
      </c>
      <c r="J16" t="str">
        <f>CONCATENATE(J$2,": ",J$3,list1!J16,"]")</f>
        <v xml:space="preserve"> (Рабочий ток) Обогрев: S[]</v>
      </c>
      <c r="K16" t="str">
        <f>CONCATENATE(K$2,": ",K$3,list1!K16,"]")</f>
        <v xml:space="preserve"> (Рабочий ток) Напряжение / Частота источника питания: S[1 / 230 / 50]</v>
      </c>
      <c r="L16" t="str">
        <f>CONCATENATE(L$2,": ",L$3,list1!L16,"]")</f>
        <v xml:space="preserve"> (Рабочий ток) Хладагент: S[R32]</v>
      </c>
      <c r="M16" t="str">
        <f>CONCATENATE(M$2,": ",M$3,list1!M16,"]")</f>
        <v xml:space="preserve"> (Рабочий ток) Количество хладагента: N[]</v>
      </c>
      <c r="N16" t="str">
        <f>CONCATENATE(N$2,": ",N$3,list1!N16,"]")</f>
        <v xml:space="preserve"> (Рабочий ток) Объем рециркулируемого воздуха внутреннего блока: S[]</v>
      </c>
      <c r="O16" t="str">
        <f>CONCATENATE(O$2,": ",O$3,list1!O16,"]")</f>
        <v xml:space="preserve"> (Внутренний блок) Размеры (Ш x Г x В): S[790 х 293 х 249]</v>
      </c>
      <c r="P16" t="str">
        <f>CONCATENATE(P$2,": ",P$3,list1!P16,"]")</f>
        <v xml:space="preserve"> (Внутренний блок) Упаковка (Ш x Г x В): S[840 х 320 х 375]</v>
      </c>
      <c r="Q16" t="str">
        <f>CONCATENATE(Q$2,": ",Q$3,list1!Q16,"]")</f>
        <v xml:space="preserve"> (Внутренний блок) Масса (нетто / брутто): S[9.5 / 12]</v>
      </c>
      <c r="R16" t="str">
        <f>CONCATENATE(R$2,": ",R$3,list1!R16,"]")</f>
        <v xml:space="preserve"> (Внутренний блок) Уровень шума мин. / макс.: S[35/40/44/47]</v>
      </c>
      <c r="S16" t="str">
        <f>CONCATENATE(S$2,": ",S$3,list1!S16,"]")</f>
        <v xml:space="preserve"> (Наружный блок) Марка компрессора: S[]</v>
      </c>
      <c r="T16" t="str">
        <f>CONCATENATE(T$2,": ",T$3,list1!T16,"]")</f>
        <v xml:space="preserve"> (Наружный блок) Размеры (Ш x Г x В): S[799 х 290 х 542]</v>
      </c>
      <c r="U16" t="str">
        <f>CONCATENATE(U$2,": ",U$3,list1!U16,"]")</f>
        <v xml:space="preserve"> (Наружный блок) Упаковка (Ш x Г x В): S[940 х 375 х 602]</v>
      </c>
      <c r="V16" t="str">
        <f>CONCATENATE(V$2,": ",V$3,list1!V16,"]")</f>
        <v xml:space="preserve"> (Наружный блок) Масса (нетто / брутто): S[33/37]</v>
      </c>
      <c r="W16" t="str">
        <f>CONCATENATE(W$2,": ",W$3,list1!W16,"]")</f>
        <v xml:space="preserve"> (Наружный блок) Максимальный уровень шума: N[]</v>
      </c>
      <c r="X16" t="str">
        <f>CONCATENATE(X$2,": ",X$3,list1!X16,"]")</f>
        <v xml:space="preserve"> (Соединительные трубы) Жидкостная линия : N[6.35]</v>
      </c>
      <c r="Y16" t="str">
        <f>CONCATENATE(Y$2,": ",Y$3,list1!Y16,"]")</f>
        <v xml:space="preserve"> (Соединительные трубы) Газовая линия : N[9.52]</v>
      </c>
      <c r="Z16" t="str">
        <f>CONCATENATE(Z$2,": ",Z$3,list1!Z16,"]")</f>
        <v xml:space="preserve"> (Соединительные трубы) Максимальная длина трубопровода: N[25]</v>
      </c>
      <c r="AA16" t="str">
        <f>CONCATENATE(AA$2,": ",AA$3,list1!AA16,"]")</f>
        <v xml:space="preserve"> (Соединительные трубы) Максимальный перепад высот: S[20]</v>
      </c>
      <c r="AB16" t="str">
        <f>CONCATENATE(AB$2,": ",AB$3,list1!AB16,"]")</f>
        <v xml:space="preserve"> (Допустимая темп. наружного воздуха) Охлаждение: S[от -10 до +46]</v>
      </c>
      <c r="AC16" t="str">
        <f>CONCATENATE(AC$2,": ",AC$3,list1!AC16,"]")</f>
        <v xml:space="preserve"> (Допустимая темп. наружного воздуха) Обогрев: S[от -15 до +24]</v>
      </c>
      <c r="AD16" s="6" t="s">
        <v>5245</v>
      </c>
    </row>
    <row r="17" spans="1:30" x14ac:dyDescent="0.25">
      <c r="A17" t="str">
        <f>CONCATENATE(A$2,": ",A$3,list1!A17,"]")</f>
        <v>Производитель: E[FUJITSU]</v>
      </c>
      <c r="B17" t="str">
        <f>CONCATENATE(B$2,": ",B$3,list1!B17,"]")</f>
        <v xml:space="preserve"> Тип: S[Сплит система]</v>
      </c>
      <c r="C17" t="str">
        <f>CONCATENATE(C$2,": ",C$3,list1!C17,"]")</f>
        <v xml:space="preserve"> (Сплит система) Холодопроизводительность: N[5.2]</v>
      </c>
      <c r="D17" t="str">
        <f>CONCATENATE(D$2,": ",D$3,list1!D17,"]")</f>
        <v xml:space="preserve"> (Сплит система) Площадь помещения: N[52]</v>
      </c>
      <c r="E17" t="str">
        <f>CONCATENATE(E$2,": ",E$3,list1!E17,"]")</f>
        <v xml:space="preserve"> (Сплит система) Инвентор: S[да]</v>
      </c>
      <c r="F17" t="str">
        <f>CONCATENATE(F$2,": ",F$3,list1!F17,"]")</f>
        <v xml:space="preserve"> (Сплит система) Теплопроизводительность: N[6.3]</v>
      </c>
      <c r="G17" t="str">
        <f>CONCATENATE(G$2,": ",G$3,list1!G17,"]")</f>
        <v xml:space="preserve"> (Потребляемая мощность) Охлаждение: N[1.685]</v>
      </c>
      <c r="H17" t="str">
        <f>CONCATENATE(H$2,": ",H$3,list1!H17,"]")</f>
        <v xml:space="preserve"> (Потребляемая мощность) Обогрев: S[1.8]</v>
      </c>
      <c r="I17" t="str">
        <f>CONCATENATE(I$2,": ",I$3,list1!I17,"]")</f>
        <v xml:space="preserve"> (Рабочий ток) Охлаждение: S[]</v>
      </c>
      <c r="J17" t="str">
        <f>CONCATENATE(J$2,": ",J$3,list1!J17,"]")</f>
        <v xml:space="preserve"> (Рабочий ток) Обогрев: S[]</v>
      </c>
      <c r="K17" t="str">
        <f>CONCATENATE(K$2,": ",K$3,list1!K17,"]")</f>
        <v xml:space="preserve"> (Рабочий ток) Напряжение / Частота источника питания: S[1 / 230 / 50]</v>
      </c>
      <c r="L17" t="str">
        <f>CONCATENATE(L$2,": ",L$3,list1!L17,"]")</f>
        <v xml:space="preserve"> (Рабочий ток) Хладагент: S[R32]</v>
      </c>
      <c r="M17" t="str">
        <f>CONCATENATE(M$2,": ",M$3,list1!M17,"]")</f>
        <v xml:space="preserve"> (Рабочий ток) Количество хладагента: N[]</v>
      </c>
      <c r="N17" t="str">
        <f>CONCATENATE(N$2,": ",N$3,list1!N17,"]")</f>
        <v xml:space="preserve"> (Рабочий ток) Объем рециркулируемого воздуха внутреннего блока: S[]</v>
      </c>
      <c r="O17" t="str">
        <f>CONCATENATE(O$2,": ",O$3,list1!O17,"]")</f>
        <v xml:space="preserve"> (Внутренний блок) Размеры (Ш x Г x В): S[790 х 293 х 249]</v>
      </c>
      <c r="P17" t="str">
        <f>CONCATENATE(P$2,": ",P$3,list1!P17,"]")</f>
        <v xml:space="preserve"> (Внутренний блок) Упаковка (Ш x Г x В): S[840 х 320 х 375]</v>
      </c>
      <c r="Q17" t="str">
        <f>CONCATENATE(Q$2,": ",Q$3,list1!Q17,"]")</f>
        <v xml:space="preserve"> (Внутренний блок) Масса (нетто / брутто): S[9.5 / 12]</v>
      </c>
      <c r="R17" t="str">
        <f>CONCATENATE(R$2,": ",R$3,list1!R17,"]")</f>
        <v xml:space="preserve"> (Внутренний блок) Уровень шума мин. / макс.: S[35/40/44/47]</v>
      </c>
      <c r="S17" t="str">
        <f>CONCATENATE(S$2,": ",S$3,list1!S17,"]")</f>
        <v xml:space="preserve"> (Наружный блок) Марка компрессора: S[]</v>
      </c>
      <c r="T17" t="str">
        <f>CONCATENATE(T$2,": ",T$3,list1!T17,"]")</f>
        <v xml:space="preserve"> (Наружный блок) Размеры (Ш x Г x В): S[799 х 290 х 542]</v>
      </c>
      <c r="U17" t="str">
        <f>CONCATENATE(U$2,": ",U$3,list1!U17,"]")</f>
        <v xml:space="preserve"> (Наружный блок) Упаковка (Ш x Г x В): S[940 х 375 х 602]</v>
      </c>
      <c r="V17" t="str">
        <f>CONCATENATE(V$2,": ",V$3,list1!V17,"]")</f>
        <v xml:space="preserve"> (Наружный блок) Масса (нетто / брутто): S[33/36]</v>
      </c>
      <c r="W17" t="str">
        <f>CONCATENATE(W$2,": ",W$3,list1!W17,"]")</f>
        <v xml:space="preserve"> (Наружный блок) Максимальный уровень шума: N[]</v>
      </c>
      <c r="X17" t="str">
        <f>CONCATENATE(X$2,": ",X$3,list1!X17,"]")</f>
        <v xml:space="preserve"> (Соединительные трубы) Жидкостная линия : N[6.35]</v>
      </c>
      <c r="Y17" t="str">
        <f>CONCATENATE(Y$2,": ",Y$3,list1!Y17,"]")</f>
        <v xml:space="preserve"> (Соединительные трубы) Газовая линия : N[9.52]</v>
      </c>
      <c r="Z17" t="str">
        <f>CONCATENATE(Z$2,": ",Z$3,list1!Z17,"]")</f>
        <v xml:space="preserve"> (Соединительные трубы) Максимальная длина трубопровода: N[25]</v>
      </c>
      <c r="AA17" t="str">
        <f>CONCATENATE(AA$2,": ",AA$3,list1!AA17,"]")</f>
        <v xml:space="preserve"> (Соединительные трубы) Максимальный перепад высот: S[20]</v>
      </c>
      <c r="AB17" t="str">
        <f>CONCATENATE(AB$2,": ",AB$3,list1!AB17,"]")</f>
        <v xml:space="preserve"> (Допустимая темп. наружного воздуха) Охлаждение: S[от -10 до +46]</v>
      </c>
      <c r="AC17" t="str">
        <f>CONCATENATE(AC$2,": ",AC$3,list1!AC17,"]")</f>
        <v xml:space="preserve"> (Допустимая темп. наружного воздуха) Обогрев: S[от -15 до +24]</v>
      </c>
      <c r="AD17" s="6" t="s">
        <v>5245</v>
      </c>
    </row>
    <row r="18" spans="1:30" x14ac:dyDescent="0.25">
      <c r="A18" t="str">
        <f>CONCATENATE(A$2,": ",A$3,list1!A18,"]")</f>
        <v>Производитель: E[FUJITSU]</v>
      </c>
      <c r="B18" t="str">
        <f>CONCATENATE(B$2,": ",B$3,list1!B18,"]")</f>
        <v xml:space="preserve"> Тип: S[Сплит система]</v>
      </c>
      <c r="C18" t="str">
        <f>CONCATENATE(C$2,": ",C$3,list1!C18,"]")</f>
        <v xml:space="preserve"> (Сплит система) Холодопроизводительность: N[7.1]</v>
      </c>
      <c r="D18" t="str">
        <f>CONCATENATE(D$2,": ",D$3,list1!D18,"]")</f>
        <v xml:space="preserve"> (Сплит система) Площадь помещения: N[71]</v>
      </c>
      <c r="E18" t="str">
        <f>CONCATENATE(E$2,": ",E$3,list1!E18,"]")</f>
        <v xml:space="preserve"> (Сплит система) Инвентор: S[да]</v>
      </c>
      <c r="F18" t="str">
        <f>CONCATENATE(F$2,": ",F$3,list1!F18,"]")</f>
        <v xml:space="preserve"> (Сплит система) Теплопроизводительность: N[8]</v>
      </c>
      <c r="G18" t="str">
        <f>CONCATENATE(G$2,": ",G$3,list1!G18,"]")</f>
        <v xml:space="preserve"> (Потребляемая мощность) Охлаждение: N[2.42]</v>
      </c>
      <c r="H18" t="str">
        <f>CONCATENATE(H$2,": ",H$3,list1!H18,"]")</f>
        <v xml:space="preserve"> (Потребляемая мощность) Обогрев: S[2.225]</v>
      </c>
      <c r="I18" t="str">
        <f>CONCATENATE(I$2,": ",I$3,list1!I18,"]")</f>
        <v xml:space="preserve"> (Рабочий ток) Охлаждение: S[]</v>
      </c>
      <c r="J18" t="str">
        <f>CONCATENATE(J$2,": ",J$3,list1!J18,"]")</f>
        <v xml:space="preserve"> (Рабочий ток) Обогрев: S[]</v>
      </c>
      <c r="K18" t="str">
        <f>CONCATENATE(K$2,": ",K$3,list1!K18,"]")</f>
        <v xml:space="preserve"> (Рабочий ток) Напряжение / Частота источника питания: S[1 / 230 / 50]</v>
      </c>
      <c r="L18" t="str">
        <f>CONCATENATE(L$2,": ",L$3,list1!L18,"]")</f>
        <v xml:space="preserve"> (Рабочий ток) Хладагент: S[R32]</v>
      </c>
      <c r="M18" t="str">
        <f>CONCATENATE(M$2,": ",M$3,list1!M18,"]")</f>
        <v xml:space="preserve"> (Рабочий ток) Количество хладагента: N[]</v>
      </c>
      <c r="N18" t="str">
        <f>CONCATENATE(N$2,": ",N$3,list1!N18,"]")</f>
        <v xml:space="preserve"> (Рабочий ток) Объем рециркулируемого воздуха внутреннего блока: S[]</v>
      </c>
      <c r="O18" t="str">
        <f>CONCATENATE(O$2,": ",O$3,list1!O18,"]")</f>
        <v xml:space="preserve"> (Внутренний блок) Размеры (Ш x Г x В): S[790 х 293 х 249]</v>
      </c>
      <c r="P18" t="str">
        <f>CONCATENATE(P$2,": ",P$3,list1!P18,"]")</f>
        <v xml:space="preserve"> (Внутренний блок) Упаковка (Ш x Г x В): S[840 х 320 х 375]</v>
      </c>
      <c r="Q18" t="str">
        <f>CONCATENATE(Q$2,": ",Q$3,list1!Q18,"]")</f>
        <v xml:space="preserve"> (Внутренний блок) Масса (нетто / брутто): S[10 / 12.5]</v>
      </c>
      <c r="R18" t="str">
        <f>CONCATENATE(R$2,": ",R$3,list1!R18,"]")</f>
        <v xml:space="preserve"> (Внутренний блок) Уровень шума мин. / макс.: S[33/38/45/51]</v>
      </c>
      <c r="S18" t="str">
        <f>CONCATENATE(S$2,": ",S$3,list1!S18,"]")</f>
        <v xml:space="preserve"> (Наружный блок) Марка компрессора: S[]</v>
      </c>
      <c r="T18" t="str">
        <f>CONCATENATE(T$2,": ",T$3,list1!T18,"]")</f>
        <v xml:space="preserve"> (Наружный блок) Размеры (Ш x Г x В): S[799 х 290 х 632]</v>
      </c>
      <c r="U18" t="str">
        <f>CONCATENATE(U$2,": ",U$3,list1!U18,"]")</f>
        <v xml:space="preserve"> (Наружный блок) Упаковка (Ш x Г x В): S[940 х 375 х 692]</v>
      </c>
      <c r="V18" t="str">
        <f>CONCATENATE(V$2,": ",V$3,list1!V18,"]")</f>
        <v xml:space="preserve"> (Наружный блок) Масса (нетто / брутто): S[38/42]</v>
      </c>
      <c r="W18" t="str">
        <f>CONCATENATE(W$2,": ",W$3,list1!W18,"]")</f>
        <v xml:space="preserve"> (Наружный блок) Максимальный уровень шума: N[]</v>
      </c>
      <c r="X18" t="str">
        <f>CONCATENATE(X$2,": ",X$3,list1!X18,"]")</f>
        <v xml:space="preserve"> (Соединительные трубы) Жидкостная линия : N[6.35]</v>
      </c>
      <c r="Y18" t="str">
        <f>CONCATENATE(Y$2,": ",Y$3,list1!Y18,"]")</f>
        <v xml:space="preserve"> (Соединительные трубы) Газовая линия : N[12.7]</v>
      </c>
      <c r="Z18" t="str">
        <f>CONCATENATE(Z$2,": ",Z$3,list1!Z18,"]")</f>
        <v xml:space="preserve"> (Соединительные трубы) Максимальная длина трубопровода: N[30]</v>
      </c>
      <c r="AA18" t="str">
        <f>CONCATENATE(AA$2,": ",AA$3,list1!AA18,"]")</f>
        <v xml:space="preserve"> (Соединительные трубы) Максимальный перепад высот: S[25]</v>
      </c>
      <c r="AB18" t="str">
        <f>CONCATENATE(AB$2,": ",AB$3,list1!AB18,"]")</f>
        <v xml:space="preserve"> (Допустимая темп. наружного воздуха) Охлаждение: S[от -10 до +46]</v>
      </c>
      <c r="AC18" t="str">
        <f>CONCATENATE(AC$2,": ",AC$3,list1!AC18,"]")</f>
        <v xml:space="preserve"> (Допустимая темп. наружного воздуха) Обогрев: S[от -15 до +24]</v>
      </c>
      <c r="AD18" s="6" t="s">
        <v>5245</v>
      </c>
    </row>
    <row r="19" spans="1:30" x14ac:dyDescent="0.25">
      <c r="A19" t="str">
        <f>CONCATENATE(A$2,": ",A$3,list1!A19,"]")</f>
        <v>Производитель: E[FUJITSU]</v>
      </c>
      <c r="B19" t="str">
        <f>CONCATENATE(B$2,": ",B$3,list1!B19,"]")</f>
        <v xml:space="preserve"> Тип: S[Сплит система]</v>
      </c>
      <c r="C19" t="str">
        <f>CONCATENATE(C$2,": ",C$3,list1!C19,"]")</f>
        <v xml:space="preserve"> (Сплит система) Холодопроизводительность: N[7.1]</v>
      </c>
      <c r="D19" t="str">
        <f>CONCATENATE(D$2,": ",D$3,list1!D19,"]")</f>
        <v xml:space="preserve"> (Сплит система) Площадь помещения: N[71]</v>
      </c>
      <c r="E19" t="str">
        <f>CONCATENATE(E$2,": ",E$3,list1!E19,"]")</f>
        <v xml:space="preserve"> (Сплит система) Инвентор: S[да]</v>
      </c>
      <c r="F19" t="str">
        <f>CONCATENATE(F$2,": ",F$3,list1!F19,"]")</f>
        <v xml:space="preserve"> (Сплит система) Теплопроизводительность: N[8]</v>
      </c>
      <c r="G19" t="str">
        <f>CONCATENATE(G$2,": ",G$3,list1!G19,"]")</f>
        <v xml:space="preserve"> (Потребляемая мощность) Охлаждение: N[2.42]</v>
      </c>
      <c r="H19" t="str">
        <f>CONCATENATE(H$2,": ",H$3,list1!H19,"]")</f>
        <v xml:space="preserve"> (Потребляемая мощность) Обогрев: S[2.225]</v>
      </c>
      <c r="I19" t="str">
        <f>CONCATENATE(I$2,": ",I$3,list1!I19,"]")</f>
        <v xml:space="preserve"> (Рабочий ток) Охлаждение: S[]</v>
      </c>
      <c r="J19" t="str">
        <f>CONCATENATE(J$2,": ",J$3,list1!J19,"]")</f>
        <v xml:space="preserve"> (Рабочий ток) Обогрев: S[]</v>
      </c>
      <c r="K19" t="str">
        <f>CONCATENATE(K$2,": ",K$3,list1!K19,"]")</f>
        <v xml:space="preserve"> (Рабочий ток) Напряжение / Частота источника питания: S[1 / 230 / 50]</v>
      </c>
      <c r="L19" t="str">
        <f>CONCATENATE(L$2,": ",L$3,list1!L19,"]")</f>
        <v xml:space="preserve"> (Рабочий ток) Хладагент: S[R32]</v>
      </c>
      <c r="M19" t="str">
        <f>CONCATENATE(M$2,": ",M$3,list1!M19,"]")</f>
        <v xml:space="preserve"> (Рабочий ток) Количество хладагента: N[]</v>
      </c>
      <c r="N19" t="str">
        <f>CONCATENATE(N$2,": ",N$3,list1!N19,"]")</f>
        <v xml:space="preserve"> (Рабочий ток) Объем рециркулируемого воздуха внутреннего блока: S[]</v>
      </c>
      <c r="O19" t="str">
        <f>CONCATENATE(O$2,": ",O$3,list1!O19,"]")</f>
        <v xml:space="preserve"> (Внутренний блок) Размеры (Ш x Г x В): S[790 х 293 х 249]</v>
      </c>
      <c r="P19" t="str">
        <f>CONCATENATE(P$2,": ",P$3,list1!P19,"]")</f>
        <v xml:space="preserve"> (Внутренний блок) Упаковка (Ш x Г x В): S[840 х 320 х 375]</v>
      </c>
      <c r="Q19" t="str">
        <f>CONCATENATE(Q$2,": ",Q$3,list1!Q19,"]")</f>
        <v xml:space="preserve"> (Внутренний блок) Масса (нетто / брутто): S[10 / 12.5]</v>
      </c>
      <c r="R19" t="str">
        <f>CONCATENATE(R$2,": ",R$3,list1!R19,"]")</f>
        <v xml:space="preserve"> (Внутренний блок) Уровень шума мин. / макс.: S[33/38/45/51]</v>
      </c>
      <c r="S19" t="str">
        <f>CONCATENATE(S$2,": ",S$3,list1!S19,"]")</f>
        <v xml:space="preserve"> (Наружный блок) Марка компрессора: S[]</v>
      </c>
      <c r="T19" t="str">
        <f>CONCATENATE(T$2,": ",T$3,list1!T19,"]")</f>
        <v xml:space="preserve"> (Наружный блок) Размеры (Ш x Г x В): S[799 х 290 х 632]</v>
      </c>
      <c r="U19" t="str">
        <f>CONCATENATE(U$2,": ",U$3,list1!U19,"]")</f>
        <v xml:space="preserve"> (Наружный блок) Упаковка (Ш x Г x В): S[940 х 375 х 692]</v>
      </c>
      <c r="V19" t="str">
        <f>CONCATENATE(V$2,": ",V$3,list1!V19,"]")</f>
        <v xml:space="preserve"> (Наружный блок) Масса (нетто / брутто): S[38/42]</v>
      </c>
      <c r="W19" t="str">
        <f>CONCATENATE(W$2,": ",W$3,list1!W19,"]")</f>
        <v xml:space="preserve"> (Наружный блок) Максимальный уровень шума: N[]</v>
      </c>
      <c r="X19" t="str">
        <f>CONCATENATE(X$2,": ",X$3,list1!X19,"]")</f>
        <v xml:space="preserve"> (Соединительные трубы) Жидкостная линия : N[6.35]</v>
      </c>
      <c r="Y19" t="str">
        <f>CONCATENATE(Y$2,": ",Y$3,list1!Y19,"]")</f>
        <v xml:space="preserve"> (Соединительные трубы) Газовая линия : N[12.7]</v>
      </c>
      <c r="Z19" t="str">
        <f>CONCATENATE(Z$2,": ",Z$3,list1!Z19,"]")</f>
        <v xml:space="preserve"> (Соединительные трубы) Максимальная длина трубопровода: N[30]</v>
      </c>
      <c r="AA19" t="str">
        <f>CONCATENATE(AA$2,": ",AA$3,list1!AA19,"]")</f>
        <v xml:space="preserve"> (Соединительные трубы) Максимальный перепад высот: S[25]</v>
      </c>
      <c r="AB19" t="str">
        <f>CONCATENATE(AB$2,": ",AB$3,list1!AB19,"]")</f>
        <v xml:space="preserve"> (Допустимая темп. наружного воздуха) Охлаждение: S[от -10 до +46]</v>
      </c>
      <c r="AC19" t="str">
        <f>CONCATENATE(AC$2,": ",AC$3,list1!AC19,"]")</f>
        <v xml:space="preserve"> (Допустимая темп. наружного воздуха) Обогрев: S[от -15 до +24]</v>
      </c>
      <c r="AD19" s="6" t="s">
        <v>5245</v>
      </c>
    </row>
    <row r="20" spans="1:30" x14ac:dyDescent="0.25">
      <c r="A20" t="str">
        <f>CONCATENATE(A$2,": ",A$3,list1!A20,"]")</f>
        <v>Производитель: E[FUJITSU]</v>
      </c>
      <c r="B20" t="str">
        <f>CONCATENATE(B$2,": ",B$3,list1!B20,"]")</f>
        <v xml:space="preserve"> Тип: S[Сплит система]</v>
      </c>
      <c r="C20" t="str">
        <f>CONCATENATE(C$2,": ",C$3,list1!C20,"]")</f>
        <v xml:space="preserve"> (Сплит система) Холодопроизводительность: N[2]</v>
      </c>
      <c r="D20" t="str">
        <f>CONCATENATE(D$2,": ",D$3,list1!D20,"]")</f>
        <v xml:space="preserve"> (Сплит система) Площадь помещения: N[20]</v>
      </c>
      <c r="E20" t="str">
        <f>CONCATENATE(E$2,": ",E$3,list1!E20,"]")</f>
        <v xml:space="preserve"> (Сплит система) Инвентор: S[да]</v>
      </c>
      <c r="F20" t="str">
        <f>CONCATENATE(F$2,": ",F$3,list1!F20,"]")</f>
        <v xml:space="preserve"> (Сплит система) Теплопроизводительность: N[2]</v>
      </c>
      <c r="G20" t="str">
        <f>CONCATENATE(G$2,": ",G$3,list1!G20,"]")</f>
        <v xml:space="preserve"> (Потребляемая мощность) Охлаждение: N[0.45]</v>
      </c>
      <c r="H20" t="str">
        <f>CONCATENATE(H$2,": ",H$3,list1!H20,"]")</f>
        <v xml:space="preserve"> (Потребляемая мощность) Обогрев: S[0.555]</v>
      </c>
      <c r="I20" t="str">
        <f>CONCATENATE(I$2,": ",I$3,list1!I20,"]")</f>
        <v xml:space="preserve"> (Рабочий ток) Охлаждение: S[]</v>
      </c>
      <c r="J20" t="str">
        <f>CONCATENATE(J$2,": ",J$3,list1!J20,"]")</f>
        <v xml:space="preserve"> (Рабочий ток) Обогрев: S[]</v>
      </c>
      <c r="K20" t="str">
        <f>CONCATENATE(K$2,": ",K$3,list1!K20,"]")</f>
        <v xml:space="preserve"> (Рабочий ток) Напряжение / Частота источника питания: S[1 / 220 / 50]</v>
      </c>
      <c r="L20" t="str">
        <f>CONCATENATE(L$2,": ",L$3,list1!L20,"]")</f>
        <v xml:space="preserve"> (Рабочий ток) Хладагент: S[R32]</v>
      </c>
      <c r="M20" t="str">
        <f>CONCATENATE(M$2,": ",M$3,list1!M20,"]")</f>
        <v xml:space="preserve"> (Рабочий ток) Количество хладагента: N[]</v>
      </c>
      <c r="N20" t="str">
        <f>CONCATENATE(N$2,": ",N$3,list1!N20,"]")</f>
        <v xml:space="preserve"> (Рабочий ток) Объем рециркулируемого воздуха внутреннего блока: S[]</v>
      </c>
      <c r="O20" t="str">
        <f>CONCATENATE(O$2,": ",O$3,list1!O20,"]")</f>
        <v xml:space="preserve"> (Внутренний блок) Размеры (Ш x Г x В): S[834 х 270 х 222]</v>
      </c>
      <c r="P20" t="str">
        <f>CONCATENATE(P$2,": ",P$3,list1!P20,"]")</f>
        <v xml:space="preserve"> (Внутренний блок) Упаковка (Ш x Г x В): S[914 х 332 х 277]</v>
      </c>
      <c r="Q20" t="str">
        <f>CONCATENATE(Q$2,": ",Q$3,list1!Q20,"]")</f>
        <v xml:space="preserve"> (Внутренний блок) Масса (нетто / брутто): S[10 / 12.5]</v>
      </c>
      <c r="R20" t="str">
        <f>CONCATENATE(R$2,": ",R$3,list1!R20,"]")</f>
        <v xml:space="preserve"> (Внутренний блок) Уровень шума мин. / макс.: S[20/29/33/38]</v>
      </c>
      <c r="S20" t="str">
        <f>CONCATENATE(S$2,": ",S$3,list1!S20,"]")</f>
        <v xml:space="preserve"> (Наружный блок) Марка компрессора: S[]</v>
      </c>
      <c r="T20" t="str">
        <f>CONCATENATE(T$2,": ",T$3,list1!T20,"]")</f>
        <v xml:space="preserve"> (Наружный блок) Размеры (Ш x Г x В): S[663 х 290 х 541]</v>
      </c>
      <c r="U20" t="str">
        <f>CONCATENATE(U$2,": ",U$3,list1!U20,"]")</f>
        <v xml:space="preserve"> (Наружный блок) Упаковка (Ш x Г x В): S[804 х 375 х 602]</v>
      </c>
      <c r="V20" t="str">
        <f>CONCATENATE(V$2,": ",V$3,list1!V20,"]")</f>
        <v xml:space="preserve"> (Наружный блок) Масса (нетто / брутто): S[22/25]</v>
      </c>
      <c r="W20" t="str">
        <f>CONCATENATE(W$2,": ",W$3,list1!W20,"]")</f>
        <v xml:space="preserve"> (Наружный блок) Максимальный уровень шума: N[]</v>
      </c>
      <c r="X20" t="str">
        <f>CONCATENATE(X$2,": ",X$3,list1!X20,"]")</f>
        <v xml:space="preserve"> (Соединительные трубы) Жидкостная линия : N[6.35]</v>
      </c>
      <c r="Y20" t="str">
        <f>CONCATENATE(Y$2,": ",Y$3,list1!Y20,"]")</f>
        <v xml:space="preserve"> (Соединительные трубы) Газовая линия : N[9.52]</v>
      </c>
      <c r="Z20" t="str">
        <f>CONCATENATE(Z$2,": ",Z$3,list1!Z20,"]")</f>
        <v xml:space="preserve"> (Соединительные трубы) Максимальная длина трубопровода: N[20]</v>
      </c>
      <c r="AA20" t="str">
        <f>CONCATENATE(AA$2,": ",AA$3,list1!AA20,"]")</f>
        <v xml:space="preserve"> (Соединительные трубы) Максимальный перепад высот: S[15]</v>
      </c>
      <c r="AB20" t="str">
        <f>CONCATENATE(AB$2,": ",AB$3,list1!AB20,"]")</f>
        <v xml:space="preserve"> (Допустимая темп. наружного воздуха) Охлаждение: S[от -10 до +46]</v>
      </c>
      <c r="AC20" t="str">
        <f>CONCATENATE(AC$2,": ",AC$3,list1!AC20,"]")</f>
        <v xml:space="preserve"> (Допустимая темп. наружного воздуха) Обогрев: S[от -15 до +24]</v>
      </c>
      <c r="AD20" s="6" t="s">
        <v>5245</v>
      </c>
    </row>
    <row r="21" spans="1:30" x14ac:dyDescent="0.25">
      <c r="A21" t="str">
        <f>CONCATENATE(A$2,": ",A$3,list1!A21,"]")</f>
        <v>Производитель: E[FUJITSU]</v>
      </c>
      <c r="B21" t="str">
        <f>CONCATENATE(B$2,": ",B$3,list1!B21,"]")</f>
        <v xml:space="preserve"> Тип: S[Сплит система]</v>
      </c>
      <c r="C21" t="str">
        <f>CONCATENATE(C$2,": ",C$3,list1!C21,"]")</f>
        <v xml:space="preserve"> (Сплит система) Холодопроизводительность: N[2.5]</v>
      </c>
      <c r="D21" t="str">
        <f>CONCATENATE(D$2,": ",D$3,list1!D21,"]")</f>
        <v xml:space="preserve"> (Сплит система) Площадь помещения: N[25]</v>
      </c>
      <c r="E21" t="str">
        <f>CONCATENATE(E$2,": ",E$3,list1!E21,"]")</f>
        <v xml:space="preserve"> (Сплит система) Инвентор: S[да]</v>
      </c>
      <c r="F21" t="str">
        <f>CONCATENATE(F$2,": ",F$3,list1!F21,"]")</f>
        <v xml:space="preserve"> (Сплит система) Теплопроизводительность: N[2.5]</v>
      </c>
      <c r="G21" t="str">
        <f>CONCATENATE(G$2,": ",G$3,list1!G21,"]")</f>
        <v xml:space="preserve"> (Потребляемая мощность) Охлаждение: N[0.63]</v>
      </c>
      <c r="H21" t="str">
        <f>CONCATENATE(H$2,": ",H$3,list1!H21,"]")</f>
        <v xml:space="preserve"> (Потребляемая мощность) Обогрев: S[0.62]</v>
      </c>
      <c r="I21" t="str">
        <f>CONCATENATE(I$2,": ",I$3,list1!I21,"]")</f>
        <v xml:space="preserve"> (Рабочий ток) Охлаждение: S[]</v>
      </c>
      <c r="J21" t="str">
        <f>CONCATENATE(J$2,": ",J$3,list1!J21,"]")</f>
        <v xml:space="preserve"> (Рабочий ток) Обогрев: S[]</v>
      </c>
      <c r="K21" t="str">
        <f>CONCATENATE(K$2,": ",K$3,list1!K21,"]")</f>
        <v xml:space="preserve"> (Рабочий ток) Напряжение / Частота источника питания: S[1 / 220 / 50]</v>
      </c>
      <c r="L21" t="str">
        <f>CONCATENATE(L$2,": ",L$3,list1!L21,"]")</f>
        <v xml:space="preserve"> (Рабочий ток) Хладагент: S[R32]</v>
      </c>
      <c r="M21" t="str">
        <f>CONCATENATE(M$2,": ",M$3,list1!M21,"]")</f>
        <v xml:space="preserve"> (Рабочий ток) Количество хладагента: N[]</v>
      </c>
      <c r="N21" t="str">
        <f>CONCATENATE(N$2,": ",N$3,list1!N21,"]")</f>
        <v xml:space="preserve"> (Рабочий ток) Объем рециркулируемого воздуха внутреннего блока: S[]</v>
      </c>
      <c r="O21" t="str">
        <f>CONCATENATE(O$2,": ",O$3,list1!O21,"]")</f>
        <v xml:space="preserve"> (Внутренний блок) Размеры (Ш x Г x В): S[834 х 270 х 222]</v>
      </c>
      <c r="P21" t="str">
        <f>CONCATENATE(P$2,": ",P$3,list1!P21,"]")</f>
        <v xml:space="preserve"> (Внутренний блок) Упаковка (Ш x Г x В): S[914 х 332 х 277]</v>
      </c>
      <c r="Q21" t="str">
        <f>CONCATENATE(Q$2,": ",Q$3,list1!Q21,"]")</f>
        <v xml:space="preserve"> (Внутренний блок) Масса (нетто / брутто): S[10 / 12.5]</v>
      </c>
      <c r="R21" t="str">
        <f>CONCATENATE(R$2,": ",R$3,list1!R21,"]")</f>
        <v xml:space="preserve"> (Внутренний блок) Уровень шума мин. / макс.: S[20/29/34/40]</v>
      </c>
      <c r="S21" t="str">
        <f>CONCATENATE(S$2,": ",S$3,list1!S21,"]")</f>
        <v xml:space="preserve"> (Наружный блок) Марка компрессора: S[]</v>
      </c>
      <c r="T21" t="str">
        <f>CONCATENATE(T$2,": ",T$3,list1!T21,"]")</f>
        <v xml:space="preserve"> (Наружный блок) Размеры (Ш x Г x В): S[663 х 290 х 541]</v>
      </c>
      <c r="U21" t="str">
        <f>CONCATENATE(U$2,": ",U$3,list1!U21,"]")</f>
        <v xml:space="preserve"> (Наружный блок) Упаковка (Ш x Г x В): S[804 х 375 х 602]</v>
      </c>
      <c r="V21" t="str">
        <f>CONCATENATE(V$2,": ",V$3,list1!V21,"]")</f>
        <v xml:space="preserve"> (Наружный блок) Масса (нетто / брутто): S[22/25]</v>
      </c>
      <c r="W21" t="str">
        <f>CONCATENATE(W$2,": ",W$3,list1!W21,"]")</f>
        <v xml:space="preserve"> (Наружный блок) Максимальный уровень шума: N[]</v>
      </c>
      <c r="X21" t="str">
        <f>CONCATENATE(X$2,": ",X$3,list1!X21,"]")</f>
        <v xml:space="preserve"> (Соединительные трубы) Жидкостная линия : N[6.35]</v>
      </c>
      <c r="Y21" t="str">
        <f>CONCATENATE(Y$2,": ",Y$3,list1!Y21,"]")</f>
        <v xml:space="preserve"> (Соединительные трубы) Газовая линия : N[9.52]</v>
      </c>
      <c r="Z21" t="str">
        <f>CONCATENATE(Z$2,": ",Z$3,list1!Z21,"]")</f>
        <v xml:space="preserve"> (Соединительные трубы) Максимальная длина трубопровода: N[20]</v>
      </c>
      <c r="AA21" t="str">
        <f>CONCATENATE(AA$2,": ",AA$3,list1!AA21,"]")</f>
        <v xml:space="preserve"> (Соединительные трубы) Максимальный перепад высот: S[15]</v>
      </c>
      <c r="AB21" t="str">
        <f>CONCATENATE(AB$2,": ",AB$3,list1!AB21,"]")</f>
        <v xml:space="preserve"> (Допустимая темп. наружного воздуха) Охлаждение: S[от -10 до +46]</v>
      </c>
      <c r="AC21" t="str">
        <f>CONCATENATE(AC$2,": ",AC$3,list1!AC21,"]")</f>
        <v xml:space="preserve"> (Допустимая темп. наружного воздуха) Обогрев: S[от -15 до +24]</v>
      </c>
      <c r="AD21" s="6" t="s">
        <v>5245</v>
      </c>
    </row>
    <row r="22" spans="1:30" x14ac:dyDescent="0.25">
      <c r="A22" t="str">
        <f>CONCATENATE(A$2,": ",A$3,list1!A22,"]")</f>
        <v>Производитель: E[FUJITSU]</v>
      </c>
      <c r="B22" t="str">
        <f>CONCATENATE(B$2,": ",B$3,list1!B22,"]")</f>
        <v xml:space="preserve"> Тип: S[Сплит система]</v>
      </c>
      <c r="C22" t="str">
        <f>CONCATENATE(C$2,": ",C$3,list1!C22,"]")</f>
        <v xml:space="preserve"> (Сплит система) Холодопроизводительность: N[3.5]</v>
      </c>
      <c r="D22" t="str">
        <f>CONCATENATE(D$2,": ",D$3,list1!D22,"]")</f>
        <v xml:space="preserve"> (Сплит система) Площадь помещения: N[35]</v>
      </c>
      <c r="E22" t="str">
        <f>CONCATENATE(E$2,": ",E$3,list1!E22,"]")</f>
        <v xml:space="preserve"> (Сплит система) Инвентор: S[да]</v>
      </c>
      <c r="F22" t="str">
        <f>CONCATENATE(F$2,": ",F$3,list1!F22,"]")</f>
        <v xml:space="preserve"> (Сплит система) Теплопроизводительность: N[3.5]</v>
      </c>
      <c r="G22" t="str">
        <f>CONCATENATE(G$2,": ",G$3,list1!G22,"]")</f>
        <v xml:space="preserve"> (Потребляемая мощность) Охлаждение: N[0.935]</v>
      </c>
      <c r="H22" t="str">
        <f>CONCATENATE(H$2,": ",H$3,list1!H22,"]")</f>
        <v xml:space="preserve"> (Потребляемая мощность) Обогрев: S[0.96]</v>
      </c>
      <c r="I22" t="str">
        <f>CONCATENATE(I$2,": ",I$3,list1!I22,"]")</f>
        <v xml:space="preserve"> (Рабочий ток) Охлаждение: S[]</v>
      </c>
      <c r="J22" t="str">
        <f>CONCATENATE(J$2,": ",J$3,list1!J22,"]")</f>
        <v xml:space="preserve"> (Рабочий ток) Обогрев: S[]</v>
      </c>
      <c r="K22" t="str">
        <f>CONCATENATE(K$2,": ",K$3,list1!K22,"]")</f>
        <v xml:space="preserve"> (Рабочий ток) Напряжение / Частота источника питания: S[1 / 220 / 50]</v>
      </c>
      <c r="L22" t="str">
        <f>CONCATENATE(L$2,": ",L$3,list1!L22,"]")</f>
        <v xml:space="preserve"> (Рабочий ток) Хладагент: S[R32]</v>
      </c>
      <c r="M22" t="str">
        <f>CONCATENATE(M$2,": ",M$3,list1!M22,"]")</f>
        <v xml:space="preserve"> (Рабочий ток) Количество хладагента: N[]</v>
      </c>
      <c r="N22" t="str">
        <f>CONCATENATE(N$2,": ",N$3,list1!N22,"]")</f>
        <v xml:space="preserve"> (Рабочий ток) Объем рециркулируемого воздуха внутреннего блока: S[]</v>
      </c>
      <c r="O22" t="str">
        <f>CONCATENATE(O$2,": ",O$3,list1!O22,"]")</f>
        <v xml:space="preserve"> (Внутренний блок) Размеры (Ш x Г x В): S[834 х 270 х 222]</v>
      </c>
      <c r="P22" t="str">
        <f>CONCATENATE(P$2,": ",P$3,list1!P22,"]")</f>
        <v xml:space="preserve"> (Внутренний блок) Упаковка (Ш x Г x В): S[914 х 332 х 277]</v>
      </c>
      <c r="Q22" t="str">
        <f>CONCATENATE(Q$2,": ",Q$3,list1!Q22,"]")</f>
        <v xml:space="preserve"> (Внутренний блок) Масса (нетто / брутто): S[10 / 12.5]</v>
      </c>
      <c r="R22" t="str">
        <f>CONCATENATE(R$2,": ",R$3,list1!R22,"]")</f>
        <v xml:space="preserve"> (Внутренний блок) Уровень шума мин. / макс.: S[20/30/35/40]</v>
      </c>
      <c r="S22" t="str">
        <f>CONCATENATE(S$2,": ",S$3,list1!S22,"]")</f>
        <v xml:space="preserve"> (Наружный блок) Марка компрессора: S[]</v>
      </c>
      <c r="T22" t="str">
        <f>CONCATENATE(T$2,": ",T$3,list1!T22,"]")</f>
        <v xml:space="preserve"> (Наружный блок) Размеры (Ш x Г x В): S[663 х 290 х 541]</v>
      </c>
      <c r="U22" t="str">
        <f>CONCATENATE(U$2,": ",U$3,list1!U22,"]")</f>
        <v xml:space="preserve"> (Наружный блок) Упаковка (Ш x Г x В): S[804 х 375 х 602]</v>
      </c>
      <c r="V22" t="str">
        <f>CONCATENATE(V$2,": ",V$3,list1!V22,"]")</f>
        <v xml:space="preserve"> (Наружный блок) Масса (нетто / брутто): S[24/27]</v>
      </c>
      <c r="W22" t="str">
        <f>CONCATENATE(W$2,": ",W$3,list1!W22,"]")</f>
        <v xml:space="preserve"> (Наружный блок) Максимальный уровень шума: N[]</v>
      </c>
      <c r="X22" t="str">
        <f>CONCATENATE(X$2,": ",X$3,list1!X22,"]")</f>
        <v xml:space="preserve"> (Соединительные трубы) Жидкостная линия : N[6.35]</v>
      </c>
      <c r="Y22" t="str">
        <f>CONCATENATE(Y$2,": ",Y$3,list1!Y22,"]")</f>
        <v xml:space="preserve"> (Соединительные трубы) Газовая линия : N[9.52]</v>
      </c>
      <c r="Z22" t="str">
        <f>CONCATENATE(Z$2,": ",Z$3,list1!Z22,"]")</f>
        <v xml:space="preserve"> (Соединительные трубы) Максимальная длина трубопровода: N[20]</v>
      </c>
      <c r="AA22" t="str">
        <f>CONCATENATE(AA$2,": ",AA$3,list1!AA22,"]")</f>
        <v xml:space="preserve"> (Соединительные трубы) Максимальный перепад высот: S[15]</v>
      </c>
      <c r="AB22" t="str">
        <f>CONCATENATE(AB$2,": ",AB$3,list1!AB22,"]")</f>
        <v xml:space="preserve"> (Допустимая темп. наружного воздуха) Охлаждение: S[от -10 до +46]</v>
      </c>
      <c r="AC22" t="str">
        <f>CONCATENATE(AC$2,": ",AC$3,list1!AC22,"]")</f>
        <v xml:space="preserve"> (Допустимая темп. наружного воздуха) Обогрев: S[от -15 до +24]</v>
      </c>
      <c r="AD22" s="6" t="s">
        <v>5245</v>
      </c>
    </row>
    <row r="23" spans="1:30" x14ac:dyDescent="0.25">
      <c r="A23" t="str">
        <f>CONCATENATE(A$2,": ",A$3,list1!A23,"]")</f>
        <v>Производитель: E[FUJITSU]</v>
      </c>
      <c r="B23" t="str">
        <f>CONCATENATE(B$2,": ",B$3,list1!B23,"]")</f>
        <v xml:space="preserve"> Тип: S[Сплит система]</v>
      </c>
      <c r="C23" t="str">
        <f>CONCATENATE(C$2,": ",C$3,list1!C23,"]")</f>
        <v xml:space="preserve"> (Сплит система) Холодопроизводительность: N[4]</v>
      </c>
      <c r="D23" t="str">
        <f>CONCATENATE(D$2,": ",D$3,list1!D23,"]")</f>
        <v xml:space="preserve"> (Сплит система) Площадь помещения: N[40]</v>
      </c>
      <c r="E23" t="str">
        <f>CONCATENATE(E$2,": ",E$3,list1!E23,"]")</f>
        <v xml:space="preserve"> (Сплит система) Инвентор: S[да]</v>
      </c>
      <c r="F23" t="str">
        <f>CONCATENATE(F$2,": ",F$3,list1!F23,"]")</f>
        <v xml:space="preserve"> (Сплит система) Теплопроизводительность: N[4]</v>
      </c>
      <c r="G23" t="str">
        <f>CONCATENATE(G$2,": ",G$3,list1!G23,"]")</f>
        <v xml:space="preserve"> (Потребляемая мощность) Охлаждение: N[1.22]</v>
      </c>
      <c r="H23" t="str">
        <f>CONCATENATE(H$2,": ",H$3,list1!H23,"]")</f>
        <v xml:space="preserve"> (Потребляемая мощность) Обогрев: S[1.41]</v>
      </c>
      <c r="I23" t="str">
        <f>CONCATENATE(I$2,": ",I$3,list1!I23,"]")</f>
        <v xml:space="preserve"> (Рабочий ток) Охлаждение: S[]</v>
      </c>
      <c r="J23" t="str">
        <f>CONCATENATE(J$2,": ",J$3,list1!J23,"]")</f>
        <v xml:space="preserve"> (Рабочий ток) Обогрев: S[]</v>
      </c>
      <c r="K23" t="str">
        <f>CONCATENATE(K$2,": ",K$3,list1!K23,"]")</f>
        <v xml:space="preserve"> (Рабочий ток) Напряжение / Частота источника питания: S[1 / 220 / 50]</v>
      </c>
      <c r="L23" t="str">
        <f>CONCATENATE(L$2,": ",L$3,list1!L23,"]")</f>
        <v xml:space="preserve"> (Рабочий ток) Хладагент: S[R32]</v>
      </c>
      <c r="M23" t="str">
        <f>CONCATENATE(M$2,": ",M$3,list1!M23,"]")</f>
        <v xml:space="preserve"> (Рабочий ток) Количество хладагента: N[]</v>
      </c>
      <c r="N23" t="str">
        <f>CONCATENATE(N$2,": ",N$3,list1!N23,"]")</f>
        <v xml:space="preserve"> (Рабочий ток) Объем рециркулируемого воздуха внутреннего блока: S[]</v>
      </c>
      <c r="O23" t="str">
        <f>CONCATENATE(O$2,": ",O$3,list1!O23,"]")</f>
        <v xml:space="preserve"> (Внутренний блок) Размеры (Ш x Г x В): S[834 х 270 х 222]</v>
      </c>
      <c r="P23" t="str">
        <f>CONCATENATE(P$2,": ",P$3,list1!P23,"]")</f>
        <v xml:space="preserve"> (Внутренний блок) Упаковка (Ш x Г x В): S[914 х 332 х 277]</v>
      </c>
      <c r="Q23" t="str">
        <f>CONCATENATE(Q$2,": ",Q$3,list1!Q23,"]")</f>
        <v xml:space="preserve"> (Внутренний блок) Масса (нетто / брутто): S[10 / 13]</v>
      </c>
      <c r="R23" t="str">
        <f>CONCATENATE(R$2,": ",R$3,list1!R23,"]")</f>
        <v xml:space="preserve"> (Внутренний блок) Уровень шума мин. / макс.: S[20/30/36/43]</v>
      </c>
      <c r="S23" t="str">
        <f>CONCATENATE(S$2,": ",S$3,list1!S23,"]")</f>
        <v xml:space="preserve"> (Наружный блок) Марка компрессора: S[]</v>
      </c>
      <c r="T23" t="str">
        <f>CONCATENATE(T$2,": ",T$3,list1!T23,"]")</f>
        <v xml:space="preserve"> (Наружный блок) Размеры (Ш x Г x В): S[799 х 290 х 542]</v>
      </c>
      <c r="U23" t="str">
        <f>CONCATENATE(U$2,": ",U$3,list1!U23,"]")</f>
        <v xml:space="preserve"> (Наружный блок) Упаковка (Ш x Г x В): S[940 х 375 х 602]</v>
      </c>
      <c r="V23" t="str">
        <f>CONCATENATE(V$2,": ",V$3,list1!V23,"]")</f>
        <v xml:space="preserve"> (Наружный блок) Масса (нетто / брутто): S[31/35]</v>
      </c>
      <c r="W23" t="str">
        <f>CONCATENATE(W$2,": ",W$3,list1!W23,"]")</f>
        <v xml:space="preserve"> (Наружный блок) Максимальный уровень шума: N[]</v>
      </c>
      <c r="X23" t="str">
        <f>CONCATENATE(X$2,": ",X$3,list1!X23,"]")</f>
        <v xml:space="preserve"> (Соединительные трубы) Жидкостная линия : N[6.35]</v>
      </c>
      <c r="Y23" t="str">
        <f>CONCATENATE(Y$2,": ",Y$3,list1!Y23,"]")</f>
        <v xml:space="preserve"> (Соединительные трубы) Газовая линия : N[9.52]</v>
      </c>
      <c r="Z23" t="str">
        <f>CONCATENATE(Z$2,": ",Z$3,list1!Z23,"]")</f>
        <v xml:space="preserve"> (Соединительные трубы) Максимальная длина трубопровода: N[20]</v>
      </c>
      <c r="AA23" t="str">
        <f>CONCATENATE(AA$2,": ",AA$3,list1!AA23,"]")</f>
        <v xml:space="preserve"> (Соединительные трубы) Максимальный перепад высот: S[15]</v>
      </c>
      <c r="AB23" t="str">
        <f>CONCATENATE(AB$2,": ",AB$3,list1!AB23,"]")</f>
        <v xml:space="preserve"> (Допустимая темп. наружного воздуха) Охлаждение: S[от -10 до +46]</v>
      </c>
      <c r="AC23" t="str">
        <f>CONCATENATE(AC$2,": ",AC$3,list1!AC23,"]")</f>
        <v xml:space="preserve"> (Допустимая темп. наружного воздуха) Обогрев: S[от -15 до +24]</v>
      </c>
      <c r="AD23" s="6" t="s">
        <v>5245</v>
      </c>
    </row>
    <row r="24" spans="1:30" x14ac:dyDescent="0.25">
      <c r="A24" t="str">
        <f>CONCATENATE(A$2,": ",A$3,list1!A24,"]")</f>
        <v>Производитель: E[FUJITSU]</v>
      </c>
      <c r="B24" t="str">
        <f>CONCATENATE(B$2,": ",B$3,list1!B24,"]")</f>
        <v xml:space="preserve"> Тип: S[Сплит система]</v>
      </c>
      <c r="C24" t="str">
        <f>CONCATENATE(C$2,": ",C$3,list1!C24,"]")</f>
        <v xml:space="preserve"> (Сплит система) Холодопроизводительность: N[5.2]</v>
      </c>
      <c r="D24" t="str">
        <f>CONCATENATE(D$2,": ",D$3,list1!D24,"]")</f>
        <v xml:space="preserve"> (Сплит система) Площадь помещения: N[52]</v>
      </c>
      <c r="E24" t="str">
        <f>CONCATENATE(E$2,": ",E$3,list1!E24,"]")</f>
        <v xml:space="preserve"> (Сплит система) Инвентор: S[да]</v>
      </c>
      <c r="F24" t="str">
        <f>CONCATENATE(F$2,": ",F$3,list1!F24,"]")</f>
        <v xml:space="preserve"> (Сплит система) Теплопроизводительность: N[6.3]</v>
      </c>
      <c r="G24" t="str">
        <f>CONCATENATE(G$2,": ",G$3,list1!G24,"]")</f>
        <v xml:space="preserve"> (Потребляемая мощность) Охлаждение: N[1.39]</v>
      </c>
      <c r="H24" t="str">
        <f>CONCATENATE(H$2,": ",H$3,list1!H24,"]")</f>
        <v xml:space="preserve"> (Потребляемая мощность) Обогрев: S[1.56]</v>
      </c>
      <c r="I24" t="str">
        <f>CONCATENATE(I$2,": ",I$3,list1!I24,"]")</f>
        <v xml:space="preserve"> (Рабочий ток) Охлаждение: S[]</v>
      </c>
      <c r="J24" t="str">
        <f>CONCATENATE(J$2,": ",J$3,list1!J24,"]")</f>
        <v xml:space="preserve"> (Рабочий ток) Обогрев: S[]</v>
      </c>
      <c r="K24" t="str">
        <f>CONCATENATE(K$2,": ",K$3,list1!K24,"]")</f>
        <v xml:space="preserve"> (Рабочий ток) Напряжение / Частота источника питания: S[1 / 230 / 50]</v>
      </c>
      <c r="L24" t="str">
        <f>CONCATENATE(L$2,": ",L$3,list1!L24,"]")</f>
        <v xml:space="preserve"> (Рабочий ток) Хладагент: S[R32]</v>
      </c>
      <c r="M24" t="str">
        <f>CONCATENATE(M$2,": ",M$3,list1!M24,"]")</f>
        <v xml:space="preserve"> (Рабочий ток) Количество хладагента: N[]</v>
      </c>
      <c r="N24" t="str">
        <f>CONCATENATE(N$2,": ",N$3,list1!N24,"]")</f>
        <v xml:space="preserve"> (Рабочий ток) Объем рециркулируемого воздуха внутреннего блока: S[]</v>
      </c>
      <c r="O24" t="str">
        <f>CONCATENATE(O$2,": ",O$3,list1!O24,"]")</f>
        <v xml:space="preserve"> (Внутренний блок) Размеры (Ш x Г x В): S[980 х 280 х 240]</v>
      </c>
      <c r="P24" t="str">
        <f>CONCATENATE(P$2,": ",P$3,list1!P24,"]")</f>
        <v xml:space="preserve"> (Внутренний блок) Упаковка (Ш x Г x В): S[1078 х 322 х 346]</v>
      </c>
      <c r="Q24" t="str">
        <f>CONCATENATE(Q$2,": ",Q$3,list1!Q24,"]")</f>
        <v xml:space="preserve"> (Внутренний блок) Масса (нетто / брутто): S[12.5 / 18]</v>
      </c>
      <c r="R24" t="str">
        <f>CONCATENATE(R$2,": ",R$3,list1!R24,"]")</f>
        <v xml:space="preserve"> (Внутренний блок) Уровень шума мин. / макс.: S[29/35/40/45]</v>
      </c>
      <c r="S24" t="str">
        <f>CONCATENATE(S$2,": ",S$3,list1!S24,"]")</f>
        <v xml:space="preserve"> (Наружный блок) Марка компрессора: S[]</v>
      </c>
      <c r="T24" t="str">
        <f>CONCATENATE(T$2,": ",T$3,list1!T24,"]")</f>
        <v xml:space="preserve"> (Наружный блок) Размеры (Ш x Г x В): S[799 х 290 х 632]</v>
      </c>
      <c r="U24" t="str">
        <f>CONCATENATE(U$2,": ",U$3,list1!U24,"]")</f>
        <v xml:space="preserve"> (Наружный блок) Упаковка (Ш x Г x В): S[940 х 375 х 692]</v>
      </c>
      <c r="V24" t="str">
        <f>CONCATENATE(V$2,": ",V$3,list1!V24,"]")</f>
        <v xml:space="preserve"> (Наружный блок) Масса (нетто / брутто): S[36/40]</v>
      </c>
      <c r="W24" t="str">
        <f>CONCATENATE(W$2,": ",W$3,list1!W24,"]")</f>
        <v xml:space="preserve"> (Наружный блок) Максимальный уровень шума: N[]</v>
      </c>
      <c r="X24" t="str">
        <f>CONCATENATE(X$2,": ",X$3,list1!X24,"]")</f>
        <v xml:space="preserve"> (Соединительные трубы) Жидкостная линия : N[6.35]</v>
      </c>
      <c r="Y24" t="str">
        <f>CONCATENATE(Y$2,": ",Y$3,list1!Y24,"]")</f>
        <v xml:space="preserve"> (Соединительные трубы) Газовая линия : N[12.7]</v>
      </c>
      <c r="Z24" t="str">
        <f>CONCATENATE(Z$2,": ",Z$3,list1!Z24,"]")</f>
        <v xml:space="preserve"> (Соединительные трубы) Максимальная длина трубопровода: N[25]</v>
      </c>
      <c r="AA24" t="str">
        <f>CONCATENATE(AA$2,": ",AA$3,list1!AA24,"]")</f>
        <v xml:space="preserve"> (Соединительные трубы) Максимальный перепад высот: S[20]</v>
      </c>
      <c r="AB24" t="str">
        <f>CONCATENATE(AB$2,": ",AB$3,list1!AB24,"]")</f>
        <v xml:space="preserve"> (Допустимая темп. наружного воздуха) Охлаждение: S[от -10 до +46]</v>
      </c>
      <c r="AC24" t="str">
        <f>CONCATENATE(AC$2,": ",AC$3,list1!AC24,"]")</f>
        <v xml:space="preserve"> (Допустимая темп. наружного воздуха) Обогрев: S[от -15 до +24]</v>
      </c>
      <c r="AD24" s="6" t="s">
        <v>5245</v>
      </c>
    </row>
    <row r="25" spans="1:30" x14ac:dyDescent="0.25">
      <c r="A25" t="str">
        <f>CONCATENATE(A$2,": ",A$3,list1!A25,"]")</f>
        <v>Производитель: E[FUJITSU]</v>
      </c>
      <c r="B25" t="str">
        <f>CONCATENATE(B$2,": ",B$3,list1!B25,"]")</f>
        <v xml:space="preserve"> Тип: S[Сплит система]</v>
      </c>
      <c r="C25" t="str">
        <f>CONCATENATE(C$2,": ",C$3,list1!C25,"]")</f>
        <v xml:space="preserve"> (Сплит система) Холодопроизводительность: N[5]</v>
      </c>
      <c r="D25" t="str">
        <f>CONCATENATE(D$2,": ",D$3,list1!D25,"]")</f>
        <v xml:space="preserve"> (Сплит система) Площадь помещения: N[50]</v>
      </c>
      <c r="E25" t="str">
        <f>CONCATENATE(E$2,": ",E$3,list1!E25,"]")</f>
        <v xml:space="preserve"> (Сплит система) Инвентор: S[да]</v>
      </c>
      <c r="F25" t="str">
        <f>CONCATENATE(F$2,": ",F$3,list1!F25,"]")</f>
        <v xml:space="preserve"> (Сплит система) Теплопроизводительность: N[5]</v>
      </c>
      <c r="G25" t="str">
        <f>CONCATENATE(G$2,": ",G$3,list1!G25,"]")</f>
        <v xml:space="preserve"> (Потребляемая мощность) Охлаждение: N[1.39]</v>
      </c>
      <c r="H25" t="str">
        <f>CONCATENATE(H$2,": ",H$3,list1!H25,"]")</f>
        <v xml:space="preserve"> (Потребляемая мощность) Обогрев: S[1.56]</v>
      </c>
      <c r="I25" t="str">
        <f>CONCATENATE(I$2,": ",I$3,list1!I25,"]")</f>
        <v xml:space="preserve"> (Рабочий ток) Охлаждение: S[]</v>
      </c>
      <c r="J25" t="str">
        <f>CONCATENATE(J$2,": ",J$3,list1!J25,"]")</f>
        <v xml:space="preserve"> (Рабочий ток) Обогрев: S[]</v>
      </c>
      <c r="K25" t="str">
        <f>CONCATENATE(K$2,": ",K$3,list1!K25,"]")</f>
        <v xml:space="preserve"> (Рабочий ток) Напряжение / Частота источника питания: S[1 / 230 / 50]</v>
      </c>
      <c r="L25" t="str">
        <f>CONCATENATE(L$2,": ",L$3,list1!L25,"]")</f>
        <v xml:space="preserve"> (Рабочий ток) Хладагент: S[R32]</v>
      </c>
      <c r="M25" t="str">
        <f>CONCATENATE(M$2,": ",M$3,list1!M25,"]")</f>
        <v xml:space="preserve"> (Рабочий ток) Количество хладагента: N[]</v>
      </c>
      <c r="N25" t="str">
        <f>CONCATENATE(N$2,": ",N$3,list1!N25,"]")</f>
        <v xml:space="preserve"> (Рабочий ток) Объем рециркулируемого воздуха внутреннего блока: S[]</v>
      </c>
      <c r="O25" t="str">
        <f>CONCATENATE(O$2,": ",O$3,list1!O25,"]")</f>
        <v xml:space="preserve"> (Внутренний блок) Размеры (Ш x Г x В): S[980 х 280 х 240]</v>
      </c>
      <c r="P25" t="str">
        <f>CONCATENATE(P$2,": ",P$3,list1!P25,"]")</f>
        <v xml:space="preserve"> (Внутренний блок) Упаковка (Ш x Г x В): S[1078 х 346 х 322]</v>
      </c>
      <c r="Q25" t="str">
        <f>CONCATENATE(Q$2,": ",Q$3,list1!Q25,"]")</f>
        <v xml:space="preserve"> (Внутренний блок) Масса (нетто / брутто): S[12.5 / 18]</v>
      </c>
      <c r="R25" t="str">
        <f>CONCATENATE(R$2,": ",R$3,list1!R25,"]")</f>
        <v xml:space="preserve"> (Внутренний блок) Уровень шума мин. / макс.: S[29/35/40/45]</v>
      </c>
      <c r="S25" t="str">
        <f>CONCATENATE(S$2,": ",S$3,list1!S25,"]")</f>
        <v xml:space="preserve"> (Наружный блок) Марка компрессора: S[]</v>
      </c>
      <c r="T25" t="str">
        <f>CONCATENATE(T$2,": ",T$3,list1!T25,"]")</f>
        <v xml:space="preserve"> (Наружный блок) Размеры (Ш x Г x В): S[799 х 290 х 632]</v>
      </c>
      <c r="U25" t="str">
        <f>CONCATENATE(U$2,": ",U$3,list1!U25,"]")</f>
        <v xml:space="preserve"> (Наружный блок) Упаковка (Ш x Г x В): S[940 х 375 х 692]</v>
      </c>
      <c r="V25" t="str">
        <f>CONCATENATE(V$2,": ",V$3,list1!V25,"]")</f>
        <v xml:space="preserve"> (Наружный блок) Масса (нетто / брутто): S[36/40]</v>
      </c>
      <c r="W25" t="str">
        <f>CONCATENATE(W$2,": ",W$3,list1!W25,"]")</f>
        <v xml:space="preserve"> (Наружный блок) Максимальный уровень шума: N[]</v>
      </c>
      <c r="X25" t="str">
        <f>CONCATENATE(X$2,": ",X$3,list1!X25,"]")</f>
        <v xml:space="preserve"> (Соединительные трубы) Жидкостная линия : N[6.35]</v>
      </c>
      <c r="Y25" t="str">
        <f>CONCATENATE(Y$2,": ",Y$3,list1!Y25,"]")</f>
        <v xml:space="preserve"> (Соединительные трубы) Газовая линия : N[12.7]</v>
      </c>
      <c r="Z25" t="str">
        <f>CONCATENATE(Z$2,": ",Z$3,list1!Z25,"]")</f>
        <v xml:space="preserve"> (Соединительные трубы) Максимальная длина трубопровода: N[25]</v>
      </c>
      <c r="AA25" t="str">
        <f>CONCATENATE(AA$2,": ",AA$3,list1!AA25,"]")</f>
        <v xml:space="preserve"> (Соединительные трубы) Максимальный перепад высот: S[20]</v>
      </c>
      <c r="AB25" t="str">
        <f>CONCATENATE(AB$2,": ",AB$3,list1!AB25,"]")</f>
        <v xml:space="preserve"> (Допустимая темп. наружного воздуха) Охлаждение: S[от -10 до +46]</v>
      </c>
      <c r="AC25" t="str">
        <f>CONCATENATE(AC$2,": ",AC$3,list1!AC25,"]")</f>
        <v xml:space="preserve"> (Допустимая темп. наружного воздуха) Обогрев: S[от -15 до +24]</v>
      </c>
      <c r="AD25" s="6" t="s">
        <v>5245</v>
      </c>
    </row>
    <row r="26" spans="1:30" x14ac:dyDescent="0.25">
      <c r="A26" t="str">
        <f>CONCATENATE(A$2,": ",A$3,list1!A26,"]")</f>
        <v>Производитель: E[FUJITSU]</v>
      </c>
      <c r="B26" t="str">
        <f>CONCATENATE(B$2,": ",B$3,list1!B26,"]")</f>
        <v xml:space="preserve"> Тип: S[Сплит система]</v>
      </c>
      <c r="C26" t="str">
        <f>CONCATENATE(C$2,": ",C$3,list1!C26,"]")</f>
        <v xml:space="preserve"> (Сплит система) Холодопроизводительность: N[7.1]</v>
      </c>
      <c r="D26" t="str">
        <f>CONCATENATE(D$2,": ",D$3,list1!D26,"]")</f>
        <v xml:space="preserve"> (Сплит система) Площадь помещения: N[71]</v>
      </c>
      <c r="E26" t="str">
        <f>CONCATENATE(E$2,": ",E$3,list1!E26,"]")</f>
        <v xml:space="preserve"> (Сплит система) Инвентор: S[да]</v>
      </c>
      <c r="F26" t="str">
        <f>CONCATENATE(F$2,": ",F$3,list1!F26,"]")</f>
        <v xml:space="preserve"> (Сплит система) Теплопроизводительность: N[8]</v>
      </c>
      <c r="G26" t="str">
        <f>CONCATENATE(G$2,": ",G$3,list1!G26,"]")</f>
        <v xml:space="preserve"> (Потребляемая мощность) Охлаждение: N[2.08]</v>
      </c>
      <c r="H26" t="str">
        <f>CONCATENATE(H$2,": ",H$3,list1!H26,"]")</f>
        <v xml:space="preserve"> (Потребляемая мощность) Обогрев: S[1.91]</v>
      </c>
      <c r="I26" t="str">
        <f>CONCATENATE(I$2,": ",I$3,list1!I26,"]")</f>
        <v xml:space="preserve"> (Рабочий ток) Охлаждение: S[]</v>
      </c>
      <c r="J26" t="str">
        <f>CONCATENATE(J$2,": ",J$3,list1!J26,"]")</f>
        <v xml:space="preserve"> (Рабочий ток) Обогрев: S[]</v>
      </c>
      <c r="K26" t="str">
        <f>CONCATENATE(K$2,": ",K$3,list1!K26,"]")</f>
        <v xml:space="preserve"> (Рабочий ток) Напряжение / Частота источника питания: S[1 / 230 / 50]</v>
      </c>
      <c r="L26" t="str">
        <f>CONCATENATE(L$2,": ",L$3,list1!L26,"]")</f>
        <v xml:space="preserve"> (Рабочий ток) Хладагент: S[R32]</v>
      </c>
      <c r="M26" t="str">
        <f>CONCATENATE(M$2,": ",M$3,list1!M26,"]")</f>
        <v xml:space="preserve"> (Рабочий ток) Количество хладагента: N[]</v>
      </c>
      <c r="N26" t="str">
        <f>CONCATENATE(N$2,": ",N$3,list1!N26,"]")</f>
        <v xml:space="preserve"> (Рабочий ток) Объем рециркулируемого воздуха внутреннего блока: S[]</v>
      </c>
      <c r="O26" t="str">
        <f>CONCATENATE(O$2,": ",O$3,list1!O26,"]")</f>
        <v xml:space="preserve"> (Внутренний блок) Размеры (Ш x Г x В): S[980 х 280 х 240]</v>
      </c>
      <c r="P26" t="str">
        <f>CONCATENATE(P$2,": ",P$3,list1!P26,"]")</f>
        <v xml:space="preserve"> (Внутренний блок) Упаковка (Ш x Г x В): S[1078 х 322 х 346]</v>
      </c>
      <c r="Q26" t="str">
        <f>CONCATENATE(Q$2,": ",Q$3,list1!Q26,"]")</f>
        <v xml:space="preserve"> (Внутренний блок) Масса (нетто / брутто): S[12.5 / 18]</v>
      </c>
      <c r="R26" t="str">
        <f>CONCATENATE(R$2,": ",R$3,list1!R26,"]")</f>
        <v xml:space="preserve"> (Внутренний блок) Уровень шума мин. / макс.: S[29/35/40/49]</v>
      </c>
      <c r="S26" t="str">
        <f>CONCATENATE(S$2,": ",S$3,list1!S26,"]")</f>
        <v xml:space="preserve"> (Наружный блок) Марка компрессора: S[]</v>
      </c>
      <c r="T26" t="str">
        <f>CONCATENATE(T$2,": ",T$3,list1!T26,"]")</f>
        <v xml:space="preserve"> (Наружный блок) Размеры (Ш x Г x В): S[820 х 315 х 716]</v>
      </c>
      <c r="U26" t="str">
        <f>CONCATENATE(U$2,": ",U$3,list1!U26,"]")</f>
        <v xml:space="preserve"> (Наружный блок) Упаковка (Ш x Г x В): S[961 х 450 х 776]</v>
      </c>
      <c r="V26" t="str">
        <f>CONCATENATE(V$2,": ",V$3,list1!V26,"]")</f>
        <v xml:space="preserve"> (Наружный блок) Масса (нетто / брутто): S[42/46]</v>
      </c>
      <c r="W26" t="str">
        <f>CONCATENATE(W$2,": ",W$3,list1!W26,"]")</f>
        <v xml:space="preserve"> (Наружный блок) Максимальный уровень шума: N[]</v>
      </c>
      <c r="X26" t="str">
        <f>CONCATENATE(X$2,": ",X$3,list1!X26,"]")</f>
        <v xml:space="preserve"> (Соединительные трубы) Жидкостная линия : N[6.35]</v>
      </c>
      <c r="Y26" t="str">
        <f>CONCATENATE(Y$2,": ",Y$3,list1!Y26,"]")</f>
        <v xml:space="preserve"> (Соединительные трубы) Газовая линия : N[12.7]</v>
      </c>
      <c r="Z26" t="str">
        <f>CONCATENATE(Z$2,": ",Z$3,list1!Z26,"]")</f>
        <v xml:space="preserve"> (Соединительные трубы) Максимальная длина трубопровода: N[30]</v>
      </c>
      <c r="AA26" t="str">
        <f>CONCATENATE(AA$2,": ",AA$3,list1!AA26,"]")</f>
        <v xml:space="preserve"> (Соединительные трубы) Максимальный перепад высот: S[25]</v>
      </c>
      <c r="AB26" t="str">
        <f>CONCATENATE(AB$2,": ",AB$3,list1!AB26,"]")</f>
        <v xml:space="preserve"> (Допустимая темп. наружного воздуха) Охлаждение: S[от -10 до +46]</v>
      </c>
      <c r="AC26" t="str">
        <f>CONCATENATE(AC$2,": ",AC$3,list1!AC26,"]")</f>
        <v xml:space="preserve"> (Допустимая темп. наружного воздуха) Обогрев: S[от -15 до +24]</v>
      </c>
      <c r="AD26" s="6" t="s">
        <v>5245</v>
      </c>
    </row>
    <row r="27" spans="1:30" x14ac:dyDescent="0.25">
      <c r="A27" t="str">
        <f>CONCATENATE(A$2,": ",A$3,list1!A27,"]")</f>
        <v>Производитель: E[FUJITSU]</v>
      </c>
      <c r="B27" t="str">
        <f>CONCATENATE(B$2,": ",B$3,list1!B27,"]")</f>
        <v xml:space="preserve"> Тип: S[Сплит система]</v>
      </c>
      <c r="C27" t="str">
        <f>CONCATENATE(C$2,": ",C$3,list1!C27,"]")</f>
        <v xml:space="preserve"> (Сплит система) Холодопроизводительность: N[7]</v>
      </c>
      <c r="D27" t="str">
        <f>CONCATENATE(D$2,": ",D$3,list1!D27,"]")</f>
        <v xml:space="preserve"> (Сплит система) Площадь помещения: N[70]</v>
      </c>
      <c r="E27" t="str">
        <f>CONCATENATE(E$2,": ",E$3,list1!E27,"]")</f>
        <v xml:space="preserve"> (Сплит система) Инвентор: S[да]</v>
      </c>
      <c r="F27" t="str">
        <f>CONCATENATE(F$2,": ",F$3,list1!F27,"]")</f>
        <v xml:space="preserve"> (Сплит система) Теплопроизводительность: N[7]</v>
      </c>
      <c r="G27" t="str">
        <f>CONCATENATE(G$2,": ",G$3,list1!G27,"]")</f>
        <v xml:space="preserve"> (Потребляемая мощность) Охлаждение: N[2.08]</v>
      </c>
      <c r="H27" t="str">
        <f>CONCATENATE(H$2,": ",H$3,list1!H27,"]")</f>
        <v xml:space="preserve"> (Потребляемая мощность) Обогрев: S[1.91]</v>
      </c>
      <c r="I27" t="str">
        <f>CONCATENATE(I$2,": ",I$3,list1!I27,"]")</f>
        <v xml:space="preserve"> (Рабочий ток) Охлаждение: S[]</v>
      </c>
      <c r="J27" t="str">
        <f>CONCATENATE(J$2,": ",J$3,list1!J27,"]")</f>
        <v xml:space="preserve"> (Рабочий ток) Обогрев: S[]</v>
      </c>
      <c r="K27" t="str">
        <f>CONCATENATE(K$2,": ",K$3,list1!K27,"]")</f>
        <v xml:space="preserve"> (Рабочий ток) Напряжение / Частота источника питания: S[1 / 230 / 50]</v>
      </c>
      <c r="L27" t="str">
        <f>CONCATENATE(L$2,": ",L$3,list1!L27,"]")</f>
        <v xml:space="preserve"> (Рабочий ток) Хладагент: S[R32]</v>
      </c>
      <c r="M27" t="str">
        <f>CONCATENATE(M$2,": ",M$3,list1!M27,"]")</f>
        <v xml:space="preserve"> (Рабочий ток) Количество хладагента: N[]</v>
      </c>
      <c r="N27" t="str">
        <f>CONCATENATE(N$2,": ",N$3,list1!N27,"]")</f>
        <v xml:space="preserve"> (Рабочий ток) Объем рециркулируемого воздуха внутреннего блока: S[]</v>
      </c>
      <c r="O27" t="str">
        <f>CONCATENATE(O$2,": ",O$3,list1!O27,"]")</f>
        <v xml:space="preserve"> (Внутренний блок) Размеры (Ш x Г x В): S[980 х 280 х 240]</v>
      </c>
      <c r="P27" t="str">
        <f>CONCATENATE(P$2,": ",P$3,list1!P27,"]")</f>
        <v xml:space="preserve"> (Внутренний блок) Упаковка (Ш x Г x В): S[1078 х 346 х 322]</v>
      </c>
      <c r="Q27" t="str">
        <f>CONCATENATE(Q$2,": ",Q$3,list1!Q27,"]")</f>
        <v xml:space="preserve"> (Внутренний блок) Масса (нетто / брутто): S[12.5 / 18]</v>
      </c>
      <c r="R27" t="str">
        <f>CONCATENATE(R$2,": ",R$3,list1!R27,"]")</f>
        <v xml:space="preserve"> (Внутренний блок) Уровень шума мин. / макс.: S[29/35/40/49]</v>
      </c>
      <c r="S27" t="str">
        <f>CONCATENATE(S$2,": ",S$3,list1!S27,"]")</f>
        <v xml:space="preserve"> (Наружный блок) Марка компрессора: S[]</v>
      </c>
      <c r="T27" t="str">
        <f>CONCATENATE(T$2,": ",T$3,list1!T27,"]")</f>
        <v xml:space="preserve"> (Наружный блок) Размеры (Ш x Г x В): S[820 х 315 х 716]</v>
      </c>
      <c r="U27" t="str">
        <f>CONCATENATE(U$2,": ",U$3,list1!U27,"]")</f>
        <v xml:space="preserve"> (Наружный блок) Упаковка (Ш x Г x В): S[961 х 450 х 776]</v>
      </c>
      <c r="V27" t="str">
        <f>CONCATENATE(V$2,": ",V$3,list1!V27,"]")</f>
        <v xml:space="preserve"> (Наружный блок) Масса (нетто / брутто): S[42/46]</v>
      </c>
      <c r="W27" t="str">
        <f>CONCATENATE(W$2,": ",W$3,list1!W27,"]")</f>
        <v xml:space="preserve"> (Наружный блок) Максимальный уровень шума: N[]</v>
      </c>
      <c r="X27" t="str">
        <f>CONCATENATE(X$2,": ",X$3,list1!X27,"]")</f>
        <v xml:space="preserve"> (Соединительные трубы) Жидкостная линия : N[6.35]</v>
      </c>
      <c r="Y27" t="str">
        <f>CONCATENATE(Y$2,": ",Y$3,list1!Y27,"]")</f>
        <v xml:space="preserve"> (Соединительные трубы) Газовая линия : N[12.7]</v>
      </c>
      <c r="Z27" t="str">
        <f>CONCATENATE(Z$2,": ",Z$3,list1!Z27,"]")</f>
        <v xml:space="preserve"> (Соединительные трубы) Максимальная длина трубопровода: N[30]</v>
      </c>
      <c r="AA27" t="str">
        <f>CONCATENATE(AA$2,": ",AA$3,list1!AA27,"]")</f>
        <v xml:space="preserve"> (Соединительные трубы) Максимальный перепад высот: S[25]</v>
      </c>
      <c r="AB27" t="str">
        <f>CONCATENATE(AB$2,": ",AB$3,list1!AB27,"]")</f>
        <v xml:space="preserve"> (Допустимая темп. наружного воздуха) Охлаждение: S[от -10 до +46]</v>
      </c>
      <c r="AC27" t="str">
        <f>CONCATENATE(AC$2,": ",AC$3,list1!AC27,"]")</f>
        <v xml:space="preserve"> (Допустимая темп. наружного воздуха) Обогрев: S[от -15 до +24]</v>
      </c>
      <c r="AD27" s="6" t="s">
        <v>5245</v>
      </c>
    </row>
    <row r="28" spans="1:30" x14ac:dyDescent="0.25">
      <c r="A28" t="str">
        <f>CONCATENATE(A$2,": ",A$3,list1!A28,"]")</f>
        <v>Производитель: E[FUJITSU]</v>
      </c>
      <c r="B28" t="str">
        <f>CONCATENATE(B$2,": ",B$3,list1!B28,"]")</f>
        <v xml:space="preserve"> Тип: S[Сплит система]</v>
      </c>
      <c r="C28" t="str">
        <f>CONCATENATE(C$2,": ",C$3,list1!C28,"]")</f>
        <v xml:space="preserve"> (Сплит система) Холодопроизводительность: N[2]</v>
      </c>
      <c r="D28" t="str">
        <f>CONCATENATE(D$2,": ",D$3,list1!D28,"]")</f>
        <v xml:space="preserve"> (Сплит система) Площадь помещения: N[20]</v>
      </c>
      <c r="E28" t="str">
        <f>CONCATENATE(E$2,": ",E$3,list1!E28,"]")</f>
        <v xml:space="preserve"> (Сплит система) Инвентор: S[да]</v>
      </c>
      <c r="F28" t="str">
        <f>CONCATENATE(F$2,": ",F$3,list1!F28,"]")</f>
        <v xml:space="preserve"> (Сплит система) Теплопроизводительность: N[2]</v>
      </c>
      <c r="G28" t="str">
        <f>CONCATENATE(G$2,": ",G$3,list1!G28,"]")</f>
        <v xml:space="preserve"> (Потребляемая мощность) Охлаждение: N[0.45]</v>
      </c>
      <c r="H28" t="str">
        <f>CONCATENATE(H$2,": ",H$3,list1!H28,"]")</f>
        <v xml:space="preserve"> (Потребляемая мощность) Обогрев: S[0.555]</v>
      </c>
      <c r="I28" t="str">
        <f>CONCATENATE(I$2,": ",I$3,list1!I28,"]")</f>
        <v xml:space="preserve"> (Рабочий ток) Охлаждение: S[]</v>
      </c>
      <c r="J28" t="str">
        <f>CONCATENATE(J$2,": ",J$3,list1!J28,"]")</f>
        <v xml:space="preserve"> (Рабочий ток) Обогрев: S[]</v>
      </c>
      <c r="K28" t="str">
        <f>CONCATENATE(K$2,": ",K$3,list1!K28,"]")</f>
        <v xml:space="preserve"> (Рабочий ток) Напряжение / Частота источника питания: S[1 / 230 / 50]</v>
      </c>
      <c r="L28" t="str">
        <f>CONCATENATE(L$2,": ",L$3,list1!L28,"]")</f>
        <v xml:space="preserve"> (Рабочий ток) Хладагент: S[R32]</v>
      </c>
      <c r="M28" t="str">
        <f>CONCATENATE(M$2,": ",M$3,list1!M28,"]")</f>
        <v xml:space="preserve"> (Рабочий ток) Количество хладагента: N[]</v>
      </c>
      <c r="N28" t="str">
        <f>CONCATENATE(N$2,": ",N$3,list1!N28,"]")</f>
        <v xml:space="preserve"> (Рабочий ток) Объем рециркулируемого воздуха внутреннего блока: S[]</v>
      </c>
      <c r="O28" t="str">
        <f>CONCATENATE(O$2,": ",O$3,list1!O28,"]")</f>
        <v xml:space="preserve"> (Внутренний блок) Размеры (Ш x Г x В): S[950 х 295 х 230]</v>
      </c>
      <c r="P28" t="str">
        <f>CONCATENATE(P$2,": ",P$3,list1!P28,"]")</f>
        <v xml:space="preserve"> (Внутренний блок) Упаковка (Ш x Г x В): S[1027 х 284 х 357]</v>
      </c>
      <c r="Q28" t="str">
        <f>CONCATENATE(Q$2,": ",Q$3,list1!Q28,"]")</f>
        <v xml:space="preserve"> (Внутренний блок) Масса (нетто / брутто): S[11 / 14.5]</v>
      </c>
      <c r="R28" t="str">
        <f>CONCATENATE(R$2,": ",R$3,list1!R28,"]")</f>
        <v xml:space="preserve"> (Внутренний блок) Уровень шума мин. / макс.: S[20/29/33/38]</v>
      </c>
      <c r="S28" t="str">
        <f>CONCATENATE(S$2,": ",S$3,list1!S28,"]")</f>
        <v xml:space="preserve"> (Наружный блок) Марка компрессора: S[]</v>
      </c>
      <c r="T28" t="str">
        <f>CONCATENATE(T$2,": ",T$3,list1!T28,"]")</f>
        <v xml:space="preserve"> (Наружный блок) Размеры (Ш x Г x В): S[663 х 290 х 541]</v>
      </c>
      <c r="U28" t="str">
        <f>CONCATENATE(U$2,": ",U$3,list1!U28,"]")</f>
        <v xml:space="preserve"> (Наружный блок) Упаковка (Ш x Г x В): S[804 х 375 х 602]</v>
      </c>
      <c r="V28" t="str">
        <f>CONCATENATE(V$2,": ",V$3,list1!V28,"]")</f>
        <v xml:space="preserve"> (Наружный блок) Масса (нетто / брутто): S[23/26]</v>
      </c>
      <c r="W28" t="str">
        <f>CONCATENATE(W$2,": ",W$3,list1!W28,"]")</f>
        <v xml:space="preserve"> (Наружный блок) Максимальный уровень шума: N[]</v>
      </c>
      <c r="X28" t="str">
        <f>CONCATENATE(X$2,": ",X$3,list1!X28,"]")</f>
        <v xml:space="preserve"> (Соединительные трубы) Жидкостная линия : N[6.35]</v>
      </c>
      <c r="Y28" t="str">
        <f>CONCATENATE(Y$2,": ",Y$3,list1!Y28,"]")</f>
        <v xml:space="preserve"> (Соединительные трубы) Газовая линия : N[9.52]</v>
      </c>
      <c r="Z28" t="str">
        <f>CONCATENATE(Z$2,": ",Z$3,list1!Z28,"]")</f>
        <v xml:space="preserve"> (Соединительные трубы) Максимальная длина трубопровода: N[20]</v>
      </c>
      <c r="AA28" t="str">
        <f>CONCATENATE(AA$2,": ",AA$3,list1!AA28,"]")</f>
        <v xml:space="preserve"> (Соединительные трубы) Максимальный перепад высот: S[15]</v>
      </c>
      <c r="AB28" t="str">
        <f>CONCATENATE(AB$2,": ",AB$3,list1!AB28,"]")</f>
        <v xml:space="preserve"> (Допустимая темп. наружного воздуха) Охлаждение: S[от -10 до +46]</v>
      </c>
      <c r="AC28" t="str">
        <f>CONCATENATE(AC$2,": ",AC$3,list1!AC28,"]")</f>
        <v xml:space="preserve"> (Допустимая темп. наружного воздуха) Обогрев: S[от -15 до +24]</v>
      </c>
      <c r="AD28" s="6" t="s">
        <v>5245</v>
      </c>
    </row>
    <row r="29" spans="1:30" x14ac:dyDescent="0.25">
      <c r="A29" t="str">
        <f>CONCATENATE(A$2,": ",A$3,list1!A29,"]")</f>
        <v>Производитель: E[FUJITSU]</v>
      </c>
      <c r="B29" t="str">
        <f>CONCATENATE(B$2,": ",B$3,list1!B29,"]")</f>
        <v xml:space="preserve"> Тип: S[Сплит система]</v>
      </c>
      <c r="C29" t="str">
        <f>CONCATENATE(C$2,": ",C$3,list1!C29,"]")</f>
        <v xml:space="preserve"> (Сплит система) Холодопроизводительность: N[2]</v>
      </c>
      <c r="D29" t="str">
        <f>CONCATENATE(D$2,": ",D$3,list1!D29,"]")</f>
        <v xml:space="preserve"> (Сплит система) Площадь помещения: N[20]</v>
      </c>
      <c r="E29" t="str">
        <f>CONCATENATE(E$2,": ",E$3,list1!E29,"]")</f>
        <v xml:space="preserve"> (Сплит система) Инвентор: S[да]</v>
      </c>
      <c r="F29" t="str">
        <f>CONCATENATE(F$2,": ",F$3,list1!F29,"]")</f>
        <v xml:space="preserve"> (Сплит система) Теплопроизводительность: N[2]</v>
      </c>
      <c r="G29" t="str">
        <f>CONCATENATE(G$2,": ",G$3,list1!G29,"]")</f>
        <v xml:space="preserve"> (Потребляемая мощность) Охлаждение: N[0.45]</v>
      </c>
      <c r="H29" t="str">
        <f>CONCATENATE(H$2,": ",H$3,list1!H29,"]")</f>
        <v xml:space="preserve"> (Потребляемая мощность) Обогрев: S[0.555]</v>
      </c>
      <c r="I29" t="str">
        <f>CONCATENATE(I$2,": ",I$3,list1!I29,"]")</f>
        <v xml:space="preserve"> (Рабочий ток) Охлаждение: S[]</v>
      </c>
      <c r="J29" t="str">
        <f>CONCATENATE(J$2,": ",J$3,list1!J29,"]")</f>
        <v xml:space="preserve"> (Рабочий ток) Обогрев: S[]</v>
      </c>
      <c r="K29" t="str">
        <f>CONCATENATE(K$2,": ",K$3,list1!K29,"]")</f>
        <v xml:space="preserve"> (Рабочий ток) Напряжение / Частота источника питания: S[1 / 230 / 50]</v>
      </c>
      <c r="L29" t="str">
        <f>CONCATENATE(L$2,": ",L$3,list1!L29,"]")</f>
        <v xml:space="preserve"> (Рабочий ток) Хладагент: S[R32]</v>
      </c>
      <c r="M29" t="str">
        <f>CONCATENATE(M$2,": ",M$3,list1!M29,"]")</f>
        <v xml:space="preserve"> (Рабочий ток) Количество хладагента: N[]</v>
      </c>
      <c r="N29" t="str">
        <f>CONCATENATE(N$2,": ",N$3,list1!N29,"]")</f>
        <v xml:space="preserve"> (Рабочий ток) Объем рециркулируемого воздуха внутреннего блока: S[]</v>
      </c>
      <c r="O29" t="str">
        <f>CONCATENATE(O$2,": ",O$3,list1!O29,"]")</f>
        <v xml:space="preserve"> (Внутренний блок) Размеры (Ш x Г x В): S[950 х 295 х 230]</v>
      </c>
      <c r="P29" t="str">
        <f>CONCATENATE(P$2,": ",P$3,list1!P29,"]")</f>
        <v xml:space="preserve"> (Внутренний блок) Упаковка (Ш x Г x В): S[1027 х 284 х 357]</v>
      </c>
      <c r="Q29" t="str">
        <f>CONCATENATE(Q$2,": ",Q$3,list1!Q29,"]")</f>
        <v xml:space="preserve"> (Внутренний блок) Масса (нетто / брутто): S[11 / 14.5]</v>
      </c>
      <c r="R29" t="str">
        <f>CONCATENATE(R$2,": ",R$3,list1!R29,"]")</f>
        <v xml:space="preserve"> (Внутренний блок) Уровень шума мин. / макс.: S[20/29/33/38]</v>
      </c>
      <c r="S29" t="str">
        <f>CONCATENATE(S$2,": ",S$3,list1!S29,"]")</f>
        <v xml:space="preserve"> (Наружный блок) Марка компрессора: S[]</v>
      </c>
      <c r="T29" t="str">
        <f>CONCATENATE(T$2,": ",T$3,list1!T29,"]")</f>
        <v xml:space="preserve"> (Наружный блок) Размеры (Ш x Г x В): S[663 х 290 х 541]</v>
      </c>
      <c r="U29" t="str">
        <f>CONCATENATE(U$2,": ",U$3,list1!U29,"]")</f>
        <v xml:space="preserve"> (Наружный блок) Упаковка (Ш x Г x В): S[804 х 375 х 602]</v>
      </c>
      <c r="V29" t="str">
        <f>CONCATENATE(V$2,": ",V$3,list1!V29,"]")</f>
        <v xml:space="preserve"> (Наружный блок) Масса (нетто / брутто): S[23/26]</v>
      </c>
      <c r="W29" t="str">
        <f>CONCATENATE(W$2,": ",W$3,list1!W29,"]")</f>
        <v xml:space="preserve"> (Наружный блок) Максимальный уровень шума: N[]</v>
      </c>
      <c r="X29" t="str">
        <f>CONCATENATE(X$2,": ",X$3,list1!X29,"]")</f>
        <v xml:space="preserve"> (Соединительные трубы) Жидкостная линия : N[6.35]</v>
      </c>
      <c r="Y29" t="str">
        <f>CONCATENATE(Y$2,": ",Y$3,list1!Y29,"]")</f>
        <v xml:space="preserve"> (Соединительные трубы) Газовая линия : N[9.52]</v>
      </c>
      <c r="Z29" t="str">
        <f>CONCATENATE(Z$2,": ",Z$3,list1!Z29,"]")</f>
        <v xml:space="preserve"> (Соединительные трубы) Максимальная длина трубопровода: N[20]</v>
      </c>
      <c r="AA29" t="str">
        <f>CONCATENATE(AA$2,": ",AA$3,list1!AA29,"]")</f>
        <v xml:space="preserve"> (Соединительные трубы) Максимальный перепад высот: S[15]</v>
      </c>
      <c r="AB29" t="str">
        <f>CONCATENATE(AB$2,": ",AB$3,list1!AB29,"]")</f>
        <v xml:space="preserve"> (Допустимая темп. наружного воздуха) Охлаждение: S[от -10 до +46]</v>
      </c>
      <c r="AC29" t="str">
        <f>CONCATENATE(AC$2,": ",AC$3,list1!AC29,"]")</f>
        <v xml:space="preserve"> (Допустимая темп. наружного воздуха) Обогрев: S[от -15 до +24]</v>
      </c>
      <c r="AD29" s="6" t="s">
        <v>5245</v>
      </c>
    </row>
    <row r="30" spans="1:30" x14ac:dyDescent="0.25">
      <c r="A30" t="str">
        <f>CONCATENATE(A$2,": ",A$3,list1!A30,"]")</f>
        <v>Производитель: E[FUJITSU]</v>
      </c>
      <c r="B30" t="str">
        <f>CONCATENATE(B$2,": ",B$3,list1!B30,"]")</f>
        <v xml:space="preserve"> Тип: S[Сплит система]</v>
      </c>
      <c r="C30" t="str">
        <f>CONCATENATE(C$2,": ",C$3,list1!C30,"]")</f>
        <v xml:space="preserve"> (Сплит система) Холодопроизводительность: N[2.5]</v>
      </c>
      <c r="D30" t="str">
        <f>CONCATENATE(D$2,": ",D$3,list1!D30,"]")</f>
        <v xml:space="preserve"> (Сплит система) Площадь помещения: N[25]</v>
      </c>
      <c r="E30" t="str">
        <f>CONCATENATE(E$2,": ",E$3,list1!E30,"]")</f>
        <v xml:space="preserve"> (Сплит система) Инвентор: S[да]</v>
      </c>
      <c r="F30" t="str">
        <f>CONCATENATE(F$2,": ",F$3,list1!F30,"]")</f>
        <v xml:space="preserve"> (Сплит система) Теплопроизводительность: N[2.5]</v>
      </c>
      <c r="G30" t="str">
        <f>CONCATENATE(G$2,": ",G$3,list1!G30,"]")</f>
        <v xml:space="preserve"> (Потребляемая мощность) Охлаждение: N[0.63]</v>
      </c>
      <c r="H30" t="str">
        <f>CONCATENATE(H$2,": ",H$3,list1!H30,"]")</f>
        <v xml:space="preserve"> (Потребляемая мощность) Обогрев: S[0.62]</v>
      </c>
      <c r="I30" t="str">
        <f>CONCATENATE(I$2,": ",I$3,list1!I30,"]")</f>
        <v xml:space="preserve"> (Рабочий ток) Охлаждение: S[]</v>
      </c>
      <c r="J30" t="str">
        <f>CONCATENATE(J$2,": ",J$3,list1!J30,"]")</f>
        <v xml:space="preserve"> (Рабочий ток) Обогрев: S[]</v>
      </c>
      <c r="K30" t="str">
        <f>CONCATENATE(K$2,": ",K$3,list1!K30,"]")</f>
        <v xml:space="preserve"> (Рабочий ток) Напряжение / Частота источника питания: S[1 / 230 / 50]</v>
      </c>
      <c r="L30" t="str">
        <f>CONCATENATE(L$2,": ",L$3,list1!L30,"]")</f>
        <v xml:space="preserve"> (Рабочий ток) Хладагент: S[R32]</v>
      </c>
      <c r="M30" t="str">
        <f>CONCATENATE(M$2,": ",M$3,list1!M30,"]")</f>
        <v xml:space="preserve"> (Рабочий ток) Количество хладагента: N[]</v>
      </c>
      <c r="N30" t="str">
        <f>CONCATENATE(N$2,": ",N$3,list1!N30,"]")</f>
        <v xml:space="preserve"> (Рабочий ток) Объем рециркулируемого воздуха внутреннего блока: S[]</v>
      </c>
      <c r="O30" t="str">
        <f>CONCATENATE(O$2,": ",O$3,list1!O30,"]")</f>
        <v xml:space="preserve"> (Внутренний блок) Размеры (Ш x Г x В): S[950 х 295 х 230]</v>
      </c>
      <c r="P30" t="str">
        <f>CONCATENATE(P$2,": ",P$3,list1!P30,"]")</f>
        <v xml:space="preserve"> (Внутренний блок) Упаковка (Ш x Г x В): S[1027 х 284 х 357]</v>
      </c>
      <c r="Q30" t="str">
        <f>CONCATENATE(Q$2,": ",Q$3,list1!Q30,"]")</f>
        <v xml:space="preserve"> (Внутренний блок) Масса (нетто / брутто): S[11 / 14.5]</v>
      </c>
      <c r="R30" t="str">
        <f>CONCATENATE(R$2,": ",R$3,list1!R30,"]")</f>
        <v xml:space="preserve"> (Внутренний блок) Уровень шума мин. / макс.: S[20/29/34/40]</v>
      </c>
      <c r="S30" t="str">
        <f>CONCATENATE(S$2,": ",S$3,list1!S30,"]")</f>
        <v xml:space="preserve"> (Наружный блок) Марка компрессора: S[]</v>
      </c>
      <c r="T30" t="str">
        <f>CONCATENATE(T$2,": ",T$3,list1!T30,"]")</f>
        <v xml:space="preserve"> (Наружный блок) Размеры (Ш x Г x В): S[663 х 290 х 541]</v>
      </c>
      <c r="U30" t="str">
        <f>CONCATENATE(U$2,": ",U$3,list1!U30,"]")</f>
        <v xml:space="preserve"> (Наружный блок) Упаковка (Ш x Г x В): S[804 х 375 х 602]</v>
      </c>
      <c r="V30" t="str">
        <f>CONCATENATE(V$2,": ",V$3,list1!V30,"]")</f>
        <v xml:space="preserve"> (Наружный блок) Масса (нетто / брутто): S[23/26]</v>
      </c>
      <c r="W30" t="str">
        <f>CONCATENATE(W$2,": ",W$3,list1!W30,"]")</f>
        <v xml:space="preserve"> (Наружный блок) Максимальный уровень шума: N[]</v>
      </c>
      <c r="X30" t="str">
        <f>CONCATENATE(X$2,": ",X$3,list1!X30,"]")</f>
        <v xml:space="preserve"> (Соединительные трубы) Жидкостная линия : N[6.35]</v>
      </c>
      <c r="Y30" t="str">
        <f>CONCATENATE(Y$2,": ",Y$3,list1!Y30,"]")</f>
        <v xml:space="preserve"> (Соединительные трубы) Газовая линия : N[9.52]</v>
      </c>
      <c r="Z30" t="str">
        <f>CONCATENATE(Z$2,": ",Z$3,list1!Z30,"]")</f>
        <v xml:space="preserve"> (Соединительные трубы) Максимальная длина трубопровода: N[20]</v>
      </c>
      <c r="AA30" t="str">
        <f>CONCATENATE(AA$2,": ",AA$3,list1!AA30,"]")</f>
        <v xml:space="preserve"> (Соединительные трубы) Максимальный перепад высот: S[15]</v>
      </c>
      <c r="AB30" t="str">
        <f>CONCATENATE(AB$2,": ",AB$3,list1!AB30,"]")</f>
        <v xml:space="preserve"> (Допустимая темп. наружного воздуха) Охлаждение: S[от -10 до +46]</v>
      </c>
      <c r="AC30" t="str">
        <f>CONCATENATE(AC$2,": ",AC$3,list1!AC30,"]")</f>
        <v xml:space="preserve"> (Допустимая темп. наружного воздуха) Обогрев: S[от -15 до +24]</v>
      </c>
      <c r="AD30" s="6" t="s">
        <v>5245</v>
      </c>
    </row>
    <row r="31" spans="1:30" x14ac:dyDescent="0.25">
      <c r="A31" t="str">
        <f>CONCATENATE(A$2,": ",A$3,list1!A31,"]")</f>
        <v>Производитель: E[FUJITSU]</v>
      </c>
      <c r="B31" t="str">
        <f>CONCATENATE(B$2,": ",B$3,list1!B31,"]")</f>
        <v xml:space="preserve"> Тип: S[Сплит система]</v>
      </c>
      <c r="C31" t="str">
        <f>CONCATENATE(C$2,": ",C$3,list1!C31,"]")</f>
        <v xml:space="preserve"> (Сплит система) Холодопроизводительность: N[2.5]</v>
      </c>
      <c r="D31" t="str">
        <f>CONCATENATE(D$2,": ",D$3,list1!D31,"]")</f>
        <v xml:space="preserve"> (Сплит система) Площадь помещения: N[25]</v>
      </c>
      <c r="E31" t="str">
        <f>CONCATENATE(E$2,": ",E$3,list1!E31,"]")</f>
        <v xml:space="preserve"> (Сплит система) Инвентор: S[да]</v>
      </c>
      <c r="F31" t="str">
        <f>CONCATENATE(F$2,": ",F$3,list1!F31,"]")</f>
        <v xml:space="preserve"> (Сплит система) Теплопроизводительность: N[2.5]</v>
      </c>
      <c r="G31" t="str">
        <f>CONCATENATE(G$2,": ",G$3,list1!G31,"]")</f>
        <v xml:space="preserve"> (Потребляемая мощность) Охлаждение: N[0.63]</v>
      </c>
      <c r="H31" t="str">
        <f>CONCATENATE(H$2,": ",H$3,list1!H31,"]")</f>
        <v xml:space="preserve"> (Потребляемая мощность) Обогрев: S[0.62]</v>
      </c>
      <c r="I31" t="str">
        <f>CONCATENATE(I$2,": ",I$3,list1!I31,"]")</f>
        <v xml:space="preserve"> (Рабочий ток) Охлаждение: S[]</v>
      </c>
      <c r="J31" t="str">
        <f>CONCATENATE(J$2,": ",J$3,list1!J31,"]")</f>
        <v xml:space="preserve"> (Рабочий ток) Обогрев: S[]</v>
      </c>
      <c r="K31" t="str">
        <f>CONCATENATE(K$2,": ",K$3,list1!K31,"]")</f>
        <v xml:space="preserve"> (Рабочий ток) Напряжение / Частота источника питания: S[1 / 230 / 50]</v>
      </c>
      <c r="L31" t="str">
        <f>CONCATENATE(L$2,": ",L$3,list1!L31,"]")</f>
        <v xml:space="preserve"> (Рабочий ток) Хладагент: S[R32]</v>
      </c>
      <c r="M31" t="str">
        <f>CONCATENATE(M$2,": ",M$3,list1!M31,"]")</f>
        <v xml:space="preserve"> (Рабочий ток) Количество хладагента: N[]</v>
      </c>
      <c r="N31" t="str">
        <f>CONCATENATE(N$2,": ",N$3,list1!N31,"]")</f>
        <v xml:space="preserve"> (Рабочий ток) Объем рециркулируемого воздуха внутреннего блока: S[]</v>
      </c>
      <c r="O31" t="str">
        <f>CONCATENATE(O$2,": ",O$3,list1!O31,"]")</f>
        <v xml:space="preserve"> (Внутренний блок) Размеры (Ш x Г x В): S[950 х 295 х 230]</v>
      </c>
      <c r="P31" t="str">
        <f>CONCATENATE(P$2,": ",P$3,list1!P31,"]")</f>
        <v xml:space="preserve"> (Внутренний блок) Упаковка (Ш x Г x В): S[1027 х 284 х 357]</v>
      </c>
      <c r="Q31" t="str">
        <f>CONCATENATE(Q$2,": ",Q$3,list1!Q31,"]")</f>
        <v xml:space="preserve"> (Внутренний блок) Масса (нетто / брутто): S[11 / 14.5]</v>
      </c>
      <c r="R31" t="str">
        <f>CONCATENATE(R$2,": ",R$3,list1!R31,"]")</f>
        <v xml:space="preserve"> (Внутренний блок) Уровень шума мин. / макс.: S[20/29/34/40]</v>
      </c>
      <c r="S31" t="str">
        <f>CONCATENATE(S$2,": ",S$3,list1!S31,"]")</f>
        <v xml:space="preserve"> (Наружный блок) Марка компрессора: S[]</v>
      </c>
      <c r="T31" t="str">
        <f>CONCATENATE(T$2,": ",T$3,list1!T31,"]")</f>
        <v xml:space="preserve"> (Наружный блок) Размеры (Ш x Г x В): S[663 х 290 х 541]</v>
      </c>
      <c r="U31" t="str">
        <f>CONCATENATE(U$2,": ",U$3,list1!U31,"]")</f>
        <v xml:space="preserve"> (Наружный блок) Упаковка (Ш x Г x В): S[804 х 375 х 602]</v>
      </c>
      <c r="V31" t="str">
        <f>CONCATENATE(V$2,": ",V$3,list1!V31,"]")</f>
        <v xml:space="preserve"> (Наружный блок) Масса (нетто / брутто): S[23/26]</v>
      </c>
      <c r="W31" t="str">
        <f>CONCATENATE(W$2,": ",W$3,list1!W31,"]")</f>
        <v xml:space="preserve"> (Наружный блок) Максимальный уровень шума: N[]</v>
      </c>
      <c r="X31" t="str">
        <f>CONCATENATE(X$2,": ",X$3,list1!X31,"]")</f>
        <v xml:space="preserve"> (Соединительные трубы) Жидкостная линия : N[6.35]</v>
      </c>
      <c r="Y31" t="str">
        <f>CONCATENATE(Y$2,": ",Y$3,list1!Y31,"]")</f>
        <v xml:space="preserve"> (Соединительные трубы) Газовая линия : N[9.52]</v>
      </c>
      <c r="Z31" t="str">
        <f>CONCATENATE(Z$2,": ",Z$3,list1!Z31,"]")</f>
        <v xml:space="preserve"> (Соединительные трубы) Максимальная длина трубопровода: N[20]</v>
      </c>
      <c r="AA31" t="str">
        <f>CONCATENATE(AA$2,": ",AA$3,list1!AA31,"]")</f>
        <v xml:space="preserve"> (Соединительные трубы) Максимальный перепад высот: S[15]</v>
      </c>
      <c r="AB31" t="str">
        <f>CONCATENATE(AB$2,": ",AB$3,list1!AB31,"]")</f>
        <v xml:space="preserve"> (Допустимая темп. наружного воздуха) Охлаждение: S[от -10 до +46]</v>
      </c>
      <c r="AC31" t="str">
        <f>CONCATENATE(AC$2,": ",AC$3,list1!AC31,"]")</f>
        <v xml:space="preserve"> (Допустимая темп. наружного воздуха) Обогрев: S[от -15 до +24]</v>
      </c>
      <c r="AD31" s="6" t="s">
        <v>5245</v>
      </c>
    </row>
    <row r="32" spans="1:30" x14ac:dyDescent="0.25">
      <c r="A32" t="str">
        <f>CONCATENATE(A$2,": ",A$3,list1!A32,"]")</f>
        <v>Производитель: E[FUJITSU]</v>
      </c>
      <c r="B32" t="str">
        <f>CONCATENATE(B$2,": ",B$3,list1!B32,"]")</f>
        <v xml:space="preserve"> Тип: S[Сплит система]</v>
      </c>
      <c r="C32" t="str">
        <f>CONCATENATE(C$2,": ",C$3,list1!C32,"]")</f>
        <v xml:space="preserve"> (Сплит система) Холодопроизводительность: N[3.5]</v>
      </c>
      <c r="D32" t="str">
        <f>CONCATENATE(D$2,": ",D$3,list1!D32,"]")</f>
        <v xml:space="preserve"> (Сплит система) Площадь помещения: N[35]</v>
      </c>
      <c r="E32" t="str">
        <f>CONCATENATE(E$2,": ",E$3,list1!E32,"]")</f>
        <v xml:space="preserve"> (Сплит система) Инвентор: S[да]</v>
      </c>
      <c r="F32" t="str">
        <f>CONCATENATE(F$2,": ",F$3,list1!F32,"]")</f>
        <v xml:space="preserve"> (Сплит система) Теплопроизводительность: N[3.5]</v>
      </c>
      <c r="G32" t="str">
        <f>CONCATENATE(G$2,": ",G$3,list1!G32,"]")</f>
        <v xml:space="preserve"> (Потребляемая мощность) Охлаждение: N[0.935]</v>
      </c>
      <c r="H32" t="str">
        <f>CONCATENATE(H$2,": ",H$3,list1!H32,"]")</f>
        <v xml:space="preserve"> (Потребляемая мощность) Обогрев: S[0.96]</v>
      </c>
      <c r="I32" t="str">
        <f>CONCATENATE(I$2,": ",I$3,list1!I32,"]")</f>
        <v xml:space="preserve"> (Рабочий ток) Охлаждение: S[]</v>
      </c>
      <c r="J32" t="str">
        <f>CONCATENATE(J$2,": ",J$3,list1!J32,"]")</f>
        <v xml:space="preserve"> (Рабочий ток) Обогрев: S[]</v>
      </c>
      <c r="K32" t="str">
        <f>CONCATENATE(K$2,": ",K$3,list1!K32,"]")</f>
        <v xml:space="preserve"> (Рабочий ток) Напряжение / Частота источника питания: S[1 / 230 / 50]</v>
      </c>
      <c r="L32" t="str">
        <f>CONCATENATE(L$2,": ",L$3,list1!L32,"]")</f>
        <v xml:space="preserve"> (Рабочий ток) Хладагент: S[R32]</v>
      </c>
      <c r="M32" t="str">
        <f>CONCATENATE(M$2,": ",M$3,list1!M32,"]")</f>
        <v xml:space="preserve"> (Рабочий ток) Количество хладагента: N[]</v>
      </c>
      <c r="N32" t="str">
        <f>CONCATENATE(N$2,": ",N$3,list1!N32,"]")</f>
        <v xml:space="preserve"> (Рабочий ток) Объем рециркулируемого воздуха внутреннего блока: S[]</v>
      </c>
      <c r="O32" t="str">
        <f>CONCATENATE(O$2,": ",O$3,list1!O32,"]")</f>
        <v xml:space="preserve"> (Внутренний блок) Размеры (Ш x Г x В): S[950 х 295 х 230]</v>
      </c>
      <c r="P32" t="str">
        <f>CONCATENATE(P$2,": ",P$3,list1!P32,"]")</f>
        <v xml:space="preserve"> (Внутренний блок) Упаковка (Ш x Г x В): S[1027 х 284 х 357]</v>
      </c>
      <c r="Q32" t="str">
        <f>CONCATENATE(Q$2,": ",Q$3,list1!Q32,"]")</f>
        <v xml:space="preserve"> (Внутренний блок) Масса (нетто / брутто): S[11 / 14.5]</v>
      </c>
      <c r="R32" t="str">
        <f>CONCATENATE(R$2,": ",R$3,list1!R32,"]")</f>
        <v xml:space="preserve"> (Внутренний блок) Уровень шума мин. / макс.: S[20/30/35/40]</v>
      </c>
      <c r="S32" t="str">
        <f>CONCATENATE(S$2,": ",S$3,list1!S32,"]")</f>
        <v xml:space="preserve"> (Наружный блок) Марка компрессора: S[]</v>
      </c>
      <c r="T32" t="str">
        <f>CONCATENATE(T$2,": ",T$3,list1!T32,"]")</f>
        <v xml:space="preserve"> (Наружный блок) Размеры (Ш x Г x В): S[663 х 290 х 541]</v>
      </c>
      <c r="U32" t="str">
        <f>CONCATENATE(U$2,": ",U$3,list1!U32,"]")</f>
        <v xml:space="preserve"> (Наружный блок) Упаковка (Ш x Г x В): S[804 х 375 х 602]</v>
      </c>
      <c r="V32" t="str">
        <f>CONCATENATE(V$2,": ",V$3,list1!V32,"]")</f>
        <v xml:space="preserve"> (Наружный блок) Масса (нетто / брутто): S[25/29]</v>
      </c>
      <c r="W32" t="str">
        <f>CONCATENATE(W$2,": ",W$3,list1!W32,"]")</f>
        <v xml:space="preserve"> (Наружный блок) Максимальный уровень шума: N[]</v>
      </c>
      <c r="X32" t="str">
        <f>CONCATENATE(X$2,": ",X$3,list1!X32,"]")</f>
        <v xml:space="preserve"> (Соединительные трубы) Жидкостная линия : N[6.35]</v>
      </c>
      <c r="Y32" t="str">
        <f>CONCATENATE(Y$2,": ",Y$3,list1!Y32,"]")</f>
        <v xml:space="preserve"> (Соединительные трубы) Газовая линия : N[9.52]</v>
      </c>
      <c r="Z32" t="str">
        <f>CONCATENATE(Z$2,": ",Z$3,list1!Z32,"]")</f>
        <v xml:space="preserve"> (Соединительные трубы) Максимальная длина трубопровода: N[20]</v>
      </c>
      <c r="AA32" t="str">
        <f>CONCATENATE(AA$2,": ",AA$3,list1!AA32,"]")</f>
        <v xml:space="preserve"> (Соединительные трубы) Максимальный перепад высот: S[15]</v>
      </c>
      <c r="AB32" t="str">
        <f>CONCATENATE(AB$2,": ",AB$3,list1!AB32,"]")</f>
        <v xml:space="preserve"> (Допустимая темп. наружного воздуха) Охлаждение: S[от -10 до +46]</v>
      </c>
      <c r="AC32" t="str">
        <f>CONCATENATE(AC$2,": ",AC$3,list1!AC32,"]")</f>
        <v xml:space="preserve"> (Допустимая темп. наружного воздуха) Обогрев: S[от -15 до +24]</v>
      </c>
      <c r="AD32" s="6" t="s">
        <v>5245</v>
      </c>
    </row>
    <row r="33" spans="1:30" x14ac:dyDescent="0.25">
      <c r="A33" t="str">
        <f>CONCATENATE(A$2,": ",A$3,list1!A33,"]")</f>
        <v>Производитель: E[FUJITSU]</v>
      </c>
      <c r="B33" t="str">
        <f>CONCATENATE(B$2,": ",B$3,list1!B33,"]")</f>
        <v xml:space="preserve"> Тип: S[Сплит система]</v>
      </c>
      <c r="C33" t="str">
        <f>CONCATENATE(C$2,": ",C$3,list1!C33,"]")</f>
        <v xml:space="preserve"> (Сплит система) Холодопроизводительность: N[3.5]</v>
      </c>
      <c r="D33" t="str">
        <f>CONCATENATE(D$2,": ",D$3,list1!D33,"]")</f>
        <v xml:space="preserve"> (Сплит система) Площадь помещения: N[35]</v>
      </c>
      <c r="E33" t="str">
        <f>CONCATENATE(E$2,": ",E$3,list1!E33,"]")</f>
        <v xml:space="preserve"> (Сплит система) Инвентор: S[да]</v>
      </c>
      <c r="F33" t="str">
        <f>CONCATENATE(F$2,": ",F$3,list1!F33,"]")</f>
        <v xml:space="preserve"> (Сплит система) Теплопроизводительность: N[3.5]</v>
      </c>
      <c r="G33" t="str">
        <f>CONCATENATE(G$2,": ",G$3,list1!G33,"]")</f>
        <v xml:space="preserve"> (Потребляемая мощность) Охлаждение: N[0.935]</v>
      </c>
      <c r="H33" t="str">
        <f>CONCATENATE(H$2,": ",H$3,list1!H33,"]")</f>
        <v xml:space="preserve"> (Потребляемая мощность) Обогрев: S[0.96]</v>
      </c>
      <c r="I33" t="str">
        <f>CONCATENATE(I$2,": ",I$3,list1!I33,"]")</f>
        <v xml:space="preserve"> (Рабочий ток) Охлаждение: S[]</v>
      </c>
      <c r="J33" t="str">
        <f>CONCATENATE(J$2,": ",J$3,list1!J33,"]")</f>
        <v xml:space="preserve"> (Рабочий ток) Обогрев: S[]</v>
      </c>
      <c r="K33" t="str">
        <f>CONCATENATE(K$2,": ",K$3,list1!K33,"]")</f>
        <v xml:space="preserve"> (Рабочий ток) Напряжение / Частота источника питания: S[1 / 230 / 50]</v>
      </c>
      <c r="L33" t="str">
        <f>CONCATENATE(L$2,": ",L$3,list1!L33,"]")</f>
        <v xml:space="preserve"> (Рабочий ток) Хладагент: S[R32]</v>
      </c>
      <c r="M33" t="str">
        <f>CONCATENATE(M$2,": ",M$3,list1!M33,"]")</f>
        <v xml:space="preserve"> (Рабочий ток) Количество хладагента: N[]</v>
      </c>
      <c r="N33" t="str">
        <f>CONCATENATE(N$2,": ",N$3,list1!N33,"]")</f>
        <v xml:space="preserve"> (Рабочий ток) Объем рециркулируемого воздуха внутреннего блока: S[]</v>
      </c>
      <c r="O33" t="str">
        <f>CONCATENATE(O$2,": ",O$3,list1!O33,"]")</f>
        <v xml:space="preserve"> (Внутренний блок) Размеры (Ш x Г x В): S[950 х 295 х 230]</v>
      </c>
      <c r="P33" t="str">
        <f>CONCATENATE(P$2,": ",P$3,list1!P33,"]")</f>
        <v xml:space="preserve"> (Внутренний блок) Упаковка (Ш x Г x В): S[1027 х 284 х 357]</v>
      </c>
      <c r="Q33" t="str">
        <f>CONCATENATE(Q$2,": ",Q$3,list1!Q33,"]")</f>
        <v xml:space="preserve"> (Внутренний блок) Масса (нетто / брутто): S[11 / 14.5]</v>
      </c>
      <c r="R33" t="str">
        <f>CONCATENATE(R$2,": ",R$3,list1!R33,"]")</f>
        <v xml:space="preserve"> (Внутренний блок) Уровень шума мин. / макс.: S[20/30/35/40]</v>
      </c>
      <c r="S33" t="str">
        <f>CONCATENATE(S$2,": ",S$3,list1!S33,"]")</f>
        <v xml:space="preserve"> (Наружный блок) Марка компрессора: S[]</v>
      </c>
      <c r="T33" t="str">
        <f>CONCATENATE(T$2,": ",T$3,list1!T33,"]")</f>
        <v xml:space="preserve"> (Наружный блок) Размеры (Ш x Г x В): S[663 х 290 х 541]</v>
      </c>
      <c r="U33" t="str">
        <f>CONCATENATE(U$2,": ",U$3,list1!U33,"]")</f>
        <v xml:space="preserve"> (Наружный блок) Упаковка (Ш x Г x В): S[804 х 375 х 602]</v>
      </c>
      <c r="V33" t="str">
        <f>CONCATENATE(V$2,": ",V$3,list1!V33,"]")</f>
        <v xml:space="preserve"> (Наружный блок) Масса (нетто / брутто): S[25/29]</v>
      </c>
      <c r="W33" t="str">
        <f>CONCATENATE(W$2,": ",W$3,list1!W33,"]")</f>
        <v xml:space="preserve"> (Наружный блок) Максимальный уровень шума: N[]</v>
      </c>
      <c r="X33" t="str">
        <f>CONCATENATE(X$2,": ",X$3,list1!X33,"]")</f>
        <v xml:space="preserve"> (Соединительные трубы) Жидкостная линия : N[6.35]</v>
      </c>
      <c r="Y33" t="str">
        <f>CONCATENATE(Y$2,": ",Y$3,list1!Y33,"]")</f>
        <v xml:space="preserve"> (Соединительные трубы) Газовая линия : N[9.52]</v>
      </c>
      <c r="Z33" t="str">
        <f>CONCATENATE(Z$2,": ",Z$3,list1!Z33,"]")</f>
        <v xml:space="preserve"> (Соединительные трубы) Максимальная длина трубопровода: N[20]</v>
      </c>
      <c r="AA33" t="str">
        <f>CONCATENATE(AA$2,": ",AA$3,list1!AA33,"]")</f>
        <v xml:space="preserve"> (Соединительные трубы) Максимальный перепад высот: S[15]</v>
      </c>
      <c r="AB33" t="str">
        <f>CONCATENATE(AB$2,": ",AB$3,list1!AB33,"]")</f>
        <v xml:space="preserve"> (Допустимая темп. наружного воздуха) Охлаждение: S[от -10 до +46]</v>
      </c>
      <c r="AC33" t="str">
        <f>CONCATENATE(AC$2,": ",AC$3,list1!AC33,"]")</f>
        <v xml:space="preserve"> (Допустимая темп. наружного воздуха) Обогрев: S[от -15 до +24]</v>
      </c>
      <c r="AD33" s="6" t="s">
        <v>5245</v>
      </c>
    </row>
    <row r="34" spans="1:30" x14ac:dyDescent="0.25">
      <c r="A34" t="str">
        <f>CONCATENATE(A$2,": ",A$3,list1!A34,"]")</f>
        <v>Производитель: E[FUJITSU]</v>
      </c>
      <c r="B34" t="str">
        <f>CONCATENATE(B$2,": ",B$3,list1!B34,"]")</f>
        <v xml:space="preserve"> Тип: S[Сплит система]</v>
      </c>
      <c r="C34" t="str">
        <f>CONCATENATE(C$2,": ",C$3,list1!C34,"]")</f>
        <v xml:space="preserve"> (Сплит система) Холодопроизводительность: N[4]</v>
      </c>
      <c r="D34" t="str">
        <f>CONCATENATE(D$2,": ",D$3,list1!D34,"]")</f>
        <v xml:space="preserve"> (Сплит система) Площадь помещения: N[40]</v>
      </c>
      <c r="E34" t="str">
        <f>CONCATENATE(E$2,": ",E$3,list1!E34,"]")</f>
        <v xml:space="preserve"> (Сплит система) Инвентор: S[да]</v>
      </c>
      <c r="F34" t="str">
        <f>CONCATENATE(F$2,": ",F$3,list1!F34,"]")</f>
        <v xml:space="preserve"> (Сплит система) Теплопроизводительность: N[4]</v>
      </c>
      <c r="G34" t="str">
        <f>CONCATENATE(G$2,": ",G$3,list1!G34,"]")</f>
        <v xml:space="preserve"> (Потребляемая мощность) Охлаждение: N[1.22]</v>
      </c>
      <c r="H34" t="str">
        <f>CONCATENATE(H$2,": ",H$3,list1!H34,"]")</f>
        <v xml:space="preserve"> (Потребляемая мощность) Обогрев: S[1.41]</v>
      </c>
      <c r="I34" t="str">
        <f>CONCATENATE(I$2,": ",I$3,list1!I34,"]")</f>
        <v xml:space="preserve"> (Рабочий ток) Охлаждение: S[]</v>
      </c>
      <c r="J34" t="str">
        <f>CONCATENATE(J$2,": ",J$3,list1!J34,"]")</f>
        <v xml:space="preserve"> (Рабочий ток) Обогрев: S[]</v>
      </c>
      <c r="K34" t="str">
        <f>CONCATENATE(K$2,": ",K$3,list1!K34,"]")</f>
        <v xml:space="preserve"> (Рабочий ток) Напряжение / Частота источника питания: S[1 / 230 / 50]</v>
      </c>
      <c r="L34" t="str">
        <f>CONCATENATE(L$2,": ",L$3,list1!L34,"]")</f>
        <v xml:space="preserve"> (Рабочий ток) Хладагент: S[R32]</v>
      </c>
      <c r="M34" t="str">
        <f>CONCATENATE(M$2,": ",M$3,list1!M34,"]")</f>
        <v xml:space="preserve"> (Рабочий ток) Количество хладагента: N[]</v>
      </c>
      <c r="N34" t="str">
        <f>CONCATENATE(N$2,": ",N$3,list1!N34,"]")</f>
        <v xml:space="preserve"> (Рабочий ток) Объем рециркулируемого воздуха внутреннего блока: S[]</v>
      </c>
      <c r="O34" t="str">
        <f>CONCATENATE(O$2,": ",O$3,list1!O34,"]")</f>
        <v xml:space="preserve"> (Внутренний блок) Размеры (Ш x Г x В): S[950 х 295 х 230]</v>
      </c>
      <c r="P34" t="str">
        <f>CONCATENATE(P$2,": ",P$3,list1!P34,"]")</f>
        <v xml:space="preserve"> (Внутренний блок) Упаковка (Ш x Г x В): S[1027 х 284 х 357]</v>
      </c>
      <c r="Q34" t="str">
        <f>CONCATENATE(Q$2,": ",Q$3,list1!Q34,"]")</f>
        <v xml:space="preserve"> (Внутренний блок) Масса (нетто / брутто): S[11.5 / 15]</v>
      </c>
      <c r="R34" t="str">
        <f>CONCATENATE(R$2,": ",R$3,list1!R34,"]")</f>
        <v xml:space="preserve"> (Внутренний блок) Уровень шума мин. / макс.: S[20/30/36/43]</v>
      </c>
      <c r="S34" t="str">
        <f>CONCATENATE(S$2,": ",S$3,list1!S34,"]")</f>
        <v xml:space="preserve"> (Наружный блок) Марка компрессора: S[]</v>
      </c>
      <c r="T34" t="str">
        <f>CONCATENATE(T$2,": ",T$3,list1!T34,"]")</f>
        <v xml:space="preserve"> (Наружный блок) Размеры (Ш x Г x В): S[799 х 290 х 542]</v>
      </c>
      <c r="U34" t="str">
        <f>CONCATENATE(U$2,": ",U$3,list1!U34,"]")</f>
        <v xml:space="preserve"> (Наружный блок) Упаковка (Ш x Г x В): S[940 х 375 х 602]</v>
      </c>
      <c r="V34" t="str">
        <f>CONCATENATE(V$2,": ",V$3,list1!V34,"]")</f>
        <v xml:space="preserve"> (Наружный блок) Масса (нетто / брутто): S[31/35]</v>
      </c>
      <c r="W34" t="str">
        <f>CONCATENATE(W$2,": ",W$3,list1!W34,"]")</f>
        <v xml:space="preserve"> (Наружный блок) Максимальный уровень шума: N[]</v>
      </c>
      <c r="X34" t="str">
        <f>CONCATENATE(X$2,": ",X$3,list1!X34,"]")</f>
        <v xml:space="preserve"> (Соединительные трубы) Жидкостная линия : N[6.35]</v>
      </c>
      <c r="Y34" t="str">
        <f>CONCATENATE(Y$2,": ",Y$3,list1!Y34,"]")</f>
        <v xml:space="preserve"> (Соединительные трубы) Газовая линия : N[9.52]</v>
      </c>
      <c r="Z34" t="str">
        <f>CONCATENATE(Z$2,": ",Z$3,list1!Z34,"]")</f>
        <v xml:space="preserve"> (Соединительные трубы) Максимальная длина трубопровода: N[20]</v>
      </c>
      <c r="AA34" t="str">
        <f>CONCATENATE(AA$2,": ",AA$3,list1!AA34,"]")</f>
        <v xml:space="preserve"> (Соединительные трубы) Максимальный перепад высот: S[15]</v>
      </c>
      <c r="AB34" t="str">
        <f>CONCATENATE(AB$2,": ",AB$3,list1!AB34,"]")</f>
        <v xml:space="preserve"> (Допустимая темп. наружного воздуха) Охлаждение: S[от -10 до +46]</v>
      </c>
      <c r="AC34" t="str">
        <f>CONCATENATE(AC$2,": ",AC$3,list1!AC34,"]")</f>
        <v xml:space="preserve"> (Допустимая темп. наружного воздуха) Обогрев: S[от -15 до +24]</v>
      </c>
      <c r="AD34" s="6" t="s">
        <v>5245</v>
      </c>
    </row>
    <row r="35" spans="1:30" x14ac:dyDescent="0.25">
      <c r="A35" t="str">
        <f>CONCATENATE(A$2,": ",A$3,list1!A35,"]")</f>
        <v>Производитель: E[FUJITSU]</v>
      </c>
      <c r="B35" t="str">
        <f>CONCATENATE(B$2,": ",B$3,list1!B35,"]")</f>
        <v xml:space="preserve"> Тип: S[Сплит система]</v>
      </c>
      <c r="C35" t="str">
        <f>CONCATENATE(C$2,": ",C$3,list1!C35,"]")</f>
        <v xml:space="preserve"> (Сплит система) Холодопроизводительность: N[4]</v>
      </c>
      <c r="D35" t="str">
        <f>CONCATENATE(D$2,": ",D$3,list1!D35,"]")</f>
        <v xml:space="preserve"> (Сплит система) Площадь помещения: N[40]</v>
      </c>
      <c r="E35" t="str">
        <f>CONCATENATE(E$2,": ",E$3,list1!E35,"]")</f>
        <v xml:space="preserve"> (Сплит система) Инвентор: S[да]</v>
      </c>
      <c r="F35" t="str">
        <f>CONCATENATE(F$2,": ",F$3,list1!F35,"]")</f>
        <v xml:space="preserve"> (Сплит система) Теплопроизводительность: N[4]</v>
      </c>
      <c r="G35" t="str">
        <f>CONCATENATE(G$2,": ",G$3,list1!G35,"]")</f>
        <v xml:space="preserve"> (Потребляемая мощность) Охлаждение: N[1.22]</v>
      </c>
      <c r="H35" t="str">
        <f>CONCATENATE(H$2,": ",H$3,list1!H35,"]")</f>
        <v xml:space="preserve"> (Потребляемая мощность) Обогрев: S[1.41]</v>
      </c>
      <c r="I35" t="str">
        <f>CONCATENATE(I$2,": ",I$3,list1!I35,"]")</f>
        <v xml:space="preserve"> (Рабочий ток) Охлаждение: S[]</v>
      </c>
      <c r="J35" t="str">
        <f>CONCATENATE(J$2,": ",J$3,list1!J35,"]")</f>
        <v xml:space="preserve"> (Рабочий ток) Обогрев: S[]</v>
      </c>
      <c r="K35" t="str">
        <f>CONCATENATE(K$2,": ",K$3,list1!K35,"]")</f>
        <v xml:space="preserve"> (Рабочий ток) Напряжение / Частота источника питания: S[1 / 230 / 50]</v>
      </c>
      <c r="L35" t="str">
        <f>CONCATENATE(L$2,": ",L$3,list1!L35,"]")</f>
        <v xml:space="preserve"> (Рабочий ток) Хладагент: S[R32]</v>
      </c>
      <c r="M35" t="str">
        <f>CONCATENATE(M$2,": ",M$3,list1!M35,"]")</f>
        <v xml:space="preserve"> (Рабочий ток) Количество хладагента: N[]</v>
      </c>
      <c r="N35" t="str">
        <f>CONCATENATE(N$2,": ",N$3,list1!N35,"]")</f>
        <v xml:space="preserve"> (Рабочий ток) Объем рециркулируемого воздуха внутреннего блока: S[]</v>
      </c>
      <c r="O35" t="str">
        <f>CONCATENATE(O$2,": ",O$3,list1!O35,"]")</f>
        <v xml:space="preserve"> (Внутренний блок) Размеры (Ш x Г x В): S[950 х 295 х 230]</v>
      </c>
      <c r="P35" t="str">
        <f>CONCATENATE(P$2,": ",P$3,list1!P35,"]")</f>
        <v xml:space="preserve"> (Внутренний блок) Упаковка (Ш x Г x В): S[1027 х 284 х 357]</v>
      </c>
      <c r="Q35" t="str">
        <f>CONCATENATE(Q$2,": ",Q$3,list1!Q35,"]")</f>
        <v xml:space="preserve"> (Внутренний блок) Масса (нетто / брутто): S[11.5 / 15]</v>
      </c>
      <c r="R35" t="str">
        <f>CONCATENATE(R$2,": ",R$3,list1!R35,"]")</f>
        <v xml:space="preserve"> (Внутренний блок) Уровень шума мин. / макс.: S[20/30/36/43]</v>
      </c>
      <c r="S35" t="str">
        <f>CONCATENATE(S$2,": ",S$3,list1!S35,"]")</f>
        <v xml:space="preserve"> (Наружный блок) Марка компрессора: S[]</v>
      </c>
      <c r="T35" t="str">
        <f>CONCATENATE(T$2,": ",T$3,list1!T35,"]")</f>
        <v xml:space="preserve"> (Наружный блок) Размеры (Ш x Г x В): S[799 х 290 х 542]</v>
      </c>
      <c r="U35" t="str">
        <f>CONCATENATE(U$2,": ",U$3,list1!U35,"]")</f>
        <v xml:space="preserve"> (Наружный блок) Упаковка (Ш x Г x В): S[940 х 375 х 602]</v>
      </c>
      <c r="V35" t="str">
        <f>CONCATENATE(V$2,": ",V$3,list1!V35,"]")</f>
        <v xml:space="preserve"> (Наружный блок) Масса (нетто / брутто): S[31/35]</v>
      </c>
      <c r="W35" t="str">
        <f>CONCATENATE(W$2,": ",W$3,list1!W35,"]")</f>
        <v xml:space="preserve"> (Наружный блок) Максимальный уровень шума: N[]</v>
      </c>
      <c r="X35" t="str">
        <f>CONCATENATE(X$2,": ",X$3,list1!X35,"]")</f>
        <v xml:space="preserve"> (Соединительные трубы) Жидкостная линия : N[6.35]</v>
      </c>
      <c r="Y35" t="str">
        <f>CONCATENATE(Y$2,": ",Y$3,list1!Y35,"]")</f>
        <v xml:space="preserve"> (Соединительные трубы) Газовая линия : N[9.52]</v>
      </c>
      <c r="Z35" t="str">
        <f>CONCATENATE(Z$2,": ",Z$3,list1!Z35,"]")</f>
        <v xml:space="preserve"> (Соединительные трубы) Максимальная длина трубопровода: N[20]</v>
      </c>
      <c r="AA35" t="str">
        <f>CONCATENATE(AA$2,": ",AA$3,list1!AA35,"]")</f>
        <v xml:space="preserve"> (Соединительные трубы) Максимальный перепад высот: S[15]</v>
      </c>
      <c r="AB35" t="str">
        <f>CONCATENATE(AB$2,": ",AB$3,list1!AB35,"]")</f>
        <v xml:space="preserve"> (Допустимая темп. наружного воздуха) Охлаждение: S[от -10 до +46]</v>
      </c>
      <c r="AC35" t="str">
        <f>CONCATENATE(AC$2,": ",AC$3,list1!AC35,"]")</f>
        <v xml:space="preserve"> (Допустимая темп. наружного воздуха) Обогрев: S[от -15 до +24]</v>
      </c>
      <c r="AD35" s="6" t="s">
        <v>5245</v>
      </c>
    </row>
    <row r="36" spans="1:30" x14ac:dyDescent="0.25">
      <c r="A36" t="str">
        <f>CONCATENATE(A$2,": ",A$3,list1!A36,"]")</f>
        <v>Производитель: E[FUJITSU]</v>
      </c>
      <c r="B36" t="str">
        <f>CONCATENATE(B$2,": ",B$3,list1!B36,"]")</f>
        <v xml:space="preserve"> Тип: S[Сплит система]</v>
      </c>
      <c r="C36" t="str">
        <f>CONCATENATE(C$2,": ",C$3,list1!C36,"]")</f>
        <v xml:space="preserve"> (Сплит система) Холодопроизводительность: N[2.5]</v>
      </c>
      <c r="D36" t="str">
        <f>CONCATENATE(D$2,": ",D$3,list1!D36,"]")</f>
        <v xml:space="preserve"> (Сплит система) Площадь помещения: N[25]</v>
      </c>
      <c r="E36" t="str">
        <f>CONCATENATE(E$2,": ",E$3,list1!E36,"]")</f>
        <v xml:space="preserve"> (Сплит система) Инвентор: S[да]</v>
      </c>
      <c r="F36" t="str">
        <f>CONCATENATE(F$2,": ",F$3,list1!F36,"]")</f>
        <v xml:space="preserve"> (Сплит система) Теплопроизводительность: N[3.6]</v>
      </c>
      <c r="G36" t="str">
        <f>CONCATENATE(G$2,": ",G$3,list1!G36,"]")</f>
        <v xml:space="preserve"> (Потребляемая мощность) Охлаждение: N[0.46]</v>
      </c>
      <c r="H36" t="str">
        <f>CONCATENATE(H$2,": ",H$3,list1!H36,"]")</f>
        <v xml:space="preserve"> (Потребляемая мощность) Обогрев: S[0.63]</v>
      </c>
      <c r="I36" t="str">
        <f>CONCATENATE(I$2,": ",I$3,list1!I36,"]")</f>
        <v xml:space="preserve"> (Рабочий ток) Охлаждение: S[]</v>
      </c>
      <c r="J36" t="str">
        <f>CONCATENATE(J$2,": ",J$3,list1!J36,"]")</f>
        <v xml:space="preserve"> (Рабочий ток) Обогрев: S[]</v>
      </c>
      <c r="K36" t="str">
        <f>CONCATENATE(K$2,": ",K$3,list1!K36,"]")</f>
        <v xml:space="preserve"> (Рабочий ток) Напряжение / Частота источника питания: S[1 / 230 / 50]</v>
      </c>
      <c r="L36" t="str">
        <f>CONCATENATE(L$2,": ",L$3,list1!L36,"]")</f>
        <v xml:space="preserve"> (Рабочий ток) Хладагент: S[R32]</v>
      </c>
      <c r="M36" t="str">
        <f>CONCATENATE(M$2,": ",M$3,list1!M36,"]")</f>
        <v xml:space="preserve"> (Рабочий ток) Количество хладагента: N[]</v>
      </c>
      <c r="N36" t="str">
        <f>CONCATENATE(N$2,": ",N$3,list1!N36,"]")</f>
        <v xml:space="preserve"> (Рабочий ток) Объем рециркулируемого воздуха внутреннего блока: S[]</v>
      </c>
      <c r="O36" t="str">
        <f>CONCATENATE(O$2,": ",O$3,list1!O36,"]")</f>
        <v xml:space="preserve"> (Внутренний блок) Размеры (Ш x Г x В): S[786 х 293 х 378]</v>
      </c>
      <c r="P36" t="str">
        <f>CONCATENATE(P$2,": ",P$3,list1!P36,"]")</f>
        <v xml:space="preserve"> (Внутренний блок) Упаковка (Ш x Г x В): S[877 х 454 х 376]</v>
      </c>
      <c r="Q36" t="str">
        <f>CONCATENATE(Q$2,": ",Q$3,list1!Q36,"]")</f>
        <v xml:space="preserve"> (Внутренний блок) Масса (нетто / брутто): S[20 / 24]</v>
      </c>
      <c r="R36" t="str">
        <f>CONCATENATE(R$2,": ",R$3,list1!R36,"]")</f>
        <v xml:space="preserve"> (Внутренний блок) Уровень шума мин. / макс.: S[28/38/42/46]</v>
      </c>
      <c r="S36" t="str">
        <f>CONCATENATE(S$2,": ",S$3,list1!S36,"]")</f>
        <v xml:space="preserve"> (Наружный блок) Марка компрессора: S[]</v>
      </c>
      <c r="T36" t="str">
        <f>CONCATENATE(T$2,": ",T$3,list1!T36,"]")</f>
        <v xml:space="preserve"> (Наружный блок) Размеры (Ш x Г x В): S[820 х 315 х 704]</v>
      </c>
      <c r="U36" t="str">
        <f>CONCATENATE(U$2,": ",U$3,list1!U36,"]")</f>
        <v xml:space="preserve"> (Наружный блок) Упаковка (Ш x Г x В): S[965 х 426 х 786]</v>
      </c>
      <c r="V36" t="str">
        <f>CONCATENATE(V$2,": ",V$3,list1!V36,"]")</f>
        <v xml:space="preserve"> (Наружный блок) Масса (нетто / брутто): S[41/46]</v>
      </c>
      <c r="W36" t="str">
        <f>CONCATENATE(W$2,": ",W$3,list1!W36,"]")</f>
        <v xml:space="preserve"> (Наружный блок) Максимальный уровень шума: N[]</v>
      </c>
      <c r="X36" t="str">
        <f>CONCATENATE(X$2,": ",X$3,list1!X36,"]")</f>
        <v xml:space="preserve"> (Соединительные трубы) Жидкостная линия : N[6.35]</v>
      </c>
      <c r="Y36" t="str">
        <f>CONCATENATE(Y$2,": ",Y$3,list1!Y36,"]")</f>
        <v xml:space="preserve"> (Соединительные трубы) Газовая линия : N[9.52]</v>
      </c>
      <c r="Z36" t="str">
        <f>CONCATENATE(Z$2,": ",Z$3,list1!Z36,"]")</f>
        <v xml:space="preserve"> (Соединительные трубы) Максимальная длина трубопровода: N[15]</v>
      </c>
      <c r="AA36" t="str">
        <f>CONCATENATE(AA$2,": ",AA$3,list1!AA36,"]")</f>
        <v xml:space="preserve"> (Соединительные трубы) Максимальный перепад высот: S[10]</v>
      </c>
      <c r="AB36" t="str">
        <f>CONCATENATE(AB$2,": ",AB$3,list1!AB36,"]")</f>
        <v xml:space="preserve"> (Допустимая темп. наружного воздуха) Охлаждение: S[от -10 до +43]</v>
      </c>
      <c r="AC36" t="str">
        <f>CONCATENATE(AC$2,": ",AC$3,list1!AC36,"]")</f>
        <v xml:space="preserve"> (Допустимая темп. наружного воздуха) Обогрев: S[от -15 до +24]</v>
      </c>
      <c r="AD36" s="6" t="s">
        <v>5245</v>
      </c>
    </row>
    <row r="37" spans="1:30" x14ac:dyDescent="0.25">
      <c r="A37" t="str">
        <f>CONCATENATE(A$2,": ",A$3,list1!A37,"]")</f>
        <v>Производитель: E[FUJITSU]</v>
      </c>
      <c r="B37" t="str">
        <f>CONCATENATE(B$2,": ",B$3,list1!B37,"]")</f>
        <v xml:space="preserve"> Тип: S[Сплит система]</v>
      </c>
      <c r="C37" t="str">
        <f>CONCATENATE(C$2,": ",C$3,list1!C37,"]")</f>
        <v xml:space="preserve"> (Сплит система) Холодопроизводительность: N[3.4]</v>
      </c>
      <c r="D37" t="str">
        <f>CONCATENATE(D$2,": ",D$3,list1!D37,"]")</f>
        <v xml:space="preserve"> (Сплит система) Площадь помещения: N[34]</v>
      </c>
      <c r="E37" t="str">
        <f>CONCATENATE(E$2,": ",E$3,list1!E37,"]")</f>
        <v xml:space="preserve"> (Сплит система) Инвентор: S[да]</v>
      </c>
      <c r="F37" t="str">
        <f>CONCATENATE(F$2,": ",F$3,list1!F37,"]")</f>
        <v xml:space="preserve"> (Сплит система) Теплопроизводительность: N[5]</v>
      </c>
      <c r="G37" t="str">
        <f>CONCATENATE(G$2,": ",G$3,list1!G37,"]")</f>
        <v xml:space="preserve"> (Потребляемая мощность) Охлаждение: N[0.67]</v>
      </c>
      <c r="H37" t="str">
        <f>CONCATENATE(H$2,": ",H$3,list1!H37,"]")</f>
        <v xml:space="preserve"> (Потребляемая мощность) Обогрев: S[1.02]</v>
      </c>
      <c r="I37" t="str">
        <f>CONCATENATE(I$2,": ",I$3,list1!I37,"]")</f>
        <v xml:space="preserve"> (Рабочий ток) Охлаждение: S[]</v>
      </c>
      <c r="J37" t="str">
        <f>CONCATENATE(J$2,": ",J$3,list1!J37,"]")</f>
        <v xml:space="preserve"> (Рабочий ток) Обогрев: S[]</v>
      </c>
      <c r="K37" t="str">
        <f>CONCATENATE(K$2,": ",K$3,list1!K37,"]")</f>
        <v xml:space="preserve"> (Рабочий ток) Напряжение / Частота источника питания: S[1 / 230 / 50]</v>
      </c>
      <c r="L37" t="str">
        <f>CONCATENATE(L$2,": ",L$3,list1!L37,"]")</f>
        <v xml:space="preserve"> (Рабочий ток) Хладагент: S[R32]</v>
      </c>
      <c r="M37" t="str">
        <f>CONCATENATE(M$2,": ",M$3,list1!M37,"]")</f>
        <v xml:space="preserve"> (Рабочий ток) Количество хладагента: N[]</v>
      </c>
      <c r="N37" t="str">
        <f>CONCATENATE(N$2,": ",N$3,list1!N37,"]")</f>
        <v xml:space="preserve"> (Рабочий ток) Объем рециркулируемого воздуха внутреннего блока: S[]</v>
      </c>
      <c r="O37" t="str">
        <f>CONCATENATE(O$2,": ",O$3,list1!O37,"]")</f>
        <v xml:space="preserve"> (Внутренний блок) Размеры (Ш x Г x В): S[786 х 293 х 378]</v>
      </c>
      <c r="P37" t="str">
        <f>CONCATENATE(P$2,": ",P$3,list1!P37,"]")</f>
        <v xml:space="preserve"> (Внутренний блок) Упаковка (Ш x Г x В): S[877 х 454 х 376]</v>
      </c>
      <c r="Q37" t="str">
        <f>CONCATENATE(Q$2,": ",Q$3,list1!Q37,"]")</f>
        <v xml:space="preserve"> (Внутренний блок) Масса (нетто / брутто): S[20 / 24]</v>
      </c>
      <c r="R37" t="str">
        <f>CONCATENATE(R$2,": ",R$3,list1!R37,"]")</f>
        <v xml:space="preserve"> (Внутренний блок) Уровень шума мин. / макс.: S[28/38/42/46]</v>
      </c>
      <c r="S37" t="str">
        <f>CONCATENATE(S$2,": ",S$3,list1!S37,"]")</f>
        <v xml:space="preserve"> (Наружный блок) Марка компрессора: S[]</v>
      </c>
      <c r="T37" t="str">
        <f>CONCATENATE(T$2,": ",T$3,list1!T37,"]")</f>
        <v xml:space="preserve"> (Наружный блок) Размеры (Ш x Г x В): S[820 х 315 х 704]</v>
      </c>
      <c r="U37" t="str">
        <f>CONCATENATE(U$2,": ",U$3,list1!U37,"]")</f>
        <v xml:space="preserve"> (Наружный блок) Упаковка (Ш x Г x В): S[965 х 426 х 786]</v>
      </c>
      <c r="V37" t="str">
        <f>CONCATENATE(V$2,": ",V$3,list1!V37,"]")</f>
        <v xml:space="preserve"> (Наружный блок) Масса (нетто / брутто): S[41/46]</v>
      </c>
      <c r="W37" t="str">
        <f>CONCATENATE(W$2,": ",W$3,list1!W37,"]")</f>
        <v xml:space="preserve"> (Наружный блок) Максимальный уровень шума: N[]</v>
      </c>
      <c r="X37" t="str">
        <f>CONCATENATE(X$2,": ",X$3,list1!X37,"]")</f>
        <v xml:space="preserve"> (Соединительные трубы) Жидкостная линия : N[6.35]</v>
      </c>
      <c r="Y37" t="str">
        <f>CONCATENATE(Y$2,": ",Y$3,list1!Y37,"]")</f>
        <v xml:space="preserve"> (Соединительные трубы) Газовая линия : N[9.52]</v>
      </c>
      <c r="Z37" t="str">
        <f>CONCATENATE(Z$2,": ",Z$3,list1!Z37,"]")</f>
        <v xml:space="preserve"> (Соединительные трубы) Максимальная длина трубопровода: N[15]</v>
      </c>
      <c r="AA37" t="str">
        <f>CONCATENATE(AA$2,": ",AA$3,list1!AA37,"]")</f>
        <v xml:space="preserve"> (Соединительные трубы) Максимальный перепад высот: S[10]</v>
      </c>
      <c r="AB37" t="str">
        <f>CONCATENATE(AB$2,": ",AB$3,list1!AB37,"]")</f>
        <v xml:space="preserve"> (Допустимая темп. наружного воздуха) Охлаждение: S[от -10 до +43]</v>
      </c>
      <c r="AC37" t="str">
        <f>CONCATENATE(AC$2,": ",AC$3,list1!AC37,"]")</f>
        <v xml:space="preserve"> (Допустимая темп. наружного воздуха) Обогрев: S[от -15 до +24]</v>
      </c>
      <c r="AD37" s="6" t="s">
        <v>5245</v>
      </c>
    </row>
    <row r="38" spans="1:30" x14ac:dyDescent="0.25">
      <c r="A38" t="str">
        <f>CONCATENATE(A$2,": ",A$3,list1!A38,"]")</f>
        <v>Производитель: E[FUJITSU]</v>
      </c>
      <c r="B38" t="str">
        <f>CONCATENATE(B$2,": ",B$3,list1!B38,"]")</f>
        <v xml:space="preserve"> Тип: S[Сплит система]</v>
      </c>
      <c r="C38" t="str">
        <f>CONCATENATE(C$2,": ",C$3,list1!C38,"]")</f>
        <v xml:space="preserve"> (Сплит система) Холодопроизводительность: N[5.2]</v>
      </c>
      <c r="D38" t="str">
        <f>CONCATENATE(D$2,": ",D$3,list1!D38,"]")</f>
        <v xml:space="preserve"> (Сплит система) Площадь помещения: N[52]</v>
      </c>
      <c r="E38" t="str">
        <f>CONCATENATE(E$2,": ",E$3,list1!E38,"]")</f>
        <v xml:space="preserve"> (Сплит система) Инвентор: S[да]</v>
      </c>
      <c r="F38" t="str">
        <f>CONCATENATE(F$2,": ",F$3,list1!F38,"]")</f>
        <v xml:space="preserve"> (Сплит система) Теплопроизводительность: N[6.3]</v>
      </c>
      <c r="G38" t="str">
        <f>CONCATENATE(G$2,": ",G$3,list1!G38,"]")</f>
        <v xml:space="preserve"> (Потребляемая мощность) Охлаждение: N[1.52]</v>
      </c>
      <c r="H38" t="str">
        <f>CONCATENATE(H$2,": ",H$3,list1!H38,"]")</f>
        <v xml:space="preserve"> (Потребляемая мощность) Обогрев: S[1.71]</v>
      </c>
      <c r="I38" t="str">
        <f>CONCATENATE(I$2,": ",I$3,list1!I38,"]")</f>
        <v xml:space="preserve"> (Рабочий ток) Охлаждение: S[]</v>
      </c>
      <c r="J38" t="str">
        <f>CONCATENATE(J$2,": ",J$3,list1!J38,"]")</f>
        <v xml:space="preserve"> (Рабочий ток) Обогрев: S[]</v>
      </c>
      <c r="K38" t="str">
        <f>CONCATENATE(K$2,": ",K$3,list1!K38,"]")</f>
        <v xml:space="preserve"> (Рабочий ток) Напряжение / Частота источника питания: S[1 / 230 / 50]</v>
      </c>
      <c r="L38" t="str">
        <f>CONCATENATE(L$2,": ",L$3,list1!L38,"]")</f>
        <v xml:space="preserve"> (Рабочий ток) Хладагент: S[R410A]</v>
      </c>
      <c r="M38" t="str">
        <f>CONCATENATE(M$2,": ",M$3,list1!M38,"]")</f>
        <v xml:space="preserve"> (Рабочий ток) Количество хладагента: N[]</v>
      </c>
      <c r="N38" t="str">
        <f>CONCATENATE(N$2,": ",N$3,list1!N38,"]")</f>
        <v xml:space="preserve"> (Рабочий ток) Объем рециркулируемого воздуха внутреннего блока: S[]</v>
      </c>
      <c r="O38" t="str">
        <f>CONCATENATE(O$2,": ",O$3,list1!O38,"]")</f>
        <v xml:space="preserve"> (Внутренний блок) Размеры (Ш x Г x В): S[998 х 320 х 238]</v>
      </c>
      <c r="P38" t="str">
        <f>CONCATENATE(P$2,": ",P$3,list1!P38,"]")</f>
        <v xml:space="preserve"> (Внутренний блок) Упаковка (Ш x Г x В): S[1090 х 329 х 420]</v>
      </c>
      <c r="Q38" t="str">
        <f>CONCATENATE(Q$2,": ",Q$3,list1!Q38,"]")</f>
        <v xml:space="preserve"> (Внутренний блок) Масса (нетто / брутто): S[14 / 18]</v>
      </c>
      <c r="R38" t="str">
        <f>CONCATENATE(R$2,": ",R$3,list1!R38,"]")</f>
        <v xml:space="preserve"> (Внутренний блок) Уровень шума мин. / макс.: S[26/33/37/43]</v>
      </c>
      <c r="S38" t="str">
        <f>CONCATENATE(S$2,": ",S$3,list1!S38,"]")</f>
        <v xml:space="preserve"> (Наружный блок) Марка компрессора: S[GENERAL]</v>
      </c>
      <c r="T38" t="str">
        <f>CONCATENATE(T$2,": ",T$3,list1!T38,"]")</f>
        <v xml:space="preserve"> (Наружный блок) Размеры (Ш x Г x В): S[790 х 290 х 620]</v>
      </c>
      <c r="U38" t="str">
        <f>CONCATENATE(U$2,": ",U$3,list1!U38,"]")</f>
        <v xml:space="preserve"> (Наружный блок) Упаковка (Ш x Г x В): S[935 х 400 х 712]</v>
      </c>
      <c r="V38" t="str">
        <f>CONCATENATE(V$2,": ",V$3,list1!V38,"]")</f>
        <v xml:space="preserve"> (Наружный блок) Масса (нетто / брутто): S[41/45]</v>
      </c>
      <c r="W38" t="str">
        <f>CONCATENATE(W$2,": ",W$3,list1!W38,"]")</f>
        <v xml:space="preserve"> (Наружный блок) Максимальный уровень шума: N[]</v>
      </c>
      <c r="X38" t="str">
        <f>CONCATENATE(X$2,": ",X$3,list1!X38,"]")</f>
        <v xml:space="preserve"> (Соединительные трубы) Жидкостная линия : N[6.35]</v>
      </c>
      <c r="Y38" t="str">
        <f>CONCATENATE(Y$2,": ",Y$3,list1!Y38,"]")</f>
        <v xml:space="preserve"> (Соединительные трубы) Газовая линия : N[12.7]</v>
      </c>
      <c r="Z38" t="str">
        <f>CONCATENATE(Z$2,": ",Z$3,list1!Z38,"]")</f>
        <v xml:space="preserve"> (Соединительные трубы) Максимальная длина трубопровода: N[25]</v>
      </c>
      <c r="AA38" t="str">
        <f>CONCATENATE(AA$2,": ",AA$3,list1!AA38,"]")</f>
        <v xml:space="preserve"> (Соединительные трубы) Максимальный перепад высот: S[20]</v>
      </c>
      <c r="AB38" t="str">
        <f>CONCATENATE(AB$2,": ",AB$3,list1!AB38,"]")</f>
        <v xml:space="preserve"> (Допустимая темп. наружного воздуха) Охлаждение: S[от -10 до +46]</v>
      </c>
      <c r="AC38" t="str">
        <f>CONCATENATE(AC$2,": ",AC$3,list1!AC38,"]")</f>
        <v xml:space="preserve"> (Допустимая темп. наружного воздуха) Обогрев: S[от -15 до +24]</v>
      </c>
      <c r="AD38" s="6" t="s">
        <v>5245</v>
      </c>
    </row>
    <row r="39" spans="1:30" x14ac:dyDescent="0.25">
      <c r="A39" t="str">
        <f>CONCATENATE(A$2,": ",A$3,list1!A39,"]")</f>
        <v>Производитель: E[FUJITSU]</v>
      </c>
      <c r="B39" t="str">
        <f>CONCATENATE(B$2,": ",B$3,list1!B39,"]")</f>
        <v xml:space="preserve"> Тип: S[Сплит система]</v>
      </c>
      <c r="C39" t="str">
        <f>CONCATENATE(C$2,": ",C$3,list1!C39,"]")</f>
        <v xml:space="preserve"> (Сплит система) Холодопроизводительность: N[8]</v>
      </c>
      <c r="D39" t="str">
        <f>CONCATENATE(D$2,": ",D$3,list1!D39,"]")</f>
        <v xml:space="preserve"> (Сплит система) Площадь помещения: N[80]</v>
      </c>
      <c r="E39" t="str">
        <f>CONCATENATE(E$2,": ",E$3,list1!E39,"]")</f>
        <v xml:space="preserve"> (Сплит система) Инвентор: S[да]</v>
      </c>
      <c r="F39" t="str">
        <f>CONCATENATE(F$2,": ",F$3,list1!F39,"]")</f>
        <v xml:space="preserve"> (Сплит система) Теплопроизводительность: N[8.8]</v>
      </c>
      <c r="G39" t="str">
        <f>CONCATENATE(G$2,": ",G$3,list1!G39,"]")</f>
        <v xml:space="preserve"> (Потребляемая мощность) Охлаждение: N[2.49]</v>
      </c>
      <c r="H39" t="str">
        <f>CONCATENATE(H$2,": ",H$3,list1!H39,"]")</f>
        <v xml:space="preserve"> (Потребляемая мощность) Обогрев: S[2.44]</v>
      </c>
      <c r="I39" t="str">
        <f>CONCATENATE(I$2,": ",I$3,list1!I39,"]")</f>
        <v xml:space="preserve"> (Рабочий ток) Охлаждение: S[]</v>
      </c>
      <c r="J39" t="str">
        <f>CONCATENATE(J$2,": ",J$3,list1!J39,"]")</f>
        <v xml:space="preserve"> (Рабочий ток) Обогрев: S[]</v>
      </c>
      <c r="K39" t="str">
        <f>CONCATENATE(K$2,": ",K$3,list1!K39,"]")</f>
        <v xml:space="preserve"> (Рабочий ток) Напряжение / Частота источника питания: S[1 / 230 / 50]</v>
      </c>
      <c r="L39" t="str">
        <f>CONCATENATE(L$2,": ",L$3,list1!L39,"]")</f>
        <v xml:space="preserve"> (Рабочий ток) Хладагент: S[R410A]</v>
      </c>
      <c r="M39" t="str">
        <f>CONCATENATE(M$2,": ",M$3,list1!M39,"]")</f>
        <v xml:space="preserve"> (Рабочий ток) Количество хладагента: N[]</v>
      </c>
      <c r="N39" t="str">
        <f>CONCATENATE(N$2,": ",N$3,list1!N39,"]")</f>
        <v xml:space="preserve"> (Рабочий ток) Объем рециркулируемого воздуха внутреннего блока: S[]</v>
      </c>
      <c r="O39" t="str">
        <f>CONCATENATE(O$2,": ",O$3,list1!O39,"]")</f>
        <v xml:space="preserve"> (Внутренний блок) Размеры (Ш x Г x В): S[998 х 320 х 238]</v>
      </c>
      <c r="P39" t="str">
        <f>CONCATENATE(P$2,": ",P$3,list1!P39,"]")</f>
        <v xml:space="preserve"> (Внутренний блок) Упаковка (Ш x Г x В): S[1090 х 329 х 420]</v>
      </c>
      <c r="Q39" t="str">
        <f>CONCATENATE(Q$2,": ",Q$3,list1!Q39,"]")</f>
        <v xml:space="preserve"> (Внутренний блок) Масса (нетто / брутто): S[14 / 18]</v>
      </c>
      <c r="R39" t="str">
        <f>CONCATENATE(R$2,": ",R$3,list1!R39,"]")</f>
        <v xml:space="preserve"> (Внутренний блок) Уровень шума мин. / макс.: S[33/37/42/48]</v>
      </c>
      <c r="S39" t="str">
        <f>CONCATENATE(S$2,": ",S$3,list1!S39,"]")</f>
        <v xml:space="preserve"> (Наружный блок) Марка компрессора: S[GENERAL]</v>
      </c>
      <c r="T39" t="str">
        <f>CONCATENATE(T$2,": ",T$3,list1!T39,"]")</f>
        <v xml:space="preserve"> (Наружный блок) Размеры (Ш x Г x В): S[900 х 330 х 830]</v>
      </c>
      <c r="U39" t="str">
        <f>CONCATENATE(U$2,": ",U$3,list1!U39,"]")</f>
        <v xml:space="preserve"> (Наружный блок) Упаковка (Ш x Г x В): S[1050 х 445 х 1000]</v>
      </c>
      <c r="V39" t="str">
        <f>CONCATENATE(V$2,": ",V$3,list1!V39,"]")</f>
        <v xml:space="preserve"> (Наружный блок) Масса (нетто / брутто): S[61/69]</v>
      </c>
      <c r="W39" t="str">
        <f>CONCATENATE(W$2,": ",W$3,list1!W39,"]")</f>
        <v xml:space="preserve"> (Наружный блок) Максимальный уровень шума: N[]</v>
      </c>
      <c r="X39" t="str">
        <f>CONCATENATE(X$2,": ",X$3,list1!X39,"]")</f>
        <v xml:space="preserve"> (Соединительные трубы) Жидкостная линия : N[9.52]</v>
      </c>
      <c r="Y39" t="str">
        <f>CONCATENATE(Y$2,": ",Y$3,list1!Y39,"]")</f>
        <v xml:space="preserve"> (Соединительные трубы) Газовая линия : N[15.88]</v>
      </c>
      <c r="Z39" t="str">
        <f>CONCATENATE(Z$2,": ",Z$3,list1!Z39,"]")</f>
        <v xml:space="preserve"> (Соединительные трубы) Максимальная длина трубопровода: N[50]</v>
      </c>
      <c r="AA39" t="str">
        <f>CONCATENATE(AA$2,": ",AA$3,list1!AA39,"]")</f>
        <v xml:space="preserve"> (Соединительные трубы) Максимальный перепад высот: S[30]</v>
      </c>
      <c r="AB39" t="str">
        <f>CONCATENATE(AB$2,": ",AB$3,list1!AB39,"]")</f>
        <v xml:space="preserve"> (Допустимая темп. наружного воздуха) Охлаждение: S[от -10 до +46]</v>
      </c>
      <c r="AC39" t="str">
        <f>CONCATENATE(AC$2,": ",AC$3,list1!AC39,"]")</f>
        <v xml:space="preserve"> (Допустимая темп. наружного воздуха) Обогрев: S[от -15 до +24]</v>
      </c>
      <c r="AD39" s="6" t="s">
        <v>5245</v>
      </c>
    </row>
    <row r="40" spans="1:30" x14ac:dyDescent="0.25">
      <c r="A40" t="str">
        <f>CONCATENATE(A$2,": ",A$3,list1!A40,"]")</f>
        <v>Производитель: E[FUJITSU]</v>
      </c>
      <c r="B40" t="str">
        <f>CONCATENATE(B$2,": ",B$3,list1!B40,"]")</f>
        <v xml:space="preserve"> Тип: S[Сплит система]</v>
      </c>
      <c r="C40" t="str">
        <f>CONCATENATE(C$2,": ",C$3,list1!C40,"]")</f>
        <v xml:space="preserve"> (Сплит система) Холодопроизводительность: N[8]</v>
      </c>
      <c r="D40" t="str">
        <f>CONCATENATE(D$2,": ",D$3,list1!D40,"]")</f>
        <v xml:space="preserve"> (Сплит система) Площадь помещения: N[80]</v>
      </c>
      <c r="E40" t="str">
        <f>CONCATENATE(E$2,": ",E$3,list1!E40,"]")</f>
        <v xml:space="preserve"> (Сплит система) Инвентор: S[да]</v>
      </c>
      <c r="F40" t="str">
        <f>CONCATENATE(F$2,": ",F$3,list1!F40,"]")</f>
        <v xml:space="preserve"> (Сплит система) Теплопроизводительность: N[8.8]</v>
      </c>
      <c r="G40" t="str">
        <f>CONCATENATE(G$2,": ",G$3,list1!G40,"]")</f>
        <v xml:space="preserve"> (Потребляемая мощность) Охлаждение: N[2.33]</v>
      </c>
      <c r="H40" t="str">
        <f>CONCATENATE(H$2,": ",H$3,list1!H40,"]")</f>
        <v xml:space="preserve"> (Потребляемая мощность) Обогрев: S[2.2]</v>
      </c>
      <c r="I40" t="str">
        <f>CONCATENATE(I$2,": ",I$3,list1!I40,"]")</f>
        <v xml:space="preserve"> (Рабочий ток) Охлаждение: S[]</v>
      </c>
      <c r="J40" t="str">
        <f>CONCATENATE(J$2,": ",J$3,list1!J40,"]")</f>
        <v xml:space="preserve"> (Рабочий ток) Обогрев: S[]</v>
      </c>
      <c r="K40" t="str">
        <f>CONCATENATE(K$2,": ",K$3,list1!K40,"]")</f>
        <v xml:space="preserve"> (Рабочий ток) Напряжение / Частота источника питания: S[1 / 230 / 50]</v>
      </c>
      <c r="L40" t="str">
        <f>CONCATENATE(L$2,": ",L$3,list1!L40,"]")</f>
        <v xml:space="preserve"> (Рабочий ток) Хладагент: S[R32]</v>
      </c>
      <c r="M40" t="str">
        <f>CONCATENATE(M$2,": ",M$3,list1!M40,"]")</f>
        <v xml:space="preserve"> (Рабочий ток) Количество хладагента: N[]</v>
      </c>
      <c r="N40" t="str">
        <f>CONCATENATE(N$2,": ",N$3,list1!N40,"]")</f>
        <v xml:space="preserve"> (Рабочий ток) Объем рециркулируемого воздуха внутреннего блока: S[]</v>
      </c>
      <c r="O40" t="str">
        <f>CONCATENATE(O$2,": ",O$3,list1!O40,"]")</f>
        <v xml:space="preserve"> (Внутренний блок) Размеры (Ш x Г x В): S[1150 х 340 х 280]</v>
      </c>
      <c r="P40" t="str">
        <f>CONCATENATE(P$2,": ",P$3,list1!P40,"]")</f>
        <v xml:space="preserve"> (Внутренний блок) Упаковка (Ш x Г x В): S[1270 х 450 х 405]</v>
      </c>
      <c r="Q40" t="str">
        <f>CONCATENATE(Q$2,": ",Q$3,list1!Q40,"]")</f>
        <v xml:space="preserve"> (Внутренний блок) Масса (нетто / брутто): S[18.5 / 24.5]</v>
      </c>
      <c r="R40" t="str">
        <f>CONCATENATE(R$2,": ",R$3,list1!R40,"]")</f>
        <v xml:space="preserve"> (Внутренний блок) Уровень шума мин. / макс.: S[33/40/44/50]</v>
      </c>
      <c r="S40" t="str">
        <f>CONCATENATE(S$2,": ",S$3,list1!S40,"]")</f>
        <v xml:space="preserve"> (Наружный блок) Марка компрессора: S[GENERAL]</v>
      </c>
      <c r="T40" t="str">
        <f>CONCATENATE(T$2,": ",T$3,list1!T40,"]")</f>
        <v xml:space="preserve"> (Наружный блок) Размеры (Ш x Г x В): S[940 х 320 х 788]</v>
      </c>
      <c r="U40" t="str">
        <f>CONCATENATE(U$2,": ",U$3,list1!U40,"]")</f>
        <v xml:space="preserve"> (Наружный блок) Упаковка (Ш x Г x В): S[1027 х 445 х 966]</v>
      </c>
      <c r="V40" t="str">
        <f>CONCATENATE(V$2,": ",V$3,list1!V40,"]")</f>
        <v xml:space="preserve"> (Наружный блок) Масса (нетто / брутто): S[52/60]</v>
      </c>
      <c r="W40" t="str">
        <f>CONCATENATE(W$2,": ",W$3,list1!W40,"]")</f>
        <v xml:space="preserve"> (Наружный блок) Максимальный уровень шума: N[]</v>
      </c>
      <c r="X40" t="str">
        <f>CONCATENATE(X$2,": ",X$3,list1!X40,"]")</f>
        <v xml:space="preserve"> (Соединительные трубы) Жидкостная линия : N[9.52]</v>
      </c>
      <c r="Y40" t="str">
        <f>CONCATENATE(Y$2,": ",Y$3,list1!Y40,"]")</f>
        <v xml:space="preserve"> (Соединительные трубы) Газовая линия : N[15.88]</v>
      </c>
      <c r="Z40" t="str">
        <f>CONCATENATE(Z$2,": ",Z$3,list1!Z40,"]")</f>
        <v xml:space="preserve"> (Соединительные трубы) Максимальная длина трубопровода: N[50]</v>
      </c>
      <c r="AA40" t="str">
        <f>CONCATENATE(AA$2,": ",AA$3,list1!AA40,"]")</f>
        <v xml:space="preserve"> (Соединительные трубы) Максимальный перепад высот: S[30]</v>
      </c>
      <c r="AB40" t="str">
        <f>CONCATENATE(AB$2,": ",AB$3,list1!AB40,"]")</f>
        <v xml:space="preserve"> (Допустимая темп. наружного воздуха) Охлаждение: S[от -15 до +46]</v>
      </c>
      <c r="AC40" t="str">
        <f>CONCATENATE(AC$2,": ",AC$3,list1!AC40,"]")</f>
        <v xml:space="preserve"> (Допустимая темп. наружного воздуха) Обогрев: S[от -15 до +24]</v>
      </c>
      <c r="AD40" s="6" t="s">
        <v>5245</v>
      </c>
    </row>
    <row r="41" spans="1:30" x14ac:dyDescent="0.25">
      <c r="A41" t="str">
        <f>CONCATENATE(A$2,": ",A$3,list1!A41,"]")</f>
        <v>Производитель: E[FUJITSU]</v>
      </c>
      <c r="B41" t="str">
        <f>CONCATENATE(B$2,": ",B$3,list1!B41,"]")</f>
        <v xml:space="preserve"> Тип: S[Сплит система]</v>
      </c>
      <c r="C41" t="str">
        <f>CONCATENATE(C$2,": ",C$3,list1!C41,"]")</f>
        <v xml:space="preserve"> (Сплит система) Холодопроизводительность: N[9.4]</v>
      </c>
      <c r="D41" t="str">
        <f>CONCATENATE(D$2,": ",D$3,list1!D41,"]")</f>
        <v xml:space="preserve"> (Сплит система) Площадь помещения: N[94]</v>
      </c>
      <c r="E41" t="str">
        <f>CONCATENATE(E$2,": ",E$3,list1!E41,"]")</f>
        <v xml:space="preserve"> (Сплит система) Инвентор: S[да]</v>
      </c>
      <c r="F41" t="str">
        <f>CONCATENATE(F$2,": ",F$3,list1!F41,"]")</f>
        <v xml:space="preserve"> (Сплит система) Теплопроизводительность: N[10.1]</v>
      </c>
      <c r="G41" t="str">
        <f>CONCATENATE(G$2,": ",G$3,list1!G41,"]")</f>
        <v xml:space="preserve"> (Потребляемая мощность) Охлаждение: N[3.16]</v>
      </c>
      <c r="H41" t="str">
        <f>CONCATENATE(H$2,": ",H$3,list1!H41,"]")</f>
        <v xml:space="preserve"> (Потребляемая мощность) Обогрев: S[2.73]</v>
      </c>
      <c r="I41" t="str">
        <f>CONCATENATE(I$2,": ",I$3,list1!I41,"]")</f>
        <v xml:space="preserve"> (Рабочий ток) Охлаждение: S[]</v>
      </c>
      <c r="J41" t="str">
        <f>CONCATENATE(J$2,": ",J$3,list1!J41,"]")</f>
        <v xml:space="preserve"> (Рабочий ток) Обогрев: S[]</v>
      </c>
      <c r="K41" t="str">
        <f>CONCATENATE(K$2,": ",K$3,list1!K41,"]")</f>
        <v xml:space="preserve"> (Рабочий ток) Напряжение / Частота источника питания: S[1 / 230 / 50]</v>
      </c>
      <c r="L41" t="str">
        <f>CONCATENATE(L$2,": ",L$3,list1!L41,"]")</f>
        <v xml:space="preserve"> (Рабочий ток) Хладагент: S[R32]</v>
      </c>
      <c r="M41" t="str">
        <f>CONCATENATE(M$2,": ",M$3,list1!M41,"]")</f>
        <v xml:space="preserve"> (Рабочий ток) Количество хладагента: N[]</v>
      </c>
      <c r="N41" t="str">
        <f>CONCATENATE(N$2,": ",N$3,list1!N41,"]")</f>
        <v xml:space="preserve"> (Рабочий ток) Объем рециркулируемого воздуха внутреннего блока: S[]</v>
      </c>
      <c r="O41" t="str">
        <f>CONCATENATE(O$2,": ",O$3,list1!O41,"]")</f>
        <v xml:space="preserve"> (Внутренний блок) Размеры (Ш x Г x В): S[1150 х 340 х 280]</v>
      </c>
      <c r="P41" t="str">
        <f>CONCATENATE(P$2,": ",P$3,list1!P41,"]")</f>
        <v xml:space="preserve"> (Внутренний блок) Упаковка (Ш x Г x В): S[1270 х 450 х 405]</v>
      </c>
      <c r="Q41" t="str">
        <f>CONCATENATE(Q$2,": ",Q$3,list1!Q41,"]")</f>
        <v xml:space="preserve"> (Внутренний блок) Масса (нетто / брутто): S[18.5 / 24.5]</v>
      </c>
      <c r="R41" t="str">
        <f>CONCATENATE(R$2,": ",R$3,list1!R41,"]")</f>
        <v xml:space="preserve"> (Внутренний блок) Уровень шума мин. / макс.: S[33/40/44/50]</v>
      </c>
      <c r="S41" t="str">
        <f>CONCATENATE(S$2,": ",S$3,list1!S41,"]")</f>
        <v xml:space="preserve"> (Наружный блок) Марка компрессора: S[GENERAL]</v>
      </c>
      <c r="T41" t="str">
        <f>CONCATENATE(T$2,": ",T$3,list1!T41,"]")</f>
        <v xml:space="preserve"> (Наружный блок) Размеры (Ш x Г x В): S[940 х 320 х 788]</v>
      </c>
      <c r="U41" t="str">
        <f>CONCATENATE(U$2,": ",U$3,list1!U41,"]")</f>
        <v xml:space="preserve"> (Наружный блок) Упаковка (Ш x Г x В): S[1027 х 445 х 966]</v>
      </c>
      <c r="V41" t="str">
        <f>CONCATENATE(V$2,": ",V$3,list1!V41,"]")</f>
        <v xml:space="preserve"> (Наружный блок) Масса (нетто / брутто): S[52/60]</v>
      </c>
      <c r="W41" t="str">
        <f>CONCATENATE(W$2,": ",W$3,list1!W41,"]")</f>
        <v xml:space="preserve"> (Наружный блок) Максимальный уровень шума: N[]</v>
      </c>
      <c r="X41" t="str">
        <f>CONCATENATE(X$2,": ",X$3,list1!X41,"]")</f>
        <v xml:space="preserve"> (Соединительные трубы) Жидкостная линия : N[9.52]</v>
      </c>
      <c r="Y41" t="str">
        <f>CONCATENATE(Y$2,": ",Y$3,list1!Y41,"]")</f>
        <v xml:space="preserve"> (Соединительные трубы) Газовая линия : N[15.88]</v>
      </c>
      <c r="Z41" t="str">
        <f>CONCATENATE(Z$2,": ",Z$3,list1!Z41,"]")</f>
        <v xml:space="preserve"> (Соединительные трубы) Максимальная длина трубопровода: N[50]</v>
      </c>
      <c r="AA41" t="str">
        <f>CONCATENATE(AA$2,": ",AA$3,list1!AA41,"]")</f>
        <v xml:space="preserve"> (Соединительные трубы) Максимальный перепад высот: S[30]</v>
      </c>
      <c r="AB41" t="str">
        <f>CONCATENATE(AB$2,": ",AB$3,list1!AB41,"]")</f>
        <v xml:space="preserve"> (Допустимая темп. наружного воздуха) Охлаждение: S[от -15 до +46]</v>
      </c>
      <c r="AC41" t="str">
        <f>CONCATENATE(AC$2,": ",AC$3,list1!AC41,"]")</f>
        <v xml:space="preserve"> (Допустимая темп. наружного воздуха) Обогрев: S[от -15 до +24]</v>
      </c>
      <c r="AD41" s="6" t="s">
        <v>5245</v>
      </c>
    </row>
    <row r="42" spans="1:30" x14ac:dyDescent="0.25">
      <c r="A42" t="str">
        <f>CONCATENATE(A$2,": ",A$3,list1!A42,"]")</f>
        <v>Производитель: E[FUJITSU]</v>
      </c>
      <c r="B42" t="str">
        <f>CONCATENATE(B$2,": ",B$3,list1!B42,"]")</f>
        <v xml:space="preserve"> Тип: S[Канальные]</v>
      </c>
      <c r="C42" t="str">
        <f>CONCATENATE(C$2,": ",C$3,list1!C42,"]")</f>
        <v xml:space="preserve"> (Сплит система) Холодопроизводительность: N[12.1]</v>
      </c>
      <c r="D42" t="str">
        <f>CONCATENATE(D$2,": ",D$3,list1!D42,"]")</f>
        <v xml:space="preserve"> (Сплит система) Площадь помещения: N[120]</v>
      </c>
      <c r="E42" t="str">
        <f>CONCATENATE(E$2,": ",E$3,list1!E42,"]")</f>
        <v xml:space="preserve"> (Сплит система) Инвентор: S[да]</v>
      </c>
      <c r="F42" t="str">
        <f>CONCATENATE(F$2,": ",F$3,list1!F42,"]")</f>
        <v xml:space="preserve"> (Сплит система) Теплопроизводительность: N[13.5]</v>
      </c>
      <c r="G42" t="str">
        <f>CONCATENATE(G$2,": ",G$3,list1!G42,"]")</f>
        <v xml:space="preserve"> (Потребляемая мощность) Охлаждение: N[4.16]</v>
      </c>
      <c r="H42" t="str">
        <f>CONCATENATE(H$2,": ",H$3,list1!H42,"]")</f>
        <v xml:space="preserve"> (Потребляемая мощность) Обогрев: S[3.61]</v>
      </c>
      <c r="I42" t="str">
        <f>CONCATENATE(I$2,": ",I$3,list1!I42,"]")</f>
        <v xml:space="preserve"> (Рабочий ток) Охлаждение: S[]</v>
      </c>
      <c r="J42" t="str">
        <f>CONCATENATE(J$2,": ",J$3,list1!J42,"]")</f>
        <v xml:space="preserve"> (Рабочий ток) Обогрев: S[]</v>
      </c>
      <c r="K42" t="str">
        <f>CONCATENATE(K$2,": ",K$3,list1!K42,"]")</f>
        <v xml:space="preserve"> (Рабочий ток) Напряжение / Частота источника питания: S[1 / 220 / 50]</v>
      </c>
      <c r="L42" t="str">
        <f>CONCATENATE(L$2,": ",L$3,list1!L42,"]")</f>
        <v xml:space="preserve"> (Рабочий ток) Хладагент: S[R32]</v>
      </c>
      <c r="M42" t="str">
        <f>CONCATENATE(M$2,": ",M$3,list1!M42,"]")</f>
        <v xml:space="preserve"> (Рабочий ток) Количество хладагента: N[]</v>
      </c>
      <c r="N42" t="str">
        <f>CONCATENATE(N$2,": ",N$3,list1!N42,"]")</f>
        <v xml:space="preserve"> (Рабочий ток) Объем рециркулируемого воздуха внутреннего блока: S[]</v>
      </c>
      <c r="O42" t="str">
        <f>CONCATENATE(O$2,": ",O$3,list1!O42,"]")</f>
        <v xml:space="preserve"> (Внутренний блок) Размеры (Ш x Г x В): S[1050 х 400 х 500]</v>
      </c>
      <c r="P42" t="str">
        <f>CONCATENATE(P$2,": ",P$3,list1!P42,"]")</f>
        <v xml:space="preserve"> (Внутренний блок) Упаковка (Ш x Г x В): S[1230 х 640 х 460]</v>
      </c>
      <c r="Q42" t="str">
        <f>CONCATENATE(Q$2,": ",Q$3,list1!Q42,"]")</f>
        <v xml:space="preserve"> (Внутренний блок) Масса (нетто / брутто): S[46 / 51]</v>
      </c>
      <c r="R42" t="str">
        <f>CONCATENATE(R$2,": ",R$3,list1!R42,"]")</f>
        <v xml:space="preserve"> (Внутренний блок) Уровень шума мин. / макс.: S[40/43/47]</v>
      </c>
      <c r="S42" t="str">
        <f>CONCATENATE(S$2,": ",S$3,list1!S42,"]")</f>
        <v xml:space="preserve"> (Наружный блок) Марка компрессора: S[]</v>
      </c>
      <c r="T42" t="str">
        <f>CONCATENATE(T$2,": ",T$3,list1!T42,"]")</f>
        <v xml:space="preserve"> (Наружный блок) Размеры (Ш x Г x В): S[940 х 320 х 988]</v>
      </c>
      <c r="U42" t="str">
        <f>CONCATENATE(U$2,": ",U$3,list1!U42,"]")</f>
        <v xml:space="preserve"> (Наружный блок) Упаковка (Ш x Г x В): S[1027 х 445 х 1176]</v>
      </c>
      <c r="V42" t="str">
        <f>CONCATENATE(V$2,": ",V$3,list1!V42,"]")</f>
        <v xml:space="preserve"> (Наружный блок) Масса (нетто / брутто): S[67/75]</v>
      </c>
      <c r="W42" t="str">
        <f>CONCATENATE(W$2,": ",W$3,list1!W42,"]")</f>
        <v xml:space="preserve"> (Наружный блок) Максимальный уровень шума: N[]</v>
      </c>
      <c r="X42" t="str">
        <f>CONCATENATE(X$2,": ",X$3,list1!X42,"]")</f>
        <v xml:space="preserve"> (Соединительные трубы) Жидкостная линия : N[9.52]</v>
      </c>
      <c r="Y42" t="str">
        <f>CONCATENATE(Y$2,": ",Y$3,list1!Y42,"]")</f>
        <v xml:space="preserve"> (Соединительные трубы) Газовая линия : N[15.88]</v>
      </c>
      <c r="Z42" t="str">
        <f>CONCATENATE(Z$2,": ",Z$3,list1!Z42,"]")</f>
        <v xml:space="preserve"> (Соединительные трубы) Максимальная длина трубопровода: N[50]</v>
      </c>
      <c r="AA42" t="str">
        <f>CONCATENATE(AA$2,": ",AA$3,list1!AA42,"]")</f>
        <v xml:space="preserve"> (Соединительные трубы) Максимальный перепад высот: S[30]</v>
      </c>
      <c r="AB42" t="str">
        <f>CONCATENATE(AB$2,": ",AB$3,list1!AB42,"]")</f>
        <v xml:space="preserve"> (Допустимая темп. наружного воздуха) Охлаждение: S[от -15 до +46]</v>
      </c>
      <c r="AC42" t="str">
        <f>CONCATENATE(AC$2,": ",AC$3,list1!AC42,"]")</f>
        <v xml:space="preserve"> (Допустимая темп. наружного воздуха) Обогрев: S[от -15 до +24]</v>
      </c>
      <c r="AD42" s="6" t="s">
        <v>5245</v>
      </c>
    </row>
    <row r="43" spans="1:30" x14ac:dyDescent="0.25">
      <c r="A43" t="str">
        <f>CONCATENATE(A$2,": ",A$3,list1!A43,"]")</f>
        <v>Производитель: E[FUJITSU]</v>
      </c>
      <c r="B43" t="str">
        <f>CONCATENATE(B$2,": ",B$3,list1!B43,"]")</f>
        <v xml:space="preserve"> Тип: S[Канальные]</v>
      </c>
      <c r="C43" t="str">
        <f>CONCATENATE(C$2,": ",C$3,list1!C43,"]")</f>
        <v xml:space="preserve"> (Сплит система) Холодопроизводительность: N[12.1]</v>
      </c>
      <c r="D43" t="str">
        <f>CONCATENATE(D$2,": ",D$3,list1!D43,"]")</f>
        <v xml:space="preserve"> (Сплит система) Площадь помещения: N[120]</v>
      </c>
      <c r="E43" t="str">
        <f>CONCATENATE(E$2,": ",E$3,list1!E43,"]")</f>
        <v xml:space="preserve"> (Сплит система) Инвентор: S[да]</v>
      </c>
      <c r="F43" t="str">
        <f>CONCATENATE(F$2,": ",F$3,list1!F43,"]")</f>
        <v xml:space="preserve"> (Сплит система) Теплопроизводительность: N[13.5]</v>
      </c>
      <c r="G43" t="str">
        <f>CONCATENATE(G$2,": ",G$3,list1!G43,"]")</f>
        <v xml:space="preserve"> (Потребляемая мощность) Охлаждение: N[4.16]</v>
      </c>
      <c r="H43" t="str">
        <f>CONCATENATE(H$2,": ",H$3,list1!H43,"]")</f>
        <v xml:space="preserve"> (Потребляемая мощность) Обогрев: S[3.61]</v>
      </c>
      <c r="I43" t="str">
        <f>CONCATENATE(I$2,": ",I$3,list1!I43,"]")</f>
        <v xml:space="preserve"> (Рабочий ток) Охлаждение: S[]</v>
      </c>
      <c r="J43" t="str">
        <f>CONCATENATE(J$2,": ",J$3,list1!J43,"]")</f>
        <v xml:space="preserve"> (Рабочий ток) Обогрев: S[]</v>
      </c>
      <c r="K43" t="str">
        <f>CONCATENATE(K$2,": ",K$3,list1!K43,"]")</f>
        <v xml:space="preserve"> (Рабочий ток) Напряжение / Частота источника питания: S[3 / 380 / 50]</v>
      </c>
      <c r="L43" t="str">
        <f>CONCATENATE(L$2,": ",L$3,list1!L43,"]")</f>
        <v xml:space="preserve"> (Рабочий ток) Хладагент: S[R32]</v>
      </c>
      <c r="M43" t="str">
        <f>CONCATENATE(M$2,": ",M$3,list1!M43,"]")</f>
        <v xml:space="preserve"> (Рабочий ток) Количество хладагента: N[]</v>
      </c>
      <c r="N43" t="str">
        <f>CONCATENATE(N$2,": ",N$3,list1!N43,"]")</f>
        <v xml:space="preserve"> (Рабочий ток) Объем рециркулируемого воздуха внутреннего блока: S[]</v>
      </c>
      <c r="O43" t="str">
        <f>CONCATENATE(O$2,": ",O$3,list1!O43,"]")</f>
        <v xml:space="preserve"> (Внутренний блок) Размеры (Ш x Г x В): S[1050 х 400 х 500]</v>
      </c>
      <c r="P43" t="str">
        <f>CONCATENATE(P$2,": ",P$3,list1!P43,"]")</f>
        <v xml:space="preserve"> (Внутренний блок) Упаковка (Ш x Г x В): S[1230 х 640 х 460]</v>
      </c>
      <c r="Q43" t="str">
        <f>CONCATENATE(Q$2,": ",Q$3,list1!Q43,"]")</f>
        <v xml:space="preserve"> (Внутренний блок) Масса (нетто / брутто): S[46 / 51]</v>
      </c>
      <c r="R43" t="str">
        <f>CONCATENATE(R$2,": ",R$3,list1!R43,"]")</f>
        <v xml:space="preserve"> (Внутренний блок) Уровень шума мин. / макс.: S[40/43/47]</v>
      </c>
      <c r="S43" t="str">
        <f>CONCATENATE(S$2,": ",S$3,list1!S43,"]")</f>
        <v xml:space="preserve"> (Наружный блок) Марка компрессора: S[]</v>
      </c>
      <c r="T43" t="str">
        <f>CONCATENATE(T$2,": ",T$3,list1!T43,"]")</f>
        <v xml:space="preserve"> (Наружный блок) Размеры (Ш x Г x В): S[940 х 320 х 998]</v>
      </c>
      <c r="U43" t="str">
        <f>CONCATENATE(U$2,": ",U$3,list1!U43,"]")</f>
        <v xml:space="preserve"> (Наружный блок) Упаковка (Ш x Г x В): S[1027 х 445 х 1176]</v>
      </c>
      <c r="V43" t="str">
        <f>CONCATENATE(V$2,": ",V$3,list1!V43,"]")</f>
        <v xml:space="preserve"> (Наружный блок) Масса (нетто / брутто): S[67/77]</v>
      </c>
      <c r="W43" t="str">
        <f>CONCATENATE(W$2,": ",W$3,list1!W43,"]")</f>
        <v xml:space="preserve"> (Наружный блок) Максимальный уровень шума: N[]</v>
      </c>
      <c r="X43" t="str">
        <f>CONCATENATE(X$2,": ",X$3,list1!X43,"]")</f>
        <v xml:space="preserve"> (Соединительные трубы) Жидкостная линия : N[9.52]</v>
      </c>
      <c r="Y43" t="str">
        <f>CONCATENATE(Y$2,": ",Y$3,list1!Y43,"]")</f>
        <v xml:space="preserve"> (Соединительные трубы) Газовая линия : N[15.88]</v>
      </c>
      <c r="Z43" t="str">
        <f>CONCATENATE(Z$2,": ",Z$3,list1!Z43,"]")</f>
        <v xml:space="preserve"> (Соединительные трубы) Максимальная длина трубопровода: N[50]</v>
      </c>
      <c r="AA43" t="str">
        <f>CONCATENATE(AA$2,": ",AA$3,list1!AA43,"]")</f>
        <v xml:space="preserve"> (Соединительные трубы) Максимальный перепад высот: S[30]</v>
      </c>
      <c r="AB43" t="str">
        <f>CONCATENATE(AB$2,": ",AB$3,list1!AB43,"]")</f>
        <v xml:space="preserve"> (Допустимая темп. наружного воздуха) Охлаждение: S[от -15 до +46]</v>
      </c>
      <c r="AC43" t="str">
        <f>CONCATENATE(AC$2,": ",AC$3,list1!AC43,"]")</f>
        <v xml:space="preserve"> (Допустимая темп. наружного воздуха) Обогрев: S[от -15 до +24]</v>
      </c>
      <c r="AD43" s="6" t="s">
        <v>5245</v>
      </c>
    </row>
    <row r="44" spans="1:30" x14ac:dyDescent="0.25">
      <c r="A44" t="str">
        <f>CONCATENATE(A$2,": ",A$3,list1!A44,"]")</f>
        <v>Производитель: E[FUJITSU]</v>
      </c>
      <c r="B44" t="str">
        <f>CONCATENATE(B$2,": ",B$3,list1!B44,"]")</f>
        <v xml:space="preserve"> Тип: S[Канальные]</v>
      </c>
      <c r="C44" t="str">
        <f>CONCATENATE(C$2,": ",C$3,list1!C44,"]")</f>
        <v xml:space="preserve"> (Сплит система) Холодопроизводительность: N[13.4]</v>
      </c>
      <c r="D44" t="str">
        <f>CONCATENATE(D$2,": ",D$3,list1!D44,"]")</f>
        <v xml:space="preserve"> (Сплит система) Площадь помещения: N[130]</v>
      </c>
      <c r="E44" t="str">
        <f>CONCATENATE(E$2,": ",E$3,list1!E44,"]")</f>
        <v xml:space="preserve"> (Сплит система) Инвентор: S[да]</v>
      </c>
      <c r="F44" t="str">
        <f>CONCATENATE(F$2,": ",F$3,list1!F44,"]")</f>
        <v xml:space="preserve"> (Сплит система) Теплопроизводительность: N[15.5]</v>
      </c>
      <c r="G44" t="str">
        <f>CONCATENATE(G$2,": ",G$3,list1!G44,"]")</f>
        <v xml:space="preserve"> (Потребляемая мощность) Охлаждение: N[4.77]</v>
      </c>
      <c r="H44" t="str">
        <f>CONCATENATE(H$2,": ",H$3,list1!H44,"]")</f>
        <v xml:space="preserve"> (Потребляемая мощность) Обогрев: S[4.18]</v>
      </c>
      <c r="I44" t="str">
        <f>CONCATENATE(I$2,": ",I$3,list1!I44,"]")</f>
        <v xml:space="preserve"> (Рабочий ток) Охлаждение: S[]</v>
      </c>
      <c r="J44" t="str">
        <f>CONCATENATE(J$2,": ",J$3,list1!J44,"]")</f>
        <v xml:space="preserve"> (Рабочий ток) Обогрев: S[]</v>
      </c>
      <c r="K44" t="str">
        <f>CONCATENATE(K$2,": ",K$3,list1!K44,"]")</f>
        <v xml:space="preserve"> (Рабочий ток) Напряжение / Частота источника питания: S[1 / 220 / 50]</v>
      </c>
      <c r="L44" t="str">
        <f>CONCATENATE(L$2,": ",L$3,list1!L44,"]")</f>
        <v xml:space="preserve"> (Рабочий ток) Хладагент: S[R32]</v>
      </c>
      <c r="M44" t="str">
        <f>CONCATENATE(M$2,": ",M$3,list1!M44,"]")</f>
        <v xml:space="preserve"> (Рабочий ток) Количество хладагента: N[]</v>
      </c>
      <c r="N44" t="str">
        <f>CONCATENATE(N$2,": ",N$3,list1!N44,"]")</f>
        <v xml:space="preserve"> (Рабочий ток) Объем рециркулируемого воздуха внутреннего блока: S[]</v>
      </c>
      <c r="O44" t="str">
        <f>CONCATENATE(O$2,": ",O$3,list1!O44,"]")</f>
        <v xml:space="preserve"> (Внутренний блок) Размеры (Ш x Г x В): S[1050 х 400 х 500]</v>
      </c>
      <c r="P44" t="str">
        <f>CONCATENATE(P$2,": ",P$3,list1!P44,"]")</f>
        <v xml:space="preserve"> (Внутренний блок) Упаковка (Ш x Г x В): S[1230 х 640 х 460]</v>
      </c>
      <c r="Q44" t="str">
        <f>CONCATENATE(Q$2,": ",Q$3,list1!Q44,"]")</f>
        <v xml:space="preserve"> (Внутренний блок) Масса (нетто / брутто): S[46 / 51]</v>
      </c>
      <c r="R44" t="str">
        <f>CONCATENATE(R$2,": ",R$3,list1!R44,"]")</f>
        <v xml:space="preserve"> (Внутренний блок) Уровень шума мин. / макс.: S[40/43/47]</v>
      </c>
      <c r="S44" t="str">
        <f>CONCATENATE(S$2,": ",S$3,list1!S44,"]")</f>
        <v xml:space="preserve"> (Наружный блок) Марка компрессора: S[]</v>
      </c>
      <c r="T44" t="str">
        <f>CONCATENATE(T$2,": ",T$3,list1!T44,"]")</f>
        <v xml:space="preserve"> (Наружный блок) Размеры (Ш x Г x В): S[940 х 320 х 998]</v>
      </c>
      <c r="U44" t="str">
        <f>CONCATENATE(U$2,": ",U$3,list1!U44,"]")</f>
        <v xml:space="preserve"> (Наружный блок) Упаковка (Ш x Г x В): S[1027 х 445 х 1176]</v>
      </c>
      <c r="V44" t="str">
        <f>CONCATENATE(V$2,": ",V$3,list1!V44,"]")</f>
        <v xml:space="preserve"> (Наружный блок) Масса (нетто / брутто): S[67/75]</v>
      </c>
      <c r="W44" t="str">
        <f>CONCATENATE(W$2,": ",W$3,list1!W44,"]")</f>
        <v xml:space="preserve"> (Наружный блок) Максимальный уровень шума: N[]</v>
      </c>
      <c r="X44" t="str">
        <f>CONCATENATE(X$2,": ",X$3,list1!X44,"]")</f>
        <v xml:space="preserve"> (Соединительные трубы) Жидкостная линия : N[9.52]</v>
      </c>
      <c r="Y44" t="str">
        <f>CONCATENATE(Y$2,": ",Y$3,list1!Y44,"]")</f>
        <v xml:space="preserve"> (Соединительные трубы) Газовая линия : N[15.88]</v>
      </c>
      <c r="Z44" t="str">
        <f>CONCATENATE(Z$2,": ",Z$3,list1!Z44,"]")</f>
        <v xml:space="preserve"> (Соединительные трубы) Максимальная длина трубопровода: N[50]</v>
      </c>
      <c r="AA44" t="str">
        <f>CONCATENATE(AA$2,": ",AA$3,list1!AA44,"]")</f>
        <v xml:space="preserve"> (Соединительные трубы) Максимальный перепад высот: S[30]</v>
      </c>
      <c r="AB44" t="str">
        <f>CONCATENATE(AB$2,": ",AB$3,list1!AB44,"]")</f>
        <v xml:space="preserve"> (Допустимая темп. наружного воздуха) Охлаждение: S[от -15 до +46]</v>
      </c>
      <c r="AC44" t="str">
        <f>CONCATENATE(AC$2,": ",AC$3,list1!AC44,"]")</f>
        <v xml:space="preserve"> (Допустимая темп. наружного воздуха) Обогрев: S[от -15 до +24]</v>
      </c>
      <c r="AD44" s="6" t="s">
        <v>5245</v>
      </c>
    </row>
    <row r="45" spans="1:30" x14ac:dyDescent="0.25">
      <c r="A45" t="str">
        <f>CONCATENATE(A$2,": ",A$3,list1!A45,"]")</f>
        <v>Производитель: E[FUJITSU]</v>
      </c>
      <c r="B45" t="str">
        <f>CONCATENATE(B$2,": ",B$3,list1!B45,"]")</f>
        <v xml:space="preserve"> Тип: S[Канальные]</v>
      </c>
      <c r="C45" t="str">
        <f>CONCATENATE(C$2,": ",C$3,list1!C45,"]")</f>
        <v xml:space="preserve"> (Сплит система) Холодопроизводительность: N[13.4]</v>
      </c>
      <c r="D45" t="str">
        <f>CONCATENATE(D$2,": ",D$3,list1!D45,"]")</f>
        <v xml:space="preserve"> (Сплит система) Площадь помещения: N[130]</v>
      </c>
      <c r="E45" t="str">
        <f>CONCATENATE(E$2,": ",E$3,list1!E45,"]")</f>
        <v xml:space="preserve"> (Сплит система) Инвентор: S[да]</v>
      </c>
      <c r="F45" t="str">
        <f>CONCATENATE(F$2,": ",F$3,list1!F45,"]")</f>
        <v xml:space="preserve"> (Сплит система) Теплопроизводительность: N[15.5]</v>
      </c>
      <c r="G45" t="str">
        <f>CONCATENATE(G$2,": ",G$3,list1!G45,"]")</f>
        <v xml:space="preserve"> (Потребляемая мощность) Охлаждение: N[4.77]</v>
      </c>
      <c r="H45" t="str">
        <f>CONCATENATE(H$2,": ",H$3,list1!H45,"]")</f>
        <v xml:space="preserve"> (Потребляемая мощность) Обогрев: S[4.18]</v>
      </c>
      <c r="I45" t="str">
        <f>CONCATENATE(I$2,": ",I$3,list1!I45,"]")</f>
        <v xml:space="preserve"> (Рабочий ток) Охлаждение: S[]</v>
      </c>
      <c r="J45" t="str">
        <f>CONCATENATE(J$2,": ",J$3,list1!J45,"]")</f>
        <v xml:space="preserve"> (Рабочий ток) Обогрев: S[]</v>
      </c>
      <c r="K45" t="str">
        <f>CONCATENATE(K$2,": ",K$3,list1!K45,"]")</f>
        <v xml:space="preserve"> (Рабочий ток) Напряжение / Частота источника питания: S[3 / 380 / 50]</v>
      </c>
      <c r="L45" t="str">
        <f>CONCATENATE(L$2,": ",L$3,list1!L45,"]")</f>
        <v xml:space="preserve"> (Рабочий ток) Хладагент: S[R32]</v>
      </c>
      <c r="M45" t="str">
        <f>CONCATENATE(M$2,": ",M$3,list1!M45,"]")</f>
        <v xml:space="preserve"> (Рабочий ток) Количество хладагента: N[]</v>
      </c>
      <c r="N45" t="str">
        <f>CONCATENATE(N$2,": ",N$3,list1!N45,"]")</f>
        <v xml:space="preserve"> (Рабочий ток) Объем рециркулируемого воздуха внутреннего блока: S[]</v>
      </c>
      <c r="O45" t="str">
        <f>CONCATENATE(O$2,": ",O$3,list1!O45,"]")</f>
        <v xml:space="preserve"> (Внутренний блок) Размеры (Ш x Г x В): S[1050 х 400 х 500]</v>
      </c>
      <c r="P45" t="str">
        <f>CONCATENATE(P$2,": ",P$3,list1!P45,"]")</f>
        <v xml:space="preserve"> (Внутренний блок) Упаковка (Ш x Г x В): S[1230 х 640 х 460]</v>
      </c>
      <c r="Q45" t="str">
        <f>CONCATENATE(Q$2,": ",Q$3,list1!Q45,"]")</f>
        <v xml:space="preserve"> (Внутренний блок) Масса (нетто / брутто): S[46 / 51]</v>
      </c>
      <c r="R45" t="str">
        <f>CONCATENATE(R$2,": ",R$3,list1!R45,"]")</f>
        <v xml:space="preserve"> (Внутренний блок) Уровень шума мин. / макс.: S[40/43/47]</v>
      </c>
      <c r="S45" t="str">
        <f>CONCATENATE(S$2,": ",S$3,list1!S45,"]")</f>
        <v xml:space="preserve"> (Наружный блок) Марка компрессора: S[]</v>
      </c>
      <c r="T45" t="str">
        <f>CONCATENATE(T$2,": ",T$3,list1!T45,"]")</f>
        <v xml:space="preserve"> (Наружный блок) Размеры (Ш x Г x В): S[940 х 320 х 998]</v>
      </c>
      <c r="U45" t="str">
        <f>CONCATENATE(U$2,": ",U$3,list1!U45,"]")</f>
        <v xml:space="preserve"> (Наружный блок) Упаковка (Ш x Г x В): S[1027 х 445 х 1176]</v>
      </c>
      <c r="V45" t="str">
        <f>CONCATENATE(V$2,": ",V$3,list1!V45,"]")</f>
        <v xml:space="preserve"> (Наружный блок) Масса (нетто / брутто): S[67/77]</v>
      </c>
      <c r="W45" t="str">
        <f>CONCATENATE(W$2,": ",W$3,list1!W45,"]")</f>
        <v xml:space="preserve"> (Наружный блок) Максимальный уровень шума: N[]</v>
      </c>
      <c r="X45" t="str">
        <f>CONCATENATE(X$2,": ",X$3,list1!X45,"]")</f>
        <v xml:space="preserve"> (Соединительные трубы) Жидкостная линия : N[9.52]</v>
      </c>
      <c r="Y45" t="str">
        <f>CONCATENATE(Y$2,": ",Y$3,list1!Y45,"]")</f>
        <v xml:space="preserve"> (Соединительные трубы) Газовая линия : N[15.88]</v>
      </c>
      <c r="Z45" t="str">
        <f>CONCATENATE(Z$2,": ",Z$3,list1!Z45,"]")</f>
        <v xml:space="preserve"> (Соединительные трубы) Максимальная длина трубопровода: N[50]</v>
      </c>
      <c r="AA45" t="str">
        <f>CONCATENATE(AA$2,": ",AA$3,list1!AA45,"]")</f>
        <v xml:space="preserve"> (Соединительные трубы) Максимальный перепад высот: S[30]</v>
      </c>
      <c r="AB45" t="str">
        <f>CONCATENATE(AB$2,": ",AB$3,list1!AB45,"]")</f>
        <v xml:space="preserve"> (Допустимая темп. наружного воздуха) Охлаждение: S[от -15 до +46]</v>
      </c>
      <c r="AC45" t="str">
        <f>CONCATENATE(AC$2,": ",AC$3,list1!AC45,"]")</f>
        <v xml:space="preserve"> (Допустимая темп. наружного воздуха) Обогрев: S[от -15 до +24]</v>
      </c>
      <c r="AD45" s="6" t="s">
        <v>5245</v>
      </c>
    </row>
    <row r="46" spans="1:30" x14ac:dyDescent="0.25">
      <c r="A46" t="str">
        <f>CONCATENATE(A$2,": ",A$3,list1!A46,"]")</f>
        <v>Производитель: E[FUJITSU]</v>
      </c>
      <c r="B46" t="str">
        <f>CONCATENATE(B$2,": ",B$3,list1!B46,"]")</f>
        <v xml:space="preserve"> Тип: S[Канальные]</v>
      </c>
      <c r="C46" t="str">
        <f>CONCATENATE(C$2,": ",C$3,list1!C46,"]")</f>
        <v xml:space="preserve"> (Сплит система) Холодопроизводительность: N[6.8]</v>
      </c>
      <c r="D46" t="str">
        <f>CONCATENATE(D$2,": ",D$3,list1!D46,"]")</f>
        <v xml:space="preserve"> (Сплит система) Площадь помещения: N[68]</v>
      </c>
      <c r="E46" t="str">
        <f>CONCATENATE(E$2,": ",E$3,list1!E46,"]")</f>
        <v xml:space="preserve"> (Сплит система) Инвентор: S[да]</v>
      </c>
      <c r="F46" t="str">
        <f>CONCATENATE(F$2,": ",F$3,list1!F46,"]")</f>
        <v xml:space="preserve"> (Сплит система) Теплопроизводительность: N[7.5]</v>
      </c>
      <c r="G46" t="str">
        <f>CONCATENATE(G$2,": ",G$3,list1!G46,"]")</f>
        <v xml:space="preserve"> (Потребляемая мощность) Охлаждение: N[2.19]</v>
      </c>
      <c r="H46" t="str">
        <f>CONCATENATE(H$2,": ",H$3,list1!H46,"]")</f>
        <v xml:space="preserve"> (Потребляемая мощность) Обогрев: S[2]</v>
      </c>
      <c r="I46" t="str">
        <f>CONCATENATE(I$2,": ",I$3,list1!I46,"]")</f>
        <v xml:space="preserve"> (Рабочий ток) Охлаждение: S[]</v>
      </c>
      <c r="J46" t="str">
        <f>CONCATENATE(J$2,": ",J$3,list1!J46,"]")</f>
        <v xml:space="preserve"> (Рабочий ток) Обогрев: S[]</v>
      </c>
      <c r="K46" t="str">
        <f>CONCATENATE(K$2,": ",K$3,list1!K46,"]")</f>
        <v xml:space="preserve"> (Рабочий ток) Напряжение / Частота источника питания: S[1 / 230 / 50]</v>
      </c>
      <c r="L46" t="str">
        <f>CONCATENATE(L$2,": ",L$3,list1!L46,"]")</f>
        <v xml:space="preserve"> (Рабочий ток) Хладагент: S[R32]</v>
      </c>
      <c r="M46" t="str">
        <f>CONCATENATE(M$2,": ",M$3,list1!M46,"]")</f>
        <v xml:space="preserve"> (Рабочий ток) Количество хладагента: N[]</v>
      </c>
      <c r="N46" t="str">
        <f>CONCATENATE(N$2,": ",N$3,list1!N46,"]")</f>
        <v xml:space="preserve"> (Рабочий ток) Объем рециркулируемого воздуха внутреннего блока: S[]</v>
      </c>
      <c r="O46" t="str">
        <f>CONCATENATE(O$2,": ",O$3,list1!O46,"]")</f>
        <v xml:space="preserve"> (Внутренний блок) Размеры (Ш x Г x В): S[1135 х 270 х 700]</v>
      </c>
      <c r="P46" t="str">
        <f>CONCATENATE(P$2,": ",P$3,list1!P46,"]")</f>
        <v xml:space="preserve"> (Внутренний блок) Упаковка (Ш x Г x В): S[1320 х 790 х 300]</v>
      </c>
      <c r="Q46" t="str">
        <f>CONCATENATE(Q$2,": ",Q$3,list1!Q46,"]")</f>
        <v xml:space="preserve"> (Внутренний блок) Масса (нетто / брутто): S[35 / 43]</v>
      </c>
      <c r="R46" t="str">
        <f>CONCATENATE(R$2,": ",R$3,list1!R46,"]")</f>
        <v xml:space="preserve"> (Внутренний блок) Уровень шума мин. / макс.: S[25/27/29/31]</v>
      </c>
      <c r="S46" t="str">
        <f>CONCATENATE(S$2,": ",S$3,list1!S46,"]")</f>
        <v xml:space="preserve"> (Наружный блок) Марка компрессора: S[]</v>
      </c>
      <c r="T46" t="str">
        <f>CONCATENATE(T$2,": ",T$3,list1!T46,"]")</f>
        <v xml:space="preserve"> (Наружный блок) Размеры (Ш x Г x В): S[799 х 290 х 632]</v>
      </c>
      <c r="U46" t="str">
        <f>CONCATENATE(U$2,": ",U$3,list1!U46,"]")</f>
        <v xml:space="preserve"> (Наружный блок) Упаковка (Ш x Г x В): S[940 х 375 х 692]</v>
      </c>
      <c r="V46" t="str">
        <f>CONCATENATE(V$2,": ",V$3,list1!V46,"]")</f>
        <v xml:space="preserve"> (Наружный блок) Масса (нетто / брутто): S[38/42]</v>
      </c>
      <c r="W46" t="str">
        <f>CONCATENATE(W$2,": ",W$3,list1!W46,"]")</f>
        <v xml:space="preserve"> (Наружный блок) Максимальный уровень шума: N[]</v>
      </c>
      <c r="X46" t="str">
        <f>CONCATENATE(X$2,": ",X$3,list1!X46,"]")</f>
        <v xml:space="preserve"> (Соединительные трубы) Жидкостная линия : N[6.35]</v>
      </c>
      <c r="Y46" t="str">
        <f>CONCATENATE(Y$2,": ",Y$3,list1!Y46,"]")</f>
        <v xml:space="preserve"> (Соединительные трубы) Газовая линия : N[12.7]</v>
      </c>
      <c r="Z46" t="str">
        <f>CONCATENATE(Z$2,": ",Z$3,list1!Z46,"]")</f>
        <v xml:space="preserve"> (Соединительные трубы) Максимальная длина трубопровода: N[25]</v>
      </c>
      <c r="AA46" t="str">
        <f>CONCATENATE(AA$2,": ",AA$3,list1!AA46,"]")</f>
        <v xml:space="preserve"> (Соединительные трубы) Максимальный перепад высот: S[20]</v>
      </c>
      <c r="AB46" t="str">
        <f>CONCATENATE(AB$2,": ",AB$3,list1!AB46,"]")</f>
        <v xml:space="preserve"> (Допустимая темп. наружного воздуха) Охлаждение: S[от -10 до +46]</v>
      </c>
      <c r="AC46" t="str">
        <f>CONCATENATE(AC$2,": ",AC$3,list1!AC46,"]")</f>
        <v xml:space="preserve"> (Допустимая темп. наружного воздуха) Обогрев: S[от -15 до +24]</v>
      </c>
      <c r="AD46" s="6" t="s">
        <v>5245</v>
      </c>
    </row>
    <row r="47" spans="1:30" x14ac:dyDescent="0.25">
      <c r="A47" t="str">
        <f>CONCATENATE(A$2,": ",A$3,list1!A47,"]")</f>
        <v>Производитель: E[FUJITSU]</v>
      </c>
      <c r="B47" t="str">
        <f>CONCATENATE(B$2,": ",B$3,list1!B47,"]")</f>
        <v xml:space="preserve"> Тип: S[Канальные]</v>
      </c>
      <c r="C47" t="str">
        <f>CONCATENATE(C$2,": ",C$3,list1!C47,"]")</f>
        <v xml:space="preserve"> (Сплит система) Холодопроизводительность: N[8.5]</v>
      </c>
      <c r="D47" t="str">
        <f>CONCATENATE(D$2,": ",D$3,list1!D47,"]")</f>
        <v xml:space="preserve"> (Сплит система) Площадь помещения: N[85]</v>
      </c>
      <c r="E47" t="str">
        <f>CONCATENATE(E$2,": ",E$3,list1!E47,"]")</f>
        <v xml:space="preserve"> (Сплит система) Инвентор: S[да]</v>
      </c>
      <c r="F47" t="str">
        <f>CONCATENATE(F$2,": ",F$3,list1!F47,"]")</f>
        <v xml:space="preserve"> (Сплит система) Теплопроизводительность: N[10]</v>
      </c>
      <c r="G47" t="str">
        <f>CONCATENATE(G$2,": ",G$3,list1!G47,"]")</f>
        <v xml:space="preserve"> (Потребляемая мощность) Охлаждение: N[2.78]</v>
      </c>
      <c r="H47" t="str">
        <f>CONCATENATE(H$2,": ",H$3,list1!H47,"]")</f>
        <v xml:space="preserve"> (Потребляемая мощность) Обогрев: S[2.77]</v>
      </c>
      <c r="I47" t="str">
        <f>CONCATENATE(I$2,": ",I$3,list1!I47,"]")</f>
        <v xml:space="preserve"> (Рабочий ток) Охлаждение: S[]</v>
      </c>
      <c r="J47" t="str">
        <f>CONCATENATE(J$2,": ",J$3,list1!J47,"]")</f>
        <v xml:space="preserve"> (Рабочий ток) Обогрев: S[]</v>
      </c>
      <c r="K47" t="str">
        <f>CONCATENATE(K$2,": ",K$3,list1!K47,"]")</f>
        <v xml:space="preserve"> (Рабочий ток) Напряжение / Частота источника питания: S[1 / 230 / 50]</v>
      </c>
      <c r="L47" t="str">
        <f>CONCATENATE(L$2,": ",L$3,list1!L47,"]")</f>
        <v xml:space="preserve"> (Рабочий ток) Хладагент: S[R32]</v>
      </c>
      <c r="M47" t="str">
        <f>CONCATENATE(M$2,": ",M$3,list1!M47,"]")</f>
        <v xml:space="preserve"> (Рабочий ток) Количество хладагента: N[]</v>
      </c>
      <c r="N47" t="str">
        <f>CONCATENATE(N$2,": ",N$3,list1!N47,"]")</f>
        <v xml:space="preserve"> (Рабочий ток) Объем рециркулируемого воздуха внутреннего блока: S[]</v>
      </c>
      <c r="O47" t="str">
        <f>CONCATENATE(O$2,": ",O$3,list1!O47,"]")</f>
        <v xml:space="preserve"> (Внутренний блок) Размеры (Ш x Г x В): S[1135 х 270 х 700]</v>
      </c>
      <c r="P47" t="str">
        <f>CONCATENATE(P$2,": ",P$3,list1!P47,"]")</f>
        <v xml:space="preserve"> (Внутренний блок) Упаковка (Ш x Г x В): S[1320 х 790 х 300]</v>
      </c>
      <c r="Q47" t="str">
        <f>CONCATENATE(Q$2,": ",Q$3,list1!Q47,"]")</f>
        <v xml:space="preserve"> (Внутренний блок) Масса (нетто / брутто): S[38 / 45]</v>
      </c>
      <c r="R47" t="str">
        <f>CONCATENATE(R$2,": ",R$3,list1!R47,"]")</f>
        <v xml:space="preserve"> (Внутренний блок) Уровень шума мин. / макс.: S[26/30/35/39]</v>
      </c>
      <c r="S47" t="str">
        <f>CONCATENATE(S$2,": ",S$3,list1!S47,"]")</f>
        <v xml:space="preserve"> (Наружный блок) Марка компрессора: S[]</v>
      </c>
      <c r="T47" t="str">
        <f>CONCATENATE(T$2,": ",T$3,list1!T47,"]")</f>
        <v xml:space="preserve"> (Наружный блок) Размеры (Ш x Г x В): S[940 х 320 х 788]</v>
      </c>
      <c r="U47" t="str">
        <f>CONCATENATE(U$2,": ",U$3,list1!U47,"]")</f>
        <v xml:space="preserve"> (Наружный блок) Упаковка (Ш x Г x В): S[1027 х 445 х 966]</v>
      </c>
      <c r="V47" t="str">
        <f>CONCATENATE(V$2,": ",V$3,list1!V47,"]")</f>
        <v xml:space="preserve"> (Наружный блок) Масса (нетто / брутто): S[52/61]</v>
      </c>
      <c r="W47" t="str">
        <f>CONCATENATE(W$2,": ",W$3,list1!W47,"]")</f>
        <v xml:space="preserve"> (Наружный блок) Максимальный уровень шума: N[]</v>
      </c>
      <c r="X47" t="str">
        <f>CONCATENATE(X$2,": ",X$3,list1!X47,"]")</f>
        <v xml:space="preserve"> (Соединительные трубы) Жидкостная линия : N[9.52]</v>
      </c>
      <c r="Y47" t="str">
        <f>CONCATENATE(Y$2,": ",Y$3,list1!Y47,"]")</f>
        <v xml:space="preserve"> (Соединительные трубы) Газовая линия : N[15.88]</v>
      </c>
      <c r="Z47" t="str">
        <f>CONCATENATE(Z$2,": ",Z$3,list1!Z47,"]")</f>
        <v xml:space="preserve"> (Соединительные трубы) Максимальная длина трубопровода: N[30]</v>
      </c>
      <c r="AA47" t="str">
        <f>CONCATENATE(AA$2,": ",AA$3,list1!AA47,"]")</f>
        <v xml:space="preserve"> (Соединительные трубы) Максимальный перепад высот: S[30]</v>
      </c>
      <c r="AB47" t="str">
        <f>CONCATENATE(AB$2,": ",AB$3,list1!AB47,"]")</f>
        <v xml:space="preserve"> (Допустимая темп. наружного воздуха) Охлаждение: S[от -10 до +46]</v>
      </c>
      <c r="AC47" t="str">
        <f>CONCATENATE(AC$2,": ",AC$3,list1!AC47,"]")</f>
        <v xml:space="preserve"> (Допустимая темп. наружного воздуха) Обогрев: S[от -15 до +24]</v>
      </c>
      <c r="AD47" s="6" t="s">
        <v>5245</v>
      </c>
    </row>
    <row r="48" spans="1:30" x14ac:dyDescent="0.25">
      <c r="A48" t="str">
        <f>CONCATENATE(A$2,": ",A$3,list1!A48,"]")</f>
        <v>Производитель: E[FUJITSU]</v>
      </c>
      <c r="B48" t="str">
        <f>CONCATENATE(B$2,": ",B$3,list1!B48,"]")</f>
        <v xml:space="preserve"> Тип: S[Канальные]</v>
      </c>
      <c r="C48" t="str">
        <f>CONCATENATE(C$2,": ",C$3,list1!C48,"]")</f>
        <v xml:space="preserve"> (Сплит система) Холодопроизводительность: N[9.5]</v>
      </c>
      <c r="D48" t="str">
        <f>CONCATENATE(D$2,": ",D$3,list1!D48,"]")</f>
        <v xml:space="preserve"> (Сплит система) Площадь помещения: N[95]</v>
      </c>
      <c r="E48" t="str">
        <f>CONCATENATE(E$2,": ",E$3,list1!E48,"]")</f>
        <v xml:space="preserve"> (Сплит система) Инвентор: S[да]</v>
      </c>
      <c r="F48" t="str">
        <f>CONCATENATE(F$2,": ",F$3,list1!F48,"]")</f>
        <v xml:space="preserve"> (Сплит система) Теплопроизводительность: N[10.8]</v>
      </c>
      <c r="G48" t="str">
        <f>CONCATENATE(G$2,": ",G$3,list1!G48,"]")</f>
        <v xml:space="preserve"> (Потребляемая мощность) Охлаждение: N[3.13]</v>
      </c>
      <c r="H48" t="str">
        <f>CONCATENATE(H$2,": ",H$3,list1!H48,"]")</f>
        <v xml:space="preserve"> (Потребляемая мощность) Обогрев: S[3.03]</v>
      </c>
      <c r="I48" t="str">
        <f>CONCATENATE(I$2,": ",I$3,list1!I48,"]")</f>
        <v xml:space="preserve"> (Рабочий ток) Охлаждение: S[]</v>
      </c>
      <c r="J48" t="str">
        <f>CONCATENATE(J$2,": ",J$3,list1!J48,"]")</f>
        <v xml:space="preserve"> (Рабочий ток) Обогрев: S[]</v>
      </c>
      <c r="K48" t="str">
        <f>CONCATENATE(K$2,": ",K$3,list1!K48,"]")</f>
        <v xml:space="preserve"> (Рабочий ток) Напряжение / Частота источника питания: S[1 / 230 / 50]</v>
      </c>
      <c r="L48" t="str">
        <f>CONCATENATE(L$2,": ",L$3,list1!L48,"]")</f>
        <v xml:space="preserve"> (Рабочий ток) Хладагент: S[R32]</v>
      </c>
      <c r="M48" t="str">
        <f>CONCATENATE(M$2,": ",M$3,list1!M48,"]")</f>
        <v xml:space="preserve"> (Рабочий ток) Количество хладагента: N[]</v>
      </c>
      <c r="N48" t="str">
        <f>CONCATENATE(N$2,": ",N$3,list1!N48,"]")</f>
        <v xml:space="preserve"> (Рабочий ток) Объем рециркулируемого воздуха внутреннего блока: S[]</v>
      </c>
      <c r="O48" t="str">
        <f>CONCATENATE(O$2,": ",O$3,list1!O48,"]")</f>
        <v xml:space="preserve"> (Внутренний блок) Размеры (Ш x Г x В): S[1135 х 270 х 700]</v>
      </c>
      <c r="P48" t="str">
        <f>CONCATENATE(P$2,": ",P$3,list1!P48,"]")</f>
        <v xml:space="preserve"> (Внутренний блок) Упаковка (Ш x Г x В): S[1320 х 790 х 300]</v>
      </c>
      <c r="Q48" t="str">
        <f>CONCATENATE(Q$2,": ",Q$3,list1!Q48,"]")</f>
        <v xml:space="preserve"> (Внутренний блок) Масса (нетто / брутто): S[38 / 45]</v>
      </c>
      <c r="R48" t="str">
        <f>CONCATENATE(R$2,": ",R$3,list1!R48,"]")</f>
        <v xml:space="preserve"> (Внутренний блок) Уровень шума мин. / макс.: S[26/30/35/39]</v>
      </c>
      <c r="S48" t="str">
        <f>CONCATENATE(S$2,": ",S$3,list1!S48,"]")</f>
        <v xml:space="preserve"> (Наружный блок) Марка компрессора: S[]</v>
      </c>
      <c r="T48" t="str">
        <f>CONCATENATE(T$2,": ",T$3,list1!T48,"]")</f>
        <v xml:space="preserve"> (Наружный блок) Размеры (Ш x Г x В): S[940 х 320 х 788]</v>
      </c>
      <c r="U48" t="str">
        <f>CONCATENATE(U$2,": ",U$3,list1!U48,"]")</f>
        <v xml:space="preserve"> (Наружный блок) Упаковка (Ш x Г x В): S[1027 х 445 х 966]</v>
      </c>
      <c r="V48" t="str">
        <f>CONCATENATE(V$2,": ",V$3,list1!V48,"]")</f>
        <v xml:space="preserve"> (Наружный блок) Масса (нетто / брутто): S[52/61]</v>
      </c>
      <c r="W48" t="str">
        <f>CONCATENATE(W$2,": ",W$3,list1!W48,"]")</f>
        <v xml:space="preserve"> (Наружный блок) Максимальный уровень шума: N[]</v>
      </c>
      <c r="X48" t="str">
        <f>CONCATENATE(X$2,": ",X$3,list1!X48,"]")</f>
        <v xml:space="preserve"> (Соединительные трубы) Жидкостная линия : N[9.52]</v>
      </c>
      <c r="Y48" t="str">
        <f>CONCATENATE(Y$2,": ",Y$3,list1!Y48,"]")</f>
        <v xml:space="preserve"> (Соединительные трубы) Газовая линия : N[15.88]</v>
      </c>
      <c r="Z48" t="str">
        <f>CONCATENATE(Z$2,": ",Z$3,list1!Z48,"]")</f>
        <v xml:space="preserve"> (Соединительные трубы) Максимальная длина трубопровода: N[30]</v>
      </c>
      <c r="AA48" t="str">
        <f>CONCATENATE(AA$2,": ",AA$3,list1!AA48,"]")</f>
        <v xml:space="preserve"> (Соединительные трубы) Максимальный перепад высот: S[30]</v>
      </c>
      <c r="AB48" t="str">
        <f>CONCATENATE(AB$2,": ",AB$3,list1!AB48,"]")</f>
        <v xml:space="preserve"> (Допустимая темп. наружного воздуха) Охлаждение: S[от -10 до +46]</v>
      </c>
      <c r="AC48" t="str">
        <f>CONCATENATE(AC$2,": ",AC$3,list1!AC48,"]")</f>
        <v xml:space="preserve"> (Допустимая темп. наружного воздуха) Обогрев: S[от -15 до +24]</v>
      </c>
      <c r="AD48" s="6" t="s">
        <v>5245</v>
      </c>
    </row>
    <row r="49" spans="1:30" x14ac:dyDescent="0.25">
      <c r="A49" t="str">
        <f>CONCATENATE(A$2,": ",A$3,list1!A49,"]")</f>
        <v>Производитель: E[FUJITSU]</v>
      </c>
      <c r="B49" t="str">
        <f>CONCATENATE(B$2,": ",B$3,list1!B49,"]")</f>
        <v xml:space="preserve"> Тип: S[Канальные]</v>
      </c>
      <c r="C49" t="str">
        <f>CONCATENATE(C$2,": ",C$3,list1!C49,"]")</f>
        <v xml:space="preserve"> (Сплит система) Холодопроизводительность: N[9.5]</v>
      </c>
      <c r="D49" t="str">
        <f>CONCATENATE(D$2,": ",D$3,list1!D49,"]")</f>
        <v xml:space="preserve"> (Сплит система) Площадь помещения: N[95]</v>
      </c>
      <c r="E49" t="str">
        <f>CONCATENATE(E$2,": ",E$3,list1!E49,"]")</f>
        <v xml:space="preserve"> (Сплит система) Инвентор: S[да]</v>
      </c>
      <c r="F49" t="str">
        <f>CONCATENATE(F$2,": ",F$3,list1!F49,"]")</f>
        <v xml:space="preserve"> (Сплит система) Теплопроизводительность: N[10.8]</v>
      </c>
      <c r="G49" t="str">
        <f>CONCATENATE(G$2,": ",G$3,list1!G49,"]")</f>
        <v xml:space="preserve"> (Потребляемая мощность) Охлаждение: N[3.13]</v>
      </c>
      <c r="H49" t="str">
        <f>CONCATENATE(H$2,": ",H$3,list1!H49,"]")</f>
        <v xml:space="preserve"> (Потребляемая мощность) Обогрев: S[3.03]</v>
      </c>
      <c r="I49" t="str">
        <f>CONCATENATE(I$2,": ",I$3,list1!I49,"]")</f>
        <v xml:space="preserve"> (Рабочий ток) Охлаждение: S[]</v>
      </c>
      <c r="J49" t="str">
        <f>CONCATENATE(J$2,": ",J$3,list1!J49,"]")</f>
        <v xml:space="preserve"> (Рабочий ток) Обогрев: S[]</v>
      </c>
      <c r="K49" t="str">
        <f>CONCATENATE(K$2,": ",K$3,list1!K49,"]")</f>
        <v xml:space="preserve"> (Рабочий ток) Напряжение / Частота источника питания: S[3 / 400 / 50]</v>
      </c>
      <c r="L49" t="str">
        <f>CONCATENATE(L$2,": ",L$3,list1!L49,"]")</f>
        <v xml:space="preserve"> (Рабочий ток) Хладагент: S[R32]</v>
      </c>
      <c r="M49" t="str">
        <f>CONCATENATE(M$2,": ",M$3,list1!M49,"]")</f>
        <v xml:space="preserve"> (Рабочий ток) Количество хладагента: N[]</v>
      </c>
      <c r="N49" t="str">
        <f>CONCATENATE(N$2,": ",N$3,list1!N49,"]")</f>
        <v xml:space="preserve"> (Рабочий ток) Объем рециркулируемого воздуха внутреннего блока: S[]</v>
      </c>
      <c r="O49" t="str">
        <f>CONCATENATE(O$2,": ",O$3,list1!O49,"]")</f>
        <v xml:space="preserve"> (Внутренний блок) Размеры (Ш x Г x В): S[1135 х 270 х 700]</v>
      </c>
      <c r="P49" t="str">
        <f>CONCATENATE(P$2,": ",P$3,list1!P49,"]")</f>
        <v xml:space="preserve"> (Внутренний блок) Упаковка (Ш x Г x В): S[1320 х 790 х 300]</v>
      </c>
      <c r="Q49" t="str">
        <f>CONCATENATE(Q$2,": ",Q$3,list1!Q49,"]")</f>
        <v xml:space="preserve"> (Внутренний блок) Масса (нетто / брутто): S[38 / 45]</v>
      </c>
      <c r="R49" t="str">
        <f>CONCATENATE(R$2,": ",R$3,list1!R49,"]")</f>
        <v xml:space="preserve"> (Внутренний блок) Уровень шума мин. / макс.: S[26/30/35/39]</v>
      </c>
      <c r="S49" t="str">
        <f>CONCATENATE(S$2,": ",S$3,list1!S49,"]")</f>
        <v xml:space="preserve"> (Наружный блок) Марка компрессора: S[]</v>
      </c>
      <c r="T49" t="str">
        <f>CONCATENATE(T$2,": ",T$3,list1!T49,"]")</f>
        <v xml:space="preserve"> (Наружный блок) Размеры (Ш x Г x В): S[940 х 320 х 788]</v>
      </c>
      <c r="U49" t="str">
        <f>CONCATENATE(U$2,": ",U$3,list1!U49,"]")</f>
        <v xml:space="preserve"> (Наружный блок) Упаковка (Ш x Г x В): S[1027 х 445 х 966]</v>
      </c>
      <c r="V49" t="str">
        <f>CONCATENATE(V$2,": ",V$3,list1!V49,"]")</f>
        <v xml:space="preserve"> (Наружный блок) Масса (нетто / брутто): S[53/62]</v>
      </c>
      <c r="W49" t="str">
        <f>CONCATENATE(W$2,": ",W$3,list1!W49,"]")</f>
        <v xml:space="preserve"> (Наружный блок) Максимальный уровень шума: N[]</v>
      </c>
      <c r="X49" t="str">
        <f>CONCATENATE(X$2,": ",X$3,list1!X49,"]")</f>
        <v xml:space="preserve"> (Соединительные трубы) Жидкостная линия : N[9.52]</v>
      </c>
      <c r="Y49" t="str">
        <f>CONCATENATE(Y$2,": ",Y$3,list1!Y49,"]")</f>
        <v xml:space="preserve"> (Соединительные трубы) Газовая линия : N[15.88]</v>
      </c>
      <c r="Z49" t="str">
        <f>CONCATENATE(Z$2,": ",Z$3,list1!Z49,"]")</f>
        <v xml:space="preserve"> (Соединительные трубы) Максимальная длина трубопровода: N[30]</v>
      </c>
      <c r="AA49" t="str">
        <f>CONCATENATE(AA$2,": ",AA$3,list1!AA49,"]")</f>
        <v xml:space="preserve"> (Соединительные трубы) Максимальный перепад высот: S[30]</v>
      </c>
      <c r="AB49" t="str">
        <f>CONCATENATE(AB$2,": ",AB$3,list1!AB49,"]")</f>
        <v xml:space="preserve"> (Допустимая темп. наружного воздуха) Охлаждение: S[от -10 до +46]</v>
      </c>
      <c r="AC49" t="str">
        <f>CONCATENATE(AC$2,": ",AC$3,list1!AC49,"]")</f>
        <v xml:space="preserve"> (Допустимая темп. наружного воздуха) Обогрев: S[от -15 до +24]</v>
      </c>
      <c r="AD49" s="6" t="s">
        <v>5245</v>
      </c>
    </row>
    <row r="50" spans="1:30" x14ac:dyDescent="0.25">
      <c r="A50" t="str">
        <f>CONCATENATE(A$2,": ",A$3,list1!A50,"]")</f>
        <v>Производитель: E[FUJITSU]</v>
      </c>
      <c r="B50" t="str">
        <f>CONCATENATE(B$2,": ",B$3,list1!B50,"]")</f>
        <v xml:space="preserve"> Тип: S[Канальные]</v>
      </c>
      <c r="C50" t="str">
        <f>CONCATENATE(C$2,": ",C$3,list1!C50,"]")</f>
        <v xml:space="preserve"> (Сплит система) Холодопроизводительность: N[12.1]</v>
      </c>
      <c r="D50" t="str">
        <f>CONCATENATE(D$2,": ",D$3,list1!D50,"]")</f>
        <v xml:space="preserve"> (Сплит система) Площадь помещения: N[120]</v>
      </c>
      <c r="E50" t="str">
        <f>CONCATENATE(E$2,": ",E$3,list1!E50,"]")</f>
        <v xml:space="preserve"> (Сплит система) Инвентор: S[да]</v>
      </c>
      <c r="F50" t="str">
        <f>CONCATENATE(F$2,": ",F$3,list1!F50,"]")</f>
        <v xml:space="preserve"> (Сплит система) Теплопроизводительность: N[13.5]</v>
      </c>
      <c r="G50" t="str">
        <f>CONCATENATE(G$2,": ",G$3,list1!G50,"]")</f>
        <v xml:space="preserve"> (Потребляемая мощность) Охлаждение: N[4.84]</v>
      </c>
      <c r="H50" t="str">
        <f>CONCATENATE(H$2,": ",H$3,list1!H50,"]")</f>
        <v xml:space="preserve"> (Потребляемая мощность) Обогрев: S[4.18]</v>
      </c>
      <c r="I50" t="str">
        <f>CONCATENATE(I$2,": ",I$3,list1!I50,"]")</f>
        <v xml:space="preserve"> (Рабочий ток) Охлаждение: S[]</v>
      </c>
      <c r="J50" t="str">
        <f>CONCATENATE(J$2,": ",J$3,list1!J50,"]")</f>
        <v xml:space="preserve"> (Рабочий ток) Обогрев: S[]</v>
      </c>
      <c r="K50" t="str">
        <f>CONCATENATE(K$2,": ",K$3,list1!K50,"]")</f>
        <v xml:space="preserve"> (Рабочий ток) Напряжение / Частота источника питания: S[1 / 230 / 50]</v>
      </c>
      <c r="L50" t="str">
        <f>CONCATENATE(L$2,": ",L$3,list1!L50,"]")</f>
        <v xml:space="preserve"> (Рабочий ток) Хладагент: S[R32]</v>
      </c>
      <c r="M50" t="str">
        <f>CONCATENATE(M$2,": ",M$3,list1!M50,"]")</f>
        <v xml:space="preserve"> (Рабочий ток) Количество хладагента: N[]</v>
      </c>
      <c r="N50" t="str">
        <f>CONCATENATE(N$2,": ",N$3,list1!N50,"]")</f>
        <v xml:space="preserve"> (Рабочий ток) Объем рециркулируемого воздуха внутреннего блока: S[]</v>
      </c>
      <c r="O50" t="str">
        <f>CONCATENATE(O$2,": ",O$3,list1!O50,"]")</f>
        <v xml:space="preserve"> (Внутренний блок) Размеры (Ш x Г x В): S[1135 х 270 х 700]</v>
      </c>
      <c r="P50" t="str">
        <f>CONCATENATE(P$2,": ",P$3,list1!P50,"]")</f>
        <v xml:space="preserve"> (Внутренний блок) Упаковка (Ш x Г x В): S[1320 х 790 х 300]</v>
      </c>
      <c r="Q50" t="str">
        <f>CONCATENATE(Q$2,": ",Q$3,list1!Q50,"]")</f>
        <v xml:space="preserve"> (Внутренний блок) Масса (нетто / брутто): S[39 / 47]</v>
      </c>
      <c r="R50" t="str">
        <f>CONCATENATE(R$2,": ",R$3,list1!R50,"]")</f>
        <v xml:space="preserve"> (Внутренний блок) Уровень шума мин. / макс.: S[28/32/38/42]</v>
      </c>
      <c r="S50" t="str">
        <f>CONCATENATE(S$2,": ",S$3,list1!S50,"]")</f>
        <v xml:space="preserve"> (Наружный блок) Марка компрессора: S[]</v>
      </c>
      <c r="T50" t="str">
        <f>CONCATENATE(T$2,": ",T$3,list1!T50,"]")</f>
        <v xml:space="preserve"> (Наружный блок) Размеры (Ш x Г x В): S[940 х 320 х 998]</v>
      </c>
      <c r="U50" t="str">
        <f>CONCATENATE(U$2,": ",U$3,list1!U50,"]")</f>
        <v xml:space="preserve"> (Наружный блок) Упаковка (Ш x Г x В): S[1027 х 445 х 1176]</v>
      </c>
      <c r="V50" t="str">
        <f>CONCATENATE(V$2,": ",V$3,list1!V50,"]")</f>
        <v xml:space="preserve"> (Наружный блок) Масса (нетто / брутто): S[61/71]</v>
      </c>
      <c r="W50" t="str">
        <f>CONCATENATE(W$2,": ",W$3,list1!W50,"]")</f>
        <v xml:space="preserve"> (Наружный блок) Максимальный уровень шума: N[]</v>
      </c>
      <c r="X50" t="str">
        <f>CONCATENATE(X$2,": ",X$3,list1!X50,"]")</f>
        <v xml:space="preserve"> (Соединительные трубы) Жидкостная линия : N[9.52]</v>
      </c>
      <c r="Y50" t="str">
        <f>CONCATENATE(Y$2,": ",Y$3,list1!Y50,"]")</f>
        <v xml:space="preserve"> (Соединительные трубы) Газовая линия : N[15.88]</v>
      </c>
      <c r="Z50" t="str">
        <f>CONCATENATE(Z$2,": ",Z$3,list1!Z50,"]")</f>
        <v xml:space="preserve"> (Соединительные трубы) Максимальная длина трубопровода: N[30]</v>
      </c>
      <c r="AA50" t="str">
        <f>CONCATENATE(AA$2,": ",AA$3,list1!AA50,"]")</f>
        <v xml:space="preserve"> (Соединительные трубы) Максимальный перепад высот: S[30]</v>
      </c>
      <c r="AB50" t="str">
        <f>CONCATENATE(AB$2,": ",AB$3,list1!AB50,"]")</f>
        <v xml:space="preserve"> (Допустимая темп. наружного воздуха) Охлаждение: S[от -10 до +46]</v>
      </c>
      <c r="AC50" t="str">
        <f>CONCATENATE(AC$2,": ",AC$3,list1!AC50,"]")</f>
        <v xml:space="preserve"> (Допустимая темп. наружного воздуха) Обогрев: S[от -15 до +24]</v>
      </c>
      <c r="AD50" s="6" t="s">
        <v>5245</v>
      </c>
    </row>
    <row r="51" spans="1:30" x14ac:dyDescent="0.25">
      <c r="A51" t="str">
        <f>CONCATENATE(A$2,": ",A$3,list1!A51,"]")</f>
        <v>Производитель: E[FUJITSU]</v>
      </c>
      <c r="B51" t="str">
        <f>CONCATENATE(B$2,": ",B$3,list1!B51,"]")</f>
        <v xml:space="preserve"> Тип: S[Канальные]</v>
      </c>
      <c r="C51" t="str">
        <f>CONCATENATE(C$2,": ",C$3,list1!C51,"]")</f>
        <v xml:space="preserve"> (Сплит система) Холодопроизводительность: N[12.1]</v>
      </c>
      <c r="D51" t="str">
        <f>CONCATENATE(D$2,": ",D$3,list1!D51,"]")</f>
        <v xml:space="preserve"> (Сплит система) Площадь помещения: N[120]</v>
      </c>
      <c r="E51" t="str">
        <f>CONCATENATE(E$2,": ",E$3,list1!E51,"]")</f>
        <v xml:space="preserve"> (Сплит система) Инвентор: S[да]</v>
      </c>
      <c r="F51" t="str">
        <f>CONCATENATE(F$2,": ",F$3,list1!F51,"]")</f>
        <v xml:space="preserve"> (Сплит система) Теплопроизводительность: N[13.5]</v>
      </c>
      <c r="G51" t="str">
        <f>CONCATENATE(G$2,": ",G$3,list1!G51,"]")</f>
        <v xml:space="preserve"> (Потребляемая мощность) Охлаждение: N[4.84]</v>
      </c>
      <c r="H51" t="str">
        <f>CONCATENATE(H$2,": ",H$3,list1!H51,"]")</f>
        <v xml:space="preserve"> (Потребляемая мощность) Обогрев: S[4.18]</v>
      </c>
      <c r="I51" t="str">
        <f>CONCATENATE(I$2,": ",I$3,list1!I51,"]")</f>
        <v xml:space="preserve"> (Рабочий ток) Охлаждение: S[]</v>
      </c>
      <c r="J51" t="str">
        <f>CONCATENATE(J$2,": ",J$3,list1!J51,"]")</f>
        <v xml:space="preserve"> (Рабочий ток) Обогрев: S[]</v>
      </c>
      <c r="K51" t="str">
        <f>CONCATENATE(K$2,": ",K$3,list1!K51,"]")</f>
        <v xml:space="preserve"> (Рабочий ток) Напряжение / Частота источника питания: S[3 / 400 / 50]</v>
      </c>
      <c r="L51" t="str">
        <f>CONCATENATE(L$2,": ",L$3,list1!L51,"]")</f>
        <v xml:space="preserve"> (Рабочий ток) Хладагент: S[R32]</v>
      </c>
      <c r="M51" t="str">
        <f>CONCATENATE(M$2,": ",M$3,list1!M51,"]")</f>
        <v xml:space="preserve"> (Рабочий ток) Количество хладагента: N[]</v>
      </c>
      <c r="N51" t="str">
        <f>CONCATENATE(N$2,": ",N$3,list1!N51,"]")</f>
        <v xml:space="preserve"> (Рабочий ток) Объем рециркулируемого воздуха внутреннего блока: S[]</v>
      </c>
      <c r="O51" t="str">
        <f>CONCATENATE(O$2,": ",O$3,list1!O51,"]")</f>
        <v xml:space="preserve"> (Внутренний блок) Размеры (Ш x Г x В): S[1135 х 270 х 700]</v>
      </c>
      <c r="P51" t="str">
        <f>CONCATENATE(P$2,": ",P$3,list1!P51,"]")</f>
        <v xml:space="preserve"> (Внутренний блок) Упаковка (Ш x Г x В): S[1320 х 790 х 300]</v>
      </c>
      <c r="Q51" t="str">
        <f>CONCATENATE(Q$2,": ",Q$3,list1!Q51,"]")</f>
        <v xml:space="preserve"> (Внутренний блок) Масса (нетто / брутто): S[39 / 47]</v>
      </c>
      <c r="R51" t="str">
        <f>CONCATENATE(R$2,": ",R$3,list1!R51,"]")</f>
        <v xml:space="preserve"> (Внутренний блок) Уровень шума мин. / макс.: S[28/32/38/42]</v>
      </c>
      <c r="S51" t="str">
        <f>CONCATENATE(S$2,": ",S$3,list1!S51,"]")</f>
        <v xml:space="preserve"> (Наружный блок) Марка компрессора: S[]</v>
      </c>
      <c r="T51" t="str">
        <f>CONCATENATE(T$2,": ",T$3,list1!T51,"]")</f>
        <v xml:space="preserve"> (Наружный блок) Размеры (Ш x Г x В): S[940 х 320 х 998]</v>
      </c>
      <c r="U51" t="str">
        <f>CONCATENATE(U$2,": ",U$3,list1!U51,"]")</f>
        <v xml:space="preserve"> (Наружный блок) Упаковка (Ш x Г x В): S[1027 х 445 х 1176]</v>
      </c>
      <c r="V51" t="str">
        <f>CONCATENATE(V$2,": ",V$3,list1!V51,"]")</f>
        <v xml:space="preserve"> (Наружный блок) Масса (нетто / брутто): S[62/72]</v>
      </c>
      <c r="W51" t="str">
        <f>CONCATENATE(W$2,": ",W$3,list1!W51,"]")</f>
        <v xml:space="preserve"> (Наружный блок) Максимальный уровень шума: N[]</v>
      </c>
      <c r="X51" t="str">
        <f>CONCATENATE(X$2,": ",X$3,list1!X51,"]")</f>
        <v xml:space="preserve"> (Соединительные трубы) Жидкостная линия : N[9.52]</v>
      </c>
      <c r="Y51" t="str">
        <f>CONCATENATE(Y$2,": ",Y$3,list1!Y51,"]")</f>
        <v xml:space="preserve"> (Соединительные трубы) Газовая линия : N[15.88]</v>
      </c>
      <c r="Z51" t="str">
        <f>CONCATENATE(Z$2,": ",Z$3,list1!Z51,"]")</f>
        <v xml:space="preserve"> (Соединительные трубы) Максимальная длина трубопровода: N[30]</v>
      </c>
      <c r="AA51" t="str">
        <f>CONCATENATE(AA$2,": ",AA$3,list1!AA51,"]")</f>
        <v xml:space="preserve"> (Соединительные трубы) Максимальный перепад высот: S[30]</v>
      </c>
      <c r="AB51" t="str">
        <f>CONCATENATE(AB$2,": ",AB$3,list1!AB51,"]")</f>
        <v xml:space="preserve"> (Допустимая темп. наружного воздуха) Охлаждение: S[от -10 до +46]</v>
      </c>
      <c r="AC51" t="str">
        <f>CONCATENATE(AC$2,": ",AC$3,list1!AC51,"]")</f>
        <v xml:space="preserve"> (Допустимая темп. наружного воздуха) Обогрев: S[от -15 до +24]</v>
      </c>
      <c r="AD51" s="6" t="s">
        <v>5245</v>
      </c>
    </row>
    <row r="52" spans="1:30" x14ac:dyDescent="0.25">
      <c r="A52" t="str">
        <f>CONCATENATE(A$2,": ",A$3,list1!A52,"]")</f>
        <v>Производитель: E[FUJITSU]</v>
      </c>
      <c r="B52" t="str">
        <f>CONCATENATE(B$2,": ",B$3,list1!B52,"]")</f>
        <v xml:space="preserve"> Тип: S[Канальные]</v>
      </c>
      <c r="C52" t="str">
        <f>CONCATENATE(C$2,": ",C$3,list1!C52,"]")</f>
        <v xml:space="preserve"> (Сплит система) Холодопроизводительность: N[3.5]</v>
      </c>
      <c r="D52" t="str">
        <f>CONCATENATE(D$2,": ",D$3,list1!D52,"]")</f>
        <v xml:space="preserve"> (Сплит система) Площадь помещения: N[35]</v>
      </c>
      <c r="E52" t="str">
        <f>CONCATENATE(E$2,": ",E$3,list1!E52,"]")</f>
        <v xml:space="preserve"> (Сплит система) Инвентор: S[да]</v>
      </c>
      <c r="F52" t="str">
        <f>CONCATENATE(F$2,": ",F$3,list1!F52,"]")</f>
        <v xml:space="preserve"> (Сплит система) Теплопроизводительность: N[4.1]</v>
      </c>
      <c r="G52" t="str">
        <f>CONCATENATE(G$2,": ",G$3,list1!G52,"]")</f>
        <v xml:space="preserve"> (Потребляемая мощность) Охлаждение: N[0.87]</v>
      </c>
      <c r="H52" t="str">
        <f>CONCATENATE(H$2,": ",H$3,list1!H52,"]")</f>
        <v xml:space="preserve"> (Потребляемая мощность) Обогрев: S[1]</v>
      </c>
      <c r="I52" t="str">
        <f>CONCATENATE(I$2,": ",I$3,list1!I52,"]")</f>
        <v xml:space="preserve"> (Рабочий ток) Охлаждение: S[]</v>
      </c>
      <c r="J52" t="str">
        <f>CONCATENATE(J$2,": ",J$3,list1!J52,"]")</f>
        <v xml:space="preserve"> (Рабочий ток) Обогрев: S[]</v>
      </c>
      <c r="K52" t="str">
        <f>CONCATENATE(K$2,": ",K$3,list1!K52,"]")</f>
        <v xml:space="preserve"> (Рабочий ток) Напряжение / Частота источника питания: S[1 / 220 / 50]</v>
      </c>
      <c r="L52" t="str">
        <f>CONCATENATE(L$2,": ",L$3,list1!L52,"]")</f>
        <v xml:space="preserve"> (Рабочий ток) Хладагент: S[R32]</v>
      </c>
      <c r="M52" t="str">
        <f>CONCATENATE(M$2,": ",M$3,list1!M52,"]")</f>
        <v xml:space="preserve"> (Рабочий ток) Количество хладагента: N[]</v>
      </c>
      <c r="N52" t="str">
        <f>CONCATENATE(N$2,": ",N$3,list1!N52,"]")</f>
        <v xml:space="preserve"> (Рабочий ток) Объем рециркулируемого воздуха внутреннего блока: S[]</v>
      </c>
      <c r="O52" t="str">
        <f>CONCATENATE(O$2,": ",O$3,list1!O52,"]")</f>
        <v xml:space="preserve"> (Внутренний блок) Размеры (Ш x Г x В): S[700 х 300 х 700]</v>
      </c>
      <c r="P52" t="str">
        <f>CONCATENATE(P$2,": ",P$3,list1!P52,"]")</f>
        <v xml:space="preserve"> (Внутренний блок) Упаковка (Ш x Г x В): S[938 х 875 х 400]</v>
      </c>
      <c r="Q52" t="str">
        <f>CONCATENATE(Q$2,": ",Q$3,list1!Q52,"]")</f>
        <v xml:space="preserve"> (Внутренний блок) Масса (нетто / брутто): S[27 / 34]</v>
      </c>
      <c r="R52" t="str">
        <f>CONCATENATE(R$2,": ",R$3,list1!R52,"]")</f>
        <v xml:space="preserve"> (Внутренний блок) Уровень шума мин. / макс.: S[24/26/27/32]</v>
      </c>
      <c r="S52" t="str">
        <f>CONCATENATE(S$2,": ",S$3,list1!S52,"]")</f>
        <v xml:space="preserve"> (Наружный блок) Марка компрессора: S[]</v>
      </c>
      <c r="T52" t="str">
        <f>CONCATENATE(T$2,": ",T$3,list1!T52,"]")</f>
        <v xml:space="preserve"> (Наружный блок) Размеры (Ш x Г x В): S[799 х 290 х 542]</v>
      </c>
      <c r="U52" t="str">
        <f>CONCATENATE(U$2,": ",U$3,list1!U52,"]")</f>
        <v xml:space="preserve"> (Наружный блок) Упаковка (Ш x Г x В): S[940 х 375 х 602]</v>
      </c>
      <c r="V52" t="str">
        <f>CONCATENATE(V$2,": ",V$3,list1!V52,"]")</f>
        <v xml:space="preserve"> (Наружный блок) Масса (нетто / брутто): S[33/37]</v>
      </c>
      <c r="W52" t="str">
        <f>CONCATENATE(W$2,": ",W$3,list1!W52,"]")</f>
        <v xml:space="preserve"> (Наружный блок) Максимальный уровень шума: N[]</v>
      </c>
      <c r="X52" t="str">
        <f>CONCATENATE(X$2,": ",X$3,list1!X52,"]")</f>
        <v xml:space="preserve"> (Соединительные трубы) Жидкостная линия : N[6.35]</v>
      </c>
      <c r="Y52" t="str">
        <f>CONCATENATE(Y$2,": ",Y$3,list1!Y52,"]")</f>
        <v xml:space="preserve"> (Соединительные трубы) Газовая линия : N[9.52]</v>
      </c>
      <c r="Z52" t="str">
        <f>CONCATENATE(Z$2,": ",Z$3,list1!Z52,"]")</f>
        <v xml:space="preserve"> (Соединительные трубы) Максимальная длина трубопровода: N[25]</v>
      </c>
      <c r="AA52" t="str">
        <f>CONCATENATE(AA$2,": ",AA$3,list1!AA52,"]")</f>
        <v xml:space="preserve"> (Соединительные трубы) Максимальный перепад высот: S[20]</v>
      </c>
      <c r="AB52" t="str">
        <f>CONCATENATE(AB$2,": ",AB$3,list1!AB52,"]")</f>
        <v xml:space="preserve"> (Допустимая темп. наружного воздуха) Охлаждение: S[от -15 до +46]</v>
      </c>
      <c r="AC52" t="str">
        <f>CONCATENATE(AC$2,": ",AC$3,list1!AC52,"]")</f>
        <v xml:space="preserve"> (Допустимая темп. наружного воздуха) Обогрев: S[от -15 до +24]</v>
      </c>
      <c r="AD52" s="6" t="s">
        <v>5245</v>
      </c>
    </row>
    <row r="53" spans="1:30" x14ac:dyDescent="0.25">
      <c r="A53" t="str">
        <f>CONCATENATE(A$2,": ",A$3,list1!A53,"]")</f>
        <v>Производитель: E[FUJITSU]</v>
      </c>
      <c r="B53" t="str">
        <f>CONCATENATE(B$2,": ",B$3,list1!B53,"]")</f>
        <v xml:space="preserve"> Тип: S[Канальные]</v>
      </c>
      <c r="C53" t="str">
        <f>CONCATENATE(C$2,": ",C$3,list1!C53,"]")</f>
        <v xml:space="preserve"> (Сплит система) Холодопроизводительность: N[4.3]</v>
      </c>
      <c r="D53" t="str">
        <f>CONCATENATE(D$2,": ",D$3,list1!D53,"]")</f>
        <v xml:space="preserve"> (Сплит система) Площадь помещения: N[43]</v>
      </c>
      <c r="E53" t="str">
        <f>CONCATENATE(E$2,": ",E$3,list1!E53,"]")</f>
        <v xml:space="preserve"> (Сплит система) Инвентор: S[да]</v>
      </c>
      <c r="F53" t="str">
        <f>CONCATENATE(F$2,": ",F$3,list1!F53,"]")</f>
        <v xml:space="preserve"> (Сплит система) Теплопроизводительность: N[5]</v>
      </c>
      <c r="G53" t="str">
        <f>CONCATENATE(G$2,": ",G$3,list1!G53,"]")</f>
        <v xml:space="preserve"> (Потребляемая мощность) Охлаждение: N[1.17]</v>
      </c>
      <c r="H53" t="str">
        <f>CONCATENATE(H$2,": ",H$3,list1!H53,"]")</f>
        <v xml:space="preserve"> (Потребляемая мощность) Обогрев: S[1.25]</v>
      </c>
      <c r="I53" t="str">
        <f>CONCATENATE(I$2,": ",I$3,list1!I53,"]")</f>
        <v xml:space="preserve"> (Рабочий ток) Охлаждение: S[]</v>
      </c>
      <c r="J53" t="str">
        <f>CONCATENATE(J$2,": ",J$3,list1!J53,"]")</f>
        <v xml:space="preserve"> (Рабочий ток) Обогрев: S[]</v>
      </c>
      <c r="K53" t="str">
        <f>CONCATENATE(K$2,": ",K$3,list1!K53,"]")</f>
        <v xml:space="preserve"> (Рабочий ток) Напряжение / Частота источника питания: S[1 / 220 / 50]</v>
      </c>
      <c r="L53" t="str">
        <f>CONCATENATE(L$2,": ",L$3,list1!L53,"]")</f>
        <v xml:space="preserve"> (Рабочий ток) Хладагент: S[R32]</v>
      </c>
      <c r="M53" t="str">
        <f>CONCATENATE(M$2,": ",M$3,list1!M53,"]")</f>
        <v xml:space="preserve"> (Рабочий ток) Количество хладагента: N[]</v>
      </c>
      <c r="N53" t="str">
        <f>CONCATENATE(N$2,": ",N$3,list1!N53,"]")</f>
        <v xml:space="preserve"> (Рабочий ток) Объем рециркулируемого воздуха внутреннего блока: S[]</v>
      </c>
      <c r="O53" t="str">
        <f>CONCATENATE(O$2,": ",O$3,list1!O53,"]")</f>
        <v xml:space="preserve"> (Внутренний блок) Размеры (Ш x Г x В): S[700 х 300 х 700]</v>
      </c>
      <c r="P53" t="str">
        <f>CONCATENATE(P$2,": ",P$3,list1!P53,"]")</f>
        <v xml:space="preserve"> (Внутренний блок) Упаковка (Ш x Г x В): S[938 х 875 х 400]</v>
      </c>
      <c r="Q53" t="str">
        <f>CONCATENATE(Q$2,": ",Q$3,list1!Q53,"]")</f>
        <v xml:space="preserve"> (Внутренний блок) Масса (нетто / брутто): S[27 / 34]</v>
      </c>
      <c r="R53" t="str">
        <f>CONCATENATE(R$2,": ",R$3,list1!R53,"]")</f>
        <v xml:space="preserve"> (Внутренний блок) Уровень шума мин. / макс.: S[25/27/28/33]</v>
      </c>
      <c r="S53" t="str">
        <f>CONCATENATE(S$2,": ",S$3,list1!S53,"]")</f>
        <v xml:space="preserve"> (Наружный блок) Марка компрессора: S[]</v>
      </c>
      <c r="T53" t="str">
        <f>CONCATENATE(T$2,": ",T$3,list1!T53,"]")</f>
        <v xml:space="preserve"> (Наружный блок) Размеры (Ш x Г x В): S[799 х 290 х 542]</v>
      </c>
      <c r="U53" t="str">
        <f>CONCATENATE(U$2,": ",U$3,list1!U53,"]")</f>
        <v xml:space="preserve"> (Наружный блок) Упаковка (Ш x Г x В): S[940 х 375 х 602]</v>
      </c>
      <c r="V53" t="str">
        <f>CONCATENATE(V$2,": ",V$3,list1!V53,"]")</f>
        <v xml:space="preserve"> (Наружный блок) Масса (нетто / брутто): S[33/37]</v>
      </c>
      <c r="W53" t="str">
        <f>CONCATENATE(W$2,": ",W$3,list1!W53,"]")</f>
        <v xml:space="preserve"> (Наружный блок) Максимальный уровень шума: N[]</v>
      </c>
      <c r="X53" t="str">
        <f>CONCATENATE(X$2,": ",X$3,list1!X53,"]")</f>
        <v xml:space="preserve"> (Соединительные трубы) Жидкостная линия : N[6.35]</v>
      </c>
      <c r="Y53" t="str">
        <f>CONCATENATE(Y$2,": ",Y$3,list1!Y53,"]")</f>
        <v xml:space="preserve"> (Соединительные трубы) Газовая линия : N[9.52]</v>
      </c>
      <c r="Z53" t="str">
        <f>CONCATENATE(Z$2,": ",Z$3,list1!Z53,"]")</f>
        <v xml:space="preserve"> (Соединительные трубы) Максимальная длина трубопровода: N[25]</v>
      </c>
      <c r="AA53" t="str">
        <f>CONCATENATE(AA$2,": ",AA$3,list1!AA53,"]")</f>
        <v xml:space="preserve"> (Соединительные трубы) Максимальный перепад высот: S[20]</v>
      </c>
      <c r="AB53" t="str">
        <f>CONCATENATE(AB$2,": ",AB$3,list1!AB53,"]")</f>
        <v xml:space="preserve"> (Допустимая темп. наружного воздуха) Охлаждение: S[от -15 до +46]</v>
      </c>
      <c r="AC53" t="str">
        <f>CONCATENATE(AC$2,": ",AC$3,list1!AC53,"]")</f>
        <v xml:space="preserve"> (Допустимая темп. наружного воздуха) Обогрев: S[от -15 до +24]</v>
      </c>
      <c r="AD53" s="6" t="s">
        <v>5245</v>
      </c>
    </row>
    <row r="54" spans="1:30" x14ac:dyDescent="0.25">
      <c r="A54" t="str">
        <f>CONCATENATE(A$2,": ",A$3,list1!A54,"]")</f>
        <v>Производитель: E[FUJITSU]</v>
      </c>
      <c r="B54" t="str">
        <f>CONCATENATE(B$2,": ",B$3,list1!B54,"]")</f>
        <v xml:space="preserve"> Тип: S[Канальные]</v>
      </c>
      <c r="C54" t="str">
        <f>CONCATENATE(C$2,": ",C$3,list1!C54,"]")</f>
        <v xml:space="preserve"> (Сплит система) Холодопроизводительность: N[5.2]</v>
      </c>
      <c r="D54" t="str">
        <f>CONCATENATE(D$2,": ",D$3,list1!D54,"]")</f>
        <v xml:space="preserve"> (Сплит система) Площадь помещения: N[52]</v>
      </c>
      <c r="E54" t="str">
        <f>CONCATENATE(E$2,": ",E$3,list1!E54,"]")</f>
        <v xml:space="preserve"> (Сплит система) Инвентор: S[да]</v>
      </c>
      <c r="F54" t="str">
        <f>CONCATENATE(F$2,": ",F$3,list1!F54,"]")</f>
        <v xml:space="preserve"> (Сплит система) Теплопроизводительность: N[6]</v>
      </c>
      <c r="G54" t="str">
        <f>CONCATENATE(G$2,": ",G$3,list1!G54,"]")</f>
        <v xml:space="preserve"> (Потребляемая мощность) Охлаждение: N[1.36]</v>
      </c>
      <c r="H54" t="str">
        <f>CONCATENATE(H$2,": ",H$3,list1!H54,"]")</f>
        <v xml:space="preserve"> (Потребляемая мощность) Обогрев: S[1.56]</v>
      </c>
      <c r="I54" t="str">
        <f>CONCATENATE(I$2,": ",I$3,list1!I54,"]")</f>
        <v xml:space="preserve"> (Рабочий ток) Охлаждение: S[]</v>
      </c>
      <c r="J54" t="str">
        <f>CONCATENATE(J$2,": ",J$3,list1!J54,"]")</f>
        <v xml:space="preserve"> (Рабочий ток) Обогрев: S[]</v>
      </c>
      <c r="K54" t="str">
        <f>CONCATENATE(K$2,": ",K$3,list1!K54,"]")</f>
        <v xml:space="preserve"> (Рабочий ток) Напряжение / Частота источника питания: S[1 / 220 / 50]</v>
      </c>
      <c r="L54" t="str">
        <f>CONCATENATE(L$2,": ",L$3,list1!L54,"]")</f>
        <v xml:space="preserve"> (Рабочий ток) Хладагент: S[R32]</v>
      </c>
      <c r="M54" t="str">
        <f>CONCATENATE(M$2,": ",M$3,list1!M54,"]")</f>
        <v xml:space="preserve"> (Рабочий ток) Количество хладагента: N[]</v>
      </c>
      <c r="N54" t="str">
        <f>CONCATENATE(N$2,": ",N$3,list1!N54,"]")</f>
        <v xml:space="preserve"> (Рабочий ток) Объем рециркулируемого воздуха внутреннего блока: S[]</v>
      </c>
      <c r="O54" t="str">
        <f>CONCATENATE(O$2,": ",O$3,list1!O54,"]")</f>
        <v xml:space="preserve"> (Внутренний блок) Размеры (Ш x Г x В): S[1000 х 300 х 700]</v>
      </c>
      <c r="P54" t="str">
        <f>CONCATENATE(P$2,": ",P$3,list1!P54,"]")</f>
        <v xml:space="preserve"> (Внутренний блок) Упаковка (Ш x Г x В): S[1238 х 875 х 400]</v>
      </c>
      <c r="Q54" t="str">
        <f>CONCATENATE(Q$2,": ",Q$3,list1!Q54,"]")</f>
        <v xml:space="preserve"> (Внутренний блок) Масса (нетто / брутто): S[35 / 44]</v>
      </c>
      <c r="R54" t="str">
        <f>CONCATENATE(R$2,": ",R$3,list1!R54,"]")</f>
        <v xml:space="preserve"> (Внутренний блок) Уровень шума мин. / макс.: S[20/22/25/28]</v>
      </c>
      <c r="S54" t="str">
        <f>CONCATENATE(S$2,": ",S$3,list1!S54,"]")</f>
        <v xml:space="preserve"> (Наружный блок) Марка компрессора: S[]</v>
      </c>
      <c r="T54" t="str">
        <f>CONCATENATE(T$2,": ",T$3,list1!T54,"]")</f>
        <v xml:space="preserve"> (Наружный блок) Размеры (Ш x Г x В): S[799 х 290 х 632]</v>
      </c>
      <c r="U54" t="str">
        <f>CONCATENATE(U$2,": ",U$3,list1!U54,"]")</f>
        <v xml:space="preserve"> (Наружный блок) Упаковка (Ш x Г x В): S[940 х 375 х 692]</v>
      </c>
      <c r="V54" t="str">
        <f>CONCATENATE(V$2,": ",V$3,list1!V54,"]")</f>
        <v xml:space="preserve"> (Наружный блок) Масса (нетто / брутто): S[36/40]</v>
      </c>
      <c r="W54" t="str">
        <f>CONCATENATE(W$2,": ",W$3,list1!W54,"]")</f>
        <v xml:space="preserve"> (Наружный блок) Максимальный уровень шума: N[]</v>
      </c>
      <c r="X54" t="str">
        <f>CONCATENATE(X$2,": ",X$3,list1!X54,"]")</f>
        <v xml:space="preserve"> (Соединительные трубы) Жидкостная линия : N[6.35]</v>
      </c>
      <c r="Y54" t="str">
        <f>CONCATENATE(Y$2,": ",Y$3,list1!Y54,"]")</f>
        <v xml:space="preserve"> (Соединительные трубы) Газовая линия : N[12.7]</v>
      </c>
      <c r="Z54" t="str">
        <f>CONCATENATE(Z$2,": ",Z$3,list1!Z54,"]")</f>
        <v xml:space="preserve"> (Соединительные трубы) Максимальная длина трубопровода: N[30]</v>
      </c>
      <c r="AA54" t="str">
        <f>CONCATENATE(AA$2,": ",AA$3,list1!AA54,"]")</f>
        <v xml:space="preserve"> (Соединительные трубы) Максимальный перепад высот: S[20]</v>
      </c>
      <c r="AB54" t="str">
        <f>CONCATENATE(AB$2,": ",AB$3,list1!AB54,"]")</f>
        <v xml:space="preserve"> (Допустимая темп. наружного воздуха) Охлаждение: S[от -15 до +46]</v>
      </c>
      <c r="AC54" t="str">
        <f>CONCATENATE(AC$2,": ",AC$3,list1!AC54,"]")</f>
        <v xml:space="preserve"> (Допустимая темп. наружного воздуха) Обогрев: S[от -15 до +24]</v>
      </c>
      <c r="AD54" s="6" t="s">
        <v>5245</v>
      </c>
    </row>
    <row r="55" spans="1:30" x14ac:dyDescent="0.25">
      <c r="A55" t="str">
        <f>CONCATENATE(A$2,": ",A$3,list1!A55,"]")</f>
        <v>Производитель: E[FUJITSU]</v>
      </c>
      <c r="B55" t="str">
        <f>CONCATENATE(B$2,": ",B$3,list1!B55,"]")</f>
        <v xml:space="preserve"> Тип: S[Канальные]</v>
      </c>
      <c r="C55" t="str">
        <f>CONCATENATE(C$2,": ",C$3,list1!C55,"]")</f>
        <v xml:space="preserve"> (Сплит система) Холодопроизводительность: N[6.8]</v>
      </c>
      <c r="D55" t="str">
        <f>CONCATENATE(D$2,": ",D$3,list1!D55,"]")</f>
        <v xml:space="preserve"> (Сплит система) Площадь помещения: N[68]</v>
      </c>
      <c r="E55" t="str">
        <f>CONCATENATE(E$2,": ",E$3,list1!E55,"]")</f>
        <v xml:space="preserve"> (Сплит система) Инвентор: S[да]</v>
      </c>
      <c r="F55" t="str">
        <f>CONCATENATE(F$2,": ",F$3,list1!F55,"]")</f>
        <v xml:space="preserve"> (Сплит система) Теплопроизводительность: N[7.5]</v>
      </c>
      <c r="G55" t="str">
        <f>CONCATENATE(G$2,": ",G$3,list1!G55,"]")</f>
        <v xml:space="preserve"> (Потребляемая мощность) Охлаждение: N[1.89]</v>
      </c>
      <c r="H55" t="str">
        <f>CONCATENATE(H$2,": ",H$3,list1!H55,"]")</f>
        <v xml:space="preserve"> (Потребляемая мощность) Обогрев: S[1.85]</v>
      </c>
      <c r="I55" t="str">
        <f>CONCATENATE(I$2,": ",I$3,list1!I55,"]")</f>
        <v xml:space="preserve"> (Рабочий ток) Охлаждение: S[]</v>
      </c>
      <c r="J55" t="str">
        <f>CONCATENATE(J$2,": ",J$3,list1!J55,"]")</f>
        <v xml:space="preserve"> (Рабочий ток) Обогрев: S[]</v>
      </c>
      <c r="K55" t="str">
        <f>CONCATENATE(K$2,": ",K$3,list1!K55,"]")</f>
        <v xml:space="preserve"> (Рабочий ток) Напряжение / Частота источника питания: S[1 / 220 / 50]</v>
      </c>
      <c r="L55" t="str">
        <f>CONCATENATE(L$2,": ",L$3,list1!L55,"]")</f>
        <v xml:space="preserve"> (Рабочий ток) Хладагент: S[R32]</v>
      </c>
      <c r="M55" t="str">
        <f>CONCATENATE(M$2,": ",M$3,list1!M55,"]")</f>
        <v xml:space="preserve"> (Рабочий ток) Количество хладагента: N[]</v>
      </c>
      <c r="N55" t="str">
        <f>CONCATENATE(N$2,": ",N$3,list1!N55,"]")</f>
        <v xml:space="preserve"> (Рабочий ток) Объем рециркулируемого воздуха внутреннего блока: S[]</v>
      </c>
      <c r="O55" t="str">
        <f>CONCATENATE(O$2,": ",O$3,list1!O55,"]")</f>
        <v xml:space="preserve"> (Внутренний блок) Размеры (Ш x Г x В): S[1000 х 300 х 700]</v>
      </c>
      <c r="P55" t="str">
        <f>CONCATENATE(P$2,": ",P$3,list1!P55,"]")</f>
        <v xml:space="preserve"> (Внутренний блок) Упаковка (Ш x Г x В): S[1238 х 875 х 400]</v>
      </c>
      <c r="Q55" t="str">
        <f>CONCATENATE(Q$2,": ",Q$3,list1!Q55,"]")</f>
        <v xml:space="preserve"> (Внутренний блок) Масса (нетто / брутто): S[36 / 43]</v>
      </c>
      <c r="R55" t="str">
        <f>CONCATENATE(R$2,": ",R$3,list1!R55,"]")</f>
        <v xml:space="preserve"> (Внутренний блок) Уровень шума мин. / макс.: S[21/24/28/32]</v>
      </c>
      <c r="S55" t="str">
        <f>CONCATENATE(S$2,": ",S$3,list1!S55,"]")</f>
        <v xml:space="preserve"> (Наружный блок) Марка компрессора: S[]</v>
      </c>
      <c r="T55" t="str">
        <f>CONCATENATE(T$2,": ",T$3,list1!T55,"]")</f>
        <v xml:space="preserve"> (Наружный блок) Размеры (Ш x Г x В): S[820 х 315 х 716]</v>
      </c>
      <c r="U55" t="str">
        <f>CONCATENATE(U$2,": ",U$3,list1!U55,"]")</f>
        <v xml:space="preserve"> (Наружный блок) Упаковка (Ш x Г x В): S[961 х 450 х 776]</v>
      </c>
      <c r="V55" t="str">
        <f>CONCATENATE(V$2,": ",V$3,list1!V55,"]")</f>
        <v xml:space="preserve"> (Наружный блок) Масса (нетто / брутто): S[42/48]</v>
      </c>
      <c r="W55" t="str">
        <f>CONCATENATE(W$2,": ",W$3,list1!W55,"]")</f>
        <v xml:space="preserve"> (Наружный блок) Максимальный уровень шума: N[]</v>
      </c>
      <c r="X55" t="str">
        <f>CONCATENATE(X$2,": ",X$3,list1!X55,"]")</f>
        <v xml:space="preserve"> (Соединительные трубы) Жидкостная линия : N[6.35]</v>
      </c>
      <c r="Y55" t="str">
        <f>CONCATENATE(Y$2,": ",Y$3,list1!Y55,"]")</f>
        <v xml:space="preserve"> (Соединительные трубы) Газовая линия : N[12.7]</v>
      </c>
      <c r="Z55" t="str">
        <f>CONCATENATE(Z$2,": ",Z$3,list1!Z55,"]")</f>
        <v xml:space="preserve"> (Соединительные трубы) Максимальная длина трубопровода: N[30]</v>
      </c>
      <c r="AA55" t="str">
        <f>CONCATENATE(AA$2,": ",AA$3,list1!AA55,"]")</f>
        <v xml:space="preserve"> (Соединительные трубы) Максимальный перепад высот: S[25]</v>
      </c>
      <c r="AB55" t="str">
        <f>CONCATENATE(AB$2,": ",AB$3,list1!AB55,"]")</f>
        <v xml:space="preserve"> (Допустимая темп. наружного воздуха) Охлаждение: S[от -15 до +46]</v>
      </c>
      <c r="AC55" t="str">
        <f>CONCATENATE(AC$2,": ",AC$3,list1!AC55,"]")</f>
        <v xml:space="preserve"> (Допустимая темп. наружного воздуха) Обогрев: S[от -15 до +24]</v>
      </c>
      <c r="AD55" s="6" t="s">
        <v>5245</v>
      </c>
    </row>
    <row r="56" spans="1:30" x14ac:dyDescent="0.25">
      <c r="A56" t="str">
        <f>CONCATENATE(A$2,": ",A$3,list1!A56,"]")</f>
        <v>Производитель: E[FUJITSU]</v>
      </c>
      <c r="B56" t="str">
        <f>CONCATENATE(B$2,": ",B$3,list1!B56,"]")</f>
        <v xml:space="preserve"> Тип: S[Канальные]</v>
      </c>
      <c r="C56" t="str">
        <f>CONCATENATE(C$2,": ",C$3,list1!C56,"]")</f>
        <v xml:space="preserve"> (Сплит система) Холодопроизводительность: N[8.5]</v>
      </c>
      <c r="D56" t="str">
        <f>CONCATENATE(D$2,": ",D$3,list1!D56,"]")</f>
        <v xml:space="preserve"> (Сплит система) Площадь помещения: N[85]</v>
      </c>
      <c r="E56" t="str">
        <f>CONCATENATE(E$2,": ",E$3,list1!E56,"]")</f>
        <v xml:space="preserve"> (Сплит система) Инвентор: S[да]</v>
      </c>
      <c r="F56" t="str">
        <f>CONCATENATE(F$2,": ",F$3,list1!F56,"]")</f>
        <v xml:space="preserve"> (Сплит система) Теплопроизводительность: N[10]</v>
      </c>
      <c r="G56" t="str">
        <f>CONCATENATE(G$2,": ",G$3,list1!G56,"]")</f>
        <v xml:space="preserve"> (Потребляемая мощность) Охлаждение: N[2.65]</v>
      </c>
      <c r="H56" t="str">
        <f>CONCATENATE(H$2,": ",H$3,list1!H56,"]")</f>
        <v xml:space="preserve"> (Потребляемая мощность) Обогрев: S[2.63]</v>
      </c>
      <c r="I56" t="str">
        <f>CONCATENATE(I$2,": ",I$3,list1!I56,"]")</f>
        <v xml:space="preserve"> (Рабочий ток) Охлаждение: S[]</v>
      </c>
      <c r="J56" t="str">
        <f>CONCATENATE(J$2,": ",J$3,list1!J56,"]")</f>
        <v xml:space="preserve"> (Рабочий ток) Обогрев: S[]</v>
      </c>
      <c r="K56" t="str">
        <f>CONCATENATE(K$2,": ",K$3,list1!K56,"]")</f>
        <v xml:space="preserve"> (Рабочий ток) Напряжение / Частота источника питания: S[1 / 220 / 50]</v>
      </c>
      <c r="L56" t="str">
        <f>CONCATENATE(L$2,": ",L$3,list1!L56,"]")</f>
        <v xml:space="preserve"> (Рабочий ток) Хладагент: S[R32]</v>
      </c>
      <c r="M56" t="str">
        <f>CONCATENATE(M$2,": ",M$3,list1!M56,"]")</f>
        <v xml:space="preserve"> (Рабочий ток) Количество хладагента: N[]</v>
      </c>
      <c r="N56" t="str">
        <f>CONCATENATE(N$2,": ",N$3,list1!N56,"]")</f>
        <v xml:space="preserve"> (Рабочий ток) Объем рециркулируемого воздуха внутреннего блока: S[]</v>
      </c>
      <c r="O56" t="str">
        <f>CONCATENATE(O$2,": ",O$3,list1!O56,"]")</f>
        <v xml:space="preserve"> (Внутренний блок) Размеры (Ш x Г x В): S[1000 х 300 х 700]</v>
      </c>
      <c r="P56" t="str">
        <f>CONCATENATE(P$2,": ",P$3,list1!P56,"]")</f>
        <v xml:space="preserve"> (Внутренний блок) Упаковка (Ш x Г x В): S[1238 х 875 х 400]</v>
      </c>
      <c r="Q56" t="str">
        <f>CONCATENATE(Q$2,": ",Q$3,list1!Q56,"]")</f>
        <v xml:space="preserve"> (Внутренний блок) Масса (нетто / брутто): S[36 / 44]</v>
      </c>
      <c r="R56" t="str">
        <f>CONCATENATE(R$2,": ",R$3,list1!R56,"]")</f>
        <v xml:space="preserve"> (Внутренний блок) Уровень шума мин. / макс.: S[29/30/33/36]</v>
      </c>
      <c r="S56" t="str">
        <f>CONCATENATE(S$2,": ",S$3,list1!S56,"]")</f>
        <v xml:space="preserve"> (Наружный блок) Марка компрессора: S[]</v>
      </c>
      <c r="T56" t="str">
        <f>CONCATENATE(T$2,": ",T$3,list1!T56,"]")</f>
        <v xml:space="preserve"> (Наружный блок) Размеры (Ш x Г x В): S[940 х 320 х 788]</v>
      </c>
      <c r="U56" t="str">
        <f>CONCATENATE(U$2,": ",U$3,list1!U56,"]")</f>
        <v xml:space="preserve"> (Наружный блок) Упаковка (Ш x Г x В): S[1027 х 445 х 966]</v>
      </c>
      <c r="V56" t="str">
        <f>CONCATENATE(V$2,": ",V$3,list1!V56,"]")</f>
        <v xml:space="preserve"> (Наружный блок) Масса (нетто / брутто): S[52/60]</v>
      </c>
      <c r="W56" t="str">
        <f>CONCATENATE(W$2,": ",W$3,list1!W56,"]")</f>
        <v xml:space="preserve"> (Наружный блок) Максимальный уровень шума: N[]</v>
      </c>
      <c r="X56" t="str">
        <f>CONCATENATE(X$2,": ",X$3,list1!X56,"]")</f>
        <v xml:space="preserve"> (Соединительные трубы) Жидкостная линия : N[9.52]</v>
      </c>
      <c r="Y56" t="str">
        <f>CONCATENATE(Y$2,": ",Y$3,list1!Y56,"]")</f>
        <v xml:space="preserve"> (Соединительные трубы) Газовая линия : N[15.88]</v>
      </c>
      <c r="Z56" t="str">
        <f>CONCATENATE(Z$2,": ",Z$3,list1!Z56,"]")</f>
        <v xml:space="preserve"> (Соединительные трубы) Максимальная длина трубопровода: N[50]</v>
      </c>
      <c r="AA56" t="str">
        <f>CONCATENATE(AA$2,": ",AA$3,list1!AA56,"]")</f>
        <v xml:space="preserve"> (Соединительные трубы) Максимальный перепад высот: S[30]</v>
      </c>
      <c r="AB56" t="str">
        <f>CONCATENATE(AB$2,": ",AB$3,list1!AB56,"]")</f>
        <v xml:space="preserve"> (Допустимая темп. наружного воздуха) Охлаждение: S[от -15 до +46]</v>
      </c>
      <c r="AC56" t="str">
        <f>CONCATENATE(AC$2,": ",AC$3,list1!AC56,"]")</f>
        <v xml:space="preserve"> (Допустимая темп. наружного воздуха) Обогрев: S[от -15 до +24]</v>
      </c>
      <c r="AD56" s="6" t="s">
        <v>5245</v>
      </c>
    </row>
    <row r="57" spans="1:30" x14ac:dyDescent="0.25">
      <c r="A57" t="str">
        <f>CONCATENATE(A$2,": ",A$3,list1!A57,"]")</f>
        <v>Производитель: E[FUJITSU]</v>
      </c>
      <c r="B57" t="str">
        <f>CONCATENATE(B$2,": ",B$3,list1!B57,"]")</f>
        <v xml:space="preserve"> Тип: S[Канальные]</v>
      </c>
      <c r="C57" t="str">
        <f>CONCATENATE(C$2,": ",C$3,list1!C57,"]")</f>
        <v xml:space="preserve"> (Сплит система) Холодопроизводительность: N[9.5]</v>
      </c>
      <c r="D57" t="str">
        <f>CONCATENATE(D$2,": ",D$3,list1!D57,"]")</f>
        <v xml:space="preserve"> (Сплит система) Площадь помещения: N[95]</v>
      </c>
      <c r="E57" t="str">
        <f>CONCATENATE(E$2,": ",E$3,list1!E57,"]")</f>
        <v xml:space="preserve"> (Сплит система) Инвентор: S[да]</v>
      </c>
      <c r="F57" t="str">
        <f>CONCATENATE(F$2,": ",F$3,list1!F57,"]")</f>
        <v xml:space="preserve"> (Сплит система) Теплопроизводительность: N[10.8]</v>
      </c>
      <c r="G57" t="str">
        <f>CONCATENATE(G$2,": ",G$3,list1!G57,"]")</f>
        <v xml:space="preserve"> (Потребляемая мощность) Охлаждение: N[2.86]</v>
      </c>
      <c r="H57" t="str">
        <f>CONCATENATE(H$2,": ",H$3,list1!H57,"]")</f>
        <v xml:space="preserve"> (Потребляемая мощность) Обогрев: S[2.48]</v>
      </c>
      <c r="I57" t="str">
        <f>CONCATENATE(I$2,": ",I$3,list1!I57,"]")</f>
        <v xml:space="preserve"> (Рабочий ток) Охлаждение: S[]</v>
      </c>
      <c r="J57" t="str">
        <f>CONCATENATE(J$2,": ",J$3,list1!J57,"]")</f>
        <v xml:space="preserve"> (Рабочий ток) Обогрев: S[]</v>
      </c>
      <c r="K57" t="str">
        <f>CONCATENATE(K$2,": ",K$3,list1!K57,"]")</f>
        <v xml:space="preserve"> (Рабочий ток) Напряжение / Частота источника питания: S[1 / 220 / 50]</v>
      </c>
      <c r="L57" t="str">
        <f>CONCATENATE(L$2,": ",L$3,list1!L57,"]")</f>
        <v xml:space="preserve"> (Рабочий ток) Хладагент: S[R32]</v>
      </c>
      <c r="M57" t="str">
        <f>CONCATENATE(M$2,": ",M$3,list1!M57,"]")</f>
        <v xml:space="preserve"> (Рабочий ток) Количество хладагента: N[]</v>
      </c>
      <c r="N57" t="str">
        <f>CONCATENATE(N$2,": ",N$3,list1!N57,"]")</f>
        <v xml:space="preserve"> (Рабочий ток) Объем рециркулируемого воздуха внутреннего блока: S[]</v>
      </c>
      <c r="O57" t="str">
        <f>CONCATENATE(O$2,": ",O$3,list1!O57,"]")</f>
        <v xml:space="preserve"> (Внутренний блок) Размеры (Ш x Г x В): S[1400 х 300 х 700]</v>
      </c>
      <c r="P57" t="str">
        <f>CONCATENATE(P$2,": ",P$3,list1!P57,"]")</f>
        <v xml:space="preserve"> (Внутренний блок) Упаковка (Ш x Г x В): S[1638 х 875 х 400]</v>
      </c>
      <c r="Q57" t="str">
        <f>CONCATENATE(Q$2,": ",Q$3,list1!Q57,"]")</f>
        <v xml:space="preserve"> (Внутренний блок) Масса (нетто / брутто): S[46 / 56]</v>
      </c>
      <c r="R57" t="str">
        <f>CONCATENATE(R$2,": ",R$3,list1!R57,"]")</f>
        <v xml:space="preserve"> (Внутренний блок) Уровень шума мин. / макс.: S[26/28/31/36]</v>
      </c>
      <c r="S57" t="str">
        <f>CONCATENATE(S$2,": ",S$3,list1!S57,"]")</f>
        <v xml:space="preserve"> (Наружный блок) Марка компрессора: S[]</v>
      </c>
      <c r="T57" t="str">
        <f>CONCATENATE(T$2,": ",T$3,list1!T57,"]")</f>
        <v xml:space="preserve"> (Наружный блок) Размеры (Ш x Г x В): S[940 х 320 х 788]</v>
      </c>
      <c r="U57" t="str">
        <f>CONCATENATE(U$2,": ",U$3,list1!U57,"]")</f>
        <v xml:space="preserve"> (Наружный блок) Упаковка (Ш x Г x В): S[1027 х 445 х 966]</v>
      </c>
      <c r="V57" t="str">
        <f>CONCATENATE(V$2,": ",V$3,list1!V57,"]")</f>
        <v xml:space="preserve"> (Наружный блок) Масса (нетто / брутто): S[52/60]</v>
      </c>
      <c r="W57" t="str">
        <f>CONCATENATE(W$2,": ",W$3,list1!W57,"]")</f>
        <v xml:space="preserve"> (Наружный блок) Максимальный уровень шума: N[]</v>
      </c>
      <c r="X57" t="str">
        <f>CONCATENATE(X$2,": ",X$3,list1!X57,"]")</f>
        <v xml:space="preserve"> (Соединительные трубы) Жидкостная линия : N[9.52]</v>
      </c>
      <c r="Y57" t="str">
        <f>CONCATENATE(Y$2,": ",Y$3,list1!Y57,"]")</f>
        <v xml:space="preserve"> (Соединительные трубы) Газовая линия : N[15.88]</v>
      </c>
      <c r="Z57" t="str">
        <f>CONCATENATE(Z$2,": ",Z$3,list1!Z57,"]")</f>
        <v xml:space="preserve"> (Соединительные трубы) Максимальная длина трубопровода: N[50]</v>
      </c>
      <c r="AA57" t="str">
        <f>CONCATENATE(AA$2,": ",AA$3,list1!AA57,"]")</f>
        <v xml:space="preserve"> (Соединительные трубы) Максимальный перепад высот: S[30]</v>
      </c>
      <c r="AB57" t="str">
        <f>CONCATENATE(AB$2,": ",AB$3,list1!AB57,"]")</f>
        <v xml:space="preserve"> (Допустимая темп. наружного воздуха) Охлаждение: S[от -15 до +46]</v>
      </c>
      <c r="AC57" t="str">
        <f>CONCATENATE(AC$2,": ",AC$3,list1!AC57,"]")</f>
        <v xml:space="preserve"> (Допустимая темп. наружного воздуха) Обогрев: S[от -15 до +24]</v>
      </c>
      <c r="AD57" s="6" t="s">
        <v>5245</v>
      </c>
    </row>
    <row r="58" spans="1:30" x14ac:dyDescent="0.25">
      <c r="A58" t="str">
        <f>CONCATENATE(A$2,": ",A$3,list1!A58,"]")</f>
        <v>Производитель: E[FUJITSU]</v>
      </c>
      <c r="B58" t="str">
        <f>CONCATENATE(B$2,": ",B$3,list1!B58,"]")</f>
        <v xml:space="preserve"> Тип: S[Канальные]</v>
      </c>
      <c r="C58" t="str">
        <f>CONCATENATE(C$2,": ",C$3,list1!C58,"]")</f>
        <v xml:space="preserve"> (Сплит система) Холодопроизводительность: N[12.1]</v>
      </c>
      <c r="D58" t="str">
        <f>CONCATENATE(D$2,": ",D$3,list1!D58,"]")</f>
        <v xml:space="preserve"> (Сплит система) Площадь помещения: N[120]</v>
      </c>
      <c r="E58" t="str">
        <f>CONCATENATE(E$2,": ",E$3,list1!E58,"]")</f>
        <v xml:space="preserve"> (Сплит система) Инвентор: S[да]</v>
      </c>
      <c r="F58" t="str">
        <f>CONCATENATE(F$2,": ",F$3,list1!F58,"]")</f>
        <v xml:space="preserve"> (Сплит система) Теплопроизводительность: N[13.5]</v>
      </c>
      <c r="G58" t="str">
        <f>CONCATENATE(G$2,": ",G$3,list1!G58,"]")</f>
        <v xml:space="preserve"> (Потребляемая мощность) Охлаждение: N[3.53]</v>
      </c>
      <c r="H58" t="str">
        <f>CONCATENATE(H$2,": ",H$3,list1!H58,"]")</f>
        <v xml:space="preserve"> (Потребляемая мощность) Обогрев: S[3.37]</v>
      </c>
      <c r="I58" t="str">
        <f>CONCATENATE(I$2,": ",I$3,list1!I58,"]")</f>
        <v xml:space="preserve"> (Рабочий ток) Охлаждение: S[]</v>
      </c>
      <c r="J58" t="str">
        <f>CONCATENATE(J$2,": ",J$3,list1!J58,"]")</f>
        <v xml:space="preserve"> (Рабочий ток) Обогрев: S[]</v>
      </c>
      <c r="K58" t="str">
        <f>CONCATENATE(K$2,": ",K$3,list1!K58,"]")</f>
        <v xml:space="preserve"> (Рабочий ток) Напряжение / Частота источника питания: S[1 / 220 / 50]</v>
      </c>
      <c r="L58" t="str">
        <f>CONCATENATE(L$2,": ",L$3,list1!L58,"]")</f>
        <v xml:space="preserve"> (Рабочий ток) Хладагент: S[R32]</v>
      </c>
      <c r="M58" t="str">
        <f>CONCATENATE(M$2,": ",M$3,list1!M58,"]")</f>
        <v xml:space="preserve"> (Рабочий ток) Количество хладагента: N[]</v>
      </c>
      <c r="N58" t="str">
        <f>CONCATENATE(N$2,": ",N$3,list1!N58,"]")</f>
        <v xml:space="preserve"> (Рабочий ток) Объем рециркулируемого воздуха внутреннего блока: S[]</v>
      </c>
      <c r="O58" t="str">
        <f>CONCATENATE(O$2,": ",O$3,list1!O58,"]")</f>
        <v xml:space="preserve"> (Внутренний блок) Размеры (Ш x Г x В): S[1400 х 300 х 700]</v>
      </c>
      <c r="P58" t="str">
        <f>CONCATENATE(P$2,": ",P$3,list1!P58,"]")</f>
        <v xml:space="preserve"> (Внутренний блок) Упаковка (Ш x Г x В): S[1638 х 875 х 400]</v>
      </c>
      <c r="Q58" t="str">
        <f>CONCATENATE(Q$2,": ",Q$3,list1!Q58,"]")</f>
        <v xml:space="preserve"> (Внутренний блок) Масса (нетто / брутто): S[46 / 56]</v>
      </c>
      <c r="R58" t="str">
        <f>CONCATENATE(R$2,": ",R$3,list1!R58,"]")</f>
        <v xml:space="preserve"> (Внутренний блок) Уровень шума мин. / макс.: S[29/31/35/39]</v>
      </c>
      <c r="S58" t="str">
        <f>CONCATENATE(S$2,": ",S$3,list1!S58,"]")</f>
        <v xml:space="preserve"> (Наружный блок) Марка компрессора: S[]</v>
      </c>
      <c r="T58" t="str">
        <f>CONCATENATE(T$2,": ",T$3,list1!T58,"]")</f>
        <v xml:space="preserve"> (Наружный блок) Размеры (Ш x Г x В): S[940 х 320 х 988]</v>
      </c>
      <c r="U58" t="str">
        <f>CONCATENATE(U$2,": ",U$3,list1!U58,"]")</f>
        <v xml:space="preserve"> (Наружный блок) Упаковка (Ш x Г x В): S[1027 х 445 х 1176]</v>
      </c>
      <c r="V58" t="str">
        <f>CONCATENATE(V$2,": ",V$3,list1!V58,"]")</f>
        <v xml:space="preserve"> (Наружный блок) Масса (нетто / брутто): S[67/75]</v>
      </c>
      <c r="W58" t="str">
        <f>CONCATENATE(W$2,": ",W$3,list1!W58,"]")</f>
        <v xml:space="preserve"> (Наружный блок) Максимальный уровень шума: N[]</v>
      </c>
      <c r="X58" t="str">
        <f>CONCATENATE(X$2,": ",X$3,list1!X58,"]")</f>
        <v xml:space="preserve"> (Соединительные трубы) Жидкостная линия : N[9.52]</v>
      </c>
      <c r="Y58" t="str">
        <f>CONCATENATE(Y$2,": ",Y$3,list1!Y58,"]")</f>
        <v xml:space="preserve"> (Соединительные трубы) Газовая линия : N[15.88]</v>
      </c>
      <c r="Z58" t="str">
        <f>CONCATENATE(Z$2,": ",Z$3,list1!Z58,"]")</f>
        <v xml:space="preserve"> (Соединительные трубы) Максимальная длина трубопровода: N[50]</v>
      </c>
      <c r="AA58" t="str">
        <f>CONCATENATE(AA$2,": ",AA$3,list1!AA58,"]")</f>
        <v xml:space="preserve"> (Соединительные трубы) Максимальный перепад высот: S[30]</v>
      </c>
      <c r="AB58" t="str">
        <f>CONCATENATE(AB$2,": ",AB$3,list1!AB58,"]")</f>
        <v xml:space="preserve"> (Допустимая темп. наружного воздуха) Охлаждение: S[от -15 до +46]</v>
      </c>
      <c r="AC58" t="str">
        <f>CONCATENATE(AC$2,": ",AC$3,list1!AC58,"]")</f>
        <v xml:space="preserve"> (Допустимая темп. наружного воздуха) Обогрев: S[от -15 до +24]</v>
      </c>
      <c r="AD58" s="6" t="s">
        <v>5245</v>
      </c>
    </row>
    <row r="59" spans="1:30" x14ac:dyDescent="0.25">
      <c r="A59" t="str">
        <f>CONCATENATE(A$2,": ",A$3,list1!A59,"]")</f>
        <v>Производитель: E[FUJITSU]</v>
      </c>
      <c r="B59" t="str">
        <f>CONCATENATE(B$2,": ",B$3,list1!B59,"]")</f>
        <v xml:space="preserve"> Тип: S[Канальные]</v>
      </c>
      <c r="C59" t="str">
        <f>CONCATENATE(C$2,": ",C$3,list1!C59,"]")</f>
        <v xml:space="preserve"> (Сплит система) Холодопроизводительность: N[13.4]</v>
      </c>
      <c r="D59" t="str">
        <f>CONCATENATE(D$2,": ",D$3,list1!D59,"]")</f>
        <v xml:space="preserve"> (Сплит система) Площадь помещения: N[130]</v>
      </c>
      <c r="E59" t="str">
        <f>CONCATENATE(E$2,": ",E$3,list1!E59,"]")</f>
        <v xml:space="preserve"> (Сплит система) Инвентор: S[да]</v>
      </c>
      <c r="F59" t="str">
        <f>CONCATENATE(F$2,": ",F$3,list1!F59,"]")</f>
        <v xml:space="preserve"> (Сплит система) Теплопроизводительность: N[15.5]</v>
      </c>
      <c r="G59" t="str">
        <f>CONCATENATE(G$2,": ",G$3,list1!G59,"]")</f>
        <v xml:space="preserve"> (Потребляемая мощность) Охлаждение: N[4.42]</v>
      </c>
      <c r="H59" t="str">
        <f>CONCATENATE(H$2,": ",H$3,list1!H59,"]")</f>
        <v xml:space="preserve"> (Потребляемая мощность) Обогрев: S[3.89]</v>
      </c>
      <c r="I59" t="str">
        <f>CONCATENATE(I$2,": ",I$3,list1!I59,"]")</f>
        <v xml:space="preserve"> (Рабочий ток) Охлаждение: S[]</v>
      </c>
      <c r="J59" t="str">
        <f>CONCATENATE(J$2,": ",J$3,list1!J59,"]")</f>
        <v xml:space="preserve"> (Рабочий ток) Обогрев: S[]</v>
      </c>
      <c r="K59" t="str">
        <f>CONCATENATE(K$2,": ",K$3,list1!K59,"]")</f>
        <v xml:space="preserve"> (Рабочий ток) Напряжение / Частота источника питания: S[1 / 220 / 50]</v>
      </c>
      <c r="L59" t="str">
        <f>CONCATENATE(L$2,": ",L$3,list1!L59,"]")</f>
        <v xml:space="preserve"> (Рабочий ток) Хладагент: S[R32]</v>
      </c>
      <c r="M59" t="str">
        <f>CONCATENATE(M$2,": ",M$3,list1!M59,"]")</f>
        <v xml:space="preserve"> (Рабочий ток) Количество хладагента: N[]</v>
      </c>
      <c r="N59" t="str">
        <f>CONCATENATE(N$2,": ",N$3,list1!N59,"]")</f>
        <v xml:space="preserve"> (Рабочий ток) Объем рециркулируемого воздуха внутреннего блока: S[]</v>
      </c>
      <c r="O59" t="str">
        <f>CONCATENATE(O$2,": ",O$3,list1!O59,"]")</f>
        <v xml:space="preserve"> (Внутренний блок) Размеры (Ш x Г x В): S[1400 х 300 х 700]</v>
      </c>
      <c r="P59" t="str">
        <f>CONCATENATE(P$2,": ",P$3,list1!P59,"]")</f>
        <v xml:space="preserve"> (Внутренний блок) Упаковка (Ш x Г x В): S[1638 х 875 х 400]</v>
      </c>
      <c r="Q59" t="str">
        <f>CONCATENATE(Q$2,": ",Q$3,list1!Q59,"]")</f>
        <v xml:space="preserve"> (Внутренний блок) Масса (нетто / брутто): S[46 / 56]</v>
      </c>
      <c r="R59" t="str">
        <f>CONCATENATE(R$2,": ",R$3,list1!R59,"]")</f>
        <v xml:space="preserve"> (Внутренний блок) Уровень шума мин. / макс.: S[29/31/35/39]</v>
      </c>
      <c r="S59" t="str">
        <f>CONCATENATE(S$2,": ",S$3,list1!S59,"]")</f>
        <v xml:space="preserve"> (Наружный блок) Марка компрессора: S[]</v>
      </c>
      <c r="T59" t="str">
        <f>CONCATENATE(T$2,": ",T$3,list1!T59,"]")</f>
        <v xml:space="preserve"> (Наружный блок) Размеры (Ш x Г x В): S[940 х 320 х 998]</v>
      </c>
      <c r="U59" t="str">
        <f>CONCATENATE(U$2,": ",U$3,list1!U59,"]")</f>
        <v xml:space="preserve"> (Наружный блок) Упаковка (Ш x Г x В): S[1027 х 445 х 1176]</v>
      </c>
      <c r="V59" t="str">
        <f>CONCATENATE(V$2,": ",V$3,list1!V59,"]")</f>
        <v xml:space="preserve"> (Наружный блок) Масса (нетто / брутто): S[67/75]</v>
      </c>
      <c r="W59" t="str">
        <f>CONCATENATE(W$2,": ",W$3,list1!W59,"]")</f>
        <v xml:space="preserve"> (Наружный блок) Максимальный уровень шума: N[]</v>
      </c>
      <c r="X59" t="str">
        <f>CONCATENATE(X$2,": ",X$3,list1!X59,"]")</f>
        <v xml:space="preserve"> (Соединительные трубы) Жидкостная линия : N[9.52]</v>
      </c>
      <c r="Y59" t="str">
        <f>CONCATENATE(Y$2,": ",Y$3,list1!Y59,"]")</f>
        <v xml:space="preserve"> (Соединительные трубы) Газовая линия : N[15.88]</v>
      </c>
      <c r="Z59" t="str">
        <f>CONCATENATE(Z$2,": ",Z$3,list1!Z59,"]")</f>
        <v xml:space="preserve"> (Соединительные трубы) Максимальная длина трубопровода: N[50]</v>
      </c>
      <c r="AA59" t="str">
        <f>CONCATENATE(AA$2,": ",AA$3,list1!AA59,"]")</f>
        <v xml:space="preserve"> (Соединительные трубы) Максимальный перепад высот: S[30]</v>
      </c>
      <c r="AB59" t="str">
        <f>CONCATENATE(AB$2,": ",AB$3,list1!AB59,"]")</f>
        <v xml:space="preserve"> (Допустимая темп. наружного воздуха) Охлаждение: S[от -15 до +46]</v>
      </c>
      <c r="AC59" t="str">
        <f>CONCATENATE(AC$2,": ",AC$3,list1!AC59,"]")</f>
        <v xml:space="preserve"> (Допустимая темп. наружного воздуха) Обогрев: S[от -15 до +24]</v>
      </c>
      <c r="AD59" s="6" t="s">
        <v>5245</v>
      </c>
    </row>
    <row r="60" spans="1:30" x14ac:dyDescent="0.25">
      <c r="A60" t="str">
        <f>CONCATENATE(A$2,": ",A$3,list1!A60,"]")</f>
        <v>Производитель: E[FUJITSU]</v>
      </c>
      <c r="B60" t="str">
        <f>CONCATENATE(B$2,": ",B$3,list1!B60,"]")</f>
        <v xml:space="preserve"> Тип: S[Канальные]</v>
      </c>
      <c r="C60" t="str">
        <f>CONCATENATE(C$2,": ",C$3,list1!C60,"]")</f>
        <v xml:space="preserve"> (Сплит система) Холодопроизводительность: N[12.5]</v>
      </c>
      <c r="D60" t="str">
        <f>CONCATENATE(D$2,": ",D$3,list1!D60,"]")</f>
        <v xml:space="preserve"> (Сплит система) Площадь помещения: N[120]</v>
      </c>
      <c r="E60" t="str">
        <f>CONCATENATE(E$2,": ",E$3,list1!E60,"]")</f>
        <v xml:space="preserve"> (Сплит система) Инвентор: S[да]</v>
      </c>
      <c r="F60" t="str">
        <f>CONCATENATE(F$2,": ",F$3,list1!F60,"]")</f>
        <v xml:space="preserve"> (Сплит система) Теплопроизводительность: N[14]</v>
      </c>
      <c r="G60" t="str">
        <f>CONCATENATE(G$2,": ",G$3,list1!G60,"]")</f>
        <v xml:space="preserve"> (Потребляемая мощность) Охлаждение: N[4.06]</v>
      </c>
      <c r="H60" t="str">
        <f>CONCATENATE(H$2,": ",H$3,list1!H60,"]")</f>
        <v xml:space="preserve"> (Потребляемая мощность) Обогрев: S[3.67]</v>
      </c>
      <c r="I60" t="str">
        <f>CONCATENATE(I$2,": ",I$3,list1!I60,"]")</f>
        <v xml:space="preserve"> (Рабочий ток) Охлаждение: S[]</v>
      </c>
      <c r="J60" t="str">
        <f>CONCATENATE(J$2,": ",J$3,list1!J60,"]")</f>
        <v xml:space="preserve"> (Рабочий ток) Обогрев: S[]</v>
      </c>
      <c r="K60" t="str">
        <f>CONCATENATE(K$2,": ",K$3,list1!K60,"]")</f>
        <v xml:space="preserve"> (Рабочий ток) Напряжение / Частота источника питания: S[3 / 400 / 50]</v>
      </c>
      <c r="L60" t="str">
        <f>CONCATENATE(L$2,": ",L$3,list1!L60,"]")</f>
        <v xml:space="preserve"> (Рабочий ток) Хладагент: S[R410A]</v>
      </c>
      <c r="M60" t="str">
        <f>CONCATENATE(M$2,": ",M$3,list1!M60,"]")</f>
        <v xml:space="preserve"> (Рабочий ток) Количество хладагента: N[]</v>
      </c>
      <c r="N60" t="str">
        <f>CONCATENATE(N$2,": ",N$3,list1!N60,"]")</f>
        <v xml:space="preserve"> (Рабочий ток) Объем рециркулируемого воздуха внутреннего блока: S[]</v>
      </c>
      <c r="O60" t="str">
        <f>CONCATENATE(O$2,": ",O$3,list1!O60,"]")</f>
        <v xml:space="preserve"> (Внутренний блок) Размеры (Ш x Г x В): S[1050 х 400 х 500]</v>
      </c>
      <c r="P60" t="str">
        <f>CONCATENATE(P$2,": ",P$3,list1!P60,"]")</f>
        <v xml:space="preserve"> (Внутренний блок) Упаковка (Ш x Г x В): S[1230 х 640 х 460]</v>
      </c>
      <c r="Q60" t="str">
        <f>CONCATENATE(Q$2,": ",Q$3,list1!Q60,"]")</f>
        <v xml:space="preserve"> (Внутренний блок) Масса (нетто / брутто): S[46 / 51]</v>
      </c>
      <c r="R60" t="str">
        <f>CONCATENATE(R$2,": ",R$3,list1!R60,"]")</f>
        <v xml:space="preserve"> (Внутренний блок) Уровень шума мин. / макс.: S[40/43/47]</v>
      </c>
      <c r="S60" t="str">
        <f>CONCATENATE(S$2,": ",S$3,list1!S60,"]")</f>
        <v xml:space="preserve"> (Наружный блок) Марка компрессора: S[TOSHIBA]</v>
      </c>
      <c r="T60" t="str">
        <f>CONCATENATE(T$2,": ",T$3,list1!T60,"]")</f>
        <v xml:space="preserve"> (Наружный блок) Размеры (Ш x Г x В): S[900 х 330 х 1290]</v>
      </c>
      <c r="U60" t="str">
        <f>CONCATENATE(U$2,": ",U$3,list1!U60,"]")</f>
        <v xml:space="preserve"> (Наружный блок) Упаковка (Ш x Г x В): S[1050 х 445 х 1460]</v>
      </c>
      <c r="V60" t="str">
        <f>CONCATENATE(V$2,": ",V$3,list1!V60,"]")</f>
        <v xml:space="preserve"> (Наружный блок) Масса (нетто / брутто): S[104/114]</v>
      </c>
      <c r="W60" t="str">
        <f>CONCATENATE(W$2,": ",W$3,list1!W60,"]")</f>
        <v xml:space="preserve"> (Наружный блок) Максимальный уровень шума: N[]</v>
      </c>
      <c r="X60" t="str">
        <f>CONCATENATE(X$2,": ",X$3,list1!X60,"]")</f>
        <v xml:space="preserve"> (Соединительные трубы) Жидкостная линия : N[9.52]</v>
      </c>
      <c r="Y60" t="str">
        <f>CONCATENATE(Y$2,": ",Y$3,list1!Y60,"]")</f>
        <v xml:space="preserve"> (Соединительные трубы) Газовая линия : N[15.88]</v>
      </c>
      <c r="Z60" t="str">
        <f>CONCATENATE(Z$2,": ",Z$3,list1!Z60,"]")</f>
        <v xml:space="preserve"> (Соединительные трубы) Максимальная длина трубопровода: N[75]</v>
      </c>
      <c r="AA60" t="str">
        <f>CONCATENATE(AA$2,": ",AA$3,list1!AA60,"]")</f>
        <v xml:space="preserve"> (Соединительные трубы) Максимальный перепад высот: S[30]</v>
      </c>
      <c r="AB60" t="str">
        <f>CONCATENATE(AB$2,": ",AB$3,list1!AB60,"]")</f>
        <v xml:space="preserve"> (Допустимая темп. наружного воздуха) Охлаждение: S[от -15 до +46]</v>
      </c>
      <c r="AC60" t="str">
        <f>CONCATENATE(AC$2,": ",AC$3,list1!AC60,"]")</f>
        <v xml:space="preserve"> (Допустимая темп. наружного воздуха) Обогрев: S[от -15 до +24]</v>
      </c>
      <c r="AD60" s="6" t="s">
        <v>5245</v>
      </c>
    </row>
    <row r="61" spans="1:30" x14ac:dyDescent="0.25">
      <c r="A61" t="str">
        <f>CONCATENATE(A$2,": ",A$3,list1!A61,"]")</f>
        <v>Производитель: E[FUJITSU]</v>
      </c>
      <c r="B61" t="str">
        <f>CONCATENATE(B$2,": ",B$3,list1!B61,"]")</f>
        <v xml:space="preserve"> Тип: S[Канальные]</v>
      </c>
      <c r="C61" t="str">
        <f>CONCATENATE(C$2,": ",C$3,list1!C61,"]")</f>
        <v xml:space="preserve"> (Сплит система) Холодопроизводительность: N[12.5]</v>
      </c>
      <c r="D61" t="str">
        <f>CONCATENATE(D$2,": ",D$3,list1!D61,"]")</f>
        <v xml:space="preserve"> (Сплит система) Площадь помещения: N[120]</v>
      </c>
      <c r="E61" t="str">
        <f>CONCATENATE(E$2,": ",E$3,list1!E61,"]")</f>
        <v xml:space="preserve"> (Сплит система) Инвентор: S[да]</v>
      </c>
      <c r="F61" t="str">
        <f>CONCATENATE(F$2,": ",F$3,list1!F61,"]")</f>
        <v xml:space="preserve"> (Сплит система) Теплопроизводительность: N[14]</v>
      </c>
      <c r="G61" t="str">
        <f>CONCATENATE(G$2,": ",G$3,list1!G61,"]")</f>
        <v xml:space="preserve"> (Потребляемая мощность) Охлаждение: N[4.3]</v>
      </c>
      <c r="H61" t="str">
        <f>CONCATENATE(H$2,": ",H$3,list1!H61,"]")</f>
        <v xml:space="preserve"> (Потребляемая мощность) Обогрев: S[3.8]</v>
      </c>
      <c r="I61" t="str">
        <f>CONCATENATE(I$2,": ",I$3,list1!I61,"]")</f>
        <v xml:space="preserve"> (Рабочий ток) Охлаждение: S[]</v>
      </c>
      <c r="J61" t="str">
        <f>CONCATENATE(J$2,": ",J$3,list1!J61,"]")</f>
        <v xml:space="preserve"> (Рабочий ток) Обогрев: S[]</v>
      </c>
      <c r="K61" t="str">
        <f>CONCATENATE(K$2,": ",K$3,list1!K61,"]")</f>
        <v xml:space="preserve"> (Рабочий ток) Напряжение / Частота источника питания: S[1 / 220 / 50]</v>
      </c>
      <c r="L61" t="str">
        <f>CONCATENATE(L$2,": ",L$3,list1!L61,"]")</f>
        <v xml:space="preserve"> (Рабочий ток) Хладагент: S[R410A]</v>
      </c>
      <c r="M61" t="str">
        <f>CONCATENATE(M$2,": ",M$3,list1!M61,"]")</f>
        <v xml:space="preserve"> (Рабочий ток) Количество хладагента: N[]</v>
      </c>
      <c r="N61" t="str">
        <f>CONCATENATE(N$2,": ",N$3,list1!N61,"]")</f>
        <v xml:space="preserve"> (Рабочий ток) Объем рециркулируемого воздуха внутреннего блока: S[]</v>
      </c>
      <c r="O61" t="str">
        <f>CONCATENATE(O$2,": ",O$3,list1!O61,"]")</f>
        <v xml:space="preserve"> (Внутренний блок) Размеры (Ш x Г x В): S[1050 х 400 х 500]</v>
      </c>
      <c r="P61" t="str">
        <f>CONCATENATE(P$2,": ",P$3,list1!P61,"]")</f>
        <v xml:space="preserve"> (Внутренний блок) Упаковка (Ш x Г x В): S[1230 х 640 х 460]</v>
      </c>
      <c r="Q61" t="str">
        <f>CONCATENATE(Q$2,": ",Q$3,list1!Q61,"]")</f>
        <v xml:space="preserve"> (Внутренний блок) Масса (нетто / брутто): S[46 / 51]</v>
      </c>
      <c r="R61" t="str">
        <f>CONCATENATE(R$2,": ",R$3,list1!R61,"]")</f>
        <v xml:space="preserve"> (Внутренний блок) Уровень шума мин. / макс.: S[40/43/47]</v>
      </c>
      <c r="S61" t="str">
        <f>CONCATENATE(S$2,": ",S$3,list1!S61,"]")</f>
        <v xml:space="preserve"> (Наружный блок) Марка компрессора: S[GENERAL]</v>
      </c>
      <c r="T61" t="str">
        <f>CONCATENATE(T$2,": ",T$3,list1!T61,"]")</f>
        <v xml:space="preserve"> (Наружный блок) Размеры (Ш x Г x В): S[900 х 330 х 1290]</v>
      </c>
      <c r="U61" t="str">
        <f>CONCATENATE(U$2,": ",U$3,list1!U61,"]")</f>
        <v xml:space="preserve"> (Наружный блок) Упаковка (Ш x Г x В): S[1050 х 445 х 1460]</v>
      </c>
      <c r="V61" t="str">
        <f>CONCATENATE(V$2,": ",V$3,list1!V61,"]")</f>
        <v xml:space="preserve"> (Наружный блок) Масса (нетто / брутто): S[86/95]</v>
      </c>
      <c r="W61" t="str">
        <f>CONCATENATE(W$2,": ",W$3,list1!W61,"]")</f>
        <v xml:space="preserve"> (Наружный блок) Максимальный уровень шума: N[]</v>
      </c>
      <c r="X61" t="str">
        <f>CONCATENATE(X$2,": ",X$3,list1!X61,"]")</f>
        <v xml:space="preserve"> (Соединительные трубы) Жидкостная линия : N[9.52]</v>
      </c>
      <c r="Y61" t="str">
        <f>CONCATENATE(Y$2,": ",Y$3,list1!Y61,"]")</f>
        <v xml:space="preserve"> (Соединительные трубы) Газовая линия : N[15.88]</v>
      </c>
      <c r="Z61" t="str">
        <f>CONCATENATE(Z$2,": ",Z$3,list1!Z61,"]")</f>
        <v xml:space="preserve"> (Соединительные трубы) Максимальная длина трубопровода: N[50]</v>
      </c>
      <c r="AA61" t="str">
        <f>CONCATENATE(AA$2,": ",AA$3,list1!AA61,"]")</f>
        <v xml:space="preserve"> (Соединительные трубы) Максимальный перепад высот: S[30]</v>
      </c>
      <c r="AB61" t="str">
        <f>CONCATENATE(AB$2,": ",AB$3,list1!AB61,"]")</f>
        <v xml:space="preserve"> (Допустимая темп. наружного воздуха) Охлаждение: S[от -15 до +46]</v>
      </c>
      <c r="AC61" t="str">
        <f>CONCATENATE(AC$2,": ",AC$3,list1!AC61,"]")</f>
        <v xml:space="preserve"> (Допустимая темп. наружного воздуха) Обогрев: S[от -15 до +24]</v>
      </c>
      <c r="AD61" s="6" t="s">
        <v>5245</v>
      </c>
    </row>
    <row r="62" spans="1:30" x14ac:dyDescent="0.25">
      <c r="A62" t="str">
        <f>CONCATENATE(A$2,": ",A$3,list1!A62,"]")</f>
        <v>Производитель: E[FUJITSU]</v>
      </c>
      <c r="B62" t="str">
        <f>CONCATENATE(B$2,": ",B$3,list1!B62,"]")</f>
        <v xml:space="preserve"> Тип: S[Канальные]</v>
      </c>
      <c r="C62" t="str">
        <f>CONCATENATE(C$2,": ",C$3,list1!C62,"]")</f>
        <v xml:space="preserve"> (Сплит система) Холодопроизводительность: N[14]</v>
      </c>
      <c r="D62" t="str">
        <f>CONCATENATE(D$2,": ",D$3,list1!D62,"]")</f>
        <v xml:space="preserve"> (Сплит система) Площадь помещения: N[140]</v>
      </c>
      <c r="E62" t="str">
        <f>CONCATENATE(E$2,": ",E$3,list1!E62,"]")</f>
        <v xml:space="preserve"> (Сплит система) Инвентор: S[да]</v>
      </c>
      <c r="F62" t="str">
        <f>CONCATENATE(F$2,": ",F$3,list1!F62,"]")</f>
        <v xml:space="preserve"> (Сплит система) Теплопроизводительность: N[16]</v>
      </c>
      <c r="G62" t="str">
        <f>CONCATENATE(G$2,": ",G$3,list1!G62,"]")</f>
        <v xml:space="preserve"> (Потребляемая мощность) Охлаждение: N[4.65]</v>
      </c>
      <c r="H62" t="str">
        <f>CONCATENATE(H$2,": ",H$3,list1!H62,"]")</f>
        <v xml:space="preserve"> (Потребляемая мощность) Обогрев: S[4.37]</v>
      </c>
      <c r="I62" t="str">
        <f>CONCATENATE(I$2,": ",I$3,list1!I62,"]")</f>
        <v xml:space="preserve"> (Рабочий ток) Охлаждение: S[]</v>
      </c>
      <c r="J62" t="str">
        <f>CONCATENATE(J$2,": ",J$3,list1!J62,"]")</f>
        <v xml:space="preserve"> (Рабочий ток) Обогрев: S[]</v>
      </c>
      <c r="K62" t="str">
        <f>CONCATENATE(K$2,": ",K$3,list1!K62,"]")</f>
        <v xml:space="preserve"> (Рабочий ток) Напряжение / Частота источника питания: S[3 / 400 / 50]</v>
      </c>
      <c r="L62" t="str">
        <f>CONCATENATE(L$2,": ",L$3,list1!L62,"]")</f>
        <v xml:space="preserve"> (Рабочий ток) Хладагент: S[R410A]</v>
      </c>
      <c r="M62" t="str">
        <f>CONCATENATE(M$2,": ",M$3,list1!M62,"]")</f>
        <v xml:space="preserve"> (Рабочий ток) Количество хладагента: N[]</v>
      </c>
      <c r="N62" t="str">
        <f>CONCATENATE(N$2,": ",N$3,list1!N62,"]")</f>
        <v xml:space="preserve"> (Рабочий ток) Объем рециркулируемого воздуха внутреннего блока: S[]</v>
      </c>
      <c r="O62" t="str">
        <f>CONCATENATE(O$2,": ",O$3,list1!O62,"]")</f>
        <v xml:space="preserve"> (Внутренний блок) Размеры (Ш x Г x В): S[1050 х 400 х 500]</v>
      </c>
      <c r="P62" t="str">
        <f>CONCATENATE(P$2,": ",P$3,list1!P62,"]")</f>
        <v xml:space="preserve"> (Внутренний блок) Упаковка (Ш x Г x В): S[1230 х 640 х 460]</v>
      </c>
      <c r="Q62" t="str">
        <f>CONCATENATE(Q$2,": ",Q$3,list1!Q62,"]")</f>
        <v xml:space="preserve"> (Внутренний блок) Масса (нетто / брутто): S[46 / 51]</v>
      </c>
      <c r="R62" t="str">
        <f>CONCATENATE(R$2,": ",R$3,list1!R62,"]")</f>
        <v xml:space="preserve"> (Внутренний блок) Уровень шума мин. / макс.: S[40/43/47]</v>
      </c>
      <c r="S62" t="str">
        <f>CONCATENATE(S$2,": ",S$3,list1!S62,"]")</f>
        <v xml:space="preserve"> (Наружный блок) Марка компрессора: S[TOSHIBA]</v>
      </c>
      <c r="T62" t="str">
        <f>CONCATENATE(T$2,": ",T$3,list1!T62,"]")</f>
        <v xml:space="preserve"> (Наружный блок) Размеры (Ш x Г x В): S[900 х 330 х 1290]</v>
      </c>
      <c r="U62" t="str">
        <f>CONCATENATE(U$2,": ",U$3,list1!U62,"]")</f>
        <v xml:space="preserve"> (Наружный блок) Упаковка (Ш x Г x В): S[1050 х 445 х 1460]</v>
      </c>
      <c r="V62" t="str">
        <f>CONCATENATE(V$2,": ",V$3,list1!V62,"]")</f>
        <v xml:space="preserve"> (Наружный блок) Масса (нетто / брутто): S[104/114]</v>
      </c>
      <c r="W62" t="str">
        <f>CONCATENATE(W$2,": ",W$3,list1!W62,"]")</f>
        <v xml:space="preserve"> (Наружный блок) Максимальный уровень шума: N[]</v>
      </c>
      <c r="X62" t="str">
        <f>CONCATENATE(X$2,": ",X$3,list1!X62,"]")</f>
        <v xml:space="preserve"> (Соединительные трубы) Жидкостная линия : N[9.52]</v>
      </c>
      <c r="Y62" t="str">
        <f>CONCATENATE(Y$2,": ",Y$3,list1!Y62,"]")</f>
        <v xml:space="preserve"> (Соединительные трубы) Газовая линия : N[15.88]</v>
      </c>
      <c r="Z62" t="str">
        <f>CONCATENATE(Z$2,": ",Z$3,list1!Z62,"]")</f>
        <v xml:space="preserve"> (Соединительные трубы) Максимальная длина трубопровода: N[75]</v>
      </c>
      <c r="AA62" t="str">
        <f>CONCATENATE(AA$2,": ",AA$3,list1!AA62,"]")</f>
        <v xml:space="preserve"> (Соединительные трубы) Максимальный перепад высот: S[30]</v>
      </c>
      <c r="AB62" t="str">
        <f>CONCATENATE(AB$2,": ",AB$3,list1!AB62,"]")</f>
        <v xml:space="preserve"> (Допустимая темп. наружного воздуха) Охлаждение: S[от -15 до +46]</v>
      </c>
      <c r="AC62" t="str">
        <f>CONCATENATE(AC$2,": ",AC$3,list1!AC62,"]")</f>
        <v xml:space="preserve"> (Допустимая темп. наружного воздуха) Обогрев: S[от -15 до +24]</v>
      </c>
      <c r="AD62" s="6" t="s">
        <v>5245</v>
      </c>
    </row>
    <row r="63" spans="1:30" x14ac:dyDescent="0.25">
      <c r="A63" t="str">
        <f>CONCATENATE(A$2,": ",A$3,list1!A63,"]")</f>
        <v>Производитель: E[FUJITSU]</v>
      </c>
      <c r="B63" t="str">
        <f>CONCATENATE(B$2,": ",B$3,list1!B63,"]")</f>
        <v xml:space="preserve"> Тип: S[Канальные]</v>
      </c>
      <c r="C63" t="str">
        <f>CONCATENATE(C$2,": ",C$3,list1!C63,"]")</f>
        <v xml:space="preserve"> (Сплит система) Холодопроизводительность: N[]</v>
      </c>
      <c r="D63" t="str">
        <f>CONCATENATE(D$2,": ",D$3,list1!D63,"]")</f>
        <v xml:space="preserve"> (Сплит система) Площадь помещения: N[]</v>
      </c>
      <c r="E63" t="str">
        <f>CONCATENATE(E$2,": ",E$3,list1!E63,"]")</f>
        <v xml:space="preserve"> (Сплит система) Инвентор: S[да]</v>
      </c>
      <c r="F63" t="str">
        <f>CONCATENATE(F$2,": ",F$3,list1!F63,"]")</f>
        <v xml:space="preserve"> (Сплит система) Теплопроизводительность: N[]</v>
      </c>
      <c r="G63" t="str">
        <f>CONCATENATE(G$2,": ",G$3,list1!G63,"]")</f>
        <v xml:space="preserve"> (Потребляемая мощность) Охлаждение: N[]</v>
      </c>
      <c r="H63" t="str">
        <f>CONCATENATE(H$2,": ",H$3,list1!H63,"]")</f>
        <v xml:space="preserve"> (Потребляемая мощность) Обогрев: S[]</v>
      </c>
      <c r="I63" t="str">
        <f>CONCATENATE(I$2,": ",I$3,list1!I63,"]")</f>
        <v xml:space="preserve"> (Рабочий ток) Охлаждение: S[]</v>
      </c>
      <c r="J63" t="str">
        <f>CONCATENATE(J$2,": ",J$3,list1!J63,"]")</f>
        <v xml:space="preserve"> (Рабочий ток) Обогрев: S[]</v>
      </c>
      <c r="K63" t="str">
        <f>CONCATENATE(K$2,": ",K$3,list1!K63,"]")</f>
        <v xml:space="preserve"> (Рабочий ток) Напряжение / Частота источника питания: S[]</v>
      </c>
      <c r="L63" t="str">
        <f>CONCATENATE(L$2,": ",L$3,list1!L63,"]")</f>
        <v xml:space="preserve"> (Рабочий ток) Хладагент: S[]</v>
      </c>
      <c r="M63" t="str">
        <f>CONCATENATE(M$2,": ",M$3,list1!M63,"]")</f>
        <v xml:space="preserve"> (Рабочий ток) Количество хладагента: N[]</v>
      </c>
      <c r="N63" t="str">
        <f>CONCATENATE(N$2,": ",N$3,list1!N63,"]")</f>
        <v xml:space="preserve"> (Рабочий ток) Объем рециркулируемого воздуха внутреннего блока: S[]</v>
      </c>
      <c r="O63" t="str">
        <f>CONCATENATE(O$2,": ",O$3,list1!O63,"]")</f>
        <v xml:space="preserve"> (Внутренний блок) Размеры (Ш x Г x В): S[1050 х 400 х 500]</v>
      </c>
      <c r="P63" t="str">
        <f>CONCATENATE(P$2,": ",P$3,list1!P63,"]")</f>
        <v xml:space="preserve"> (Внутренний блок) Упаковка (Ш x Г x В): S[1230 х 640 х 460]</v>
      </c>
      <c r="Q63" t="str">
        <f>CONCATENATE(Q$2,": ",Q$3,list1!Q63,"]")</f>
        <v xml:space="preserve"> (Внутренний блок) Масса (нетто / брутто): S[46 / 51]</v>
      </c>
      <c r="R63" t="str">
        <f>CONCATENATE(R$2,": ",R$3,list1!R63,"]")</f>
        <v xml:space="preserve"> (Внутренний блок) Уровень шума мин. / макс.: S[]</v>
      </c>
      <c r="S63" t="str">
        <f>CONCATENATE(S$2,": ",S$3,list1!S63,"]")</f>
        <v xml:space="preserve"> (Наружный блок) Марка компрессора: S[]</v>
      </c>
      <c r="T63" t="str">
        <f>CONCATENATE(T$2,": ",T$3,list1!T63,"]")</f>
        <v xml:space="preserve"> (Наружный блок) Размеры (Ш x Г x В): S[900 х 330 х 1290]</v>
      </c>
      <c r="U63" t="str">
        <f>CONCATENATE(U$2,": ",U$3,list1!U63,"]")</f>
        <v xml:space="preserve"> (Наружный блок) Упаковка (Ш x Г x В): S[1050 х 445 х 1460]</v>
      </c>
      <c r="V63" t="str">
        <f>CONCATENATE(V$2,": ",V$3,list1!V63,"]")</f>
        <v xml:space="preserve"> (Наружный блок) Масса (нетто / брутто): S[86/95]</v>
      </c>
      <c r="W63" t="str">
        <f>CONCATENATE(W$2,": ",W$3,list1!W63,"]")</f>
        <v xml:space="preserve"> (Наружный блок) Максимальный уровень шума: N[]</v>
      </c>
      <c r="X63" t="str">
        <f>CONCATENATE(X$2,": ",X$3,list1!X63,"]")</f>
        <v xml:space="preserve"> (Соединительные трубы) Жидкостная линия : N[]</v>
      </c>
      <c r="Y63" t="str">
        <f>CONCATENATE(Y$2,": ",Y$3,list1!Y63,"]")</f>
        <v xml:space="preserve"> (Соединительные трубы) Газовая линия : N[]</v>
      </c>
      <c r="Z63" t="str">
        <f>CONCATENATE(Z$2,": ",Z$3,list1!Z63,"]")</f>
        <v xml:space="preserve"> (Соединительные трубы) Максимальная длина трубопровода: N[]</v>
      </c>
      <c r="AA63" t="str">
        <f>CONCATENATE(AA$2,": ",AA$3,list1!AA63,"]")</f>
        <v xml:space="preserve"> (Соединительные трубы) Максимальный перепад высот: S[]</v>
      </c>
      <c r="AB63" t="str">
        <f>CONCATENATE(AB$2,": ",AB$3,list1!AB63,"]")</f>
        <v xml:space="preserve"> (Допустимая темп. наружного воздуха) Охлаждение: S[]</v>
      </c>
      <c r="AC63" t="str">
        <f>CONCATENATE(AC$2,": ",AC$3,list1!AC63,"]")</f>
        <v xml:space="preserve"> (Допустимая темп. наружного воздуха) Обогрев: S[]</v>
      </c>
      <c r="AD63" s="6" t="s">
        <v>5245</v>
      </c>
    </row>
    <row r="64" spans="1:30" x14ac:dyDescent="0.25">
      <c r="A64" t="str">
        <f>CONCATENATE(A$2,": ",A$3,list1!A64,"]")</f>
        <v>Производитель: E[FUJITSU]</v>
      </c>
      <c r="B64" t="str">
        <f>CONCATENATE(B$2,": ",B$3,list1!B64,"]")</f>
        <v xml:space="preserve"> Тип: S[Канальные]</v>
      </c>
      <c r="C64" t="str">
        <f>CONCATENATE(C$2,": ",C$3,list1!C64,"]")</f>
        <v xml:space="preserve"> (Сплит система) Холодопроизводительность: N[15]</v>
      </c>
      <c r="D64" t="str">
        <f>CONCATENATE(D$2,": ",D$3,list1!D64,"]")</f>
        <v xml:space="preserve"> (Сплит система) Площадь помещения: N[150]</v>
      </c>
      <c r="E64" t="str">
        <f>CONCATENATE(E$2,": ",E$3,list1!E64,"]")</f>
        <v xml:space="preserve"> (Сплит система) Инвентор: S[да]</v>
      </c>
      <c r="F64" t="str">
        <f>CONCATENATE(F$2,": ",F$3,list1!F64,"]")</f>
        <v xml:space="preserve"> (Сплит система) Теплопроизводительность: N[18]</v>
      </c>
      <c r="G64" t="str">
        <f>CONCATENATE(G$2,": ",G$3,list1!G64,"]")</f>
        <v xml:space="preserve"> (Потребляемая мощность) Охлаждение: N[4.7]</v>
      </c>
      <c r="H64" t="str">
        <f>CONCATENATE(H$2,": ",H$3,list1!H64,"]")</f>
        <v xml:space="preserve"> (Потребляемая мощность) Обогрев: S[5.15]</v>
      </c>
      <c r="I64" t="str">
        <f>CONCATENATE(I$2,": ",I$3,list1!I64,"]")</f>
        <v xml:space="preserve"> (Рабочий ток) Охлаждение: S[]</v>
      </c>
      <c r="J64" t="str">
        <f>CONCATENATE(J$2,": ",J$3,list1!J64,"]")</f>
        <v xml:space="preserve"> (Рабочий ток) Обогрев: S[]</v>
      </c>
      <c r="K64" t="str">
        <f>CONCATENATE(K$2,": ",K$3,list1!K64,"]")</f>
        <v xml:space="preserve"> (Рабочий ток) Напряжение / Частота источника питания: S[3 / 400 / 50]</v>
      </c>
      <c r="L64" t="str">
        <f>CONCATENATE(L$2,": ",L$3,list1!L64,"]")</f>
        <v xml:space="preserve"> (Рабочий ток) Хладагент: S[R410A]</v>
      </c>
      <c r="M64" t="str">
        <f>CONCATENATE(M$2,": ",M$3,list1!M64,"]")</f>
        <v xml:space="preserve"> (Рабочий ток) Количество хладагента: N[]</v>
      </c>
      <c r="N64" t="str">
        <f>CONCATENATE(N$2,": ",N$3,list1!N64,"]")</f>
        <v xml:space="preserve"> (Рабочий ток) Объем рециркулируемого воздуха внутреннего блока: S[]</v>
      </c>
      <c r="O64" t="str">
        <f>CONCATENATE(O$2,": ",O$3,list1!O64,"]")</f>
        <v xml:space="preserve"> (Внутренний блок) Размеры (Ш x Г x В): S[1250 х 425 х 490]</v>
      </c>
      <c r="P64" t="str">
        <f>CONCATENATE(P$2,": ",P$3,list1!P64,"]")</f>
        <v xml:space="preserve"> (Внутренний блок) Упаковка (Ш x Г x В): S[1440 х 655 х 490]</v>
      </c>
      <c r="Q64" t="str">
        <f>CONCATENATE(Q$2,": ",Q$3,list1!Q64,"]")</f>
        <v xml:space="preserve"> (Внутренний блок) Масса (нетто / брутто): S[54 / 61]</v>
      </c>
      <c r="R64" t="str">
        <f>CONCATENATE(R$2,": ",R$3,list1!R64,"]")</f>
        <v xml:space="preserve"> (Внутренний блок) Уровень шума мин. / макс.: S[36/40/45]</v>
      </c>
      <c r="S64" t="str">
        <f>CONCATENATE(S$2,": ",S$3,list1!S64,"]")</f>
        <v xml:space="preserve"> (Наружный блок) Марка компрессора: S[TOSHIBA]</v>
      </c>
      <c r="T64" t="str">
        <f>CONCATENATE(T$2,": ",T$3,list1!T64,"]")</f>
        <v xml:space="preserve"> (Наружный блок) Размеры (Ш x Г x В): S[900 х 330 х 1290]</v>
      </c>
      <c r="U64" t="str">
        <f>CONCATENATE(U$2,": ",U$3,list1!U64,"]")</f>
        <v xml:space="preserve"> (Наружный блок) Упаковка (Ш x Г x В): S[1050 х 445 х 1460]</v>
      </c>
      <c r="V64" t="str">
        <f>CONCATENATE(V$2,": ",V$3,list1!V64,"]")</f>
        <v xml:space="preserve"> (Наружный блок) Масса (нетто / брутто): S[104/114]</v>
      </c>
      <c r="W64" t="str">
        <f>CONCATENATE(W$2,": ",W$3,list1!W64,"]")</f>
        <v xml:space="preserve"> (Наружный блок) Максимальный уровень шума: N[]</v>
      </c>
      <c r="X64" t="str">
        <f>CONCATENATE(X$2,": ",X$3,list1!X64,"]")</f>
        <v xml:space="preserve"> (Соединительные трубы) Жидкостная линия : N[9.52]</v>
      </c>
      <c r="Y64" t="str">
        <f>CONCATENATE(Y$2,": ",Y$3,list1!Y64,"]")</f>
        <v xml:space="preserve"> (Соединительные трубы) Газовая линия : N[15.88]</v>
      </c>
      <c r="Z64" t="str">
        <f>CONCATENATE(Z$2,": ",Z$3,list1!Z64,"]")</f>
        <v xml:space="preserve"> (Соединительные трубы) Максимальная длина трубопровода: N[75]</v>
      </c>
      <c r="AA64" t="str">
        <f>CONCATENATE(AA$2,": ",AA$3,list1!AA64,"]")</f>
        <v xml:space="preserve"> (Соединительные трубы) Максимальный перепад высот: S[30]</v>
      </c>
      <c r="AB64" t="str">
        <f>CONCATENATE(AB$2,": ",AB$3,list1!AB64,"]")</f>
        <v xml:space="preserve"> (Допустимая темп. наружного воздуха) Охлаждение: S[от -15 до +46]</v>
      </c>
      <c r="AC64" t="str">
        <f>CONCATENATE(AC$2,": ",AC$3,list1!AC64,"]")</f>
        <v xml:space="preserve"> (Допустимая темп. наружного воздуха) Обогрев: S[от -15 до +24]</v>
      </c>
      <c r="AD64" s="6" t="s">
        <v>5245</v>
      </c>
    </row>
    <row r="65" spans="1:30" x14ac:dyDescent="0.25">
      <c r="A65" t="str">
        <f>CONCATENATE(A$2,": ",A$3,list1!A65,"]")</f>
        <v>Производитель: E[FUJITSU]</v>
      </c>
      <c r="B65" t="str">
        <f>CONCATENATE(B$2,": ",B$3,list1!B65,"]")</f>
        <v xml:space="preserve"> Тип: S[Канальные]</v>
      </c>
      <c r="C65" t="str">
        <f>CONCATENATE(C$2,": ",C$3,list1!C65,"]")</f>
        <v xml:space="preserve"> (Сплит система) Холодопроизводительность: N[19]</v>
      </c>
      <c r="D65" t="str">
        <f>CONCATENATE(D$2,": ",D$3,list1!D65,"]")</f>
        <v xml:space="preserve"> (Сплит система) Площадь помещения: N[190]</v>
      </c>
      <c r="E65" t="str">
        <f>CONCATENATE(E$2,": ",E$3,list1!E65,"]")</f>
        <v xml:space="preserve"> (Сплит система) Инвентор: S[да]</v>
      </c>
      <c r="F65" t="str">
        <f>CONCATENATE(F$2,": ",F$3,list1!F65,"]")</f>
        <v xml:space="preserve"> (Сплит система) Теплопроизводительность: N[22.4]</v>
      </c>
      <c r="G65" t="str">
        <f>CONCATENATE(G$2,": ",G$3,list1!G65,"]")</f>
        <v xml:space="preserve"> (Потребляемая мощность) Охлаждение: N[5.99]</v>
      </c>
      <c r="H65" t="str">
        <f>CONCATENATE(H$2,": ",H$3,list1!H65,"]")</f>
        <v xml:space="preserve"> (Потребляемая мощность) Обогрев: S[6.12]</v>
      </c>
      <c r="I65" t="str">
        <f>CONCATENATE(I$2,": ",I$3,list1!I65,"]")</f>
        <v xml:space="preserve"> (Рабочий ток) Охлаждение: S[]</v>
      </c>
      <c r="J65" t="str">
        <f>CONCATENATE(J$2,": ",J$3,list1!J65,"]")</f>
        <v xml:space="preserve"> (Рабочий ток) Обогрев: S[]</v>
      </c>
      <c r="K65" t="str">
        <f>CONCATENATE(K$2,": ",K$3,list1!K65,"]")</f>
        <v xml:space="preserve"> (Рабочий ток) Напряжение / Частота источника питания: S[3 / 400 / 50]</v>
      </c>
      <c r="L65" t="str">
        <f>CONCATENATE(L$2,": ",L$3,list1!L65,"]")</f>
        <v xml:space="preserve"> (Рабочий ток) Хладагент: S[R410A]</v>
      </c>
      <c r="M65" t="str">
        <f>CONCATENATE(M$2,": ",M$3,list1!M65,"]")</f>
        <v xml:space="preserve"> (Рабочий ток) Количество хладагента: N[]</v>
      </c>
      <c r="N65" t="str">
        <f>CONCATENATE(N$2,": ",N$3,list1!N65,"]")</f>
        <v xml:space="preserve"> (Рабочий ток) Объем рециркулируемого воздуха внутреннего блока: S[]</v>
      </c>
      <c r="O65" t="str">
        <f>CONCATENATE(O$2,": ",O$3,list1!O65,"]")</f>
        <v xml:space="preserve"> (Внутренний блок) Размеры (Ш x Г x В): S[1400 х 360 х 850]</v>
      </c>
      <c r="P65" t="str">
        <f>CONCATENATE(P$2,": ",P$3,list1!P65,"]")</f>
        <v xml:space="preserve"> (Внутренний блок) Упаковка (Ш x Г x В): S[1640 х 1030 х 460]</v>
      </c>
      <c r="Q65" t="str">
        <f>CONCATENATE(Q$2,": ",Q$3,list1!Q65,"]")</f>
        <v xml:space="preserve"> (Внутренний блок) Масса (нетто / брутто): S[69 / 80]</v>
      </c>
      <c r="R65" t="str">
        <f>CONCATENATE(R$2,": ",R$3,list1!R65,"]")</f>
        <v xml:space="preserve"> (Внутренний блок) Уровень шума мин. / макс.: S[39/41/43/46]</v>
      </c>
      <c r="S65" t="str">
        <f>CONCATENATE(S$2,": ",S$3,list1!S65,"]")</f>
        <v xml:space="preserve"> (Наружный блок) Марка компрессора: S[]</v>
      </c>
      <c r="T65" t="str">
        <f>CONCATENATE(T$2,": ",T$3,list1!T65,"]")</f>
        <v xml:space="preserve"> (Наружный блок) Размеры (Ш x Г x В): S[1080 х 480 х 1428]</v>
      </c>
      <c r="U65" t="str">
        <f>CONCATENATE(U$2,": ",U$3,list1!U65,"]")</f>
        <v xml:space="preserve"> (Наружный блок) Упаковка (Ш x Г x В): S[1174 х 600 х 1557]</v>
      </c>
      <c r="V65" t="str">
        <f>CONCATENATE(V$2,": ",V$3,list1!V65,"]")</f>
        <v xml:space="preserve"> (Наружный блок) Масса (нетто / брутто): S[163/181]</v>
      </c>
      <c r="W65" t="str">
        <f>CONCATENATE(W$2,": ",W$3,list1!W65,"]")</f>
        <v xml:space="preserve"> (Наружный блок) Максимальный уровень шума: N[]</v>
      </c>
      <c r="X65" t="str">
        <f>CONCATENATE(X$2,": ",X$3,list1!X65,"]")</f>
        <v xml:space="preserve"> (Соединительные трубы) Жидкостная линия : N[12.7]</v>
      </c>
      <c r="Y65" t="str">
        <f>CONCATENATE(Y$2,": ",Y$3,list1!Y65,"]")</f>
        <v xml:space="preserve"> (Соединительные трубы) Газовая линия : N[25.4]</v>
      </c>
      <c r="Z65" t="str">
        <f>CONCATENATE(Z$2,": ",Z$3,list1!Z65,"]")</f>
        <v xml:space="preserve"> (Соединительные трубы) Максимальная длина трубопровода: N[100]</v>
      </c>
      <c r="AA65" t="str">
        <f>CONCATENATE(AA$2,": ",AA$3,list1!AA65,"]")</f>
        <v xml:space="preserve"> (Соединительные трубы) Максимальный перепад высот: S[30]</v>
      </c>
      <c r="AB65" t="str">
        <f>CONCATENATE(AB$2,": ",AB$3,list1!AB65,"]")</f>
        <v xml:space="preserve"> (Допустимая темп. наружного воздуха) Охлаждение: S[от -15 до +46]</v>
      </c>
      <c r="AC65" t="str">
        <f>CONCATENATE(AC$2,": ",AC$3,list1!AC65,"]")</f>
        <v xml:space="preserve"> (Допустимая темп. наружного воздуха) Обогрев: S[от -20 до +24]</v>
      </c>
      <c r="AD65" s="6" t="s">
        <v>5245</v>
      </c>
    </row>
    <row r="66" spans="1:30" x14ac:dyDescent="0.25">
      <c r="A66" t="str">
        <f>CONCATENATE(A$2,": ",A$3,list1!A66,"]")</f>
        <v>Производитель: E[FUJITSU]</v>
      </c>
      <c r="B66" t="str">
        <f>CONCATENATE(B$2,": ",B$3,list1!B66,"]")</f>
        <v xml:space="preserve"> Тип: S[Канальные]</v>
      </c>
      <c r="C66" t="str">
        <f>CONCATENATE(C$2,": ",C$3,list1!C66,"]")</f>
        <v xml:space="preserve"> (Сплит система) Холодопроизводительность: N[22]</v>
      </c>
      <c r="D66" t="str">
        <f>CONCATENATE(D$2,": ",D$3,list1!D66,"]")</f>
        <v xml:space="preserve"> (Сплит система) Площадь помещения: N[220]</v>
      </c>
      <c r="E66" t="str">
        <f>CONCATENATE(E$2,": ",E$3,list1!E66,"]")</f>
        <v xml:space="preserve"> (Сплит система) Инвентор: S[да]</v>
      </c>
      <c r="F66" t="str">
        <f>CONCATENATE(F$2,": ",F$3,list1!F66,"]")</f>
        <v xml:space="preserve"> (Сплит система) Теплопроизводительность: N[27]</v>
      </c>
      <c r="G66" t="str">
        <f>CONCATENATE(G$2,": ",G$3,list1!G66,"]")</f>
        <v xml:space="preserve"> (Потребляемая мощность) Охлаждение: N[7.24]</v>
      </c>
      <c r="H66" t="str">
        <f>CONCATENATE(H$2,": ",H$3,list1!H66,"]")</f>
        <v xml:space="preserve"> (Потребляемая мощность) Обогрев: S[7.65]</v>
      </c>
      <c r="I66" t="str">
        <f>CONCATENATE(I$2,": ",I$3,list1!I66,"]")</f>
        <v xml:space="preserve"> (Рабочий ток) Охлаждение: S[]</v>
      </c>
      <c r="J66" t="str">
        <f>CONCATENATE(J$2,": ",J$3,list1!J66,"]")</f>
        <v xml:space="preserve"> (Рабочий ток) Обогрев: S[]</v>
      </c>
      <c r="K66" t="str">
        <f>CONCATENATE(K$2,": ",K$3,list1!K66,"]")</f>
        <v xml:space="preserve"> (Рабочий ток) Напряжение / Частота источника питания: S[3 / 400 / 50]</v>
      </c>
      <c r="L66" t="str">
        <f>CONCATENATE(L$2,": ",L$3,list1!L66,"]")</f>
        <v xml:space="preserve"> (Рабочий ток) Хладагент: S[R410A]</v>
      </c>
      <c r="M66" t="str">
        <f>CONCATENATE(M$2,": ",M$3,list1!M66,"]")</f>
        <v xml:space="preserve"> (Рабочий ток) Количество хладагента: N[]</v>
      </c>
      <c r="N66" t="str">
        <f>CONCATENATE(N$2,": ",N$3,list1!N66,"]")</f>
        <v xml:space="preserve"> (Рабочий ток) Объем рециркулируемого воздуха внутреннего блока: S[]</v>
      </c>
      <c r="O66" t="str">
        <f>CONCATENATE(O$2,": ",O$3,list1!O66,"]")</f>
        <v xml:space="preserve"> (Внутренний блок) Размеры (Ш x Г x В): S[1400 х 360 х 850]</v>
      </c>
      <c r="P66" t="str">
        <f>CONCATENATE(P$2,": ",P$3,list1!P66,"]")</f>
        <v xml:space="preserve"> (Внутренний блок) Упаковка (Ш x Г x В): S[1640 х 1030 х 460]</v>
      </c>
      <c r="Q66" t="str">
        <f>CONCATENATE(Q$2,": ",Q$3,list1!Q66,"]")</f>
        <v xml:space="preserve"> (Внутренний блок) Масса (нетто / брутто): S[80 / 91]</v>
      </c>
      <c r="R66" t="str">
        <f>CONCATENATE(R$2,": ",R$3,list1!R66,"]")</f>
        <v xml:space="preserve"> (Внутренний блок) Уровень шума мин. / макс.: S[40/42/44/47]</v>
      </c>
      <c r="S66" t="str">
        <f>CONCATENATE(S$2,": ",S$3,list1!S66,"]")</f>
        <v xml:space="preserve"> (Наружный блок) Марка компрессора: S[]</v>
      </c>
      <c r="T66" t="str">
        <f>CONCATENATE(T$2,": ",T$3,list1!T66,"]")</f>
        <v xml:space="preserve"> (Наружный блок) Размеры (Ш x Г x В): S[1080 х 480 х 1428]</v>
      </c>
      <c r="U66" t="str">
        <f>CONCATENATE(U$2,": ",U$3,list1!U66,"]")</f>
        <v xml:space="preserve"> (Наружный блок) Упаковка (Ш x Г x В): S[1174 х 600 х 1557]</v>
      </c>
      <c r="V66" t="str">
        <f>CONCATENATE(V$2,": ",V$3,list1!V66,"]")</f>
        <v xml:space="preserve"> (Наружный блок) Масса (нетто / брутто): S[172/190]</v>
      </c>
      <c r="W66" t="str">
        <f>CONCATENATE(W$2,": ",W$3,list1!W66,"]")</f>
        <v xml:space="preserve"> (Наружный блок) Максимальный уровень шума: N[]</v>
      </c>
      <c r="X66" t="str">
        <f>CONCATENATE(X$2,": ",X$3,list1!X66,"]")</f>
        <v xml:space="preserve"> (Соединительные трубы) Жидкостная линия : N[12.7]</v>
      </c>
      <c r="Y66" t="str">
        <f>CONCATENATE(Y$2,": ",Y$3,list1!Y66,"]")</f>
        <v xml:space="preserve"> (Соединительные трубы) Газовая линия : N[25.4]</v>
      </c>
      <c r="Z66" t="str">
        <f>CONCATENATE(Z$2,": ",Z$3,list1!Z66,"]")</f>
        <v xml:space="preserve"> (Соединительные трубы) Максимальная длина трубопровода: N[100]</v>
      </c>
      <c r="AA66" t="str">
        <f>CONCATENATE(AA$2,": ",AA$3,list1!AA66,"]")</f>
        <v xml:space="preserve"> (Соединительные трубы) Максимальный перепад высот: S[30]</v>
      </c>
      <c r="AB66" t="str">
        <f>CONCATENATE(AB$2,": ",AB$3,list1!AB66,"]")</f>
        <v xml:space="preserve"> (Допустимая темп. наружного воздуха) Охлаждение: S[от -15 до +46]</v>
      </c>
      <c r="AC66" t="str">
        <f>CONCATENATE(AC$2,": ",AC$3,list1!AC66,"]")</f>
        <v xml:space="preserve"> (Допустимая темп. наружного воздуха) Обогрев: S[от -20 до +24]</v>
      </c>
      <c r="AD66" s="6" t="s">
        <v>5245</v>
      </c>
    </row>
    <row r="67" spans="1:30" x14ac:dyDescent="0.25">
      <c r="A67" t="str">
        <f>CONCATENATE(A$2,": ",A$3,list1!A67,"]")</f>
        <v>Производитель: E[FUJITSU]</v>
      </c>
      <c r="B67" t="str">
        <f>CONCATENATE(B$2,": ",B$3,list1!B67,"]")</f>
        <v xml:space="preserve"> Тип: S[Канальные]</v>
      </c>
      <c r="C67" t="str">
        <f>CONCATENATE(C$2,": ",C$3,list1!C67,"]")</f>
        <v xml:space="preserve"> (Сплит система) Холодопроизводительность: N[2.5]</v>
      </c>
      <c r="D67" t="str">
        <f>CONCATENATE(D$2,": ",D$3,list1!D67,"]")</f>
        <v xml:space="preserve"> (Сплит система) Площадь помещения: N[25]</v>
      </c>
      <c r="E67" t="str">
        <f>CONCATENATE(E$2,": ",E$3,list1!E67,"]")</f>
        <v xml:space="preserve"> (Сплит система) Инвентор: S[да]</v>
      </c>
      <c r="F67" t="str">
        <f>CONCATENATE(F$2,": ",F$3,list1!F67,"]")</f>
        <v xml:space="preserve"> (Сплит система) Теплопроизводительность: N[3.2]</v>
      </c>
      <c r="G67" t="str">
        <f>CONCATENATE(G$2,": ",G$3,list1!G67,"]")</f>
        <v xml:space="preserve"> (Потребляемая мощность) Охлаждение: N[0.69]</v>
      </c>
      <c r="H67" t="str">
        <f>CONCATENATE(H$2,": ",H$3,list1!H67,"]")</f>
        <v xml:space="preserve"> (Потребляемая мощность) Обогрев: S[0.88]</v>
      </c>
      <c r="I67" t="str">
        <f>CONCATENATE(I$2,": ",I$3,list1!I67,"]")</f>
        <v xml:space="preserve"> (Рабочий ток) Охлаждение: S[]</v>
      </c>
      <c r="J67" t="str">
        <f>CONCATENATE(J$2,": ",J$3,list1!J67,"]")</f>
        <v xml:space="preserve"> (Рабочий ток) Обогрев: S[]</v>
      </c>
      <c r="K67" t="str">
        <f>CONCATENATE(K$2,": ",K$3,list1!K67,"]")</f>
        <v xml:space="preserve"> (Рабочий ток) Напряжение / Частота источника питания: S[1 / 230 / 50]</v>
      </c>
      <c r="L67" t="str">
        <f>CONCATENATE(L$2,": ",L$3,list1!L67,"]")</f>
        <v xml:space="preserve"> (Рабочий ток) Хладагент: S[R32]</v>
      </c>
      <c r="M67" t="str">
        <f>CONCATENATE(M$2,": ",M$3,list1!M67,"]")</f>
        <v xml:space="preserve"> (Рабочий ток) Количество хладагента: N[]</v>
      </c>
      <c r="N67" t="str">
        <f>CONCATENATE(N$2,": ",N$3,list1!N67,"]")</f>
        <v xml:space="preserve"> (Рабочий ток) Объем рециркулируемого воздуха внутреннего блока: S[]</v>
      </c>
      <c r="O67" t="str">
        <f>CONCATENATE(O$2,": ",O$3,list1!O67,"]")</f>
        <v xml:space="preserve"> (Внутренний блок) Размеры (Ш x Г x В): S[700 х 198 х 620]</v>
      </c>
      <c r="P67" t="str">
        <f>CONCATENATE(P$2,": ",P$3,list1!P67,"]")</f>
        <v xml:space="preserve"> (Внутренний блок) Упаковка (Ш x Г x В): S[968 х 772 х 276]</v>
      </c>
      <c r="Q67" t="str">
        <f>CONCATENATE(Q$2,": ",Q$3,list1!Q67,"]")</f>
        <v xml:space="preserve"> (Внутренний блок) Масса (нетто / брутто): S[17 / 22]</v>
      </c>
      <c r="R67" t="str">
        <f>CONCATENATE(R$2,": ",R$3,list1!R67,"]")</f>
        <v xml:space="preserve"> (Внутренний блок) Уровень шума мин. / макс.: S[25/26/27/28]</v>
      </c>
      <c r="S67" t="str">
        <f>CONCATENATE(S$2,": ",S$3,list1!S67,"]")</f>
        <v xml:space="preserve"> (Наружный блок) Марка компрессора: S[]</v>
      </c>
      <c r="T67" t="str">
        <f>CONCATENATE(T$2,": ",T$3,list1!T67,"]")</f>
        <v xml:space="preserve"> (Наружный блок) Размеры (Ш x Г x В): S[663 х 290 х 541]</v>
      </c>
      <c r="U67" t="str">
        <f>CONCATENATE(U$2,": ",U$3,list1!U67,"]")</f>
        <v xml:space="preserve"> (Наружный блок) Упаковка (Ш x Г x В): S[804 х 375 х 602]</v>
      </c>
      <c r="V67" t="str">
        <f>CONCATENATE(V$2,": ",V$3,list1!V67,"]")</f>
        <v xml:space="preserve"> (Наружный блок) Масса (нетто / брутто): S[23/27]</v>
      </c>
      <c r="W67" t="str">
        <f>CONCATENATE(W$2,": ",W$3,list1!W67,"]")</f>
        <v xml:space="preserve"> (Наружный блок) Максимальный уровень шума: N[]</v>
      </c>
      <c r="X67" t="str">
        <f>CONCATENATE(X$2,": ",X$3,list1!X67,"]")</f>
        <v xml:space="preserve"> (Соединительные трубы) Жидкостная линия : N[6.35]</v>
      </c>
      <c r="Y67" t="str">
        <f>CONCATENATE(Y$2,": ",Y$3,list1!Y67,"]")</f>
        <v xml:space="preserve"> (Соединительные трубы) Газовая линия : N[9.52]</v>
      </c>
      <c r="Z67" t="str">
        <f>CONCATENATE(Z$2,": ",Z$3,list1!Z67,"]")</f>
        <v xml:space="preserve"> (Соединительные трубы) Максимальная длина трубопровода: N[15]</v>
      </c>
      <c r="AA67" t="str">
        <f>CONCATENATE(AA$2,": ",AA$3,list1!AA67,"]")</f>
        <v xml:space="preserve"> (Соединительные трубы) Максимальный перепад высот: S[15]</v>
      </c>
      <c r="AB67" t="str">
        <f>CONCATENATE(AB$2,": ",AB$3,list1!AB67,"]")</f>
        <v xml:space="preserve"> (Допустимая темп. наружного воздуха) Охлаждение: S[от -10 до +46]</v>
      </c>
      <c r="AC67" t="str">
        <f>CONCATENATE(AC$2,": ",AC$3,list1!AC67,"]")</f>
        <v xml:space="preserve"> (Допустимая темп. наружного воздуха) Обогрев: S[от -15 до +24]</v>
      </c>
      <c r="AD67" s="6" t="s">
        <v>5245</v>
      </c>
    </row>
    <row r="68" spans="1:30" x14ac:dyDescent="0.25">
      <c r="A68" t="str">
        <f>CONCATENATE(A$2,": ",A$3,list1!A68,"]")</f>
        <v>Производитель: E[FUJITSU]</v>
      </c>
      <c r="B68" t="str">
        <f>CONCATENATE(B$2,": ",B$3,list1!B68,"]")</f>
        <v xml:space="preserve"> Тип: S[Канальные]</v>
      </c>
      <c r="C68" t="str">
        <f>CONCATENATE(C$2,": ",C$3,list1!C68,"]")</f>
        <v xml:space="preserve"> (Сплит система) Холодопроизводительность: N[3.5]</v>
      </c>
      <c r="D68" t="str">
        <f>CONCATENATE(D$2,": ",D$3,list1!D68,"]")</f>
        <v xml:space="preserve"> (Сплит система) Площадь помещения: N[35]</v>
      </c>
      <c r="E68" t="str">
        <f>CONCATENATE(E$2,": ",E$3,list1!E68,"]")</f>
        <v xml:space="preserve"> (Сплит система) Инвентор: S[да]</v>
      </c>
      <c r="F68" t="str">
        <f>CONCATENATE(F$2,": ",F$3,list1!F68,"]")</f>
        <v xml:space="preserve"> (Сплит система) Теплопроизводительность: N[4.1]</v>
      </c>
      <c r="G68" t="str">
        <f>CONCATENATE(G$2,": ",G$3,list1!G68,"]")</f>
        <v xml:space="preserve"> (Потребляемая мощность) Охлаждение: N[1.09]</v>
      </c>
      <c r="H68" t="str">
        <f>CONCATENATE(H$2,": ",H$3,list1!H68,"]")</f>
        <v xml:space="preserve"> (Потребляемая мощность) Обогрев: S[1.17]</v>
      </c>
      <c r="I68" t="str">
        <f>CONCATENATE(I$2,": ",I$3,list1!I68,"]")</f>
        <v xml:space="preserve"> (Рабочий ток) Охлаждение: S[]</v>
      </c>
      <c r="J68" t="str">
        <f>CONCATENATE(J$2,": ",J$3,list1!J68,"]")</f>
        <v xml:space="preserve"> (Рабочий ток) Обогрев: S[]</v>
      </c>
      <c r="K68" t="str">
        <f>CONCATENATE(K$2,": ",K$3,list1!K68,"]")</f>
        <v xml:space="preserve"> (Рабочий ток) Напряжение / Частота источника питания: S[1 / 230 / 50]</v>
      </c>
      <c r="L68" t="str">
        <f>CONCATENATE(L$2,": ",L$3,list1!L68,"]")</f>
        <v xml:space="preserve"> (Рабочий ток) Хладагент: S[R32]</v>
      </c>
      <c r="M68" t="str">
        <f>CONCATENATE(M$2,": ",M$3,list1!M68,"]")</f>
        <v xml:space="preserve"> (Рабочий ток) Количество хладагента: N[]</v>
      </c>
      <c r="N68" t="str">
        <f>CONCATENATE(N$2,": ",N$3,list1!N68,"]")</f>
        <v xml:space="preserve"> (Рабочий ток) Объем рециркулируемого воздуха внутреннего блока: S[]</v>
      </c>
      <c r="O68" t="str">
        <f>CONCATENATE(O$2,": ",O$3,list1!O68,"]")</f>
        <v xml:space="preserve"> (Внутренний блок) Размеры (Ш x Г x В): S[700 х 198 х 620]</v>
      </c>
      <c r="P68" t="str">
        <f>CONCATENATE(P$2,": ",P$3,list1!P68,"]")</f>
        <v xml:space="preserve"> (Внутренний блок) Упаковка (Ш x Г x В): S[968 х 772 х 276]</v>
      </c>
      <c r="Q68" t="str">
        <f>CONCATENATE(Q$2,": ",Q$3,list1!Q68,"]")</f>
        <v xml:space="preserve"> (Внутренний блок) Масса (нетто / брутто): S[17 / 22]</v>
      </c>
      <c r="R68" t="str">
        <f>CONCATENATE(R$2,": ",R$3,list1!R68,"]")</f>
        <v xml:space="preserve"> (Внутренний блок) Уровень шума мин. / макс.: S[25/26/28/29]</v>
      </c>
      <c r="S68" t="str">
        <f>CONCATENATE(S$2,": ",S$3,list1!S68,"]")</f>
        <v xml:space="preserve"> (Наружный блок) Марка компрессора: S[]</v>
      </c>
      <c r="T68" t="str">
        <f>CONCATENATE(T$2,": ",T$3,list1!T68,"]")</f>
        <v xml:space="preserve"> (Наружный блок) Размеры (Ш x Г x В): S[663 х 290 х 541]</v>
      </c>
      <c r="U68" t="str">
        <f>CONCATENATE(U$2,": ",U$3,list1!U68,"]")</f>
        <v xml:space="preserve"> (Наружный блок) Упаковка (Ш x Г x В): S[804 х 375 х 602]</v>
      </c>
      <c r="V68" t="str">
        <f>CONCATENATE(V$2,": ",V$3,list1!V68,"]")</f>
        <v xml:space="preserve"> (Наружный блок) Масса (нетто / брутто): S[25/29]</v>
      </c>
      <c r="W68" t="str">
        <f>CONCATENATE(W$2,": ",W$3,list1!W68,"]")</f>
        <v xml:space="preserve"> (Наружный блок) Максимальный уровень шума: N[]</v>
      </c>
      <c r="X68" t="str">
        <f>CONCATENATE(X$2,": ",X$3,list1!X68,"]")</f>
        <v xml:space="preserve"> (Соединительные трубы) Жидкостная линия : N[6.35]</v>
      </c>
      <c r="Y68" t="str">
        <f>CONCATENATE(Y$2,": ",Y$3,list1!Y68,"]")</f>
        <v xml:space="preserve"> (Соединительные трубы) Газовая линия : N[9.52]</v>
      </c>
      <c r="Z68" t="str">
        <f>CONCATENATE(Z$2,": ",Z$3,list1!Z68,"]")</f>
        <v xml:space="preserve"> (Соединительные трубы) Максимальная длина трубопровода: N[15]</v>
      </c>
      <c r="AA68" t="str">
        <f>CONCATENATE(AA$2,": ",AA$3,list1!AA68,"]")</f>
        <v xml:space="preserve"> (Соединительные трубы) Максимальный перепад высот: S[15]</v>
      </c>
      <c r="AB68" t="str">
        <f>CONCATENATE(AB$2,": ",AB$3,list1!AB68,"]")</f>
        <v xml:space="preserve"> (Допустимая темп. наружного воздуха) Охлаждение: S[от -10 до +46]</v>
      </c>
      <c r="AC68" t="str">
        <f>CONCATENATE(AC$2,": ",AC$3,list1!AC68,"]")</f>
        <v xml:space="preserve"> (Допустимая темп. наружного воздуха) Обогрев: S[от -15 до +24]</v>
      </c>
      <c r="AD68" s="6" t="s">
        <v>5245</v>
      </c>
    </row>
    <row r="69" spans="1:30" x14ac:dyDescent="0.25">
      <c r="A69" t="str">
        <f>CONCATENATE(A$2,": ",A$3,list1!A69,"]")</f>
        <v>Производитель: E[FUJITSU]</v>
      </c>
      <c r="B69" t="str">
        <f>CONCATENATE(B$2,": ",B$3,list1!B69,"]")</f>
        <v xml:space="preserve"> Тип: S[Канальные]</v>
      </c>
      <c r="C69" t="str">
        <f>CONCATENATE(C$2,": ",C$3,list1!C69,"]")</f>
        <v xml:space="preserve"> (Сплит система) Холодопроизводительность: N[4.3]</v>
      </c>
      <c r="D69" t="str">
        <f>CONCATENATE(D$2,": ",D$3,list1!D69,"]")</f>
        <v xml:space="preserve"> (Сплит система) Площадь помещения: N[43]</v>
      </c>
      <c r="E69" t="str">
        <f>CONCATENATE(E$2,": ",E$3,list1!E69,"]")</f>
        <v xml:space="preserve"> (Сплит система) Инвентор: S[да]</v>
      </c>
      <c r="F69" t="str">
        <f>CONCATENATE(F$2,": ",F$3,list1!F69,"]")</f>
        <v xml:space="preserve"> (Сплит система) Теплопроизводительность: N[5]</v>
      </c>
      <c r="G69" t="str">
        <f>CONCATENATE(G$2,": ",G$3,list1!G69,"]")</f>
        <v xml:space="preserve"> (Потребляемая мощность) Охлаждение: N[1.37]</v>
      </c>
      <c r="H69" t="str">
        <f>CONCATENATE(H$2,": ",H$3,list1!H69,"]")</f>
        <v xml:space="preserve"> (Потребляемая мощность) Обогрев: S[1.42]</v>
      </c>
      <c r="I69" t="str">
        <f>CONCATENATE(I$2,": ",I$3,list1!I69,"]")</f>
        <v xml:space="preserve"> (Рабочий ток) Охлаждение: S[]</v>
      </c>
      <c r="J69" t="str">
        <f>CONCATENATE(J$2,": ",J$3,list1!J69,"]")</f>
        <v xml:space="preserve"> (Рабочий ток) Обогрев: S[]</v>
      </c>
      <c r="K69" t="str">
        <f>CONCATENATE(K$2,": ",K$3,list1!K69,"]")</f>
        <v xml:space="preserve"> (Рабочий ток) Напряжение / Частота источника питания: S[1 / 230 / 50]</v>
      </c>
      <c r="L69" t="str">
        <f>CONCATENATE(L$2,": ",L$3,list1!L69,"]")</f>
        <v xml:space="preserve"> (Рабочий ток) Хладагент: S[R32]</v>
      </c>
      <c r="M69" t="str">
        <f>CONCATENATE(M$2,": ",M$3,list1!M69,"]")</f>
        <v xml:space="preserve"> (Рабочий ток) Количество хладагента: N[]</v>
      </c>
      <c r="N69" t="str">
        <f>CONCATENATE(N$2,": ",N$3,list1!N69,"]")</f>
        <v xml:space="preserve"> (Рабочий ток) Объем рециркулируемого воздуха внутреннего блока: S[]</v>
      </c>
      <c r="O69" t="str">
        <f>CONCATENATE(O$2,": ",O$3,list1!O69,"]")</f>
        <v xml:space="preserve"> (Внутренний блок) Размеры (Ш x Г x В): S[700 х 198 х 620]</v>
      </c>
      <c r="P69" t="str">
        <f>CONCATENATE(P$2,": ",P$3,list1!P69,"]")</f>
        <v xml:space="preserve"> (Внутренний блок) Упаковка (Ш x Г x В): S[968 х 772 х 276]</v>
      </c>
      <c r="Q69" t="str">
        <f>CONCATENATE(Q$2,": ",Q$3,list1!Q69,"]")</f>
        <v xml:space="preserve"> (Внутренний блок) Масса (нетто / брутто): S[17 / 22]</v>
      </c>
      <c r="R69" t="str">
        <f>CONCATENATE(R$2,": ",R$3,list1!R69,"]")</f>
        <v xml:space="preserve"> (Внутренний блок) Уровень шума мин. / макс.: S[26/28/30/32]</v>
      </c>
      <c r="S69" t="str">
        <f>CONCATENATE(S$2,": ",S$3,list1!S69,"]")</f>
        <v xml:space="preserve"> (Наружный блок) Марка компрессора: S[]</v>
      </c>
      <c r="T69" t="str">
        <f>CONCATENATE(T$2,": ",T$3,list1!T69,"]")</f>
        <v xml:space="preserve"> (Наружный блок) Размеры (Ш x Г x В): S[799 х 290 х 542]</v>
      </c>
      <c r="U69" t="str">
        <f>CONCATENATE(U$2,": ",U$3,list1!U69,"]")</f>
        <v xml:space="preserve"> (Наружный блок) Упаковка (Ш x Г x В): S[940 х 375 х 602]</v>
      </c>
      <c r="V69" t="str">
        <f>CONCATENATE(V$2,": ",V$3,list1!V69,"]")</f>
        <v xml:space="preserve"> (Наружный блок) Масса (нетто / брутто): S[32/36]</v>
      </c>
      <c r="W69" t="str">
        <f>CONCATENATE(W$2,": ",W$3,list1!W69,"]")</f>
        <v xml:space="preserve"> (Наружный блок) Максимальный уровень шума: N[]</v>
      </c>
      <c r="X69" t="str">
        <f>CONCATENATE(X$2,": ",X$3,list1!X69,"]")</f>
        <v xml:space="preserve"> (Соединительные трубы) Жидкостная линия : N[6.35]</v>
      </c>
      <c r="Y69" t="str">
        <f>CONCATENATE(Y$2,": ",Y$3,list1!Y69,"]")</f>
        <v xml:space="preserve"> (Соединительные трубы) Газовая линия : N[9.52]</v>
      </c>
      <c r="Z69" t="str">
        <f>CONCATENATE(Z$2,": ",Z$3,list1!Z69,"]")</f>
        <v xml:space="preserve"> (Соединительные трубы) Максимальная длина трубопровода: N[20]</v>
      </c>
      <c r="AA69" t="str">
        <f>CONCATENATE(AA$2,": ",AA$3,list1!AA69,"]")</f>
        <v xml:space="preserve"> (Соединительные трубы) Максимальный перепад высот: S[15]</v>
      </c>
      <c r="AB69" t="str">
        <f>CONCATENATE(AB$2,": ",AB$3,list1!AB69,"]")</f>
        <v xml:space="preserve"> (Допустимая темп. наружного воздуха) Охлаждение: S[от -10 до +46]</v>
      </c>
      <c r="AC69" t="str">
        <f>CONCATENATE(AC$2,": ",AC$3,list1!AC69,"]")</f>
        <v xml:space="preserve"> (Допустимая темп. наружного воздуха) Обогрев: S[от -15 до +24]</v>
      </c>
      <c r="AD69" s="6" t="s">
        <v>5245</v>
      </c>
    </row>
    <row r="70" spans="1:30" x14ac:dyDescent="0.25">
      <c r="A70" t="str">
        <f>CONCATENATE(A$2,": ",A$3,list1!A70,"]")</f>
        <v>Производитель: E[FUJITSU]</v>
      </c>
      <c r="B70" t="str">
        <f>CONCATENATE(B$2,": ",B$3,list1!B70,"]")</f>
        <v xml:space="preserve"> Тип: S[Канальные]</v>
      </c>
      <c r="C70" t="str">
        <f>CONCATENATE(C$2,": ",C$3,list1!C70,"]")</f>
        <v xml:space="preserve"> (Сплит система) Холодопроизводительность: N[5.2]</v>
      </c>
      <c r="D70" t="str">
        <f>CONCATENATE(D$2,": ",D$3,list1!D70,"]")</f>
        <v xml:space="preserve"> (Сплит система) Площадь помещения: N[52]</v>
      </c>
      <c r="E70" t="str">
        <f>CONCATENATE(E$2,": ",E$3,list1!E70,"]")</f>
        <v xml:space="preserve"> (Сплит система) Инвентор: S[да]</v>
      </c>
      <c r="F70" t="str">
        <f>CONCATENATE(F$2,": ",F$3,list1!F70,"]")</f>
        <v xml:space="preserve"> (Сплит система) Теплопроизводительность: N[6]</v>
      </c>
      <c r="G70" t="str">
        <f>CONCATENATE(G$2,": ",G$3,list1!G70,"]")</f>
        <v xml:space="preserve"> (Потребляемая мощность) Охлаждение: N[1.66]</v>
      </c>
      <c r="H70" t="str">
        <f>CONCATENATE(H$2,": ",H$3,list1!H70,"]")</f>
        <v xml:space="preserve"> (Потребляемая мощность) Обогрев: S[1.71]</v>
      </c>
      <c r="I70" t="str">
        <f>CONCATENATE(I$2,": ",I$3,list1!I70,"]")</f>
        <v xml:space="preserve"> (Рабочий ток) Охлаждение: S[]</v>
      </c>
      <c r="J70" t="str">
        <f>CONCATENATE(J$2,": ",J$3,list1!J70,"]")</f>
        <v xml:space="preserve"> (Рабочий ток) Обогрев: S[]</v>
      </c>
      <c r="K70" t="str">
        <f>CONCATENATE(K$2,": ",K$3,list1!K70,"]")</f>
        <v xml:space="preserve"> (Рабочий ток) Напряжение / Частота источника питания: S[1 / 230 / 50]</v>
      </c>
      <c r="L70" t="str">
        <f>CONCATENATE(L$2,": ",L$3,list1!L70,"]")</f>
        <v xml:space="preserve"> (Рабочий ток) Хладагент: S[R32]</v>
      </c>
      <c r="M70" t="str">
        <f>CONCATENATE(M$2,": ",M$3,list1!M70,"]")</f>
        <v xml:space="preserve"> (Рабочий ток) Количество хладагента: N[]</v>
      </c>
      <c r="N70" t="str">
        <f>CONCATENATE(N$2,": ",N$3,list1!N70,"]")</f>
        <v xml:space="preserve"> (Рабочий ток) Объем рециркулируемого воздуха внутреннего блока: S[]</v>
      </c>
      <c r="O70" t="str">
        <f>CONCATENATE(O$2,": ",O$3,list1!O70,"]")</f>
        <v xml:space="preserve"> (Внутренний блок) Размеры (Ш x Г x В): S[900 х 198 х 620]</v>
      </c>
      <c r="P70" t="str">
        <f>CONCATENATE(P$2,": ",P$3,list1!P70,"]")</f>
        <v xml:space="preserve"> (Внутренний блок) Упаковка (Ш x Г x В): S[1168 х 772 х 276]</v>
      </c>
      <c r="Q70" t="str">
        <f>CONCATENATE(Q$2,": ",Q$3,list1!Q70,"]")</f>
        <v xml:space="preserve"> (Внутренний блок) Масса (нетто / брутто): S[20 / 26]</v>
      </c>
      <c r="R70" t="str">
        <f>CONCATENATE(R$2,": ",R$3,list1!R70,"]")</f>
        <v xml:space="preserve"> (Внутренний блок) Уровень шума мин. / макс.: S[27/29/30/32]</v>
      </c>
      <c r="S70" t="str">
        <f>CONCATENATE(S$2,": ",S$3,list1!S70,"]")</f>
        <v xml:space="preserve"> (Наружный блок) Марка компрессора: S[]</v>
      </c>
      <c r="T70" t="str">
        <f>CONCATENATE(T$2,": ",T$3,list1!T70,"]")</f>
        <v xml:space="preserve"> (Наружный блок) Размеры (Ш x Г x В): S[799 х 290 х 542]</v>
      </c>
      <c r="U70" t="str">
        <f>CONCATENATE(U$2,": ",U$3,list1!U70,"]")</f>
        <v xml:space="preserve"> (Наружный блок) Упаковка (Ш x Г x В): S[940 х 375 х 602]</v>
      </c>
      <c r="V70" t="str">
        <f>CONCATENATE(V$2,": ",V$3,list1!V70,"]")</f>
        <v xml:space="preserve"> (Наружный блок) Масса (нетто / брутто): S[33/36]</v>
      </c>
      <c r="W70" t="str">
        <f>CONCATENATE(W$2,": ",W$3,list1!W70,"]")</f>
        <v xml:space="preserve"> (Наружный блок) Максимальный уровень шума: N[]</v>
      </c>
      <c r="X70" t="str">
        <f>CONCATENATE(X$2,": ",X$3,list1!X70,"]")</f>
        <v xml:space="preserve"> (Соединительные трубы) Жидкостная линия : N[6.35]</v>
      </c>
      <c r="Y70" t="str">
        <f>CONCATENATE(Y$2,": ",Y$3,list1!Y70,"]")</f>
        <v xml:space="preserve"> (Соединительные трубы) Газовая линия : N[12.7]</v>
      </c>
      <c r="Z70" t="str">
        <f>CONCATENATE(Z$2,": ",Z$3,list1!Z70,"]")</f>
        <v xml:space="preserve"> (Соединительные трубы) Максимальная длина трубопровода: N[20]</v>
      </c>
      <c r="AA70" t="str">
        <f>CONCATENATE(AA$2,": ",AA$3,list1!AA70,"]")</f>
        <v xml:space="preserve"> (Соединительные трубы) Максимальный перепад высот: S[15]</v>
      </c>
      <c r="AB70" t="str">
        <f>CONCATENATE(AB$2,": ",AB$3,list1!AB70,"]")</f>
        <v xml:space="preserve"> (Допустимая темп. наружного воздуха) Охлаждение: S[от -10 до +46]</v>
      </c>
      <c r="AC70" t="str">
        <f>CONCATENATE(AC$2,": ",AC$3,list1!AC70,"]")</f>
        <v xml:space="preserve"> (Допустимая темп. наружного воздуха) Обогрев: S[от -15 до +24]</v>
      </c>
      <c r="AD70" s="6" t="s">
        <v>5245</v>
      </c>
    </row>
    <row r="71" spans="1:30" x14ac:dyDescent="0.25">
      <c r="A71" t="str">
        <f>CONCATENATE(A$2,": ",A$3,list1!A71,"]")</f>
        <v>Производитель: E[FUJITSU]</v>
      </c>
      <c r="B71" t="str">
        <f>CONCATENATE(B$2,": ",B$3,list1!B71,"]")</f>
        <v xml:space="preserve"> Тип: S[Кассетные]</v>
      </c>
      <c r="C71" t="str">
        <f>CONCATENATE(C$2,": ",C$3,list1!C71,"]")</f>
        <v xml:space="preserve"> (Сплит система) Холодопроизводительность: N[8.5]</v>
      </c>
      <c r="D71" t="str">
        <f>CONCATENATE(D$2,": ",D$3,list1!D71,"]")</f>
        <v xml:space="preserve"> (Сплит система) Площадь помещения: N[85]</v>
      </c>
      <c r="E71" t="str">
        <f>CONCATENATE(E$2,": ",E$3,list1!E71,"]")</f>
        <v xml:space="preserve"> (Сплит система) Инвентор: S[да]</v>
      </c>
      <c r="F71" t="str">
        <f>CONCATENATE(F$2,": ",F$3,list1!F71,"]")</f>
        <v xml:space="preserve"> (Сплит система) Теплопроизводительность: N[10]</v>
      </c>
      <c r="G71" t="str">
        <f>CONCATENATE(G$2,": ",G$3,list1!G71,"]")</f>
        <v xml:space="preserve"> (Потребляемая мощность) Охлаждение: N[2.65]</v>
      </c>
      <c r="H71" t="str">
        <f>CONCATENATE(H$2,": ",H$3,list1!H71,"]")</f>
        <v xml:space="preserve"> (Потребляемая мощность) Обогрев: S[2.77]</v>
      </c>
      <c r="I71" t="str">
        <f>CONCATENATE(I$2,": ",I$3,list1!I71,"]")</f>
        <v xml:space="preserve"> (Рабочий ток) Охлаждение: S[]</v>
      </c>
      <c r="J71" t="str">
        <f>CONCATENATE(J$2,": ",J$3,list1!J71,"]")</f>
        <v xml:space="preserve"> (Рабочий ток) Обогрев: S[]</v>
      </c>
      <c r="K71" t="str">
        <f>CONCATENATE(K$2,": ",K$3,list1!K71,"]")</f>
        <v xml:space="preserve"> (Рабочий ток) Напряжение / Частота источника питания: S[1 / 220 / 50]</v>
      </c>
      <c r="L71" t="str">
        <f>CONCATENATE(L$2,": ",L$3,list1!L71,"]")</f>
        <v xml:space="preserve"> (Рабочий ток) Хладагент: S[R410A]</v>
      </c>
      <c r="M71" t="str">
        <f>CONCATENATE(M$2,": ",M$3,list1!M71,"]")</f>
        <v xml:space="preserve"> (Рабочий ток) Количество хладагента: N[]</v>
      </c>
      <c r="N71" t="str">
        <f>CONCATENATE(N$2,": ",N$3,list1!N71,"]")</f>
        <v xml:space="preserve"> (Рабочий ток) Объем рециркулируемого воздуха внутреннего блока: S[]</v>
      </c>
      <c r="O71" t="str">
        <f>CONCATENATE(O$2,": ",O$3,list1!O71,"]")</f>
        <v xml:space="preserve"> (Внутренний блок) Размеры (Ш x Г x В): S[950 х 50 х 950]</v>
      </c>
      <c r="P71" t="str">
        <f>CONCATENATE(P$2,": ",P$3,list1!P71,"]")</f>
        <v xml:space="preserve"> (Внутренний блок) Упаковка (Ш x Г x В): S[1020 х 1000 х 115]</v>
      </c>
      <c r="Q71" t="str">
        <f>CONCATENATE(Q$2,": ",Q$3,list1!Q71,"]")</f>
        <v xml:space="preserve"> (Внутренний блок) Масса (нетто / брутто): S[5.5 / 8.5]</v>
      </c>
      <c r="R71" t="str">
        <f>CONCATENATE(R$2,": ",R$3,list1!R71,"]")</f>
        <v xml:space="preserve"> (Внутренний блок) Уровень шума мин. / макс.: S[32/36/38/40]</v>
      </c>
      <c r="S71" t="str">
        <f>CONCATENATE(S$2,": ",S$3,list1!S71,"]")</f>
        <v xml:space="preserve"> (Наружный блок) Марка компрессора: S[GENERAL]</v>
      </c>
      <c r="T71" t="str">
        <f>CONCATENATE(T$2,": ",T$3,list1!T71,"]")</f>
        <v xml:space="preserve"> (Наружный блок) Размеры (Ш x Г x В): S[900 х 330 х 830]</v>
      </c>
      <c r="U71" t="str">
        <f>CONCATENATE(U$2,": ",U$3,list1!U71,"]")</f>
        <v xml:space="preserve"> (Наружный блок) Упаковка (Ш x Г x В): S[1050 х 445 х 1000]</v>
      </c>
      <c r="V71" t="str">
        <f>CONCATENATE(V$2,": ",V$3,list1!V71,"]")</f>
        <v xml:space="preserve"> (Наружный блок) Масса (нетто / брутто): S[61/69]</v>
      </c>
      <c r="W71" t="str">
        <f>CONCATENATE(W$2,": ",W$3,list1!W71,"]")</f>
        <v xml:space="preserve"> (Наружный блок) Максимальный уровень шума: N[]</v>
      </c>
      <c r="X71" t="str">
        <f>CONCATENATE(X$2,": ",X$3,list1!X71,"]")</f>
        <v xml:space="preserve"> (Соединительные трубы) Жидкостная линия : N[9.52]</v>
      </c>
      <c r="Y71" t="str">
        <f>CONCATENATE(Y$2,": ",Y$3,list1!Y71,"]")</f>
        <v xml:space="preserve"> (Соединительные трубы) Газовая линия : N[15.88]</v>
      </c>
      <c r="Z71" t="str">
        <f>CONCATENATE(Z$2,": ",Z$3,list1!Z71,"]")</f>
        <v xml:space="preserve"> (Соединительные трубы) Максимальная длина трубопровода: N[50]</v>
      </c>
      <c r="AA71" t="str">
        <f>CONCATENATE(AA$2,": ",AA$3,list1!AA71,"]")</f>
        <v xml:space="preserve"> (Соединительные трубы) Максимальный перепад высот: S[30]</v>
      </c>
      <c r="AB71" t="str">
        <f>CONCATENATE(AB$2,": ",AB$3,list1!AB71,"]")</f>
        <v xml:space="preserve"> (Допустимая темп. наружного воздуха) Охлаждение: S[от -15 до +46]</v>
      </c>
      <c r="AC71" t="str">
        <f>CONCATENATE(AC$2,": ",AC$3,list1!AC71,"]")</f>
        <v xml:space="preserve"> (Допустимая темп. наружного воздуха) Обогрев: S[от -15 до +24]</v>
      </c>
      <c r="AD71" s="6" t="s">
        <v>5245</v>
      </c>
    </row>
    <row r="72" spans="1:30" x14ac:dyDescent="0.25">
      <c r="A72" t="str">
        <f>CONCATENATE(A$2,": ",A$3,list1!A72,"]")</f>
        <v>Производитель: E[FUJITSU]</v>
      </c>
      <c r="B72" t="str">
        <f>CONCATENATE(B$2,": ",B$3,list1!B72,"]")</f>
        <v xml:space="preserve"> Тип: S[Кассетные]</v>
      </c>
      <c r="C72" t="str">
        <f>CONCATENATE(C$2,": ",C$3,list1!C72,"]")</f>
        <v xml:space="preserve"> (Сплит система) Холодопроизводительность: N[10]</v>
      </c>
      <c r="D72" t="str">
        <f>CONCATENATE(D$2,": ",D$3,list1!D72,"]")</f>
        <v xml:space="preserve"> (Сплит система) Площадь помещения: N[100]</v>
      </c>
      <c r="E72" t="str">
        <f>CONCATENATE(E$2,": ",E$3,list1!E72,"]")</f>
        <v xml:space="preserve"> (Сплит система) Инвентор: S[да]</v>
      </c>
      <c r="F72" t="str">
        <f>CONCATENATE(F$2,": ",F$3,list1!F72,"]")</f>
        <v xml:space="preserve"> (Сплит система) Теплопроизводительность: N[11.2]</v>
      </c>
      <c r="G72" t="str">
        <f>CONCATENATE(G$2,": ",G$3,list1!G72,"]")</f>
        <v xml:space="preserve"> (Потребляемая мощность) Охлаждение: N[2.44]</v>
      </c>
      <c r="H72" t="str">
        <f>CONCATENATE(H$2,": ",H$3,list1!H72,"]")</f>
        <v xml:space="preserve"> (Потребляемая мощность) Обогрев: S[2.56]</v>
      </c>
      <c r="I72" t="str">
        <f>CONCATENATE(I$2,": ",I$3,list1!I72,"]")</f>
        <v xml:space="preserve"> (Рабочий ток) Охлаждение: S[]</v>
      </c>
      <c r="J72" t="str">
        <f>CONCATENATE(J$2,": ",J$3,list1!J72,"]")</f>
        <v xml:space="preserve"> (Рабочий ток) Обогрев: S[]</v>
      </c>
      <c r="K72" t="str">
        <f>CONCATENATE(K$2,": ",K$3,list1!K72,"]")</f>
        <v xml:space="preserve"> (Рабочий ток) Напряжение / Частота источника питания: S[3 / 400 / 50]</v>
      </c>
      <c r="L72" t="str">
        <f>CONCATENATE(L$2,": ",L$3,list1!L72,"]")</f>
        <v xml:space="preserve"> (Рабочий ток) Хладагент: S[R410A]</v>
      </c>
      <c r="M72" t="str">
        <f>CONCATENATE(M$2,": ",M$3,list1!M72,"]")</f>
        <v xml:space="preserve"> (Рабочий ток) Количество хладагента: N[]</v>
      </c>
      <c r="N72" t="str">
        <f>CONCATENATE(N$2,": ",N$3,list1!N72,"]")</f>
        <v xml:space="preserve"> (Рабочий ток) Объем рециркулируемого воздуха внутреннего блока: S[]</v>
      </c>
      <c r="O72" t="str">
        <f>CONCATENATE(O$2,": ",O$3,list1!O72,"]")</f>
        <v xml:space="preserve"> (Внутренний блок) Размеры (Ш x Г x В): S[950 х 50 х 950]</v>
      </c>
      <c r="P72" t="str">
        <f>CONCATENATE(P$2,": ",P$3,list1!P72,"]")</f>
        <v xml:space="preserve"> (Внутренний блок) Упаковка (Ш x Г x В): S[1020 х 1000 х 115]</v>
      </c>
      <c r="Q72" t="str">
        <f>CONCATENATE(Q$2,": ",Q$3,list1!Q72,"]")</f>
        <v xml:space="preserve"> (Внутренний блок) Масса (нетто / брутто): S[5.5 / 8.5]</v>
      </c>
      <c r="R72" t="str">
        <f>CONCATENATE(R$2,": ",R$3,list1!R72,"]")</f>
        <v xml:space="preserve"> (Внутренний блок) Уровень шума мин. / макс.: S[33/36/39/44]</v>
      </c>
      <c r="S72" t="str">
        <f>CONCATENATE(S$2,": ",S$3,list1!S72,"]")</f>
        <v xml:space="preserve"> (Наружный блок) Марка компрессора: S[TOSHIBA]</v>
      </c>
      <c r="T72" t="str">
        <f>CONCATENATE(T$2,": ",T$3,list1!T72,"]")</f>
        <v xml:space="preserve"> (Наружный блок) Размеры (Ш x Г x В): S[900 х 330 х 1290]</v>
      </c>
      <c r="U72" t="str">
        <f>CONCATENATE(U$2,": ",U$3,list1!U72,"]")</f>
        <v xml:space="preserve"> (Наружный блок) Упаковка (Ш x Г x В): S[1050 х 445 х 1460]</v>
      </c>
      <c r="V72" t="str">
        <f>CONCATENATE(V$2,": ",V$3,list1!V72,"]")</f>
        <v xml:space="preserve"> (Наружный блок) Масса (нетто / брутто): S[104/114]</v>
      </c>
      <c r="W72" t="str">
        <f>CONCATENATE(W$2,": ",W$3,list1!W72,"]")</f>
        <v xml:space="preserve"> (Наружный блок) Максимальный уровень шума: N[]</v>
      </c>
      <c r="X72" t="str">
        <f>CONCATENATE(X$2,": ",X$3,list1!X72,"]")</f>
        <v xml:space="preserve"> (Соединительные трубы) Жидкостная линия : N[9.52]</v>
      </c>
      <c r="Y72" t="str">
        <f>CONCATENATE(Y$2,": ",Y$3,list1!Y72,"]")</f>
        <v xml:space="preserve"> (Соединительные трубы) Газовая линия : N[15.88]</v>
      </c>
      <c r="Z72" t="str">
        <f>CONCATENATE(Z$2,": ",Z$3,list1!Z72,"]")</f>
        <v xml:space="preserve"> (Соединительные трубы) Максимальная длина трубопровода: N[75]</v>
      </c>
      <c r="AA72" t="str">
        <f>CONCATENATE(AA$2,": ",AA$3,list1!AA72,"]")</f>
        <v xml:space="preserve"> (Соединительные трубы) Максимальный перепад высот: S[30]</v>
      </c>
      <c r="AB72" t="str">
        <f>CONCATENATE(AB$2,": ",AB$3,list1!AB72,"]")</f>
        <v xml:space="preserve"> (Допустимая темп. наружного воздуха) Охлаждение: S[от -15 до +46]</v>
      </c>
      <c r="AC72" t="str">
        <f>CONCATENATE(AC$2,": ",AC$3,list1!AC72,"]")</f>
        <v xml:space="preserve"> (Допустимая темп. наружного воздуха) Обогрев: S[от -15 до +24]</v>
      </c>
      <c r="AD72" s="6" t="s">
        <v>5245</v>
      </c>
    </row>
    <row r="73" spans="1:30" x14ac:dyDescent="0.25">
      <c r="A73" t="str">
        <f>CONCATENATE(A$2,": ",A$3,list1!A73,"]")</f>
        <v>Производитель: E[FUJITSU]</v>
      </c>
      <c r="B73" t="str">
        <f>CONCATENATE(B$2,": ",B$3,list1!B73,"]")</f>
        <v xml:space="preserve"> Тип: S[Кассетные]</v>
      </c>
      <c r="C73" t="str">
        <f>CONCATENATE(C$2,": ",C$3,list1!C73,"]")</f>
        <v xml:space="preserve"> (Сплит система) Холодопроизводительность: N[10]</v>
      </c>
      <c r="D73" t="str">
        <f>CONCATENATE(D$2,": ",D$3,list1!D73,"]")</f>
        <v xml:space="preserve"> (Сплит система) Площадь помещения: N[100]</v>
      </c>
      <c r="E73" t="str">
        <f>CONCATENATE(E$2,": ",E$3,list1!E73,"]")</f>
        <v xml:space="preserve"> (Сплит система) Инвентор: S[да]</v>
      </c>
      <c r="F73" t="str">
        <f>CONCATENATE(F$2,": ",F$3,list1!F73,"]")</f>
        <v xml:space="preserve"> (Сплит система) Теплопроизводительность: N[11.2]</v>
      </c>
      <c r="G73" t="str">
        <f>CONCATENATE(G$2,": ",G$3,list1!G73,"]")</f>
        <v xml:space="preserve"> (Потребляемая мощность) Охлаждение: N[3.12]</v>
      </c>
      <c r="H73" t="str">
        <f>CONCATENATE(H$2,": ",H$3,list1!H73,"]")</f>
        <v xml:space="preserve"> (Потребляемая мощность) Обогрев: S[3.02]</v>
      </c>
      <c r="I73" t="str">
        <f>CONCATENATE(I$2,": ",I$3,list1!I73,"]")</f>
        <v xml:space="preserve"> (Рабочий ток) Охлаждение: S[]</v>
      </c>
      <c r="J73" t="str">
        <f>CONCATENATE(J$2,": ",J$3,list1!J73,"]")</f>
        <v xml:space="preserve"> (Рабочий ток) Обогрев: S[]</v>
      </c>
      <c r="K73" t="str">
        <f>CONCATENATE(K$2,": ",K$3,list1!K73,"]")</f>
        <v xml:space="preserve"> (Рабочий ток) Напряжение / Частота источника питания: S[1 / 220 / 50]</v>
      </c>
      <c r="L73" t="str">
        <f>CONCATENATE(L$2,": ",L$3,list1!L73,"]")</f>
        <v xml:space="preserve"> (Рабочий ток) Хладагент: S[R410A]</v>
      </c>
      <c r="M73" t="str">
        <f>CONCATENATE(M$2,": ",M$3,list1!M73,"]")</f>
        <v xml:space="preserve"> (Рабочий ток) Количество хладагента: N[]</v>
      </c>
      <c r="N73" t="str">
        <f>CONCATENATE(N$2,": ",N$3,list1!N73,"]")</f>
        <v xml:space="preserve"> (Рабочий ток) Объем рециркулируемого воздуха внутреннего блока: S[]</v>
      </c>
      <c r="O73" t="str">
        <f>CONCATENATE(O$2,": ",O$3,list1!O73,"]")</f>
        <v xml:space="preserve"> (Внутренний блок) Размеры (Ш x Г x В): S[950 х 50 х 950]</v>
      </c>
      <c r="P73" t="str">
        <f>CONCATENATE(P$2,": ",P$3,list1!P73,"]")</f>
        <v xml:space="preserve"> (Внутренний блок) Упаковка (Ш x Г x В): S[1020 х 1000 х 115]</v>
      </c>
      <c r="Q73" t="str">
        <f>CONCATENATE(Q$2,": ",Q$3,list1!Q73,"]")</f>
        <v xml:space="preserve"> (Внутренний блок) Масса (нетто / брутто): S[5.5 / 8.5]</v>
      </c>
      <c r="R73" t="str">
        <f>CONCATENATE(R$2,": ",R$3,list1!R73,"]")</f>
        <v xml:space="preserve"> (Внутренний блок) Уровень шума мин. / макс.: S[32/36/38/43]</v>
      </c>
      <c r="S73" t="str">
        <f>CONCATENATE(S$2,": ",S$3,list1!S73,"]")</f>
        <v xml:space="preserve"> (Наружный блок) Марка компрессора: S[GENERAL]</v>
      </c>
      <c r="T73" t="str">
        <f>CONCATENATE(T$2,": ",T$3,list1!T73,"]")</f>
        <v xml:space="preserve"> (Наружный блок) Размеры (Ш x Г x В): S[900 х 330 х 830]</v>
      </c>
      <c r="U73" t="str">
        <f>CONCATENATE(U$2,": ",U$3,list1!U73,"]")</f>
        <v xml:space="preserve"> (Наружный блок) Упаковка (Ш x Г x В): S[1050 х 445 х 1000]</v>
      </c>
      <c r="V73" t="str">
        <f>CONCATENATE(V$2,": ",V$3,list1!V73,"]")</f>
        <v xml:space="preserve"> (Наружный блок) Масса (нетто / брутто): S[61/69]</v>
      </c>
      <c r="W73" t="str">
        <f>CONCATENATE(W$2,": ",W$3,list1!W73,"]")</f>
        <v xml:space="preserve"> (Наружный блок) Максимальный уровень шума: N[]</v>
      </c>
      <c r="X73" t="str">
        <f>CONCATENATE(X$2,": ",X$3,list1!X73,"]")</f>
        <v xml:space="preserve"> (Соединительные трубы) Жидкостная линия : N[9.52]</v>
      </c>
      <c r="Y73" t="str">
        <f>CONCATENATE(Y$2,": ",Y$3,list1!Y73,"]")</f>
        <v xml:space="preserve"> (Соединительные трубы) Газовая линия : N[15.88]</v>
      </c>
      <c r="Z73" t="str">
        <f>CONCATENATE(Z$2,": ",Z$3,list1!Z73,"]")</f>
        <v xml:space="preserve"> (Соединительные трубы) Максимальная длина трубопровода: N[50]</v>
      </c>
      <c r="AA73" t="str">
        <f>CONCATENATE(AA$2,": ",AA$3,list1!AA73,"]")</f>
        <v xml:space="preserve"> (Соединительные трубы) Максимальный перепад высот: S[30]</v>
      </c>
      <c r="AB73" t="str">
        <f>CONCATENATE(AB$2,": ",AB$3,list1!AB73,"]")</f>
        <v xml:space="preserve"> (Допустимая темп. наружного воздуха) Охлаждение: S[от -15 до +46]</v>
      </c>
      <c r="AC73" t="str">
        <f>CONCATENATE(AC$2,": ",AC$3,list1!AC73,"]")</f>
        <v xml:space="preserve"> (Допустимая темп. наружного воздуха) Обогрев: S[от -15 до +24]</v>
      </c>
      <c r="AD73" s="6" t="s">
        <v>5245</v>
      </c>
    </row>
    <row r="74" spans="1:30" x14ac:dyDescent="0.25">
      <c r="A74" t="str">
        <f>CONCATENATE(A$2,": ",A$3,list1!A74,"]")</f>
        <v>Производитель: E[FUJITSU]</v>
      </c>
      <c r="B74" t="str">
        <f>CONCATENATE(B$2,": ",B$3,list1!B74,"]")</f>
        <v xml:space="preserve"> Тип: S[Кассетные]</v>
      </c>
      <c r="C74" t="str">
        <f>CONCATENATE(C$2,": ",C$3,list1!C74,"]")</f>
        <v xml:space="preserve"> (Сплит система) Холодопроизводительность: N[12.5]</v>
      </c>
      <c r="D74" t="str">
        <f>CONCATENATE(D$2,": ",D$3,list1!D74,"]")</f>
        <v xml:space="preserve"> (Сплит система) Площадь помещения: N[120]</v>
      </c>
      <c r="E74" t="str">
        <f>CONCATENATE(E$2,": ",E$3,list1!E74,"]")</f>
        <v xml:space="preserve"> (Сплит система) Инвентор: S[да]</v>
      </c>
      <c r="F74" t="str">
        <f>CONCATENATE(F$2,": ",F$3,list1!F74,"]")</f>
        <v xml:space="preserve"> (Сплит система) Теплопроизводительность: N[14]</v>
      </c>
      <c r="G74" t="str">
        <f>CONCATENATE(G$2,": ",G$3,list1!G74,"]")</f>
        <v xml:space="preserve"> (Потребляемая мощность) Охлаждение: N[3.54]</v>
      </c>
      <c r="H74" t="str">
        <f>CONCATENATE(H$2,": ",H$3,list1!H74,"]")</f>
        <v xml:space="preserve"> (Потребляемая мощность) Обогрев: S[3.58]</v>
      </c>
      <c r="I74" t="str">
        <f>CONCATENATE(I$2,": ",I$3,list1!I74,"]")</f>
        <v xml:space="preserve"> (Рабочий ток) Охлаждение: S[]</v>
      </c>
      <c r="J74" t="str">
        <f>CONCATENATE(J$2,": ",J$3,list1!J74,"]")</f>
        <v xml:space="preserve"> (Рабочий ток) Обогрев: S[]</v>
      </c>
      <c r="K74" t="str">
        <f>CONCATENATE(K$2,": ",K$3,list1!K74,"]")</f>
        <v xml:space="preserve"> (Рабочий ток) Напряжение / Частота источника питания: S[3 / 400 / 50]</v>
      </c>
      <c r="L74" t="str">
        <f>CONCATENATE(L$2,": ",L$3,list1!L74,"]")</f>
        <v xml:space="preserve"> (Рабочий ток) Хладагент: S[R410A]</v>
      </c>
      <c r="M74" t="str">
        <f>CONCATENATE(M$2,": ",M$3,list1!M74,"]")</f>
        <v xml:space="preserve"> (Рабочий ток) Количество хладагента: N[]</v>
      </c>
      <c r="N74" t="str">
        <f>CONCATENATE(N$2,": ",N$3,list1!N74,"]")</f>
        <v xml:space="preserve"> (Рабочий ток) Объем рециркулируемого воздуха внутреннего блока: S[]</v>
      </c>
      <c r="O74" t="str">
        <f>CONCATENATE(O$2,": ",O$3,list1!O74,"]")</f>
        <v xml:space="preserve"> (Внутренний блок) Размеры (Ш x Г x В): S[950 х 50 х 950]</v>
      </c>
      <c r="P74" t="str">
        <f>CONCATENATE(P$2,": ",P$3,list1!P74,"]")</f>
        <v xml:space="preserve"> (Внутренний блок) Упаковка (Ш x Г x В): S[1020 х 1000 х 115]</v>
      </c>
      <c r="Q74" t="str">
        <f>CONCATENATE(Q$2,": ",Q$3,list1!Q74,"]")</f>
        <v xml:space="preserve"> (Внутренний блок) Масса (нетто / брутто): S[5.5 / 8.5]</v>
      </c>
      <c r="R74" t="str">
        <f>CONCATENATE(R$2,": ",R$3,list1!R74,"]")</f>
        <v xml:space="preserve"> (Внутренний блок) Уровень шума мин. / макс.: S[36/40/42/46]</v>
      </c>
      <c r="S74" t="str">
        <f>CONCATENATE(S$2,": ",S$3,list1!S74,"]")</f>
        <v xml:space="preserve"> (Наружный блок) Марка компрессора: S[TOSHIBA]</v>
      </c>
      <c r="T74" t="str">
        <f>CONCATENATE(T$2,": ",T$3,list1!T74,"]")</f>
        <v xml:space="preserve"> (Наружный блок) Размеры (Ш x Г x В): S[900 х 330 х 1290]</v>
      </c>
      <c r="U74" t="str">
        <f>CONCATENATE(U$2,": ",U$3,list1!U74,"]")</f>
        <v xml:space="preserve"> (Наружный блок) Упаковка (Ш x Г x В): S[1050 х 445 х 1460]</v>
      </c>
      <c r="V74" t="str">
        <f>CONCATENATE(V$2,": ",V$3,list1!V74,"]")</f>
        <v xml:space="preserve"> (Наружный блок) Масса (нетто / брутто): S[104/114]</v>
      </c>
      <c r="W74" t="str">
        <f>CONCATENATE(W$2,": ",W$3,list1!W74,"]")</f>
        <v xml:space="preserve"> (Наружный блок) Максимальный уровень шума: N[]</v>
      </c>
      <c r="X74" t="str">
        <f>CONCATENATE(X$2,": ",X$3,list1!X74,"]")</f>
        <v xml:space="preserve"> (Соединительные трубы) Жидкостная линия : N[9.52]</v>
      </c>
      <c r="Y74" t="str">
        <f>CONCATENATE(Y$2,": ",Y$3,list1!Y74,"]")</f>
        <v xml:space="preserve"> (Соединительные трубы) Газовая линия : N[15.88]</v>
      </c>
      <c r="Z74" t="str">
        <f>CONCATENATE(Z$2,": ",Z$3,list1!Z74,"]")</f>
        <v xml:space="preserve"> (Соединительные трубы) Максимальная длина трубопровода: N[75]</v>
      </c>
      <c r="AA74" t="str">
        <f>CONCATENATE(AA$2,": ",AA$3,list1!AA74,"]")</f>
        <v xml:space="preserve"> (Соединительные трубы) Максимальный перепад высот: S[30]</v>
      </c>
      <c r="AB74" t="str">
        <f>CONCATENATE(AB$2,": ",AB$3,list1!AB74,"]")</f>
        <v xml:space="preserve"> (Допустимая темп. наружного воздуха) Охлаждение: S[от -15 до +46]</v>
      </c>
      <c r="AC74" t="str">
        <f>CONCATENATE(AC$2,": ",AC$3,list1!AC74,"]")</f>
        <v xml:space="preserve"> (Допустимая темп. наружного воздуха) Обогрев: S[от -15 до +24]</v>
      </c>
      <c r="AD74" s="6" t="s">
        <v>5245</v>
      </c>
    </row>
    <row r="75" spans="1:30" x14ac:dyDescent="0.25">
      <c r="A75" t="str">
        <f>CONCATENATE(A$2,": ",A$3,list1!A75,"]")</f>
        <v>Производитель: E[FUJITSU]</v>
      </c>
      <c r="B75" t="str">
        <f>CONCATENATE(B$2,": ",B$3,list1!B75,"]")</f>
        <v xml:space="preserve"> Тип: S[Кассетные]</v>
      </c>
      <c r="C75" t="str">
        <f>CONCATENATE(C$2,": ",C$3,list1!C75,"]")</f>
        <v xml:space="preserve"> (Сплит система) Холодопроизводительность: N[12.5]</v>
      </c>
      <c r="D75" t="str">
        <f>CONCATENATE(D$2,": ",D$3,list1!D75,"]")</f>
        <v xml:space="preserve"> (Сплит система) Площадь помещения: N[120]</v>
      </c>
      <c r="E75" t="str">
        <f>CONCATENATE(E$2,": ",E$3,list1!E75,"]")</f>
        <v xml:space="preserve"> (Сплит система) Инвентор: S[да]</v>
      </c>
      <c r="F75" t="str">
        <f>CONCATENATE(F$2,": ",F$3,list1!F75,"]")</f>
        <v xml:space="preserve"> (Сплит система) Теплопроизводительность: N[14]</v>
      </c>
      <c r="G75" t="str">
        <f>CONCATENATE(G$2,": ",G$3,list1!G75,"]")</f>
        <v xml:space="preserve"> (Потребляемая мощность) Охлаждение: N[3.88]</v>
      </c>
      <c r="H75" t="str">
        <f>CONCATENATE(H$2,": ",H$3,list1!H75,"]")</f>
        <v xml:space="preserve"> (Потребляемая мощность) Обогрев: S[3.77]</v>
      </c>
      <c r="I75" t="str">
        <f>CONCATENATE(I$2,": ",I$3,list1!I75,"]")</f>
        <v xml:space="preserve"> (Рабочий ток) Охлаждение: S[]</v>
      </c>
      <c r="J75" t="str">
        <f>CONCATENATE(J$2,": ",J$3,list1!J75,"]")</f>
        <v xml:space="preserve"> (Рабочий ток) Обогрев: S[]</v>
      </c>
      <c r="K75" t="str">
        <f>CONCATENATE(K$2,": ",K$3,list1!K75,"]")</f>
        <v xml:space="preserve"> (Рабочий ток) Напряжение / Частота источника питания: S[1 / 220 / 50]</v>
      </c>
      <c r="L75" t="str">
        <f>CONCATENATE(L$2,": ",L$3,list1!L75,"]")</f>
        <v xml:space="preserve"> (Рабочий ток) Хладагент: S[R410A]</v>
      </c>
      <c r="M75" t="str">
        <f>CONCATENATE(M$2,": ",M$3,list1!M75,"]")</f>
        <v xml:space="preserve"> (Рабочий ток) Количество хладагента: N[]</v>
      </c>
      <c r="N75" t="str">
        <f>CONCATENATE(N$2,": ",N$3,list1!N75,"]")</f>
        <v xml:space="preserve"> (Рабочий ток) Объем рециркулируемого воздуха внутреннего блока: S[]</v>
      </c>
      <c r="O75" t="str">
        <f>CONCATENATE(O$2,": ",O$3,list1!O75,"]")</f>
        <v xml:space="preserve"> (Внутренний блок) Размеры (Ш x Г x В): S[950 х 50 х 950]</v>
      </c>
      <c r="P75" t="str">
        <f>CONCATENATE(P$2,": ",P$3,list1!P75,"]")</f>
        <v xml:space="preserve"> (Внутренний блок) Упаковка (Ш x Г x В): S[1020 х 1000 х 115]</v>
      </c>
      <c r="Q75" t="str">
        <f>CONCATENATE(Q$2,": ",Q$3,list1!Q75,"]")</f>
        <v xml:space="preserve"> (Внутренний блок) Масса (нетто / брутто): S[5.5 / 8.5]</v>
      </c>
      <c r="R75" t="str">
        <f>CONCATENATE(R$2,": ",R$3,list1!R75,"]")</f>
        <v xml:space="preserve"> (Внутренний блок) Уровень шума мин. / макс.: S[36/40/42/46]</v>
      </c>
      <c r="S75" t="str">
        <f>CONCATENATE(S$2,": ",S$3,list1!S75,"]")</f>
        <v xml:space="preserve"> (Наружный блок) Марка компрессора: S[GENERAL]</v>
      </c>
      <c r="T75" t="str">
        <f>CONCATENATE(T$2,": ",T$3,list1!T75,"]")</f>
        <v xml:space="preserve"> (Наружный блок) Размеры (Ш x Г x В): S[900 х 330 х 1290]</v>
      </c>
      <c r="U75" t="str">
        <f>CONCATENATE(U$2,": ",U$3,list1!U75,"]")</f>
        <v xml:space="preserve"> (Наружный блок) Упаковка (Ш x Г x В): S[1050 х 445 х 1460]</v>
      </c>
      <c r="V75" t="str">
        <f>CONCATENATE(V$2,": ",V$3,list1!V75,"]")</f>
        <v xml:space="preserve"> (Наружный блок) Масса (нетто / брутто): S[86/95]</v>
      </c>
      <c r="W75" t="str">
        <f>CONCATENATE(W$2,": ",W$3,list1!W75,"]")</f>
        <v xml:space="preserve"> (Наружный блок) Максимальный уровень шума: N[]</v>
      </c>
      <c r="X75" t="str">
        <f>CONCATENATE(X$2,": ",X$3,list1!X75,"]")</f>
        <v xml:space="preserve"> (Соединительные трубы) Жидкостная линия : N[9.52]</v>
      </c>
      <c r="Y75" t="str">
        <f>CONCATENATE(Y$2,": ",Y$3,list1!Y75,"]")</f>
        <v xml:space="preserve"> (Соединительные трубы) Газовая линия : N[15.88]</v>
      </c>
      <c r="Z75" t="str">
        <f>CONCATENATE(Z$2,": ",Z$3,list1!Z75,"]")</f>
        <v xml:space="preserve"> (Соединительные трубы) Максимальная длина трубопровода: N[50]</v>
      </c>
      <c r="AA75" t="str">
        <f>CONCATENATE(AA$2,": ",AA$3,list1!AA75,"]")</f>
        <v xml:space="preserve"> (Соединительные трубы) Максимальный перепад высот: S[30]</v>
      </c>
      <c r="AB75" t="str">
        <f>CONCATENATE(AB$2,": ",AB$3,list1!AB75,"]")</f>
        <v xml:space="preserve"> (Допустимая темп. наружного воздуха) Охлаждение: S[от -15 до +46]</v>
      </c>
      <c r="AC75" t="str">
        <f>CONCATENATE(AC$2,": ",AC$3,list1!AC75,"]")</f>
        <v xml:space="preserve"> (Допустимая темп. наружного воздуха) Обогрев: S[от -15 до +24]</v>
      </c>
      <c r="AD75" s="6" t="s">
        <v>5245</v>
      </c>
    </row>
    <row r="76" spans="1:30" x14ac:dyDescent="0.25">
      <c r="A76" t="str">
        <f>CONCATENATE(A$2,": ",A$3,list1!A76,"]")</f>
        <v>Производитель: E[FUJITSU]</v>
      </c>
      <c r="B76" t="str">
        <f>CONCATENATE(B$2,": ",B$3,list1!B76,"]")</f>
        <v xml:space="preserve"> Тип: S[Кассетные]</v>
      </c>
      <c r="C76" t="str">
        <f>CONCATENATE(C$2,": ",C$3,list1!C76,"]")</f>
        <v xml:space="preserve"> (Сплит система) Холодопроизводительность: N[14]</v>
      </c>
      <c r="D76" t="str">
        <f>CONCATENATE(D$2,": ",D$3,list1!D76,"]")</f>
        <v xml:space="preserve"> (Сплит система) Площадь помещения: N[140]</v>
      </c>
      <c r="E76" t="str">
        <f>CONCATENATE(E$2,": ",E$3,list1!E76,"]")</f>
        <v xml:space="preserve"> (Сплит система) Инвентор: S[да]</v>
      </c>
      <c r="F76" t="str">
        <f>CONCATENATE(F$2,": ",F$3,list1!F76,"]")</f>
        <v xml:space="preserve"> (Сплит система) Теплопроизводительность: N[16]</v>
      </c>
      <c r="G76" t="str">
        <f>CONCATENATE(G$2,": ",G$3,list1!G76,"]")</f>
        <v xml:space="preserve"> (Потребляемая мощность) Охлаждение: N[4.36]</v>
      </c>
      <c r="H76" t="str">
        <f>CONCATENATE(H$2,": ",H$3,list1!H76,"]")</f>
        <v xml:space="preserve"> (Потребляемая мощность) Обогрев: S[4.43]</v>
      </c>
      <c r="I76" t="str">
        <f>CONCATENATE(I$2,": ",I$3,list1!I76,"]")</f>
        <v xml:space="preserve"> (Рабочий ток) Охлаждение: S[]</v>
      </c>
      <c r="J76" t="str">
        <f>CONCATENATE(J$2,": ",J$3,list1!J76,"]")</f>
        <v xml:space="preserve"> (Рабочий ток) Обогрев: S[]</v>
      </c>
      <c r="K76" t="str">
        <f>CONCATENATE(K$2,": ",K$3,list1!K76,"]")</f>
        <v xml:space="preserve"> (Рабочий ток) Напряжение / Частота источника питания: S[3 / 400 / 50]</v>
      </c>
      <c r="L76" t="str">
        <f>CONCATENATE(L$2,": ",L$3,list1!L76,"]")</f>
        <v xml:space="preserve"> (Рабочий ток) Хладагент: S[R410A]</v>
      </c>
      <c r="M76" t="str">
        <f>CONCATENATE(M$2,": ",M$3,list1!M76,"]")</f>
        <v xml:space="preserve"> (Рабочий ток) Количество хладагента: N[]</v>
      </c>
      <c r="N76" t="str">
        <f>CONCATENATE(N$2,": ",N$3,list1!N76,"]")</f>
        <v xml:space="preserve"> (Рабочий ток) Объем рециркулируемого воздуха внутреннего блока: S[]</v>
      </c>
      <c r="O76" t="str">
        <f>CONCATENATE(O$2,": ",O$3,list1!O76,"]")</f>
        <v xml:space="preserve"> (Внутренний блок) Размеры (Ш x Г x В): S[950 х 50 х 950]</v>
      </c>
      <c r="P76" t="str">
        <f>CONCATENATE(P$2,": ",P$3,list1!P76,"]")</f>
        <v xml:space="preserve"> (Внутренний блок) Упаковка (Ш x Г x В): S[1020 х 1000 х 115]</v>
      </c>
      <c r="Q76" t="str">
        <f>CONCATENATE(Q$2,": ",Q$3,list1!Q76,"]")</f>
        <v xml:space="preserve"> (Внутренний блок) Масса (нетто / брутто): S[5.5 / 8.5]</v>
      </c>
      <c r="R76" t="str">
        <f>CONCATENATE(R$2,": ",R$3,list1!R76,"]")</f>
        <v xml:space="preserve"> (Внутренний блок) Уровень шума мин. / макс.: S[37/41/43/47]</v>
      </c>
      <c r="S76" t="str">
        <f>CONCATENATE(S$2,": ",S$3,list1!S76,"]")</f>
        <v xml:space="preserve"> (Наружный блок) Марка компрессора: S[TOSHIBA]</v>
      </c>
      <c r="T76" t="str">
        <f>CONCATENATE(T$2,": ",T$3,list1!T76,"]")</f>
        <v xml:space="preserve"> (Наружный блок) Размеры (Ш x Г x В): S[900 х 330 х 1290]</v>
      </c>
      <c r="U76" t="str">
        <f>CONCATENATE(U$2,": ",U$3,list1!U76,"]")</f>
        <v xml:space="preserve"> (Наружный блок) Упаковка (Ш x Г x В): S[1050 х 445 х 1460]</v>
      </c>
      <c r="V76" t="str">
        <f>CONCATENATE(V$2,": ",V$3,list1!V76,"]")</f>
        <v xml:space="preserve"> (Наружный блок) Масса (нетто / брутто): S[104/114]</v>
      </c>
      <c r="W76" t="str">
        <f>CONCATENATE(W$2,": ",W$3,list1!W76,"]")</f>
        <v xml:space="preserve"> (Наружный блок) Максимальный уровень шума: N[]</v>
      </c>
      <c r="X76" t="str">
        <f>CONCATENATE(X$2,": ",X$3,list1!X76,"]")</f>
        <v xml:space="preserve"> (Соединительные трубы) Жидкостная линия : N[9.52]</v>
      </c>
      <c r="Y76" t="str">
        <f>CONCATENATE(Y$2,": ",Y$3,list1!Y76,"]")</f>
        <v xml:space="preserve"> (Соединительные трубы) Газовая линия : N[15.88]</v>
      </c>
      <c r="Z76" t="str">
        <f>CONCATENATE(Z$2,": ",Z$3,list1!Z76,"]")</f>
        <v xml:space="preserve"> (Соединительные трубы) Максимальная длина трубопровода: N[75]</v>
      </c>
      <c r="AA76" t="str">
        <f>CONCATENATE(AA$2,": ",AA$3,list1!AA76,"]")</f>
        <v xml:space="preserve"> (Соединительные трубы) Максимальный перепад высот: S[30]</v>
      </c>
      <c r="AB76" t="str">
        <f>CONCATENATE(AB$2,": ",AB$3,list1!AB76,"]")</f>
        <v xml:space="preserve"> (Допустимая темп. наружного воздуха) Охлаждение: S[от -15 до +46]</v>
      </c>
      <c r="AC76" t="str">
        <f>CONCATENATE(AC$2,": ",AC$3,list1!AC76,"]")</f>
        <v xml:space="preserve"> (Допустимая темп. наружного воздуха) Обогрев: S[от -15 до +24]</v>
      </c>
      <c r="AD76" s="6" t="s">
        <v>5245</v>
      </c>
    </row>
    <row r="77" spans="1:30" x14ac:dyDescent="0.25">
      <c r="A77" t="str">
        <f>CONCATENATE(A$2,": ",A$3,list1!A77,"]")</f>
        <v>Производитель: E[FUJITSU]</v>
      </c>
      <c r="B77" t="str">
        <f>CONCATENATE(B$2,": ",B$3,list1!B77,"]")</f>
        <v xml:space="preserve"> Тип: S[Кассетные]</v>
      </c>
      <c r="C77" t="str">
        <f>CONCATENATE(C$2,": ",C$3,list1!C77,"]")</f>
        <v xml:space="preserve"> (Сплит система) Холодопроизводительность: N[13.3]</v>
      </c>
      <c r="D77" t="str">
        <f>CONCATENATE(D$2,": ",D$3,list1!D77,"]")</f>
        <v xml:space="preserve"> (Сплит система) Площадь помещения: N[130]</v>
      </c>
      <c r="E77" t="str">
        <f>CONCATENATE(E$2,": ",E$3,list1!E77,"]")</f>
        <v xml:space="preserve"> (Сплит система) Инвентор: S[да]</v>
      </c>
      <c r="F77" t="str">
        <f>CONCATENATE(F$2,": ",F$3,list1!F77,"]")</f>
        <v xml:space="preserve"> (Сплит система) Теплопроизводительность: N[16]</v>
      </c>
      <c r="G77" t="str">
        <f>CONCATENATE(G$2,": ",G$3,list1!G77,"]")</f>
        <v xml:space="preserve"> (Потребляемая мощность) Охлаждение: N[4.42]</v>
      </c>
      <c r="H77" t="str">
        <f>CONCATENATE(H$2,": ",H$3,list1!H77,"]")</f>
        <v xml:space="preserve"> (Потребляемая мощность) Обогрев: S[4.69]</v>
      </c>
      <c r="I77" t="str">
        <f>CONCATENATE(I$2,": ",I$3,list1!I77,"]")</f>
        <v xml:space="preserve"> (Рабочий ток) Охлаждение: S[]</v>
      </c>
      <c r="J77" t="str">
        <f>CONCATENATE(J$2,": ",J$3,list1!J77,"]")</f>
        <v xml:space="preserve"> (Рабочий ток) Обогрев: S[]</v>
      </c>
      <c r="K77" t="str">
        <f>CONCATENATE(K$2,": ",K$3,list1!K77,"]")</f>
        <v xml:space="preserve"> (Рабочий ток) Напряжение / Частота источника питания: S[1 / 220 / 50]</v>
      </c>
      <c r="L77" t="str">
        <f>CONCATENATE(L$2,": ",L$3,list1!L77,"]")</f>
        <v xml:space="preserve"> (Рабочий ток) Хладагент: S[R410A]</v>
      </c>
      <c r="M77" t="str">
        <f>CONCATENATE(M$2,": ",M$3,list1!M77,"]")</f>
        <v xml:space="preserve"> (Рабочий ток) Количество хладагента: N[]</v>
      </c>
      <c r="N77" t="str">
        <f>CONCATENATE(N$2,": ",N$3,list1!N77,"]")</f>
        <v xml:space="preserve"> (Рабочий ток) Объем рециркулируемого воздуха внутреннего блока: S[]</v>
      </c>
      <c r="O77" t="str">
        <f>CONCATENATE(O$2,": ",O$3,list1!O77,"]")</f>
        <v xml:space="preserve"> (Внутренний блок) Размеры (Ш x Г x В): S[950 х 50 х 950]</v>
      </c>
      <c r="P77" t="str">
        <f>CONCATENATE(P$2,": ",P$3,list1!P77,"]")</f>
        <v xml:space="preserve"> (Внутренний блок) Упаковка (Ш x Г x В): S[1020 х 1000 х 115]</v>
      </c>
      <c r="Q77" t="str">
        <f>CONCATENATE(Q$2,": ",Q$3,list1!Q77,"]")</f>
        <v xml:space="preserve"> (Внутренний блок) Масса (нетто / брутто): S[5.5 / 8.5]</v>
      </c>
      <c r="R77" t="str">
        <f>CONCATENATE(R$2,": ",R$3,list1!R77,"]")</f>
        <v xml:space="preserve"> (Внутренний блок) Уровень шума мин. / макс.: S[37/41/43/47]</v>
      </c>
      <c r="S77" t="str">
        <f>CONCATENATE(S$2,": ",S$3,list1!S77,"]")</f>
        <v xml:space="preserve"> (Наружный блок) Марка компрессора: S[GENERAL]</v>
      </c>
      <c r="T77" t="str">
        <f>CONCATENATE(T$2,": ",T$3,list1!T77,"]")</f>
        <v xml:space="preserve"> (Наружный блок) Размеры (Ш x Г x В): S[900 х 330 х 1290]</v>
      </c>
      <c r="U77" t="str">
        <f>CONCATENATE(U$2,": ",U$3,list1!U77,"]")</f>
        <v xml:space="preserve"> (Наружный блок) Упаковка (Ш x Г x В): S[1050 х 445 х 1460]</v>
      </c>
      <c r="V77" t="str">
        <f>CONCATENATE(V$2,": ",V$3,list1!V77,"]")</f>
        <v xml:space="preserve"> (Наружный блок) Масса (нетто / брутто): S[86/95]</v>
      </c>
      <c r="W77" t="str">
        <f>CONCATENATE(W$2,": ",W$3,list1!W77,"]")</f>
        <v xml:space="preserve"> (Наружный блок) Максимальный уровень шума: N[]</v>
      </c>
      <c r="X77" t="str">
        <f>CONCATENATE(X$2,": ",X$3,list1!X77,"]")</f>
        <v xml:space="preserve"> (Соединительные трубы) Жидкостная линия : N[9.52]</v>
      </c>
      <c r="Y77" t="str">
        <f>CONCATENATE(Y$2,": ",Y$3,list1!Y77,"]")</f>
        <v xml:space="preserve"> (Соединительные трубы) Газовая линия : N[15.88]</v>
      </c>
      <c r="Z77" t="str">
        <f>CONCATENATE(Z$2,": ",Z$3,list1!Z77,"]")</f>
        <v xml:space="preserve"> (Соединительные трубы) Максимальная длина трубопровода: N[50]</v>
      </c>
      <c r="AA77" t="str">
        <f>CONCATENATE(AA$2,": ",AA$3,list1!AA77,"]")</f>
        <v xml:space="preserve"> (Соединительные трубы) Максимальный перепад высот: S[30]</v>
      </c>
      <c r="AB77" t="str">
        <f>CONCATENATE(AB$2,": ",AB$3,list1!AB77,"]")</f>
        <v xml:space="preserve"> (Допустимая темп. наружного воздуха) Охлаждение: S[от -15 до +46]</v>
      </c>
      <c r="AC77" t="str">
        <f>CONCATENATE(AC$2,": ",AC$3,list1!AC77,"]")</f>
        <v xml:space="preserve"> (Допустимая темп. наружного воздуха) Обогрев: S[от -15 до +24]</v>
      </c>
      <c r="AD77" s="6" t="s">
        <v>5245</v>
      </c>
    </row>
    <row r="78" spans="1:30" x14ac:dyDescent="0.25">
      <c r="A78" t="str">
        <f>CONCATENATE(A$2,": ",A$3,list1!A78,"]")</f>
        <v>Производитель: E[FUJITSU]</v>
      </c>
      <c r="B78" t="str">
        <f>CONCATENATE(B$2,": ",B$3,list1!B78,"]")</f>
        <v xml:space="preserve"> Тип: S[Кассетные]</v>
      </c>
      <c r="C78" t="str">
        <f>CONCATENATE(C$2,": ",C$3,list1!C78,"]")</f>
        <v xml:space="preserve"> (Сплит система) Холодопроизводительность: N[5.2]</v>
      </c>
      <c r="D78" t="str">
        <f>CONCATENATE(D$2,": ",D$3,list1!D78,"]")</f>
        <v xml:space="preserve"> (Сплит система) Площадь помещения: N[52]</v>
      </c>
      <c r="E78" t="str">
        <f>CONCATENATE(E$2,": ",E$3,list1!E78,"]")</f>
        <v xml:space="preserve"> (Сплит система) Инвентор: S[да]</v>
      </c>
      <c r="F78" t="str">
        <f>CONCATENATE(F$2,": ",F$3,list1!F78,"]")</f>
        <v xml:space="preserve"> (Сплит система) Теплопроизводительность: N[6]</v>
      </c>
      <c r="G78" t="str">
        <f>CONCATENATE(G$2,": ",G$3,list1!G78,"]")</f>
        <v xml:space="preserve"> (Потребляемая мощность) Охлаждение: N[1.6]</v>
      </c>
      <c r="H78" t="str">
        <f>CONCATENATE(H$2,": ",H$3,list1!H78,"]")</f>
        <v xml:space="preserve"> (Потребляемая мощность) Обогрев: S[1.66]</v>
      </c>
      <c r="I78" t="str">
        <f>CONCATENATE(I$2,": ",I$3,list1!I78,"]")</f>
        <v xml:space="preserve"> (Рабочий ток) Охлаждение: S[]</v>
      </c>
      <c r="J78" t="str">
        <f>CONCATENATE(J$2,": ",J$3,list1!J78,"]")</f>
        <v xml:space="preserve"> (Рабочий ток) Обогрев: S[]</v>
      </c>
      <c r="K78" t="str">
        <f>CONCATENATE(K$2,": ",K$3,list1!K78,"]")</f>
        <v xml:space="preserve"> (Рабочий ток) Напряжение / Частота источника питания: S[1 / 230 / 50]</v>
      </c>
      <c r="L78" t="str">
        <f>CONCATENATE(L$2,": ",L$3,list1!L78,"]")</f>
        <v xml:space="preserve"> (Рабочий ток) Хладагент: S[R32]</v>
      </c>
      <c r="M78" t="str">
        <f>CONCATENATE(M$2,": ",M$3,list1!M78,"]")</f>
        <v xml:space="preserve"> (Рабочий ток) Количество хладагента: N[]</v>
      </c>
      <c r="N78" t="str">
        <f>CONCATENATE(N$2,": ",N$3,list1!N78,"]")</f>
        <v xml:space="preserve"> (Рабочий ток) Объем рециркулируемого воздуха внутреннего блока: S[]</v>
      </c>
      <c r="O78" t="str">
        <f>CONCATENATE(O$2,": ",O$3,list1!O78,"]")</f>
        <v xml:space="preserve"> (Внутренний блок) Размеры (Ш x Г x В): S[950 х 53 х 950]</v>
      </c>
      <c r="P78" t="str">
        <f>CONCATENATE(P$2,": ",P$3,list1!P78,"]")</f>
        <v xml:space="preserve"> (Внутренний блок) Упаковка (Ш x Г x В): S[1000 х 1010 х 110]</v>
      </c>
      <c r="Q78" t="str">
        <f>CONCATENATE(Q$2,": ",Q$3,list1!Q78,"]")</f>
        <v xml:space="preserve"> (Внутренний блок) Масса (нетто / брутто): S[10.5 / 10.5]</v>
      </c>
      <c r="R78" t="str">
        <f>CONCATENATE(R$2,": ",R$3,list1!R78,"]")</f>
        <v xml:space="preserve"> (Внутренний блок) Уровень шума мин. / макс.: S[28/31/32/33]</v>
      </c>
      <c r="S78" t="str">
        <f>CONCATENATE(S$2,": ",S$3,list1!S78,"]")</f>
        <v xml:space="preserve"> (Наружный блок) Марка компрессора: S[]</v>
      </c>
      <c r="T78" t="str">
        <f>CONCATENATE(T$2,": ",T$3,list1!T78,"]")</f>
        <v xml:space="preserve"> (Наружный блок) Размеры (Ш x Г x В): S[799 х 290 х 542]</v>
      </c>
      <c r="U78" t="str">
        <f>CONCATENATE(U$2,": ",U$3,list1!U78,"]")</f>
        <v xml:space="preserve"> (Наружный блок) Упаковка (Ш x Г x В): S[940 х 375 х 602]</v>
      </c>
      <c r="V78" t="str">
        <f>CONCATENATE(V$2,": ",V$3,list1!V78,"]")</f>
        <v xml:space="preserve"> (Наружный блок) Масса (нетто / брутто): S[33/36]</v>
      </c>
      <c r="W78" t="str">
        <f>CONCATENATE(W$2,": ",W$3,list1!W78,"]")</f>
        <v xml:space="preserve"> (Наружный блок) Максимальный уровень шума: N[]</v>
      </c>
      <c r="X78" t="str">
        <f>CONCATENATE(X$2,": ",X$3,list1!X78,"]")</f>
        <v xml:space="preserve"> (Соединительные трубы) Жидкостная линия : N[6.35]</v>
      </c>
      <c r="Y78" t="str">
        <f>CONCATENATE(Y$2,": ",Y$3,list1!Y78,"]")</f>
        <v xml:space="preserve"> (Соединительные трубы) Газовая линия : N[12.7]</v>
      </c>
      <c r="Z78" t="str">
        <f>CONCATENATE(Z$2,": ",Z$3,list1!Z78,"]")</f>
        <v xml:space="preserve"> (Соединительные трубы) Максимальная длина трубопровода: N[20]</v>
      </c>
      <c r="AA78" t="str">
        <f>CONCATENATE(AA$2,": ",AA$3,list1!AA78,"]")</f>
        <v xml:space="preserve"> (Соединительные трубы) Максимальный перепад высот: S[15]</v>
      </c>
      <c r="AB78" t="str">
        <f>CONCATENATE(AB$2,": ",AB$3,list1!AB78,"]")</f>
        <v xml:space="preserve"> (Допустимая темп. наружного воздуха) Охлаждение: S[от -10 до +46]</v>
      </c>
      <c r="AC78" t="str">
        <f>CONCATENATE(AC$2,": ",AC$3,list1!AC78,"]")</f>
        <v xml:space="preserve"> (Допустимая темп. наружного воздуха) Обогрев: S[от -15 до +24]</v>
      </c>
      <c r="AD78" s="6" t="s">
        <v>5245</v>
      </c>
    </row>
    <row r="79" spans="1:30" x14ac:dyDescent="0.25">
      <c r="A79" t="str">
        <f>CONCATENATE(A$2,": ",A$3,list1!A79,"]")</f>
        <v>Производитель: E[FUJITSU]</v>
      </c>
      <c r="B79" t="str">
        <f>CONCATENATE(B$2,": ",B$3,list1!B79,"]")</f>
        <v xml:space="preserve"> Тип: S[Кассетные]</v>
      </c>
      <c r="C79" t="str">
        <f>CONCATENATE(C$2,": ",C$3,list1!C79,"]")</f>
        <v xml:space="preserve"> (Сплит система) Холодопроизводительность: N[6.8]</v>
      </c>
      <c r="D79" t="str">
        <f>CONCATENATE(D$2,": ",D$3,list1!D79,"]")</f>
        <v xml:space="preserve"> (Сплит система) Площадь помещения: N[68]</v>
      </c>
      <c r="E79" t="str">
        <f>CONCATENATE(E$2,": ",E$3,list1!E79,"]")</f>
        <v xml:space="preserve"> (Сплит система) Инвентор: S[да]</v>
      </c>
      <c r="F79" t="str">
        <f>CONCATENATE(F$2,": ",F$3,list1!F79,"]")</f>
        <v xml:space="preserve"> (Сплит система) Теплопроизводительность: N[7.5]</v>
      </c>
      <c r="G79" t="str">
        <f>CONCATENATE(G$2,": ",G$3,list1!G79,"]")</f>
        <v xml:space="preserve"> (Потребляемая мощность) Охлаждение: N[2.12]</v>
      </c>
      <c r="H79" t="str">
        <f>CONCATENATE(H$2,": ",H$3,list1!H79,"]")</f>
        <v xml:space="preserve"> (Потребляемая мощность) Обогрев: S[1.97]</v>
      </c>
      <c r="I79" t="str">
        <f>CONCATENATE(I$2,": ",I$3,list1!I79,"]")</f>
        <v xml:space="preserve"> (Рабочий ток) Охлаждение: S[]</v>
      </c>
      <c r="J79" t="str">
        <f>CONCATENATE(J$2,": ",J$3,list1!J79,"]")</f>
        <v xml:space="preserve"> (Рабочий ток) Обогрев: S[]</v>
      </c>
      <c r="K79" t="str">
        <f>CONCATENATE(K$2,": ",K$3,list1!K79,"]")</f>
        <v xml:space="preserve"> (Рабочий ток) Напряжение / Частота источника питания: S[1 / 230 / 50]</v>
      </c>
      <c r="L79" t="str">
        <f>CONCATENATE(L$2,": ",L$3,list1!L79,"]")</f>
        <v xml:space="preserve"> (Рабочий ток) Хладагент: S[R32]</v>
      </c>
      <c r="M79" t="str">
        <f>CONCATENATE(M$2,": ",M$3,list1!M79,"]")</f>
        <v xml:space="preserve"> (Рабочий ток) Количество хладагента: N[]</v>
      </c>
      <c r="N79" t="str">
        <f>CONCATENATE(N$2,": ",N$3,list1!N79,"]")</f>
        <v xml:space="preserve"> (Рабочий ток) Объем рециркулируемого воздуха внутреннего блока: S[]</v>
      </c>
      <c r="O79" t="str">
        <f>CONCATENATE(O$2,": ",O$3,list1!O79,"]")</f>
        <v xml:space="preserve"> (Внутренний блок) Размеры (Ш x Г x В): S[950 х 53 х 950]</v>
      </c>
      <c r="P79" t="str">
        <f>CONCATENATE(P$2,": ",P$3,list1!P79,"]")</f>
        <v xml:space="preserve"> (Внутренний блок) Упаковка (Ш x Г x В): S[1000 х 1010 х 110]</v>
      </c>
      <c r="Q79" t="str">
        <f>CONCATENATE(Q$2,": ",Q$3,list1!Q79,"]")</f>
        <v xml:space="preserve"> (Внутренний блок) Масса (нетто / брутто): S[10.5 / 10.5]</v>
      </c>
      <c r="R79" t="str">
        <f>CONCATENATE(R$2,": ",R$3,list1!R79,"]")</f>
        <v xml:space="preserve"> (Внутренний блок) Уровень шума мин. / макс.: S[29/32/33/35]</v>
      </c>
      <c r="S79" t="str">
        <f>CONCATENATE(S$2,": ",S$3,list1!S79,"]")</f>
        <v xml:space="preserve"> (Наружный блок) Марка компрессора: S[]</v>
      </c>
      <c r="T79" t="str">
        <f>CONCATENATE(T$2,": ",T$3,list1!T79,"]")</f>
        <v xml:space="preserve"> (Наружный блок) Размеры (Ш x Г x В): S[799 х 290 х 632]</v>
      </c>
      <c r="U79" t="str">
        <f>CONCATENATE(U$2,": ",U$3,list1!U79,"]")</f>
        <v xml:space="preserve"> (Наружный блок) Упаковка (Ш x Г x В): S[940 х 375 х 692]</v>
      </c>
      <c r="V79" t="str">
        <f>CONCATENATE(V$2,": ",V$3,list1!V79,"]")</f>
        <v xml:space="preserve"> (Наружный блок) Масса (нетто / брутто): S[38/42]</v>
      </c>
      <c r="W79" t="str">
        <f>CONCATENATE(W$2,": ",W$3,list1!W79,"]")</f>
        <v xml:space="preserve"> (Наружный блок) Максимальный уровень шума: N[]</v>
      </c>
      <c r="X79" t="str">
        <f>CONCATENATE(X$2,": ",X$3,list1!X79,"]")</f>
        <v xml:space="preserve"> (Соединительные трубы) Жидкостная линия : N[6.35]</v>
      </c>
      <c r="Y79" t="str">
        <f>CONCATENATE(Y$2,": ",Y$3,list1!Y79,"]")</f>
        <v xml:space="preserve"> (Соединительные трубы) Газовая линия : N[12.7]</v>
      </c>
      <c r="Z79" t="str">
        <f>CONCATENATE(Z$2,": ",Z$3,list1!Z79,"]")</f>
        <v xml:space="preserve"> (Соединительные трубы) Максимальная длина трубопровода: N[25]</v>
      </c>
      <c r="AA79" t="str">
        <f>CONCATENATE(AA$2,": ",AA$3,list1!AA79,"]")</f>
        <v xml:space="preserve"> (Соединительные трубы) Максимальный перепад высот: S[20]</v>
      </c>
      <c r="AB79" t="str">
        <f>CONCATENATE(AB$2,": ",AB$3,list1!AB79,"]")</f>
        <v xml:space="preserve"> (Допустимая темп. наружного воздуха) Охлаждение: S[от -10 до +46]</v>
      </c>
      <c r="AC79" t="str">
        <f>CONCATENATE(AC$2,": ",AC$3,list1!AC79,"]")</f>
        <v xml:space="preserve"> (Допустимая темп. наружного воздуха) Обогрев: S[от -15 до +24]</v>
      </c>
      <c r="AD79" s="6" t="s">
        <v>5245</v>
      </c>
    </row>
    <row r="80" spans="1:30" x14ac:dyDescent="0.25">
      <c r="A80" t="str">
        <f>CONCATENATE(A$2,": ",A$3,list1!A80,"]")</f>
        <v>Производитель: E[FUJITSU]</v>
      </c>
      <c r="B80" t="str">
        <f>CONCATENATE(B$2,": ",B$3,list1!B80,"]")</f>
        <v xml:space="preserve"> Тип: S[Кассетные]</v>
      </c>
      <c r="C80" t="str">
        <f>CONCATENATE(C$2,": ",C$3,list1!C80,"]")</f>
        <v xml:space="preserve"> (Сплит система) Холодопроизводительность: N[8.5]</v>
      </c>
      <c r="D80" t="str">
        <f>CONCATENATE(D$2,": ",D$3,list1!D80,"]")</f>
        <v xml:space="preserve"> (Сплит система) Площадь помещения: N[85]</v>
      </c>
      <c r="E80" t="str">
        <f>CONCATENATE(E$2,": ",E$3,list1!E80,"]")</f>
        <v xml:space="preserve"> (Сплит система) Инвентор: S[да]</v>
      </c>
      <c r="F80" t="str">
        <f>CONCATENATE(F$2,": ",F$3,list1!F80,"]")</f>
        <v xml:space="preserve"> (Сплит система) Теплопроизводительность: N[10]</v>
      </c>
      <c r="G80" t="str">
        <f>CONCATENATE(G$2,": ",G$3,list1!G80,"]")</f>
        <v xml:space="preserve"> (Потребляемая мощность) Охлаждение: N[2.56]</v>
      </c>
      <c r="H80" t="str">
        <f>CONCATENATE(H$2,": ",H$3,list1!H80,"]")</f>
        <v xml:space="preserve"> (Потребляемая мощность) Обогрев: S[2.64]</v>
      </c>
      <c r="I80" t="str">
        <f>CONCATENATE(I$2,": ",I$3,list1!I80,"]")</f>
        <v xml:space="preserve"> (Рабочий ток) Охлаждение: S[]</v>
      </c>
      <c r="J80" t="str">
        <f>CONCATENATE(J$2,": ",J$3,list1!J80,"]")</f>
        <v xml:space="preserve"> (Рабочий ток) Обогрев: S[]</v>
      </c>
      <c r="K80" t="str">
        <f>CONCATENATE(K$2,": ",K$3,list1!K80,"]")</f>
        <v xml:space="preserve"> (Рабочий ток) Напряжение / Частота источника питания: S[1 / 230 / 50]</v>
      </c>
      <c r="L80" t="str">
        <f>CONCATENATE(L$2,": ",L$3,list1!L80,"]")</f>
        <v xml:space="preserve"> (Рабочий ток) Хладагент: S[R32]</v>
      </c>
      <c r="M80" t="str">
        <f>CONCATENATE(M$2,": ",M$3,list1!M80,"]")</f>
        <v xml:space="preserve"> (Рабочий ток) Количество хладагента: N[]</v>
      </c>
      <c r="N80" t="str">
        <f>CONCATENATE(N$2,": ",N$3,list1!N80,"]")</f>
        <v xml:space="preserve"> (Рабочий ток) Объем рециркулируемого воздуха внутреннего блока: S[]</v>
      </c>
      <c r="O80" t="str">
        <f>CONCATENATE(O$2,": ",O$3,list1!O80,"]")</f>
        <v xml:space="preserve"> (Внутренний блок) Размеры (Ш x Г x В): S[950 х 53 х 950]</v>
      </c>
      <c r="P80" t="str">
        <f>CONCATENATE(P$2,": ",P$3,list1!P80,"]")</f>
        <v xml:space="preserve"> (Внутренний блок) Упаковка (Ш x Г x В): S[1000 х 1010 х 110]</v>
      </c>
      <c r="Q80" t="str">
        <f>CONCATENATE(Q$2,": ",Q$3,list1!Q80,"]")</f>
        <v xml:space="preserve"> (Внутренний блок) Масса (нетто / брутто): S[10.5 / 10.5]</v>
      </c>
      <c r="R80" t="str">
        <f>CONCATENATE(R$2,": ",R$3,list1!R80,"]")</f>
        <v xml:space="preserve"> (Внутренний блок) Уровень шума мин. / макс.: S[33/36/38/40]</v>
      </c>
      <c r="S80" t="str">
        <f>CONCATENATE(S$2,": ",S$3,list1!S80,"]")</f>
        <v xml:space="preserve"> (Наружный блок) Марка компрессора: S[]</v>
      </c>
      <c r="T80" t="str">
        <f>CONCATENATE(T$2,": ",T$3,list1!T80,"]")</f>
        <v xml:space="preserve"> (Наружный блок) Размеры (Ш x Г x В): S[940 х 320 х 788]</v>
      </c>
      <c r="U80" t="str">
        <f>CONCATENATE(U$2,": ",U$3,list1!U80,"]")</f>
        <v xml:space="preserve"> (Наружный блок) Упаковка (Ш x Г x В): S[1027 х 445 х 966]</v>
      </c>
      <c r="V80" t="str">
        <f>CONCATENATE(V$2,": ",V$3,list1!V80,"]")</f>
        <v xml:space="preserve"> (Наружный блок) Масса (нетто / брутто): S[52/61]</v>
      </c>
      <c r="W80" t="str">
        <f>CONCATENATE(W$2,": ",W$3,list1!W80,"]")</f>
        <v xml:space="preserve"> (Наружный блок) Максимальный уровень шума: N[]</v>
      </c>
      <c r="X80" t="str">
        <f>CONCATENATE(X$2,": ",X$3,list1!X80,"]")</f>
        <v xml:space="preserve"> (Соединительные трубы) Жидкостная линия : N[9.52]</v>
      </c>
      <c r="Y80" t="str">
        <f>CONCATENATE(Y$2,": ",Y$3,list1!Y80,"]")</f>
        <v xml:space="preserve"> (Соединительные трубы) Газовая линия : N[15.88]</v>
      </c>
      <c r="Z80" t="str">
        <f>CONCATENATE(Z$2,": ",Z$3,list1!Z80,"]")</f>
        <v xml:space="preserve"> (Соединительные трубы) Максимальная длина трубопровода: N[30]</v>
      </c>
      <c r="AA80" t="str">
        <f>CONCATENATE(AA$2,": ",AA$3,list1!AA80,"]")</f>
        <v xml:space="preserve"> (Соединительные трубы) Максимальный перепад высот: S[30]</v>
      </c>
      <c r="AB80" t="str">
        <f>CONCATENATE(AB$2,": ",AB$3,list1!AB80,"]")</f>
        <v xml:space="preserve"> (Допустимая темп. наружного воздуха) Охлаждение: S[от -10 до +46]</v>
      </c>
      <c r="AC80" t="str">
        <f>CONCATENATE(AC$2,": ",AC$3,list1!AC80,"]")</f>
        <v xml:space="preserve"> (Допустимая темп. наружного воздуха) Обогрев: S[от -15 до +24]</v>
      </c>
      <c r="AD80" s="6" t="s">
        <v>5245</v>
      </c>
    </row>
    <row r="81" spans="1:30" x14ac:dyDescent="0.25">
      <c r="A81" t="str">
        <f>CONCATENATE(A$2,": ",A$3,list1!A81,"]")</f>
        <v>Производитель: E[FUJITSU]</v>
      </c>
      <c r="B81" t="str">
        <f>CONCATENATE(B$2,": ",B$3,list1!B81,"]")</f>
        <v xml:space="preserve"> Тип: S[Кассетные]</v>
      </c>
      <c r="C81" t="str">
        <f>CONCATENATE(C$2,": ",C$3,list1!C81,"]")</f>
        <v xml:space="preserve"> (Сплит система) Холодопроизводительность: N[9.5]</v>
      </c>
      <c r="D81" t="str">
        <f>CONCATENATE(D$2,": ",D$3,list1!D81,"]")</f>
        <v xml:space="preserve"> (Сплит система) Площадь помещения: N[95]</v>
      </c>
      <c r="E81" t="str">
        <f>CONCATENATE(E$2,": ",E$3,list1!E81,"]")</f>
        <v xml:space="preserve"> (Сплит система) Инвентор: S[да]</v>
      </c>
      <c r="F81" t="str">
        <f>CONCATENATE(F$2,": ",F$3,list1!F81,"]")</f>
        <v xml:space="preserve"> (Сплит система) Теплопроизводительность: N[10.8]</v>
      </c>
      <c r="G81" t="str">
        <f>CONCATENATE(G$2,": ",G$3,list1!G81,"]")</f>
        <v xml:space="preserve"> (Потребляемая мощность) Охлаждение: N[3.06]</v>
      </c>
      <c r="H81" t="str">
        <f>CONCATENATE(H$2,": ",H$3,list1!H81,"]")</f>
        <v xml:space="preserve"> (Потребляемая мощность) Обогрев: S[2.58]</v>
      </c>
      <c r="I81" t="str">
        <f>CONCATENATE(I$2,": ",I$3,list1!I81,"]")</f>
        <v xml:space="preserve"> (Рабочий ток) Охлаждение: S[]</v>
      </c>
      <c r="J81" t="str">
        <f>CONCATENATE(J$2,": ",J$3,list1!J81,"]")</f>
        <v xml:space="preserve"> (Рабочий ток) Обогрев: S[]</v>
      </c>
      <c r="K81" t="str">
        <f>CONCATENATE(K$2,": ",K$3,list1!K81,"]")</f>
        <v xml:space="preserve"> (Рабочий ток) Напряжение / Частота источника питания: S[1 / 230 / 50]</v>
      </c>
      <c r="L81" t="str">
        <f>CONCATENATE(L$2,": ",L$3,list1!L81,"]")</f>
        <v xml:space="preserve"> (Рабочий ток) Хладагент: S[R32]</v>
      </c>
      <c r="M81" t="str">
        <f>CONCATENATE(M$2,": ",M$3,list1!M81,"]")</f>
        <v xml:space="preserve"> (Рабочий ток) Количество хладагента: N[]</v>
      </c>
      <c r="N81" t="str">
        <f>CONCATENATE(N$2,": ",N$3,list1!N81,"]")</f>
        <v xml:space="preserve"> (Рабочий ток) Объем рециркулируемого воздуха внутреннего блока: S[]</v>
      </c>
      <c r="O81" t="str">
        <f>CONCATENATE(O$2,": ",O$3,list1!O81,"]")</f>
        <v xml:space="preserve"> (Внутренний блок) Размеры (Ш x Г x В): S[950 х 53 х 950]</v>
      </c>
      <c r="P81" t="str">
        <f>CONCATENATE(P$2,": ",P$3,list1!P81,"]")</f>
        <v xml:space="preserve"> (Внутренний блок) Упаковка (Ш x Г x В): S[1000 х 1010 х 110]</v>
      </c>
      <c r="Q81" t="str">
        <f>CONCATENATE(Q$2,": ",Q$3,list1!Q81,"]")</f>
        <v xml:space="preserve"> (Внутренний блок) Масса (нетто / брутто): S[10.5 / 10.5]</v>
      </c>
      <c r="R81" t="str">
        <f>CONCATENATE(R$2,": ",R$3,list1!R81,"]")</f>
        <v xml:space="preserve"> (Внутренний блок) Уровень шума мин. / макс.: S[34/38/41/44]</v>
      </c>
      <c r="S81" t="str">
        <f>CONCATENATE(S$2,": ",S$3,list1!S81,"]")</f>
        <v xml:space="preserve"> (Наружный блок) Марка компрессора: S[]</v>
      </c>
      <c r="T81" t="str">
        <f>CONCATENATE(T$2,": ",T$3,list1!T81,"]")</f>
        <v xml:space="preserve"> (Наружный блок) Размеры (Ш x Г x В): S[940 х 320 х 788]</v>
      </c>
      <c r="U81" t="str">
        <f>CONCATENATE(U$2,": ",U$3,list1!U81,"]")</f>
        <v xml:space="preserve"> (Наружный блок) Упаковка (Ш x Г x В): S[1027 х 445 х 966]</v>
      </c>
      <c r="V81" t="str">
        <f>CONCATENATE(V$2,": ",V$3,list1!V81,"]")</f>
        <v xml:space="preserve"> (Наружный блок) Масса (нетто / брутто): S[52/61]</v>
      </c>
      <c r="W81" t="str">
        <f>CONCATENATE(W$2,": ",W$3,list1!W81,"]")</f>
        <v xml:space="preserve"> (Наружный блок) Максимальный уровень шума: N[]</v>
      </c>
      <c r="X81" t="str">
        <f>CONCATENATE(X$2,": ",X$3,list1!X81,"]")</f>
        <v xml:space="preserve"> (Соединительные трубы) Жидкостная линия : N[9.52]</v>
      </c>
      <c r="Y81" t="str">
        <f>CONCATENATE(Y$2,": ",Y$3,list1!Y81,"]")</f>
        <v xml:space="preserve"> (Соединительные трубы) Газовая линия : N[15.88]</v>
      </c>
      <c r="Z81" t="str">
        <f>CONCATENATE(Z$2,": ",Z$3,list1!Z81,"]")</f>
        <v xml:space="preserve"> (Соединительные трубы) Максимальная длина трубопровода: N[30]</v>
      </c>
      <c r="AA81" t="str">
        <f>CONCATENATE(AA$2,": ",AA$3,list1!AA81,"]")</f>
        <v xml:space="preserve"> (Соединительные трубы) Максимальный перепад высот: S[30]</v>
      </c>
      <c r="AB81" t="str">
        <f>CONCATENATE(AB$2,": ",AB$3,list1!AB81,"]")</f>
        <v xml:space="preserve"> (Допустимая темп. наружного воздуха) Охлаждение: S[от -10 до +46]</v>
      </c>
      <c r="AC81" t="str">
        <f>CONCATENATE(AC$2,": ",AC$3,list1!AC81,"]")</f>
        <v xml:space="preserve"> (Допустимая темп. наружного воздуха) Обогрев: S[от -15 до +24]</v>
      </c>
      <c r="AD81" s="6" t="s">
        <v>5245</v>
      </c>
    </row>
    <row r="82" spans="1:30" x14ac:dyDescent="0.25">
      <c r="A82" t="str">
        <f>CONCATENATE(A$2,": ",A$3,list1!A82,"]")</f>
        <v>Производитель: E[FUJITSU]</v>
      </c>
      <c r="B82" t="str">
        <f>CONCATENATE(B$2,": ",B$3,list1!B82,"]")</f>
        <v xml:space="preserve"> Тип: S[Кассетные]</v>
      </c>
      <c r="C82" t="str">
        <f>CONCATENATE(C$2,": ",C$3,list1!C82,"]")</f>
        <v xml:space="preserve"> (Сплит система) Холодопроизводительность: N[9.5]</v>
      </c>
      <c r="D82" t="str">
        <f>CONCATENATE(D$2,": ",D$3,list1!D82,"]")</f>
        <v xml:space="preserve"> (Сплит система) Площадь помещения: N[95]</v>
      </c>
      <c r="E82" t="str">
        <f>CONCATENATE(E$2,": ",E$3,list1!E82,"]")</f>
        <v xml:space="preserve"> (Сплит система) Инвентор: S[да]</v>
      </c>
      <c r="F82" t="str">
        <f>CONCATENATE(F$2,": ",F$3,list1!F82,"]")</f>
        <v xml:space="preserve"> (Сплит система) Теплопроизводительность: N[10.8]</v>
      </c>
      <c r="G82" t="str">
        <f>CONCATENATE(G$2,": ",G$3,list1!G82,"]")</f>
        <v xml:space="preserve"> (Потребляемая мощность) Охлаждение: N[3.06]</v>
      </c>
      <c r="H82" t="str">
        <f>CONCATENATE(H$2,": ",H$3,list1!H82,"]")</f>
        <v xml:space="preserve"> (Потребляемая мощность) Обогрев: S[2.58]</v>
      </c>
      <c r="I82" t="str">
        <f>CONCATENATE(I$2,": ",I$3,list1!I82,"]")</f>
        <v xml:space="preserve"> (Рабочий ток) Охлаждение: S[]</v>
      </c>
      <c r="J82" t="str">
        <f>CONCATENATE(J$2,": ",J$3,list1!J82,"]")</f>
        <v xml:space="preserve"> (Рабочий ток) Обогрев: S[]</v>
      </c>
      <c r="K82" t="str">
        <f>CONCATENATE(K$2,": ",K$3,list1!K82,"]")</f>
        <v xml:space="preserve"> (Рабочий ток) Напряжение / Частота источника питания: S[3 / 400 / 50]</v>
      </c>
      <c r="L82" t="str">
        <f>CONCATENATE(L$2,": ",L$3,list1!L82,"]")</f>
        <v xml:space="preserve"> (Рабочий ток) Хладагент: S[R32]</v>
      </c>
      <c r="M82" t="str">
        <f>CONCATENATE(M$2,": ",M$3,list1!M82,"]")</f>
        <v xml:space="preserve"> (Рабочий ток) Количество хладагента: N[]</v>
      </c>
      <c r="N82" t="str">
        <f>CONCATENATE(N$2,": ",N$3,list1!N82,"]")</f>
        <v xml:space="preserve"> (Рабочий ток) Объем рециркулируемого воздуха внутреннего блока: S[]</v>
      </c>
      <c r="O82" t="str">
        <f>CONCATENATE(O$2,": ",O$3,list1!O82,"]")</f>
        <v xml:space="preserve"> (Внутренний блок) Размеры (Ш x Г x В): S[950 х 53 х 950]</v>
      </c>
      <c r="P82" t="str">
        <f>CONCATENATE(P$2,": ",P$3,list1!P82,"]")</f>
        <v xml:space="preserve"> (Внутренний блок) Упаковка (Ш x Г x В): S[1000 х 1010 х 110]</v>
      </c>
      <c r="Q82" t="str">
        <f>CONCATENATE(Q$2,": ",Q$3,list1!Q82,"]")</f>
        <v xml:space="preserve"> (Внутренний блок) Масса (нетто / брутто): S[10.5 / 10.5]</v>
      </c>
      <c r="R82" t="str">
        <f>CONCATENATE(R$2,": ",R$3,list1!R82,"]")</f>
        <v xml:space="preserve"> (Внутренний блок) Уровень шума мин. / макс.: S[34/38/41/44]</v>
      </c>
      <c r="S82" t="str">
        <f>CONCATENATE(S$2,": ",S$3,list1!S82,"]")</f>
        <v xml:space="preserve"> (Наружный блок) Марка компрессора: S[]</v>
      </c>
      <c r="T82" t="str">
        <f>CONCATENATE(T$2,": ",T$3,list1!T82,"]")</f>
        <v xml:space="preserve"> (Наружный блок) Размеры (Ш x Г x В): S[940 х 320 х 788]</v>
      </c>
      <c r="U82" t="str">
        <f>CONCATENATE(U$2,": ",U$3,list1!U82,"]")</f>
        <v xml:space="preserve"> (Наружный блок) Упаковка (Ш x Г x В): S[1027 х 445 х 966]</v>
      </c>
      <c r="V82" t="str">
        <f>CONCATENATE(V$2,": ",V$3,list1!V82,"]")</f>
        <v xml:space="preserve"> (Наружный блок) Масса (нетто / брутто): S[53/62]</v>
      </c>
      <c r="W82" t="str">
        <f>CONCATENATE(W$2,": ",W$3,list1!W82,"]")</f>
        <v xml:space="preserve"> (Наружный блок) Максимальный уровень шума: N[]</v>
      </c>
      <c r="X82" t="str">
        <f>CONCATENATE(X$2,": ",X$3,list1!X82,"]")</f>
        <v xml:space="preserve"> (Соединительные трубы) Жидкостная линия : N[9.52]</v>
      </c>
      <c r="Y82" t="str">
        <f>CONCATENATE(Y$2,": ",Y$3,list1!Y82,"]")</f>
        <v xml:space="preserve"> (Соединительные трубы) Газовая линия : N[15.88]</v>
      </c>
      <c r="Z82" t="str">
        <f>CONCATENATE(Z$2,": ",Z$3,list1!Z82,"]")</f>
        <v xml:space="preserve"> (Соединительные трубы) Максимальная длина трубопровода: N[30]</v>
      </c>
      <c r="AA82" t="str">
        <f>CONCATENATE(AA$2,": ",AA$3,list1!AA82,"]")</f>
        <v xml:space="preserve"> (Соединительные трубы) Максимальный перепад высот: S[30]</v>
      </c>
      <c r="AB82" t="str">
        <f>CONCATENATE(AB$2,": ",AB$3,list1!AB82,"]")</f>
        <v xml:space="preserve"> (Допустимая темп. наружного воздуха) Охлаждение: S[от -10 до +46]</v>
      </c>
      <c r="AC82" t="str">
        <f>CONCATENATE(AC$2,": ",AC$3,list1!AC82,"]")</f>
        <v xml:space="preserve"> (Допустимая темп. наружного воздуха) Обогрев: S[от -15 до +24]</v>
      </c>
      <c r="AD82" s="6" t="s">
        <v>5245</v>
      </c>
    </row>
    <row r="83" spans="1:30" x14ac:dyDescent="0.25">
      <c r="A83" t="str">
        <f>CONCATENATE(A$2,": ",A$3,list1!A83,"]")</f>
        <v>Производитель: E[FUJITSU]</v>
      </c>
      <c r="B83" t="str">
        <f>CONCATENATE(B$2,": ",B$3,list1!B83,"]")</f>
        <v xml:space="preserve"> Тип: S[Кассетные]</v>
      </c>
      <c r="C83" t="str">
        <f>CONCATENATE(C$2,": ",C$3,list1!C83,"]")</f>
        <v xml:space="preserve"> (Сплит система) Холодопроизводительность: N[12.1]</v>
      </c>
      <c r="D83" t="str">
        <f>CONCATENATE(D$2,": ",D$3,list1!D83,"]")</f>
        <v xml:space="preserve"> (Сплит система) Площадь помещения: N[120]</v>
      </c>
      <c r="E83" t="str">
        <f>CONCATENATE(E$2,": ",E$3,list1!E83,"]")</f>
        <v xml:space="preserve"> (Сплит система) Инвентор: S[да]</v>
      </c>
      <c r="F83" t="str">
        <f>CONCATENATE(F$2,": ",F$3,list1!F83,"]")</f>
        <v xml:space="preserve"> (Сплит система) Теплопроизводительность: N[13.5]</v>
      </c>
      <c r="G83" t="str">
        <f>CONCATENATE(G$2,": ",G$3,list1!G83,"]")</f>
        <v xml:space="preserve"> (Потребляемая мощность) Охлаждение: N[4.32]</v>
      </c>
      <c r="H83" t="str">
        <f>CONCATENATE(H$2,": ",H$3,list1!H83,"]")</f>
        <v xml:space="preserve"> (Потребляемая мощность) Обогрев: S[3.77]</v>
      </c>
      <c r="I83" t="str">
        <f>CONCATENATE(I$2,": ",I$3,list1!I83,"]")</f>
        <v xml:space="preserve"> (Рабочий ток) Охлаждение: S[]</v>
      </c>
      <c r="J83" t="str">
        <f>CONCATENATE(J$2,": ",J$3,list1!J83,"]")</f>
        <v xml:space="preserve"> (Рабочий ток) Обогрев: S[]</v>
      </c>
      <c r="K83" t="str">
        <f>CONCATENATE(K$2,": ",K$3,list1!K83,"]")</f>
        <v xml:space="preserve"> (Рабочий ток) Напряжение / Частота источника питания: S[1 / 230 / 50]</v>
      </c>
      <c r="L83" t="str">
        <f>CONCATENATE(L$2,": ",L$3,list1!L83,"]")</f>
        <v xml:space="preserve"> (Рабочий ток) Хладагент: S[R32]</v>
      </c>
      <c r="M83" t="str">
        <f>CONCATENATE(M$2,": ",M$3,list1!M83,"]")</f>
        <v xml:space="preserve"> (Рабочий ток) Количество хладагента: N[]</v>
      </c>
      <c r="N83" t="str">
        <f>CONCATENATE(N$2,": ",N$3,list1!N83,"]")</f>
        <v xml:space="preserve"> (Рабочий ток) Объем рециркулируемого воздуха внутреннего блока: S[]</v>
      </c>
      <c r="O83" t="str">
        <f>CONCATENATE(O$2,": ",O$3,list1!O83,"]")</f>
        <v xml:space="preserve"> (Внутренний блок) Размеры (Ш x Г x В): S[950 х 53 х 950]</v>
      </c>
      <c r="P83" t="str">
        <f>CONCATENATE(P$2,": ",P$3,list1!P83,"]")</f>
        <v xml:space="preserve"> (Внутренний блок) Упаковка (Ш x Г x В): S[1000 х 1010 х 110]</v>
      </c>
      <c r="Q83" t="str">
        <f>CONCATENATE(Q$2,": ",Q$3,list1!Q83,"]")</f>
        <v xml:space="preserve"> (Внутренний блок) Масса (нетто / брутто): S[10.5 / 10.5]</v>
      </c>
      <c r="R83" t="str">
        <f>CONCATENATE(R$2,": ",R$3,list1!R83,"]")</f>
        <v xml:space="preserve"> (Внутренний блок) Уровень шума мин. / макс.: S[35/39/42/46]</v>
      </c>
      <c r="S83" t="str">
        <f>CONCATENATE(S$2,": ",S$3,list1!S83,"]")</f>
        <v xml:space="preserve"> (Наружный блок) Марка компрессора: S[]</v>
      </c>
      <c r="T83" t="str">
        <f>CONCATENATE(T$2,": ",T$3,list1!T83,"]")</f>
        <v xml:space="preserve"> (Наружный блок) Размеры (Ш x Г x В): S[940 х 320 х 998]</v>
      </c>
      <c r="U83" t="str">
        <f>CONCATENATE(U$2,": ",U$3,list1!U83,"]")</f>
        <v xml:space="preserve"> (Наружный блок) Упаковка (Ш x Г x В): S[1027 х 445 х 1176]</v>
      </c>
      <c r="V83" t="str">
        <f>CONCATENATE(V$2,": ",V$3,list1!V83,"]")</f>
        <v xml:space="preserve"> (Наружный блок) Масса (нетто / брутто): S[61/71]</v>
      </c>
      <c r="W83" t="str">
        <f>CONCATENATE(W$2,": ",W$3,list1!W83,"]")</f>
        <v xml:space="preserve"> (Наружный блок) Максимальный уровень шума: N[]</v>
      </c>
      <c r="X83" t="str">
        <f>CONCATENATE(X$2,": ",X$3,list1!X83,"]")</f>
        <v xml:space="preserve"> (Соединительные трубы) Жидкостная линия : N[9.52]</v>
      </c>
      <c r="Y83" t="str">
        <f>CONCATENATE(Y$2,": ",Y$3,list1!Y83,"]")</f>
        <v xml:space="preserve"> (Соединительные трубы) Газовая линия : N[15.88]</v>
      </c>
      <c r="Z83" t="str">
        <f>CONCATENATE(Z$2,": ",Z$3,list1!Z83,"]")</f>
        <v xml:space="preserve"> (Соединительные трубы) Максимальная длина трубопровода: N[30]</v>
      </c>
      <c r="AA83" t="str">
        <f>CONCATENATE(AA$2,": ",AA$3,list1!AA83,"]")</f>
        <v xml:space="preserve"> (Соединительные трубы) Максимальный перепад высот: S[30]</v>
      </c>
      <c r="AB83" t="str">
        <f>CONCATENATE(AB$2,": ",AB$3,list1!AB83,"]")</f>
        <v xml:space="preserve"> (Допустимая темп. наружного воздуха) Охлаждение: S[от -10 до +46]</v>
      </c>
      <c r="AC83" t="str">
        <f>CONCATENATE(AC$2,": ",AC$3,list1!AC83,"]")</f>
        <v xml:space="preserve"> (Допустимая темп. наружного воздуха) Обогрев: S[от -15 до +24]</v>
      </c>
      <c r="AD83" s="6" t="s">
        <v>5245</v>
      </c>
    </row>
    <row r="84" spans="1:30" x14ac:dyDescent="0.25">
      <c r="A84" t="str">
        <f>CONCATENATE(A$2,": ",A$3,list1!A84,"]")</f>
        <v>Производитель: E[FUJITSU]</v>
      </c>
      <c r="B84" t="str">
        <f>CONCATENATE(B$2,": ",B$3,list1!B84,"]")</f>
        <v xml:space="preserve"> Тип: S[Кассетные]</v>
      </c>
      <c r="C84" t="str">
        <f>CONCATENATE(C$2,": ",C$3,list1!C84,"]")</f>
        <v xml:space="preserve"> (Сплит система) Холодопроизводительность: N[12.1]</v>
      </c>
      <c r="D84" t="str">
        <f>CONCATENATE(D$2,": ",D$3,list1!D84,"]")</f>
        <v xml:space="preserve"> (Сплит система) Площадь помещения: N[120]</v>
      </c>
      <c r="E84" t="str">
        <f>CONCATENATE(E$2,": ",E$3,list1!E84,"]")</f>
        <v xml:space="preserve"> (Сплит система) Инвентор: S[да]</v>
      </c>
      <c r="F84" t="str">
        <f>CONCATENATE(F$2,": ",F$3,list1!F84,"]")</f>
        <v xml:space="preserve"> (Сплит система) Теплопроизводительность: N[13.5]</v>
      </c>
      <c r="G84" t="str">
        <f>CONCATENATE(G$2,": ",G$3,list1!G84,"]")</f>
        <v xml:space="preserve"> (Потребляемая мощность) Охлаждение: N[4.32]</v>
      </c>
      <c r="H84" t="str">
        <f>CONCATENATE(H$2,": ",H$3,list1!H84,"]")</f>
        <v xml:space="preserve"> (Потребляемая мощность) Обогрев: S[3.77]</v>
      </c>
      <c r="I84" t="str">
        <f>CONCATENATE(I$2,": ",I$3,list1!I84,"]")</f>
        <v xml:space="preserve"> (Рабочий ток) Охлаждение: S[]</v>
      </c>
      <c r="J84" t="str">
        <f>CONCATENATE(J$2,": ",J$3,list1!J84,"]")</f>
        <v xml:space="preserve"> (Рабочий ток) Обогрев: S[]</v>
      </c>
      <c r="K84" t="str">
        <f>CONCATENATE(K$2,": ",K$3,list1!K84,"]")</f>
        <v xml:space="preserve"> (Рабочий ток) Напряжение / Частота источника питания: S[3 / 400 / 50]</v>
      </c>
      <c r="L84" t="str">
        <f>CONCATENATE(L$2,": ",L$3,list1!L84,"]")</f>
        <v xml:space="preserve"> (Рабочий ток) Хладагент: S[R32]</v>
      </c>
      <c r="M84" t="str">
        <f>CONCATENATE(M$2,": ",M$3,list1!M84,"]")</f>
        <v xml:space="preserve"> (Рабочий ток) Количество хладагента: N[]</v>
      </c>
      <c r="N84" t="str">
        <f>CONCATENATE(N$2,": ",N$3,list1!N84,"]")</f>
        <v xml:space="preserve"> (Рабочий ток) Объем рециркулируемого воздуха внутреннего блока: S[]</v>
      </c>
      <c r="O84" t="str">
        <f>CONCATENATE(O$2,": ",O$3,list1!O84,"]")</f>
        <v xml:space="preserve"> (Внутренний блок) Размеры (Ш x Г x В): S[950 х 53 х 950]</v>
      </c>
      <c r="P84" t="str">
        <f>CONCATENATE(P$2,": ",P$3,list1!P84,"]")</f>
        <v xml:space="preserve"> (Внутренний блок) Упаковка (Ш x Г x В): S[1000 х 1010 х 110]</v>
      </c>
      <c r="Q84" t="str">
        <f>CONCATENATE(Q$2,": ",Q$3,list1!Q84,"]")</f>
        <v xml:space="preserve"> (Внутренний блок) Масса (нетто / брутто): S[10.5 / 10.5]</v>
      </c>
      <c r="R84" t="str">
        <f>CONCATENATE(R$2,": ",R$3,list1!R84,"]")</f>
        <v xml:space="preserve"> (Внутренний блок) Уровень шума мин. / макс.: S[35/39/42/46]</v>
      </c>
      <c r="S84" t="str">
        <f>CONCATENATE(S$2,": ",S$3,list1!S84,"]")</f>
        <v xml:space="preserve"> (Наружный блок) Марка компрессора: S[]</v>
      </c>
      <c r="T84" t="str">
        <f>CONCATENATE(T$2,": ",T$3,list1!T84,"]")</f>
        <v xml:space="preserve"> (Наружный блок) Размеры (Ш x Г x В): S[940 х 320 х 998]</v>
      </c>
      <c r="U84" t="str">
        <f>CONCATENATE(U$2,": ",U$3,list1!U84,"]")</f>
        <v xml:space="preserve"> (Наружный блок) Упаковка (Ш x Г x В): S[1027 х 445 х 1176]</v>
      </c>
      <c r="V84" t="str">
        <f>CONCATENATE(V$2,": ",V$3,list1!V84,"]")</f>
        <v xml:space="preserve"> (Наружный блок) Масса (нетто / брутто): S[62/72]</v>
      </c>
      <c r="W84" t="str">
        <f>CONCATENATE(W$2,": ",W$3,list1!W84,"]")</f>
        <v xml:space="preserve"> (Наружный блок) Максимальный уровень шума: N[]</v>
      </c>
      <c r="X84" t="str">
        <f>CONCATENATE(X$2,": ",X$3,list1!X84,"]")</f>
        <v xml:space="preserve"> (Соединительные трубы) Жидкостная линия : N[9.52]</v>
      </c>
      <c r="Y84" t="str">
        <f>CONCATENATE(Y$2,": ",Y$3,list1!Y84,"]")</f>
        <v xml:space="preserve"> (Соединительные трубы) Газовая линия : N[15.88]</v>
      </c>
      <c r="Z84" t="str">
        <f>CONCATENATE(Z$2,": ",Z$3,list1!Z84,"]")</f>
        <v xml:space="preserve"> (Соединительные трубы) Максимальная длина трубопровода: N[30]</v>
      </c>
      <c r="AA84" t="str">
        <f>CONCATENATE(AA$2,": ",AA$3,list1!AA84,"]")</f>
        <v xml:space="preserve"> (Соединительные трубы) Максимальный перепад высот: S[30]</v>
      </c>
      <c r="AB84" t="str">
        <f>CONCATENATE(AB$2,": ",AB$3,list1!AB84,"]")</f>
        <v xml:space="preserve"> (Допустимая темп. наружного воздуха) Охлаждение: S[от -10 до +46]</v>
      </c>
      <c r="AC84" t="str">
        <f>CONCATENATE(AC$2,": ",AC$3,list1!AC84,"]")</f>
        <v xml:space="preserve"> (Допустимая темп. наружного воздуха) Обогрев: S[от -15 до +24]</v>
      </c>
      <c r="AD84" s="6" t="s">
        <v>5245</v>
      </c>
    </row>
    <row r="85" spans="1:30" x14ac:dyDescent="0.25">
      <c r="A85" t="str">
        <f>CONCATENATE(A$2,": ",A$3,list1!A85,"]")</f>
        <v>Производитель: E[FUJITSU]</v>
      </c>
      <c r="B85" t="str">
        <f>CONCATENATE(B$2,": ",B$3,list1!B85,"]")</f>
        <v xml:space="preserve"> Тип: S[Кассетные]</v>
      </c>
      <c r="C85" t="str">
        <f>CONCATENATE(C$2,": ",C$3,list1!C85,"]")</f>
        <v xml:space="preserve"> (Сплит система) Холодопроизводительность: N[13.4]</v>
      </c>
      <c r="D85" t="str">
        <f>CONCATENATE(D$2,": ",D$3,list1!D85,"]")</f>
        <v xml:space="preserve"> (Сплит система) Площадь помещения: N[130]</v>
      </c>
      <c r="E85" t="str">
        <f>CONCATENATE(E$2,": ",E$3,list1!E85,"]")</f>
        <v xml:space="preserve"> (Сплит система) Инвентор: S[да]</v>
      </c>
      <c r="F85" t="str">
        <f>CONCATENATE(F$2,": ",F$3,list1!F85,"]")</f>
        <v xml:space="preserve"> (Сплит система) Теплопроизводительность: N[15.5]</v>
      </c>
      <c r="G85" t="str">
        <f>CONCATENATE(G$2,": ",G$3,list1!G85,"]")</f>
        <v xml:space="preserve"> (Потребляемая мощность) Охлаждение: N[4.87]</v>
      </c>
      <c r="H85" t="str">
        <f>CONCATENATE(H$2,": ",H$3,list1!H85,"]")</f>
        <v xml:space="preserve"> (Потребляемая мощность) Обогрев: S[4.86]</v>
      </c>
      <c r="I85" t="str">
        <f>CONCATENATE(I$2,": ",I$3,list1!I85,"]")</f>
        <v xml:space="preserve"> (Рабочий ток) Охлаждение: S[]</v>
      </c>
      <c r="J85" t="str">
        <f>CONCATENATE(J$2,": ",J$3,list1!J85,"]")</f>
        <v xml:space="preserve"> (Рабочий ток) Обогрев: S[]</v>
      </c>
      <c r="K85" t="str">
        <f>CONCATENATE(K$2,": ",K$3,list1!K85,"]")</f>
        <v xml:space="preserve"> (Рабочий ток) Напряжение / Частота источника питания: S[1 / 230 / 50]</v>
      </c>
      <c r="L85" t="str">
        <f>CONCATENATE(L$2,": ",L$3,list1!L85,"]")</f>
        <v xml:space="preserve"> (Рабочий ток) Хладагент: S[R32]</v>
      </c>
      <c r="M85" t="str">
        <f>CONCATENATE(M$2,": ",M$3,list1!M85,"]")</f>
        <v xml:space="preserve"> (Рабочий ток) Количество хладагента: N[]</v>
      </c>
      <c r="N85" t="str">
        <f>CONCATENATE(N$2,": ",N$3,list1!N85,"]")</f>
        <v xml:space="preserve"> (Рабочий ток) Объем рециркулируемого воздуха внутреннего блока: S[]</v>
      </c>
      <c r="O85" t="str">
        <f>CONCATENATE(O$2,": ",O$3,list1!O85,"]")</f>
        <v xml:space="preserve"> (Внутренний блок) Размеры (Ш x Г x В): S[950 х 53 х 950]</v>
      </c>
      <c r="P85" t="str">
        <f>CONCATENATE(P$2,": ",P$3,list1!P85,"]")</f>
        <v xml:space="preserve"> (Внутренний блок) Упаковка (Ш x Г x В): S[1000 х 1010 х 110]</v>
      </c>
      <c r="Q85" t="str">
        <f>CONCATENATE(Q$2,": ",Q$3,list1!Q85,"]")</f>
        <v xml:space="preserve"> (Внутренний блок) Масса (нетто / брутто): S[10.5 / 10.5]</v>
      </c>
      <c r="R85" t="str">
        <f>CONCATENATE(R$2,": ",R$3,list1!R85,"]")</f>
        <v xml:space="preserve"> (Внутренний блок) Уровень шума мин. / макс.: S[36/40/43/47]</v>
      </c>
      <c r="S85" t="str">
        <f>CONCATENATE(S$2,": ",S$3,list1!S85,"]")</f>
        <v xml:space="preserve"> (Наружный блок) Марка компрессора: S[]</v>
      </c>
      <c r="T85" t="str">
        <f>CONCATENATE(T$2,": ",T$3,list1!T85,"]")</f>
        <v xml:space="preserve"> (Наружный блок) Размеры (Ш x Г x В): S[940 х 320 х 998]</v>
      </c>
      <c r="U85" t="str">
        <f>CONCATENATE(U$2,": ",U$3,list1!U85,"]")</f>
        <v xml:space="preserve"> (Наружный блок) Упаковка (Ш x Г x В): S[1027 х 445 х 1176]</v>
      </c>
      <c r="V85" t="str">
        <f>CONCATENATE(V$2,": ",V$3,list1!V85,"]")</f>
        <v xml:space="preserve"> (Наружный блок) Масса (нетто / брутто): S[63/72]</v>
      </c>
      <c r="W85" t="str">
        <f>CONCATENATE(W$2,": ",W$3,list1!W85,"]")</f>
        <v xml:space="preserve"> (Наружный блок) Максимальный уровень шума: N[]</v>
      </c>
      <c r="X85" t="str">
        <f>CONCATENATE(X$2,": ",X$3,list1!X85,"]")</f>
        <v xml:space="preserve"> (Соединительные трубы) Жидкостная линия : N[9.52]</v>
      </c>
      <c r="Y85" t="str">
        <f>CONCATENATE(Y$2,": ",Y$3,list1!Y85,"]")</f>
        <v xml:space="preserve"> (Соединительные трубы) Газовая линия : N[15.88]</v>
      </c>
      <c r="Z85" t="str">
        <f>CONCATENATE(Z$2,": ",Z$3,list1!Z85,"]")</f>
        <v xml:space="preserve"> (Соединительные трубы) Максимальная длина трубопровода: N[30]</v>
      </c>
      <c r="AA85" t="str">
        <f>CONCATENATE(AA$2,": ",AA$3,list1!AA85,"]")</f>
        <v xml:space="preserve"> (Соединительные трубы) Максимальный перепад высот: S[30]</v>
      </c>
      <c r="AB85" t="str">
        <f>CONCATENATE(AB$2,": ",AB$3,list1!AB85,"]")</f>
        <v xml:space="preserve"> (Допустимая темп. наружного воздуха) Охлаждение: S[от -10 до +46]</v>
      </c>
      <c r="AC85" t="str">
        <f>CONCATENATE(AC$2,": ",AC$3,list1!AC85,"]")</f>
        <v xml:space="preserve"> (Допустимая темп. наружного воздуха) Обогрев: S[от -15 до +24]</v>
      </c>
      <c r="AD85" s="6" t="s">
        <v>5245</v>
      </c>
    </row>
    <row r="86" spans="1:30" x14ac:dyDescent="0.25">
      <c r="A86" t="str">
        <f>CONCATENATE(A$2,": ",A$3,list1!A86,"]")</f>
        <v>Производитель: E[FUJITSU]</v>
      </c>
      <c r="B86" t="str">
        <f>CONCATENATE(B$2,": ",B$3,list1!B86,"]")</f>
        <v xml:space="preserve"> Тип: S[Кассетные]</v>
      </c>
      <c r="C86" t="str">
        <f>CONCATENATE(C$2,": ",C$3,list1!C86,"]")</f>
        <v xml:space="preserve"> (Сплит система) Холодопроизводительность: N[13.4]</v>
      </c>
      <c r="D86" t="str">
        <f>CONCATENATE(D$2,": ",D$3,list1!D86,"]")</f>
        <v xml:space="preserve"> (Сплит система) Площадь помещения: N[130]</v>
      </c>
      <c r="E86" t="str">
        <f>CONCATENATE(E$2,": ",E$3,list1!E86,"]")</f>
        <v xml:space="preserve"> (Сплит система) Инвентор: S[да]</v>
      </c>
      <c r="F86" t="str">
        <f>CONCATENATE(F$2,": ",F$3,list1!F86,"]")</f>
        <v xml:space="preserve"> (Сплит система) Теплопроизводительность: N[15.5]</v>
      </c>
      <c r="G86" t="str">
        <f>CONCATENATE(G$2,": ",G$3,list1!G86,"]")</f>
        <v xml:space="preserve"> (Потребляемая мощность) Охлаждение: N[4.87]</v>
      </c>
      <c r="H86" t="str">
        <f>CONCATENATE(H$2,": ",H$3,list1!H86,"]")</f>
        <v xml:space="preserve"> (Потребляемая мощность) Обогрев: S[4.86]</v>
      </c>
      <c r="I86" t="str">
        <f>CONCATENATE(I$2,": ",I$3,list1!I86,"]")</f>
        <v xml:space="preserve"> (Рабочий ток) Охлаждение: S[]</v>
      </c>
      <c r="J86" t="str">
        <f>CONCATENATE(J$2,": ",J$3,list1!J86,"]")</f>
        <v xml:space="preserve"> (Рабочий ток) Обогрев: S[]</v>
      </c>
      <c r="K86" t="str">
        <f>CONCATENATE(K$2,": ",K$3,list1!K86,"]")</f>
        <v xml:space="preserve"> (Рабочий ток) Напряжение / Частота источника питания: S[3 / 400 / 50]</v>
      </c>
      <c r="L86" t="str">
        <f>CONCATENATE(L$2,": ",L$3,list1!L86,"]")</f>
        <v xml:space="preserve"> (Рабочий ток) Хладагент: S[R32]</v>
      </c>
      <c r="M86" t="str">
        <f>CONCATENATE(M$2,": ",M$3,list1!M86,"]")</f>
        <v xml:space="preserve"> (Рабочий ток) Количество хладагента: N[]</v>
      </c>
      <c r="N86" t="str">
        <f>CONCATENATE(N$2,": ",N$3,list1!N86,"]")</f>
        <v xml:space="preserve"> (Рабочий ток) Объем рециркулируемого воздуха внутреннего блока: S[]</v>
      </c>
      <c r="O86" t="str">
        <f>CONCATENATE(O$2,": ",O$3,list1!O86,"]")</f>
        <v xml:space="preserve"> (Внутренний блок) Размеры (Ш x Г x В): S[950 х 53 х 950]</v>
      </c>
      <c r="P86" t="str">
        <f>CONCATENATE(P$2,": ",P$3,list1!P86,"]")</f>
        <v xml:space="preserve"> (Внутренний блок) Упаковка (Ш x Г x В): S[1000 х 1010 х 110]</v>
      </c>
      <c r="Q86" t="str">
        <f>CONCATENATE(Q$2,": ",Q$3,list1!Q86,"]")</f>
        <v xml:space="preserve"> (Внутренний блок) Масса (нетто / брутто): S[10.5 / 10.5]</v>
      </c>
      <c r="R86" t="str">
        <f>CONCATENATE(R$2,": ",R$3,list1!R86,"]")</f>
        <v xml:space="preserve"> (Внутренний блок) Уровень шума мин. / макс.: S[36/40/43/47]</v>
      </c>
      <c r="S86" t="str">
        <f>CONCATENATE(S$2,": ",S$3,list1!S86,"]")</f>
        <v xml:space="preserve"> (Наружный блок) Марка компрессора: S[]</v>
      </c>
      <c r="T86" t="str">
        <f>CONCATENATE(T$2,": ",T$3,list1!T86,"]")</f>
        <v xml:space="preserve"> (Наружный блок) Размеры (Ш x Г x В): S[940 х 320 х 998]</v>
      </c>
      <c r="U86" t="str">
        <f>CONCATENATE(U$2,": ",U$3,list1!U86,"]")</f>
        <v xml:space="preserve"> (Наружный блок) Упаковка (Ш x Г x В): S[1027 х 445 х 1176]</v>
      </c>
      <c r="V86" t="str">
        <f>CONCATENATE(V$2,": ",V$3,list1!V86,"]")</f>
        <v xml:space="preserve"> (Наружный блок) Масса (нетто / брутто): S[63/73]</v>
      </c>
      <c r="W86" t="str">
        <f>CONCATENATE(W$2,": ",W$3,list1!W86,"]")</f>
        <v xml:space="preserve"> (Наружный блок) Максимальный уровень шума: N[]</v>
      </c>
      <c r="X86" t="str">
        <f>CONCATENATE(X$2,": ",X$3,list1!X86,"]")</f>
        <v xml:space="preserve"> (Соединительные трубы) Жидкостная линия : N[9.52]</v>
      </c>
      <c r="Y86" t="str">
        <f>CONCATENATE(Y$2,": ",Y$3,list1!Y86,"]")</f>
        <v xml:space="preserve"> (Соединительные трубы) Газовая линия : N[15.88]</v>
      </c>
      <c r="Z86" t="str">
        <f>CONCATENATE(Z$2,": ",Z$3,list1!Z86,"]")</f>
        <v xml:space="preserve"> (Соединительные трубы) Максимальная длина трубопровода: N[30]</v>
      </c>
      <c r="AA86" t="str">
        <f>CONCATENATE(AA$2,": ",AA$3,list1!AA86,"]")</f>
        <v xml:space="preserve"> (Соединительные трубы) Максимальный перепад высот: S[30]</v>
      </c>
      <c r="AB86" t="str">
        <f>CONCATENATE(AB$2,": ",AB$3,list1!AB86,"]")</f>
        <v xml:space="preserve"> (Допустимая темп. наружного воздуха) Охлаждение: S[от -10 до +46]</v>
      </c>
      <c r="AC86" t="str">
        <f>CONCATENATE(AC$2,": ",AC$3,list1!AC86,"]")</f>
        <v xml:space="preserve"> (Допустимая темп. наружного воздуха) Обогрев: S[от -15 до +24]</v>
      </c>
      <c r="AD86" s="6" t="s">
        <v>5245</v>
      </c>
    </row>
    <row r="87" spans="1:30" x14ac:dyDescent="0.25">
      <c r="A87" t="str">
        <f>CONCATENATE(A$2,": ",A$3,list1!A87,"]")</f>
        <v>Производитель: E[FUJITSU]</v>
      </c>
      <c r="B87" t="str">
        <f>CONCATENATE(B$2,": ",B$3,list1!B87,"]")</f>
        <v xml:space="preserve"> Тип: S[Кассетные]</v>
      </c>
      <c r="C87" t="str">
        <f>CONCATENATE(C$2,": ",C$3,list1!C87,"]")</f>
        <v xml:space="preserve"> (Сплит система) Холодопроизводительность: N[3.5]</v>
      </c>
      <c r="D87" t="str">
        <f>CONCATENATE(D$2,": ",D$3,list1!D87,"]")</f>
        <v xml:space="preserve"> (Сплит система) Площадь помещения: N[35]</v>
      </c>
      <c r="E87" t="str">
        <f>CONCATENATE(E$2,": ",E$3,list1!E87,"]")</f>
        <v xml:space="preserve"> (Сплит система) Инвентор: S[да]</v>
      </c>
      <c r="F87" t="str">
        <f>CONCATENATE(F$2,": ",F$3,list1!F87,"]")</f>
        <v xml:space="preserve"> (Сплит система) Теплопроизводительность: N[4.1]</v>
      </c>
      <c r="G87" t="str">
        <f>CONCATENATE(G$2,": ",G$3,list1!G87,"]")</f>
        <v xml:space="preserve"> (Потребляемая мощность) Охлаждение: N[1.05]</v>
      </c>
      <c r="H87" t="str">
        <f>CONCATENATE(H$2,": ",H$3,list1!H87,"]")</f>
        <v xml:space="preserve"> (Потребляемая мощность) Обогрев: S[1.11]</v>
      </c>
      <c r="I87" t="str">
        <f>CONCATENATE(I$2,": ",I$3,list1!I87,"]")</f>
        <v xml:space="preserve"> (Рабочий ток) Охлаждение: S[]</v>
      </c>
      <c r="J87" t="str">
        <f>CONCATENATE(J$2,": ",J$3,list1!J87,"]")</f>
        <v xml:space="preserve"> (Рабочий ток) Обогрев: S[]</v>
      </c>
      <c r="K87" t="str">
        <f>CONCATENATE(K$2,": ",K$3,list1!K87,"]")</f>
        <v xml:space="preserve"> (Рабочий ток) Напряжение / Частота источника питания: S[1 / 220 / 50]</v>
      </c>
      <c r="L87" t="str">
        <f>CONCATENATE(L$2,": ",L$3,list1!L87,"]")</f>
        <v xml:space="preserve"> (Рабочий ток) Хладагент: S[R410A]</v>
      </c>
      <c r="M87" t="str">
        <f>CONCATENATE(M$2,": ",M$3,list1!M87,"]")</f>
        <v xml:space="preserve"> (Рабочий ток) Количество хладагента: N[]</v>
      </c>
      <c r="N87" t="str">
        <f>CONCATENATE(N$2,": ",N$3,list1!N87,"]")</f>
        <v xml:space="preserve"> (Рабочий ток) Объем рециркулируемого воздуха внутреннего блока: S[]</v>
      </c>
      <c r="O87" t="str">
        <f>CONCATENATE(O$2,": ",O$3,list1!O87,"]")</f>
        <v xml:space="preserve"> (Внутренний блок) Размеры (Ш x Г x В): S[700 х 50 х 700]</v>
      </c>
      <c r="P87" t="str">
        <f>CONCATENATE(P$2,": ",P$3,list1!P87,"]")</f>
        <v xml:space="preserve"> (Внутренний блок) Упаковка (Ш x Г x В): S[755 х 765 х 120]</v>
      </c>
      <c r="Q87" t="str">
        <f>CONCATENATE(Q$2,": ",Q$3,list1!Q87,"]")</f>
        <v xml:space="preserve"> (Внутренний блок) Масса (нетто / брутто): S[4.5 / 4.5]</v>
      </c>
      <c r="R87" t="str">
        <f>CONCATENATE(R$2,": ",R$3,list1!R87,"]")</f>
        <v xml:space="preserve"> (Внутренний блок) Уровень шума мин. / макс.: S[27/30/34/37]</v>
      </c>
      <c r="S87" t="str">
        <f>CONCATENATE(S$2,": ",S$3,list1!S87,"]")</f>
        <v xml:space="preserve"> (Наружный блок) Марка компрессора: S[TOSHIBA]</v>
      </c>
      <c r="T87" t="str">
        <f>CONCATENATE(T$2,": ",T$3,list1!T87,"]")</f>
        <v xml:space="preserve"> (Наружный блок) Размеры (Ш x Г x В): S[790 х 300 х 578]</v>
      </c>
      <c r="U87" t="str">
        <f>CONCATENATE(U$2,": ",U$3,list1!U87,"]")</f>
        <v xml:space="preserve"> (Наружный блок) Упаковка (Ш x Г x В): S[910 х 380 х 648]</v>
      </c>
      <c r="V87" t="str">
        <f>CONCATENATE(V$2,": ",V$3,list1!V87,"]")</f>
        <v xml:space="preserve"> (Наружный блок) Масса (нетто / брутто): S[40/44]</v>
      </c>
      <c r="W87" t="str">
        <f>CONCATENATE(W$2,": ",W$3,list1!W87,"]")</f>
        <v xml:space="preserve"> (Наружный блок) Максимальный уровень шума: N[]</v>
      </c>
      <c r="X87" t="str">
        <f>CONCATENATE(X$2,": ",X$3,list1!X87,"]")</f>
        <v xml:space="preserve"> (Соединительные трубы) Жидкостная линия : N[6.35]</v>
      </c>
      <c r="Y87" t="str">
        <f>CONCATENATE(Y$2,": ",Y$3,list1!Y87,"]")</f>
        <v xml:space="preserve"> (Соединительные трубы) Газовая линия : N[9.52]</v>
      </c>
      <c r="Z87" t="str">
        <f>CONCATENATE(Z$2,": ",Z$3,list1!Z87,"]")</f>
        <v xml:space="preserve"> (Соединительные трубы) Максимальная длина трубопровода: N[25]</v>
      </c>
      <c r="AA87" t="str">
        <f>CONCATENATE(AA$2,": ",AA$3,list1!AA87,"]")</f>
        <v xml:space="preserve"> (Соединительные трубы) Максимальный перепад высот: S[15]</v>
      </c>
      <c r="AB87" t="str">
        <f>CONCATENATE(AB$2,": ",AB$3,list1!AB87,"]")</f>
        <v xml:space="preserve"> (Допустимая темп. наружного воздуха) Охлаждение: S[от -10 до +46]</v>
      </c>
      <c r="AC87" t="str">
        <f>CONCATENATE(AC$2,": ",AC$3,list1!AC87,"]")</f>
        <v xml:space="preserve"> (Допустимая темп. наружного воздуха) Обогрев: S[от -15 до +24]</v>
      </c>
      <c r="AD87" s="6" t="s">
        <v>5245</v>
      </c>
    </row>
    <row r="88" spans="1:30" x14ac:dyDescent="0.25">
      <c r="A88" t="str">
        <f>CONCATENATE(A$2,": ",A$3,list1!A88,"]")</f>
        <v>Производитель: E[FUJITSU]</v>
      </c>
      <c r="B88" t="str">
        <f>CONCATENATE(B$2,": ",B$3,list1!B88,"]")</f>
        <v xml:space="preserve"> Тип: S[Кассетные]</v>
      </c>
      <c r="C88" t="str">
        <f>CONCATENATE(C$2,": ",C$3,list1!C88,"]")</f>
        <v xml:space="preserve"> (Сплит система) Холодопроизводительность: N[4.3]</v>
      </c>
      <c r="D88" t="str">
        <f>CONCATENATE(D$2,": ",D$3,list1!D88,"]")</f>
        <v xml:space="preserve"> (Сплит система) Площадь помещения: N[43]</v>
      </c>
      <c r="E88" t="str">
        <f>CONCATENATE(E$2,": ",E$3,list1!E88,"]")</f>
        <v xml:space="preserve"> (Сплит система) Инвентор: S[да]</v>
      </c>
      <c r="F88" t="str">
        <f>CONCATENATE(F$2,": ",F$3,list1!F88,"]")</f>
        <v xml:space="preserve"> (Сплит система) Теплопроизводительность: N[5]</v>
      </c>
      <c r="G88" t="str">
        <f>CONCATENATE(G$2,": ",G$3,list1!G88,"]")</f>
        <v xml:space="preserve"> (Потребляемая мощность) Охлаждение: N[1.33]</v>
      </c>
      <c r="H88" t="str">
        <f>CONCATENATE(H$2,": ",H$3,list1!H88,"]")</f>
        <v xml:space="preserve"> (Потребляемая мощность) Обогрев: S[1.34]</v>
      </c>
      <c r="I88" t="str">
        <f>CONCATENATE(I$2,": ",I$3,list1!I88,"]")</f>
        <v xml:space="preserve"> (Рабочий ток) Охлаждение: S[]</v>
      </c>
      <c r="J88" t="str">
        <f>CONCATENATE(J$2,": ",J$3,list1!J88,"]")</f>
        <v xml:space="preserve"> (Рабочий ток) Обогрев: S[]</v>
      </c>
      <c r="K88" t="str">
        <f>CONCATENATE(K$2,": ",K$3,list1!K88,"]")</f>
        <v xml:space="preserve"> (Рабочий ток) Напряжение / Частота источника питания: S[1 / 220 / 50]</v>
      </c>
      <c r="L88" t="str">
        <f>CONCATENATE(L$2,": ",L$3,list1!L88,"]")</f>
        <v xml:space="preserve"> (Рабочий ток) Хладагент: S[R410A]</v>
      </c>
      <c r="M88" t="str">
        <f>CONCATENATE(M$2,": ",M$3,list1!M88,"]")</f>
        <v xml:space="preserve"> (Рабочий ток) Количество хладагента: N[]</v>
      </c>
      <c r="N88" t="str">
        <f>CONCATENATE(N$2,": ",N$3,list1!N88,"]")</f>
        <v xml:space="preserve"> (Рабочий ток) Объем рециркулируемого воздуха внутреннего блока: S[]</v>
      </c>
      <c r="O88" t="str">
        <f>CONCATENATE(O$2,": ",O$3,list1!O88,"]")</f>
        <v xml:space="preserve"> (Внутренний блок) Размеры (Ш x Г x В): S[700 х 50 х 700]</v>
      </c>
      <c r="P88" t="str">
        <f>CONCATENATE(P$2,": ",P$3,list1!P88,"]")</f>
        <v xml:space="preserve"> (Внутренний блок) Упаковка (Ш x Г x В): S[755 х 765 х 120]</v>
      </c>
      <c r="Q88" t="str">
        <f>CONCATENATE(Q$2,": ",Q$3,list1!Q88,"]")</f>
        <v xml:space="preserve"> (Внутренний блок) Масса (нетто / брутто): S[4.5 / 4.5]</v>
      </c>
      <c r="R88" t="str">
        <f>CONCATENATE(R$2,": ",R$3,list1!R88,"]")</f>
        <v xml:space="preserve"> (Внутренний блок) Уровень шума мин. / макс.: S[27/30/34/37]</v>
      </c>
      <c r="S88" t="str">
        <f>CONCATENATE(S$2,": ",S$3,list1!S88,"]")</f>
        <v xml:space="preserve"> (Наружный блок) Марка компрессора: S[TOSHIBA]</v>
      </c>
      <c r="T88" t="str">
        <f>CONCATENATE(T$2,": ",T$3,list1!T88,"]")</f>
        <v xml:space="preserve"> (Наружный блок) Размеры (Ш x Г x В): S[790 х 300 х 578]</v>
      </c>
      <c r="U88" t="str">
        <f>CONCATENATE(U$2,": ",U$3,list1!U88,"]")</f>
        <v xml:space="preserve"> (Наружный блок) Упаковка (Ш x Г x В): S[910 х 380 х 648]</v>
      </c>
      <c r="V88" t="str">
        <f>CONCATENATE(V$2,": ",V$3,list1!V88,"]")</f>
        <v xml:space="preserve"> (Наружный блок) Масса (нетто / брутто): S[40/44]</v>
      </c>
      <c r="W88" t="str">
        <f>CONCATENATE(W$2,": ",W$3,list1!W88,"]")</f>
        <v xml:space="preserve"> (Наружный блок) Максимальный уровень шума: N[]</v>
      </c>
      <c r="X88" t="str">
        <f>CONCATENATE(X$2,": ",X$3,list1!X88,"]")</f>
        <v xml:space="preserve"> (Соединительные трубы) Жидкостная линия : N[6.35]</v>
      </c>
      <c r="Y88" t="str">
        <f>CONCATENATE(Y$2,": ",Y$3,list1!Y88,"]")</f>
        <v xml:space="preserve"> (Соединительные трубы) Газовая линия : N[12.7]</v>
      </c>
      <c r="Z88" t="str">
        <f>CONCATENATE(Z$2,": ",Z$3,list1!Z88,"]")</f>
        <v xml:space="preserve"> (Соединительные трубы) Максимальная длина трубопровода: N[25]</v>
      </c>
      <c r="AA88" t="str">
        <f>CONCATENATE(AA$2,": ",AA$3,list1!AA88,"]")</f>
        <v xml:space="preserve"> (Соединительные трубы) Максимальный перепад высот: S[15]</v>
      </c>
      <c r="AB88" t="str">
        <f>CONCATENATE(AB$2,": ",AB$3,list1!AB88,"]")</f>
        <v xml:space="preserve"> (Допустимая темп. наружного воздуха) Охлаждение: S[от -10 до +46]</v>
      </c>
      <c r="AC88" t="str">
        <f>CONCATENATE(AC$2,": ",AC$3,list1!AC88,"]")</f>
        <v xml:space="preserve"> (Допустимая темп. наружного воздуха) Обогрев: S[от -15 до +24]</v>
      </c>
      <c r="AD88" s="6" t="s">
        <v>5245</v>
      </c>
    </row>
    <row r="89" spans="1:30" x14ac:dyDescent="0.25">
      <c r="A89" t="str">
        <f>CONCATENATE(A$2,": ",A$3,list1!A89,"]")</f>
        <v>Производитель: E[FUJITSU]</v>
      </c>
      <c r="B89" t="str">
        <f>CONCATENATE(B$2,": ",B$3,list1!B89,"]")</f>
        <v xml:space="preserve"> Тип: S[Кассетные]</v>
      </c>
      <c r="C89" t="str">
        <f>CONCATENATE(C$2,": ",C$3,list1!C89,"]")</f>
        <v xml:space="preserve"> (Сплит система) Холодопроизводительность: N[5.2]</v>
      </c>
      <c r="D89" t="str">
        <f>CONCATENATE(D$2,": ",D$3,list1!D89,"]")</f>
        <v xml:space="preserve"> (Сплит система) Площадь помещения: N[52]</v>
      </c>
      <c r="E89" t="str">
        <f>CONCATENATE(E$2,": ",E$3,list1!E89,"]")</f>
        <v xml:space="preserve"> (Сплит система) Инвентор: S[да]</v>
      </c>
      <c r="F89" t="str">
        <f>CONCATENATE(F$2,": ",F$3,list1!F89,"]")</f>
        <v xml:space="preserve"> (Сплит система) Теплопроизводительность: N[6]</v>
      </c>
      <c r="G89" t="str">
        <f>CONCATENATE(G$2,": ",G$3,list1!G89,"]")</f>
        <v xml:space="preserve"> (Потребляемая мощность) Охлаждение: N[1.62]</v>
      </c>
      <c r="H89" t="str">
        <f>CONCATENATE(H$2,": ",H$3,list1!H89,"]")</f>
        <v xml:space="preserve"> (Потребляемая мощность) Обогрев: S[1.66]</v>
      </c>
      <c r="I89" t="str">
        <f>CONCATENATE(I$2,": ",I$3,list1!I89,"]")</f>
        <v xml:space="preserve"> (Рабочий ток) Охлаждение: S[]</v>
      </c>
      <c r="J89" t="str">
        <f>CONCATENATE(J$2,": ",J$3,list1!J89,"]")</f>
        <v xml:space="preserve"> (Рабочий ток) Обогрев: S[]</v>
      </c>
      <c r="K89" t="str">
        <f>CONCATENATE(K$2,": ",K$3,list1!K89,"]")</f>
        <v xml:space="preserve"> (Рабочий ток) Напряжение / Частота источника питания: S[1 / 220 / 50]</v>
      </c>
      <c r="L89" t="str">
        <f>CONCATENATE(L$2,": ",L$3,list1!L89,"]")</f>
        <v xml:space="preserve"> (Рабочий ток) Хладагент: S[R410A]</v>
      </c>
      <c r="M89" t="str">
        <f>CONCATENATE(M$2,": ",M$3,list1!M89,"]")</f>
        <v xml:space="preserve"> (Рабочий ток) Количество хладагента: N[]</v>
      </c>
      <c r="N89" t="str">
        <f>CONCATENATE(N$2,": ",N$3,list1!N89,"]")</f>
        <v xml:space="preserve"> (Рабочий ток) Объем рециркулируемого воздуха внутреннего блока: S[]</v>
      </c>
      <c r="O89" t="str">
        <f>CONCATENATE(O$2,": ",O$3,list1!O89,"]")</f>
        <v xml:space="preserve"> (Внутренний блок) Размеры (Ш x Г x В): S[700 х 50 х 700]</v>
      </c>
      <c r="P89" t="str">
        <f>CONCATENATE(P$2,": ",P$3,list1!P89,"]")</f>
        <v xml:space="preserve"> (Внутренний блок) Упаковка (Ш x Г x В): S[755 х 765 х 120]</v>
      </c>
      <c r="Q89" t="str">
        <f>CONCATENATE(Q$2,": ",Q$3,list1!Q89,"]")</f>
        <v xml:space="preserve"> (Внутренний блок) Масса (нетто / брутто): S[4.5 / 4.5]</v>
      </c>
      <c r="R89" t="str">
        <f>CONCATENATE(R$2,": ",R$3,list1!R89,"]")</f>
        <v xml:space="preserve"> (Внутренний блок) Уровень шума мин. / макс.: S[26/30/34/38]</v>
      </c>
      <c r="S89" t="str">
        <f>CONCATENATE(S$2,": ",S$3,list1!S89,"]")</f>
        <v xml:space="preserve"> (Наружный блок) Марка компрессора: S[TOSHIBA]</v>
      </c>
      <c r="T89" t="str">
        <f>CONCATENATE(T$2,": ",T$3,list1!T89,"]")</f>
        <v xml:space="preserve"> (Наружный блок) Размеры (Ш x Г x В): S[799 х 290 х 632]</v>
      </c>
      <c r="U89" t="str">
        <f>CONCATENATE(U$2,": ",U$3,list1!U89,"]")</f>
        <v xml:space="preserve"> (Наружный блок) Упаковка (Ш x Г x В): S[940 х 375 х 692]</v>
      </c>
      <c r="V89" t="str">
        <f>CONCATENATE(V$2,": ",V$3,list1!V89,"]")</f>
        <v xml:space="preserve"> (Наружный блок) Масса (нетто / брутто): S[36/40]</v>
      </c>
      <c r="W89" t="str">
        <f>CONCATENATE(W$2,": ",W$3,list1!W89,"]")</f>
        <v xml:space="preserve"> (Наружный блок) Максимальный уровень шума: N[]</v>
      </c>
      <c r="X89" t="str">
        <f>CONCATENATE(X$2,": ",X$3,list1!X89,"]")</f>
        <v xml:space="preserve"> (Соединительные трубы) Жидкостная линия : N[6.35]</v>
      </c>
      <c r="Y89" t="str">
        <f>CONCATENATE(Y$2,": ",Y$3,list1!Y89,"]")</f>
        <v xml:space="preserve"> (Соединительные трубы) Газовая линия : N[12.7]</v>
      </c>
      <c r="Z89" t="str">
        <f>CONCATENATE(Z$2,": ",Z$3,list1!Z89,"]")</f>
        <v xml:space="preserve"> (Соединительные трубы) Максимальная длина трубопровода: N[25]</v>
      </c>
      <c r="AA89" t="str">
        <f>CONCATENATE(AA$2,": ",AA$3,list1!AA89,"]")</f>
        <v xml:space="preserve"> (Соединительные трубы) Максимальный перепад высот: S[15]</v>
      </c>
      <c r="AB89" t="str">
        <f>CONCATENATE(AB$2,": ",AB$3,list1!AB89,"]")</f>
        <v xml:space="preserve"> (Допустимая темп. наружного воздуха) Охлаждение: S[от -10 до +46]</v>
      </c>
      <c r="AC89" t="str">
        <f>CONCATENATE(AC$2,": ",AC$3,list1!AC89,"]")</f>
        <v xml:space="preserve"> (Допустимая темп. наружного воздуха) Обогрев: S[от -15 до +24]</v>
      </c>
      <c r="AD89" s="6" t="s">
        <v>5245</v>
      </c>
    </row>
    <row r="90" spans="1:30" x14ac:dyDescent="0.25">
      <c r="A90" t="str">
        <f>CONCATENATE(A$2,": ",A$3,list1!A90,"]")</f>
        <v>Производитель: E[FUJITSU]</v>
      </c>
      <c r="B90" t="str">
        <f>CONCATENATE(B$2,": ",B$3,list1!B90,"]")</f>
        <v xml:space="preserve"> Тип: S[Кассетные]</v>
      </c>
      <c r="C90" t="str">
        <f>CONCATENATE(C$2,": ",C$3,list1!C90,"]")</f>
        <v xml:space="preserve"> (Сплит система) Холодопроизводительность: N[6.8]</v>
      </c>
      <c r="D90" t="str">
        <f>CONCATENATE(D$2,": ",D$3,list1!D90,"]")</f>
        <v xml:space="preserve"> (Сплит система) Площадь помещения: N[68]</v>
      </c>
      <c r="E90" t="str">
        <f>CONCATENATE(E$2,": ",E$3,list1!E90,"]")</f>
        <v xml:space="preserve"> (Сплит система) Инвентор: S[да]</v>
      </c>
      <c r="F90" t="str">
        <f>CONCATENATE(F$2,": ",F$3,list1!F90,"]")</f>
        <v xml:space="preserve"> (Сплит система) Теплопроизводительность: N[8]</v>
      </c>
      <c r="G90" t="str">
        <f>CONCATENATE(G$2,": ",G$3,list1!G90,"]")</f>
        <v xml:space="preserve"> (Потребляемая мощность) Охлаждение: N[2.21]</v>
      </c>
      <c r="H90" t="str">
        <f>CONCATENATE(H$2,": ",H$3,list1!H90,"]")</f>
        <v xml:space="preserve"> (Потребляемая мощность) Обогрев: S[2.26]</v>
      </c>
      <c r="I90" t="str">
        <f>CONCATENATE(I$2,": ",I$3,list1!I90,"]")</f>
        <v xml:space="preserve"> (Рабочий ток) Охлаждение: S[]</v>
      </c>
      <c r="J90" t="str">
        <f>CONCATENATE(J$2,": ",J$3,list1!J90,"]")</f>
        <v xml:space="preserve"> (Рабочий ток) Обогрев: S[]</v>
      </c>
      <c r="K90" t="str">
        <f>CONCATENATE(K$2,": ",K$3,list1!K90,"]")</f>
        <v xml:space="preserve"> (Рабочий ток) Напряжение / Частота источника питания: S[1 / 220 / 50]</v>
      </c>
      <c r="L90" t="str">
        <f>CONCATENATE(L$2,": ",L$3,list1!L90,"]")</f>
        <v xml:space="preserve"> (Рабочий ток) Хладагент: S[R410A]</v>
      </c>
      <c r="M90" t="str">
        <f>CONCATENATE(M$2,": ",M$3,list1!M90,"]")</f>
        <v xml:space="preserve"> (Рабочий ток) Количество хладагента: N[]</v>
      </c>
      <c r="N90" t="str">
        <f>CONCATENATE(N$2,": ",N$3,list1!N90,"]")</f>
        <v xml:space="preserve"> (Рабочий ток) Объем рециркулируемого воздуха внутреннего блока: S[]</v>
      </c>
      <c r="O90" t="str">
        <f>CONCATENATE(O$2,": ",O$3,list1!O90,"]")</f>
        <v xml:space="preserve"> (Внутренний блок) Размеры (Ш x Г x В): S[700 х 50 х 700]</v>
      </c>
      <c r="P90" t="str">
        <f>CONCATENATE(P$2,": ",P$3,list1!P90,"]")</f>
        <v xml:space="preserve"> (Внутренний блок) Упаковка (Ш x Г x В): S[755 х 765 х 120]</v>
      </c>
      <c r="Q90" t="str">
        <f>CONCATENATE(Q$2,": ",Q$3,list1!Q90,"]")</f>
        <v xml:space="preserve"> (Внутренний блок) Масса (нетто / брутто): S[4.5 / 4.5]</v>
      </c>
      <c r="R90" t="str">
        <f>CONCATENATE(R$2,": ",R$3,list1!R90,"]")</f>
        <v xml:space="preserve"> (Внутренний блок) Уровень шума мин. / макс.: S[30/36/44/49]</v>
      </c>
      <c r="S90" t="str">
        <f>CONCATENATE(S$2,": ",S$3,list1!S90,"]")</f>
        <v xml:space="preserve"> (Наружный блок) Марка компрессора: S[TOSHIBA]</v>
      </c>
      <c r="T90" t="str">
        <f>CONCATENATE(T$2,": ",T$3,list1!T90,"]")</f>
        <v xml:space="preserve"> (Наружный блок) Размеры (Ш x Г x В): S[820 х 315 х 716]</v>
      </c>
      <c r="U90" t="str">
        <f>CONCATENATE(U$2,": ",U$3,list1!U90,"]")</f>
        <v xml:space="preserve"> (Наружный блок) Упаковка (Ш x Г x В): S[961 х 450 х 776]</v>
      </c>
      <c r="V90" t="str">
        <f>CONCATENATE(V$2,": ",V$3,list1!V90,"]")</f>
        <v xml:space="preserve"> (Наружный блок) Масса (нетто / брутто): S[42/47]</v>
      </c>
      <c r="W90" t="str">
        <f>CONCATENATE(W$2,": ",W$3,list1!W90,"]")</f>
        <v xml:space="preserve"> (Наружный блок) Максимальный уровень шума: N[]</v>
      </c>
      <c r="X90" t="str">
        <f>CONCATENATE(X$2,": ",X$3,list1!X90,"]")</f>
        <v xml:space="preserve"> (Соединительные трубы) Жидкостная линия : N[6.35]</v>
      </c>
      <c r="Y90" t="str">
        <f>CONCATENATE(Y$2,": ",Y$3,list1!Y90,"]")</f>
        <v xml:space="preserve"> (Соединительные трубы) Газовая линия : N[15.88]</v>
      </c>
      <c r="Z90" t="str">
        <f>CONCATENATE(Z$2,": ",Z$3,list1!Z90,"]")</f>
        <v xml:space="preserve"> (Соединительные трубы) Максимальная длина трубопровода: N[30]</v>
      </c>
      <c r="AA90" t="str">
        <f>CONCATENATE(AA$2,": ",AA$3,list1!AA90,"]")</f>
        <v xml:space="preserve"> (Соединительные трубы) Максимальный перепад высот: S[20]</v>
      </c>
      <c r="AB90" t="str">
        <f>CONCATENATE(AB$2,": ",AB$3,list1!AB90,"]")</f>
        <v xml:space="preserve"> (Допустимая темп. наружного воздуха) Охлаждение: S[от -10 до +46]</v>
      </c>
      <c r="AC90" t="str">
        <f>CONCATENATE(AC$2,": ",AC$3,list1!AC90,"]")</f>
        <v xml:space="preserve"> (Допустимая темп. наружного воздуха) Обогрев: S[от -15 до +24]</v>
      </c>
      <c r="AD90" s="6" t="s">
        <v>5245</v>
      </c>
    </row>
    <row r="91" spans="1:30" x14ac:dyDescent="0.25">
      <c r="A91" t="str">
        <f>CONCATENATE(A$2,": ",A$3,list1!A91,"]")</f>
        <v>Производитель: E[FUJITSU]</v>
      </c>
      <c r="B91" t="str">
        <f>CONCATENATE(B$2,": ",B$3,list1!B91,"]")</f>
        <v xml:space="preserve"> Тип: S[Кассетные]</v>
      </c>
      <c r="C91" t="str">
        <f>CONCATENATE(C$2,": ",C$3,list1!C91,"]")</f>
        <v xml:space="preserve"> (Сплит система) Холодопроизводительность: N[3.5]</v>
      </c>
      <c r="D91" t="str">
        <f>CONCATENATE(D$2,": ",D$3,list1!D91,"]")</f>
        <v xml:space="preserve"> (Сплит система) Площадь помещения: N[35]</v>
      </c>
      <c r="E91" t="str">
        <f>CONCATENATE(E$2,": ",E$3,list1!E91,"]")</f>
        <v xml:space="preserve"> (Сплит система) Инвентор: S[да]</v>
      </c>
      <c r="F91" t="str">
        <f>CONCATENATE(F$2,": ",F$3,list1!F91,"]")</f>
        <v xml:space="preserve"> (Сплит система) Теплопроизводительность: N[4.1]</v>
      </c>
      <c r="G91" t="str">
        <f>CONCATENATE(G$2,": ",G$3,list1!G91,"]")</f>
        <v xml:space="preserve"> (Потребляемая мощность) Охлаждение: N[1.09]</v>
      </c>
      <c r="H91" t="str">
        <f>CONCATENATE(H$2,": ",H$3,list1!H91,"]")</f>
        <v xml:space="preserve"> (Потребляемая мощность) Обогрев: S[1.17]</v>
      </c>
      <c r="I91" t="str">
        <f>CONCATENATE(I$2,": ",I$3,list1!I91,"]")</f>
        <v xml:space="preserve"> (Рабочий ток) Охлаждение: S[]</v>
      </c>
      <c r="J91" t="str">
        <f>CONCATENATE(J$2,": ",J$3,list1!J91,"]")</f>
        <v xml:space="preserve"> (Рабочий ток) Обогрев: S[]</v>
      </c>
      <c r="K91" t="str">
        <f>CONCATENATE(K$2,": ",K$3,list1!K91,"]")</f>
        <v xml:space="preserve"> (Рабочий ток) Напряжение / Частота источника питания: S[1 / 230 / 50]</v>
      </c>
      <c r="L91" t="str">
        <f>CONCATENATE(L$2,": ",L$3,list1!L91,"]")</f>
        <v xml:space="preserve"> (Рабочий ток) Хладагент: S[R32]</v>
      </c>
      <c r="M91" t="str">
        <f>CONCATENATE(M$2,": ",M$3,list1!M91,"]")</f>
        <v xml:space="preserve"> (Рабочий ток) Количество хладагента: N[]</v>
      </c>
      <c r="N91" t="str">
        <f>CONCATENATE(N$2,": ",N$3,list1!N91,"]")</f>
        <v xml:space="preserve"> (Рабочий ток) Объем рециркулируемого воздуха внутреннего блока: S[]</v>
      </c>
      <c r="O91" t="str">
        <f>CONCATENATE(O$2,": ",O$3,list1!O91,"]")</f>
        <v xml:space="preserve"> (Внутренний блок) Размеры (Ш x Г x В): S[]</v>
      </c>
      <c r="P91" t="str">
        <f>CONCATENATE(P$2,": ",P$3,list1!P91,"]")</f>
        <v xml:space="preserve"> (Внутренний блок) Упаковка (Ш x Г x В): S[]</v>
      </c>
      <c r="Q91" t="str">
        <f>CONCATENATE(Q$2,": ",Q$3,list1!Q91,"]")</f>
        <v xml:space="preserve"> (Внутренний блок) Масса (нетто / брутто): S[]</v>
      </c>
      <c r="R91" t="str">
        <f>CONCATENATE(R$2,": ",R$3,list1!R91,"]")</f>
        <v xml:space="preserve"> (Внутренний блок) Уровень шума мин. / макс.: S[27/30/34/37]</v>
      </c>
      <c r="S91" t="str">
        <f>CONCATENATE(S$2,": ",S$3,list1!S91,"]")</f>
        <v xml:space="preserve"> (Наружный блок) Марка компрессора: S[]</v>
      </c>
      <c r="T91" t="str">
        <f>CONCATENATE(T$2,": ",T$3,list1!T91,"]")</f>
        <v xml:space="preserve"> (Наружный блок) Размеры (Ш x Г x В): S[663 х 290 х 541]</v>
      </c>
      <c r="U91" t="str">
        <f>CONCATENATE(U$2,": ",U$3,list1!U91,"]")</f>
        <v xml:space="preserve"> (Наружный блок) Упаковка (Ш x Г x В): S[804 х 375 х 602]</v>
      </c>
      <c r="V91" t="str">
        <f>CONCATENATE(V$2,": ",V$3,list1!V91,"]")</f>
        <v xml:space="preserve"> (Наружный блок) Масса (нетто / брутто): S[25/29]</v>
      </c>
      <c r="W91" t="str">
        <f>CONCATENATE(W$2,": ",W$3,list1!W91,"]")</f>
        <v xml:space="preserve"> (Наружный блок) Максимальный уровень шума: N[]</v>
      </c>
      <c r="X91" t="str">
        <f>CONCATENATE(X$2,": ",X$3,list1!X91,"]")</f>
        <v xml:space="preserve"> (Соединительные трубы) Жидкостная линия : N[6.35]</v>
      </c>
      <c r="Y91" t="str">
        <f>CONCATENATE(Y$2,": ",Y$3,list1!Y91,"]")</f>
        <v xml:space="preserve"> (Соединительные трубы) Газовая линия : N[9.52]</v>
      </c>
      <c r="Z91" t="str">
        <f>CONCATENATE(Z$2,": ",Z$3,list1!Z91,"]")</f>
        <v xml:space="preserve"> (Соединительные трубы) Максимальная длина трубопровода: N[15]</v>
      </c>
      <c r="AA91" t="str">
        <f>CONCATENATE(AA$2,": ",AA$3,list1!AA91,"]")</f>
        <v xml:space="preserve"> (Соединительные трубы) Максимальный перепад высот: S[15]</v>
      </c>
      <c r="AB91" t="str">
        <f>CONCATENATE(AB$2,": ",AB$3,list1!AB91,"]")</f>
        <v xml:space="preserve"> (Допустимая темп. наружного воздуха) Охлаждение: S[от -10 до +46]</v>
      </c>
      <c r="AC91" t="str">
        <f>CONCATENATE(AC$2,": ",AC$3,list1!AC91,"]")</f>
        <v xml:space="preserve"> (Допустимая темп. наружного воздуха) Обогрев: S[от -15 до +24]</v>
      </c>
      <c r="AD91" s="6" t="s">
        <v>5245</v>
      </c>
    </row>
    <row r="92" spans="1:30" x14ac:dyDescent="0.25">
      <c r="A92" t="str">
        <f>CONCATENATE(A$2,": ",A$3,list1!A92,"]")</f>
        <v>Производитель: E[FUJITSU]</v>
      </c>
      <c r="B92" t="str">
        <f>CONCATENATE(B$2,": ",B$3,list1!B92,"]")</f>
        <v xml:space="preserve"> Тип: S[Кассетные]</v>
      </c>
      <c r="C92" t="str">
        <f>CONCATENATE(C$2,": ",C$3,list1!C92,"]")</f>
        <v xml:space="preserve"> (Сплит система) Холодопроизводительность: N[4.3]</v>
      </c>
      <c r="D92" t="str">
        <f>CONCATENATE(D$2,": ",D$3,list1!D92,"]")</f>
        <v xml:space="preserve"> (Сплит система) Площадь помещения: N[43]</v>
      </c>
      <c r="E92" t="str">
        <f>CONCATENATE(E$2,": ",E$3,list1!E92,"]")</f>
        <v xml:space="preserve"> (Сплит система) Инвентор: S[да]</v>
      </c>
      <c r="F92" t="str">
        <f>CONCATENATE(F$2,": ",F$3,list1!F92,"]")</f>
        <v xml:space="preserve"> (Сплит система) Теплопроизводительность: N[5]</v>
      </c>
      <c r="G92" t="str">
        <f>CONCATENATE(G$2,": ",G$3,list1!G92,"]")</f>
        <v xml:space="preserve"> (Потребляемая мощность) Охлаждение: N[1.37]</v>
      </c>
      <c r="H92" t="str">
        <f>CONCATENATE(H$2,": ",H$3,list1!H92,"]")</f>
        <v xml:space="preserve"> (Потребляемая мощность) Обогрев: S[1.42]</v>
      </c>
      <c r="I92" t="str">
        <f>CONCATENATE(I$2,": ",I$3,list1!I92,"]")</f>
        <v xml:space="preserve"> (Рабочий ток) Охлаждение: S[]</v>
      </c>
      <c r="J92" t="str">
        <f>CONCATENATE(J$2,": ",J$3,list1!J92,"]")</f>
        <v xml:space="preserve"> (Рабочий ток) Обогрев: S[]</v>
      </c>
      <c r="K92" t="str">
        <f>CONCATENATE(K$2,": ",K$3,list1!K92,"]")</f>
        <v xml:space="preserve"> (Рабочий ток) Напряжение / Частота источника питания: S[1 / 230 / 50]</v>
      </c>
      <c r="L92" t="str">
        <f>CONCATENATE(L$2,": ",L$3,list1!L92,"]")</f>
        <v xml:space="preserve"> (Рабочий ток) Хладагент: S[R32]</v>
      </c>
      <c r="M92" t="str">
        <f>CONCATENATE(M$2,": ",M$3,list1!M92,"]")</f>
        <v xml:space="preserve"> (Рабочий ток) Количество хладагента: N[]</v>
      </c>
      <c r="N92" t="str">
        <f>CONCATENATE(N$2,": ",N$3,list1!N92,"]")</f>
        <v xml:space="preserve"> (Рабочий ток) Объем рециркулируемого воздуха внутреннего блока: S[]</v>
      </c>
      <c r="O92" t="str">
        <f>CONCATENATE(O$2,": ",O$3,list1!O92,"]")</f>
        <v xml:space="preserve"> (Внутренний блок) Размеры (Ш x Г x В): S[]</v>
      </c>
      <c r="P92" t="str">
        <f>CONCATENATE(P$2,": ",P$3,list1!P92,"]")</f>
        <v xml:space="preserve"> (Внутренний блок) Упаковка (Ш x Г x В): S[]</v>
      </c>
      <c r="Q92" t="str">
        <f>CONCATENATE(Q$2,": ",Q$3,list1!Q92,"]")</f>
        <v xml:space="preserve"> (Внутренний блок) Масса (нетто / брутто): S[]</v>
      </c>
      <c r="R92" t="str">
        <f>CONCATENATE(R$2,": ",R$3,list1!R92,"]")</f>
        <v xml:space="preserve"> (Внутренний блок) Уровень шума мин. / макс.: S[27/30/34/38]</v>
      </c>
      <c r="S92" t="str">
        <f>CONCATENATE(S$2,": ",S$3,list1!S92,"]")</f>
        <v xml:space="preserve"> (Наружный блок) Марка компрессора: S[]</v>
      </c>
      <c r="T92" t="str">
        <f>CONCATENATE(T$2,": ",T$3,list1!T92,"]")</f>
        <v xml:space="preserve"> (Наружный блок) Размеры (Ш x Г x В): S[799 х 290 х 542]</v>
      </c>
      <c r="U92" t="str">
        <f>CONCATENATE(U$2,": ",U$3,list1!U92,"]")</f>
        <v xml:space="preserve"> (Наружный блок) Упаковка (Ш x Г x В): S[940 х 375 х 602]</v>
      </c>
      <c r="V92" t="str">
        <f>CONCATENATE(V$2,": ",V$3,list1!V92,"]")</f>
        <v xml:space="preserve"> (Наружный блок) Масса (нетто / брутто): S[32/36]</v>
      </c>
      <c r="W92" t="str">
        <f>CONCATENATE(W$2,": ",W$3,list1!W92,"]")</f>
        <v xml:space="preserve"> (Наружный блок) Максимальный уровень шума: N[]</v>
      </c>
      <c r="X92" t="str">
        <f>CONCATENATE(X$2,": ",X$3,list1!X92,"]")</f>
        <v xml:space="preserve"> (Соединительные трубы) Жидкостная линия : N[6.35]</v>
      </c>
      <c r="Y92" t="str">
        <f>CONCATENATE(Y$2,": ",Y$3,list1!Y92,"]")</f>
        <v xml:space="preserve"> (Соединительные трубы) Газовая линия : N[9.52]</v>
      </c>
      <c r="Z92" t="str">
        <f>CONCATENATE(Z$2,": ",Z$3,list1!Z92,"]")</f>
        <v xml:space="preserve"> (Соединительные трубы) Максимальная длина трубопровода: N[20]</v>
      </c>
      <c r="AA92" t="str">
        <f>CONCATENATE(AA$2,": ",AA$3,list1!AA92,"]")</f>
        <v xml:space="preserve"> (Соединительные трубы) Максимальный перепад высот: S[15]</v>
      </c>
      <c r="AB92" t="str">
        <f>CONCATENATE(AB$2,": ",AB$3,list1!AB92,"]")</f>
        <v xml:space="preserve"> (Допустимая темп. наружного воздуха) Охлаждение: S[от -10 до +46]</v>
      </c>
      <c r="AC92" t="str">
        <f>CONCATENATE(AC$2,": ",AC$3,list1!AC92,"]")</f>
        <v xml:space="preserve"> (Допустимая темп. наружного воздуха) Обогрев: S[от -15 до +24]</v>
      </c>
      <c r="AD92" s="6" t="s">
        <v>5245</v>
      </c>
    </row>
    <row r="93" spans="1:30" x14ac:dyDescent="0.25">
      <c r="A93" t="str">
        <f>CONCATENATE(A$2,": ",A$3,list1!A93,"]")</f>
        <v>Производитель: E[FUJITSU]</v>
      </c>
      <c r="B93" t="str">
        <f>CONCATENATE(B$2,": ",B$3,list1!B93,"]")</f>
        <v xml:space="preserve"> Тип: S[Кассетные]</v>
      </c>
      <c r="C93" t="str">
        <f>CONCATENATE(C$2,": ",C$3,list1!C93,"]")</f>
        <v xml:space="preserve"> (Сплит система) Холодопроизводительность: N[5.2]</v>
      </c>
      <c r="D93" t="str">
        <f>CONCATENATE(D$2,": ",D$3,list1!D93,"]")</f>
        <v xml:space="preserve"> (Сплит система) Площадь помещения: N[52]</v>
      </c>
      <c r="E93" t="str">
        <f>CONCATENATE(E$2,": ",E$3,list1!E93,"]")</f>
        <v xml:space="preserve"> (Сплит система) Инвентор: S[да]</v>
      </c>
      <c r="F93" t="str">
        <f>CONCATENATE(F$2,": ",F$3,list1!F93,"]")</f>
        <v xml:space="preserve"> (Сплит система) Теплопроизводительность: N[6]</v>
      </c>
      <c r="G93" t="str">
        <f>CONCATENATE(G$2,": ",G$3,list1!G93,"]")</f>
        <v xml:space="preserve"> (Потребляемая мощность) Охлаждение: N[1.69]</v>
      </c>
      <c r="H93" t="str">
        <f>CONCATENATE(H$2,": ",H$3,list1!H93,"]")</f>
        <v xml:space="preserve"> (Потребляемая мощность) Обогрев: S[1.72]</v>
      </c>
      <c r="I93" t="str">
        <f>CONCATENATE(I$2,": ",I$3,list1!I93,"]")</f>
        <v xml:space="preserve"> (Рабочий ток) Охлаждение: S[]</v>
      </c>
      <c r="J93" t="str">
        <f>CONCATENATE(J$2,": ",J$3,list1!J93,"]")</f>
        <v xml:space="preserve"> (Рабочий ток) Обогрев: S[]</v>
      </c>
      <c r="K93" t="str">
        <f>CONCATENATE(K$2,": ",K$3,list1!K93,"]")</f>
        <v xml:space="preserve"> (Рабочий ток) Напряжение / Частота источника питания: S[1 / 230 / 50]</v>
      </c>
      <c r="L93" t="str">
        <f>CONCATENATE(L$2,": ",L$3,list1!L93,"]")</f>
        <v xml:space="preserve"> (Рабочий ток) Хладагент: S[R32]</v>
      </c>
      <c r="M93" t="str">
        <f>CONCATENATE(M$2,": ",M$3,list1!M93,"]")</f>
        <v xml:space="preserve"> (Рабочий ток) Количество хладагента: N[]</v>
      </c>
      <c r="N93" t="str">
        <f>CONCATENATE(N$2,": ",N$3,list1!N93,"]")</f>
        <v xml:space="preserve"> (Рабочий ток) Объем рециркулируемого воздуха внутреннего блока: S[]</v>
      </c>
      <c r="O93" t="str">
        <f>CONCATENATE(O$2,": ",O$3,list1!O93,"]")</f>
        <v xml:space="preserve"> (Внутренний блок) Размеры (Ш x Г x В): S[]</v>
      </c>
      <c r="P93" t="str">
        <f>CONCATENATE(P$2,": ",P$3,list1!P93,"]")</f>
        <v xml:space="preserve"> (Внутренний блок) Упаковка (Ш x Г x В): S[]</v>
      </c>
      <c r="Q93" t="str">
        <f>CONCATENATE(Q$2,": ",Q$3,list1!Q93,"]")</f>
        <v xml:space="preserve"> (Внутренний блок) Масса (нетто / брутто): S[]</v>
      </c>
      <c r="R93" t="str">
        <f>CONCATENATE(R$2,": ",R$3,list1!R93,"]")</f>
        <v xml:space="preserve"> (Внутренний блок) Уровень шума мин. / макс.: S[26/30/34/38]</v>
      </c>
      <c r="S93" t="str">
        <f>CONCATENATE(S$2,": ",S$3,list1!S93,"]")</f>
        <v xml:space="preserve"> (Наружный блок) Марка компрессора: S[]</v>
      </c>
      <c r="T93" t="str">
        <f>CONCATENATE(T$2,": ",T$3,list1!T93,"]")</f>
        <v xml:space="preserve"> (Наружный блок) Размеры (Ш x Г x В): S[799 х 290 х 542]</v>
      </c>
      <c r="U93" t="str">
        <f>CONCATENATE(U$2,": ",U$3,list1!U93,"]")</f>
        <v xml:space="preserve"> (Наружный блок) Упаковка (Ш x Г x В): S[940 х 375 х 602]</v>
      </c>
      <c r="V93" t="str">
        <f>CONCATENATE(V$2,": ",V$3,list1!V93,"]")</f>
        <v xml:space="preserve"> (Наружный блок) Масса (нетто / брутто): S[33/36]</v>
      </c>
      <c r="W93" t="str">
        <f>CONCATENATE(W$2,": ",W$3,list1!W93,"]")</f>
        <v xml:space="preserve"> (Наружный блок) Максимальный уровень шума: N[]</v>
      </c>
      <c r="X93" t="str">
        <f>CONCATENATE(X$2,": ",X$3,list1!X93,"]")</f>
        <v xml:space="preserve"> (Соединительные трубы) Жидкостная линия : N[6.35]</v>
      </c>
      <c r="Y93" t="str">
        <f>CONCATENATE(Y$2,": ",Y$3,list1!Y93,"]")</f>
        <v xml:space="preserve"> (Соединительные трубы) Газовая линия : N[12.7]</v>
      </c>
      <c r="Z93" t="str">
        <f>CONCATENATE(Z$2,": ",Z$3,list1!Z93,"]")</f>
        <v xml:space="preserve"> (Соединительные трубы) Максимальная длина трубопровода: N[20]</v>
      </c>
      <c r="AA93" t="str">
        <f>CONCATENATE(AA$2,": ",AA$3,list1!AA93,"]")</f>
        <v xml:space="preserve"> (Соединительные трубы) Максимальный перепад высот: S[15]</v>
      </c>
      <c r="AB93" t="str">
        <f>CONCATENATE(AB$2,": ",AB$3,list1!AB93,"]")</f>
        <v xml:space="preserve"> (Допустимая темп. наружного воздуха) Охлаждение: S[от -10 до +46]</v>
      </c>
      <c r="AC93" t="str">
        <f>CONCATENATE(AC$2,": ",AC$3,list1!AC93,"]")</f>
        <v xml:space="preserve"> (Допустимая темп. наружного воздуха) Обогрев: S[от -15 до +24]</v>
      </c>
      <c r="AD93" s="6" t="s">
        <v>5245</v>
      </c>
    </row>
    <row r="94" spans="1:30" x14ac:dyDescent="0.25">
      <c r="A94" t="str">
        <f>CONCATENATE(A$2,": ",A$3,list1!A94,"]")</f>
        <v>Производитель: E[FUJITSU]</v>
      </c>
      <c r="B94" t="str">
        <f>CONCATENATE(B$2,": ",B$3,list1!B94,"]")</f>
        <v xml:space="preserve"> Тип: S[Кассетные]</v>
      </c>
      <c r="C94" t="str">
        <f>CONCATENATE(C$2,": ",C$3,list1!C94,"]")</f>
        <v xml:space="preserve"> (Сплит система) Холодопроизводительность: N[6.8]</v>
      </c>
      <c r="D94" t="str">
        <f>CONCATENATE(D$2,": ",D$3,list1!D94,"]")</f>
        <v xml:space="preserve"> (Сплит система) Площадь помещения: N[68]</v>
      </c>
      <c r="E94" t="str">
        <f>CONCATENATE(E$2,": ",E$3,list1!E94,"]")</f>
        <v xml:space="preserve"> (Сплит система) Инвентор: S[да]</v>
      </c>
      <c r="F94" t="str">
        <f>CONCATENATE(F$2,": ",F$3,list1!F94,"]")</f>
        <v xml:space="preserve"> (Сплит система) Теплопроизводительность: N[7.5]</v>
      </c>
      <c r="G94" t="str">
        <f>CONCATENATE(G$2,": ",G$3,list1!G94,"]")</f>
        <v xml:space="preserve"> (Потребляемая мощность) Охлаждение: N[2.26]</v>
      </c>
      <c r="H94" t="str">
        <f>CONCATENATE(H$2,": ",H$3,list1!H94,"]")</f>
        <v xml:space="preserve"> (Потребляемая мощность) Обогрев: S[2.08]</v>
      </c>
      <c r="I94" t="str">
        <f>CONCATENATE(I$2,": ",I$3,list1!I94,"]")</f>
        <v xml:space="preserve"> (Рабочий ток) Охлаждение: S[]</v>
      </c>
      <c r="J94" t="str">
        <f>CONCATENATE(J$2,": ",J$3,list1!J94,"]")</f>
        <v xml:space="preserve"> (Рабочий ток) Обогрев: S[]</v>
      </c>
      <c r="K94" t="str">
        <f>CONCATENATE(K$2,": ",K$3,list1!K94,"]")</f>
        <v xml:space="preserve"> (Рабочий ток) Напряжение / Частота источника питания: S[1 / 230 / 50]</v>
      </c>
      <c r="L94" t="str">
        <f>CONCATENATE(L$2,": ",L$3,list1!L94,"]")</f>
        <v xml:space="preserve"> (Рабочий ток) Хладагент: S[R32]</v>
      </c>
      <c r="M94" t="str">
        <f>CONCATENATE(M$2,": ",M$3,list1!M94,"]")</f>
        <v xml:space="preserve"> (Рабочий ток) Количество хладагента: N[]</v>
      </c>
      <c r="N94" t="str">
        <f>CONCATENATE(N$2,": ",N$3,list1!N94,"]")</f>
        <v xml:space="preserve"> (Рабочий ток) Объем рециркулируемого воздуха внутреннего блока: S[]</v>
      </c>
      <c r="O94" t="str">
        <f>CONCATENATE(O$2,": ",O$3,list1!O94,"]")</f>
        <v xml:space="preserve"> (Внутренний блок) Размеры (Ш x Г x В): S[]</v>
      </c>
      <c r="P94" t="str">
        <f>CONCATENATE(P$2,": ",P$3,list1!P94,"]")</f>
        <v xml:space="preserve"> (Внутренний блок) Упаковка (Ш x Г x В): S[]</v>
      </c>
      <c r="Q94" t="str">
        <f>CONCATENATE(Q$2,": ",Q$3,list1!Q94,"]")</f>
        <v xml:space="preserve"> (Внутренний блок) Масса (нетто / брутто): S[]</v>
      </c>
      <c r="R94" t="str">
        <f>CONCATENATE(R$2,": ",R$3,list1!R94,"]")</f>
        <v xml:space="preserve"> (Внутренний блок) Уровень шума мин. / макс.: S[30/36/44/49]</v>
      </c>
      <c r="S94" t="str">
        <f>CONCATENATE(S$2,": ",S$3,list1!S94,"]")</f>
        <v xml:space="preserve"> (Наружный блок) Марка компрессора: S[]</v>
      </c>
      <c r="T94" t="str">
        <f>CONCATENATE(T$2,": ",T$3,list1!T94,"]")</f>
        <v xml:space="preserve"> (Наружный блок) Размеры (Ш x Г x В): S[799 х 290 х 632]</v>
      </c>
      <c r="U94" t="str">
        <f>CONCATENATE(U$2,": ",U$3,list1!U94,"]")</f>
        <v xml:space="preserve"> (Наружный блок) Упаковка (Ш x Г x В): S[940 х 375 х 692]</v>
      </c>
      <c r="V94" t="str">
        <f>CONCATENATE(V$2,": ",V$3,list1!V94,"]")</f>
        <v xml:space="preserve"> (Наружный блок) Масса (нетто / брутто): S[38/42]</v>
      </c>
      <c r="W94" t="str">
        <f>CONCATENATE(W$2,": ",W$3,list1!W94,"]")</f>
        <v xml:space="preserve"> (Наружный блок) Максимальный уровень шума: N[]</v>
      </c>
      <c r="X94" t="str">
        <f>CONCATENATE(X$2,": ",X$3,list1!X94,"]")</f>
        <v xml:space="preserve"> (Соединительные трубы) Жидкостная линия : N[6.35]</v>
      </c>
      <c r="Y94" t="str">
        <f>CONCATENATE(Y$2,": ",Y$3,list1!Y94,"]")</f>
        <v xml:space="preserve"> (Соединительные трубы) Газовая линия : N[12.7]</v>
      </c>
      <c r="Z94" t="str">
        <f>CONCATENATE(Z$2,": ",Z$3,list1!Z94,"]")</f>
        <v xml:space="preserve"> (Соединительные трубы) Максимальная длина трубопровода: N[25]</v>
      </c>
      <c r="AA94" t="str">
        <f>CONCATENATE(AA$2,": ",AA$3,list1!AA94,"]")</f>
        <v xml:space="preserve"> (Соединительные трубы) Максимальный перепад высот: S[20]</v>
      </c>
      <c r="AB94" t="str">
        <f>CONCATENATE(AB$2,": ",AB$3,list1!AB94,"]")</f>
        <v xml:space="preserve"> (Допустимая темп. наружного воздуха) Охлаждение: S[от -10 до +46]</v>
      </c>
      <c r="AC94" t="str">
        <f>CONCATENATE(AC$2,": ",AC$3,list1!AC94,"]")</f>
        <v xml:space="preserve"> (Допустимая темп. наружного воздуха) Обогрев: S[от -15 до +24]</v>
      </c>
      <c r="AD94" s="6" t="s">
        <v>5245</v>
      </c>
    </row>
    <row r="95" spans="1:30" x14ac:dyDescent="0.25">
      <c r="A95" t="str">
        <f>CONCATENATE(A$2,": ",A$3,list1!A95,"]")</f>
        <v>Производитель: E[FUJITSU]</v>
      </c>
      <c r="B95" t="str">
        <f>CONCATENATE(B$2,": ",B$3,list1!B95,"]")</f>
        <v xml:space="preserve"> Тип: S[Напольно-потолочные]</v>
      </c>
      <c r="C95" t="str">
        <f>CONCATENATE(C$2,": ",C$3,list1!C95,"]")</f>
        <v xml:space="preserve"> (Сплит система) Холодопроизводительность: N[2.5]</v>
      </c>
      <c r="D95" t="str">
        <f>CONCATENATE(D$2,": ",D$3,list1!D95,"]")</f>
        <v xml:space="preserve"> (Сплит система) Площадь помещения: N[25]</v>
      </c>
      <c r="E95" t="str">
        <f>CONCATENATE(E$2,": ",E$3,list1!E95,"]")</f>
        <v xml:space="preserve"> (Сплит система) Инвентор: S[да]</v>
      </c>
      <c r="F95" t="str">
        <f>CONCATENATE(F$2,": ",F$3,list1!F95,"]")</f>
        <v xml:space="preserve"> (Сплит система) Теплопроизводительность: N[3.5]</v>
      </c>
      <c r="G95" t="str">
        <f>CONCATENATE(G$2,": ",G$3,list1!G95,"]")</f>
        <v xml:space="preserve"> (Потребляемая мощность) Охлаждение: N[0.53]</v>
      </c>
      <c r="H95" t="str">
        <f>CONCATENATE(H$2,": ",H$3,list1!H95,"]")</f>
        <v xml:space="preserve"> (Потребляемая мощность) Обогрев: S[0.81]</v>
      </c>
      <c r="I95" t="str">
        <f>CONCATENATE(I$2,": ",I$3,list1!I95,"]")</f>
        <v xml:space="preserve"> (Рабочий ток) Охлаждение: S[]</v>
      </c>
      <c r="J95" t="str">
        <f>CONCATENATE(J$2,": ",J$3,list1!J95,"]")</f>
        <v xml:space="preserve"> (Рабочий ток) Обогрев: S[]</v>
      </c>
      <c r="K95" t="str">
        <f>CONCATENATE(K$2,": ",K$3,list1!K95,"]")</f>
        <v xml:space="preserve"> (Рабочий ток) Напряжение / Частота источника питания: S[1 / 230 / 50]</v>
      </c>
      <c r="L95" t="str">
        <f>CONCATENATE(L$2,": ",L$3,list1!L95,"]")</f>
        <v xml:space="preserve"> (Рабочий ток) Хладагент: S[R32]</v>
      </c>
      <c r="M95" t="str">
        <f>CONCATENATE(M$2,": ",M$3,list1!M95,"]")</f>
        <v xml:space="preserve"> (Рабочий ток) Количество хладагента: N[]</v>
      </c>
      <c r="N95" t="str">
        <f>CONCATENATE(N$2,": ",N$3,list1!N95,"]")</f>
        <v xml:space="preserve"> (Рабочий ток) Объем рециркулируемого воздуха внутреннего блока: S[]</v>
      </c>
      <c r="O95" t="str">
        <f>CONCATENATE(O$2,": ",O$3,list1!O95,"]")</f>
        <v xml:space="preserve"> (Внутренний блок) Размеры (Ш x Г x В): S[740 х 600 х 200]</v>
      </c>
      <c r="P95" t="str">
        <f>CONCATENATE(P$2,": ",P$3,list1!P95,"]")</f>
        <v xml:space="preserve"> (Внутренний блок) Упаковка (Ш x Г x В): S[820 х 310 х 700]</v>
      </c>
      <c r="Q95" t="str">
        <f>CONCATENATE(Q$2,": ",Q$3,list1!Q95,"]")</f>
        <v xml:space="preserve"> (Внутренний блок) Масса (нетто / брутто): S[14 / 18]</v>
      </c>
      <c r="R95" t="str">
        <f>CONCATENATE(R$2,": ",R$3,list1!R95,"]")</f>
        <v xml:space="preserve"> (Внутренний блок) Уровень шума мин. / макс.: S[22/29/35/40]</v>
      </c>
      <c r="S95" t="str">
        <f>CONCATENATE(S$2,": ",S$3,list1!S95,"]")</f>
        <v xml:space="preserve"> (Наружный блок) Марка компрессора: S[]</v>
      </c>
      <c r="T95" t="str">
        <f>CONCATENATE(T$2,": ",T$3,list1!T95,"]")</f>
        <v xml:space="preserve"> (Наружный блок) Размеры (Ш x Г x В): S[799 х 290 х 542]</v>
      </c>
      <c r="U95" t="str">
        <f>CONCATENATE(U$2,": ",U$3,list1!U95,"]")</f>
        <v xml:space="preserve"> (Наружный блок) Упаковка (Ш x Г x В): S[940 х 375 х 602]</v>
      </c>
      <c r="V95" t="str">
        <f>CONCATENATE(V$2,": ",V$3,list1!V95,"]")</f>
        <v xml:space="preserve"> (Наружный блок) Масса (нетто / брутто): S[31/35]</v>
      </c>
      <c r="W95" t="str">
        <f>CONCATENATE(W$2,": ",W$3,list1!W95,"]")</f>
        <v xml:space="preserve"> (Наружный блок) Максимальный уровень шума: N[]</v>
      </c>
      <c r="X95" t="str">
        <f>CONCATENATE(X$2,": ",X$3,list1!X95,"]")</f>
        <v xml:space="preserve"> (Соединительные трубы) Жидкостная линия : N[6.35]</v>
      </c>
      <c r="Y95" t="str">
        <f>CONCATENATE(Y$2,": ",Y$3,list1!Y95,"]")</f>
        <v xml:space="preserve"> (Соединительные трубы) Газовая линия : N[9.52]</v>
      </c>
      <c r="Z95" t="str">
        <f>CONCATENATE(Z$2,": ",Z$3,list1!Z95,"]")</f>
        <v xml:space="preserve"> (Соединительные трубы) Максимальная длина трубопровода: N[20]</v>
      </c>
      <c r="AA95" t="str">
        <f>CONCATENATE(AA$2,": ",AA$3,list1!AA95,"]")</f>
        <v xml:space="preserve"> (Соединительные трубы) Максимальный перепад высот: S[15]</v>
      </c>
      <c r="AB95" t="str">
        <f>CONCATENATE(AB$2,": ",AB$3,list1!AB95,"]")</f>
        <v xml:space="preserve"> (Допустимая темп. наружного воздуха) Охлаждение: S[от -10 до +46]</v>
      </c>
      <c r="AC95" t="str">
        <f>CONCATENATE(AC$2,": ",AC$3,list1!AC95,"]")</f>
        <v xml:space="preserve"> (Допустимая темп. наружного воздуха) Обогрев: S[от -15 до +24]</v>
      </c>
      <c r="AD95" s="6" t="s">
        <v>5245</v>
      </c>
    </row>
    <row r="96" spans="1:30" x14ac:dyDescent="0.25">
      <c r="A96" t="str">
        <f>CONCATENATE(A$2,": ",A$3,list1!A96,"]")</f>
        <v>Производитель: E[FUJITSU]</v>
      </c>
      <c r="B96" t="str">
        <f>CONCATENATE(B$2,": ",B$3,list1!B96,"]")</f>
        <v xml:space="preserve"> Тип: S[Напольно-потолочные]</v>
      </c>
      <c r="C96" t="str">
        <f>CONCATENATE(C$2,": ",C$3,list1!C96,"]")</f>
        <v xml:space="preserve"> (Сплит система) Холодопроизводительность: N[3.5]</v>
      </c>
      <c r="D96" t="str">
        <f>CONCATENATE(D$2,": ",D$3,list1!D96,"]")</f>
        <v xml:space="preserve"> (Сплит система) Площадь помещения: N[35]</v>
      </c>
      <c r="E96" t="str">
        <f>CONCATENATE(E$2,": ",E$3,list1!E96,"]")</f>
        <v xml:space="preserve"> (Сплит система) Инвентор: S[да]</v>
      </c>
      <c r="F96" t="str">
        <f>CONCATENATE(F$2,": ",F$3,list1!F96,"]")</f>
        <v xml:space="preserve"> (Сплит система) Теплопроизводительность: N[4.5]</v>
      </c>
      <c r="G96" t="str">
        <f>CONCATENATE(G$2,": ",G$3,list1!G96,"]")</f>
        <v xml:space="preserve"> (Потребляемая мощность) Охлаждение: N[0.88]</v>
      </c>
      <c r="H96" t="str">
        <f>CONCATENATE(H$2,": ",H$3,list1!H96,"]")</f>
        <v xml:space="preserve"> (Потребляемая мощность) Обогрев: S[1.22]</v>
      </c>
      <c r="I96" t="str">
        <f>CONCATENATE(I$2,": ",I$3,list1!I96,"]")</f>
        <v xml:space="preserve"> (Рабочий ток) Охлаждение: S[]</v>
      </c>
      <c r="J96" t="str">
        <f>CONCATENATE(J$2,": ",J$3,list1!J96,"]")</f>
        <v xml:space="preserve"> (Рабочий ток) Обогрев: S[]</v>
      </c>
      <c r="K96" t="str">
        <f>CONCATENATE(K$2,": ",K$3,list1!K96,"]")</f>
        <v xml:space="preserve"> (Рабочий ток) Напряжение / Частота источника питания: S[1 / 230 / 50]</v>
      </c>
      <c r="L96" t="str">
        <f>CONCATENATE(L$2,": ",L$3,list1!L96,"]")</f>
        <v xml:space="preserve"> (Рабочий ток) Хладагент: S[R32]</v>
      </c>
      <c r="M96" t="str">
        <f>CONCATENATE(M$2,": ",M$3,list1!M96,"]")</f>
        <v xml:space="preserve"> (Рабочий ток) Количество хладагента: N[]</v>
      </c>
      <c r="N96" t="str">
        <f>CONCATENATE(N$2,": ",N$3,list1!N96,"]")</f>
        <v xml:space="preserve"> (Рабочий ток) Объем рециркулируемого воздуха внутреннего блока: S[]</v>
      </c>
      <c r="O96" t="str">
        <f>CONCATENATE(O$2,": ",O$3,list1!O96,"]")</f>
        <v xml:space="preserve"> (Внутренний блок) Размеры (Ш x Г x В): S[740 х 600 х 200]</v>
      </c>
      <c r="P96" t="str">
        <f>CONCATENATE(P$2,": ",P$3,list1!P96,"]")</f>
        <v xml:space="preserve"> (Внутренний блок) Упаковка (Ш x Г x В): S[820 х 310 х 700]</v>
      </c>
      <c r="Q96" t="str">
        <f>CONCATENATE(Q$2,": ",Q$3,list1!Q96,"]")</f>
        <v xml:space="preserve"> (Внутренний блок) Масса (нетто / брутто): S[14 / 18]</v>
      </c>
      <c r="R96" t="str">
        <f>CONCATENATE(R$2,": ",R$3,list1!R96,"]")</f>
        <v xml:space="preserve"> (Внутренний блок) Уровень шума мин. / макс.: S[22/29/35/40]</v>
      </c>
      <c r="S96" t="str">
        <f>CONCATENATE(S$2,": ",S$3,list1!S96,"]")</f>
        <v xml:space="preserve"> (Наружный блок) Марка компрессора: S[]</v>
      </c>
      <c r="T96" t="str">
        <f>CONCATENATE(T$2,": ",T$3,list1!T96,"]")</f>
        <v xml:space="preserve"> (Наружный блок) Размеры (Ш x Г x В): S[799 х 290 х 542]</v>
      </c>
      <c r="U96" t="str">
        <f>CONCATENATE(U$2,": ",U$3,list1!U96,"]")</f>
        <v xml:space="preserve"> (Наружный блок) Упаковка (Ш x Г x В): S[940 х 375 х 602]</v>
      </c>
      <c r="V96" t="str">
        <f>CONCATENATE(V$2,": ",V$3,list1!V96,"]")</f>
        <v xml:space="preserve"> (Наружный блок) Масса (нетто / брутто): S[31/35]</v>
      </c>
      <c r="W96" t="str">
        <f>CONCATENATE(W$2,": ",W$3,list1!W96,"]")</f>
        <v xml:space="preserve"> (Наружный блок) Максимальный уровень шума: N[]</v>
      </c>
      <c r="X96" t="str">
        <f>CONCATENATE(X$2,": ",X$3,list1!X96,"]")</f>
        <v xml:space="preserve"> (Соединительные трубы) Жидкостная линия : N[6.35]</v>
      </c>
      <c r="Y96" t="str">
        <f>CONCATENATE(Y$2,": ",Y$3,list1!Y96,"]")</f>
        <v xml:space="preserve"> (Соединительные трубы) Газовая линия : N[9.52]</v>
      </c>
      <c r="Z96" t="str">
        <f>CONCATENATE(Z$2,": ",Z$3,list1!Z96,"]")</f>
        <v xml:space="preserve"> (Соединительные трубы) Максимальная длина трубопровода: N[20]</v>
      </c>
      <c r="AA96" t="str">
        <f>CONCATENATE(AA$2,": ",AA$3,list1!AA96,"]")</f>
        <v xml:space="preserve"> (Соединительные трубы) Максимальный перепад высот: S[15]</v>
      </c>
      <c r="AB96" t="str">
        <f>CONCATENATE(AB$2,": ",AB$3,list1!AB96,"]")</f>
        <v xml:space="preserve"> (Допустимая темп. наружного воздуха) Охлаждение: S[от -10 до +46]</v>
      </c>
      <c r="AC96" t="str">
        <f>CONCATENATE(AC$2,": ",AC$3,list1!AC96,"]")</f>
        <v xml:space="preserve"> (Допустимая темп. наружного воздуха) Обогрев: S[от -15 до +24]</v>
      </c>
      <c r="AD96" s="6" t="s">
        <v>5245</v>
      </c>
    </row>
    <row r="97" spans="1:30" x14ac:dyDescent="0.25">
      <c r="A97" t="str">
        <f>CONCATENATE(A$2,": ",A$3,list1!A97,"]")</f>
        <v>Производитель: E[FUJITSU]</v>
      </c>
      <c r="B97" t="str">
        <f>CONCATENATE(B$2,": ",B$3,list1!B97,"]")</f>
        <v xml:space="preserve"> Тип: S[Напольно-потолочные]</v>
      </c>
      <c r="C97" t="str">
        <f>CONCATENATE(C$2,": ",C$3,list1!C97,"]")</f>
        <v xml:space="preserve"> (Сплит система) Холодопроизводительность: N[4.2]</v>
      </c>
      <c r="D97" t="str">
        <f>CONCATENATE(D$2,": ",D$3,list1!D97,"]")</f>
        <v xml:space="preserve"> (Сплит система) Площадь помещения: N[42]</v>
      </c>
      <c r="E97" t="str">
        <f>CONCATENATE(E$2,": ",E$3,list1!E97,"]")</f>
        <v xml:space="preserve"> (Сплит система) Инвентор: S[да]</v>
      </c>
      <c r="F97" t="str">
        <f>CONCATENATE(F$2,": ",F$3,list1!F97,"]")</f>
        <v xml:space="preserve"> (Сплит система) Теплопроизводительность: N[5.2]</v>
      </c>
      <c r="G97" t="str">
        <f>CONCATENATE(G$2,": ",G$3,list1!G97,"]")</f>
        <v xml:space="preserve"> (Потребляемая мощность) Охлаждение: N[1.06]</v>
      </c>
      <c r="H97" t="str">
        <f>CONCATENATE(H$2,": ",H$3,list1!H97,"]")</f>
        <v xml:space="preserve"> (Потребляемая мощность) Обогрев: S[1.41]</v>
      </c>
      <c r="I97" t="str">
        <f>CONCATENATE(I$2,": ",I$3,list1!I97,"]")</f>
        <v xml:space="preserve"> (Рабочий ток) Охлаждение: S[]</v>
      </c>
      <c r="J97" t="str">
        <f>CONCATENATE(J$2,": ",J$3,list1!J97,"]")</f>
        <v xml:space="preserve"> (Рабочий ток) Обогрев: S[]</v>
      </c>
      <c r="K97" t="str">
        <f>CONCATENATE(K$2,": ",K$3,list1!K97,"]")</f>
        <v xml:space="preserve"> (Рабочий ток) Напряжение / Частота источника питания: S[1 / 230 / 50]</v>
      </c>
      <c r="L97" t="str">
        <f>CONCATENATE(L$2,": ",L$3,list1!L97,"]")</f>
        <v xml:space="preserve"> (Рабочий ток) Хладагент: S[R32]</v>
      </c>
      <c r="M97" t="str">
        <f>CONCATENATE(M$2,": ",M$3,list1!M97,"]")</f>
        <v xml:space="preserve"> (Рабочий ток) Количество хладагента: N[]</v>
      </c>
      <c r="N97" t="str">
        <f>CONCATENATE(N$2,": ",N$3,list1!N97,"]")</f>
        <v xml:space="preserve"> (Рабочий ток) Объем рециркулируемого воздуха внутреннего блока: S[]</v>
      </c>
      <c r="O97" t="str">
        <f>CONCATENATE(O$2,": ",O$3,list1!O97,"]")</f>
        <v xml:space="preserve"> (Внутренний блок) Размеры (Ш x Г x В): S[740 х 600 х 200]</v>
      </c>
      <c r="P97" t="str">
        <f>CONCATENATE(P$2,": ",P$3,list1!P97,"]")</f>
        <v xml:space="preserve"> (Внутренний блок) Упаковка (Ш x Г x В): S[820 х 310 х 700]</v>
      </c>
      <c r="Q97" t="str">
        <f>CONCATENATE(Q$2,": ",Q$3,list1!Q97,"]")</f>
        <v xml:space="preserve"> (Внутренний блок) Масса (нетто / брутто): S[14 / 18]</v>
      </c>
      <c r="R97" t="str">
        <f>CONCATENATE(R$2,": ",R$3,list1!R97,"]")</f>
        <v xml:space="preserve"> (Внутренний блок) Уровень шума мин. / макс.: S[22/31/38/44]</v>
      </c>
      <c r="S97" t="str">
        <f>CONCATENATE(S$2,": ",S$3,list1!S97,"]")</f>
        <v xml:space="preserve"> (Наружный блок) Марка компрессора: S[]</v>
      </c>
      <c r="T97" t="str">
        <f>CONCATENATE(T$2,": ",T$3,list1!T97,"]")</f>
        <v xml:space="preserve"> (Наружный блок) Размеры (Ш x Г x В): S[799 х 290 х 632]</v>
      </c>
      <c r="U97" t="str">
        <f>CONCATENATE(U$2,": ",U$3,list1!U97,"]")</f>
        <v xml:space="preserve"> (Наружный блок) Упаковка (Ш x Г x В): S[940 х 375 х 692]</v>
      </c>
      <c r="V97" t="str">
        <f>CONCATENATE(V$2,": ",V$3,list1!V97,"]")</f>
        <v xml:space="preserve"> (Наружный блок) Масса (нетто / брутто): S[38/42]</v>
      </c>
      <c r="W97" t="str">
        <f>CONCATENATE(W$2,": ",W$3,list1!W97,"]")</f>
        <v xml:space="preserve"> (Наружный блок) Максимальный уровень шума: N[]</v>
      </c>
      <c r="X97" t="str">
        <f>CONCATENATE(X$2,": ",X$3,list1!X97,"]")</f>
        <v xml:space="preserve"> (Соединительные трубы) Жидкостная линия : N[6.35]</v>
      </c>
      <c r="Y97" t="str">
        <f>CONCATENATE(Y$2,": ",Y$3,list1!Y97,"]")</f>
        <v xml:space="preserve"> (Соединительные трубы) Газовая линия : N[9.52]</v>
      </c>
      <c r="Z97" t="str">
        <f>CONCATENATE(Z$2,": ",Z$3,list1!Z97,"]")</f>
        <v xml:space="preserve"> (Соединительные трубы) Максимальная длина трубопровода: N[20]</v>
      </c>
      <c r="AA97" t="str">
        <f>CONCATENATE(AA$2,": ",AA$3,list1!AA97,"]")</f>
        <v xml:space="preserve"> (Соединительные трубы) Максимальный перепад высот: S[15]</v>
      </c>
      <c r="AB97" t="str">
        <f>CONCATENATE(AB$2,": ",AB$3,list1!AB97,"]")</f>
        <v xml:space="preserve"> (Допустимая темп. наружного воздуха) Охлаждение: S[от -10 до +46]</v>
      </c>
      <c r="AC97" t="str">
        <f>CONCATENATE(AC$2,": ",AC$3,list1!AC97,"]")</f>
        <v xml:space="preserve"> (Допустимая темп. наружного воздуха) Обогрев: S[от -15 до +24]</v>
      </c>
      <c r="AD97" s="6" t="s">
        <v>5245</v>
      </c>
    </row>
    <row r="98" spans="1:30" x14ac:dyDescent="0.25">
      <c r="A98" t="str">
        <f>CONCATENATE(A$2,": ",A$3,list1!A98,"]")</f>
        <v>Производитель: E[FUJITSU]</v>
      </c>
      <c r="B98" t="str">
        <f>CONCATENATE(B$2,": ",B$3,list1!B98,"]")</f>
        <v xml:space="preserve"> Тип: S[Напольно-потолочные]</v>
      </c>
      <c r="C98" t="str">
        <f>CONCATENATE(C$2,": ",C$3,list1!C98,"]")</f>
        <v xml:space="preserve"> (Сплит система) Холодопроизводительность: N[5.2]</v>
      </c>
      <c r="D98" t="str">
        <f>CONCATENATE(D$2,": ",D$3,list1!D98,"]")</f>
        <v xml:space="preserve"> (Сплит система) Площадь помещения: N[52]</v>
      </c>
      <c r="E98" t="str">
        <f>CONCATENATE(E$2,": ",E$3,list1!E98,"]")</f>
        <v xml:space="preserve"> (Сплит система) Инвентор: S[да]</v>
      </c>
      <c r="F98" t="str">
        <f>CONCATENATE(F$2,": ",F$3,list1!F98,"]")</f>
        <v xml:space="preserve"> (Сплит система) Теплопроизводительность: N[6]</v>
      </c>
      <c r="G98" t="str">
        <f>CONCATENATE(G$2,": ",G$3,list1!G98,"]")</f>
        <v xml:space="preserve"> (Потребляемая мощность) Охлаждение: N[1.66]</v>
      </c>
      <c r="H98" t="str">
        <f>CONCATENATE(H$2,": ",H$3,list1!H98,"]")</f>
        <v xml:space="preserve"> (Потребляемая мощность) Обогрев: S[1.71]</v>
      </c>
      <c r="I98" t="str">
        <f>CONCATENATE(I$2,": ",I$3,list1!I98,"]")</f>
        <v xml:space="preserve"> (Рабочий ток) Охлаждение: S[]</v>
      </c>
      <c r="J98" t="str">
        <f>CONCATENATE(J$2,": ",J$3,list1!J98,"]")</f>
        <v xml:space="preserve"> (Рабочий ток) Обогрев: S[]</v>
      </c>
      <c r="K98" t="str">
        <f>CONCATENATE(K$2,": ",K$3,list1!K98,"]")</f>
        <v xml:space="preserve"> (Рабочий ток) Напряжение / Частота источника питания: S[1 / 230 / 50]</v>
      </c>
      <c r="L98" t="str">
        <f>CONCATENATE(L$2,": ",L$3,list1!L98,"]")</f>
        <v xml:space="preserve"> (Рабочий ток) Хладагент: S[R32]</v>
      </c>
      <c r="M98" t="str">
        <f>CONCATENATE(M$2,": ",M$3,list1!M98,"]")</f>
        <v xml:space="preserve"> (Рабочий ток) Количество хладагента: N[]</v>
      </c>
      <c r="N98" t="str">
        <f>CONCATENATE(N$2,": ",N$3,list1!N98,"]")</f>
        <v xml:space="preserve"> (Рабочий ток) Объем рециркулируемого воздуха внутреннего блока: S[]</v>
      </c>
      <c r="O98" t="str">
        <f>CONCATENATE(O$2,": ",O$3,list1!O98,"]")</f>
        <v xml:space="preserve"> (Внутренний блок) Размеры (Ш x Г x В): S[1080 х 235 х 705]</v>
      </c>
      <c r="P98" t="str">
        <f>CONCATENATE(P$2,": ",P$3,list1!P98,"]")</f>
        <v xml:space="preserve"> (Внутренний блок) Упаковка (Ш x Г x В): S[1165 х 825 х 330]</v>
      </c>
      <c r="Q98" t="str">
        <f>CONCATENATE(Q$2,": ",Q$3,list1!Q98,"]")</f>
        <v xml:space="preserve"> (Внутренний блок) Масса (нетто / брутто): S[24 / 33]</v>
      </c>
      <c r="R98" t="str">
        <f>CONCATENATE(R$2,": ",R$3,list1!R98,"]")</f>
        <v xml:space="preserve"> (Внутренний блок) Уровень шума мин. / макс.: S[31/33/36/38]</v>
      </c>
      <c r="S98" t="str">
        <f>CONCATENATE(S$2,": ",S$3,list1!S98,"]")</f>
        <v xml:space="preserve"> (Наружный блок) Марка компрессора: S[]</v>
      </c>
      <c r="T98" t="str">
        <f>CONCATENATE(T$2,": ",T$3,list1!T98,"]")</f>
        <v xml:space="preserve"> (Наружный блок) Размеры (Ш x Г x В): S[799 х 290 х 542]</v>
      </c>
      <c r="U98" t="str">
        <f>CONCATENATE(U$2,": ",U$3,list1!U98,"]")</f>
        <v xml:space="preserve"> (Наружный блок) Упаковка (Ш x Г x В): S[940 х 375 х 602]</v>
      </c>
      <c r="V98" t="str">
        <f>CONCATENATE(V$2,": ",V$3,list1!V98,"]")</f>
        <v xml:space="preserve"> (Наружный блок) Масса (нетто / брутто): S[33/36]</v>
      </c>
      <c r="W98" t="str">
        <f>CONCATENATE(W$2,": ",W$3,list1!W98,"]")</f>
        <v xml:space="preserve"> (Наружный блок) Максимальный уровень шума: N[]</v>
      </c>
      <c r="X98" t="str">
        <f>CONCATENATE(X$2,": ",X$3,list1!X98,"]")</f>
        <v xml:space="preserve"> (Соединительные трубы) Жидкостная линия : N[6.35]</v>
      </c>
      <c r="Y98" t="str">
        <f>CONCATENATE(Y$2,": ",Y$3,list1!Y98,"]")</f>
        <v xml:space="preserve"> (Соединительные трубы) Газовая линия : N[12.7]</v>
      </c>
      <c r="Z98" t="str">
        <f>CONCATENATE(Z$2,": ",Z$3,list1!Z98,"]")</f>
        <v xml:space="preserve"> (Соединительные трубы) Максимальная длина трубопровода: N[20]</v>
      </c>
      <c r="AA98" t="str">
        <f>CONCATENATE(AA$2,": ",AA$3,list1!AA98,"]")</f>
        <v xml:space="preserve"> (Соединительные трубы) Максимальный перепад высот: S[15]</v>
      </c>
      <c r="AB98" t="str">
        <f>CONCATENATE(AB$2,": ",AB$3,list1!AB98,"]")</f>
        <v xml:space="preserve"> (Допустимая темп. наружного воздуха) Охлаждение: S[от -10 до +46]</v>
      </c>
      <c r="AC98" t="str">
        <f>CONCATENATE(AC$2,": ",AC$3,list1!AC98,"]")</f>
        <v xml:space="preserve"> (Допустимая темп. наружного воздуха) Обогрев: S[от -15 до +24]</v>
      </c>
      <c r="AD98" s="6" t="s">
        <v>5245</v>
      </c>
    </row>
    <row r="99" spans="1:30" x14ac:dyDescent="0.25">
      <c r="A99" t="str">
        <f>CONCATENATE(A$2,": ",A$3,list1!A99,"]")</f>
        <v>Производитель: E[FUJITSU]</v>
      </c>
      <c r="B99" t="str">
        <f>CONCATENATE(B$2,": ",B$3,list1!B99,"]")</f>
        <v xml:space="preserve"> Тип: S[Напольно-потолочные]</v>
      </c>
      <c r="C99" t="str">
        <f>CONCATENATE(C$2,": ",C$3,list1!C99,"]")</f>
        <v xml:space="preserve"> (Сплит система) Холодопроизводительность: N[6.8]</v>
      </c>
      <c r="D99" t="str">
        <f>CONCATENATE(D$2,": ",D$3,list1!D99,"]")</f>
        <v xml:space="preserve"> (Сплит система) Площадь помещения: N[68]</v>
      </c>
      <c r="E99" t="str">
        <f>CONCATENATE(E$2,": ",E$3,list1!E99,"]")</f>
        <v xml:space="preserve"> (Сплит система) Инвентор: S[да]</v>
      </c>
      <c r="F99" t="str">
        <f>CONCATENATE(F$2,": ",F$3,list1!F99,"]")</f>
        <v xml:space="preserve"> (Сплит система) Теплопроизводительность: N[7.5]</v>
      </c>
      <c r="G99" t="str">
        <f>CONCATENATE(G$2,": ",G$3,list1!G99,"]")</f>
        <v xml:space="preserve"> (Потребляемая мощность) Охлаждение: N[2.19]</v>
      </c>
      <c r="H99" t="str">
        <f>CONCATENATE(H$2,": ",H$3,list1!H99,"]")</f>
        <v xml:space="preserve"> (Потребляемая мощность) Обогрев: S[2]</v>
      </c>
      <c r="I99" t="str">
        <f>CONCATENATE(I$2,": ",I$3,list1!I99,"]")</f>
        <v xml:space="preserve"> (Рабочий ток) Охлаждение: S[]</v>
      </c>
      <c r="J99" t="str">
        <f>CONCATENATE(J$2,": ",J$3,list1!J99,"]")</f>
        <v xml:space="preserve"> (Рабочий ток) Обогрев: S[]</v>
      </c>
      <c r="K99" t="str">
        <f>CONCATENATE(K$2,": ",K$3,list1!K99,"]")</f>
        <v xml:space="preserve"> (Рабочий ток) Напряжение / Частота источника питания: S[1 / 230 / 50]</v>
      </c>
      <c r="L99" t="str">
        <f>CONCATENATE(L$2,": ",L$3,list1!L99,"]")</f>
        <v xml:space="preserve"> (Рабочий ток) Хладагент: S[R32]</v>
      </c>
      <c r="M99" t="str">
        <f>CONCATENATE(M$2,": ",M$3,list1!M99,"]")</f>
        <v xml:space="preserve"> (Рабочий ток) Количество хладагента: N[]</v>
      </c>
      <c r="N99" t="str">
        <f>CONCATENATE(N$2,": ",N$3,list1!N99,"]")</f>
        <v xml:space="preserve"> (Рабочий ток) Объем рециркулируемого воздуха внутреннего блока: S[]</v>
      </c>
      <c r="O99" t="str">
        <f>CONCATENATE(O$2,": ",O$3,list1!O99,"]")</f>
        <v xml:space="preserve"> (Внутренний блок) Размеры (Ш x Г x В): S[1390 х 235 х 705]</v>
      </c>
      <c r="P99" t="str">
        <f>CONCATENATE(P$2,": ",P$3,list1!P99,"]")</f>
        <v xml:space="preserve"> (Внутренний блок) Упаковка (Ш x Г x В): S[1475 х 825 х 330]</v>
      </c>
      <c r="Q99" t="str">
        <f>CONCATENATE(Q$2,": ",Q$3,list1!Q99,"]")</f>
        <v xml:space="preserve"> (Внутренний блок) Масса (нетто / брутто): S[31 / 41]</v>
      </c>
      <c r="R99" t="str">
        <f>CONCATENATE(R$2,": ",R$3,list1!R99,"]")</f>
        <v xml:space="preserve"> (Внутренний блок) Уровень шума мин. / макс.: S[29/32/36/41]</v>
      </c>
      <c r="S99" t="str">
        <f>CONCATENATE(S$2,": ",S$3,list1!S99,"]")</f>
        <v xml:space="preserve"> (Наружный блок) Марка компрессора: S[]</v>
      </c>
      <c r="T99" t="str">
        <f>CONCATENATE(T$2,": ",T$3,list1!T99,"]")</f>
        <v xml:space="preserve"> (Наружный блок) Размеры (Ш x Г x В): S[799 х 290 х 632]</v>
      </c>
      <c r="U99" t="str">
        <f>CONCATENATE(U$2,": ",U$3,list1!U99,"]")</f>
        <v xml:space="preserve"> (Наружный блок) Упаковка (Ш x Г x В): S[940 х 375 х 692]</v>
      </c>
      <c r="V99" t="str">
        <f>CONCATENATE(V$2,": ",V$3,list1!V99,"]")</f>
        <v xml:space="preserve"> (Наружный блок) Масса (нетто / брутто): S[38/42]</v>
      </c>
      <c r="W99" t="str">
        <f>CONCATENATE(W$2,": ",W$3,list1!W99,"]")</f>
        <v xml:space="preserve"> (Наружный блок) Максимальный уровень шума: N[]</v>
      </c>
      <c r="X99" t="str">
        <f>CONCATENATE(X$2,": ",X$3,list1!X99,"]")</f>
        <v xml:space="preserve"> (Соединительные трубы) Жидкостная линия : N[6.35]</v>
      </c>
      <c r="Y99" t="str">
        <f>CONCATENATE(Y$2,": ",Y$3,list1!Y99,"]")</f>
        <v xml:space="preserve"> (Соединительные трубы) Газовая линия : N[12.7]</v>
      </c>
      <c r="Z99" t="str">
        <f>CONCATENATE(Z$2,": ",Z$3,list1!Z99,"]")</f>
        <v xml:space="preserve"> (Соединительные трубы) Максимальная длина трубопровода: N[25]</v>
      </c>
      <c r="AA99" t="str">
        <f>CONCATENATE(AA$2,": ",AA$3,list1!AA99,"]")</f>
        <v xml:space="preserve"> (Соединительные трубы) Максимальный перепад высот: S[20]</v>
      </c>
      <c r="AB99" t="str">
        <f>CONCATENATE(AB$2,": ",AB$3,list1!AB99,"]")</f>
        <v xml:space="preserve"> (Допустимая темп. наружного воздуха) Охлаждение: S[от -10 до +46]</v>
      </c>
      <c r="AC99" t="str">
        <f>CONCATENATE(AC$2,": ",AC$3,list1!AC99,"]")</f>
        <v xml:space="preserve"> (Допустимая темп. наружного воздуха) Обогрев: S[от -15 до +24]</v>
      </c>
      <c r="AD99" s="6" t="s">
        <v>5245</v>
      </c>
    </row>
    <row r="100" spans="1:30" x14ac:dyDescent="0.25">
      <c r="A100" t="str">
        <f>CONCATENATE(A$2,": ",A$3,list1!A100,"]")</f>
        <v>Производитель: E[FUJITSU]</v>
      </c>
      <c r="B100" t="str">
        <f>CONCATENATE(B$2,": ",B$3,list1!B100,"]")</f>
        <v xml:space="preserve"> Тип: S[Напольно-потолочные]</v>
      </c>
      <c r="C100" t="str">
        <f>CONCATENATE(C$2,": ",C$3,list1!C100,"]")</f>
        <v xml:space="preserve"> (Сплит система) Холодопроизводительность: N[8.5]</v>
      </c>
      <c r="D100" t="str">
        <f>CONCATENATE(D$2,": ",D$3,list1!D100,"]")</f>
        <v xml:space="preserve"> (Сплит система) Площадь помещения: N[85]</v>
      </c>
      <c r="E100" t="str">
        <f>CONCATENATE(E$2,": ",E$3,list1!E100,"]")</f>
        <v xml:space="preserve"> (Сплит система) Инвентор: S[да]</v>
      </c>
      <c r="F100" t="str">
        <f>CONCATENATE(F$2,": ",F$3,list1!F100,"]")</f>
        <v xml:space="preserve"> (Сплит система) Теплопроизводительность: N[10]</v>
      </c>
      <c r="G100" t="str">
        <f>CONCATENATE(G$2,": ",G$3,list1!G100,"]")</f>
        <v xml:space="preserve"> (Потребляемая мощность) Охлаждение: N[2.78]</v>
      </c>
      <c r="H100" t="str">
        <f>CONCATENATE(H$2,": ",H$3,list1!H100,"]")</f>
        <v xml:space="preserve"> (Потребляемая мощность) Обогрев: S[2.86]</v>
      </c>
      <c r="I100" t="str">
        <f>CONCATENATE(I$2,": ",I$3,list1!I100,"]")</f>
        <v xml:space="preserve"> (Рабочий ток) Охлаждение: S[]</v>
      </c>
      <c r="J100" t="str">
        <f>CONCATENATE(J$2,": ",J$3,list1!J100,"]")</f>
        <v xml:space="preserve"> (Рабочий ток) Обогрев: S[]</v>
      </c>
      <c r="K100" t="str">
        <f>CONCATENATE(K$2,": ",K$3,list1!K100,"]")</f>
        <v xml:space="preserve"> (Рабочий ток) Напряжение / Частота источника питания: S[1 / 230 / 50]</v>
      </c>
      <c r="L100" t="str">
        <f>CONCATENATE(L$2,": ",L$3,list1!L100,"]")</f>
        <v xml:space="preserve"> (Рабочий ток) Хладагент: S[R32]</v>
      </c>
      <c r="M100" t="str">
        <f>CONCATENATE(M$2,": ",M$3,list1!M100,"]")</f>
        <v xml:space="preserve"> (Рабочий ток) Количество хладагента: N[]</v>
      </c>
      <c r="N100" t="str">
        <f>CONCATENATE(N$2,": ",N$3,list1!N100,"]")</f>
        <v xml:space="preserve"> (Рабочий ток) Объем рециркулируемого воздуха внутреннего блока: S[]</v>
      </c>
      <c r="O100" t="str">
        <f>CONCATENATE(O$2,": ",O$3,list1!O100,"]")</f>
        <v xml:space="preserve"> (Внутренний блок) Размеры (Ш x Г x В): S[1390 х 235 х 705]</v>
      </c>
      <c r="P100" t="str">
        <f>CONCATENATE(P$2,": ",P$3,list1!P100,"]")</f>
        <v xml:space="preserve"> (Внутренний блок) Упаковка (Ш x Г x В): S[1475 х 825 х 330]</v>
      </c>
      <c r="Q100" t="str">
        <f>CONCATENATE(Q$2,": ",Q$3,list1!Q100,"]")</f>
        <v xml:space="preserve"> (Внутренний блок) Масса (нетто / брутто): S[31 / 41]</v>
      </c>
      <c r="R100" t="str">
        <f>CONCATENATE(R$2,": ",R$3,list1!R100,"]")</f>
        <v xml:space="preserve"> (Внутренний блок) Уровень шума мин. / макс.: S[32/35/40/45]</v>
      </c>
      <c r="S100" t="str">
        <f>CONCATENATE(S$2,": ",S$3,list1!S100,"]")</f>
        <v xml:space="preserve"> (Наружный блок) Марка компрессора: S[]</v>
      </c>
      <c r="T100" t="str">
        <f>CONCATENATE(T$2,": ",T$3,list1!T100,"]")</f>
        <v xml:space="preserve"> (Наружный блок) Размеры (Ш x Г x В): S[940 х 320 х 788]</v>
      </c>
      <c r="U100" t="str">
        <f>CONCATENATE(U$2,": ",U$3,list1!U100,"]")</f>
        <v xml:space="preserve"> (Наружный блок) Упаковка (Ш x Г x В): S[1027 х 445 х 966]</v>
      </c>
      <c r="V100" t="str">
        <f>CONCATENATE(V$2,": ",V$3,list1!V100,"]")</f>
        <v xml:space="preserve"> (Наружный блок) Масса (нетто / брутто): S[52/61]</v>
      </c>
      <c r="W100" t="str">
        <f>CONCATENATE(W$2,": ",W$3,list1!W100,"]")</f>
        <v xml:space="preserve"> (Наружный блок) Максимальный уровень шума: N[]</v>
      </c>
      <c r="X100" t="str">
        <f>CONCATENATE(X$2,": ",X$3,list1!X100,"]")</f>
        <v xml:space="preserve"> (Соединительные трубы) Жидкостная линия : N[9.52]</v>
      </c>
      <c r="Y100" t="str">
        <f>CONCATENATE(Y$2,": ",Y$3,list1!Y100,"]")</f>
        <v xml:space="preserve"> (Соединительные трубы) Газовая линия : N[15.88]</v>
      </c>
      <c r="Z100" t="str">
        <f>CONCATENATE(Z$2,": ",Z$3,list1!Z100,"]")</f>
        <v xml:space="preserve"> (Соединительные трубы) Максимальная длина трубопровода: N[30]</v>
      </c>
      <c r="AA100" t="str">
        <f>CONCATENATE(AA$2,": ",AA$3,list1!AA100,"]")</f>
        <v xml:space="preserve"> (Соединительные трубы) Максимальный перепад высот: S[30]</v>
      </c>
      <c r="AB100" t="str">
        <f>CONCATENATE(AB$2,": ",AB$3,list1!AB100,"]")</f>
        <v xml:space="preserve"> (Допустимая темп. наружного воздуха) Охлаждение: S[от -10 до +46]</v>
      </c>
      <c r="AC100" t="str">
        <f>CONCATENATE(AC$2,": ",AC$3,list1!AC100,"]")</f>
        <v xml:space="preserve"> (Допустимая темп. наружного воздуха) Обогрев: S[от -15 до +24]</v>
      </c>
      <c r="AD100" s="6" t="s">
        <v>5245</v>
      </c>
    </row>
    <row r="101" spans="1:30" x14ac:dyDescent="0.25">
      <c r="A101" t="str">
        <f>CONCATENATE(A$2,": ",A$3,list1!A101,"]")</f>
        <v>Производитель: E[FUJITSU]</v>
      </c>
      <c r="B101" t="str">
        <f>CONCATENATE(B$2,": ",B$3,list1!B101,"]")</f>
        <v xml:space="preserve"> Тип: S[Напольно-потолочные]</v>
      </c>
      <c r="C101" t="str">
        <f>CONCATENATE(C$2,": ",C$3,list1!C101,"]")</f>
        <v xml:space="preserve"> (Сплит система) Холодопроизводительность: N[9.5]</v>
      </c>
      <c r="D101" t="str">
        <f>CONCATENATE(D$2,": ",D$3,list1!D101,"]")</f>
        <v xml:space="preserve"> (Сплит система) Площадь помещения: N[95]</v>
      </c>
      <c r="E101" t="str">
        <f>CONCATENATE(E$2,": ",E$3,list1!E101,"]")</f>
        <v xml:space="preserve"> (Сплит система) Инвентор: S[да]</v>
      </c>
      <c r="F101" t="str">
        <f>CONCATENATE(F$2,": ",F$3,list1!F101,"]")</f>
        <v xml:space="preserve"> (Сплит система) Теплопроизводительность: N[10.8]</v>
      </c>
      <c r="G101" t="str">
        <f>CONCATENATE(G$2,": ",G$3,list1!G101,"]")</f>
        <v xml:space="preserve"> (Потребляемая мощность) Охлаждение: N[3.13]</v>
      </c>
      <c r="H101" t="str">
        <f>CONCATENATE(H$2,": ",H$3,list1!H101,"]")</f>
        <v xml:space="preserve"> (Потребляемая мощность) Обогрев: S[3.03]</v>
      </c>
      <c r="I101" t="str">
        <f>CONCATENATE(I$2,": ",I$3,list1!I101,"]")</f>
        <v xml:space="preserve"> (Рабочий ток) Охлаждение: S[]</v>
      </c>
      <c r="J101" t="str">
        <f>CONCATENATE(J$2,": ",J$3,list1!J101,"]")</f>
        <v xml:space="preserve"> (Рабочий ток) Обогрев: S[]</v>
      </c>
      <c r="K101" t="str">
        <f>CONCATENATE(K$2,": ",K$3,list1!K101,"]")</f>
        <v xml:space="preserve"> (Рабочий ток) Напряжение / Частота источника питания: S[1 / 230 / 50]</v>
      </c>
      <c r="L101" t="str">
        <f>CONCATENATE(L$2,": ",L$3,list1!L101,"]")</f>
        <v xml:space="preserve"> (Рабочий ток) Хладагент: S[R32]</v>
      </c>
      <c r="M101" t="str">
        <f>CONCATENATE(M$2,": ",M$3,list1!M101,"]")</f>
        <v xml:space="preserve"> (Рабочий ток) Количество хладагента: N[]</v>
      </c>
      <c r="N101" t="str">
        <f>CONCATENATE(N$2,": ",N$3,list1!N101,"]")</f>
        <v xml:space="preserve"> (Рабочий ток) Объем рециркулируемого воздуха внутреннего блока: S[]</v>
      </c>
      <c r="O101" t="str">
        <f>CONCATENATE(O$2,": ",O$3,list1!O101,"]")</f>
        <v xml:space="preserve"> (Внутренний блок) Размеры (Ш x Г x В): S[1700 х 235 х 705]</v>
      </c>
      <c r="P101" t="str">
        <f>CONCATENATE(P$2,": ",P$3,list1!P101,"]")</f>
        <v xml:space="preserve"> (Внутренний блок) Упаковка (Ш x Г x В): S[1785 х 825 х 330]</v>
      </c>
      <c r="Q101" t="str">
        <f>CONCATENATE(Q$2,": ",Q$3,list1!Q101,"]")</f>
        <v xml:space="preserve"> (Внутренний блок) Масса (нетто / брутто): S[38 / 48]</v>
      </c>
      <c r="R101" t="str">
        <f>CONCATENATE(R$2,": ",R$3,list1!R101,"]")</f>
        <v xml:space="preserve"> (Внутренний блок) Уровень шума мин. / макс.: S[32/37/40/44]</v>
      </c>
      <c r="S101" t="str">
        <f>CONCATENATE(S$2,": ",S$3,list1!S101,"]")</f>
        <v xml:space="preserve"> (Наружный блок) Марка компрессора: S[]</v>
      </c>
      <c r="T101" t="str">
        <f>CONCATENATE(T$2,": ",T$3,list1!T101,"]")</f>
        <v xml:space="preserve"> (Наружный блок) Размеры (Ш x Г x В): S[940 х 320 х 788]</v>
      </c>
      <c r="U101" t="str">
        <f>CONCATENATE(U$2,": ",U$3,list1!U101,"]")</f>
        <v xml:space="preserve"> (Наружный блок) Упаковка (Ш x Г x В): S[1027 х 445 х 966]</v>
      </c>
      <c r="V101" t="str">
        <f>CONCATENATE(V$2,": ",V$3,list1!V101,"]")</f>
        <v xml:space="preserve"> (Наружный блок) Масса (нетто / брутто): S[52/61]</v>
      </c>
      <c r="W101" t="str">
        <f>CONCATENATE(W$2,": ",W$3,list1!W101,"]")</f>
        <v xml:space="preserve"> (Наружный блок) Максимальный уровень шума: N[]</v>
      </c>
      <c r="X101" t="str">
        <f>CONCATENATE(X$2,": ",X$3,list1!X101,"]")</f>
        <v xml:space="preserve"> (Соединительные трубы) Жидкостная линия : N[9.52]</v>
      </c>
      <c r="Y101" t="str">
        <f>CONCATENATE(Y$2,": ",Y$3,list1!Y101,"]")</f>
        <v xml:space="preserve"> (Соединительные трубы) Газовая линия : N[15.88]</v>
      </c>
      <c r="Z101" t="str">
        <f>CONCATENATE(Z$2,": ",Z$3,list1!Z101,"]")</f>
        <v xml:space="preserve"> (Соединительные трубы) Максимальная длина трубопровода: N[30]</v>
      </c>
      <c r="AA101" t="str">
        <f>CONCATENATE(AA$2,": ",AA$3,list1!AA101,"]")</f>
        <v xml:space="preserve"> (Соединительные трубы) Максимальный перепад высот: S[30]</v>
      </c>
      <c r="AB101" t="str">
        <f>CONCATENATE(AB$2,": ",AB$3,list1!AB101,"]")</f>
        <v xml:space="preserve"> (Допустимая темп. наружного воздуха) Охлаждение: S[от -10 до +46]</v>
      </c>
      <c r="AC101" t="str">
        <f>CONCATENATE(AC$2,": ",AC$3,list1!AC101,"]")</f>
        <v xml:space="preserve"> (Допустимая темп. наружного воздуха) Обогрев: S[от -15 до +24]</v>
      </c>
      <c r="AD101" s="6" t="s">
        <v>5245</v>
      </c>
    </row>
    <row r="102" spans="1:30" x14ac:dyDescent="0.25">
      <c r="A102" t="str">
        <f>CONCATENATE(A$2,": ",A$3,list1!A102,"]")</f>
        <v>Производитель: E[FUJITSU]</v>
      </c>
      <c r="B102" t="str">
        <f>CONCATENATE(B$2,": ",B$3,list1!B102,"]")</f>
        <v xml:space="preserve"> Тип: S[Напольно-потолочные]</v>
      </c>
      <c r="C102" t="str">
        <f>CONCATENATE(C$2,": ",C$3,list1!C102,"]")</f>
        <v xml:space="preserve"> (Сплит система) Холодопроизводительность: N[9.5]</v>
      </c>
      <c r="D102" t="str">
        <f>CONCATENATE(D$2,": ",D$3,list1!D102,"]")</f>
        <v xml:space="preserve"> (Сплит система) Площадь помещения: N[95]</v>
      </c>
      <c r="E102" t="str">
        <f>CONCATENATE(E$2,": ",E$3,list1!E102,"]")</f>
        <v xml:space="preserve"> (Сплит система) Инвентор: S[да]</v>
      </c>
      <c r="F102" t="str">
        <f>CONCATENATE(F$2,": ",F$3,list1!F102,"]")</f>
        <v xml:space="preserve"> (Сплит система) Теплопроизводительность: N[10.8]</v>
      </c>
      <c r="G102" t="str">
        <f>CONCATENATE(G$2,": ",G$3,list1!G102,"]")</f>
        <v xml:space="preserve"> (Потребляемая мощность) Охлаждение: N[3.13]</v>
      </c>
      <c r="H102" t="str">
        <f>CONCATENATE(H$2,": ",H$3,list1!H102,"]")</f>
        <v xml:space="preserve"> (Потребляемая мощность) Обогрев: S[3.03]</v>
      </c>
      <c r="I102" t="str">
        <f>CONCATENATE(I$2,": ",I$3,list1!I102,"]")</f>
        <v xml:space="preserve"> (Рабочий ток) Охлаждение: S[]</v>
      </c>
      <c r="J102" t="str">
        <f>CONCATENATE(J$2,": ",J$3,list1!J102,"]")</f>
        <v xml:space="preserve"> (Рабочий ток) Обогрев: S[]</v>
      </c>
      <c r="K102" t="str">
        <f>CONCATENATE(K$2,": ",K$3,list1!K102,"]")</f>
        <v xml:space="preserve"> (Рабочий ток) Напряжение / Частота источника питания: S[3 / 400 / 50]</v>
      </c>
      <c r="L102" t="str">
        <f>CONCATENATE(L$2,": ",L$3,list1!L102,"]")</f>
        <v xml:space="preserve"> (Рабочий ток) Хладагент: S[R32]</v>
      </c>
      <c r="M102" t="str">
        <f>CONCATENATE(M$2,": ",M$3,list1!M102,"]")</f>
        <v xml:space="preserve"> (Рабочий ток) Количество хладагента: N[]</v>
      </c>
      <c r="N102" t="str">
        <f>CONCATENATE(N$2,": ",N$3,list1!N102,"]")</f>
        <v xml:space="preserve"> (Рабочий ток) Объем рециркулируемого воздуха внутреннего блока: S[]</v>
      </c>
      <c r="O102" t="str">
        <f>CONCATENATE(O$2,": ",O$3,list1!O102,"]")</f>
        <v xml:space="preserve"> (Внутренний блок) Размеры (Ш x Г x В): S[1700 х 235 х 705]</v>
      </c>
      <c r="P102" t="str">
        <f>CONCATENATE(P$2,": ",P$3,list1!P102,"]")</f>
        <v xml:space="preserve"> (Внутренний блок) Упаковка (Ш x Г x В): S[1785 х 825 х 330]</v>
      </c>
      <c r="Q102" t="str">
        <f>CONCATENATE(Q$2,": ",Q$3,list1!Q102,"]")</f>
        <v xml:space="preserve"> (Внутренний блок) Масса (нетто / брутто): S[38 / 48]</v>
      </c>
      <c r="R102" t="str">
        <f>CONCATENATE(R$2,": ",R$3,list1!R102,"]")</f>
        <v xml:space="preserve"> (Внутренний блок) Уровень шума мин. / макс.: S[32/37/40/44]</v>
      </c>
      <c r="S102" t="str">
        <f>CONCATENATE(S$2,": ",S$3,list1!S102,"]")</f>
        <v xml:space="preserve"> (Наружный блок) Марка компрессора: S[]</v>
      </c>
      <c r="T102" t="str">
        <f>CONCATENATE(T$2,": ",T$3,list1!T102,"]")</f>
        <v xml:space="preserve"> (Наружный блок) Размеры (Ш x Г x В): S[940 х 320 х 788]</v>
      </c>
      <c r="U102" t="str">
        <f>CONCATENATE(U$2,": ",U$3,list1!U102,"]")</f>
        <v xml:space="preserve"> (Наружный блок) Упаковка (Ш x Г x В): S[1027 х 445 х 966]</v>
      </c>
      <c r="V102" t="str">
        <f>CONCATENATE(V$2,": ",V$3,list1!V102,"]")</f>
        <v xml:space="preserve"> (Наружный блок) Масса (нетто / брутто): S[53/62]</v>
      </c>
      <c r="W102" t="str">
        <f>CONCATENATE(W$2,": ",W$3,list1!W102,"]")</f>
        <v xml:space="preserve"> (Наружный блок) Максимальный уровень шума: N[]</v>
      </c>
      <c r="X102" t="str">
        <f>CONCATENATE(X$2,": ",X$3,list1!X102,"]")</f>
        <v xml:space="preserve"> (Соединительные трубы) Жидкостная линия : N[9.52]</v>
      </c>
      <c r="Y102" t="str">
        <f>CONCATENATE(Y$2,": ",Y$3,list1!Y102,"]")</f>
        <v xml:space="preserve"> (Соединительные трубы) Газовая линия : N[15.88]</v>
      </c>
      <c r="Z102" t="str">
        <f>CONCATENATE(Z$2,": ",Z$3,list1!Z102,"]")</f>
        <v xml:space="preserve"> (Соединительные трубы) Максимальная длина трубопровода: N[30]</v>
      </c>
      <c r="AA102" t="str">
        <f>CONCATENATE(AA$2,": ",AA$3,list1!AA102,"]")</f>
        <v xml:space="preserve"> (Соединительные трубы) Максимальный перепад высот: S[30]</v>
      </c>
      <c r="AB102" t="str">
        <f>CONCATENATE(AB$2,": ",AB$3,list1!AB102,"]")</f>
        <v xml:space="preserve"> (Допустимая темп. наружного воздуха) Охлаждение: S[от -10 до +46]</v>
      </c>
      <c r="AC102" t="str">
        <f>CONCATENATE(AC$2,": ",AC$3,list1!AC102,"]")</f>
        <v xml:space="preserve"> (Допустимая темп. наружного воздуха) Обогрев: S[от -15 до +24]</v>
      </c>
      <c r="AD102" s="6" t="s">
        <v>5245</v>
      </c>
    </row>
    <row r="103" spans="1:30" x14ac:dyDescent="0.25">
      <c r="A103" t="str">
        <f>CONCATENATE(A$2,": ",A$3,list1!A103,"]")</f>
        <v>Производитель: E[FUJITSU]</v>
      </c>
      <c r="B103" t="str">
        <f>CONCATENATE(B$2,": ",B$3,list1!B103,"]")</f>
        <v xml:space="preserve"> Тип: S[Напольно-потолочные]</v>
      </c>
      <c r="C103" t="str">
        <f>CONCATENATE(C$2,": ",C$3,list1!C103,"]")</f>
        <v xml:space="preserve"> (Сплит система) Холодопроизводительность: N[12.1]</v>
      </c>
      <c r="D103" t="str">
        <f>CONCATENATE(D$2,": ",D$3,list1!D103,"]")</f>
        <v xml:space="preserve"> (Сплит система) Площадь помещения: N[120]</v>
      </c>
      <c r="E103" t="str">
        <f>CONCATENATE(E$2,": ",E$3,list1!E103,"]")</f>
        <v xml:space="preserve"> (Сплит система) Инвентор: S[да]</v>
      </c>
      <c r="F103" t="str">
        <f>CONCATENATE(F$2,": ",F$3,list1!F103,"]")</f>
        <v xml:space="preserve"> (Сплит система) Теплопроизводительность: N[13.5]</v>
      </c>
      <c r="G103" t="str">
        <f>CONCATENATE(G$2,": ",G$3,list1!G103,"]")</f>
        <v xml:space="preserve"> (Потребляемая мощность) Охлаждение: N[4.84]</v>
      </c>
      <c r="H103" t="str">
        <f>CONCATENATE(H$2,": ",H$3,list1!H103,"]")</f>
        <v xml:space="preserve"> (Потребляемая мощность) Обогрев: S[4.18]</v>
      </c>
      <c r="I103" t="str">
        <f>CONCATENATE(I$2,": ",I$3,list1!I103,"]")</f>
        <v xml:space="preserve"> (Рабочий ток) Охлаждение: S[]</v>
      </c>
      <c r="J103" t="str">
        <f>CONCATENATE(J$2,": ",J$3,list1!J103,"]")</f>
        <v xml:space="preserve"> (Рабочий ток) Обогрев: S[]</v>
      </c>
      <c r="K103" t="str">
        <f>CONCATENATE(K$2,": ",K$3,list1!K103,"]")</f>
        <v xml:space="preserve"> (Рабочий ток) Напряжение / Частота источника питания: S[1 / 230 / 50]</v>
      </c>
      <c r="L103" t="str">
        <f>CONCATENATE(L$2,": ",L$3,list1!L103,"]")</f>
        <v xml:space="preserve"> (Рабочий ток) Хладагент: S[R32]</v>
      </c>
      <c r="M103" t="str">
        <f>CONCATENATE(M$2,": ",M$3,list1!M103,"]")</f>
        <v xml:space="preserve"> (Рабочий ток) Количество хладагента: N[]</v>
      </c>
      <c r="N103" t="str">
        <f>CONCATENATE(N$2,": ",N$3,list1!N103,"]")</f>
        <v xml:space="preserve"> (Рабочий ток) Объем рециркулируемого воздуха внутреннего блока: S[]</v>
      </c>
      <c r="O103" t="str">
        <f>CONCATENATE(O$2,": ",O$3,list1!O103,"]")</f>
        <v xml:space="preserve"> (Внутренний блок) Размеры (Ш x Г x В): S[1700 х 235 х 705]</v>
      </c>
      <c r="P103" t="str">
        <f>CONCATENATE(P$2,": ",P$3,list1!P103,"]")</f>
        <v xml:space="preserve"> (Внутренний блок) Упаковка (Ш x Г x В): S[1785 х 825 х 330]</v>
      </c>
      <c r="Q103" t="str">
        <f>CONCATENATE(Q$2,": ",Q$3,list1!Q103,"]")</f>
        <v xml:space="preserve"> (Внутренний блок) Масса (нетто / брутто): S[38 / 48]</v>
      </c>
      <c r="R103" t="str">
        <f>CONCATENATE(R$2,": ",R$3,list1!R103,"]")</f>
        <v xml:space="preserve"> (Внутренний блок) Уровень шума мин. / макс.: S[34/39/41/45]</v>
      </c>
      <c r="S103" t="str">
        <f>CONCATENATE(S$2,": ",S$3,list1!S103,"]")</f>
        <v xml:space="preserve"> (Наружный блок) Марка компрессора: S[]</v>
      </c>
      <c r="T103" t="str">
        <f>CONCATENATE(T$2,": ",T$3,list1!T103,"]")</f>
        <v xml:space="preserve"> (Наружный блок) Размеры (Ш x Г x В): S[940 х 320 х 998]</v>
      </c>
      <c r="U103" t="str">
        <f>CONCATENATE(U$2,": ",U$3,list1!U103,"]")</f>
        <v xml:space="preserve"> (Наружный блок) Упаковка (Ш x Г x В): S[1027 х 445 х 1176]</v>
      </c>
      <c r="V103" t="str">
        <f>CONCATENATE(V$2,": ",V$3,list1!V103,"]")</f>
        <v xml:space="preserve"> (Наружный блок) Масса (нетто / брутто): S[61/71]</v>
      </c>
      <c r="W103" t="str">
        <f>CONCATENATE(W$2,": ",W$3,list1!W103,"]")</f>
        <v xml:space="preserve"> (Наружный блок) Максимальный уровень шума: N[]</v>
      </c>
      <c r="X103" t="str">
        <f>CONCATENATE(X$2,": ",X$3,list1!X103,"]")</f>
        <v xml:space="preserve"> (Соединительные трубы) Жидкостная линия : N[9.52]</v>
      </c>
      <c r="Y103" t="str">
        <f>CONCATENATE(Y$2,": ",Y$3,list1!Y103,"]")</f>
        <v xml:space="preserve"> (Соединительные трубы) Газовая линия : N[15.88]</v>
      </c>
      <c r="Z103" t="str">
        <f>CONCATENATE(Z$2,": ",Z$3,list1!Z103,"]")</f>
        <v xml:space="preserve"> (Соединительные трубы) Максимальная длина трубопровода: N[30]</v>
      </c>
      <c r="AA103" t="str">
        <f>CONCATENATE(AA$2,": ",AA$3,list1!AA103,"]")</f>
        <v xml:space="preserve"> (Соединительные трубы) Максимальный перепад высот: S[30]</v>
      </c>
      <c r="AB103" t="str">
        <f>CONCATENATE(AB$2,": ",AB$3,list1!AB103,"]")</f>
        <v xml:space="preserve"> (Допустимая темп. наружного воздуха) Охлаждение: S[от -10 до +46]</v>
      </c>
      <c r="AC103" t="str">
        <f>CONCATENATE(AC$2,": ",AC$3,list1!AC103,"]")</f>
        <v xml:space="preserve"> (Допустимая темп. наружного воздуха) Обогрев: S[от -15 до +24]</v>
      </c>
      <c r="AD103" s="6" t="s">
        <v>5245</v>
      </c>
    </row>
    <row r="104" spans="1:30" x14ac:dyDescent="0.25">
      <c r="A104" t="str">
        <f>CONCATENATE(A$2,": ",A$3,list1!A104,"]")</f>
        <v>Производитель: E[FUJITSU]</v>
      </c>
      <c r="B104" t="str">
        <f>CONCATENATE(B$2,": ",B$3,list1!B104,"]")</f>
        <v xml:space="preserve"> Тип: S[Напольно-потолочные]</v>
      </c>
      <c r="C104" t="str">
        <f>CONCATENATE(C$2,": ",C$3,list1!C104,"]")</f>
        <v xml:space="preserve"> (Сплит система) Холодопроизводительность: N[12.1]</v>
      </c>
      <c r="D104" t="str">
        <f>CONCATENATE(D$2,": ",D$3,list1!D104,"]")</f>
        <v xml:space="preserve"> (Сплит система) Площадь помещения: N[120]</v>
      </c>
      <c r="E104" t="str">
        <f>CONCATENATE(E$2,": ",E$3,list1!E104,"]")</f>
        <v xml:space="preserve"> (Сплит система) Инвентор: S[да]</v>
      </c>
      <c r="F104" t="str">
        <f>CONCATENATE(F$2,": ",F$3,list1!F104,"]")</f>
        <v xml:space="preserve"> (Сплит система) Теплопроизводительность: N[13.5]</v>
      </c>
      <c r="G104" t="str">
        <f>CONCATENATE(G$2,": ",G$3,list1!G104,"]")</f>
        <v xml:space="preserve"> (Потребляемая мощность) Охлаждение: N[4.84]</v>
      </c>
      <c r="H104" t="str">
        <f>CONCATENATE(H$2,": ",H$3,list1!H104,"]")</f>
        <v xml:space="preserve"> (Потребляемая мощность) Обогрев: S[4.18]</v>
      </c>
      <c r="I104" t="str">
        <f>CONCATENATE(I$2,": ",I$3,list1!I104,"]")</f>
        <v xml:space="preserve"> (Рабочий ток) Охлаждение: S[]</v>
      </c>
      <c r="J104" t="str">
        <f>CONCATENATE(J$2,": ",J$3,list1!J104,"]")</f>
        <v xml:space="preserve"> (Рабочий ток) Обогрев: S[]</v>
      </c>
      <c r="K104" t="str">
        <f>CONCATENATE(K$2,": ",K$3,list1!K104,"]")</f>
        <v xml:space="preserve"> (Рабочий ток) Напряжение / Частота источника питания: S[3 / 400 / 50]</v>
      </c>
      <c r="L104" t="str">
        <f>CONCATENATE(L$2,": ",L$3,list1!L104,"]")</f>
        <v xml:space="preserve"> (Рабочий ток) Хладагент: S[R32]</v>
      </c>
      <c r="M104" t="str">
        <f>CONCATENATE(M$2,": ",M$3,list1!M104,"]")</f>
        <v xml:space="preserve"> (Рабочий ток) Количество хладагента: N[]</v>
      </c>
      <c r="N104" t="str">
        <f>CONCATENATE(N$2,": ",N$3,list1!N104,"]")</f>
        <v xml:space="preserve"> (Рабочий ток) Объем рециркулируемого воздуха внутреннего блока: S[]</v>
      </c>
      <c r="O104" t="str">
        <f>CONCATENATE(O$2,": ",O$3,list1!O104,"]")</f>
        <v xml:space="preserve"> (Внутренний блок) Размеры (Ш x Г x В): S[1700 х 235 х 705]</v>
      </c>
      <c r="P104" t="str">
        <f>CONCATENATE(P$2,": ",P$3,list1!P104,"]")</f>
        <v xml:space="preserve"> (Внутренний блок) Упаковка (Ш x Г x В): S[1785 х 825 х 330]</v>
      </c>
      <c r="Q104" t="str">
        <f>CONCATENATE(Q$2,": ",Q$3,list1!Q104,"]")</f>
        <v xml:space="preserve"> (Внутренний блок) Масса (нетто / брутто): S[38 / 48]</v>
      </c>
      <c r="R104" t="str">
        <f>CONCATENATE(R$2,": ",R$3,list1!R104,"]")</f>
        <v xml:space="preserve"> (Внутренний блок) Уровень шума мин. / макс.: S[34/39/41/45]</v>
      </c>
      <c r="S104" t="str">
        <f>CONCATENATE(S$2,": ",S$3,list1!S104,"]")</f>
        <v xml:space="preserve"> (Наружный блок) Марка компрессора: S[]</v>
      </c>
      <c r="T104" t="str">
        <f>CONCATENATE(T$2,": ",T$3,list1!T104,"]")</f>
        <v xml:space="preserve"> (Наружный блок) Размеры (Ш x Г x В): S[940 х 320 х 998]</v>
      </c>
      <c r="U104" t="str">
        <f>CONCATENATE(U$2,": ",U$3,list1!U104,"]")</f>
        <v xml:space="preserve"> (Наружный блок) Упаковка (Ш x Г x В): S[1027 х 445 х 1176]</v>
      </c>
      <c r="V104" t="str">
        <f>CONCATENATE(V$2,": ",V$3,list1!V104,"]")</f>
        <v xml:space="preserve"> (Наружный блок) Масса (нетто / брутто): S[62/72]</v>
      </c>
      <c r="W104" t="str">
        <f>CONCATENATE(W$2,": ",W$3,list1!W104,"]")</f>
        <v xml:space="preserve"> (Наружный блок) Максимальный уровень шума: N[]</v>
      </c>
      <c r="X104" t="str">
        <f>CONCATENATE(X$2,": ",X$3,list1!X104,"]")</f>
        <v xml:space="preserve"> (Соединительные трубы) Жидкостная линия : N[9.52]</v>
      </c>
      <c r="Y104" t="str">
        <f>CONCATENATE(Y$2,": ",Y$3,list1!Y104,"]")</f>
        <v xml:space="preserve"> (Соединительные трубы) Газовая линия : N[15.88]</v>
      </c>
      <c r="Z104" t="str">
        <f>CONCATENATE(Z$2,": ",Z$3,list1!Z104,"]")</f>
        <v xml:space="preserve"> (Соединительные трубы) Максимальная длина трубопровода: N[30]</v>
      </c>
      <c r="AA104" t="str">
        <f>CONCATENATE(AA$2,": ",AA$3,list1!AA104,"]")</f>
        <v xml:space="preserve"> (Соединительные трубы) Максимальный перепад высот: S[30]</v>
      </c>
      <c r="AB104" t="str">
        <f>CONCATENATE(AB$2,": ",AB$3,list1!AB104,"]")</f>
        <v xml:space="preserve"> (Допустимая темп. наружного воздуха) Охлаждение: S[от -10 до +46]</v>
      </c>
      <c r="AC104" t="str">
        <f>CONCATENATE(AC$2,": ",AC$3,list1!AC104,"]")</f>
        <v xml:space="preserve"> (Допустимая темп. наружного воздуха) Обогрев: S[от -15 до +24]</v>
      </c>
      <c r="AD104" s="6" t="s">
        <v>5245</v>
      </c>
    </row>
    <row r="105" spans="1:30" x14ac:dyDescent="0.25">
      <c r="A105" t="str">
        <f>CONCATENATE(A$2,": ",A$3,list1!A105,"]")</f>
        <v>Производитель: E[FUJITSU]</v>
      </c>
      <c r="B105" t="str">
        <f>CONCATENATE(B$2,": ",B$3,list1!B105,"]")</f>
        <v xml:space="preserve"> Тип: S[Напольно-потолочные]</v>
      </c>
      <c r="C105" t="str">
        <f>CONCATENATE(C$2,": ",C$3,list1!C105,"]")</f>
        <v xml:space="preserve"> (Сплит система) Холодопроизводительность: N[12.1]</v>
      </c>
      <c r="D105" t="str">
        <f>CONCATENATE(D$2,": ",D$3,list1!D105,"]")</f>
        <v xml:space="preserve"> (Сплит система) Площадь помещения: N[120]</v>
      </c>
      <c r="E105" t="str">
        <f>CONCATENATE(E$2,": ",E$3,list1!E105,"]")</f>
        <v xml:space="preserve"> (Сплит система) Инвентор: S[да]</v>
      </c>
      <c r="F105" t="str">
        <f>CONCATENATE(F$2,": ",F$3,list1!F105,"]")</f>
        <v xml:space="preserve"> (Сплит система) Теплопроизводительность: N[13.5]</v>
      </c>
      <c r="G105" t="str">
        <f>CONCATENATE(G$2,": ",G$3,list1!G105,"]")</f>
        <v xml:space="preserve"> (Потребляемая мощность) Охлаждение: N[4.84]</v>
      </c>
      <c r="H105" t="str">
        <f>CONCATENATE(H$2,": ",H$3,list1!H105,"]")</f>
        <v xml:space="preserve"> (Потребляемая мощность) Обогрев: S[4.18]</v>
      </c>
      <c r="I105" t="str">
        <f>CONCATENATE(I$2,": ",I$3,list1!I105,"]")</f>
        <v xml:space="preserve"> (Рабочий ток) Охлаждение: S[]</v>
      </c>
      <c r="J105" t="str">
        <f>CONCATENATE(J$2,": ",J$3,list1!J105,"]")</f>
        <v xml:space="preserve"> (Рабочий ток) Обогрев: S[]</v>
      </c>
      <c r="K105" t="str">
        <f>CONCATENATE(K$2,": ",K$3,list1!K105,"]")</f>
        <v xml:space="preserve"> (Рабочий ток) Напряжение / Частота источника питания: S[1 / 230 / 50]</v>
      </c>
      <c r="L105" t="str">
        <f>CONCATENATE(L$2,": ",L$3,list1!L105,"]")</f>
        <v xml:space="preserve"> (Рабочий ток) Хладагент: S[R32]</v>
      </c>
      <c r="M105" t="str">
        <f>CONCATENATE(M$2,": ",M$3,list1!M105,"]")</f>
        <v xml:space="preserve"> (Рабочий ток) Количество хладагента: N[]</v>
      </c>
      <c r="N105" t="str">
        <f>CONCATENATE(N$2,": ",N$3,list1!N105,"]")</f>
        <v xml:space="preserve"> (Рабочий ток) Объем рециркулируемого воздуха внутреннего блока: S[]</v>
      </c>
      <c r="O105" t="str">
        <f>CONCATENATE(O$2,": ",O$3,list1!O105,"]")</f>
        <v xml:space="preserve"> (Внутренний блок) Размеры (Ш x Г x В): S[1700 х 235 х 705]</v>
      </c>
      <c r="P105" t="str">
        <f>CONCATENATE(P$2,": ",P$3,list1!P105,"]")</f>
        <v xml:space="preserve"> (Внутренний блок) Упаковка (Ш x Г x В): S[1785 х 825 х 330]</v>
      </c>
      <c r="Q105" t="str">
        <f>CONCATENATE(Q$2,": ",Q$3,list1!Q105,"]")</f>
        <v xml:space="preserve"> (Внутренний блок) Масса (нетто / брутто): S[38 / 48]</v>
      </c>
      <c r="R105" t="str">
        <f>CONCATENATE(R$2,": ",R$3,list1!R105,"]")</f>
        <v xml:space="preserve"> (Внутренний блок) Уровень шума мин. / макс.: S[31/39/41/45]</v>
      </c>
      <c r="S105" t="str">
        <f>CONCATENATE(S$2,": ",S$3,list1!S105,"]")</f>
        <v xml:space="preserve"> (Наружный блок) Марка компрессора: S[]</v>
      </c>
      <c r="T105" t="str">
        <f>CONCATENATE(T$2,": ",T$3,list1!T105,"]")</f>
        <v xml:space="preserve"> (Наружный блок) Размеры (Ш x Г x В): S[940 х 320 х 998]</v>
      </c>
      <c r="U105" t="str">
        <f>CONCATENATE(U$2,": ",U$3,list1!U105,"]")</f>
        <v xml:space="preserve"> (Наружный блок) Упаковка (Ш x Г x В): S[1027 х 445 х 1176]</v>
      </c>
      <c r="V105" t="str">
        <f>CONCATENATE(V$2,": ",V$3,list1!V105,"]")</f>
        <v xml:space="preserve"> (Наружный блок) Масса (нетто / брутто): S[63/72]</v>
      </c>
      <c r="W105" t="str">
        <f>CONCATENATE(W$2,": ",W$3,list1!W105,"]")</f>
        <v xml:space="preserve"> (Наружный блок) Максимальный уровень шума: N[]</v>
      </c>
      <c r="X105" t="str">
        <f>CONCATENATE(X$2,": ",X$3,list1!X105,"]")</f>
        <v xml:space="preserve"> (Соединительные трубы) Жидкостная линия : N[9.52]</v>
      </c>
      <c r="Y105" t="str">
        <f>CONCATENATE(Y$2,": ",Y$3,list1!Y105,"]")</f>
        <v xml:space="preserve"> (Соединительные трубы) Газовая линия : N[15.88]</v>
      </c>
      <c r="Z105" t="str">
        <f>CONCATENATE(Z$2,": ",Z$3,list1!Z105,"]")</f>
        <v xml:space="preserve"> (Соединительные трубы) Максимальная длина трубопровода: N[30]</v>
      </c>
      <c r="AA105" t="str">
        <f>CONCATENATE(AA$2,": ",AA$3,list1!AA105,"]")</f>
        <v xml:space="preserve"> (Соединительные трубы) Максимальный перепад высот: S[30]</v>
      </c>
      <c r="AB105" t="str">
        <f>CONCATENATE(AB$2,": ",AB$3,list1!AB105,"]")</f>
        <v xml:space="preserve"> (Допустимая темп. наружного воздуха) Охлаждение: S[от -10 до +46]</v>
      </c>
      <c r="AC105" t="str">
        <f>CONCATENATE(AC$2,": ",AC$3,list1!AC105,"]")</f>
        <v xml:space="preserve"> (Допустимая темп. наружного воздуха) Обогрев: S[от -15 до +24]</v>
      </c>
      <c r="AD105" s="6" t="s">
        <v>5245</v>
      </c>
    </row>
    <row r="106" spans="1:30" x14ac:dyDescent="0.25">
      <c r="A106" t="str">
        <f>CONCATENATE(A$2,": ",A$3,list1!A106,"]")</f>
        <v>Производитель: E[FUJITSU]</v>
      </c>
      <c r="B106" t="str">
        <f>CONCATENATE(B$2,": ",B$3,list1!B106,"]")</f>
        <v xml:space="preserve"> Тип: S[Напольно-потолочные]</v>
      </c>
      <c r="C106" t="str">
        <f>CONCATENATE(C$2,": ",C$3,list1!C106,"]")</f>
        <v xml:space="preserve"> (Сплит система) Холодопроизводительность: N[]</v>
      </c>
      <c r="D106" t="str">
        <f>CONCATENATE(D$2,": ",D$3,list1!D106,"]")</f>
        <v xml:space="preserve"> (Сплит система) Площадь помещения: N[]</v>
      </c>
      <c r="E106" t="str">
        <f>CONCATENATE(E$2,": ",E$3,list1!E106,"]")</f>
        <v xml:space="preserve"> (Сплит система) Инвентор: S[да]</v>
      </c>
      <c r="F106" t="str">
        <f>CONCATENATE(F$2,": ",F$3,list1!F106,"]")</f>
        <v xml:space="preserve"> (Сплит система) Теплопроизводительность: N[]</v>
      </c>
      <c r="G106" t="str">
        <f>CONCATENATE(G$2,": ",G$3,list1!G106,"]")</f>
        <v xml:space="preserve"> (Потребляемая мощность) Охлаждение: N[]</v>
      </c>
      <c r="H106" t="str">
        <f>CONCATENATE(H$2,": ",H$3,list1!H106,"]")</f>
        <v xml:space="preserve"> (Потребляемая мощность) Обогрев: S[]</v>
      </c>
      <c r="I106" t="str">
        <f>CONCATENATE(I$2,": ",I$3,list1!I106,"]")</f>
        <v xml:space="preserve"> (Рабочий ток) Охлаждение: S[]</v>
      </c>
      <c r="J106" t="str">
        <f>CONCATENATE(J$2,": ",J$3,list1!J106,"]")</f>
        <v xml:space="preserve"> (Рабочий ток) Обогрев: S[]</v>
      </c>
      <c r="K106" t="str">
        <f>CONCATENATE(K$2,": ",K$3,list1!K106,"]")</f>
        <v xml:space="preserve"> (Рабочий ток) Напряжение / Частота источника питания: S[3 / 400 / 50]</v>
      </c>
      <c r="L106" t="str">
        <f>CONCATENATE(L$2,": ",L$3,list1!L106,"]")</f>
        <v xml:space="preserve"> (Рабочий ток) Хладагент: S[R32]</v>
      </c>
      <c r="M106" t="str">
        <f>CONCATENATE(M$2,": ",M$3,list1!M106,"]")</f>
        <v xml:space="preserve"> (Рабочий ток) Количество хладагента: N[]</v>
      </c>
      <c r="N106" t="str">
        <f>CONCATENATE(N$2,": ",N$3,list1!N106,"]")</f>
        <v xml:space="preserve"> (Рабочий ток) Объем рециркулируемого воздуха внутреннего блока: S[]</v>
      </c>
      <c r="O106" t="str">
        <f>CONCATENATE(O$2,": ",O$3,list1!O106,"]")</f>
        <v xml:space="preserve"> (Внутренний блок) Размеры (Ш x Г x В): S[1700 х 235 х 705]</v>
      </c>
      <c r="P106" t="str">
        <f>CONCATENATE(P$2,": ",P$3,list1!P106,"]")</f>
        <v xml:space="preserve"> (Внутренний блок) Упаковка (Ш x Г x В): S[1785 х 825 х 330]</v>
      </c>
      <c r="Q106" t="str">
        <f>CONCATENATE(Q$2,": ",Q$3,list1!Q106,"]")</f>
        <v xml:space="preserve"> (Внутренний блок) Масса (нетто / брутто): S[38 / 48]</v>
      </c>
      <c r="R106" t="str">
        <f>CONCATENATE(R$2,": ",R$3,list1!R106,"]")</f>
        <v xml:space="preserve"> (Внутренний блок) Уровень шума мин. / макс.: S[]</v>
      </c>
      <c r="S106" t="str">
        <f>CONCATENATE(S$2,": ",S$3,list1!S106,"]")</f>
        <v xml:space="preserve"> (Наружный блок) Марка компрессора: S[]</v>
      </c>
      <c r="T106" t="str">
        <f>CONCATENATE(T$2,": ",T$3,list1!T106,"]")</f>
        <v xml:space="preserve"> (Наружный блок) Размеры (Ш x Г x В): S[940 х 320 х 998]</v>
      </c>
      <c r="U106" t="str">
        <f>CONCATENATE(U$2,": ",U$3,list1!U106,"]")</f>
        <v xml:space="preserve"> (Наружный блок) Упаковка (Ш x Г x В): S[1027 х 445 х 1176]</v>
      </c>
      <c r="V106" t="str">
        <f>CONCATENATE(V$2,": ",V$3,list1!V106,"]")</f>
        <v xml:space="preserve"> (Наружный блок) Масса (нетто / брутто): S[63/73]</v>
      </c>
      <c r="W106" t="str">
        <f>CONCATENATE(W$2,": ",W$3,list1!W106,"]")</f>
        <v xml:space="preserve"> (Наружный блок) Максимальный уровень шума: N[]</v>
      </c>
      <c r="X106" t="str">
        <f>CONCATENATE(X$2,": ",X$3,list1!X106,"]")</f>
        <v xml:space="preserve"> (Соединительные трубы) Жидкостная линия : N[]</v>
      </c>
      <c r="Y106" t="str">
        <f>CONCATENATE(Y$2,": ",Y$3,list1!Y106,"]")</f>
        <v xml:space="preserve"> (Соединительные трубы) Газовая линия : N[]</v>
      </c>
      <c r="Z106" t="str">
        <f>CONCATENATE(Z$2,": ",Z$3,list1!Z106,"]")</f>
        <v xml:space="preserve"> (Соединительные трубы) Максимальная длина трубопровода: N[]</v>
      </c>
      <c r="AA106" t="str">
        <f>CONCATENATE(AA$2,": ",AA$3,list1!AA106,"]")</f>
        <v xml:space="preserve"> (Соединительные трубы) Максимальный перепад высот: S[]</v>
      </c>
      <c r="AB106" t="str">
        <f>CONCATENATE(AB$2,": ",AB$3,list1!AB106,"]")</f>
        <v xml:space="preserve"> (Допустимая темп. наружного воздуха) Охлаждение: S[от -10 до +46]</v>
      </c>
      <c r="AC106" t="str">
        <f>CONCATENATE(AC$2,": ",AC$3,list1!AC106,"]")</f>
        <v xml:space="preserve"> (Допустимая темп. наружного воздуха) Обогрев: S[от -15 до +24]</v>
      </c>
      <c r="AD106" s="6" t="s">
        <v>5245</v>
      </c>
    </row>
    <row r="107" spans="1:30" x14ac:dyDescent="0.25">
      <c r="A107" t="str">
        <f>CONCATENATE(A$2,": ",A$3,list1!A107,"]")</f>
        <v>Производитель: E[FUJITSU]</v>
      </c>
      <c r="B107" t="str">
        <f>CONCATENATE(B$2,": ",B$3,list1!B107,"]")</f>
        <v xml:space="preserve"> Тип: S[Мульти сплит система]</v>
      </c>
      <c r="C107" t="str">
        <f>CONCATENATE(C$2,": ",C$3,list1!C107,"]")</f>
        <v xml:space="preserve"> (Сплит система) Холодопроизводительность: N[10]</v>
      </c>
      <c r="D107" t="str">
        <f>CONCATENATE(D$2,": ",D$3,list1!D107,"]")</f>
        <v xml:space="preserve"> (Сплит система) Площадь помещения: N[100]</v>
      </c>
      <c r="E107" t="str">
        <f>CONCATENATE(E$2,": ",E$3,list1!E107,"]")</f>
        <v xml:space="preserve"> (Сплит система) Инвентор: S[да]</v>
      </c>
      <c r="F107" t="str">
        <f>CONCATENATE(F$2,": ",F$3,list1!F107,"]")</f>
        <v xml:space="preserve"> (Сплит система) Теплопроизводительность: N[11.2]</v>
      </c>
      <c r="G107" t="str">
        <f>CONCATENATE(G$2,": ",G$3,list1!G107,"]")</f>
        <v xml:space="preserve"> (Потребляемая мощность) Охлаждение: N[2.84]</v>
      </c>
      <c r="H107" t="str">
        <f>CONCATENATE(H$2,": ",H$3,list1!H107,"]")</f>
        <v xml:space="preserve"> (Потребляемая мощность) Обогрев: S[2.87]</v>
      </c>
      <c r="I107" t="str">
        <f>CONCATENATE(I$2,": ",I$3,list1!I107,"]")</f>
        <v xml:space="preserve"> (Рабочий ток) Охлаждение: S[]</v>
      </c>
      <c r="J107" t="str">
        <f>CONCATENATE(J$2,": ",J$3,list1!J107,"]")</f>
        <v xml:space="preserve"> (Рабочий ток) Обогрев: S[]</v>
      </c>
      <c r="K107" t="str">
        <f>CONCATENATE(K$2,": ",K$3,list1!K107,"]")</f>
        <v xml:space="preserve"> (Рабочий ток) Напряжение / Частота источника питания: S[3 / 400 / 50]</v>
      </c>
      <c r="L107" t="str">
        <f>CONCATENATE(L$2,": ",L$3,list1!L107,"]")</f>
        <v xml:space="preserve"> (Рабочий ток) Хладагент: S[R410A]</v>
      </c>
      <c r="M107" t="str">
        <f>CONCATENATE(M$2,": ",M$3,list1!M107,"]")</f>
        <v xml:space="preserve"> (Рабочий ток) Количество хладагента: N[]</v>
      </c>
      <c r="N107" t="str">
        <f>CONCATENATE(N$2,": ",N$3,list1!N107,"]")</f>
        <v xml:space="preserve"> (Рабочий ток) Объем рециркулируемого воздуха внутреннего блока: S[]</v>
      </c>
      <c r="O107" t="str">
        <f>CONCATENATE(O$2,": ",O$3,list1!O107,"]")</f>
        <v xml:space="preserve"> (Внутренний блок) Размеры (Ш x Г x В): S[]</v>
      </c>
      <c r="P107" t="str">
        <f>CONCATENATE(P$2,": ",P$3,list1!P107,"]")</f>
        <v xml:space="preserve"> (Внутренний блок) Упаковка (Ш x Г x В): S[]</v>
      </c>
      <c r="Q107" t="str">
        <f>CONCATENATE(Q$2,": ",Q$3,list1!Q107,"]")</f>
        <v xml:space="preserve"> (Внутренний блок) Масса (нетто / брутто): S[]</v>
      </c>
      <c r="R107" t="str">
        <f>CONCATENATE(R$2,": ",R$3,list1!R107,"]")</f>
        <v xml:space="preserve"> (Внутренний блок) Уровень шума мин. / макс.: S[]</v>
      </c>
      <c r="S107" t="str">
        <f>CONCATENATE(S$2,": ",S$3,list1!S107,"]")</f>
        <v xml:space="preserve"> (Наружный блок) Марка компрессора: S[TOSHIBA]</v>
      </c>
      <c r="T107" t="str">
        <f>CONCATENATE(T$2,": ",T$3,list1!T107,"]")</f>
        <v xml:space="preserve"> (Наружный блок) Размеры (Ш x Г x В): S[]</v>
      </c>
      <c r="U107" t="str">
        <f>CONCATENATE(U$2,": ",U$3,list1!U107,"]")</f>
        <v xml:space="preserve"> (Наружный блок) Упаковка (Ш x Г x В): S[]</v>
      </c>
      <c r="V107" t="str">
        <f>CONCATENATE(V$2,": ",V$3,list1!V107,"]")</f>
        <v xml:space="preserve"> (Наружный блок) Масса (нетто / брутто): S[]</v>
      </c>
      <c r="W107" t="str">
        <f>CONCATENATE(W$2,": ",W$3,list1!W107,"]")</f>
        <v xml:space="preserve"> (Наружный блок) Максимальный уровень шума: N[]</v>
      </c>
      <c r="X107" t="str">
        <f>CONCATENATE(X$2,": ",X$3,list1!X107,"]")</f>
        <v xml:space="preserve"> (Соединительные трубы) Жидкостная линия : N[9.52]</v>
      </c>
      <c r="Y107" t="str">
        <f>CONCATENATE(Y$2,": ",Y$3,list1!Y107,"]")</f>
        <v xml:space="preserve"> (Соединительные трубы) Газовая линия : N[15.88]</v>
      </c>
      <c r="Z107" t="str">
        <f>CONCATENATE(Z$2,": ",Z$3,list1!Z107,"]")</f>
        <v xml:space="preserve"> (Соединительные трубы) Максимальная длина трубопровода: N[75]</v>
      </c>
      <c r="AA107" t="str">
        <f>CONCATENATE(AA$2,": ",AA$3,list1!AA107,"]")</f>
        <v xml:space="preserve"> (Соединительные трубы) Максимальный перепад высот: S[30]</v>
      </c>
      <c r="AB107" t="str">
        <f>CONCATENATE(AB$2,": ",AB$3,list1!AB107,"]")</f>
        <v xml:space="preserve"> (Допустимая темп. наружного воздуха) Охлаждение: S[от -15 до +46]</v>
      </c>
      <c r="AC107" t="str">
        <f>CONCATENATE(AC$2,": ",AC$3,list1!AC107,"]")</f>
        <v xml:space="preserve"> (Допустимая темп. наружного воздуха) Обогрев: S[от -15 до +24]</v>
      </c>
      <c r="AD107" s="6" t="s">
        <v>5173</v>
      </c>
    </row>
    <row r="108" spans="1:30" x14ac:dyDescent="0.25">
      <c r="A108" t="str">
        <f>CONCATENATE(A$2,": ",A$3,list1!A108,"]")</f>
        <v>Производитель: E[FUJITSU]</v>
      </c>
      <c r="B108" t="str">
        <f>CONCATENATE(B$2,": ",B$3,list1!B108,"]")</f>
        <v xml:space="preserve"> Тип: S[Мульти сплит система]</v>
      </c>
      <c r="C108" t="str">
        <f>CONCATENATE(C$2,": ",C$3,list1!C108,"]")</f>
        <v xml:space="preserve"> (Сплит система) Холодопроизводительность: N[14]</v>
      </c>
      <c r="D108" t="str">
        <f>CONCATENATE(D$2,": ",D$3,list1!D108,"]")</f>
        <v xml:space="preserve"> (Сплит система) Площадь помещения: N[140]</v>
      </c>
      <c r="E108" t="str">
        <f>CONCATENATE(E$2,": ",E$3,list1!E108,"]")</f>
        <v xml:space="preserve"> (Сплит система) Инвентор: S[да]</v>
      </c>
      <c r="F108" t="str">
        <f>CONCATENATE(F$2,": ",F$3,list1!F108,"]")</f>
        <v xml:space="preserve"> (Сплит система) Теплопроизводительность: N[16]</v>
      </c>
      <c r="G108" t="str">
        <f>CONCATENATE(G$2,": ",G$3,list1!G108,"]")</f>
        <v xml:space="preserve"> (Потребляемая мощность) Охлаждение: N[4.65]</v>
      </c>
      <c r="H108" t="str">
        <f>CONCATENATE(H$2,": ",H$3,list1!H108,"]")</f>
        <v xml:space="preserve"> (Потребляемая мощность) Обогрев: S[4.37]</v>
      </c>
      <c r="I108" t="str">
        <f>CONCATENATE(I$2,": ",I$3,list1!I108,"]")</f>
        <v xml:space="preserve"> (Рабочий ток) Охлаждение: S[]</v>
      </c>
      <c r="J108" t="str">
        <f>CONCATENATE(J$2,": ",J$3,list1!J108,"]")</f>
        <v xml:space="preserve"> (Рабочий ток) Обогрев: S[]</v>
      </c>
      <c r="K108" t="str">
        <f>CONCATENATE(K$2,": ",K$3,list1!K108,"]")</f>
        <v xml:space="preserve"> (Рабочий ток) Напряжение / Частота источника питания: S[3 / 400 / 50]</v>
      </c>
      <c r="L108" t="str">
        <f>CONCATENATE(L$2,": ",L$3,list1!L108,"]")</f>
        <v xml:space="preserve"> (Рабочий ток) Хладагент: S[R410A]</v>
      </c>
      <c r="M108" t="str">
        <f>CONCATENATE(M$2,": ",M$3,list1!M108,"]")</f>
        <v xml:space="preserve"> (Рабочий ток) Количество хладагента: N[]</v>
      </c>
      <c r="N108" t="str">
        <f>CONCATENATE(N$2,": ",N$3,list1!N108,"]")</f>
        <v xml:space="preserve"> (Рабочий ток) Объем рециркулируемого воздуха внутреннего блока: S[]</v>
      </c>
      <c r="O108" t="str">
        <f>CONCATENATE(O$2,": ",O$3,list1!O108,"]")</f>
        <v xml:space="preserve"> (Внутренний блок) Размеры (Ш x Г x В): S[]</v>
      </c>
      <c r="P108" t="str">
        <f>CONCATENATE(P$2,": ",P$3,list1!P108,"]")</f>
        <v xml:space="preserve"> (Внутренний блок) Упаковка (Ш x Г x В): S[]</v>
      </c>
      <c r="Q108" t="str">
        <f>CONCATENATE(Q$2,": ",Q$3,list1!Q108,"]")</f>
        <v xml:space="preserve"> (Внутренний блок) Масса (нетто / брутто): S[]</v>
      </c>
      <c r="R108" t="str">
        <f>CONCATENATE(R$2,": ",R$3,list1!R108,"]")</f>
        <v xml:space="preserve"> (Внутренний блок) Уровень шума мин. / макс.: S[]</v>
      </c>
      <c r="S108" t="str">
        <f>CONCATENATE(S$2,": ",S$3,list1!S108,"]")</f>
        <v xml:space="preserve"> (Наружный блок) Марка компрессора: S[TOSHIBA]</v>
      </c>
      <c r="T108" t="str">
        <f>CONCATENATE(T$2,": ",T$3,list1!T108,"]")</f>
        <v xml:space="preserve"> (Наружный блок) Размеры (Ш x Г x В): S[]</v>
      </c>
      <c r="U108" t="str">
        <f>CONCATENATE(U$2,": ",U$3,list1!U108,"]")</f>
        <v xml:space="preserve"> (Наружный блок) Упаковка (Ш x Г x В): S[]</v>
      </c>
      <c r="V108" t="str">
        <f>CONCATENATE(V$2,": ",V$3,list1!V108,"]")</f>
        <v xml:space="preserve"> (Наружный блок) Масса (нетто / брутто): S[]</v>
      </c>
      <c r="W108" t="str">
        <f>CONCATENATE(W$2,": ",W$3,list1!W108,"]")</f>
        <v xml:space="preserve"> (Наружный блок) Максимальный уровень шума: N[]</v>
      </c>
      <c r="X108" t="str">
        <f>CONCATENATE(X$2,": ",X$3,list1!X108,"]")</f>
        <v xml:space="preserve"> (Соединительные трубы) Жидкостная линия : N[9.52]</v>
      </c>
      <c r="Y108" t="str">
        <f>CONCATENATE(Y$2,": ",Y$3,list1!Y108,"]")</f>
        <v xml:space="preserve"> (Соединительные трубы) Газовая линия : N[15.88]</v>
      </c>
      <c r="Z108" t="str">
        <f>CONCATENATE(Z$2,": ",Z$3,list1!Z108,"]")</f>
        <v xml:space="preserve"> (Соединительные трубы) Максимальная длина трубопровода: N[75]</v>
      </c>
      <c r="AA108" t="str">
        <f>CONCATENATE(AA$2,": ",AA$3,list1!AA108,"]")</f>
        <v xml:space="preserve"> (Соединительные трубы) Максимальный перепад высот: S[30]</v>
      </c>
      <c r="AB108" t="str">
        <f>CONCATENATE(AB$2,": ",AB$3,list1!AB108,"]")</f>
        <v xml:space="preserve"> (Допустимая темп. наружного воздуха) Охлаждение: S[от -15 до +46]</v>
      </c>
      <c r="AC108" t="str">
        <f>CONCATENATE(AC$2,": ",AC$3,list1!AC108,"]")</f>
        <v xml:space="preserve"> (Допустимая темп. наружного воздуха) Обогрев: S[от -15 до +24]</v>
      </c>
      <c r="AD108" s="6" t="s">
        <v>5173</v>
      </c>
    </row>
    <row r="109" spans="1:30" x14ac:dyDescent="0.25">
      <c r="A109" t="str">
        <f>CONCATENATE(A$2,": ",A$3,list1!A109,"]")</f>
        <v>Производитель: E[FUJITSU]</v>
      </c>
      <c r="B109" t="str">
        <f>CONCATENATE(B$2,": ",B$3,list1!B109,"]")</f>
        <v xml:space="preserve"> Тип: S[Мульти сплит система]</v>
      </c>
      <c r="C109" t="str">
        <f>CONCATENATE(C$2,": ",C$3,list1!C109,"]")</f>
        <v xml:space="preserve"> (Сплит система) Холодопроизводительность: N[19]</v>
      </c>
      <c r="D109" t="str">
        <f>CONCATENATE(D$2,": ",D$3,list1!D109,"]")</f>
        <v xml:space="preserve"> (Сплит система) Площадь помещения: N[190]</v>
      </c>
      <c r="E109" t="str">
        <f>CONCATENATE(E$2,": ",E$3,list1!E109,"]")</f>
        <v xml:space="preserve"> (Сплит система) Инвентор: S[да]</v>
      </c>
      <c r="F109" t="str">
        <f>CONCATENATE(F$2,": ",F$3,list1!F109,"]")</f>
        <v xml:space="preserve"> (Сплит система) Теплопроизводительность: N[22.4]</v>
      </c>
      <c r="G109" t="str">
        <f>CONCATENATE(G$2,": ",G$3,list1!G109,"]")</f>
        <v xml:space="preserve"> (Потребляемая мощность) Охлаждение: N[5.99]</v>
      </c>
      <c r="H109" t="str">
        <f>CONCATENATE(H$2,": ",H$3,list1!H109,"]")</f>
        <v xml:space="preserve"> (Потребляемая мощность) Обогрев: S[6.12]</v>
      </c>
      <c r="I109" t="str">
        <f>CONCATENATE(I$2,": ",I$3,list1!I109,"]")</f>
        <v xml:space="preserve"> (Рабочий ток) Охлаждение: S[]</v>
      </c>
      <c r="J109" t="str">
        <f>CONCATENATE(J$2,": ",J$3,list1!J109,"]")</f>
        <v xml:space="preserve"> (Рабочий ток) Обогрев: S[]</v>
      </c>
      <c r="K109" t="str">
        <f>CONCATENATE(K$2,": ",K$3,list1!K109,"]")</f>
        <v xml:space="preserve"> (Рабочий ток) Напряжение / Частота источника питания: S[3 / 400 / 50]</v>
      </c>
      <c r="L109" t="str">
        <f>CONCATENATE(L$2,": ",L$3,list1!L109,"]")</f>
        <v xml:space="preserve"> (Рабочий ток) Хладагент: S[R410A]</v>
      </c>
      <c r="M109" t="str">
        <f>CONCATENATE(M$2,": ",M$3,list1!M109,"]")</f>
        <v xml:space="preserve"> (Рабочий ток) Количество хладагента: N[]</v>
      </c>
      <c r="N109" t="str">
        <f>CONCATENATE(N$2,": ",N$3,list1!N109,"]")</f>
        <v xml:space="preserve"> (Рабочий ток) Объем рециркулируемого воздуха внутреннего блока: S[]</v>
      </c>
      <c r="O109" t="str">
        <f>CONCATENATE(O$2,": ",O$3,list1!O109,"]")</f>
        <v xml:space="preserve"> (Внутренний блок) Размеры (Ш x Г x В): S[]</v>
      </c>
      <c r="P109" t="str">
        <f>CONCATENATE(P$2,": ",P$3,list1!P109,"]")</f>
        <v xml:space="preserve"> (Внутренний блок) Упаковка (Ш x Г x В): S[]</v>
      </c>
      <c r="Q109" t="str">
        <f>CONCATENATE(Q$2,": ",Q$3,list1!Q109,"]")</f>
        <v xml:space="preserve"> (Внутренний блок) Масса (нетто / брутто): S[]</v>
      </c>
      <c r="R109" t="str">
        <f>CONCATENATE(R$2,": ",R$3,list1!R109,"]")</f>
        <v xml:space="preserve"> (Внутренний блок) Уровень шума мин. / макс.: S[]</v>
      </c>
      <c r="S109" t="str">
        <f>CONCATENATE(S$2,": ",S$3,list1!S109,"]")</f>
        <v xml:space="preserve"> (Наружный блок) Марка компрессора: S[]</v>
      </c>
      <c r="T109" t="str">
        <f>CONCATENATE(T$2,": ",T$3,list1!T109,"]")</f>
        <v xml:space="preserve"> (Наружный блок) Размеры (Ш x Г x В): S[]</v>
      </c>
      <c r="U109" t="str">
        <f>CONCATENATE(U$2,": ",U$3,list1!U109,"]")</f>
        <v xml:space="preserve"> (Наружный блок) Упаковка (Ш x Г x В): S[]</v>
      </c>
      <c r="V109" t="str">
        <f>CONCATENATE(V$2,": ",V$3,list1!V109,"]")</f>
        <v xml:space="preserve"> (Наружный блок) Масса (нетто / брутто): S[]</v>
      </c>
      <c r="W109" t="str">
        <f>CONCATENATE(W$2,": ",W$3,list1!W109,"]")</f>
        <v xml:space="preserve"> (Наружный блок) Максимальный уровень шума: N[]</v>
      </c>
      <c r="X109" t="str">
        <f>CONCATENATE(X$2,": ",X$3,list1!X109,"]")</f>
        <v xml:space="preserve"> (Соединительные трубы) Жидкостная линия : N[12.7]</v>
      </c>
      <c r="Y109" t="str">
        <f>CONCATENATE(Y$2,": ",Y$3,list1!Y109,"]")</f>
        <v xml:space="preserve"> (Соединительные трубы) Газовая линия : N[25.4]</v>
      </c>
      <c r="Z109" t="str">
        <f>CONCATENATE(Z$2,": ",Z$3,list1!Z109,"]")</f>
        <v xml:space="preserve"> (Соединительные трубы) Максимальная длина трубопровода: N[100]</v>
      </c>
      <c r="AA109" t="str">
        <f>CONCATENATE(AA$2,": ",AA$3,list1!AA109,"]")</f>
        <v xml:space="preserve"> (Соединительные трубы) Максимальный перепад высот: S[30]</v>
      </c>
      <c r="AB109" t="str">
        <f>CONCATENATE(AB$2,": ",AB$3,list1!AB109,"]")</f>
        <v xml:space="preserve"> (Допустимая темп. наружного воздуха) Охлаждение: S[от -15 до +46]</v>
      </c>
      <c r="AC109" t="str">
        <f>CONCATENATE(AC$2,": ",AC$3,list1!AC109,"]")</f>
        <v xml:space="preserve"> (Допустимая темп. наружного воздуха) Обогрев: S[от -20 до +24]</v>
      </c>
      <c r="AD109" s="6" t="s">
        <v>5173</v>
      </c>
    </row>
    <row r="110" spans="1:30" x14ac:dyDescent="0.25">
      <c r="A110" t="str">
        <f>CONCATENATE(A$2,": ",A$3,list1!A110,"]")</f>
        <v>Производитель: E[FUJITSU]</v>
      </c>
      <c r="B110" t="str">
        <f>CONCATENATE(B$2,": ",B$3,list1!B110,"]")</f>
        <v xml:space="preserve"> Тип: S[Мульти сплит система]</v>
      </c>
      <c r="C110" t="str">
        <f>CONCATENATE(C$2,": ",C$3,list1!C110,"]")</f>
        <v xml:space="preserve"> (Сплит система) Холодопроизводительность: N[22]</v>
      </c>
      <c r="D110" t="str">
        <f>CONCATENATE(D$2,": ",D$3,list1!D110,"]")</f>
        <v xml:space="preserve"> (Сплит система) Площадь помещения: N[220]</v>
      </c>
      <c r="E110" t="str">
        <f>CONCATENATE(E$2,": ",E$3,list1!E110,"]")</f>
        <v xml:space="preserve"> (Сплит система) Инвентор: S[да]</v>
      </c>
      <c r="F110" t="str">
        <f>CONCATENATE(F$2,": ",F$3,list1!F110,"]")</f>
        <v xml:space="preserve"> (Сплит система) Теплопроизводительность: N[27]</v>
      </c>
      <c r="G110" t="str">
        <f>CONCATENATE(G$2,": ",G$3,list1!G110,"]")</f>
        <v xml:space="preserve"> (Потребляемая мощность) Охлаждение: N[7.24]</v>
      </c>
      <c r="H110" t="str">
        <f>CONCATENATE(H$2,": ",H$3,list1!H110,"]")</f>
        <v xml:space="preserve"> (Потребляемая мощность) Обогрев: S[7.65]</v>
      </c>
      <c r="I110" t="str">
        <f>CONCATENATE(I$2,": ",I$3,list1!I110,"]")</f>
        <v xml:space="preserve"> (Рабочий ток) Охлаждение: S[]</v>
      </c>
      <c r="J110" t="str">
        <f>CONCATENATE(J$2,": ",J$3,list1!J110,"]")</f>
        <v xml:space="preserve"> (Рабочий ток) Обогрев: S[]</v>
      </c>
      <c r="K110" t="str">
        <f>CONCATENATE(K$2,": ",K$3,list1!K110,"]")</f>
        <v xml:space="preserve"> (Рабочий ток) Напряжение / Частота источника питания: S[3 / 400 / 50]</v>
      </c>
      <c r="L110" t="str">
        <f>CONCATENATE(L$2,": ",L$3,list1!L110,"]")</f>
        <v xml:space="preserve"> (Рабочий ток) Хладагент: S[R410A]</v>
      </c>
      <c r="M110" t="str">
        <f>CONCATENATE(M$2,": ",M$3,list1!M110,"]")</f>
        <v xml:space="preserve"> (Рабочий ток) Количество хладагента: N[]</v>
      </c>
      <c r="N110" t="str">
        <f>CONCATENATE(N$2,": ",N$3,list1!N110,"]")</f>
        <v xml:space="preserve"> (Рабочий ток) Объем рециркулируемого воздуха внутреннего блока: S[]</v>
      </c>
      <c r="O110" t="str">
        <f>CONCATENATE(O$2,": ",O$3,list1!O110,"]")</f>
        <v xml:space="preserve"> (Внутренний блок) Размеры (Ш x Г x В): S[]</v>
      </c>
      <c r="P110" t="str">
        <f>CONCATENATE(P$2,": ",P$3,list1!P110,"]")</f>
        <v xml:space="preserve"> (Внутренний блок) Упаковка (Ш x Г x В): S[]</v>
      </c>
      <c r="Q110" t="str">
        <f>CONCATENATE(Q$2,": ",Q$3,list1!Q110,"]")</f>
        <v xml:space="preserve"> (Внутренний блок) Масса (нетто / брутто): S[]</v>
      </c>
      <c r="R110" t="str">
        <f>CONCATENATE(R$2,": ",R$3,list1!R110,"]")</f>
        <v xml:space="preserve"> (Внутренний блок) Уровень шума мин. / макс.: S[]</v>
      </c>
      <c r="S110" t="str">
        <f>CONCATENATE(S$2,": ",S$3,list1!S110,"]")</f>
        <v xml:space="preserve"> (Наружный блок) Марка компрессора: S[]</v>
      </c>
      <c r="T110" t="str">
        <f>CONCATENATE(T$2,": ",T$3,list1!T110,"]")</f>
        <v xml:space="preserve"> (Наружный блок) Размеры (Ш x Г x В): S[]</v>
      </c>
      <c r="U110" t="str">
        <f>CONCATENATE(U$2,": ",U$3,list1!U110,"]")</f>
        <v xml:space="preserve"> (Наружный блок) Упаковка (Ш x Г x В): S[]</v>
      </c>
      <c r="V110" t="str">
        <f>CONCATENATE(V$2,": ",V$3,list1!V110,"]")</f>
        <v xml:space="preserve"> (Наружный блок) Масса (нетто / брутто): S[]</v>
      </c>
      <c r="W110" t="str">
        <f>CONCATENATE(W$2,": ",W$3,list1!W110,"]")</f>
        <v xml:space="preserve"> (Наружный блок) Максимальный уровень шума: N[]</v>
      </c>
      <c r="X110" t="str">
        <f>CONCATENATE(X$2,": ",X$3,list1!X110,"]")</f>
        <v xml:space="preserve"> (Соединительные трубы) Жидкостная линия : N[12.7]</v>
      </c>
      <c r="Y110" t="str">
        <f>CONCATENATE(Y$2,": ",Y$3,list1!Y110,"]")</f>
        <v xml:space="preserve"> (Соединительные трубы) Газовая линия : N[25.4]</v>
      </c>
      <c r="Z110" t="str">
        <f>CONCATENATE(Z$2,": ",Z$3,list1!Z110,"]")</f>
        <v xml:space="preserve"> (Соединительные трубы) Максимальная длина трубопровода: N[100]</v>
      </c>
      <c r="AA110" t="str">
        <f>CONCATENATE(AA$2,": ",AA$3,list1!AA110,"]")</f>
        <v xml:space="preserve"> (Соединительные трубы) Максимальный перепад высот: S[30]</v>
      </c>
      <c r="AB110" t="str">
        <f>CONCATENATE(AB$2,": ",AB$3,list1!AB110,"]")</f>
        <v xml:space="preserve"> (Допустимая темп. наружного воздуха) Охлаждение: S[от -15 до +46]</v>
      </c>
      <c r="AC110" t="str">
        <f>CONCATENATE(AC$2,": ",AC$3,list1!AC110,"]")</f>
        <v xml:space="preserve"> (Допустимая темп. наружного воздуха) Обогрев: S[от -20 до +24]</v>
      </c>
      <c r="AD110" s="6" t="s">
        <v>5173</v>
      </c>
    </row>
    <row r="111" spans="1:30" x14ac:dyDescent="0.25">
      <c r="A111" t="str">
        <f>CONCATENATE(A$2,": ",A$3,list1!A111,"]")</f>
        <v>Производитель: E[FUJITSU]</v>
      </c>
      <c r="B111" t="str">
        <f>CONCATENATE(B$2,": ",B$3,list1!B111,"]")</f>
        <v xml:space="preserve"> Тип: S[Канальные]</v>
      </c>
      <c r="C111" t="str">
        <f>CONCATENATE(C$2,": ",C$3,list1!C111,"]")</f>
        <v xml:space="preserve"> (Сплит система) Холодопроизводительность: N[6.8]</v>
      </c>
      <c r="D111" t="str">
        <f>CONCATENATE(D$2,": ",D$3,list1!D111,"]")</f>
        <v xml:space="preserve"> (Сплит система) Площадь помещения: N[68]</v>
      </c>
      <c r="E111" t="str">
        <f>CONCATENATE(E$2,": ",E$3,list1!E111,"]")</f>
        <v xml:space="preserve"> (Сплит система) Инвентор: S[да]</v>
      </c>
      <c r="F111" t="str">
        <f>CONCATENATE(F$2,": ",F$3,list1!F111,"]")</f>
        <v xml:space="preserve"> (Сплит система) Теплопроизводительность: N[8]</v>
      </c>
      <c r="G111" t="str">
        <f>CONCATENATE(G$2,": ",G$3,list1!G111,"]")</f>
        <v xml:space="preserve"> (Потребляемая мощность) Охлаждение: N[2.21]</v>
      </c>
      <c r="H111" t="str">
        <f>CONCATENATE(H$2,": ",H$3,list1!H111,"]")</f>
        <v xml:space="preserve"> (Потребляемая мощность) Обогрев: S[2.26]</v>
      </c>
      <c r="I111" t="str">
        <f>CONCATENATE(I$2,": ",I$3,list1!I111,"]")</f>
        <v xml:space="preserve"> (Рабочий ток) Охлаждение: S[]</v>
      </c>
      <c r="J111" t="str">
        <f>CONCATENATE(J$2,": ",J$3,list1!J111,"]")</f>
        <v xml:space="preserve"> (Рабочий ток) Обогрев: S[]</v>
      </c>
      <c r="K111" t="str">
        <f>CONCATENATE(K$2,": ",K$3,list1!K111,"]")</f>
        <v xml:space="preserve"> (Рабочий ток) Напряжение / Частота источника питания: S[1 / 230 / 50]</v>
      </c>
      <c r="L111" t="str">
        <f>CONCATENATE(L$2,": ",L$3,list1!L111,"]")</f>
        <v xml:space="preserve"> (Рабочий ток) Хладагент: S[R410A]</v>
      </c>
      <c r="M111" t="str">
        <f>CONCATENATE(M$2,": ",M$3,list1!M111,"]")</f>
        <v xml:space="preserve"> (Рабочий ток) Количество хладагента: N[]</v>
      </c>
      <c r="N111" t="str">
        <f>CONCATENATE(N$2,": ",N$3,list1!N111,"]")</f>
        <v xml:space="preserve"> (Рабочий ток) Объем рециркулируемого воздуха внутреннего блока: S[]</v>
      </c>
      <c r="O111" t="str">
        <f>CONCATENATE(O$2,": ",O$3,list1!O111,"]")</f>
        <v xml:space="preserve"> (Внутренний блок) Размеры (Ш x Г x В): S[1135 х 700 х 270]</v>
      </c>
      <c r="P111" t="str">
        <f>CONCATENATE(P$2,": ",P$3,list1!P111,"]")</f>
        <v xml:space="preserve"> (Внутренний блок) Упаковка (Ш x Г x В): S[1320 х 790 х 300]</v>
      </c>
      <c r="Q111" t="str">
        <f>CONCATENATE(Q$2,": ",Q$3,list1!Q111,"]")</f>
        <v xml:space="preserve"> (Внутренний блок) Масса (нетто / брутто): S[38 / 44]</v>
      </c>
      <c r="R111" t="str">
        <f>CONCATENATE(R$2,": ",R$3,list1!R111,"]")</f>
        <v xml:space="preserve"> (Внутренний блок) Уровень шума мин. / макс.: S[]</v>
      </c>
      <c r="S111" t="str">
        <f>CONCATENATE(S$2,": ",S$3,list1!S111,"]")</f>
        <v xml:space="preserve"> (Наружный блок) Марка компрессора: S[]</v>
      </c>
      <c r="T111" t="str">
        <f>CONCATENATE(T$2,": ",T$3,list1!T111,"]")</f>
        <v xml:space="preserve"> (Наружный блок) Размеры (Ш x Г x В): S[1135 х 700 х 270]</v>
      </c>
      <c r="U111" t="str">
        <f>CONCATENATE(U$2,": ",U$3,list1!U111,"]")</f>
        <v xml:space="preserve"> (Наружный блок) Упаковка (Ш x Г x В): S[1320 х 790 х 300]</v>
      </c>
      <c r="V111" t="str">
        <f>CONCATENATE(V$2,": ",V$3,list1!V111,"]")</f>
        <v xml:space="preserve"> (Наружный блок) Масса (нетто / брутто): S[38 / 44]</v>
      </c>
      <c r="W111" t="str">
        <f>CONCATENATE(W$2,": ",W$3,list1!W111,"]")</f>
        <v xml:space="preserve"> (Наружный блок) Максимальный уровень шума: N[]</v>
      </c>
      <c r="X111" t="str">
        <f>CONCATENATE(X$2,": ",X$3,list1!X111,"]")</f>
        <v xml:space="preserve"> (Соединительные трубы) Жидкостная линия : N[6.35]</v>
      </c>
      <c r="Y111" t="str">
        <f>CONCATENATE(Y$2,": ",Y$3,list1!Y111,"]")</f>
        <v xml:space="preserve"> (Соединительные трубы) Газовая линия : N[15.88]</v>
      </c>
      <c r="Z111" t="str">
        <f>CONCATENATE(Z$2,": ",Z$3,list1!Z111,"]")</f>
        <v xml:space="preserve"> (Соединительные трубы) Максимальная длина трубопровода: N[30]</v>
      </c>
      <c r="AA111" t="str">
        <f>CONCATENATE(AA$2,": ",AA$3,list1!AA111,"]")</f>
        <v xml:space="preserve"> (Соединительные трубы) Максимальный перепад высот: S[20]</v>
      </c>
      <c r="AB111" t="str">
        <f>CONCATENATE(AB$2,": ",AB$3,list1!AB111,"]")</f>
        <v xml:space="preserve"> (Допустимая темп. наружного воздуха) Охлаждение: S[]</v>
      </c>
      <c r="AC111" t="str">
        <f>CONCATENATE(AC$2,": ",AC$3,list1!AC111,"]")</f>
        <v xml:space="preserve"> (Допустимая темп. наружного воздуха) Обогрев: S[]</v>
      </c>
      <c r="AD111" s="6" t="s">
        <v>5172</v>
      </c>
    </row>
    <row r="112" spans="1:30" x14ac:dyDescent="0.25">
      <c r="A112" t="str">
        <f>CONCATENATE(A$2,": ",A$3,list1!A112,"]")</f>
        <v>Производитель: E[FUJITSU]</v>
      </c>
      <c r="B112" t="str">
        <f>CONCATENATE(B$2,": ",B$3,list1!B112,"]")</f>
        <v xml:space="preserve"> Тип: S[Канальные]</v>
      </c>
      <c r="C112" t="str">
        <f>CONCATENATE(C$2,": ",C$3,list1!C112,"]")</f>
        <v xml:space="preserve"> (Сплит система) Холодопроизводительность: N[6.25]</v>
      </c>
      <c r="D112" t="str">
        <f>CONCATENATE(D$2,": ",D$3,list1!D112,"]")</f>
        <v xml:space="preserve"> (Сплит система) Площадь помещения: N[63]</v>
      </c>
      <c r="E112" t="str">
        <f>CONCATENATE(E$2,": ",E$3,list1!E112,"]")</f>
        <v xml:space="preserve"> (Сплит система) Инвентор: S[да]</v>
      </c>
      <c r="F112" t="str">
        <f>CONCATENATE(F$2,": ",F$3,list1!F112,"]")</f>
        <v xml:space="preserve"> (Сплит система) Теплопроизводительность: N[7]</v>
      </c>
      <c r="G112" t="str">
        <f>CONCATENATE(G$2,": ",G$3,list1!G112,"]")</f>
        <v xml:space="preserve"> (Потребляемая мощность) Охлаждение: N[0.106]</v>
      </c>
      <c r="H112" t="str">
        <f>CONCATENATE(H$2,": ",H$3,list1!H112,"]")</f>
        <v xml:space="preserve"> (Потребляемая мощность) Обогрев: S[0.11]</v>
      </c>
      <c r="I112" t="str">
        <f>CONCATENATE(I$2,": ",I$3,list1!I112,"]")</f>
        <v xml:space="preserve"> (Рабочий ток) Охлаждение: S[]</v>
      </c>
      <c r="J112" t="str">
        <f>CONCATENATE(J$2,": ",J$3,list1!J112,"]")</f>
        <v xml:space="preserve"> (Рабочий ток) Обогрев: S[]</v>
      </c>
      <c r="K112" t="str">
        <f>CONCATENATE(K$2,": ",K$3,list1!K112,"]")</f>
        <v xml:space="preserve"> (Рабочий ток) Напряжение / Частота источника питания: S[1 / 220 / 50]</v>
      </c>
      <c r="L112" t="str">
        <f>CONCATENATE(L$2,": ",L$3,list1!L112,"]")</f>
        <v xml:space="preserve"> (Рабочий ток) Хладагент: S[R410A]</v>
      </c>
      <c r="M112" t="str">
        <f>CONCATENATE(M$2,": ",M$3,list1!M112,"]")</f>
        <v xml:space="preserve"> (Рабочий ток) Количество хладагента: N[]</v>
      </c>
      <c r="N112" t="str">
        <f>CONCATENATE(N$2,": ",N$3,list1!N112,"]")</f>
        <v xml:space="preserve"> (Рабочий ток) Объем рециркулируемого воздуха внутреннего блока: S[]</v>
      </c>
      <c r="O112" t="str">
        <f>CONCATENATE(O$2,": ",O$3,list1!O112,"]")</f>
        <v xml:space="preserve"> (Внутренний блок) Размеры (Ш x Г x В): S[1135 х 700 х 270]</v>
      </c>
      <c r="P112" t="str">
        <f>CONCATENATE(P$2,": ",P$3,list1!P112,"]")</f>
        <v xml:space="preserve"> (Внутренний блок) Упаковка (Ш x Г x В): S[1320 х 790 х 300]</v>
      </c>
      <c r="Q112" t="str">
        <f>CONCATENATE(Q$2,": ",Q$3,list1!Q112,"]")</f>
        <v xml:space="preserve"> (Внутренний блок) Масса (нетто / брутто): S[38 / 44]</v>
      </c>
      <c r="R112" t="str">
        <f>CONCATENATE(R$2,": ",R$3,list1!R112,"]")</f>
        <v xml:space="preserve"> (Внутренний блок) Уровень шума мин. / макс.: S[]</v>
      </c>
      <c r="S112" t="str">
        <f>CONCATENATE(S$2,": ",S$3,list1!S112,"]")</f>
        <v xml:space="preserve"> (Наружный блок) Марка компрессора: S[]</v>
      </c>
      <c r="T112" t="str">
        <f>CONCATENATE(T$2,": ",T$3,list1!T112,"]")</f>
        <v xml:space="preserve"> (Наружный блок) Размеры (Ш x Г x В): S[1135 х 700 х 270]</v>
      </c>
      <c r="U112" t="str">
        <f>CONCATENATE(U$2,": ",U$3,list1!U112,"]")</f>
        <v xml:space="preserve"> (Наружный блок) Упаковка (Ш x Г x В): S[1320 х 790 х 300]</v>
      </c>
      <c r="V112" t="str">
        <f>CONCATENATE(V$2,": ",V$3,list1!V112,"]")</f>
        <v xml:space="preserve"> (Наружный блок) Масса (нетто / брутто): S[38 / 44]</v>
      </c>
      <c r="W112" t="str">
        <f>CONCATENATE(W$2,": ",W$3,list1!W112,"]")</f>
        <v xml:space="preserve"> (Наружный блок) Максимальный уровень шума: N[]</v>
      </c>
      <c r="X112" t="str">
        <f>CONCATENATE(X$2,": ",X$3,list1!X112,"]")</f>
        <v xml:space="preserve"> (Соединительные трубы) Жидкостная линия : N[6.35]</v>
      </c>
      <c r="Y112" t="str">
        <f>CONCATENATE(Y$2,": ",Y$3,list1!Y112,"]")</f>
        <v xml:space="preserve"> (Соединительные трубы) Газовая линия : N[15.88]</v>
      </c>
      <c r="Z112" t="str">
        <f>CONCATENATE(Z$2,": ",Z$3,list1!Z112,"]")</f>
        <v xml:space="preserve"> (Соединительные трубы) Максимальная длина трубопровода: N[]</v>
      </c>
      <c r="AA112" t="str">
        <f>CONCATENATE(AA$2,": ",AA$3,list1!AA112,"]")</f>
        <v xml:space="preserve"> (Соединительные трубы) Максимальный перепад высот: S[]</v>
      </c>
      <c r="AB112" t="str">
        <f>CONCATENATE(AB$2,": ",AB$3,list1!AB112,"]")</f>
        <v xml:space="preserve"> (Допустимая темп. наружного воздуха) Охлаждение: S[]</v>
      </c>
      <c r="AC112" t="str">
        <f>CONCATENATE(AC$2,": ",AC$3,list1!AC112,"]")</f>
        <v xml:space="preserve"> (Допустимая темп. наружного воздуха) Обогрев: S[]</v>
      </c>
      <c r="AD112" s="6" t="s">
        <v>5172</v>
      </c>
    </row>
    <row r="113" spans="1:30" x14ac:dyDescent="0.25">
      <c r="A113" t="str">
        <f>CONCATENATE(A$2,": ",A$3,list1!A113,"]")</f>
        <v>Производитель: E[FUJITSU]</v>
      </c>
      <c r="B113" t="str">
        <f>CONCATENATE(B$2,": ",B$3,list1!B113,"]")</f>
        <v xml:space="preserve"> Тип: S[Канальные]</v>
      </c>
      <c r="C113" t="str">
        <f>CONCATENATE(C$2,": ",C$3,list1!C113,"]")</f>
        <v xml:space="preserve"> (Сплит система) Холодопроизводительность: N[2]</v>
      </c>
      <c r="D113" t="str">
        <f>CONCATENATE(D$2,": ",D$3,list1!D113,"]")</f>
        <v xml:space="preserve"> (Сплит система) Площадь помещения: N[20]</v>
      </c>
      <c r="E113" t="str">
        <f>CONCATENATE(E$2,": ",E$3,list1!E113,"]")</f>
        <v xml:space="preserve"> (Сплит система) Инвентор: S[да]</v>
      </c>
      <c r="F113" t="str">
        <f>CONCATENATE(F$2,": ",F$3,list1!F113,"]")</f>
        <v xml:space="preserve"> (Сплит система) Теплопроизводительность: N[]</v>
      </c>
      <c r="G113" t="str">
        <f>CONCATENATE(G$2,": ",G$3,list1!G113,"]")</f>
        <v xml:space="preserve"> (Потребляемая мощность) Охлаждение: N[0.033]</v>
      </c>
      <c r="H113" t="str">
        <f>CONCATENATE(H$2,": ",H$3,list1!H113,"]")</f>
        <v xml:space="preserve"> (Потребляемая мощность) Обогрев: S[0.033]</v>
      </c>
      <c r="I113" t="str">
        <f>CONCATENATE(I$2,": ",I$3,list1!I113,"]")</f>
        <v xml:space="preserve"> (Рабочий ток) Охлаждение: S[]</v>
      </c>
      <c r="J113" t="str">
        <f>CONCATENATE(J$2,": ",J$3,list1!J113,"]")</f>
        <v xml:space="preserve"> (Рабочий ток) Обогрев: S[]</v>
      </c>
      <c r="K113" t="str">
        <f>CONCATENATE(K$2,": ",K$3,list1!K113,"]")</f>
        <v xml:space="preserve"> (Рабочий ток) Напряжение / Частота источника питания: S[1 / 230 / 50]</v>
      </c>
      <c r="L113" t="str">
        <f>CONCATENATE(L$2,": ",L$3,list1!L113,"]")</f>
        <v xml:space="preserve"> (Рабочий ток) Хладагент: S[R32]</v>
      </c>
      <c r="M113" t="str">
        <f>CONCATENATE(M$2,": ",M$3,list1!M113,"]")</f>
        <v xml:space="preserve"> (Рабочий ток) Количество хладагента: N[]</v>
      </c>
      <c r="N113" t="str">
        <f>CONCATENATE(N$2,": ",N$3,list1!N113,"]")</f>
        <v xml:space="preserve"> (Рабочий ток) Объем рециркулируемого воздуха внутреннего блока: S[]</v>
      </c>
      <c r="O113" t="str">
        <f>CONCATENATE(O$2,": ",O$3,list1!O113,"]")</f>
        <v xml:space="preserve"> (Внутренний блок) Размеры (Ш x Г x В): S[700 х 620 х 198]</v>
      </c>
      <c r="P113" t="str">
        <f>CONCATENATE(P$2,": ",P$3,list1!P113,"]")</f>
        <v xml:space="preserve"> (Внутренний блок) Упаковка (Ш x Г x В): S[968 х 772 х 276]</v>
      </c>
      <c r="Q113" t="str">
        <f>CONCATENATE(Q$2,": ",Q$3,list1!Q113,"]")</f>
        <v xml:space="preserve"> (Внутренний блок) Масса (нетто / брутто): S[16 / 21]</v>
      </c>
      <c r="R113" t="str">
        <f>CONCATENATE(R$2,": ",R$3,list1!R113,"]")</f>
        <v xml:space="preserve"> (Внутренний блок) Уровень шума мин. / макс.: S[28/26/25/24]</v>
      </c>
      <c r="S113" t="str">
        <f>CONCATENATE(S$2,": ",S$3,list1!S113,"]")</f>
        <v xml:space="preserve"> (Наружный блок) Марка компрессора: S[]</v>
      </c>
      <c r="T113" t="str">
        <f>CONCATENATE(T$2,": ",T$3,list1!T113,"]")</f>
        <v xml:space="preserve"> (Наружный блок) Размеры (Ш x Г x В): S[700 х 620 х 198]</v>
      </c>
      <c r="U113" t="str">
        <f>CONCATENATE(U$2,": ",U$3,list1!U113,"]")</f>
        <v xml:space="preserve"> (Наружный блок) Упаковка (Ш x Г x В): S[968 х 772 х 276]</v>
      </c>
      <c r="V113" t="str">
        <f>CONCATENATE(V$2,": ",V$3,list1!V113,"]")</f>
        <v xml:space="preserve"> (Наружный блок) Масса (нетто / брутто): S[16 / 21]</v>
      </c>
      <c r="W113" t="str">
        <f>CONCATENATE(W$2,": ",W$3,list1!W113,"]")</f>
        <v xml:space="preserve"> (Наружный блок) Максимальный уровень шума: N[]</v>
      </c>
      <c r="X113" t="str">
        <f>CONCATENATE(X$2,": ",X$3,list1!X113,"]")</f>
        <v xml:space="preserve"> (Соединительные трубы) Жидкостная линия : N[6.35]</v>
      </c>
      <c r="Y113" t="str">
        <f>CONCATENATE(Y$2,": ",Y$3,list1!Y113,"]")</f>
        <v xml:space="preserve"> (Соединительные трубы) Газовая линия : N[9.52]</v>
      </c>
      <c r="Z113" t="str">
        <f>CONCATENATE(Z$2,": ",Z$3,list1!Z113,"]")</f>
        <v xml:space="preserve"> (Соединительные трубы) Максимальная длина трубопровода: N[]</v>
      </c>
      <c r="AA113" t="str">
        <f>CONCATENATE(AA$2,": ",AA$3,list1!AA113,"]")</f>
        <v xml:space="preserve"> (Соединительные трубы) Максимальный перепад высот: S[]</v>
      </c>
      <c r="AB113" t="str">
        <f>CONCATENATE(AB$2,": ",AB$3,list1!AB113,"]")</f>
        <v xml:space="preserve"> (Допустимая темп. наружного воздуха) Охлаждение: S[]</v>
      </c>
      <c r="AC113" t="str">
        <f>CONCATENATE(AC$2,": ",AC$3,list1!AC113,"]")</f>
        <v xml:space="preserve"> (Допустимая темп. наружного воздуха) Обогрев: S[]</v>
      </c>
      <c r="AD113" s="6" t="s">
        <v>5172</v>
      </c>
    </row>
    <row r="114" spans="1:30" x14ac:dyDescent="0.25">
      <c r="A114" t="str">
        <f>CONCATENATE(A$2,": ",A$3,list1!A114,"]")</f>
        <v>Производитель: E[FUJITSU]</v>
      </c>
      <c r="B114" t="str">
        <f>CONCATENATE(B$2,": ",B$3,list1!B114,"]")</f>
        <v xml:space="preserve"> Тип: S[Канальные]</v>
      </c>
      <c r="C114" t="str">
        <f>CONCATENATE(C$2,": ",C$3,list1!C114,"]")</f>
        <v xml:space="preserve"> (Сплит система) Холодопроизводительность: N[2]</v>
      </c>
      <c r="D114" t="str">
        <f>CONCATENATE(D$2,": ",D$3,list1!D114,"]")</f>
        <v xml:space="preserve"> (Сплит система) Площадь помещения: N[20]</v>
      </c>
      <c r="E114" t="str">
        <f>CONCATENATE(E$2,": ",E$3,list1!E114,"]")</f>
        <v xml:space="preserve"> (Сплит система) Инвентор: S[да]</v>
      </c>
      <c r="F114" t="str">
        <f>CONCATENATE(F$2,": ",F$3,list1!F114,"]")</f>
        <v xml:space="preserve"> (Сплит система) Теплопроизводительность: N[2]</v>
      </c>
      <c r="G114" t="str">
        <f>CONCATENATE(G$2,": ",G$3,list1!G114,"]")</f>
        <v xml:space="preserve"> (Потребляемая мощность) Охлаждение: N[0.033]</v>
      </c>
      <c r="H114" t="str">
        <f>CONCATENATE(H$2,": ",H$3,list1!H114,"]")</f>
        <v xml:space="preserve"> (Потребляемая мощность) Обогрев: S[0.033]</v>
      </c>
      <c r="I114" t="str">
        <f>CONCATENATE(I$2,": ",I$3,list1!I114,"]")</f>
        <v xml:space="preserve"> (Рабочий ток) Охлаждение: S[]</v>
      </c>
      <c r="J114" t="str">
        <f>CONCATENATE(J$2,": ",J$3,list1!J114,"]")</f>
        <v xml:space="preserve"> (Рабочий ток) Обогрев: S[]</v>
      </c>
      <c r="K114" t="str">
        <f>CONCATENATE(K$2,": ",K$3,list1!K114,"]")</f>
        <v xml:space="preserve"> (Рабочий ток) Напряжение / Частота источника питания: S[1 / 220 / 50]</v>
      </c>
      <c r="L114" t="str">
        <f>CONCATENATE(L$2,": ",L$3,list1!L114,"]")</f>
        <v xml:space="preserve"> (Рабочий ток) Хладагент: S[R410A]</v>
      </c>
      <c r="M114" t="str">
        <f>CONCATENATE(M$2,": ",M$3,list1!M114,"]")</f>
        <v xml:space="preserve"> (Рабочий ток) Количество хладагента: N[]</v>
      </c>
      <c r="N114" t="str">
        <f>CONCATENATE(N$2,": ",N$3,list1!N114,"]")</f>
        <v xml:space="preserve"> (Рабочий ток) Объем рециркулируемого воздуха внутреннего блока: S[]</v>
      </c>
      <c r="O114" t="str">
        <f>CONCATENATE(O$2,": ",O$3,list1!O114,"]")</f>
        <v xml:space="preserve"> (Внутренний блок) Размеры (Ш x Г x В): S[700 х 620 х 198]</v>
      </c>
      <c r="P114" t="str">
        <f>CONCATENATE(P$2,": ",P$3,list1!P114,"]")</f>
        <v xml:space="preserve"> (Внутренний блок) Упаковка (Ш x Г x В): S[968 х 772 х 276]</v>
      </c>
      <c r="Q114" t="str">
        <f>CONCATENATE(Q$2,": ",Q$3,list1!Q114,"]")</f>
        <v xml:space="preserve"> (Внутренний блок) Масса (нетто / брутто): S[17 / 24]</v>
      </c>
      <c r="R114" t="str">
        <f>CONCATENATE(R$2,": ",R$3,list1!R114,"]")</f>
        <v xml:space="preserve"> (Внутренний блок) Уровень шума мин. / макс.: S[28/26/25/24]</v>
      </c>
      <c r="S114" t="str">
        <f>CONCATENATE(S$2,": ",S$3,list1!S114,"]")</f>
        <v xml:space="preserve"> (Наружный блок) Марка компрессора: S[]</v>
      </c>
      <c r="T114" t="str">
        <f>CONCATENATE(T$2,": ",T$3,list1!T114,"]")</f>
        <v xml:space="preserve"> (Наружный блок) Размеры (Ш x Г x В): S[700 х 620 х 198]</v>
      </c>
      <c r="U114" t="str">
        <f>CONCATENATE(U$2,": ",U$3,list1!U114,"]")</f>
        <v xml:space="preserve"> (Наружный блок) Упаковка (Ш x Г x В): S[968 х 772 х 276]</v>
      </c>
      <c r="V114" t="str">
        <f>CONCATENATE(V$2,": ",V$3,list1!V114,"]")</f>
        <v xml:space="preserve"> (Наружный блок) Масса (нетто / брутто): S[17 / 24]</v>
      </c>
      <c r="W114" t="str">
        <f>CONCATENATE(W$2,": ",W$3,list1!W114,"]")</f>
        <v xml:space="preserve"> (Наружный блок) Максимальный уровень шума: N[]</v>
      </c>
      <c r="X114" t="str">
        <f>CONCATENATE(X$2,": ",X$3,list1!X114,"]")</f>
        <v xml:space="preserve"> (Соединительные трубы) Жидкостная линия : N[6.35]</v>
      </c>
      <c r="Y114" t="str">
        <f>CONCATENATE(Y$2,": ",Y$3,list1!Y114,"]")</f>
        <v xml:space="preserve"> (Соединительные трубы) Газовая линия : N[9.52]</v>
      </c>
      <c r="Z114" t="str">
        <f>CONCATENATE(Z$2,": ",Z$3,list1!Z114,"]")</f>
        <v xml:space="preserve"> (Соединительные трубы) Максимальная длина трубопровода: N[]</v>
      </c>
      <c r="AA114" t="str">
        <f>CONCATENATE(AA$2,": ",AA$3,list1!AA114,"]")</f>
        <v xml:space="preserve"> (Соединительные трубы) Максимальный перепад высот: S[]</v>
      </c>
      <c r="AB114" t="str">
        <f>CONCATENATE(AB$2,": ",AB$3,list1!AB114,"]")</f>
        <v xml:space="preserve"> (Допустимая темп. наружного воздуха) Охлаждение: S[]</v>
      </c>
      <c r="AC114" t="str">
        <f>CONCATENATE(AC$2,": ",AC$3,list1!AC114,"]")</f>
        <v xml:space="preserve"> (Допустимая темп. наружного воздуха) Обогрев: S[]</v>
      </c>
      <c r="AD114" s="6" t="s">
        <v>5172</v>
      </c>
    </row>
    <row r="115" spans="1:30" x14ac:dyDescent="0.25">
      <c r="A115" t="str">
        <f>CONCATENATE(A$2,": ",A$3,list1!A115,"]")</f>
        <v>Производитель: E[FUJITSU]</v>
      </c>
      <c r="B115" t="str">
        <f>CONCATENATE(B$2,": ",B$3,list1!B115,"]")</f>
        <v xml:space="preserve"> Тип: S[Канальные]</v>
      </c>
      <c r="C115" t="str">
        <f>CONCATENATE(C$2,": ",C$3,list1!C115,"]")</f>
        <v xml:space="preserve"> (Сплит система) Холодопроизводительность: N[2.5]</v>
      </c>
      <c r="D115" t="str">
        <f>CONCATENATE(D$2,": ",D$3,list1!D115,"]")</f>
        <v xml:space="preserve"> (Сплит система) Площадь помещения: N[25]</v>
      </c>
      <c r="E115" t="str">
        <f>CONCATENATE(E$2,": ",E$3,list1!E115,"]")</f>
        <v xml:space="preserve"> (Сплит система) Инвентор: S[да]</v>
      </c>
      <c r="F115" t="str">
        <f>CONCATENATE(F$2,": ",F$3,list1!F115,"]")</f>
        <v xml:space="preserve"> (Сплит система) Теплопроизводительность: N[2.5]</v>
      </c>
      <c r="G115" t="str">
        <f>CONCATENATE(G$2,": ",G$3,list1!G115,"]")</f>
        <v xml:space="preserve"> (Потребляемая мощность) Охлаждение: N[0.049]</v>
      </c>
      <c r="H115" t="str">
        <f>CONCATENATE(H$2,": ",H$3,list1!H115,"]")</f>
        <v xml:space="preserve"> (Потребляемая мощность) Обогрев: S[0.049]</v>
      </c>
      <c r="I115" t="str">
        <f>CONCATENATE(I$2,": ",I$3,list1!I115,"]")</f>
        <v xml:space="preserve"> (Рабочий ток) Охлаждение: S[]</v>
      </c>
      <c r="J115" t="str">
        <f>CONCATENATE(J$2,": ",J$3,list1!J115,"]")</f>
        <v xml:space="preserve"> (Рабочий ток) Обогрев: S[]</v>
      </c>
      <c r="K115" t="str">
        <f>CONCATENATE(K$2,": ",K$3,list1!K115,"]")</f>
        <v xml:space="preserve"> (Рабочий ток) Напряжение / Частота источника питания: S[1 / 230 / 50]</v>
      </c>
      <c r="L115" t="str">
        <f>CONCATENATE(L$2,": ",L$3,list1!L115,"]")</f>
        <v xml:space="preserve"> (Рабочий ток) Хладагент: S[R410A]</v>
      </c>
      <c r="M115" t="str">
        <f>CONCATENATE(M$2,": ",M$3,list1!M115,"]")</f>
        <v xml:space="preserve"> (Рабочий ток) Количество хладагента: N[]</v>
      </c>
      <c r="N115" t="str">
        <f>CONCATENATE(N$2,": ",N$3,list1!N115,"]")</f>
        <v xml:space="preserve"> (Рабочий ток) Объем рециркулируемого воздуха внутреннего блока: S[]</v>
      </c>
      <c r="O115" t="str">
        <f>CONCATENATE(O$2,": ",O$3,list1!O115,"]")</f>
        <v xml:space="preserve"> (Внутренний блок) Размеры (Ш x Г x В): S[700 х 620 х 198]</v>
      </c>
      <c r="P115" t="str">
        <f>CONCATENATE(P$2,": ",P$3,list1!P115,"]")</f>
        <v xml:space="preserve"> (Внутренний блок) Упаковка (Ш x Г x В): S[968 х 772 х 276]</v>
      </c>
      <c r="Q115" t="str">
        <f>CONCATENATE(Q$2,": ",Q$3,list1!Q115,"]")</f>
        <v xml:space="preserve"> (Внутренний блок) Масса (нетто / брутто): S[19 / 26]</v>
      </c>
      <c r="R115" t="str">
        <f>CONCATENATE(R$2,": ",R$3,list1!R115,"]")</f>
        <v xml:space="preserve"> (Внутренний блок) Уровень шума мин. / макс.: S[28/27/26/25]</v>
      </c>
      <c r="S115" t="str">
        <f>CONCATENATE(S$2,": ",S$3,list1!S115,"]")</f>
        <v xml:space="preserve"> (Наружный блок) Марка компрессора: S[]</v>
      </c>
      <c r="T115" t="str">
        <f>CONCATENATE(T$2,": ",T$3,list1!T115,"]")</f>
        <v xml:space="preserve"> (Наружный блок) Размеры (Ш x Г x В): S[700 х 620 х 198]</v>
      </c>
      <c r="U115" t="str">
        <f>CONCATENATE(U$2,": ",U$3,list1!U115,"]")</f>
        <v xml:space="preserve"> (Наружный блок) Упаковка (Ш x Г x В): S[968 х 772 х 276]</v>
      </c>
      <c r="V115" t="str">
        <f>CONCATENATE(V$2,": ",V$3,list1!V115,"]")</f>
        <v xml:space="preserve"> (Наружный блок) Масса (нетто / брутто): S[19 / 26]</v>
      </c>
      <c r="W115" t="str">
        <f>CONCATENATE(W$2,": ",W$3,list1!W115,"]")</f>
        <v xml:space="preserve"> (Наружный блок) Максимальный уровень шума: N[]</v>
      </c>
      <c r="X115" t="str">
        <f>CONCATENATE(X$2,": ",X$3,list1!X115,"]")</f>
        <v xml:space="preserve"> (Соединительные трубы) Жидкостная линия : N[6.35]</v>
      </c>
      <c r="Y115" t="str">
        <f>CONCATENATE(Y$2,": ",Y$3,list1!Y115,"]")</f>
        <v xml:space="preserve"> (Соединительные трубы) Газовая линия : N[9.52]</v>
      </c>
      <c r="Z115" t="str">
        <f>CONCATENATE(Z$2,": ",Z$3,list1!Z115,"]")</f>
        <v xml:space="preserve"> (Соединительные трубы) Максимальная длина трубопровода: N[]</v>
      </c>
      <c r="AA115" t="str">
        <f>CONCATENATE(AA$2,": ",AA$3,list1!AA115,"]")</f>
        <v xml:space="preserve"> (Соединительные трубы) Максимальный перепад высот: S[]</v>
      </c>
      <c r="AB115" t="str">
        <f>CONCATENATE(AB$2,": ",AB$3,list1!AB115,"]")</f>
        <v xml:space="preserve"> (Допустимая темп. наружного воздуха) Охлаждение: S[]</v>
      </c>
      <c r="AC115" t="str">
        <f>CONCATENATE(AC$2,": ",AC$3,list1!AC115,"]")</f>
        <v xml:space="preserve"> (Допустимая темп. наружного воздуха) Обогрев: S[]</v>
      </c>
      <c r="AD115" s="6" t="s">
        <v>5172</v>
      </c>
    </row>
    <row r="116" spans="1:30" x14ac:dyDescent="0.25">
      <c r="A116" t="str">
        <f>CONCATENATE(A$2,": ",A$3,list1!A116,"]")</f>
        <v>Производитель: E[FUJITSU]</v>
      </c>
      <c r="B116" t="str">
        <f>CONCATENATE(B$2,": ",B$3,list1!B116,"]")</f>
        <v xml:space="preserve"> Тип: S[Канальные]</v>
      </c>
      <c r="C116" t="str">
        <f>CONCATENATE(C$2,": ",C$3,list1!C116,"]")</f>
        <v xml:space="preserve"> (Сплит система) Холодопроизводительность: N[3.5]</v>
      </c>
      <c r="D116" t="str">
        <f>CONCATENATE(D$2,": ",D$3,list1!D116,"]")</f>
        <v xml:space="preserve"> (Сплит система) Площадь помещения: N[35]</v>
      </c>
      <c r="E116" t="str">
        <f>CONCATENATE(E$2,": ",E$3,list1!E116,"]")</f>
        <v xml:space="preserve"> (Сплит система) Инвентор: S[да]</v>
      </c>
      <c r="F116" t="str">
        <f>CONCATENATE(F$2,": ",F$3,list1!F116,"]")</f>
        <v xml:space="preserve"> (Сплит система) Теплопроизводительность: N[3.5]</v>
      </c>
      <c r="G116" t="str">
        <f>CONCATENATE(G$2,": ",G$3,list1!G116,"]")</f>
        <v xml:space="preserve"> (Потребляемая мощность) Охлаждение: N[0.058]</v>
      </c>
      <c r="H116" t="str">
        <f>CONCATENATE(H$2,": ",H$3,list1!H116,"]")</f>
        <v xml:space="preserve"> (Потребляемая мощность) Обогрев: S[0.058]</v>
      </c>
      <c r="I116" t="str">
        <f>CONCATENATE(I$2,": ",I$3,list1!I116,"]")</f>
        <v xml:space="preserve"> (Рабочий ток) Охлаждение: S[]</v>
      </c>
      <c r="J116" t="str">
        <f>CONCATENATE(J$2,": ",J$3,list1!J116,"]")</f>
        <v xml:space="preserve"> (Рабочий ток) Обогрев: S[]</v>
      </c>
      <c r="K116" t="str">
        <f>CONCATENATE(K$2,": ",K$3,list1!K116,"]")</f>
        <v xml:space="preserve"> (Рабочий ток) Напряжение / Частота источника питания: S[1 / 230 / 50]</v>
      </c>
      <c r="L116" t="str">
        <f>CONCATENATE(L$2,": ",L$3,list1!L116,"]")</f>
        <v xml:space="preserve"> (Рабочий ток) Хладагент: S[R410A]</v>
      </c>
      <c r="M116" t="str">
        <f>CONCATENATE(M$2,": ",M$3,list1!M116,"]")</f>
        <v xml:space="preserve"> (Рабочий ток) Количество хладагента: N[]</v>
      </c>
      <c r="N116" t="str">
        <f>CONCATENATE(N$2,": ",N$3,list1!N116,"]")</f>
        <v xml:space="preserve"> (Рабочий ток) Объем рециркулируемого воздуха внутреннего блока: S[]</v>
      </c>
      <c r="O116" t="str">
        <f>CONCATENATE(O$2,": ",O$3,list1!O116,"]")</f>
        <v xml:space="preserve"> (Внутренний блок) Размеры (Ш x Г x В): S[700 х 620 х 198]</v>
      </c>
      <c r="P116" t="str">
        <f>CONCATENATE(P$2,": ",P$3,list1!P116,"]")</f>
        <v xml:space="preserve"> (Внутренний блок) Упаковка (Ш x Г x В): S[968 х 772 х 276]</v>
      </c>
      <c r="Q116" t="str">
        <f>CONCATENATE(Q$2,": ",Q$3,list1!Q116,"]")</f>
        <v xml:space="preserve"> (Внутренний блок) Масса (нетто / брутто): S[19 / 23]</v>
      </c>
      <c r="R116" t="str">
        <f>CONCATENATE(R$2,": ",R$3,list1!R116,"]")</f>
        <v xml:space="preserve"> (Внутренний блок) Уровень шума мин. / макс.: S[]</v>
      </c>
      <c r="S116" t="str">
        <f>CONCATENATE(S$2,": ",S$3,list1!S116,"]")</f>
        <v xml:space="preserve"> (Наружный блок) Марка компрессора: S[]</v>
      </c>
      <c r="T116" t="str">
        <f>CONCATENATE(T$2,": ",T$3,list1!T116,"]")</f>
        <v xml:space="preserve"> (Наружный блок) Размеры (Ш x Г x В): S[700 х 620 х 198]</v>
      </c>
      <c r="U116" t="str">
        <f>CONCATENATE(U$2,": ",U$3,list1!U116,"]")</f>
        <v xml:space="preserve"> (Наружный блок) Упаковка (Ш x Г x В): S[968 х 772 х 276]</v>
      </c>
      <c r="V116" t="str">
        <f>CONCATENATE(V$2,": ",V$3,list1!V116,"]")</f>
        <v xml:space="preserve"> (Наружный блок) Масса (нетто / брутто): S[19 / 23]</v>
      </c>
      <c r="W116" t="str">
        <f>CONCATENATE(W$2,": ",W$3,list1!W116,"]")</f>
        <v xml:space="preserve"> (Наружный блок) Максимальный уровень шума: N[]</v>
      </c>
      <c r="X116" t="str">
        <f>CONCATENATE(X$2,": ",X$3,list1!X116,"]")</f>
        <v xml:space="preserve"> (Соединительные трубы) Жидкостная линия : N[6.35]</v>
      </c>
      <c r="Y116" t="str">
        <f>CONCATENATE(Y$2,": ",Y$3,list1!Y116,"]")</f>
        <v xml:space="preserve"> (Соединительные трубы) Газовая линия : N[9.52]</v>
      </c>
      <c r="Z116" t="str">
        <f>CONCATENATE(Z$2,": ",Z$3,list1!Z116,"]")</f>
        <v xml:space="preserve"> (Соединительные трубы) Максимальная длина трубопровода: N[25]</v>
      </c>
      <c r="AA116" t="str">
        <f>CONCATENATE(AA$2,": ",AA$3,list1!AA116,"]")</f>
        <v xml:space="preserve"> (Соединительные трубы) Максимальный перепад высот: S[15]</v>
      </c>
      <c r="AB116" t="str">
        <f>CONCATENATE(AB$2,": ",AB$3,list1!AB116,"]")</f>
        <v xml:space="preserve"> (Допустимая темп. наружного воздуха) Охлаждение: S[от -10 до +46]</v>
      </c>
      <c r="AC116" t="str">
        <f>CONCATENATE(AC$2,": ",AC$3,list1!AC116,"]")</f>
        <v xml:space="preserve"> (Допустимая темп. наружного воздуха) Обогрев: S[от -15 до +24]</v>
      </c>
      <c r="AD116" s="6" t="s">
        <v>5172</v>
      </c>
    </row>
    <row r="117" spans="1:30" x14ac:dyDescent="0.25">
      <c r="A117" t="str">
        <f>CONCATENATE(A$2,": ",A$3,list1!A117,"]")</f>
        <v>Производитель: E[FUJITSU]</v>
      </c>
      <c r="B117" t="str">
        <f>CONCATENATE(B$2,": ",B$3,list1!B117,"]")</f>
        <v xml:space="preserve"> Тип: S[Канальные]</v>
      </c>
      <c r="C117" t="str">
        <f>CONCATENATE(C$2,": ",C$3,list1!C117,"]")</f>
        <v xml:space="preserve"> (Сплит система) Холодопроизводительность: N[4]</v>
      </c>
      <c r="D117" t="str">
        <f>CONCATENATE(D$2,": ",D$3,list1!D117,"]")</f>
        <v xml:space="preserve"> (Сплит система) Площадь помещения: N[40]</v>
      </c>
      <c r="E117" t="str">
        <f>CONCATENATE(E$2,": ",E$3,list1!E117,"]")</f>
        <v xml:space="preserve"> (Сплит система) Инвентор: S[да]</v>
      </c>
      <c r="F117" t="str">
        <f>CONCATENATE(F$2,": ",F$3,list1!F117,"]")</f>
        <v xml:space="preserve"> (Сплит система) Теплопроизводительность: N[4]</v>
      </c>
      <c r="G117" t="str">
        <f>CONCATENATE(G$2,": ",G$3,list1!G117,"]")</f>
        <v xml:space="preserve"> (Потребляемая мощность) Охлаждение: N[0.076]</v>
      </c>
      <c r="H117" t="str">
        <f>CONCATENATE(H$2,": ",H$3,list1!H117,"]")</f>
        <v xml:space="preserve"> (Потребляемая мощность) Обогрев: S[0.076]</v>
      </c>
      <c r="I117" t="str">
        <f>CONCATENATE(I$2,": ",I$3,list1!I117,"]")</f>
        <v xml:space="preserve"> (Рабочий ток) Охлаждение: S[]</v>
      </c>
      <c r="J117" t="str">
        <f>CONCATENATE(J$2,": ",J$3,list1!J117,"]")</f>
        <v xml:space="preserve"> (Рабочий ток) Обогрев: S[]</v>
      </c>
      <c r="K117" t="str">
        <f>CONCATENATE(K$2,": ",K$3,list1!K117,"]")</f>
        <v xml:space="preserve"> (Рабочий ток) Напряжение / Частота источника питания: S[1 / 230 / 50]</v>
      </c>
      <c r="L117" t="str">
        <f>CONCATENATE(L$2,": ",L$3,list1!L117,"]")</f>
        <v xml:space="preserve"> (Рабочий ток) Хладагент: S[]</v>
      </c>
      <c r="M117" t="str">
        <f>CONCATENATE(M$2,": ",M$3,list1!M117,"]")</f>
        <v xml:space="preserve"> (Рабочий ток) Количество хладагента: N[]</v>
      </c>
      <c r="N117" t="str">
        <f>CONCATENATE(N$2,": ",N$3,list1!N117,"]")</f>
        <v xml:space="preserve"> (Рабочий ток) Объем рециркулируемого воздуха внутреннего блока: S[]</v>
      </c>
      <c r="O117" t="str">
        <f>CONCATENATE(O$2,": ",O$3,list1!O117,"]")</f>
        <v xml:space="preserve"> (Внутренний блок) Размеры (Ш x Г x В): S[700 х 620 х 198]</v>
      </c>
      <c r="P117" t="str">
        <f>CONCATENATE(P$2,": ",P$3,list1!P117,"]")</f>
        <v xml:space="preserve"> (Внутренний блок) Упаковка (Ш x Г x В): S[968 х 772 х 276]</v>
      </c>
      <c r="Q117" t="str">
        <f>CONCATENATE(Q$2,": ",Q$3,list1!Q117,"]")</f>
        <v xml:space="preserve"> (Внутренний блок) Масса (нетто / брутто): S[19 / 23]</v>
      </c>
      <c r="R117" t="str">
        <f>CONCATENATE(R$2,": ",R$3,list1!R117,"]")</f>
        <v xml:space="preserve"> (Внутренний блок) Уровень шума мин. / макс.: S[]</v>
      </c>
      <c r="S117" t="str">
        <f>CONCATENATE(S$2,": ",S$3,list1!S117,"]")</f>
        <v xml:space="preserve"> (Наружный блок) Марка компрессора: S[]</v>
      </c>
      <c r="T117" t="str">
        <f>CONCATENATE(T$2,": ",T$3,list1!T117,"]")</f>
        <v xml:space="preserve"> (Наружный блок) Размеры (Ш x Г x В): S[700 х 620 х 198]</v>
      </c>
      <c r="U117" t="str">
        <f>CONCATENATE(U$2,": ",U$3,list1!U117,"]")</f>
        <v xml:space="preserve"> (Наружный блок) Упаковка (Ш x Г x В): S[968 х 772 х 276]</v>
      </c>
      <c r="V117" t="str">
        <f>CONCATENATE(V$2,": ",V$3,list1!V117,"]")</f>
        <v xml:space="preserve"> (Наружный блок) Масса (нетто / брутто): S[19 / 23]</v>
      </c>
      <c r="W117" t="str">
        <f>CONCATENATE(W$2,": ",W$3,list1!W117,"]")</f>
        <v xml:space="preserve"> (Наружный блок) Максимальный уровень шума: N[]</v>
      </c>
      <c r="X117" t="str">
        <f>CONCATENATE(X$2,": ",X$3,list1!X117,"]")</f>
        <v xml:space="preserve"> (Соединительные трубы) Жидкостная линия : N[6.35]</v>
      </c>
      <c r="Y117" t="str">
        <f>CONCATENATE(Y$2,": ",Y$3,list1!Y117,"]")</f>
        <v xml:space="preserve"> (Соединительные трубы) Газовая линия : N[12.7]</v>
      </c>
      <c r="Z117" t="str">
        <f>CONCATENATE(Z$2,": ",Z$3,list1!Z117,"]")</f>
        <v xml:space="preserve"> (Соединительные трубы) Максимальная длина трубопровода: N[25]</v>
      </c>
      <c r="AA117" t="str">
        <f>CONCATENATE(AA$2,": ",AA$3,list1!AA117,"]")</f>
        <v xml:space="preserve"> (Соединительные трубы) Максимальный перепад высот: S[15]</v>
      </c>
      <c r="AB117" t="str">
        <f>CONCATENATE(AB$2,": ",AB$3,list1!AB117,"]")</f>
        <v xml:space="preserve"> (Допустимая темп. наружного воздуха) Охлаждение: S[]</v>
      </c>
      <c r="AC117" t="str">
        <f>CONCATENATE(AC$2,": ",AC$3,list1!AC117,"]")</f>
        <v xml:space="preserve"> (Допустимая темп. наружного воздуха) Обогрев: S[]</v>
      </c>
      <c r="AD117" s="6" t="s">
        <v>5172</v>
      </c>
    </row>
    <row r="118" spans="1:30" x14ac:dyDescent="0.25">
      <c r="A118" t="str">
        <f>CONCATENATE(A$2,": ",A$3,list1!A118,"]")</f>
        <v>Производитель: E[FUJITSU]</v>
      </c>
      <c r="B118" t="str">
        <f>CONCATENATE(B$2,": ",B$3,list1!B118,"]")</f>
        <v xml:space="preserve"> Тип: S[Канальные]</v>
      </c>
      <c r="C118" t="str">
        <f>CONCATENATE(C$2,": ",C$3,list1!C118,"]")</f>
        <v xml:space="preserve"> (Сплит система) Холодопроизводительность: N[5]</v>
      </c>
      <c r="D118" t="str">
        <f>CONCATENATE(D$2,": ",D$3,list1!D118,"]")</f>
        <v xml:space="preserve"> (Сплит система) Площадь помещения: N[50]</v>
      </c>
      <c r="E118" t="str">
        <f>CONCATENATE(E$2,": ",E$3,list1!E118,"]")</f>
        <v xml:space="preserve"> (Сплит система) Инвентор: S[да]</v>
      </c>
      <c r="F118" t="str">
        <f>CONCATENATE(F$2,": ",F$3,list1!F118,"]")</f>
        <v xml:space="preserve"> (Сплит система) Теплопроизводительность: N[5]</v>
      </c>
      <c r="G118" t="str">
        <f>CONCATENATE(G$2,": ",G$3,list1!G118,"]")</f>
        <v xml:space="preserve"> (Потребляемая мощность) Охлаждение: N[0.073]</v>
      </c>
      <c r="H118" t="str">
        <f>CONCATENATE(H$2,": ",H$3,list1!H118,"]")</f>
        <v xml:space="preserve"> (Потребляемая мощность) Обогрев: S[0.073]</v>
      </c>
      <c r="I118" t="str">
        <f>CONCATENATE(I$2,": ",I$3,list1!I118,"]")</f>
        <v xml:space="preserve"> (Рабочий ток) Охлаждение: S[]</v>
      </c>
      <c r="J118" t="str">
        <f>CONCATENATE(J$2,": ",J$3,list1!J118,"]")</f>
        <v xml:space="preserve"> (Рабочий ток) Обогрев: S[]</v>
      </c>
      <c r="K118" t="str">
        <f>CONCATENATE(K$2,": ",K$3,list1!K118,"]")</f>
        <v xml:space="preserve"> (Рабочий ток) Напряжение / Частота источника питания: S[1 / 230 / 50]</v>
      </c>
      <c r="L118" t="str">
        <f>CONCATENATE(L$2,": ",L$3,list1!L118,"]")</f>
        <v xml:space="preserve"> (Рабочий ток) Хладагент: S[]</v>
      </c>
      <c r="M118" t="str">
        <f>CONCATENATE(M$2,": ",M$3,list1!M118,"]")</f>
        <v xml:space="preserve"> (Рабочий ток) Количество хладагента: N[]</v>
      </c>
      <c r="N118" t="str">
        <f>CONCATENATE(N$2,": ",N$3,list1!N118,"]")</f>
        <v xml:space="preserve"> (Рабочий ток) Объем рециркулируемого воздуха внутреннего блока: S[]</v>
      </c>
      <c r="O118" t="str">
        <f>CONCATENATE(O$2,": ",O$3,list1!O118,"]")</f>
        <v xml:space="preserve"> (Внутренний блок) Размеры (Ш x Г x В): S[900 х 620 х 198]</v>
      </c>
      <c r="P118" t="str">
        <f>CONCATENATE(P$2,": ",P$3,list1!P118,"]")</f>
        <v xml:space="preserve"> (Внутренний блок) Упаковка (Ш x Г x В): S[1168 х 772 х 276]</v>
      </c>
      <c r="Q118" t="str">
        <f>CONCATENATE(Q$2,": ",Q$3,list1!Q118,"]")</f>
        <v xml:space="preserve"> (Внутренний блок) Масса (нетто / брутто): S[23 / 27]</v>
      </c>
      <c r="R118" t="str">
        <f>CONCATENATE(R$2,": ",R$3,list1!R118,"]")</f>
        <v xml:space="preserve"> (Внутренний блок) Уровень шума мин. / макс.: S[]</v>
      </c>
      <c r="S118" t="str">
        <f>CONCATENATE(S$2,": ",S$3,list1!S118,"]")</f>
        <v xml:space="preserve"> (Наружный блок) Марка компрессора: S[]</v>
      </c>
      <c r="T118" t="str">
        <f>CONCATENATE(T$2,": ",T$3,list1!T118,"]")</f>
        <v xml:space="preserve"> (Наружный блок) Размеры (Ш x Г x В): S[900 х 620 х 198]</v>
      </c>
      <c r="U118" t="str">
        <f>CONCATENATE(U$2,": ",U$3,list1!U118,"]")</f>
        <v xml:space="preserve"> (Наружный блок) Упаковка (Ш x Г x В): S[1168 х 772 х 276]</v>
      </c>
      <c r="V118" t="str">
        <f>CONCATENATE(V$2,": ",V$3,list1!V118,"]")</f>
        <v xml:space="preserve"> (Наружный блок) Масса (нетто / брутто): S[23 / 27]</v>
      </c>
      <c r="W118" t="str">
        <f>CONCATENATE(W$2,": ",W$3,list1!W118,"]")</f>
        <v xml:space="preserve"> (Наружный блок) Максимальный уровень шума: N[]</v>
      </c>
      <c r="X118" t="str">
        <f>CONCATENATE(X$2,": ",X$3,list1!X118,"]")</f>
        <v xml:space="preserve"> (Соединительные трубы) Жидкостная линия : N[6.35]</v>
      </c>
      <c r="Y118" t="str">
        <f>CONCATENATE(Y$2,": ",Y$3,list1!Y118,"]")</f>
        <v xml:space="preserve"> (Соединительные трубы) Газовая линия : N[12.7]</v>
      </c>
      <c r="Z118" t="str">
        <f>CONCATENATE(Z$2,": ",Z$3,list1!Z118,"]")</f>
        <v xml:space="preserve"> (Соединительные трубы) Максимальная длина трубопровода: N[25]</v>
      </c>
      <c r="AA118" t="str">
        <f>CONCATENATE(AA$2,": ",AA$3,list1!AA118,"]")</f>
        <v xml:space="preserve"> (Соединительные трубы) Максимальный перепад высот: S[15]</v>
      </c>
      <c r="AB118" t="str">
        <f>CONCATENATE(AB$2,": ",AB$3,list1!AB118,"]")</f>
        <v xml:space="preserve"> (Допустимая темп. наружного воздуха) Охлаждение: S[]</v>
      </c>
      <c r="AC118" t="str">
        <f>CONCATENATE(AC$2,": ",AC$3,list1!AC118,"]")</f>
        <v xml:space="preserve"> (Допустимая темп. наружного воздуха) Обогрев: S[]</v>
      </c>
      <c r="AD118" s="6" t="s">
        <v>5172</v>
      </c>
    </row>
    <row r="119" spans="1:30" x14ac:dyDescent="0.25">
      <c r="A119" t="str">
        <f>CONCATENATE(A$2,": ",A$3,list1!A119,"]")</f>
        <v>Производитель: E[FUJITSU]</v>
      </c>
      <c r="B119" t="str">
        <f>CONCATENATE(B$2,": ",B$3,list1!B119,"]")</f>
        <v xml:space="preserve"> Тип: S[Кассетные]</v>
      </c>
      <c r="C119" t="str">
        <f>CONCATENATE(C$2,": ",C$3,list1!C119,"]")</f>
        <v xml:space="preserve"> (Сплит система) Холодопроизводительность: N[2]</v>
      </c>
      <c r="D119" t="str">
        <f>CONCATENATE(D$2,": ",D$3,list1!D119,"]")</f>
        <v xml:space="preserve"> (Сплит система) Площадь помещения: N[20]</v>
      </c>
      <c r="E119" t="str">
        <f>CONCATENATE(E$2,": ",E$3,list1!E119,"]")</f>
        <v xml:space="preserve"> (Сплит система) Инвентор: S[да]</v>
      </c>
      <c r="F119" t="str">
        <f>CONCATENATE(F$2,": ",F$3,list1!F119,"]")</f>
        <v xml:space="preserve"> (Сплит система) Теплопроизводительность: N[2]</v>
      </c>
      <c r="G119" t="str">
        <f>CONCATENATE(G$2,": ",G$3,list1!G119,"]")</f>
        <v xml:space="preserve"> (Потребляемая мощность) Охлаждение: N[0.018]</v>
      </c>
      <c r="H119" t="str">
        <f>CONCATENATE(H$2,": ",H$3,list1!H119,"]")</f>
        <v xml:space="preserve"> (Потребляемая мощность) Обогрев: S[0.018]</v>
      </c>
      <c r="I119" t="str">
        <f>CONCATENATE(I$2,": ",I$3,list1!I119,"]")</f>
        <v xml:space="preserve"> (Рабочий ток) Охлаждение: S[]</v>
      </c>
      <c r="J119" t="str">
        <f>CONCATENATE(J$2,": ",J$3,list1!J119,"]")</f>
        <v xml:space="preserve"> (Рабочий ток) Обогрев: S[]</v>
      </c>
      <c r="K119" t="str">
        <f>CONCATENATE(K$2,": ",K$3,list1!K119,"]")</f>
        <v xml:space="preserve"> (Рабочий ток) Напряжение / Частота источника питания: S[1 / 230 / 50]</v>
      </c>
      <c r="L119" t="str">
        <f>CONCATENATE(L$2,": ",L$3,list1!L119,"]")</f>
        <v xml:space="preserve"> (Рабочий ток) Хладагент: S[R32]</v>
      </c>
      <c r="M119" t="str">
        <f>CONCATENATE(M$2,": ",M$3,list1!M119,"]")</f>
        <v xml:space="preserve"> (Рабочий ток) Количество хладагента: N[]</v>
      </c>
      <c r="N119" t="str">
        <f>CONCATENATE(N$2,": ",N$3,list1!N119,"]")</f>
        <v xml:space="preserve"> (Рабочий ток) Объем рециркулируемого воздуха внутреннего блока: S[]</v>
      </c>
      <c r="O119" t="str">
        <f>CONCATENATE(O$2,": ",O$3,list1!O119,"]")</f>
        <v xml:space="preserve"> (Внутренний блок) Размеры (Ш x Г x В): S[]</v>
      </c>
      <c r="P119" t="str">
        <f>CONCATENATE(P$2,": ",P$3,list1!P119,"]")</f>
        <v xml:space="preserve"> (Внутренний блок) Упаковка (Ш x Г x В): S[]</v>
      </c>
      <c r="Q119" t="str">
        <f>CONCATENATE(Q$2,": ",Q$3,list1!Q119,"]")</f>
        <v xml:space="preserve"> (Внутренний блок) Масса (нетто / брутто): S[]</v>
      </c>
      <c r="R119" t="str">
        <f>CONCATENATE(R$2,": ",R$3,list1!R119,"]")</f>
        <v xml:space="preserve"> (Внутренний блок) Уровень шума мин. / макс.: S[27/29/31/33]</v>
      </c>
      <c r="S119" t="str">
        <f>CONCATENATE(S$2,": ",S$3,list1!S119,"]")</f>
        <v xml:space="preserve"> (Наружный блок) Марка компрессора: S[]</v>
      </c>
      <c r="T119" t="str">
        <f>CONCATENATE(T$2,": ",T$3,list1!T119,"]")</f>
        <v xml:space="preserve"> (Наружный блок) Размеры (Ш x Г x В): S[]</v>
      </c>
      <c r="U119" t="str">
        <f>CONCATENATE(U$2,": ",U$3,list1!U119,"]")</f>
        <v xml:space="preserve"> (Наружный блок) Упаковка (Ш x Г x В): S[]</v>
      </c>
      <c r="V119" t="str">
        <f>CONCATENATE(V$2,": ",V$3,list1!V119,"]")</f>
        <v xml:space="preserve"> (Наружный блок) Масса (нетто / брутто): S[]</v>
      </c>
      <c r="W119" t="str">
        <f>CONCATENATE(W$2,": ",W$3,list1!W119,"]")</f>
        <v xml:space="preserve"> (Наружный блок) Максимальный уровень шума: N[]</v>
      </c>
      <c r="X119" t="str">
        <f>CONCATENATE(X$2,": ",X$3,list1!X119,"]")</f>
        <v xml:space="preserve"> (Соединительные трубы) Жидкостная линия : N[6.35]</v>
      </c>
      <c r="Y119" t="str">
        <f>CONCATENATE(Y$2,": ",Y$3,list1!Y119,"]")</f>
        <v xml:space="preserve"> (Соединительные трубы) Газовая линия : N[9.52]</v>
      </c>
      <c r="Z119" t="str">
        <f>CONCATENATE(Z$2,": ",Z$3,list1!Z119,"]")</f>
        <v xml:space="preserve"> (Соединительные трубы) Максимальная длина трубопровода: N[]</v>
      </c>
      <c r="AA119" t="str">
        <f>CONCATENATE(AA$2,": ",AA$3,list1!AA119,"]")</f>
        <v xml:space="preserve"> (Соединительные трубы) Максимальный перепад высот: S[]</v>
      </c>
      <c r="AB119" t="str">
        <f>CONCATENATE(AB$2,": ",AB$3,list1!AB119,"]")</f>
        <v xml:space="preserve"> (Допустимая темп. наружного воздуха) Охлаждение: S[]</v>
      </c>
      <c r="AC119" t="str">
        <f>CONCATENATE(AC$2,": ",AC$3,list1!AC119,"]")</f>
        <v xml:space="preserve"> (Допустимая темп. наружного воздуха) Обогрев: S[]</v>
      </c>
      <c r="AD119" s="6" t="s">
        <v>5172</v>
      </c>
    </row>
    <row r="120" spans="1:30" x14ac:dyDescent="0.25">
      <c r="A120" t="str">
        <f>CONCATENATE(A$2,": ",A$3,list1!A120,"]")</f>
        <v>Производитель: E[FUJITSU]</v>
      </c>
      <c r="B120" t="str">
        <f>CONCATENATE(B$2,": ",B$3,list1!B120,"]")</f>
        <v xml:space="preserve"> Тип: S[Кассетные]</v>
      </c>
      <c r="C120" t="str">
        <f>CONCATENATE(C$2,": ",C$3,list1!C120,"]")</f>
        <v xml:space="preserve"> (Сплит система) Холодопроизводительность: N[2.5]</v>
      </c>
      <c r="D120" t="str">
        <f>CONCATENATE(D$2,": ",D$3,list1!D120,"]")</f>
        <v xml:space="preserve"> (Сплит система) Площадь помещения: N[25]</v>
      </c>
      <c r="E120" t="str">
        <f>CONCATENATE(E$2,": ",E$3,list1!E120,"]")</f>
        <v xml:space="preserve"> (Сплит система) Инвентор: S[да]</v>
      </c>
      <c r="F120" t="str">
        <f>CONCATENATE(F$2,": ",F$3,list1!F120,"]")</f>
        <v xml:space="preserve"> (Сплит система) Теплопроизводительность: N[2.5]</v>
      </c>
      <c r="G120" t="str">
        <f>CONCATENATE(G$2,": ",G$3,list1!G120,"]")</f>
        <v xml:space="preserve"> (Потребляемая мощность) Охлаждение: N[0.018]</v>
      </c>
      <c r="H120" t="str">
        <f>CONCATENATE(H$2,": ",H$3,list1!H120,"]")</f>
        <v xml:space="preserve"> (Потребляемая мощность) Обогрев: S[0.018]</v>
      </c>
      <c r="I120" t="str">
        <f>CONCATENATE(I$2,": ",I$3,list1!I120,"]")</f>
        <v xml:space="preserve"> (Рабочий ток) Охлаждение: S[]</v>
      </c>
      <c r="J120" t="str">
        <f>CONCATENATE(J$2,": ",J$3,list1!J120,"]")</f>
        <v xml:space="preserve"> (Рабочий ток) Обогрев: S[]</v>
      </c>
      <c r="K120" t="str">
        <f>CONCATENATE(K$2,": ",K$3,list1!K120,"]")</f>
        <v xml:space="preserve"> (Рабочий ток) Напряжение / Частота источника питания: S[1 / 230 / 50]</v>
      </c>
      <c r="L120" t="str">
        <f>CONCATENATE(L$2,": ",L$3,list1!L120,"]")</f>
        <v xml:space="preserve"> (Рабочий ток) Хладагент: S[R32]</v>
      </c>
      <c r="M120" t="str">
        <f>CONCATENATE(M$2,": ",M$3,list1!M120,"]")</f>
        <v xml:space="preserve"> (Рабочий ток) Количество хладагента: N[]</v>
      </c>
      <c r="N120" t="str">
        <f>CONCATENATE(N$2,": ",N$3,list1!N120,"]")</f>
        <v xml:space="preserve"> (Рабочий ток) Объем рециркулируемого воздуха внутреннего блока: S[]</v>
      </c>
      <c r="O120" t="str">
        <f>CONCATENATE(O$2,": ",O$3,list1!O120,"]")</f>
        <v xml:space="preserve"> (Внутренний блок) Размеры (Ш x Г x В): S[]</v>
      </c>
      <c r="P120" t="str">
        <f>CONCATENATE(P$2,": ",P$3,list1!P120,"]")</f>
        <v xml:space="preserve"> (Внутренний блок) Упаковка (Ш x Г x В): S[]</v>
      </c>
      <c r="Q120" t="str">
        <f>CONCATENATE(Q$2,": ",Q$3,list1!Q120,"]")</f>
        <v xml:space="preserve"> (Внутренний блок) Масса (нетто / брутто): S[]</v>
      </c>
      <c r="R120" t="str">
        <f>CONCATENATE(R$2,": ",R$3,list1!R120,"]")</f>
        <v xml:space="preserve"> (Внутренний блок) Уровень шума мин. / макс.: S[27/29/31/33]</v>
      </c>
      <c r="S120" t="str">
        <f>CONCATENATE(S$2,": ",S$3,list1!S120,"]")</f>
        <v xml:space="preserve"> (Наружный блок) Марка компрессора: S[]</v>
      </c>
      <c r="T120" t="str">
        <f>CONCATENATE(T$2,": ",T$3,list1!T120,"]")</f>
        <v xml:space="preserve"> (Наружный блок) Размеры (Ш x Г x В): S[]</v>
      </c>
      <c r="U120" t="str">
        <f>CONCATENATE(U$2,": ",U$3,list1!U120,"]")</f>
        <v xml:space="preserve"> (Наружный блок) Упаковка (Ш x Г x В): S[]</v>
      </c>
      <c r="V120" t="str">
        <f>CONCATENATE(V$2,": ",V$3,list1!V120,"]")</f>
        <v xml:space="preserve"> (Наружный блок) Масса (нетто / брутто): S[]</v>
      </c>
      <c r="W120" t="str">
        <f>CONCATENATE(W$2,": ",W$3,list1!W120,"]")</f>
        <v xml:space="preserve"> (Наружный блок) Максимальный уровень шума: N[]</v>
      </c>
      <c r="X120" t="str">
        <f>CONCATENATE(X$2,": ",X$3,list1!X120,"]")</f>
        <v xml:space="preserve"> (Соединительные трубы) Жидкостная линия : N[6.35]</v>
      </c>
      <c r="Y120" t="str">
        <f>CONCATENATE(Y$2,": ",Y$3,list1!Y120,"]")</f>
        <v xml:space="preserve"> (Соединительные трубы) Газовая линия : N[9.52]</v>
      </c>
      <c r="Z120" t="str">
        <f>CONCATENATE(Z$2,": ",Z$3,list1!Z120,"]")</f>
        <v xml:space="preserve"> (Соединительные трубы) Максимальная длина трубопровода: N[]</v>
      </c>
      <c r="AA120" t="str">
        <f>CONCATENATE(AA$2,": ",AA$3,list1!AA120,"]")</f>
        <v xml:space="preserve"> (Соединительные трубы) Максимальный перепад высот: S[]</v>
      </c>
      <c r="AB120" t="str">
        <f>CONCATENATE(AB$2,": ",AB$3,list1!AB120,"]")</f>
        <v xml:space="preserve"> (Допустимая темп. наружного воздуха) Охлаждение: S[]</v>
      </c>
      <c r="AC120" t="str">
        <f>CONCATENATE(AC$2,": ",AC$3,list1!AC120,"]")</f>
        <v xml:space="preserve"> (Допустимая темп. наружного воздуха) Обогрев: S[]</v>
      </c>
      <c r="AD120" s="6" t="s">
        <v>5172</v>
      </c>
    </row>
    <row r="121" spans="1:30" x14ac:dyDescent="0.25">
      <c r="A121" t="str">
        <f>CONCATENATE(A$2,": ",A$3,list1!A121,"]")</f>
        <v>Производитель: E[FUJITSU]</v>
      </c>
      <c r="B121" t="str">
        <f>CONCATENATE(B$2,": ",B$3,list1!B121,"]")</f>
        <v xml:space="preserve"> Тип: S[Кассетные]</v>
      </c>
      <c r="C121" t="str">
        <f>CONCATENATE(C$2,": ",C$3,list1!C121,"]")</f>
        <v xml:space="preserve"> (Сплит система) Холодопроизводительность: N[3.5]</v>
      </c>
      <c r="D121" t="str">
        <f>CONCATENATE(D$2,": ",D$3,list1!D121,"]")</f>
        <v xml:space="preserve"> (Сплит система) Площадь помещения: N[35]</v>
      </c>
      <c r="E121" t="str">
        <f>CONCATENATE(E$2,": ",E$3,list1!E121,"]")</f>
        <v xml:space="preserve"> (Сплит система) Инвентор: S[да]</v>
      </c>
      <c r="F121" t="str">
        <f>CONCATENATE(F$2,": ",F$3,list1!F121,"]")</f>
        <v xml:space="preserve"> (Сплит система) Теплопроизводительность: N[3.5]</v>
      </c>
      <c r="G121" t="str">
        <f>CONCATENATE(G$2,": ",G$3,list1!G121,"]")</f>
        <v xml:space="preserve"> (Потребляемая мощность) Охлаждение: N[0.023]</v>
      </c>
      <c r="H121" t="str">
        <f>CONCATENATE(H$2,": ",H$3,list1!H121,"]")</f>
        <v xml:space="preserve"> (Потребляемая мощность) Обогрев: S[0.023]</v>
      </c>
      <c r="I121" t="str">
        <f>CONCATENATE(I$2,": ",I$3,list1!I121,"]")</f>
        <v xml:space="preserve"> (Рабочий ток) Охлаждение: S[]</v>
      </c>
      <c r="J121" t="str">
        <f>CONCATENATE(J$2,": ",J$3,list1!J121,"]")</f>
        <v xml:space="preserve"> (Рабочий ток) Обогрев: S[]</v>
      </c>
      <c r="K121" t="str">
        <f>CONCATENATE(K$2,": ",K$3,list1!K121,"]")</f>
        <v xml:space="preserve"> (Рабочий ток) Напряжение / Частота источника питания: S[1 / 230 / 50]</v>
      </c>
      <c r="L121" t="str">
        <f>CONCATENATE(L$2,": ",L$3,list1!L121,"]")</f>
        <v xml:space="preserve"> (Рабочий ток) Хладагент: S[]</v>
      </c>
      <c r="M121" t="str">
        <f>CONCATENATE(M$2,": ",M$3,list1!M121,"]")</f>
        <v xml:space="preserve"> (Рабочий ток) Количество хладагента: N[]</v>
      </c>
      <c r="N121" t="str">
        <f>CONCATENATE(N$2,": ",N$3,list1!N121,"]")</f>
        <v xml:space="preserve"> (Рабочий ток) Объем рециркулируемого воздуха внутреннего блока: S[]</v>
      </c>
      <c r="O121" t="str">
        <f>CONCATENATE(O$2,": ",O$3,list1!O121,"]")</f>
        <v xml:space="preserve"> (Внутренний блок) Размеры (Ш x Г x В): S[]</v>
      </c>
      <c r="P121" t="str">
        <f>CONCATENATE(P$2,": ",P$3,list1!P121,"]")</f>
        <v xml:space="preserve"> (Внутренний блок) Упаковка (Ш x Г x В): S[]</v>
      </c>
      <c r="Q121" t="str">
        <f>CONCATENATE(Q$2,": ",Q$3,list1!Q121,"]")</f>
        <v xml:space="preserve"> (Внутренний блок) Масса (нетто / брутто): S[]</v>
      </c>
      <c r="R121" t="str">
        <f>CONCATENATE(R$2,": ",R$3,list1!R121,"]")</f>
        <v xml:space="preserve"> (Внутренний блок) Уровень шума мин. / макс.: S[]</v>
      </c>
      <c r="S121" t="str">
        <f>CONCATENATE(S$2,": ",S$3,list1!S121,"]")</f>
        <v xml:space="preserve"> (Наружный блок) Марка компрессора: S[]</v>
      </c>
      <c r="T121" t="str">
        <f>CONCATENATE(T$2,": ",T$3,list1!T121,"]")</f>
        <v xml:space="preserve"> (Наружный блок) Размеры (Ш x Г x В): S[]</v>
      </c>
      <c r="U121" t="str">
        <f>CONCATENATE(U$2,": ",U$3,list1!U121,"]")</f>
        <v xml:space="preserve"> (Наружный блок) Упаковка (Ш x Г x В): S[]</v>
      </c>
      <c r="V121" t="str">
        <f>CONCATENATE(V$2,": ",V$3,list1!V121,"]")</f>
        <v xml:space="preserve"> (Наружный блок) Масса (нетто / брутто): S[]</v>
      </c>
      <c r="W121" t="str">
        <f>CONCATENATE(W$2,": ",W$3,list1!W121,"]")</f>
        <v xml:space="preserve"> (Наружный блок) Максимальный уровень шума: N[]</v>
      </c>
      <c r="X121" t="str">
        <f>CONCATENATE(X$2,": ",X$3,list1!X121,"]")</f>
        <v xml:space="preserve"> (Соединительные трубы) Жидкостная линия : N[6.35]</v>
      </c>
      <c r="Y121" t="str">
        <f>CONCATENATE(Y$2,": ",Y$3,list1!Y121,"]")</f>
        <v xml:space="preserve"> (Соединительные трубы) Газовая линия : N[9.52]</v>
      </c>
      <c r="Z121" t="str">
        <f>CONCATENATE(Z$2,": ",Z$3,list1!Z121,"]")</f>
        <v xml:space="preserve"> (Соединительные трубы) Максимальная длина трубопровода: N[15]</v>
      </c>
      <c r="AA121" t="str">
        <f>CONCATENATE(AA$2,": ",AA$3,list1!AA121,"]")</f>
        <v xml:space="preserve"> (Соединительные трубы) Максимальный перепад высот: S[15]</v>
      </c>
      <c r="AB121" t="str">
        <f>CONCATENATE(AB$2,": ",AB$3,list1!AB121,"]")</f>
        <v xml:space="preserve"> (Допустимая темп. наружного воздуха) Охлаждение: S[]</v>
      </c>
      <c r="AC121" t="str">
        <f>CONCATENATE(AC$2,": ",AC$3,list1!AC121,"]")</f>
        <v xml:space="preserve"> (Допустимая темп. наружного воздуха) Обогрев: S[]</v>
      </c>
      <c r="AD121" s="6" t="s">
        <v>5172</v>
      </c>
    </row>
    <row r="122" spans="1:30" x14ac:dyDescent="0.25">
      <c r="A122" t="str">
        <f>CONCATENATE(A$2,": ",A$3,list1!A122,"]")</f>
        <v>Производитель: E[FUJITSU]</v>
      </c>
      <c r="B122" t="str">
        <f>CONCATENATE(B$2,": ",B$3,list1!B122,"]")</f>
        <v xml:space="preserve"> Тип: S[Кассетные]</v>
      </c>
      <c r="C122" t="str">
        <f>CONCATENATE(C$2,": ",C$3,list1!C122,"]")</f>
        <v xml:space="preserve"> (Сплит система) Холодопроизводительность: N[4]</v>
      </c>
      <c r="D122" t="str">
        <f>CONCATENATE(D$2,": ",D$3,list1!D122,"]")</f>
        <v xml:space="preserve"> (Сплит система) Площадь помещения: N[40]</v>
      </c>
      <c r="E122" t="str">
        <f>CONCATENATE(E$2,": ",E$3,list1!E122,"]")</f>
        <v xml:space="preserve"> (Сплит система) Инвентор: S[да]</v>
      </c>
      <c r="F122" t="str">
        <f>CONCATENATE(F$2,": ",F$3,list1!F122,"]")</f>
        <v xml:space="preserve"> (Сплит система) Теплопроизводительность: N[4]</v>
      </c>
      <c r="G122" t="str">
        <f>CONCATENATE(G$2,": ",G$3,list1!G122,"]")</f>
        <v xml:space="preserve"> (Потребляемая мощность) Охлаждение: N[0.028]</v>
      </c>
      <c r="H122" t="str">
        <f>CONCATENATE(H$2,": ",H$3,list1!H122,"]")</f>
        <v xml:space="preserve"> (Потребляемая мощность) Обогрев: S[0.028]</v>
      </c>
      <c r="I122" t="str">
        <f>CONCATENATE(I$2,": ",I$3,list1!I122,"]")</f>
        <v xml:space="preserve"> (Рабочий ток) Охлаждение: S[]</v>
      </c>
      <c r="J122" t="str">
        <f>CONCATENATE(J$2,": ",J$3,list1!J122,"]")</f>
        <v xml:space="preserve"> (Рабочий ток) Обогрев: S[]</v>
      </c>
      <c r="K122" t="str">
        <f>CONCATENATE(K$2,": ",K$3,list1!K122,"]")</f>
        <v xml:space="preserve"> (Рабочий ток) Напряжение / Частота источника питания: S[1 / 230 / 50]</v>
      </c>
      <c r="L122" t="str">
        <f>CONCATENATE(L$2,": ",L$3,list1!L122,"]")</f>
        <v xml:space="preserve"> (Рабочий ток) Хладагент: S[]</v>
      </c>
      <c r="M122" t="str">
        <f>CONCATENATE(M$2,": ",M$3,list1!M122,"]")</f>
        <v xml:space="preserve"> (Рабочий ток) Количество хладагента: N[]</v>
      </c>
      <c r="N122" t="str">
        <f>CONCATENATE(N$2,": ",N$3,list1!N122,"]")</f>
        <v xml:space="preserve"> (Рабочий ток) Объем рециркулируемого воздуха внутреннего блока: S[]</v>
      </c>
      <c r="O122" t="str">
        <f>CONCATENATE(O$2,": ",O$3,list1!O122,"]")</f>
        <v xml:space="preserve"> (Внутренний блок) Размеры (Ш x Г x В): S[]</v>
      </c>
      <c r="P122" t="str">
        <f>CONCATENATE(P$2,": ",P$3,list1!P122,"]")</f>
        <v xml:space="preserve"> (Внутренний блок) Упаковка (Ш x Г x В): S[]</v>
      </c>
      <c r="Q122" t="str">
        <f>CONCATENATE(Q$2,": ",Q$3,list1!Q122,"]")</f>
        <v xml:space="preserve"> (Внутренний блок) Масса (нетто / брутто): S[]</v>
      </c>
      <c r="R122" t="str">
        <f>CONCATENATE(R$2,": ",R$3,list1!R122,"]")</f>
        <v xml:space="preserve"> (Внутренний блок) Уровень шума мин. / макс.: S[]</v>
      </c>
      <c r="S122" t="str">
        <f>CONCATENATE(S$2,": ",S$3,list1!S122,"]")</f>
        <v xml:space="preserve"> (Наружный блок) Марка компрессора: S[]</v>
      </c>
      <c r="T122" t="str">
        <f>CONCATENATE(T$2,": ",T$3,list1!T122,"]")</f>
        <v xml:space="preserve"> (Наружный блок) Размеры (Ш x Г x В): S[]</v>
      </c>
      <c r="U122" t="str">
        <f>CONCATENATE(U$2,": ",U$3,list1!U122,"]")</f>
        <v xml:space="preserve"> (Наружный блок) Упаковка (Ш x Г x В): S[]</v>
      </c>
      <c r="V122" t="str">
        <f>CONCATENATE(V$2,": ",V$3,list1!V122,"]")</f>
        <v xml:space="preserve"> (Наружный блок) Масса (нетто / брутто): S[]</v>
      </c>
      <c r="W122" t="str">
        <f>CONCATENATE(W$2,": ",W$3,list1!W122,"]")</f>
        <v xml:space="preserve"> (Наружный блок) Максимальный уровень шума: N[]</v>
      </c>
      <c r="X122" t="str">
        <f>CONCATENATE(X$2,": ",X$3,list1!X122,"]")</f>
        <v xml:space="preserve"> (Соединительные трубы) Жидкостная линия : N[6.35]</v>
      </c>
      <c r="Y122" t="str">
        <f>CONCATENATE(Y$2,": ",Y$3,list1!Y122,"]")</f>
        <v xml:space="preserve"> (Соединительные трубы) Газовая линия : N[9.52]</v>
      </c>
      <c r="Z122" t="str">
        <f>CONCATENATE(Z$2,": ",Z$3,list1!Z122,"]")</f>
        <v xml:space="preserve"> (Соединительные трубы) Максимальная длина трубопровода: N[20]</v>
      </c>
      <c r="AA122" t="str">
        <f>CONCATENATE(AA$2,": ",AA$3,list1!AA122,"]")</f>
        <v xml:space="preserve"> (Соединительные трубы) Максимальный перепад высот: S[15]</v>
      </c>
      <c r="AB122" t="str">
        <f>CONCATENATE(AB$2,": ",AB$3,list1!AB122,"]")</f>
        <v xml:space="preserve"> (Допустимая темп. наружного воздуха) Охлаждение: S[]</v>
      </c>
      <c r="AC122" t="str">
        <f>CONCATENATE(AC$2,": ",AC$3,list1!AC122,"]")</f>
        <v xml:space="preserve"> (Допустимая темп. наружного воздуха) Обогрев: S[]</v>
      </c>
      <c r="AD122" s="6" t="s">
        <v>5172</v>
      </c>
    </row>
    <row r="123" spans="1:30" x14ac:dyDescent="0.25">
      <c r="A123" t="str">
        <f>CONCATENATE(A$2,": ",A$3,list1!A123,"]")</f>
        <v>Производитель: E[FUJITSU]</v>
      </c>
      <c r="B123" t="str">
        <f>CONCATENATE(B$2,": ",B$3,list1!B123,"]")</f>
        <v xml:space="preserve"> Тип: S[Кассетные]</v>
      </c>
      <c r="C123" t="str">
        <f>CONCATENATE(C$2,": ",C$3,list1!C123,"]")</f>
        <v xml:space="preserve"> (Сплит система) Холодопроизводительность: N[5]</v>
      </c>
      <c r="D123" t="str">
        <f>CONCATENATE(D$2,": ",D$3,list1!D123,"]")</f>
        <v xml:space="preserve"> (Сплит система) Площадь помещения: N[50]</v>
      </c>
      <c r="E123" t="str">
        <f>CONCATENATE(E$2,": ",E$3,list1!E123,"]")</f>
        <v xml:space="preserve"> (Сплит система) Инвентор: S[да]</v>
      </c>
      <c r="F123" t="str">
        <f>CONCATENATE(F$2,": ",F$3,list1!F123,"]")</f>
        <v xml:space="preserve"> (Сплит система) Теплопроизводительность: N[5]</v>
      </c>
      <c r="G123" t="str">
        <f>CONCATENATE(G$2,": ",G$3,list1!G123,"]")</f>
        <v xml:space="preserve"> (Потребляемая мощность) Охлаждение: N[0.039]</v>
      </c>
      <c r="H123" t="str">
        <f>CONCATENATE(H$2,": ",H$3,list1!H123,"]")</f>
        <v xml:space="preserve"> (Потребляемая мощность) Обогрев: S[0.039]</v>
      </c>
      <c r="I123" t="str">
        <f>CONCATENATE(I$2,": ",I$3,list1!I123,"]")</f>
        <v xml:space="preserve"> (Рабочий ток) Охлаждение: S[]</v>
      </c>
      <c r="J123" t="str">
        <f>CONCATENATE(J$2,": ",J$3,list1!J123,"]")</f>
        <v xml:space="preserve"> (Рабочий ток) Обогрев: S[]</v>
      </c>
      <c r="K123" t="str">
        <f>CONCATENATE(K$2,": ",K$3,list1!K123,"]")</f>
        <v xml:space="preserve"> (Рабочий ток) Напряжение / Частота источника питания: S[1 / 230 / 50]</v>
      </c>
      <c r="L123" t="str">
        <f>CONCATENATE(L$2,": ",L$3,list1!L123,"]")</f>
        <v xml:space="preserve"> (Рабочий ток) Хладагент: S[]</v>
      </c>
      <c r="M123" t="str">
        <f>CONCATENATE(M$2,": ",M$3,list1!M123,"]")</f>
        <v xml:space="preserve"> (Рабочий ток) Количество хладагента: N[]</v>
      </c>
      <c r="N123" t="str">
        <f>CONCATENATE(N$2,": ",N$3,list1!N123,"]")</f>
        <v xml:space="preserve"> (Рабочий ток) Объем рециркулируемого воздуха внутреннего блока: S[]</v>
      </c>
      <c r="O123" t="str">
        <f>CONCATENATE(O$2,": ",O$3,list1!O123,"]")</f>
        <v xml:space="preserve"> (Внутренний блок) Размеры (Ш x Г x В): S[]</v>
      </c>
      <c r="P123" t="str">
        <f>CONCATENATE(P$2,": ",P$3,list1!P123,"]")</f>
        <v xml:space="preserve"> (Внутренний блок) Упаковка (Ш x Г x В): S[]</v>
      </c>
      <c r="Q123" t="str">
        <f>CONCATENATE(Q$2,": ",Q$3,list1!Q123,"]")</f>
        <v xml:space="preserve"> (Внутренний блок) Масса (нетто / брутто): S[]</v>
      </c>
      <c r="R123" t="str">
        <f>CONCATENATE(R$2,": ",R$3,list1!R123,"]")</f>
        <v xml:space="preserve"> (Внутренний блок) Уровень шума мин. / макс.: S[]</v>
      </c>
      <c r="S123" t="str">
        <f>CONCATENATE(S$2,": ",S$3,list1!S123,"]")</f>
        <v xml:space="preserve"> (Наружный блок) Марка компрессора: S[]</v>
      </c>
      <c r="T123" t="str">
        <f>CONCATENATE(T$2,": ",T$3,list1!T123,"]")</f>
        <v xml:space="preserve"> (Наружный блок) Размеры (Ш x Г x В): S[]</v>
      </c>
      <c r="U123" t="str">
        <f>CONCATENATE(U$2,": ",U$3,list1!U123,"]")</f>
        <v xml:space="preserve"> (Наружный блок) Упаковка (Ш x Г x В): S[]</v>
      </c>
      <c r="V123" t="str">
        <f>CONCATENATE(V$2,": ",V$3,list1!V123,"]")</f>
        <v xml:space="preserve"> (Наружный блок) Масса (нетто / брутто): S[]</v>
      </c>
      <c r="W123" t="str">
        <f>CONCATENATE(W$2,": ",W$3,list1!W123,"]")</f>
        <v xml:space="preserve"> (Наружный блок) Максимальный уровень шума: N[]</v>
      </c>
      <c r="X123" t="str">
        <f>CONCATENATE(X$2,": ",X$3,list1!X123,"]")</f>
        <v xml:space="preserve"> (Соединительные трубы) Жидкостная линия : N[6.35]</v>
      </c>
      <c r="Y123" t="str">
        <f>CONCATENATE(Y$2,": ",Y$3,list1!Y123,"]")</f>
        <v xml:space="preserve"> (Соединительные трубы) Газовая линия : N[12.7]</v>
      </c>
      <c r="Z123" t="str">
        <f>CONCATENATE(Z$2,": ",Z$3,list1!Z123,"]")</f>
        <v xml:space="preserve"> (Соединительные трубы) Максимальная длина трубопровода: N[20]</v>
      </c>
      <c r="AA123" t="str">
        <f>CONCATENATE(AA$2,": ",AA$3,list1!AA123,"]")</f>
        <v xml:space="preserve"> (Соединительные трубы) Максимальный перепад высот: S[15]</v>
      </c>
      <c r="AB123" t="str">
        <f>CONCATENATE(AB$2,": ",AB$3,list1!AB123,"]")</f>
        <v xml:space="preserve"> (Допустимая темп. наружного воздуха) Охлаждение: S[]</v>
      </c>
      <c r="AC123" t="str">
        <f>CONCATENATE(AC$2,": ",AC$3,list1!AC123,"]")</f>
        <v xml:space="preserve"> (Допустимая темп. наружного воздуха) Обогрев: S[]</v>
      </c>
      <c r="AD123" s="6" t="s">
        <v>5172</v>
      </c>
    </row>
    <row r="124" spans="1:30" x14ac:dyDescent="0.25">
      <c r="A124" t="str">
        <f>CONCATENATE(A$2,": ",A$3,list1!A124,"]")</f>
        <v>Производитель: E[FUJITSU]</v>
      </c>
      <c r="B124" t="str">
        <f>CONCATENATE(B$2,": ",B$3,list1!B124,"]")</f>
        <v xml:space="preserve"> Тип: S[Кассетные]</v>
      </c>
      <c r="C124" t="str">
        <f>CONCATENATE(C$2,": ",C$3,list1!C124,"]")</f>
        <v xml:space="preserve"> (Сплит система) Холодопроизводительность: N[2]</v>
      </c>
      <c r="D124" t="str">
        <f>CONCATENATE(D$2,": ",D$3,list1!D124,"]")</f>
        <v xml:space="preserve"> (Сплит система) Площадь помещения: N[20]</v>
      </c>
      <c r="E124" t="str">
        <f>CONCATENATE(E$2,": ",E$3,list1!E124,"]")</f>
        <v xml:space="preserve"> (Сплит система) Инвентор: S[да]</v>
      </c>
      <c r="F124" t="str">
        <f>CONCATENATE(F$2,": ",F$3,list1!F124,"]")</f>
        <v xml:space="preserve"> (Сплит система) Теплопроизводительность: N[2]</v>
      </c>
      <c r="G124" t="str">
        <f>CONCATENATE(G$2,": ",G$3,list1!G124,"]")</f>
        <v xml:space="preserve"> (Потребляемая мощность) Охлаждение: N[0.018]</v>
      </c>
      <c r="H124" t="str">
        <f>CONCATENATE(H$2,": ",H$3,list1!H124,"]")</f>
        <v xml:space="preserve"> (Потребляемая мощность) Обогрев: S[0.018]</v>
      </c>
      <c r="I124" t="str">
        <f>CONCATENATE(I$2,": ",I$3,list1!I124,"]")</f>
        <v xml:space="preserve"> (Рабочий ток) Охлаждение: S[]</v>
      </c>
      <c r="J124" t="str">
        <f>CONCATENATE(J$2,": ",J$3,list1!J124,"]")</f>
        <v xml:space="preserve"> (Рабочий ток) Обогрев: S[]</v>
      </c>
      <c r="K124" t="str">
        <f>CONCATENATE(K$2,": ",K$3,list1!K124,"]")</f>
        <v xml:space="preserve"> (Рабочий ток) Напряжение / Частота источника питания: S[1 / 220 / 50]</v>
      </c>
      <c r="L124" t="str">
        <f>CONCATENATE(L$2,": ",L$3,list1!L124,"]")</f>
        <v xml:space="preserve"> (Рабочий ток) Хладагент: S[R410A]</v>
      </c>
      <c r="M124" t="str">
        <f>CONCATENATE(M$2,": ",M$3,list1!M124,"]")</f>
        <v xml:space="preserve"> (Рабочий ток) Количество хладагента: N[]</v>
      </c>
      <c r="N124" t="str">
        <f>CONCATENATE(N$2,": ",N$3,list1!N124,"]")</f>
        <v xml:space="preserve"> (Рабочий ток) Объем рециркулируемого воздуха внутреннего блока: S[]</v>
      </c>
      <c r="O124" t="str">
        <f>CONCATENATE(O$2,": ",O$3,list1!O124,"]")</f>
        <v xml:space="preserve"> (Внутренний блок) Размеры (Ш x Г x В): S[570 х 570 х 245]</v>
      </c>
      <c r="P124" t="str">
        <f>CONCATENATE(P$2,": ",P$3,list1!P124,"]")</f>
        <v xml:space="preserve"> (Внутренний блок) Упаковка (Ш x Г x В): S[730 х 625 х 265]</v>
      </c>
      <c r="Q124" t="str">
        <f>CONCATENATE(Q$2,": ",Q$3,list1!Q124,"]")</f>
        <v xml:space="preserve"> (Внутренний блок) Масса (нетто / брутто): S[15 / 18]</v>
      </c>
      <c r="R124" t="str">
        <f>CONCATENATE(R$2,": ",R$3,list1!R124,"]")</f>
        <v xml:space="preserve"> (Внутренний блок) Уровень шума мин. / макс.: S[33/31/29/27]</v>
      </c>
      <c r="S124" t="str">
        <f>CONCATENATE(S$2,": ",S$3,list1!S124,"]")</f>
        <v xml:space="preserve"> (Наружный блок) Марка компрессора: S[]</v>
      </c>
      <c r="T124" t="str">
        <f>CONCATENATE(T$2,": ",T$3,list1!T124,"]")</f>
        <v xml:space="preserve"> (Наружный блок) Размеры (Ш x Г x В): S[570 х 570 х 245]</v>
      </c>
      <c r="U124" t="str">
        <f>CONCATENATE(U$2,": ",U$3,list1!U124,"]")</f>
        <v xml:space="preserve"> (Наружный блок) Упаковка (Ш x Г x В): S[730 х 625 х 265]</v>
      </c>
      <c r="V124" t="str">
        <f>CONCATENATE(V$2,": ",V$3,list1!V124,"]")</f>
        <v xml:space="preserve"> (Наружный блок) Масса (нетто / брутто): S[15 / 18]</v>
      </c>
      <c r="W124" t="str">
        <f>CONCATENATE(W$2,": ",W$3,list1!W124,"]")</f>
        <v xml:space="preserve"> (Наружный блок) Максимальный уровень шума: N[]</v>
      </c>
      <c r="X124" t="str">
        <f>CONCATENATE(X$2,": ",X$3,list1!X124,"]")</f>
        <v xml:space="preserve"> (Соединительные трубы) Жидкостная линия : N[6.35]</v>
      </c>
      <c r="Y124" t="str">
        <f>CONCATENATE(Y$2,": ",Y$3,list1!Y124,"]")</f>
        <v xml:space="preserve"> (Соединительные трубы) Газовая линия : N[9.52]</v>
      </c>
      <c r="Z124" t="str">
        <f>CONCATENATE(Z$2,": ",Z$3,list1!Z124,"]")</f>
        <v xml:space="preserve"> (Соединительные трубы) Максимальная длина трубопровода: N[]</v>
      </c>
      <c r="AA124" t="str">
        <f>CONCATENATE(AA$2,": ",AA$3,list1!AA124,"]")</f>
        <v xml:space="preserve"> (Соединительные трубы) Максимальный перепад высот: S[]</v>
      </c>
      <c r="AB124" t="str">
        <f>CONCATENATE(AB$2,": ",AB$3,list1!AB124,"]")</f>
        <v xml:space="preserve"> (Допустимая темп. наружного воздуха) Охлаждение: S[]</v>
      </c>
      <c r="AC124" t="str">
        <f>CONCATENATE(AC$2,": ",AC$3,list1!AC124,"]")</f>
        <v xml:space="preserve"> (Допустимая темп. наружного воздуха) Обогрев: S[]</v>
      </c>
      <c r="AD124" s="6" t="s">
        <v>5172</v>
      </c>
    </row>
    <row r="125" spans="1:30" x14ac:dyDescent="0.25">
      <c r="A125" t="str">
        <f>CONCATENATE(A$2,": ",A$3,list1!A125,"]")</f>
        <v>Производитель: E[FUJITSU]</v>
      </c>
      <c r="B125" t="str">
        <f>CONCATENATE(B$2,": ",B$3,list1!B125,"]")</f>
        <v xml:space="preserve"> Тип: S[Кассетные]</v>
      </c>
      <c r="C125" t="str">
        <f>CONCATENATE(C$2,": ",C$3,list1!C125,"]")</f>
        <v xml:space="preserve"> (Сплит система) Холодопроизводительность: N[5.5]</v>
      </c>
      <c r="D125" t="str">
        <f>CONCATENATE(D$2,": ",D$3,list1!D125,"]")</f>
        <v xml:space="preserve"> (Сплит система) Площадь помещения: N[55]</v>
      </c>
      <c r="E125" t="str">
        <f>CONCATENATE(E$2,": ",E$3,list1!E125,"]")</f>
        <v xml:space="preserve"> (Сплит система) Инвентор: S[да]</v>
      </c>
      <c r="F125" t="str">
        <f>CONCATENATE(F$2,": ",F$3,list1!F125,"]")</f>
        <v xml:space="preserve"> (Сплит система) Теплопроизводительность: N[5.5]</v>
      </c>
      <c r="G125" t="str">
        <f>CONCATENATE(G$2,": ",G$3,list1!G125,"]")</f>
        <v xml:space="preserve"> (Потребляемая мощность) Охлаждение: N[5.5]</v>
      </c>
      <c r="H125" t="str">
        <f>CONCATENATE(H$2,": ",H$3,list1!H125,"]")</f>
        <v xml:space="preserve"> (Потребляемая мощность) Обогрев: S[5.5]</v>
      </c>
      <c r="I125" t="str">
        <f>CONCATENATE(I$2,": ",I$3,list1!I125,"]")</f>
        <v xml:space="preserve"> (Рабочий ток) Охлаждение: S[]</v>
      </c>
      <c r="J125" t="str">
        <f>CONCATENATE(J$2,": ",J$3,list1!J125,"]")</f>
        <v xml:space="preserve"> (Рабочий ток) Обогрев: S[]</v>
      </c>
      <c r="K125" t="str">
        <f>CONCATENATE(K$2,": ",K$3,list1!K125,"]")</f>
        <v xml:space="preserve"> (Рабочий ток) Напряжение / Частота источника питания: S[1 / 230 / 50]</v>
      </c>
      <c r="L125" t="str">
        <f>CONCATENATE(L$2,": ",L$3,list1!L125,"]")</f>
        <v xml:space="preserve"> (Рабочий ток) Хладагент: S[]</v>
      </c>
      <c r="M125" t="str">
        <f>CONCATENATE(M$2,": ",M$3,list1!M125,"]")</f>
        <v xml:space="preserve"> (Рабочий ток) Количество хладагента: N[]</v>
      </c>
      <c r="N125" t="str">
        <f>CONCATENATE(N$2,": ",N$3,list1!N125,"]")</f>
        <v xml:space="preserve"> (Рабочий ток) Объем рециркулируемого воздуха внутреннего блока: S[]</v>
      </c>
      <c r="O125" t="str">
        <f>CONCATENATE(O$2,": ",O$3,list1!O125,"]")</f>
        <v xml:space="preserve"> (Внутренний блок) Размеры (Ш x Г x В): S[570 х 570 х 245]</v>
      </c>
      <c r="P125" t="str">
        <f>CONCATENATE(P$2,": ",P$3,list1!P125,"]")</f>
        <v xml:space="preserve"> (Внутренний блок) Упаковка (Ш x Г x В): S[730 х 625 х 265]</v>
      </c>
      <c r="Q125" t="str">
        <f>CONCATENATE(Q$2,": ",Q$3,list1!Q125,"]")</f>
        <v xml:space="preserve"> (Внутренний блок) Масса (нетто / брутто): S[16 / 19]</v>
      </c>
      <c r="R125" t="str">
        <f>CONCATENATE(R$2,": ",R$3,list1!R125,"]")</f>
        <v xml:space="preserve"> (Внутренний блок) Уровень шума мин. / макс.: S[]</v>
      </c>
      <c r="S125" t="str">
        <f>CONCATENATE(S$2,": ",S$3,list1!S125,"]")</f>
        <v xml:space="preserve"> (Наружный блок) Марка компрессора: S[]</v>
      </c>
      <c r="T125" t="str">
        <f>CONCATENATE(T$2,": ",T$3,list1!T125,"]")</f>
        <v xml:space="preserve"> (Наружный блок) Размеры (Ш x Г x В): S[570 х 570 х 245]</v>
      </c>
      <c r="U125" t="str">
        <f>CONCATENATE(U$2,": ",U$3,list1!U125,"]")</f>
        <v xml:space="preserve"> (Наружный блок) Упаковка (Ш x Г x В): S[730 х 625 х 265]</v>
      </c>
      <c r="V125" t="str">
        <f>CONCATENATE(V$2,": ",V$3,list1!V125,"]")</f>
        <v xml:space="preserve"> (Наружный блок) Масса (нетто / брутто): S[16 / 19]</v>
      </c>
      <c r="W125" t="str">
        <f>CONCATENATE(W$2,": ",W$3,list1!W125,"]")</f>
        <v xml:space="preserve"> (Наружный блок) Максимальный уровень шума: N[]</v>
      </c>
      <c r="X125" t="str">
        <f>CONCATENATE(X$2,": ",X$3,list1!X125,"]")</f>
        <v xml:space="preserve"> (Соединительные трубы) Жидкостная линия : N[6.35]</v>
      </c>
      <c r="Y125" t="str">
        <f>CONCATENATE(Y$2,": ",Y$3,list1!Y125,"]")</f>
        <v xml:space="preserve"> (Соединительные трубы) Газовая линия : N[15.88]</v>
      </c>
      <c r="Z125" t="str">
        <f>CONCATENATE(Z$2,": ",Z$3,list1!Z125,"]")</f>
        <v xml:space="preserve"> (Соединительные трубы) Максимальная длина трубопровода: N[]</v>
      </c>
      <c r="AA125" t="str">
        <f>CONCATENATE(AA$2,": ",AA$3,list1!AA125,"]")</f>
        <v xml:space="preserve"> (Соединительные трубы) Максимальный перепад высот: S[]</v>
      </c>
      <c r="AB125" t="str">
        <f>CONCATENATE(AB$2,": ",AB$3,list1!AB125,"]")</f>
        <v xml:space="preserve"> (Допустимая темп. наружного воздуха) Охлаждение: S[]</v>
      </c>
      <c r="AC125" t="str">
        <f>CONCATENATE(AC$2,": ",AC$3,list1!AC125,"]")</f>
        <v xml:space="preserve"> (Допустимая темп. наружного воздуха) Обогрев: S[]</v>
      </c>
      <c r="AD125" s="6" t="s">
        <v>5172</v>
      </c>
    </row>
    <row r="126" spans="1:30" x14ac:dyDescent="0.25">
      <c r="A126" t="str">
        <f>CONCATENATE(A$2,": ",A$3,list1!A126,"]")</f>
        <v>Производитель: E[FUJITSU]</v>
      </c>
      <c r="B126" t="str">
        <f>CONCATENATE(B$2,": ",B$3,list1!B126,"]")</f>
        <v xml:space="preserve"> Тип: S[Напольно-потолочные]</v>
      </c>
      <c r="C126" t="str">
        <f>CONCATENATE(C$2,": ",C$3,list1!C126,"]")</f>
        <v xml:space="preserve"> (Сплит система) Холодопроизводительность: N[4]</v>
      </c>
      <c r="D126" t="str">
        <f>CONCATENATE(D$2,": ",D$3,list1!D126,"]")</f>
        <v xml:space="preserve"> (Сплит система) Площадь помещения: N[40]</v>
      </c>
      <c r="E126" t="str">
        <f>CONCATENATE(E$2,": ",E$3,list1!E126,"]")</f>
        <v xml:space="preserve"> (Сплит система) Инвентор: S[да]</v>
      </c>
      <c r="F126" t="str">
        <f>CONCATENATE(F$2,": ",F$3,list1!F126,"]")</f>
        <v xml:space="preserve"> (Сплит система) Теплопроизводительность: N[4]</v>
      </c>
      <c r="G126" t="str">
        <f>CONCATENATE(G$2,": ",G$3,list1!G126,"]")</f>
        <v xml:space="preserve"> (Потребляемая мощность) Охлаждение: N[0.026]</v>
      </c>
      <c r="H126" t="str">
        <f>CONCATENATE(H$2,": ",H$3,list1!H126,"]")</f>
        <v xml:space="preserve"> (Потребляемая мощность) Обогрев: S[0.026]</v>
      </c>
      <c r="I126" t="str">
        <f>CONCATENATE(I$2,": ",I$3,list1!I126,"]")</f>
        <v xml:space="preserve"> (Рабочий ток) Охлаждение: S[]</v>
      </c>
      <c r="J126" t="str">
        <f>CONCATENATE(J$2,": ",J$3,list1!J126,"]")</f>
        <v xml:space="preserve"> (Рабочий ток) Обогрев: S[]</v>
      </c>
      <c r="K126" t="str">
        <f>CONCATENATE(K$2,": ",K$3,list1!K126,"]")</f>
        <v xml:space="preserve"> (Рабочий ток) Напряжение / Частота источника питания: S[1 / 230 / 50]</v>
      </c>
      <c r="L126" t="str">
        <f>CONCATENATE(L$2,": ",L$3,list1!L126,"]")</f>
        <v xml:space="preserve"> (Рабочий ток) Хладагент: S[]</v>
      </c>
      <c r="M126" t="str">
        <f>CONCATENATE(M$2,": ",M$3,list1!M126,"]")</f>
        <v xml:space="preserve"> (Рабочий ток) Количество хладагента: N[]</v>
      </c>
      <c r="N126" t="str">
        <f>CONCATENATE(N$2,": ",N$3,list1!N126,"]")</f>
        <v xml:space="preserve"> (Рабочий ток) Объем рециркулируемого воздуха внутреннего блока: S[]</v>
      </c>
      <c r="O126" t="str">
        <f>CONCATENATE(O$2,": ",O$3,list1!O126,"]")</f>
        <v xml:space="preserve"> (Внутренний блок) Размеры (Ш x Г x В): S[990 х 199 х 655]</v>
      </c>
      <c r="P126" t="str">
        <f>CONCATENATE(P$2,": ",P$3,list1!P126,"]")</f>
        <v xml:space="preserve"> (Внутренний блок) Упаковка (Ш x Г x В): S[1150 х 320 х 790]</v>
      </c>
      <c r="Q126" t="str">
        <f>CONCATENATE(Q$2,": ",Q$3,list1!Q126,"]")</f>
        <v xml:space="preserve"> (Внутренний блок) Масса (нетто / брутто): S[27 / 36]</v>
      </c>
      <c r="R126" t="str">
        <f>CONCATENATE(R$2,": ",R$3,list1!R126,"]")</f>
        <v xml:space="preserve"> (Внутренний блок) Уровень шума мин. / макс.: S[]</v>
      </c>
      <c r="S126" t="str">
        <f>CONCATENATE(S$2,": ",S$3,list1!S126,"]")</f>
        <v xml:space="preserve"> (Наружный блок) Марка компрессора: S[]</v>
      </c>
      <c r="T126" t="str">
        <f>CONCATENATE(T$2,": ",T$3,list1!T126,"]")</f>
        <v xml:space="preserve"> (Наружный блок) Размеры (Ш x Г x В): S[990 х 199 х 655]</v>
      </c>
      <c r="U126" t="str">
        <f>CONCATENATE(U$2,": ",U$3,list1!U126,"]")</f>
        <v xml:space="preserve"> (Наружный блок) Упаковка (Ш x Г x В): S[1150 х 320 х 790]</v>
      </c>
      <c r="V126" t="str">
        <f>CONCATENATE(V$2,": ",V$3,list1!V126,"]")</f>
        <v xml:space="preserve"> (Наружный блок) Масса (нетто / брутто): S[27 / 36]</v>
      </c>
      <c r="W126" t="str">
        <f>CONCATENATE(W$2,": ",W$3,list1!W126,"]")</f>
        <v xml:space="preserve"> (Наружный блок) Максимальный уровень шума: N[]</v>
      </c>
      <c r="X126" t="str">
        <f>CONCATENATE(X$2,": ",X$3,list1!X126,"]")</f>
        <v xml:space="preserve"> (Соединительные трубы) Жидкостная линия : N[6.35]</v>
      </c>
      <c r="Y126" t="str">
        <f>CONCATENATE(Y$2,": ",Y$3,list1!Y126,"]")</f>
        <v xml:space="preserve"> (Соединительные трубы) Газовая линия : N[12.7]</v>
      </c>
      <c r="Z126" t="str">
        <f>CONCATENATE(Z$2,": ",Z$3,list1!Z126,"]")</f>
        <v xml:space="preserve"> (Соединительные трубы) Максимальная длина трубопровода: N[]</v>
      </c>
      <c r="AA126" t="str">
        <f>CONCATENATE(AA$2,": ",AA$3,list1!AA126,"]")</f>
        <v xml:space="preserve"> (Соединительные трубы) Максимальный перепад высот: S[]</v>
      </c>
      <c r="AB126" t="str">
        <f>CONCATENATE(AB$2,": ",AB$3,list1!AB126,"]")</f>
        <v xml:space="preserve"> (Допустимая темп. наружного воздуха) Охлаждение: S[]</v>
      </c>
      <c r="AC126" t="str">
        <f>CONCATENATE(AC$2,": ",AC$3,list1!AC126,"]")</f>
        <v xml:space="preserve"> (Допустимая темп. наружного воздуха) Обогрев: S[]</v>
      </c>
      <c r="AD126" s="6" t="s">
        <v>5172</v>
      </c>
    </row>
    <row r="127" spans="1:30" x14ac:dyDescent="0.25">
      <c r="A127" t="str">
        <f>CONCATENATE(A$2,": ",A$3,list1!A127,"]")</f>
        <v>Производитель: E[FUJITSU]</v>
      </c>
      <c r="B127" t="str">
        <f>CONCATENATE(B$2,": ",B$3,list1!B127,"]")</f>
        <v xml:space="preserve"> Тип: S[Напольно-потолочные]</v>
      </c>
      <c r="C127" t="str">
        <f>CONCATENATE(C$2,": ",C$3,list1!C127,"]")</f>
        <v xml:space="preserve"> (Сплит система) Холодопроизводительность: N[5]</v>
      </c>
      <c r="D127" t="str">
        <f>CONCATENATE(D$2,": ",D$3,list1!D127,"]")</f>
        <v xml:space="preserve"> (Сплит система) Площадь помещения: N[50]</v>
      </c>
      <c r="E127" t="str">
        <f>CONCATENATE(E$2,": ",E$3,list1!E127,"]")</f>
        <v xml:space="preserve"> (Сплит система) Инвентор: S[да]</v>
      </c>
      <c r="F127" t="str">
        <f>CONCATENATE(F$2,": ",F$3,list1!F127,"]")</f>
        <v xml:space="preserve"> (Сплит система) Теплопроизводительность: N[5]</v>
      </c>
      <c r="G127" t="str">
        <f>CONCATENATE(G$2,": ",G$3,list1!G127,"]")</f>
        <v xml:space="preserve"> (Потребляемая мощность) Охлаждение: N[0.047]</v>
      </c>
      <c r="H127" t="str">
        <f>CONCATENATE(H$2,": ",H$3,list1!H127,"]")</f>
        <v xml:space="preserve"> (Потребляемая мощность) Обогрев: S[0.047]</v>
      </c>
      <c r="I127" t="str">
        <f>CONCATENATE(I$2,": ",I$3,list1!I127,"]")</f>
        <v xml:space="preserve"> (Рабочий ток) Охлаждение: S[]</v>
      </c>
      <c r="J127" t="str">
        <f>CONCATENATE(J$2,": ",J$3,list1!J127,"]")</f>
        <v xml:space="preserve"> (Рабочий ток) Обогрев: S[]</v>
      </c>
      <c r="K127" t="str">
        <f>CONCATENATE(K$2,": ",K$3,list1!K127,"]")</f>
        <v xml:space="preserve"> (Рабочий ток) Напряжение / Частота источника питания: S[1 / 230 / 50]</v>
      </c>
      <c r="L127" t="str">
        <f>CONCATENATE(L$2,": ",L$3,list1!L127,"]")</f>
        <v xml:space="preserve"> (Рабочий ток) Хладагент: S[]</v>
      </c>
      <c r="M127" t="str">
        <f>CONCATENATE(M$2,": ",M$3,list1!M127,"]")</f>
        <v xml:space="preserve"> (Рабочий ток) Количество хладагента: N[]</v>
      </c>
      <c r="N127" t="str">
        <f>CONCATENATE(N$2,": ",N$3,list1!N127,"]")</f>
        <v xml:space="preserve"> (Рабочий ток) Объем рециркулируемого воздуха внутреннего блока: S[]</v>
      </c>
      <c r="O127" t="str">
        <f>CONCATENATE(O$2,": ",O$3,list1!O127,"]")</f>
        <v xml:space="preserve"> (Внутренний блок) Размеры (Ш x Г x В): S[990 х 655 х 199]</v>
      </c>
      <c r="P127" t="str">
        <f>CONCATENATE(P$2,": ",P$3,list1!P127,"]")</f>
        <v xml:space="preserve"> (Внутренний блок) Упаковка (Ш x Г x В): S[1150 х 790 х 320]</v>
      </c>
      <c r="Q127" t="str">
        <f>CONCATENATE(Q$2,": ",Q$3,list1!Q127,"]")</f>
        <v xml:space="preserve"> (Внутренний блок) Масса (нетто / брутто): S[27 / 36]</v>
      </c>
      <c r="R127" t="str">
        <f>CONCATENATE(R$2,": ",R$3,list1!R127,"]")</f>
        <v xml:space="preserve"> (Внутренний блок) Уровень шума мин. / макс.: S[]</v>
      </c>
      <c r="S127" t="str">
        <f>CONCATENATE(S$2,": ",S$3,list1!S127,"]")</f>
        <v xml:space="preserve"> (Наружный блок) Марка компрессора: S[]</v>
      </c>
      <c r="T127" t="str">
        <f>CONCATENATE(T$2,": ",T$3,list1!T127,"]")</f>
        <v xml:space="preserve"> (Наружный блок) Размеры (Ш x Г x В): S[990 х 655 х 199]</v>
      </c>
      <c r="U127" t="str">
        <f>CONCATENATE(U$2,": ",U$3,list1!U127,"]")</f>
        <v xml:space="preserve"> (Наружный блок) Упаковка (Ш x Г x В): S[1150 х 790 х 320]</v>
      </c>
      <c r="V127" t="str">
        <f>CONCATENATE(V$2,": ",V$3,list1!V127,"]")</f>
        <v xml:space="preserve"> (Наружный блок) Масса (нетто / брутто): S[27 / 36]</v>
      </c>
      <c r="W127" t="str">
        <f>CONCATENATE(W$2,": ",W$3,list1!W127,"]")</f>
        <v xml:space="preserve"> (Наружный блок) Максимальный уровень шума: N[]</v>
      </c>
      <c r="X127" t="str">
        <f>CONCATENATE(X$2,": ",X$3,list1!X127,"]")</f>
        <v xml:space="preserve"> (Соединительные трубы) Жидкостная линия : N[6.35]</v>
      </c>
      <c r="Y127" t="str">
        <f>CONCATENATE(Y$2,": ",Y$3,list1!Y127,"]")</f>
        <v xml:space="preserve"> (Соединительные трубы) Газовая линия : N[12.7]</v>
      </c>
      <c r="Z127" t="str">
        <f>CONCATENATE(Z$2,": ",Z$3,list1!Z127,"]")</f>
        <v xml:space="preserve"> (Соединительные трубы) Максимальная длина трубопровода: N[25]</v>
      </c>
      <c r="AA127" t="str">
        <f>CONCATENATE(AA$2,": ",AA$3,list1!AA127,"]")</f>
        <v xml:space="preserve"> (Соединительные трубы) Максимальный перепад высот: S[15]</v>
      </c>
      <c r="AB127" t="str">
        <f>CONCATENATE(AB$2,": ",AB$3,list1!AB127,"]")</f>
        <v xml:space="preserve"> (Допустимая темп. наружного воздуха) Охлаждение: S[]</v>
      </c>
      <c r="AC127" t="str">
        <f>CONCATENATE(AC$2,": ",AC$3,list1!AC127,"]")</f>
        <v xml:space="preserve"> (Допустимая темп. наружного воздуха) Обогрев: S[]</v>
      </c>
      <c r="AD127" s="6" t="s">
        <v>5172</v>
      </c>
    </row>
    <row r="128" spans="1:30" x14ac:dyDescent="0.25">
      <c r="A128" t="str">
        <f>CONCATENATE(A$2,": ",A$3,list1!A128,"]")</f>
        <v>Производитель: E[FUJITSU]</v>
      </c>
      <c r="B128" t="str">
        <f>CONCATENATE(B$2,": ",B$3,list1!B128,"]")</f>
        <v xml:space="preserve"> Тип: S[Напольно-потолочные]</v>
      </c>
      <c r="C128" t="str">
        <f>CONCATENATE(C$2,": ",C$3,list1!C128,"]")</f>
        <v xml:space="preserve"> (Сплит система) Холодопроизводительность: N[6.25]</v>
      </c>
      <c r="D128" t="str">
        <f>CONCATENATE(D$2,": ",D$3,list1!D128,"]")</f>
        <v xml:space="preserve"> (Сплит система) Площадь помещения: N[63]</v>
      </c>
      <c r="E128" t="str">
        <f>CONCATENATE(E$2,": ",E$3,list1!E128,"]")</f>
        <v xml:space="preserve"> (Сплит система) Инвентор: S[да]</v>
      </c>
      <c r="F128" t="str">
        <f>CONCATENATE(F$2,": ",F$3,list1!F128,"]")</f>
        <v xml:space="preserve"> (Сплит система) Теплопроизводительность: N[7]</v>
      </c>
      <c r="G128" t="str">
        <f>CONCATENATE(G$2,": ",G$3,list1!G128,"]")</f>
        <v xml:space="preserve"> (Потребляемая мощность) Охлаждение: N[0.08]</v>
      </c>
      <c r="H128" t="str">
        <f>CONCATENATE(H$2,": ",H$3,list1!H128,"]")</f>
        <v xml:space="preserve"> (Потребляемая мощность) Обогрев: S[0.08]</v>
      </c>
      <c r="I128" t="str">
        <f>CONCATENATE(I$2,": ",I$3,list1!I128,"]")</f>
        <v xml:space="preserve"> (Рабочий ток) Охлаждение: S[]</v>
      </c>
      <c r="J128" t="str">
        <f>CONCATENATE(J$2,": ",J$3,list1!J128,"]")</f>
        <v xml:space="preserve"> (Рабочий ток) Обогрев: S[]</v>
      </c>
      <c r="K128" t="str">
        <f>CONCATENATE(K$2,": ",K$3,list1!K128,"]")</f>
        <v xml:space="preserve"> (Рабочий ток) Напряжение / Частота источника питания: S[1 / 230 / 50]</v>
      </c>
      <c r="L128" t="str">
        <f>CONCATENATE(L$2,": ",L$3,list1!L128,"]")</f>
        <v xml:space="preserve"> (Рабочий ток) Хладагент: S[]</v>
      </c>
      <c r="M128" t="str">
        <f>CONCATENATE(M$2,": ",M$3,list1!M128,"]")</f>
        <v xml:space="preserve"> (Рабочий ток) Количество хладагента: N[]</v>
      </c>
      <c r="N128" t="str">
        <f>CONCATENATE(N$2,": ",N$3,list1!N128,"]")</f>
        <v xml:space="preserve"> (Рабочий ток) Объем рециркулируемого воздуха внутреннего блока: S[]</v>
      </c>
      <c r="O128" t="str">
        <f>CONCATENATE(O$2,": ",O$3,list1!O128,"]")</f>
        <v xml:space="preserve"> (Внутренний блок) Размеры (Ш x Г x В): S[655 х 990 х 199]</v>
      </c>
      <c r="P128" t="str">
        <f>CONCATENATE(P$2,": ",P$3,list1!P128,"]")</f>
        <v xml:space="preserve"> (Внутренний блок) Упаковка (Ш x Г x В): S[655 х 990 х 199]</v>
      </c>
      <c r="Q128" t="str">
        <f>CONCATENATE(Q$2,": ",Q$3,list1!Q128,"]")</f>
        <v xml:space="preserve"> (Внутренний блок) Масса (нетто / брутто): S[27 / 27]</v>
      </c>
      <c r="R128" t="str">
        <f>CONCATENATE(R$2,": ",R$3,list1!R128,"]")</f>
        <v xml:space="preserve"> (Внутренний блок) Уровень шума мин. / макс.: S[]</v>
      </c>
      <c r="S128" t="str">
        <f>CONCATENATE(S$2,": ",S$3,list1!S128,"]")</f>
        <v xml:space="preserve"> (Наружный блок) Марка компрессора: S[]</v>
      </c>
      <c r="T128" t="str">
        <f>CONCATENATE(T$2,": ",T$3,list1!T128,"]")</f>
        <v xml:space="preserve"> (Наружный блок) Размеры (Ш x Г x В): S[655 х 990 х 199]</v>
      </c>
      <c r="U128" t="str">
        <f>CONCATENATE(U$2,": ",U$3,list1!U128,"]")</f>
        <v xml:space="preserve"> (Наружный блок) Упаковка (Ш x Г x В): S[655 х 990 х 199]</v>
      </c>
      <c r="V128" t="str">
        <f>CONCATENATE(V$2,": ",V$3,list1!V128,"]")</f>
        <v xml:space="preserve"> (Наружный блок) Масса (нетто / брутто): S[27 / 27]</v>
      </c>
      <c r="W128" t="str">
        <f>CONCATENATE(W$2,": ",W$3,list1!W128,"]")</f>
        <v xml:space="preserve"> (Наружный блок) Максимальный уровень шума: N[]</v>
      </c>
      <c r="X128" t="str">
        <f>CONCATENATE(X$2,": ",X$3,list1!X128,"]")</f>
        <v xml:space="preserve"> (Соединительные трубы) Жидкостная линия : N[6.35]</v>
      </c>
      <c r="Y128" t="str">
        <f>CONCATENATE(Y$2,": ",Y$3,list1!Y128,"]")</f>
        <v xml:space="preserve"> (Соединительные трубы) Газовая линия : N[15.88]</v>
      </c>
      <c r="Z128" t="str">
        <f>CONCATENATE(Z$2,": ",Z$3,list1!Z128,"]")</f>
        <v xml:space="preserve"> (Соединительные трубы) Максимальная длина трубопровода: N[]</v>
      </c>
      <c r="AA128" t="str">
        <f>CONCATENATE(AA$2,": ",AA$3,list1!AA128,"]")</f>
        <v xml:space="preserve"> (Соединительные трубы) Максимальный перепад высот: S[]</v>
      </c>
      <c r="AB128" t="str">
        <f>CONCATENATE(AB$2,": ",AB$3,list1!AB128,"]")</f>
        <v xml:space="preserve"> (Допустимая темп. наружного воздуха) Охлаждение: S[]</v>
      </c>
      <c r="AC128" t="str">
        <f>CONCATENATE(AC$2,": ",AC$3,list1!AC128,"]")</f>
        <v xml:space="preserve"> (Допустимая темп. наружного воздуха) Обогрев: S[]</v>
      </c>
      <c r="AD128" s="6" t="s">
        <v>5172</v>
      </c>
    </row>
    <row r="129" spans="1:30" x14ac:dyDescent="0.25">
      <c r="A129" t="str">
        <f>CONCATENATE(A$2,": ",A$3,list1!A129,"]")</f>
        <v>Производитель: E[FUJITSU]</v>
      </c>
      <c r="B129" t="str">
        <f>CONCATENATE(B$2,": ",B$3,list1!B129,"]")</f>
        <v xml:space="preserve"> Тип: S[Напольно-потолочные]</v>
      </c>
      <c r="C129" t="str">
        <f>CONCATENATE(C$2,": ",C$3,list1!C129,"]")</f>
        <v xml:space="preserve"> (Сплит система) Холодопроизводительность: N[6.8]</v>
      </c>
      <c r="D129" t="str">
        <f>CONCATENATE(D$2,": ",D$3,list1!D129,"]")</f>
        <v xml:space="preserve"> (Сплит система) Площадь помещения: N[68]</v>
      </c>
      <c r="E129" t="str">
        <f>CONCATENATE(E$2,": ",E$3,list1!E129,"]")</f>
        <v xml:space="preserve"> (Сплит система) Инвентор: S[да]</v>
      </c>
      <c r="F129" t="str">
        <f>CONCATENATE(F$2,": ",F$3,list1!F129,"]")</f>
        <v xml:space="preserve"> (Сплит система) Теплопроизводительность: N[8]</v>
      </c>
      <c r="G129" t="str">
        <f>CONCATENATE(G$2,": ",G$3,list1!G129,"]")</f>
        <v xml:space="preserve"> (Потребляемая мощность) Охлаждение: N[2.21]</v>
      </c>
      <c r="H129" t="str">
        <f>CONCATENATE(H$2,": ",H$3,list1!H129,"]")</f>
        <v xml:space="preserve"> (Потребляемая мощность) Обогрев: S[2.26]</v>
      </c>
      <c r="I129" t="str">
        <f>CONCATENATE(I$2,": ",I$3,list1!I129,"]")</f>
        <v xml:space="preserve"> (Рабочий ток) Охлаждение: S[]</v>
      </c>
      <c r="J129" t="str">
        <f>CONCATENATE(J$2,": ",J$3,list1!J129,"]")</f>
        <v xml:space="preserve"> (Рабочий ток) Обогрев: S[]</v>
      </c>
      <c r="K129" t="str">
        <f>CONCATENATE(K$2,": ",K$3,list1!K129,"]")</f>
        <v xml:space="preserve"> (Рабочий ток) Напряжение / Частота источника питания: S[1 / 230 / 50]</v>
      </c>
      <c r="L129" t="str">
        <f>CONCATENATE(L$2,": ",L$3,list1!L129,"]")</f>
        <v xml:space="preserve"> (Рабочий ток) Хладагент: S[]</v>
      </c>
      <c r="M129" t="str">
        <f>CONCATENATE(M$2,": ",M$3,list1!M129,"]")</f>
        <v xml:space="preserve"> (Рабочий ток) Количество хладагента: N[]</v>
      </c>
      <c r="N129" t="str">
        <f>CONCATENATE(N$2,": ",N$3,list1!N129,"]")</f>
        <v xml:space="preserve"> (Рабочий ток) Объем рециркулируемого воздуха внутреннего блока: S[]</v>
      </c>
      <c r="O129" t="str">
        <f>CONCATENATE(O$2,": ",O$3,list1!O129,"]")</f>
        <v xml:space="preserve"> (Внутренний блок) Размеры (Ш x Г x В): S[990 х 655 х 199]</v>
      </c>
      <c r="P129" t="str">
        <f>CONCATENATE(P$2,": ",P$3,list1!P129,"]")</f>
        <v xml:space="preserve"> (Внутренний блок) Упаковка (Ш x Г x В): S[1150 х 790 х 320]</v>
      </c>
      <c r="Q129" t="str">
        <f>CONCATENATE(Q$2,": ",Q$3,list1!Q129,"]")</f>
        <v xml:space="preserve"> (Внутренний блок) Масса (нетто / брутто): S[27 / 36]</v>
      </c>
      <c r="R129" t="str">
        <f>CONCATENATE(R$2,": ",R$3,list1!R129,"]")</f>
        <v xml:space="preserve"> (Внутренний блок) Уровень шума мин. / макс.: S[]</v>
      </c>
      <c r="S129" t="str">
        <f>CONCATENATE(S$2,": ",S$3,list1!S129,"]")</f>
        <v xml:space="preserve"> (Наружный блок) Марка компрессора: S[]</v>
      </c>
      <c r="T129" t="str">
        <f>CONCATENATE(T$2,": ",T$3,list1!T129,"]")</f>
        <v xml:space="preserve"> (Наружный блок) Размеры (Ш x Г x В): S[990 х 655 х 199]</v>
      </c>
      <c r="U129" t="str">
        <f>CONCATENATE(U$2,": ",U$3,list1!U129,"]")</f>
        <v xml:space="preserve"> (Наружный блок) Упаковка (Ш x Г x В): S[1150 х 790 х 320]</v>
      </c>
      <c r="V129" t="str">
        <f>CONCATENATE(V$2,": ",V$3,list1!V129,"]")</f>
        <v xml:space="preserve"> (Наружный блок) Масса (нетто / брутто): S[27 / 36]</v>
      </c>
      <c r="W129" t="str">
        <f>CONCATENATE(W$2,": ",W$3,list1!W129,"]")</f>
        <v xml:space="preserve"> (Наружный блок) Максимальный уровень шума: N[]</v>
      </c>
      <c r="X129" t="str">
        <f>CONCATENATE(X$2,": ",X$3,list1!X129,"]")</f>
        <v xml:space="preserve"> (Соединительные трубы) Жидкостная линия : N[6.35]</v>
      </c>
      <c r="Y129" t="str">
        <f>CONCATENATE(Y$2,": ",Y$3,list1!Y129,"]")</f>
        <v xml:space="preserve"> (Соединительные трубы) Газовая линия : N[15.88]</v>
      </c>
      <c r="Z129" t="str">
        <f>CONCATENATE(Z$2,": ",Z$3,list1!Z129,"]")</f>
        <v xml:space="preserve"> (Соединительные трубы) Максимальная длина трубопровода: N[30]</v>
      </c>
      <c r="AA129" t="str">
        <f>CONCATENATE(AA$2,": ",AA$3,list1!AA129,"]")</f>
        <v xml:space="preserve"> (Соединительные трубы) Максимальный перепад высот: S[20]</v>
      </c>
      <c r="AB129" t="str">
        <f>CONCATENATE(AB$2,": ",AB$3,list1!AB129,"]")</f>
        <v xml:space="preserve"> (Допустимая темп. наружного воздуха) Охлаждение: S[]</v>
      </c>
      <c r="AC129" t="str">
        <f>CONCATENATE(AC$2,": ",AC$3,list1!AC129,"]")</f>
        <v xml:space="preserve"> (Допустимая темп. наружного воздуха) Обогрев: S[]</v>
      </c>
      <c r="AD129" s="6" t="s">
        <v>5172</v>
      </c>
    </row>
    <row r="130" spans="1:30" x14ac:dyDescent="0.25">
      <c r="A130" t="str">
        <f>CONCATENATE(A$2,": ",A$3,list1!A130,"]")</f>
        <v>Производитель: E[FUJITSU]</v>
      </c>
      <c r="B130" t="str">
        <f>CONCATENATE(B$2,": ",B$3,list1!B130,"]")</f>
        <v xml:space="preserve"> Тип: S[Напольно-потолочные]</v>
      </c>
      <c r="C130" t="str">
        <f>CONCATENATE(C$2,": ",C$3,list1!C130,"]")</f>
        <v xml:space="preserve"> (Сплит система) Холодопроизводительность: N[2.5]</v>
      </c>
      <c r="D130" t="str">
        <f>CONCATENATE(D$2,": ",D$3,list1!D130,"]")</f>
        <v xml:space="preserve"> (Сплит система) Площадь помещения: N[25]</v>
      </c>
      <c r="E130" t="str">
        <f>CONCATENATE(E$2,": ",E$3,list1!E130,"]")</f>
        <v xml:space="preserve"> (Сплит система) Инвентор: S[да]</v>
      </c>
      <c r="F130" t="str">
        <f>CONCATENATE(F$2,": ",F$3,list1!F130,"]")</f>
        <v xml:space="preserve"> (Сплит система) Теплопроизводительность: N[2.5]</v>
      </c>
      <c r="G130" t="str">
        <f>CONCATENATE(G$2,": ",G$3,list1!G130,"]")</f>
        <v xml:space="preserve"> (Потребляемая мощность) Охлаждение: N[0.016]</v>
      </c>
      <c r="H130" t="str">
        <f>CONCATENATE(H$2,": ",H$3,list1!H130,"]")</f>
        <v xml:space="preserve"> (Потребляемая мощность) Обогрев: S[0.016]</v>
      </c>
      <c r="I130" t="str">
        <f>CONCATENATE(I$2,": ",I$3,list1!I130,"]")</f>
        <v xml:space="preserve"> (Рабочий ток) Охлаждение: S[]</v>
      </c>
      <c r="J130" t="str">
        <f>CONCATENATE(J$2,": ",J$3,list1!J130,"]")</f>
        <v xml:space="preserve"> (Рабочий ток) Обогрев: S[]</v>
      </c>
      <c r="K130" t="str">
        <f>CONCATENATE(K$2,": ",K$3,list1!K130,"]")</f>
        <v xml:space="preserve"> (Рабочий ток) Напряжение / Частота источника питания: S[1 / 220 / 50]</v>
      </c>
      <c r="L130" t="str">
        <f>CONCATENATE(L$2,": ",L$3,list1!L130,"]")</f>
        <v xml:space="preserve"> (Рабочий ток) Хладагент: S[R410A]</v>
      </c>
      <c r="M130" t="str">
        <f>CONCATENATE(M$2,": ",M$3,list1!M130,"]")</f>
        <v xml:space="preserve"> (Рабочий ток) Количество хладагента: N[]</v>
      </c>
      <c r="N130" t="str">
        <f>CONCATENATE(N$2,": ",N$3,list1!N130,"]")</f>
        <v xml:space="preserve"> (Рабочий ток) Объем рециркулируемого воздуха внутреннего блока: S[]</v>
      </c>
      <c r="O130" t="str">
        <f>CONCATENATE(O$2,": ",O$3,list1!O130,"]")</f>
        <v xml:space="preserve"> (Внутренний блок) Размеры (Ш x Г x В): S[740 х 200 х 600]</v>
      </c>
      <c r="P130" t="str">
        <f>CONCATENATE(P$2,": ",P$3,list1!P130,"]")</f>
        <v xml:space="preserve"> (Внутренний блок) Упаковка (Ш x Г x В): S[820 х 310 х 700]</v>
      </c>
      <c r="Q130" t="str">
        <f>CONCATENATE(Q$2,": ",Q$3,list1!Q130,"]")</f>
        <v xml:space="preserve"> (Внутренний блок) Масса (нетто / брутто): S[14 / 17]</v>
      </c>
      <c r="R130" t="str">
        <f>CONCATENATE(R$2,": ",R$3,list1!R130,"]")</f>
        <v xml:space="preserve"> (Внутренний блок) Уровень шума мин. / макс.: S[]</v>
      </c>
      <c r="S130" t="str">
        <f>CONCATENATE(S$2,": ",S$3,list1!S130,"]")</f>
        <v xml:space="preserve"> (Наружный блок) Марка компрессора: S[]</v>
      </c>
      <c r="T130" t="str">
        <f>CONCATENATE(T$2,": ",T$3,list1!T130,"]")</f>
        <v xml:space="preserve"> (Наружный блок) Размеры (Ш x Г x В): S[740 х 200 х 600]</v>
      </c>
      <c r="U130" t="str">
        <f>CONCATENATE(U$2,": ",U$3,list1!U130,"]")</f>
        <v xml:space="preserve"> (Наружный блок) Упаковка (Ш x Г x В): S[820 х 310 х 700]</v>
      </c>
      <c r="V130" t="str">
        <f>CONCATENATE(V$2,": ",V$3,list1!V130,"]")</f>
        <v xml:space="preserve"> (Наружный блок) Масса (нетто / брутто): S[14 / 17]</v>
      </c>
      <c r="W130" t="str">
        <f>CONCATENATE(W$2,": ",W$3,list1!W130,"]")</f>
        <v xml:space="preserve"> (Наружный блок) Максимальный уровень шума: N[]</v>
      </c>
      <c r="X130" t="str">
        <f>CONCATENATE(X$2,": ",X$3,list1!X130,"]")</f>
        <v xml:space="preserve"> (Соединительные трубы) Жидкостная линия : N[6.35]</v>
      </c>
      <c r="Y130" t="str">
        <f>CONCATENATE(Y$2,": ",Y$3,list1!Y130,"]")</f>
        <v xml:space="preserve"> (Соединительные трубы) Газовая линия : N[9.52]</v>
      </c>
      <c r="Z130" t="str">
        <f>CONCATENATE(Z$2,": ",Z$3,list1!Z130,"]")</f>
        <v xml:space="preserve"> (Соединительные трубы) Максимальная длина трубопровода: N[]</v>
      </c>
      <c r="AA130" t="str">
        <f>CONCATENATE(AA$2,": ",AA$3,list1!AA130,"]")</f>
        <v xml:space="preserve"> (Соединительные трубы) Максимальный перепад высот: S[]</v>
      </c>
      <c r="AB130" t="str">
        <f>CONCATENATE(AB$2,": ",AB$3,list1!AB130,"]")</f>
        <v xml:space="preserve"> (Допустимая темп. наружного воздуха) Охлаждение: S[]</v>
      </c>
      <c r="AC130" t="str">
        <f>CONCATENATE(AC$2,": ",AC$3,list1!AC130,"]")</f>
        <v xml:space="preserve"> (Допустимая темп. наружного воздуха) Обогрев: S[]</v>
      </c>
      <c r="AD130" s="6" t="s">
        <v>5172</v>
      </c>
    </row>
    <row r="131" spans="1:30" x14ac:dyDescent="0.25">
      <c r="A131" t="str">
        <f>CONCATENATE(A$2,": ",A$3,list1!A131,"]")</f>
        <v>Производитель: E[FUJITSU]</v>
      </c>
      <c r="B131" t="str">
        <f>CONCATENATE(B$2,": ",B$3,list1!B131,"]")</f>
        <v xml:space="preserve"> Тип: S[Напольно-потолочные]</v>
      </c>
      <c r="C131" t="str">
        <f>CONCATENATE(C$2,": ",C$3,list1!C131,"]")</f>
        <v xml:space="preserve"> (Сплит система) Холодопроизводительность: N[3.5]</v>
      </c>
      <c r="D131" t="str">
        <f>CONCATENATE(D$2,": ",D$3,list1!D131,"]")</f>
        <v xml:space="preserve"> (Сплит система) Площадь помещения: N[35]</v>
      </c>
      <c r="E131" t="str">
        <f>CONCATENATE(E$2,": ",E$3,list1!E131,"]")</f>
        <v xml:space="preserve"> (Сплит система) Инвентор: S[да]</v>
      </c>
      <c r="F131" t="str">
        <f>CONCATENATE(F$2,": ",F$3,list1!F131,"]")</f>
        <v xml:space="preserve"> (Сплит система) Теплопроизводительность: N[3.5]</v>
      </c>
      <c r="G131" t="str">
        <f>CONCATENATE(G$2,": ",G$3,list1!G131,"]")</f>
        <v xml:space="preserve"> (Потребляемая мощность) Охлаждение: N[0.02]</v>
      </c>
      <c r="H131" t="str">
        <f>CONCATENATE(H$2,": ",H$3,list1!H131,"]")</f>
        <v xml:space="preserve"> (Потребляемая мощность) Обогрев: S[0.02]</v>
      </c>
      <c r="I131" t="str">
        <f>CONCATENATE(I$2,": ",I$3,list1!I131,"]")</f>
        <v xml:space="preserve"> (Рабочий ток) Охлаждение: S[]</v>
      </c>
      <c r="J131" t="str">
        <f>CONCATENATE(J$2,": ",J$3,list1!J131,"]")</f>
        <v xml:space="preserve"> (Рабочий ток) Обогрев: S[]</v>
      </c>
      <c r="K131" t="str">
        <f>CONCATENATE(K$2,": ",K$3,list1!K131,"]")</f>
        <v xml:space="preserve"> (Рабочий ток) Напряжение / Частота источника питания: S[1 / 220 / 50]</v>
      </c>
      <c r="L131" t="str">
        <f>CONCATENATE(L$2,": ",L$3,list1!L131,"]")</f>
        <v xml:space="preserve"> (Рабочий ток) Хладагент: S[R410A]</v>
      </c>
      <c r="M131" t="str">
        <f>CONCATENATE(M$2,": ",M$3,list1!M131,"]")</f>
        <v xml:space="preserve"> (Рабочий ток) Количество хладагента: N[]</v>
      </c>
      <c r="N131" t="str">
        <f>CONCATENATE(N$2,": ",N$3,list1!N131,"]")</f>
        <v xml:space="preserve"> (Рабочий ток) Объем рециркулируемого воздуха внутреннего блока: S[]</v>
      </c>
      <c r="O131" t="str">
        <f>CONCATENATE(O$2,": ",O$3,list1!O131,"]")</f>
        <v xml:space="preserve"> (Внутренний блок) Размеры (Ш x Г x В): S[740 х 200 х 600]</v>
      </c>
      <c r="P131" t="str">
        <f>CONCATENATE(P$2,": ",P$3,list1!P131,"]")</f>
        <v xml:space="preserve"> (Внутренний блок) Упаковка (Ш x Г x В): S[820 х 310 х 700]</v>
      </c>
      <c r="Q131" t="str">
        <f>CONCATENATE(Q$2,": ",Q$3,list1!Q131,"]")</f>
        <v xml:space="preserve"> (Внутренний блок) Масса (нетто / брутто): S[14 / 17]</v>
      </c>
      <c r="R131" t="str">
        <f>CONCATENATE(R$2,": ",R$3,list1!R131,"]")</f>
        <v xml:space="preserve"> (Внутренний блок) Уровень шума мин. / макс.: S[]</v>
      </c>
      <c r="S131" t="str">
        <f>CONCATENATE(S$2,": ",S$3,list1!S131,"]")</f>
        <v xml:space="preserve"> (Наружный блок) Марка компрессора: S[]</v>
      </c>
      <c r="T131" t="str">
        <f>CONCATENATE(T$2,": ",T$3,list1!T131,"]")</f>
        <v xml:space="preserve"> (Наружный блок) Размеры (Ш x Г x В): S[740 х 200 х 600]</v>
      </c>
      <c r="U131" t="str">
        <f>CONCATENATE(U$2,": ",U$3,list1!U131,"]")</f>
        <v xml:space="preserve"> (Наружный блок) Упаковка (Ш x Г x В): S[820 х 310 х 700]</v>
      </c>
      <c r="V131" t="str">
        <f>CONCATENATE(V$2,": ",V$3,list1!V131,"]")</f>
        <v xml:space="preserve"> (Наружный блок) Масса (нетто / брутто): S[14 / 17]</v>
      </c>
      <c r="W131" t="str">
        <f>CONCATENATE(W$2,": ",W$3,list1!W131,"]")</f>
        <v xml:space="preserve"> (Наружный блок) Максимальный уровень шума: N[]</v>
      </c>
      <c r="X131" t="str">
        <f>CONCATENATE(X$2,": ",X$3,list1!X131,"]")</f>
        <v xml:space="preserve"> (Соединительные трубы) Жидкостная линия : N[6.35]</v>
      </c>
      <c r="Y131" t="str">
        <f>CONCATENATE(Y$2,": ",Y$3,list1!Y131,"]")</f>
        <v xml:space="preserve"> (Соединительные трубы) Газовая линия : N[9.52]</v>
      </c>
      <c r="Z131" t="str">
        <f>CONCATENATE(Z$2,": ",Z$3,list1!Z131,"]")</f>
        <v xml:space="preserve"> (Соединительные трубы) Максимальная длина трубопровода: N[]</v>
      </c>
      <c r="AA131" t="str">
        <f>CONCATENATE(AA$2,": ",AA$3,list1!AA131,"]")</f>
        <v xml:space="preserve"> (Соединительные трубы) Максимальный перепад высот: S[]</v>
      </c>
      <c r="AB131" t="str">
        <f>CONCATENATE(AB$2,": ",AB$3,list1!AB131,"]")</f>
        <v xml:space="preserve"> (Допустимая темп. наружного воздуха) Охлаждение: S[]</v>
      </c>
      <c r="AC131" t="str">
        <f>CONCATENATE(AC$2,": ",AC$3,list1!AC131,"]")</f>
        <v xml:space="preserve"> (Допустимая темп. наружного воздуха) Обогрев: S[]</v>
      </c>
      <c r="AD131" s="6" t="s">
        <v>5172</v>
      </c>
    </row>
    <row r="132" spans="1:30" x14ac:dyDescent="0.25">
      <c r="A132" t="str">
        <f>CONCATENATE(A$2,": ",A$3,list1!A132,"]")</f>
        <v>Производитель: E[FUJITSU]</v>
      </c>
      <c r="B132" t="str">
        <f>CONCATENATE(B$2,": ",B$3,list1!B132,"]")</f>
        <v xml:space="preserve"> Тип: S[Напольно-потолочные]</v>
      </c>
      <c r="C132" t="str">
        <f>CONCATENATE(C$2,": ",C$3,list1!C132,"]")</f>
        <v xml:space="preserve"> (Сплит система) Холодопроизводительность: N[4]</v>
      </c>
      <c r="D132" t="str">
        <f>CONCATENATE(D$2,": ",D$3,list1!D132,"]")</f>
        <v xml:space="preserve"> (Сплит система) Площадь помещения: N[40]</v>
      </c>
      <c r="E132" t="str">
        <f>CONCATENATE(E$2,": ",E$3,list1!E132,"]")</f>
        <v xml:space="preserve"> (Сплит система) Инвентор: S[да]</v>
      </c>
      <c r="F132" t="str">
        <f>CONCATENATE(F$2,": ",F$3,list1!F132,"]")</f>
        <v xml:space="preserve"> (Сплит система) Теплопроизводительность: N[4]</v>
      </c>
      <c r="G132" t="str">
        <f>CONCATENATE(G$2,": ",G$3,list1!G132,"]")</f>
        <v xml:space="preserve"> (Потребляемая мощность) Охлаждение: N[0.023]</v>
      </c>
      <c r="H132" t="str">
        <f>CONCATENATE(H$2,": ",H$3,list1!H132,"]")</f>
        <v xml:space="preserve"> (Потребляемая мощность) Обогрев: S[0.023]</v>
      </c>
      <c r="I132" t="str">
        <f>CONCATENATE(I$2,": ",I$3,list1!I132,"]")</f>
        <v xml:space="preserve"> (Рабочий ток) Охлаждение: S[]</v>
      </c>
      <c r="J132" t="str">
        <f>CONCATENATE(J$2,": ",J$3,list1!J132,"]")</f>
        <v xml:space="preserve"> (Рабочий ток) Обогрев: S[]</v>
      </c>
      <c r="K132" t="str">
        <f>CONCATENATE(K$2,": ",K$3,list1!K132,"]")</f>
        <v xml:space="preserve"> (Рабочий ток) Напряжение / Частота источника питания: S[1 / 230 / 50]</v>
      </c>
      <c r="L132" t="str">
        <f>CONCATENATE(L$2,": ",L$3,list1!L132,"]")</f>
        <v xml:space="preserve"> (Рабочий ток) Хладагент: S[R410A]</v>
      </c>
      <c r="M132" t="str">
        <f>CONCATENATE(M$2,": ",M$3,list1!M132,"]")</f>
        <v xml:space="preserve"> (Рабочий ток) Количество хладагента: N[]</v>
      </c>
      <c r="N132" t="str">
        <f>CONCATENATE(N$2,": ",N$3,list1!N132,"]")</f>
        <v xml:space="preserve"> (Рабочий ток) Объем рециркулируемого воздуха внутреннего блока: S[]</v>
      </c>
      <c r="O132" t="str">
        <f>CONCATENATE(O$2,": ",O$3,list1!O132,"]")</f>
        <v xml:space="preserve"> (Внутренний блок) Размеры (Ш x Г x В): S[740 х 200 х 600]</v>
      </c>
      <c r="P132" t="str">
        <f>CONCATENATE(P$2,": ",P$3,list1!P132,"]")</f>
        <v xml:space="preserve"> (Внутренний блок) Упаковка (Ш x Г x В): S[820 х 310 х 700]</v>
      </c>
      <c r="Q132" t="str">
        <f>CONCATENATE(Q$2,": ",Q$3,list1!Q132,"]")</f>
        <v xml:space="preserve"> (Внутренний блок) Масса (нетто / брутто): S[14 / 17]</v>
      </c>
      <c r="R132" t="str">
        <f>CONCATENATE(R$2,": ",R$3,list1!R132,"]")</f>
        <v xml:space="preserve"> (Внутренний блок) Уровень шума мин. / макс.: S[]</v>
      </c>
      <c r="S132" t="str">
        <f>CONCATENATE(S$2,": ",S$3,list1!S132,"]")</f>
        <v xml:space="preserve"> (Наружный блок) Марка компрессора: S[]</v>
      </c>
      <c r="T132" t="str">
        <f>CONCATENATE(T$2,": ",T$3,list1!T132,"]")</f>
        <v xml:space="preserve"> (Наружный блок) Размеры (Ш x Г x В): S[740 х 200 х 600]</v>
      </c>
      <c r="U132" t="str">
        <f>CONCATENATE(U$2,": ",U$3,list1!U132,"]")</f>
        <v xml:space="preserve"> (Наружный блок) Упаковка (Ш x Г x В): S[820 х 310 х 700]</v>
      </c>
      <c r="V132" t="str">
        <f>CONCATENATE(V$2,": ",V$3,list1!V132,"]")</f>
        <v xml:space="preserve"> (Наружный блок) Масса (нетто / брутто): S[14 / 17]</v>
      </c>
      <c r="W132" t="str">
        <f>CONCATENATE(W$2,": ",W$3,list1!W132,"]")</f>
        <v xml:space="preserve"> (Наружный блок) Максимальный уровень шума: N[]</v>
      </c>
      <c r="X132" t="str">
        <f>CONCATENATE(X$2,": ",X$3,list1!X132,"]")</f>
        <v xml:space="preserve"> (Соединительные трубы) Жидкостная линия : N[6.35]</v>
      </c>
      <c r="Y132" t="str">
        <f>CONCATENATE(Y$2,": ",Y$3,list1!Y132,"]")</f>
        <v xml:space="preserve"> (Соединительные трубы) Газовая линия : N[12.7]</v>
      </c>
      <c r="Z132" t="str">
        <f>CONCATENATE(Z$2,": ",Z$3,list1!Z132,"]")</f>
        <v xml:space="preserve"> (Соединительные трубы) Максимальная длина трубопровода: N[]</v>
      </c>
      <c r="AA132" t="str">
        <f>CONCATENATE(AA$2,": ",AA$3,list1!AA132,"]")</f>
        <v xml:space="preserve"> (Соединительные трубы) Максимальный перепад высот: S[]</v>
      </c>
      <c r="AB132" t="str">
        <f>CONCATENATE(AB$2,": ",AB$3,list1!AB132,"]")</f>
        <v xml:space="preserve"> (Допустимая темп. наружного воздуха) Охлаждение: S[]</v>
      </c>
      <c r="AC132" t="str">
        <f>CONCATENATE(AC$2,": ",AC$3,list1!AC132,"]")</f>
        <v xml:space="preserve"> (Допустимая темп. наружного воздуха) Обогрев: S[]</v>
      </c>
      <c r="AD132" s="6" t="s">
        <v>5172</v>
      </c>
    </row>
    <row r="133" spans="1:30" x14ac:dyDescent="0.25">
      <c r="A133" t="str">
        <f>CONCATENATE(A$2,": ",A$3,list1!A133,"]")</f>
        <v>Производитель: E[FUJITSU]</v>
      </c>
      <c r="B133" t="str">
        <f>CONCATENATE(B$2,": ",B$3,list1!B133,"]")</f>
        <v xml:space="preserve"> Тип: S[Мульти сплит система]</v>
      </c>
      <c r="C133" t="str">
        <f>CONCATENATE(C$2,": ",C$3,list1!C133,"]")</f>
        <v xml:space="preserve"> (Сплит система) Холодопроизводительность: N[12.5]</v>
      </c>
      <c r="D133" t="str">
        <f>CONCATENATE(D$2,": ",D$3,list1!D133,"]")</f>
        <v xml:space="preserve"> (Сплит система) Площадь помещения: N[125]</v>
      </c>
      <c r="E133" t="str">
        <f>CONCATENATE(E$2,": ",E$3,list1!E133,"]")</f>
        <v xml:space="preserve"> (Сплит система) Инвентор: S[да]</v>
      </c>
      <c r="F133" t="str">
        <f>CONCATENATE(F$2,": ",F$3,list1!F133,"]")</f>
        <v xml:space="preserve"> (Сплит система) Теплопроизводительность: N[14]</v>
      </c>
      <c r="G133" t="str">
        <f>CONCATENATE(G$2,": ",G$3,list1!G133,"]")</f>
        <v xml:space="preserve"> (Потребляемая мощность) Охлаждение: N[4.06]</v>
      </c>
      <c r="H133" t="str">
        <f>CONCATENATE(H$2,": ",H$3,list1!H133,"]")</f>
        <v xml:space="preserve"> (Потребляемая мощность) Обогрев: S[3.67]</v>
      </c>
      <c r="I133" t="str">
        <f>CONCATENATE(I$2,": ",I$3,list1!I133,"]")</f>
        <v xml:space="preserve"> (Рабочий ток) Охлаждение: S[]</v>
      </c>
      <c r="J133" t="str">
        <f>CONCATENATE(J$2,": ",J$3,list1!J133,"]")</f>
        <v xml:space="preserve"> (Рабочий ток) Обогрев: S[]</v>
      </c>
      <c r="K133" t="str">
        <f>CONCATENATE(K$2,": ",K$3,list1!K133,"]")</f>
        <v xml:space="preserve"> (Рабочий ток) Напряжение / Частота источника питания: S[3 / 400 / 50]</v>
      </c>
      <c r="L133" t="str">
        <f>CONCATENATE(L$2,": ",L$3,list1!L133,"]")</f>
        <v xml:space="preserve"> (Рабочий ток) Хладагент: S[R410A]</v>
      </c>
      <c r="M133" t="str">
        <f>CONCATENATE(M$2,": ",M$3,list1!M133,"]")</f>
        <v xml:space="preserve"> (Рабочий ток) Количество хладагента: N[]</v>
      </c>
      <c r="N133" t="str">
        <f>CONCATENATE(N$2,": ",N$3,list1!N133,"]")</f>
        <v xml:space="preserve"> (Рабочий ток) Объем рециркулируемого воздуха внутреннего блока: S[]</v>
      </c>
      <c r="O133" t="str">
        <f>CONCATENATE(O$2,": ",O$3,list1!O133,"]")</f>
        <v xml:space="preserve"> (Внутренний блок) Размеры (Ш x Г x В): S[]</v>
      </c>
      <c r="P133" t="str">
        <f>CONCATENATE(P$2,": ",P$3,list1!P133,"]")</f>
        <v xml:space="preserve"> (Внутренний блок) Упаковка (Ш x Г x В): S[]</v>
      </c>
      <c r="Q133" t="str">
        <f>CONCATENATE(Q$2,": ",Q$3,list1!Q133,"]")</f>
        <v xml:space="preserve"> (Внутренний блок) Масса (нетто / брутто): S[]</v>
      </c>
      <c r="R133" t="str">
        <f>CONCATENATE(R$2,": ",R$3,list1!R133,"]")</f>
        <v xml:space="preserve"> (Внутренний блок) Уровень шума мин. / макс.: S[]</v>
      </c>
      <c r="S133" t="str">
        <f>CONCATENATE(S$2,": ",S$3,list1!S133,"]")</f>
        <v xml:space="preserve"> (Наружный блок) Марка компрессора: S[TOSHIBA]</v>
      </c>
      <c r="T133" t="str">
        <f>CONCATENATE(T$2,": ",T$3,list1!T133,"]")</f>
        <v xml:space="preserve"> (Наружный блок) Размеры (Ш x Г x В): S[]</v>
      </c>
      <c r="U133" t="str">
        <f>CONCATENATE(U$2,": ",U$3,list1!U133,"]")</f>
        <v xml:space="preserve"> (Наружный блок) Упаковка (Ш x Г x В): S[]</v>
      </c>
      <c r="V133" t="str">
        <f>CONCATENATE(V$2,": ",V$3,list1!V133,"]")</f>
        <v xml:space="preserve"> (Наружный блок) Масса (нетто / брутто): S[]</v>
      </c>
      <c r="W133" t="str">
        <f>CONCATENATE(W$2,": ",W$3,list1!W133,"]")</f>
        <v xml:space="preserve"> (Наружный блок) Максимальный уровень шума: N[]</v>
      </c>
      <c r="X133" t="str">
        <f>CONCATENATE(X$2,": ",X$3,list1!X133,"]")</f>
        <v xml:space="preserve"> (Соединительные трубы) Жидкостная линия : N[9.52]</v>
      </c>
      <c r="Y133" t="str">
        <f>CONCATENATE(Y$2,": ",Y$3,list1!Y133,"]")</f>
        <v xml:space="preserve"> (Соединительные трубы) Газовая линия : N[15.88]</v>
      </c>
      <c r="Z133" t="str">
        <f>CONCATENATE(Z$2,": ",Z$3,list1!Z133,"]")</f>
        <v xml:space="preserve"> (Соединительные трубы) Максимальная длина трубопровода: N[75]</v>
      </c>
      <c r="AA133" t="str">
        <f>CONCATENATE(AA$2,": ",AA$3,list1!AA133,"]")</f>
        <v xml:space="preserve"> (Соединительные трубы) Максимальный перепад высот: S[30]</v>
      </c>
      <c r="AB133" t="str">
        <f>CONCATENATE(AB$2,": ",AB$3,list1!AB133,"]")</f>
        <v xml:space="preserve"> (Допустимая темп. наружного воздуха) Охлаждение: S[от -15 до +46]</v>
      </c>
      <c r="AC133" t="str">
        <f>CONCATENATE(AC$2,": ",AC$3,list1!AC133,"]")</f>
        <v xml:space="preserve"> (Допустимая темп. наружного воздуха) Обогрев: S[от -15 до +24]</v>
      </c>
      <c r="AD133" s="6" t="s">
        <v>5173</v>
      </c>
    </row>
    <row r="134" spans="1:30" x14ac:dyDescent="0.25">
      <c r="A134" t="str">
        <f>CONCATENATE(A$2,": ",A$3,list1!A134,"]")</f>
        <v>Производитель: E[FUJITSU]</v>
      </c>
      <c r="B134" t="str">
        <f>CONCATENATE(B$2,": ",B$3,list1!B134,"]")</f>
        <v xml:space="preserve"> Тип: S[Мульти сплит система]</v>
      </c>
      <c r="C134" t="str">
        <f>CONCATENATE(C$2,": ",C$3,list1!C134,"]")</f>
        <v xml:space="preserve"> (Сплит система) Холодопроизводительность: N[4]</v>
      </c>
      <c r="D134" t="str">
        <f>CONCATENATE(D$2,": ",D$3,list1!D134,"]")</f>
        <v xml:space="preserve"> (Сплит система) Площадь помещения: N[40]</v>
      </c>
      <c r="E134" t="str">
        <f>CONCATENATE(E$2,": ",E$3,list1!E134,"]")</f>
        <v xml:space="preserve"> (Сплит система) Инвентор: S[да]</v>
      </c>
      <c r="F134" t="str">
        <f>CONCATENATE(F$2,": ",F$3,list1!F134,"]")</f>
        <v xml:space="preserve"> (Сплит система) Теплопроизводительность: N[4.4]</v>
      </c>
      <c r="G134" t="str">
        <f>CONCATENATE(G$2,": ",G$3,list1!G134,"]")</f>
        <v xml:space="preserve"> (Потребляемая мощность) Охлаждение: N[0.97]</v>
      </c>
      <c r="H134" t="str">
        <f>CONCATENATE(H$2,": ",H$3,list1!H134,"]")</f>
        <v xml:space="preserve"> (Потребляемая мощность) Обогрев: S[0.95]</v>
      </c>
      <c r="I134" t="str">
        <f>CONCATENATE(I$2,": ",I$3,list1!I134,"]")</f>
        <v xml:space="preserve"> (Рабочий ток) Охлаждение: S[]</v>
      </c>
      <c r="J134" t="str">
        <f>CONCATENATE(J$2,": ",J$3,list1!J134,"]")</f>
        <v xml:space="preserve"> (Рабочий ток) Обогрев: S[]</v>
      </c>
      <c r="K134" t="str">
        <f>CONCATENATE(K$2,": ",K$3,list1!K134,"]")</f>
        <v xml:space="preserve"> (Рабочий ток) Напряжение / Частота источника питания: S[1 / 230 / 50]</v>
      </c>
      <c r="L134" t="str">
        <f>CONCATENATE(L$2,": ",L$3,list1!L134,"]")</f>
        <v xml:space="preserve"> (Рабочий ток) Хладагент: S[R32]</v>
      </c>
      <c r="M134" t="str">
        <f>CONCATENATE(M$2,": ",M$3,list1!M134,"]")</f>
        <v xml:space="preserve"> (Рабочий ток) Количество хладагента: N[]</v>
      </c>
      <c r="N134" t="str">
        <f>CONCATENATE(N$2,": ",N$3,list1!N134,"]")</f>
        <v xml:space="preserve"> (Рабочий ток) Объем рециркулируемого воздуха внутреннего блока: S[]</v>
      </c>
      <c r="O134" t="str">
        <f>CONCATENATE(O$2,": ",O$3,list1!O134,"]")</f>
        <v xml:space="preserve"> (Внутренний блок) Размеры (Ш x Г x В): S[]</v>
      </c>
      <c r="P134" t="str">
        <f>CONCATENATE(P$2,": ",P$3,list1!P134,"]")</f>
        <v xml:space="preserve"> (Внутренний блок) Упаковка (Ш x Г x В): S[]</v>
      </c>
      <c r="Q134" t="str">
        <f>CONCATENATE(Q$2,": ",Q$3,list1!Q134,"]")</f>
        <v xml:space="preserve"> (Внутренний блок) Масса (нетто / брутто): S[]</v>
      </c>
      <c r="R134" t="str">
        <f>CONCATENATE(R$2,": ",R$3,list1!R134,"]")</f>
        <v xml:space="preserve"> (Внутренний блок) Уровень шума мин. / макс.: S[]</v>
      </c>
      <c r="S134" t="str">
        <f>CONCATENATE(S$2,": ",S$3,list1!S134,"]")</f>
        <v xml:space="preserve"> (Наружный блок) Марка компрессора: S[]</v>
      </c>
      <c r="T134" t="str">
        <f>CONCATENATE(T$2,": ",T$3,list1!T134,"]")</f>
        <v xml:space="preserve"> (Наружный блок) Размеры (Ш x Г x В): S[]</v>
      </c>
      <c r="U134" t="str">
        <f>CONCATENATE(U$2,": ",U$3,list1!U134,"]")</f>
        <v xml:space="preserve"> (Наружный блок) Упаковка (Ш x Г x В): S[]</v>
      </c>
      <c r="V134" t="str">
        <f>CONCATENATE(V$2,": ",V$3,list1!V134,"]")</f>
        <v xml:space="preserve"> (Наружный блок) Масса (нетто / брутто): S[]</v>
      </c>
      <c r="W134" t="str">
        <f>CONCATENATE(W$2,": ",W$3,list1!W134,"]")</f>
        <v xml:space="preserve"> (Наружный блок) Максимальный уровень шума: N[]</v>
      </c>
      <c r="X134" t="str">
        <f>CONCATENATE(X$2,": ",X$3,list1!X134,"]")</f>
        <v xml:space="preserve"> (Соединительные трубы) Жидкостная линия : N[]</v>
      </c>
      <c r="Y134" t="str">
        <f>CONCATENATE(Y$2,": ",Y$3,list1!Y134,"]")</f>
        <v xml:space="preserve"> (Соединительные трубы) Газовая линия : N[]</v>
      </c>
      <c r="Z134" t="str">
        <f>CONCATENATE(Z$2,": ",Z$3,list1!Z134,"]")</f>
        <v xml:space="preserve"> (Соединительные трубы) Максимальная длина трубопровода: N[30]</v>
      </c>
      <c r="AA134" t="str">
        <f>CONCATENATE(AA$2,": ",AA$3,list1!AA134,"]")</f>
        <v xml:space="preserve"> (Соединительные трубы) Максимальный перепад высот: S[15]</v>
      </c>
      <c r="AB134" t="str">
        <f>CONCATENATE(AB$2,": ",AB$3,list1!AB134,"]")</f>
        <v xml:space="preserve"> (Допустимая темп. наружного воздуха) Охлаждение: S[от -10 до +46]</v>
      </c>
      <c r="AC134" t="str">
        <f>CONCATENATE(AC$2,": ",AC$3,list1!AC134,"]")</f>
        <v xml:space="preserve"> (Допустимая темп. наружного воздуха) Обогрев: S[от -15 до +24]</v>
      </c>
      <c r="AD134" s="6" t="s">
        <v>5173</v>
      </c>
    </row>
    <row r="135" spans="1:30" x14ac:dyDescent="0.25">
      <c r="A135" t="str">
        <f>CONCATENATE(A$2,": ",A$3,list1!A135,"]")</f>
        <v>Производитель: E[FUJITSU]</v>
      </c>
      <c r="B135" t="str">
        <f>CONCATENATE(B$2,": ",B$3,list1!B135,"]")</f>
        <v xml:space="preserve"> Тип: S[Мульти сплит система]</v>
      </c>
      <c r="C135" t="str">
        <f>CONCATENATE(C$2,": ",C$3,list1!C135,"]")</f>
        <v xml:space="preserve"> (Сплит система) Холодопроизводительность: N[5]</v>
      </c>
      <c r="D135" t="str">
        <f>CONCATENATE(D$2,": ",D$3,list1!D135,"]")</f>
        <v xml:space="preserve"> (Сплит система) Площадь помещения: N[50]</v>
      </c>
      <c r="E135" t="str">
        <f>CONCATENATE(E$2,": ",E$3,list1!E135,"]")</f>
        <v xml:space="preserve"> (Сплит система) Инвентор: S[да]</v>
      </c>
      <c r="F135" t="str">
        <f>CONCATENATE(F$2,": ",F$3,list1!F135,"]")</f>
        <v xml:space="preserve"> (Сплит система) Теплопроизводительность: N[5.6]</v>
      </c>
      <c r="G135" t="str">
        <f>CONCATENATE(G$2,": ",G$3,list1!G135,"]")</f>
        <v xml:space="preserve"> (Потребляемая мощность) Охлаждение: N[1.24]</v>
      </c>
      <c r="H135" t="str">
        <f>CONCATENATE(H$2,": ",H$3,list1!H135,"]")</f>
        <v xml:space="preserve"> (Потребляемая мощность) Обогрев: S[1.22]</v>
      </c>
      <c r="I135" t="str">
        <f>CONCATENATE(I$2,": ",I$3,list1!I135,"]")</f>
        <v xml:space="preserve"> (Рабочий ток) Охлаждение: S[]</v>
      </c>
      <c r="J135" t="str">
        <f>CONCATENATE(J$2,": ",J$3,list1!J135,"]")</f>
        <v xml:space="preserve"> (Рабочий ток) Обогрев: S[]</v>
      </c>
      <c r="K135" t="str">
        <f>CONCATENATE(K$2,": ",K$3,list1!K135,"]")</f>
        <v xml:space="preserve"> (Рабочий ток) Напряжение / Частота источника питания: S[1 / 230 / 50]</v>
      </c>
      <c r="L135" t="str">
        <f>CONCATENATE(L$2,": ",L$3,list1!L135,"]")</f>
        <v xml:space="preserve"> (Рабочий ток) Хладагент: S[R32]</v>
      </c>
      <c r="M135" t="str">
        <f>CONCATENATE(M$2,": ",M$3,list1!M135,"]")</f>
        <v xml:space="preserve"> (Рабочий ток) Количество хладагента: N[]</v>
      </c>
      <c r="N135" t="str">
        <f>CONCATENATE(N$2,": ",N$3,list1!N135,"]")</f>
        <v xml:space="preserve"> (Рабочий ток) Объем рециркулируемого воздуха внутреннего блока: S[]</v>
      </c>
      <c r="O135" t="str">
        <f>CONCATENATE(O$2,": ",O$3,list1!O135,"]")</f>
        <v xml:space="preserve"> (Внутренний блок) Размеры (Ш x Г x В): S[]</v>
      </c>
      <c r="P135" t="str">
        <f>CONCATENATE(P$2,": ",P$3,list1!P135,"]")</f>
        <v xml:space="preserve"> (Внутренний блок) Упаковка (Ш x Г x В): S[]</v>
      </c>
      <c r="Q135" t="str">
        <f>CONCATENATE(Q$2,": ",Q$3,list1!Q135,"]")</f>
        <v xml:space="preserve"> (Внутренний блок) Масса (нетто / брутто): S[]</v>
      </c>
      <c r="R135" t="str">
        <f>CONCATENATE(R$2,": ",R$3,list1!R135,"]")</f>
        <v xml:space="preserve"> (Внутренний блок) Уровень шума мин. / макс.: S[]</v>
      </c>
      <c r="S135" t="str">
        <f>CONCATENATE(S$2,": ",S$3,list1!S135,"]")</f>
        <v xml:space="preserve"> (Наружный блок) Марка компрессора: S[]</v>
      </c>
      <c r="T135" t="str">
        <f>CONCATENATE(T$2,": ",T$3,list1!T135,"]")</f>
        <v xml:space="preserve"> (Наружный блок) Размеры (Ш x Г x В): S[]</v>
      </c>
      <c r="U135" t="str">
        <f>CONCATENATE(U$2,": ",U$3,list1!U135,"]")</f>
        <v xml:space="preserve"> (Наружный блок) Упаковка (Ш x Г x В): S[]</v>
      </c>
      <c r="V135" t="str">
        <f>CONCATENATE(V$2,": ",V$3,list1!V135,"]")</f>
        <v xml:space="preserve"> (Наружный блок) Масса (нетто / брутто): S[]</v>
      </c>
      <c r="W135" t="str">
        <f>CONCATENATE(W$2,": ",W$3,list1!W135,"]")</f>
        <v xml:space="preserve"> (Наружный блок) Максимальный уровень шума: N[]</v>
      </c>
      <c r="X135" t="str">
        <f>CONCATENATE(X$2,": ",X$3,list1!X135,"]")</f>
        <v xml:space="preserve"> (Соединительные трубы) Жидкостная линия : N[]</v>
      </c>
      <c r="Y135" t="str">
        <f>CONCATENATE(Y$2,": ",Y$3,list1!Y135,"]")</f>
        <v xml:space="preserve"> (Соединительные трубы) Газовая линия : N[]</v>
      </c>
      <c r="Z135" t="str">
        <f>CONCATENATE(Z$2,": ",Z$3,list1!Z135,"]")</f>
        <v xml:space="preserve"> (Соединительные трубы) Максимальная длина трубопровода: N[30]</v>
      </c>
      <c r="AA135" t="str">
        <f>CONCATENATE(AA$2,": ",AA$3,list1!AA135,"]")</f>
        <v xml:space="preserve"> (Соединительные трубы) Максимальный перепад высот: S[15]</v>
      </c>
      <c r="AB135" t="str">
        <f>CONCATENATE(AB$2,": ",AB$3,list1!AB135,"]")</f>
        <v xml:space="preserve"> (Допустимая темп. наружного воздуха) Охлаждение: S[от -10 до +46]</v>
      </c>
      <c r="AC135" t="str">
        <f>CONCATENATE(AC$2,": ",AC$3,list1!AC135,"]")</f>
        <v xml:space="preserve"> (Допустимая темп. наружного воздуха) Обогрев: S[от -15 до +24]</v>
      </c>
      <c r="AD135" s="6" t="s">
        <v>5173</v>
      </c>
    </row>
    <row r="136" spans="1:30" x14ac:dyDescent="0.25">
      <c r="A136" t="str">
        <f>CONCATENATE(A$2,": ",A$3,list1!A136,"]")</f>
        <v>Производитель: E[FUJITSU]</v>
      </c>
      <c r="B136" t="str">
        <f>CONCATENATE(B$2,": ",B$3,list1!B136,"]")</f>
        <v xml:space="preserve"> Тип: S[Мульти сплит система]</v>
      </c>
      <c r="C136" t="str">
        <f>CONCATENATE(C$2,": ",C$3,list1!C136,"]")</f>
        <v xml:space="preserve"> (Сплит система) Холодопроизводительность: N[5.4]</v>
      </c>
      <c r="D136" t="str">
        <f>CONCATENATE(D$2,": ",D$3,list1!D136,"]")</f>
        <v xml:space="preserve"> (Сплит система) Площадь помещения: N[54]</v>
      </c>
      <c r="E136" t="str">
        <f>CONCATENATE(E$2,": ",E$3,list1!E136,"]")</f>
        <v xml:space="preserve"> (Сплит система) Инвентор: S[да]</v>
      </c>
      <c r="F136" t="str">
        <f>CONCATENATE(F$2,": ",F$3,list1!F136,"]")</f>
        <v xml:space="preserve"> (Сплит система) Теплопроизводительность: N[6.8]</v>
      </c>
      <c r="G136" t="str">
        <f>CONCATENATE(G$2,": ",G$3,list1!G136,"]")</f>
        <v xml:space="preserve"> (Потребляемая мощность) Охлаждение: N[1.13]</v>
      </c>
      <c r="H136" t="str">
        <f>CONCATENATE(H$2,": ",H$3,list1!H136,"]")</f>
        <v xml:space="preserve"> (Потребляемая мощность) Обогрев: S[1.39]</v>
      </c>
      <c r="I136" t="str">
        <f>CONCATENATE(I$2,": ",I$3,list1!I136,"]")</f>
        <v xml:space="preserve"> (Рабочий ток) Охлаждение: S[]</v>
      </c>
      <c r="J136" t="str">
        <f>CONCATENATE(J$2,": ",J$3,list1!J136,"]")</f>
        <v xml:space="preserve"> (Рабочий ток) Обогрев: S[]</v>
      </c>
      <c r="K136" t="str">
        <f>CONCATENATE(K$2,": ",K$3,list1!K136,"]")</f>
        <v xml:space="preserve"> (Рабочий ток) Напряжение / Частота источника питания: S[1 / 230 / 50]</v>
      </c>
      <c r="L136" t="str">
        <f>CONCATENATE(L$2,": ",L$3,list1!L136,"]")</f>
        <v xml:space="preserve"> (Рабочий ток) Хладагент: S[R32]</v>
      </c>
      <c r="M136" t="str">
        <f>CONCATENATE(M$2,": ",M$3,list1!M136,"]")</f>
        <v xml:space="preserve"> (Рабочий ток) Количество хладагента: N[]</v>
      </c>
      <c r="N136" t="str">
        <f>CONCATENATE(N$2,": ",N$3,list1!N136,"]")</f>
        <v xml:space="preserve"> (Рабочий ток) Объем рециркулируемого воздуха внутреннего блока: S[]</v>
      </c>
      <c r="O136" t="str">
        <f>CONCATENATE(O$2,": ",O$3,list1!O136,"]")</f>
        <v xml:space="preserve"> (Внутренний блок) Размеры (Ш x Г x В): S[]</v>
      </c>
      <c r="P136" t="str">
        <f>CONCATENATE(P$2,": ",P$3,list1!P136,"]")</f>
        <v xml:space="preserve"> (Внутренний блок) Упаковка (Ш x Г x В): S[]</v>
      </c>
      <c r="Q136" t="str">
        <f>CONCATENATE(Q$2,": ",Q$3,list1!Q136,"]")</f>
        <v xml:space="preserve"> (Внутренний блок) Масса (нетто / брутто): S[]</v>
      </c>
      <c r="R136" t="str">
        <f>CONCATENATE(R$2,": ",R$3,list1!R136,"]")</f>
        <v xml:space="preserve"> (Внутренний блок) Уровень шума мин. / макс.: S[]</v>
      </c>
      <c r="S136" t="str">
        <f>CONCATENATE(S$2,": ",S$3,list1!S136,"]")</f>
        <v xml:space="preserve"> (Наружный блок) Марка компрессора: S[]</v>
      </c>
      <c r="T136" t="str">
        <f>CONCATENATE(T$2,": ",T$3,list1!T136,"]")</f>
        <v xml:space="preserve"> (Наружный блок) Размеры (Ш x Г x В): S[]</v>
      </c>
      <c r="U136" t="str">
        <f>CONCATENATE(U$2,": ",U$3,list1!U136,"]")</f>
        <v xml:space="preserve"> (Наружный блок) Упаковка (Ш x Г x В): S[]</v>
      </c>
      <c r="V136" t="str">
        <f>CONCATENATE(V$2,": ",V$3,list1!V136,"]")</f>
        <v xml:space="preserve"> (Наружный блок) Масса (нетто / брутто): S[]</v>
      </c>
      <c r="W136" t="str">
        <f>CONCATENATE(W$2,": ",W$3,list1!W136,"]")</f>
        <v xml:space="preserve"> (Наружный блок) Максимальный уровень шума: N[]</v>
      </c>
      <c r="X136" t="str">
        <f>CONCATENATE(X$2,": ",X$3,list1!X136,"]")</f>
        <v xml:space="preserve"> (Соединительные трубы) Жидкостная линия : N[]</v>
      </c>
      <c r="Y136" t="str">
        <f>CONCATENATE(Y$2,": ",Y$3,list1!Y136,"]")</f>
        <v xml:space="preserve"> (Соединительные трубы) Газовая линия : N[]</v>
      </c>
      <c r="Z136" t="str">
        <f>CONCATENATE(Z$2,": ",Z$3,list1!Z136,"]")</f>
        <v xml:space="preserve"> (Соединительные трубы) Максимальная длина трубопровода: N[50]</v>
      </c>
      <c r="AA136" t="str">
        <f>CONCATENATE(AA$2,": ",AA$3,list1!AA136,"]")</f>
        <v xml:space="preserve"> (Соединительные трубы) Максимальный перепад высот: S[15]</v>
      </c>
      <c r="AB136" t="str">
        <f>CONCATENATE(AB$2,": ",AB$3,list1!AB136,"]")</f>
        <v xml:space="preserve"> (Допустимая темп. наружного воздуха) Охлаждение: S[от -10 до +46]</v>
      </c>
      <c r="AC136" t="str">
        <f>CONCATENATE(AC$2,": ",AC$3,list1!AC136,"]")</f>
        <v xml:space="preserve"> (Допустимая темп. наружного воздуха) Обогрев: S[от -15 до +24]</v>
      </c>
      <c r="AD136" s="6" t="s">
        <v>5173</v>
      </c>
    </row>
    <row r="137" spans="1:30" x14ac:dyDescent="0.25">
      <c r="A137" t="str">
        <f>CONCATENATE(A$2,": ",A$3,list1!A137,"]")</f>
        <v>Производитель: E[FUJITSU]</v>
      </c>
      <c r="B137" t="str">
        <f>CONCATENATE(B$2,": ",B$3,list1!B137,"]")</f>
        <v xml:space="preserve"> Тип: S[Мульти сплит система]</v>
      </c>
      <c r="C137" t="str">
        <f>CONCATENATE(C$2,": ",C$3,list1!C137,"]")</f>
        <v xml:space="preserve"> (Сплит система) Холодопроизводительность: N[6.8]</v>
      </c>
      <c r="D137" t="str">
        <f>CONCATENATE(D$2,": ",D$3,list1!D137,"]")</f>
        <v xml:space="preserve"> (Сплит система) Площадь помещения: N[68]</v>
      </c>
      <c r="E137" t="str">
        <f>CONCATENATE(E$2,": ",E$3,list1!E137,"]")</f>
        <v xml:space="preserve"> (Сплит система) Инвентор: S[да]</v>
      </c>
      <c r="F137" t="str">
        <f>CONCATENATE(F$2,": ",F$3,list1!F137,"]")</f>
        <v xml:space="preserve"> (Сплит система) Теплопроизводительность: N[8]</v>
      </c>
      <c r="G137" t="str">
        <f>CONCATENATE(G$2,": ",G$3,list1!G137,"]")</f>
        <v xml:space="preserve"> (Потребляемая мощность) Охлаждение: N[1.74]</v>
      </c>
      <c r="H137" t="str">
        <f>CONCATENATE(H$2,": ",H$3,list1!H137,"]")</f>
        <v xml:space="preserve"> (Потребляемая мощность) Обогрев: S[1.82]</v>
      </c>
      <c r="I137" t="str">
        <f>CONCATENATE(I$2,": ",I$3,list1!I137,"]")</f>
        <v xml:space="preserve"> (Рабочий ток) Охлаждение: S[]</v>
      </c>
      <c r="J137" t="str">
        <f>CONCATENATE(J$2,": ",J$3,list1!J137,"]")</f>
        <v xml:space="preserve"> (Рабочий ток) Обогрев: S[]</v>
      </c>
      <c r="K137" t="str">
        <f>CONCATENATE(K$2,": ",K$3,list1!K137,"]")</f>
        <v xml:space="preserve"> (Рабочий ток) Напряжение / Частота источника питания: S[1 / 230 / 50]</v>
      </c>
      <c r="L137" t="str">
        <f>CONCATENATE(L$2,": ",L$3,list1!L137,"]")</f>
        <v xml:space="preserve"> (Рабочий ток) Хладагент: S[R32]</v>
      </c>
      <c r="M137" t="str">
        <f>CONCATENATE(M$2,": ",M$3,list1!M137,"]")</f>
        <v xml:space="preserve"> (Рабочий ток) Количество хладагента: N[]</v>
      </c>
      <c r="N137" t="str">
        <f>CONCATENATE(N$2,": ",N$3,list1!N137,"]")</f>
        <v xml:space="preserve"> (Рабочий ток) Объем рециркулируемого воздуха внутреннего блока: S[]</v>
      </c>
      <c r="O137" t="str">
        <f>CONCATENATE(O$2,": ",O$3,list1!O137,"]")</f>
        <v xml:space="preserve"> (Внутренний блок) Размеры (Ш x Г x В): S[]</v>
      </c>
      <c r="P137" t="str">
        <f>CONCATENATE(P$2,": ",P$3,list1!P137,"]")</f>
        <v xml:space="preserve"> (Внутренний блок) Упаковка (Ш x Г x В): S[]</v>
      </c>
      <c r="Q137" t="str">
        <f>CONCATENATE(Q$2,": ",Q$3,list1!Q137,"]")</f>
        <v xml:space="preserve"> (Внутренний блок) Масса (нетто / брутто): S[]</v>
      </c>
      <c r="R137" t="str">
        <f>CONCATENATE(R$2,": ",R$3,list1!R137,"]")</f>
        <v xml:space="preserve"> (Внутренний блок) Уровень шума мин. / макс.: S[]</v>
      </c>
      <c r="S137" t="str">
        <f>CONCATENATE(S$2,": ",S$3,list1!S137,"]")</f>
        <v xml:space="preserve"> (Наружный блок) Марка компрессора: S[]</v>
      </c>
      <c r="T137" t="str">
        <f>CONCATENATE(T$2,": ",T$3,list1!T137,"]")</f>
        <v xml:space="preserve"> (Наружный блок) Размеры (Ш x Г x В): S[]</v>
      </c>
      <c r="U137" t="str">
        <f>CONCATENATE(U$2,": ",U$3,list1!U137,"]")</f>
        <v xml:space="preserve"> (Наружный блок) Упаковка (Ш x Г x В): S[]</v>
      </c>
      <c r="V137" t="str">
        <f>CONCATENATE(V$2,": ",V$3,list1!V137,"]")</f>
        <v xml:space="preserve"> (Наружный блок) Масса (нетто / брутто): S[]</v>
      </c>
      <c r="W137" t="str">
        <f>CONCATENATE(W$2,": ",W$3,list1!W137,"]")</f>
        <v xml:space="preserve"> (Наружный блок) Максимальный уровень шума: N[]</v>
      </c>
      <c r="X137" t="str">
        <f>CONCATENATE(X$2,": ",X$3,list1!X137,"]")</f>
        <v xml:space="preserve"> (Соединительные трубы) Жидкостная линия : N[]</v>
      </c>
      <c r="Y137" t="str">
        <f>CONCATENATE(Y$2,": ",Y$3,list1!Y137,"]")</f>
        <v xml:space="preserve"> (Соединительные трубы) Газовая линия : N[]</v>
      </c>
      <c r="Z137" t="str">
        <f>CONCATENATE(Z$2,": ",Z$3,list1!Z137,"]")</f>
        <v xml:space="preserve"> (Соединительные трубы) Максимальная длина трубопровода: N[50]</v>
      </c>
      <c r="AA137" t="str">
        <f>CONCATENATE(AA$2,": ",AA$3,list1!AA137,"]")</f>
        <v xml:space="preserve"> (Соединительные трубы) Максимальный перепад высот: S[15]</v>
      </c>
      <c r="AB137" t="str">
        <f>CONCATENATE(AB$2,": ",AB$3,list1!AB137,"]")</f>
        <v xml:space="preserve"> (Допустимая темп. наружного воздуха) Охлаждение: S[от -10 до +46]</v>
      </c>
      <c r="AC137" t="str">
        <f>CONCATENATE(AC$2,": ",AC$3,list1!AC137,"]")</f>
        <v xml:space="preserve"> (Допустимая темп. наружного воздуха) Обогрев: S[от -15 до +24]</v>
      </c>
      <c r="AD137" s="6" t="s">
        <v>5173</v>
      </c>
    </row>
    <row r="138" spans="1:30" x14ac:dyDescent="0.25">
      <c r="A138" t="str">
        <f>CONCATENATE(A$2,": ",A$3,list1!A138,"]")</f>
        <v>Производитель: E[FUJITSU]</v>
      </c>
      <c r="B138" t="str">
        <f>CONCATENATE(B$2,": ",B$3,list1!B138,"]")</f>
        <v xml:space="preserve"> Тип: S[Мульти сплит система]</v>
      </c>
      <c r="C138" t="str">
        <f>CONCATENATE(C$2,": ",C$3,list1!C138,"]")</f>
        <v xml:space="preserve"> (Сплит система) Холодопроизводительность: N[8]</v>
      </c>
      <c r="D138" t="str">
        <f>CONCATENATE(D$2,": ",D$3,list1!D138,"]")</f>
        <v xml:space="preserve"> (Сплит система) Площадь помещения: N[80]</v>
      </c>
      <c r="E138" t="str">
        <f>CONCATENATE(E$2,": ",E$3,list1!E138,"]")</f>
        <v xml:space="preserve"> (Сплит система) Инвентор: S[да]</v>
      </c>
      <c r="F138" t="str">
        <f>CONCATENATE(F$2,": ",F$3,list1!F138,"]")</f>
        <v xml:space="preserve"> (Сплит система) Теплопроизводительность: N[9.6]</v>
      </c>
      <c r="G138" t="str">
        <f>CONCATENATE(G$2,": ",G$3,list1!G138,"]")</f>
        <v xml:space="preserve"> (Потребляемая мощность) Охлаждение: N[2.05]</v>
      </c>
      <c r="H138" t="str">
        <f>CONCATENATE(H$2,": ",H$3,list1!H138,"]")</f>
        <v xml:space="preserve"> (Потребляемая мощность) Обогрев: S[2.11]</v>
      </c>
      <c r="I138" t="str">
        <f>CONCATENATE(I$2,": ",I$3,list1!I138,"]")</f>
        <v xml:space="preserve"> (Рабочий ток) Охлаждение: S[]</v>
      </c>
      <c r="J138" t="str">
        <f>CONCATENATE(J$2,": ",J$3,list1!J138,"]")</f>
        <v xml:space="preserve"> (Рабочий ток) Обогрев: S[]</v>
      </c>
      <c r="K138" t="str">
        <f>CONCATENATE(K$2,": ",K$3,list1!K138,"]")</f>
        <v xml:space="preserve"> (Рабочий ток) Напряжение / Частота источника питания: S[1 / 230 / 50]</v>
      </c>
      <c r="L138" t="str">
        <f>CONCATENATE(L$2,": ",L$3,list1!L138,"]")</f>
        <v xml:space="preserve"> (Рабочий ток) Хладагент: S[R32]</v>
      </c>
      <c r="M138" t="str">
        <f>CONCATENATE(M$2,": ",M$3,list1!M138,"]")</f>
        <v xml:space="preserve"> (Рабочий ток) Количество хладагента: N[]</v>
      </c>
      <c r="N138" t="str">
        <f>CONCATENATE(N$2,": ",N$3,list1!N138,"]")</f>
        <v xml:space="preserve"> (Рабочий ток) Объем рециркулируемого воздуха внутреннего блока: S[]</v>
      </c>
      <c r="O138" t="str">
        <f>CONCATENATE(O$2,": ",O$3,list1!O138,"]")</f>
        <v xml:space="preserve"> (Внутренний блок) Размеры (Ш x Г x В): S[]</v>
      </c>
      <c r="P138" t="str">
        <f>CONCATENATE(P$2,": ",P$3,list1!P138,"]")</f>
        <v xml:space="preserve"> (Внутренний блок) Упаковка (Ш x Г x В): S[]</v>
      </c>
      <c r="Q138" t="str">
        <f>CONCATENATE(Q$2,": ",Q$3,list1!Q138,"]")</f>
        <v xml:space="preserve"> (Внутренний блок) Масса (нетто / брутто): S[]</v>
      </c>
      <c r="R138" t="str">
        <f>CONCATENATE(R$2,": ",R$3,list1!R138,"]")</f>
        <v xml:space="preserve"> (Внутренний блок) Уровень шума мин. / макс.: S[]</v>
      </c>
      <c r="S138" t="str">
        <f>CONCATENATE(S$2,": ",S$3,list1!S138,"]")</f>
        <v xml:space="preserve"> (Наружный блок) Марка компрессора: S[]</v>
      </c>
      <c r="T138" t="str">
        <f>CONCATENATE(T$2,": ",T$3,list1!T138,"]")</f>
        <v xml:space="preserve"> (Наружный блок) Размеры (Ш x Г x В): S[]</v>
      </c>
      <c r="U138" t="str">
        <f>CONCATENATE(U$2,": ",U$3,list1!U138,"]")</f>
        <v xml:space="preserve"> (Наружный блок) Упаковка (Ш x Г x В): S[]</v>
      </c>
      <c r="V138" t="str">
        <f>CONCATENATE(V$2,": ",V$3,list1!V138,"]")</f>
        <v xml:space="preserve"> (Наружный блок) Масса (нетто / брутто): S[]</v>
      </c>
      <c r="W138" t="str">
        <f>CONCATENATE(W$2,": ",W$3,list1!W138,"]")</f>
        <v xml:space="preserve"> (Наружный блок) Максимальный уровень шума: N[]</v>
      </c>
      <c r="X138" t="str">
        <f>CONCATENATE(X$2,": ",X$3,list1!X138,"]")</f>
        <v xml:space="preserve"> (Соединительные трубы) Жидкостная линия : N[]</v>
      </c>
      <c r="Y138" t="str">
        <f>CONCATENATE(Y$2,": ",Y$3,list1!Y138,"]")</f>
        <v xml:space="preserve"> (Соединительные трубы) Газовая линия : N[]</v>
      </c>
      <c r="Z138" t="str">
        <f>CONCATENATE(Z$2,": ",Z$3,list1!Z138,"]")</f>
        <v xml:space="preserve"> (Соединительные трубы) Максимальная длина трубопровода: N[70]</v>
      </c>
      <c r="AA138" t="str">
        <f>CONCATENATE(AA$2,": ",AA$3,list1!AA138,"]")</f>
        <v xml:space="preserve"> (Соединительные трубы) Максимальный перепад высот: S[15]</v>
      </c>
      <c r="AB138" t="str">
        <f>CONCATENATE(AB$2,": ",AB$3,list1!AB138,"]")</f>
        <v xml:space="preserve"> (Допустимая темп. наружного воздуха) Охлаждение: S[от -10 до +46]</v>
      </c>
      <c r="AC138" t="str">
        <f>CONCATENATE(AC$2,": ",AC$3,list1!AC138,"]")</f>
        <v xml:space="preserve"> (Допустимая темп. наружного воздуха) Обогрев: S[от -15 до +24]</v>
      </c>
      <c r="AD138" s="6" t="s">
        <v>5173</v>
      </c>
    </row>
    <row r="139" spans="1:30" x14ac:dyDescent="0.25">
      <c r="A139" t="str">
        <f>CONCATENATE(A$2,": ",A$3,list1!A139,"]")</f>
        <v>Производитель: E[FUJITSU]</v>
      </c>
      <c r="B139" t="str">
        <f>CONCATENATE(B$2,": ",B$3,list1!B139,"]")</f>
        <v xml:space="preserve"> Тип: S[Мульти сплит система]</v>
      </c>
      <c r="C139" t="str">
        <f>CONCATENATE(C$2,": ",C$3,list1!C139,"]")</f>
        <v xml:space="preserve"> (Сплит система) Холодопроизводительность: N[9.5]</v>
      </c>
      <c r="D139" t="str">
        <f>CONCATENATE(D$2,": ",D$3,list1!D139,"]")</f>
        <v xml:space="preserve"> (Сплит система) Площадь помещения: N[95]</v>
      </c>
      <c r="E139" t="str">
        <f>CONCATENATE(E$2,": ",E$3,list1!E139,"]")</f>
        <v xml:space="preserve"> (Сплит система) Инвентор: S[да]</v>
      </c>
      <c r="F139" t="str">
        <f>CONCATENATE(F$2,": ",F$3,list1!F139,"]")</f>
        <v xml:space="preserve"> (Сплит система) Теплопроизводительность: N[10.6]</v>
      </c>
      <c r="G139" t="str">
        <f>CONCATENATE(G$2,": ",G$3,list1!G139,"]")</f>
        <v xml:space="preserve"> (Потребляемая мощность) Охлаждение: N[2.5]</v>
      </c>
      <c r="H139" t="str">
        <f>CONCATENATE(H$2,": ",H$3,list1!H139,"]")</f>
        <v xml:space="preserve"> (Потребляемая мощность) Обогрев: S[2.36]</v>
      </c>
      <c r="I139" t="str">
        <f>CONCATENATE(I$2,": ",I$3,list1!I139,"]")</f>
        <v xml:space="preserve"> (Рабочий ток) Охлаждение: S[]</v>
      </c>
      <c r="J139" t="str">
        <f>CONCATENATE(J$2,": ",J$3,list1!J139,"]")</f>
        <v xml:space="preserve"> (Рабочий ток) Обогрев: S[]</v>
      </c>
      <c r="K139" t="str">
        <f>CONCATENATE(K$2,": ",K$3,list1!K139,"]")</f>
        <v xml:space="preserve"> (Рабочий ток) Напряжение / Частота источника питания: S[1 / 230 / 50]</v>
      </c>
      <c r="L139" t="str">
        <f>CONCATENATE(L$2,": ",L$3,list1!L139,"]")</f>
        <v xml:space="preserve"> (Рабочий ток) Хладагент: S[R32]</v>
      </c>
      <c r="M139" t="str">
        <f>CONCATENATE(M$2,": ",M$3,list1!M139,"]")</f>
        <v xml:space="preserve"> (Рабочий ток) Количество хладагента: N[]</v>
      </c>
      <c r="N139" t="str">
        <f>CONCATENATE(N$2,": ",N$3,list1!N139,"]")</f>
        <v xml:space="preserve"> (Рабочий ток) Объем рециркулируемого воздуха внутреннего блока: S[]</v>
      </c>
      <c r="O139" t="str">
        <f>CONCATENATE(O$2,": ",O$3,list1!O139,"]")</f>
        <v xml:space="preserve"> (Внутренний блок) Размеры (Ш x Г x В): S[]</v>
      </c>
      <c r="P139" t="str">
        <f>CONCATENATE(P$2,": ",P$3,list1!P139,"]")</f>
        <v xml:space="preserve"> (Внутренний блок) Упаковка (Ш x Г x В): S[]</v>
      </c>
      <c r="Q139" t="str">
        <f>CONCATENATE(Q$2,": ",Q$3,list1!Q139,"]")</f>
        <v xml:space="preserve"> (Внутренний блок) Масса (нетто / брутто): S[]</v>
      </c>
      <c r="R139" t="str">
        <f>CONCATENATE(R$2,": ",R$3,list1!R139,"]")</f>
        <v xml:space="preserve"> (Внутренний блок) Уровень шума мин. / макс.: S[]</v>
      </c>
      <c r="S139" t="str">
        <f>CONCATENATE(S$2,": ",S$3,list1!S139,"]")</f>
        <v xml:space="preserve"> (Наружный блок) Марка компрессора: S[]</v>
      </c>
      <c r="T139" t="str">
        <f>CONCATENATE(T$2,": ",T$3,list1!T139,"]")</f>
        <v xml:space="preserve"> (Наружный блок) Размеры (Ш x Г x В): S[]</v>
      </c>
      <c r="U139" t="str">
        <f>CONCATENATE(U$2,": ",U$3,list1!U139,"]")</f>
        <v xml:space="preserve"> (Наружный блок) Упаковка (Ш x Г x В): S[]</v>
      </c>
      <c r="V139" t="str">
        <f>CONCATENATE(V$2,": ",V$3,list1!V139,"]")</f>
        <v xml:space="preserve"> (Наружный блок) Масса (нетто / брутто): S[]</v>
      </c>
      <c r="W139" t="str">
        <f>CONCATENATE(W$2,": ",W$3,list1!W139,"]")</f>
        <v xml:space="preserve"> (Наружный блок) Максимальный уровень шума: N[]</v>
      </c>
      <c r="X139" t="str">
        <f>CONCATENATE(X$2,": ",X$3,list1!X139,"]")</f>
        <v xml:space="preserve"> (Соединительные трубы) Жидкостная линия : N[]</v>
      </c>
      <c r="Y139" t="str">
        <f>CONCATENATE(Y$2,": ",Y$3,list1!Y139,"]")</f>
        <v xml:space="preserve"> (Соединительные трубы) Газовая линия : N[]</v>
      </c>
      <c r="Z139" t="str">
        <f>CONCATENATE(Z$2,": ",Z$3,list1!Z139,"]")</f>
        <v xml:space="preserve"> (Соединительные трубы) Максимальная длина трубопровода: N[75]</v>
      </c>
      <c r="AA139" t="str">
        <f>CONCATENATE(AA$2,": ",AA$3,list1!AA139,"]")</f>
        <v xml:space="preserve"> (Соединительные трубы) Максимальный перепад высот: S[15]</v>
      </c>
      <c r="AB139" t="str">
        <f>CONCATENATE(AB$2,": ",AB$3,list1!AB139,"]")</f>
        <v xml:space="preserve"> (Допустимая темп. наружного воздуха) Охлаждение: S[от -10 до +24]</v>
      </c>
      <c r="AC139" t="str">
        <f>CONCATENATE(AC$2,": ",AC$3,list1!AC139,"]")</f>
        <v xml:space="preserve"> (Допустимая темп. наружного воздуха) Обогрев: S[от -15 до +24]</v>
      </c>
      <c r="AD139" s="6" t="s">
        <v>5173</v>
      </c>
    </row>
    <row r="140" spans="1:30" x14ac:dyDescent="0.25">
      <c r="A140" t="str">
        <f>CONCATENATE(A$2,": ",A$3,list1!A140,"]")</f>
        <v>Производитель: E[FUJITSU]</v>
      </c>
      <c r="B140" t="str">
        <f>CONCATENATE(B$2,": ",B$3,list1!B140,"]")</f>
        <v xml:space="preserve"> Тип: S[Мульти сплит система]</v>
      </c>
      <c r="C140" t="str">
        <f>CONCATENATE(C$2,": ",C$3,list1!C140,"]")</f>
        <v xml:space="preserve"> (Сплит система) Холодопроизводительность: N[4]</v>
      </c>
      <c r="D140" t="str">
        <f>CONCATENATE(D$2,": ",D$3,list1!D140,"]")</f>
        <v xml:space="preserve"> (Сплит система) Площадь помещения: N[40]</v>
      </c>
      <c r="E140" t="str">
        <f>CONCATENATE(E$2,": ",E$3,list1!E140,"]")</f>
        <v xml:space="preserve"> (Сплит система) Инвентор: S[да]</v>
      </c>
      <c r="F140" t="str">
        <f>CONCATENATE(F$2,": ",F$3,list1!F140,"]")</f>
        <v xml:space="preserve"> (Сплит система) Теплопроизводительность: N[4.4]</v>
      </c>
      <c r="G140" t="str">
        <f>CONCATENATE(G$2,": ",G$3,list1!G140,"]")</f>
        <v xml:space="preserve"> (Потребляемая мощность) Охлаждение: N[1.09]</v>
      </c>
      <c r="H140" t="str">
        <f>CONCATENATE(H$2,": ",H$3,list1!H140,"]")</f>
        <v xml:space="preserve"> (Потребляемая мощность) Обогрев: S[1.03]</v>
      </c>
      <c r="I140" t="str">
        <f>CONCATENATE(I$2,": ",I$3,list1!I140,"]")</f>
        <v xml:space="preserve"> (Рабочий ток) Охлаждение: S[]</v>
      </c>
      <c r="J140" t="str">
        <f>CONCATENATE(J$2,": ",J$3,list1!J140,"]")</f>
        <v xml:space="preserve"> (Рабочий ток) Обогрев: S[]</v>
      </c>
      <c r="K140" t="str">
        <f>CONCATENATE(K$2,": ",K$3,list1!K140,"]")</f>
        <v xml:space="preserve"> (Рабочий ток) Напряжение / Частота источника питания: S[1 / 220 / 50]</v>
      </c>
      <c r="L140" t="str">
        <f>CONCATENATE(L$2,": ",L$3,list1!L140,"]")</f>
        <v xml:space="preserve"> (Рабочий ток) Хладагент: S[R410]</v>
      </c>
      <c r="M140" t="str">
        <f>CONCATENATE(M$2,": ",M$3,list1!M140,"]")</f>
        <v xml:space="preserve"> (Рабочий ток) Количество хладагента: N[]</v>
      </c>
      <c r="N140" t="str">
        <f>CONCATENATE(N$2,": ",N$3,list1!N140,"]")</f>
        <v xml:space="preserve"> (Рабочий ток) Объем рециркулируемого воздуха внутреннего блока: S[]</v>
      </c>
      <c r="O140" t="str">
        <f>CONCATENATE(O$2,": ",O$3,list1!O140,"]")</f>
        <v xml:space="preserve"> (Внутренний блок) Размеры (Ш x Г x В): S[]</v>
      </c>
      <c r="P140" t="str">
        <f>CONCATENATE(P$2,": ",P$3,list1!P140,"]")</f>
        <v xml:space="preserve"> (Внутренний блок) Упаковка (Ш x Г x В): S[]</v>
      </c>
      <c r="Q140" t="str">
        <f>CONCATENATE(Q$2,": ",Q$3,list1!Q140,"]")</f>
        <v xml:space="preserve"> (Внутренний блок) Масса (нетто / брутто): S[]</v>
      </c>
      <c r="R140" t="str">
        <f>CONCATENATE(R$2,": ",R$3,list1!R140,"]")</f>
        <v xml:space="preserve"> (Внутренний блок) Уровень шума мин. / макс.: S[]</v>
      </c>
      <c r="S140" t="str">
        <f>CONCATENATE(S$2,": ",S$3,list1!S140,"]")</f>
        <v xml:space="preserve"> (Наружный блок) Марка компрессора: S[TOSHIBA]</v>
      </c>
      <c r="T140" t="str">
        <f>CONCATENATE(T$2,": ",T$3,list1!T140,"]")</f>
        <v xml:space="preserve"> (Наружный блок) Размеры (Ш x Г x В): S[]</v>
      </c>
      <c r="U140" t="str">
        <f>CONCATENATE(U$2,": ",U$3,list1!U140,"]")</f>
        <v xml:space="preserve"> (Наружный блок) Упаковка (Ш x Г x В): S[]</v>
      </c>
      <c r="V140" t="str">
        <f>CONCATENATE(V$2,": ",V$3,list1!V140,"]")</f>
        <v xml:space="preserve"> (Наружный блок) Масса (нетто / брутто): S[]</v>
      </c>
      <c r="W140" t="str">
        <f>CONCATENATE(W$2,": ",W$3,list1!W140,"]")</f>
        <v xml:space="preserve"> (Наружный блок) Максимальный уровень шума: N[]</v>
      </c>
      <c r="X140" t="str">
        <f>CONCATENATE(X$2,": ",X$3,list1!X140,"]")</f>
        <v xml:space="preserve"> (Соединительные трубы) Жидкостная линия : N[]</v>
      </c>
      <c r="Y140" t="str">
        <f>CONCATENATE(Y$2,": ",Y$3,list1!Y140,"]")</f>
        <v xml:space="preserve"> (Соединительные трубы) Газовая линия : N[]</v>
      </c>
      <c r="Z140" t="str">
        <f>CONCATENATE(Z$2,": ",Z$3,list1!Z140,"]")</f>
        <v xml:space="preserve"> (Соединительные трубы) Максимальная длина трубопровода: N[30]</v>
      </c>
      <c r="AA140" t="str">
        <f>CONCATENATE(AA$2,": ",AA$3,list1!AA140,"]")</f>
        <v xml:space="preserve"> (Соединительные трубы) Максимальный перепад высот: S[15]</v>
      </c>
      <c r="AB140" t="str">
        <f>CONCATENATE(AB$2,": ",AB$3,list1!AB140,"]")</f>
        <v xml:space="preserve"> (Допустимая темп. наружного воздуха) Охлаждение: S[от 10 до +46]</v>
      </c>
      <c r="AC140" t="str">
        <f>CONCATENATE(AC$2,": ",AC$3,list1!AC140,"]")</f>
        <v xml:space="preserve"> (Допустимая темп. наружного воздуха) Обогрев: S[от -15 до +24]</v>
      </c>
      <c r="AD140" s="6" t="s">
        <v>5173</v>
      </c>
    </row>
    <row r="141" spans="1:30" x14ac:dyDescent="0.25">
      <c r="A141" t="str">
        <f>CONCATENATE(A$2,": ",A$3,list1!A141,"]")</f>
        <v>Производитель: E[FUJITSU]</v>
      </c>
      <c r="B141" t="str">
        <f>CONCATENATE(B$2,": ",B$3,list1!B141,"]")</f>
        <v xml:space="preserve"> Тип: S[Мульти сплит система]</v>
      </c>
      <c r="C141" t="str">
        <f>CONCATENATE(C$2,": ",C$3,list1!C141,"]")</f>
        <v xml:space="preserve"> (Сплит система) Холодопроизводительность: N[5]</v>
      </c>
      <c r="D141" t="str">
        <f>CONCATENATE(D$2,": ",D$3,list1!D141,"]")</f>
        <v xml:space="preserve"> (Сплит система) Площадь помещения: N[50]</v>
      </c>
      <c r="E141" t="str">
        <f>CONCATENATE(E$2,": ",E$3,list1!E141,"]")</f>
        <v xml:space="preserve"> (Сплит система) Инвентор: S[да]</v>
      </c>
      <c r="F141" t="str">
        <f>CONCATENATE(F$2,": ",F$3,list1!F141,"]")</f>
        <v xml:space="preserve"> (Сплит система) Теплопроизводительность: N[5.6]</v>
      </c>
      <c r="G141" t="str">
        <f>CONCATENATE(G$2,": ",G$3,list1!G141,"]")</f>
        <v xml:space="preserve"> (Потребляемая мощность) Охлаждение: N[1.56]</v>
      </c>
      <c r="H141" t="str">
        <f>CONCATENATE(H$2,": ",H$3,list1!H141,"]")</f>
        <v xml:space="preserve"> (Потребляемая мощность) Обогрев: S[1.41]</v>
      </c>
      <c r="I141" t="str">
        <f>CONCATENATE(I$2,": ",I$3,list1!I141,"]")</f>
        <v xml:space="preserve"> (Рабочий ток) Охлаждение: S[]</v>
      </c>
      <c r="J141" t="str">
        <f>CONCATENATE(J$2,": ",J$3,list1!J141,"]")</f>
        <v xml:space="preserve"> (Рабочий ток) Обогрев: S[]</v>
      </c>
      <c r="K141" t="str">
        <f>CONCATENATE(K$2,": ",K$3,list1!K141,"]")</f>
        <v xml:space="preserve"> (Рабочий ток) Напряжение / Частота источника питания: S[1 / 220 / 50]</v>
      </c>
      <c r="L141" t="str">
        <f>CONCATENATE(L$2,": ",L$3,list1!L141,"]")</f>
        <v xml:space="preserve"> (Рабочий ток) Хладагент: S[R410]</v>
      </c>
      <c r="M141" t="str">
        <f>CONCATENATE(M$2,": ",M$3,list1!M141,"]")</f>
        <v xml:space="preserve"> (Рабочий ток) Количество хладагента: N[]</v>
      </c>
      <c r="N141" t="str">
        <f>CONCATENATE(N$2,": ",N$3,list1!N141,"]")</f>
        <v xml:space="preserve"> (Рабочий ток) Объем рециркулируемого воздуха внутреннего блока: S[]</v>
      </c>
      <c r="O141" t="str">
        <f>CONCATENATE(O$2,": ",O$3,list1!O141,"]")</f>
        <v xml:space="preserve"> (Внутренний блок) Размеры (Ш x Г x В): S[]</v>
      </c>
      <c r="P141" t="str">
        <f>CONCATENATE(P$2,": ",P$3,list1!P141,"]")</f>
        <v xml:space="preserve"> (Внутренний блок) Упаковка (Ш x Г x В): S[]</v>
      </c>
      <c r="Q141" t="str">
        <f>CONCATENATE(Q$2,": ",Q$3,list1!Q141,"]")</f>
        <v xml:space="preserve"> (Внутренний блок) Масса (нетто / брутто): S[]</v>
      </c>
      <c r="R141" t="str">
        <f>CONCATENATE(R$2,": ",R$3,list1!R141,"]")</f>
        <v xml:space="preserve"> (Внутренний блок) Уровень шума мин. / макс.: S[]</v>
      </c>
      <c r="S141" t="str">
        <f>CONCATENATE(S$2,": ",S$3,list1!S141,"]")</f>
        <v xml:space="preserve"> (Наружный блок) Марка компрессора: S[GENERAL]</v>
      </c>
      <c r="T141" t="str">
        <f>CONCATENATE(T$2,": ",T$3,list1!T141,"]")</f>
        <v xml:space="preserve"> (Наружный блок) Размеры (Ш x Г x В): S[]</v>
      </c>
      <c r="U141" t="str">
        <f>CONCATENATE(U$2,": ",U$3,list1!U141,"]")</f>
        <v xml:space="preserve"> (Наружный блок) Упаковка (Ш x Г x В): S[]</v>
      </c>
      <c r="V141" t="str">
        <f>CONCATENATE(V$2,": ",V$3,list1!V141,"]")</f>
        <v xml:space="preserve"> (Наружный блок) Масса (нетто / брутто): S[]</v>
      </c>
      <c r="W141" t="str">
        <f>CONCATENATE(W$2,": ",W$3,list1!W141,"]")</f>
        <v xml:space="preserve"> (Наружный блок) Максимальный уровень шума: N[]</v>
      </c>
      <c r="X141" t="str">
        <f>CONCATENATE(X$2,": ",X$3,list1!X141,"]")</f>
        <v xml:space="preserve"> (Соединительные трубы) Жидкостная линия : N[]</v>
      </c>
      <c r="Y141" t="str">
        <f>CONCATENATE(Y$2,": ",Y$3,list1!Y141,"]")</f>
        <v xml:space="preserve"> (Соединительные трубы) Газовая линия : N[]</v>
      </c>
      <c r="Z141" t="str">
        <f>CONCATENATE(Z$2,": ",Z$3,list1!Z141,"]")</f>
        <v xml:space="preserve"> (Соединительные трубы) Максимальная длина трубопровода: N[30]</v>
      </c>
      <c r="AA141" t="str">
        <f>CONCATENATE(AA$2,": ",AA$3,list1!AA141,"]")</f>
        <v xml:space="preserve"> (Соединительные трубы) Максимальный перепад высот: S[15]</v>
      </c>
      <c r="AB141" t="str">
        <f>CONCATENATE(AB$2,": ",AB$3,list1!AB141,"]")</f>
        <v xml:space="preserve"> (Допустимая темп. наружного воздуха) Охлаждение: S[от 10 до +46]</v>
      </c>
      <c r="AC141" t="str">
        <f>CONCATENATE(AC$2,": ",AC$3,list1!AC141,"]")</f>
        <v xml:space="preserve"> (Допустимая темп. наружного воздуха) Обогрев: S[от -15 до +24]</v>
      </c>
      <c r="AD141" s="6" t="s">
        <v>5173</v>
      </c>
    </row>
    <row r="142" spans="1:30" x14ac:dyDescent="0.25">
      <c r="A142" t="str">
        <f>CONCATENATE(A$2,": ",A$3,list1!A142,"]")</f>
        <v>Производитель: E[FUJITSU]</v>
      </c>
      <c r="B142" t="str">
        <f>CONCATENATE(B$2,": ",B$3,list1!B142,"]")</f>
        <v xml:space="preserve"> Тип: S[Мульти сплит система]</v>
      </c>
      <c r="C142" t="str">
        <f>CONCATENATE(C$2,": ",C$3,list1!C142,"]")</f>
        <v xml:space="preserve"> (Сплит система) Холодопроизводительность: N[5.4]</v>
      </c>
      <c r="D142" t="str">
        <f>CONCATENATE(D$2,": ",D$3,list1!D142,"]")</f>
        <v xml:space="preserve"> (Сплит система) Площадь помещения: N[54]</v>
      </c>
      <c r="E142" t="str">
        <f>CONCATENATE(E$2,": ",E$3,list1!E142,"]")</f>
        <v xml:space="preserve"> (Сплит система) Инвентор: S[да]</v>
      </c>
      <c r="F142" t="str">
        <f>CONCATENATE(F$2,": ",F$3,list1!F142,"]")</f>
        <v xml:space="preserve"> (Сплит система) Теплопроизводительность: N[6.8]</v>
      </c>
      <c r="G142" t="str">
        <f>CONCATENATE(G$2,": ",G$3,list1!G142,"]")</f>
        <v xml:space="preserve"> (Потребляемая мощность) Охлаждение: N[1.35]</v>
      </c>
      <c r="H142" t="str">
        <f>CONCATENATE(H$2,": ",H$3,list1!H142,"]")</f>
        <v xml:space="preserve"> (Потребляемая мощность) Обогрев: S[1.62]</v>
      </c>
      <c r="I142" t="str">
        <f>CONCATENATE(I$2,": ",I$3,list1!I142,"]")</f>
        <v xml:space="preserve"> (Рабочий ток) Охлаждение: S[]</v>
      </c>
      <c r="J142" t="str">
        <f>CONCATENATE(J$2,": ",J$3,list1!J142,"]")</f>
        <v xml:space="preserve"> (Рабочий ток) Обогрев: S[]</v>
      </c>
      <c r="K142" t="str">
        <f>CONCATENATE(K$2,": ",K$3,list1!K142,"]")</f>
        <v xml:space="preserve"> (Рабочий ток) Напряжение / Частота источника питания: S[1 / 220 / 50]</v>
      </c>
      <c r="L142" t="str">
        <f>CONCATENATE(L$2,": ",L$3,list1!L142,"]")</f>
        <v xml:space="preserve"> (Рабочий ток) Хладагент: S[R410]</v>
      </c>
      <c r="M142" t="str">
        <f>CONCATENATE(M$2,": ",M$3,list1!M142,"]")</f>
        <v xml:space="preserve"> (Рабочий ток) Количество хладагента: N[]</v>
      </c>
      <c r="N142" t="str">
        <f>CONCATENATE(N$2,": ",N$3,list1!N142,"]")</f>
        <v xml:space="preserve"> (Рабочий ток) Объем рециркулируемого воздуха внутреннего блока: S[]</v>
      </c>
      <c r="O142" t="str">
        <f>CONCATENATE(O$2,": ",O$3,list1!O142,"]")</f>
        <v xml:space="preserve"> (Внутренний блок) Размеры (Ш x Г x В): S[]</v>
      </c>
      <c r="P142" t="str">
        <f>CONCATENATE(P$2,": ",P$3,list1!P142,"]")</f>
        <v xml:space="preserve"> (Внутренний блок) Упаковка (Ш x Г x В): S[]</v>
      </c>
      <c r="Q142" t="str">
        <f>CONCATENATE(Q$2,": ",Q$3,list1!Q142,"]")</f>
        <v xml:space="preserve"> (Внутренний блок) Масса (нетто / брутто): S[]</v>
      </c>
      <c r="R142" t="str">
        <f>CONCATENATE(R$2,": ",R$3,list1!R142,"]")</f>
        <v xml:space="preserve"> (Внутренний блок) Уровень шума мин. / макс.: S[]</v>
      </c>
      <c r="S142" t="str">
        <f>CONCATENATE(S$2,": ",S$3,list1!S142,"]")</f>
        <v xml:space="preserve"> (Наружный блок) Марка компрессора: S[TOSHIBA]</v>
      </c>
      <c r="T142" t="str">
        <f>CONCATENATE(T$2,": ",T$3,list1!T142,"]")</f>
        <v xml:space="preserve"> (Наружный блок) Размеры (Ш x Г x В): S[]</v>
      </c>
      <c r="U142" t="str">
        <f>CONCATENATE(U$2,": ",U$3,list1!U142,"]")</f>
        <v xml:space="preserve"> (Наружный блок) Упаковка (Ш x Г x В): S[]</v>
      </c>
      <c r="V142" t="str">
        <f>CONCATENATE(V$2,": ",V$3,list1!V142,"]")</f>
        <v xml:space="preserve"> (Наружный блок) Масса (нетто / брутто): S[]</v>
      </c>
      <c r="W142" t="str">
        <f>CONCATENATE(W$2,": ",W$3,list1!W142,"]")</f>
        <v xml:space="preserve"> (Наружный блок) Максимальный уровень шума: N[]</v>
      </c>
      <c r="X142" t="str">
        <f>CONCATENATE(X$2,": ",X$3,list1!X142,"]")</f>
        <v xml:space="preserve"> (Соединительные трубы) Жидкостная линия : N[]</v>
      </c>
      <c r="Y142" t="str">
        <f>CONCATENATE(Y$2,": ",Y$3,list1!Y142,"]")</f>
        <v xml:space="preserve"> (Соединительные трубы) Газовая линия : N[]</v>
      </c>
      <c r="Z142" t="str">
        <f>CONCATENATE(Z$2,": ",Z$3,list1!Z142,"]")</f>
        <v xml:space="preserve"> (Соединительные трубы) Максимальная длина трубопровода: N[50]</v>
      </c>
      <c r="AA142" t="str">
        <f>CONCATENATE(AA$2,": ",AA$3,list1!AA142,"]")</f>
        <v xml:space="preserve"> (Соединительные трубы) Максимальный перепад высот: S[15]</v>
      </c>
      <c r="AB142" t="str">
        <f>CONCATENATE(AB$2,": ",AB$3,list1!AB142,"]")</f>
        <v xml:space="preserve"> (Допустимая темп. наружного воздуха) Охлаждение: S[от -10 до +46]</v>
      </c>
      <c r="AC142" t="str">
        <f>CONCATENATE(AC$2,": ",AC$3,list1!AC142,"]")</f>
        <v xml:space="preserve"> (Допустимая темп. наружного воздуха) Обогрев: S[от -15 до +24]</v>
      </c>
      <c r="AD142" s="6" t="s">
        <v>5173</v>
      </c>
    </row>
    <row r="143" spans="1:30" x14ac:dyDescent="0.25">
      <c r="A143" t="str">
        <f>CONCATENATE(A$2,": ",A$3,list1!A143,"]")</f>
        <v>Производитель: E[FUJITSU]</v>
      </c>
      <c r="B143" t="str">
        <f>CONCATENATE(B$2,": ",B$3,list1!B143,"]")</f>
        <v xml:space="preserve"> Тип: S[Мульти сплит система]</v>
      </c>
      <c r="C143" t="str">
        <f>CONCATENATE(C$2,": ",C$3,list1!C143,"]")</f>
        <v xml:space="preserve"> (Сплит система) Холодопроизводительность: N[6.8]</v>
      </c>
      <c r="D143" t="str">
        <f>CONCATENATE(D$2,": ",D$3,list1!D143,"]")</f>
        <v xml:space="preserve"> (Сплит система) Площадь помещения: N[68]</v>
      </c>
      <c r="E143" t="str">
        <f>CONCATENATE(E$2,": ",E$3,list1!E143,"]")</f>
        <v xml:space="preserve"> (Сплит система) Инвентор: S[да]</v>
      </c>
      <c r="F143" t="str">
        <f>CONCATENATE(F$2,": ",F$3,list1!F143,"]")</f>
        <v xml:space="preserve"> (Сплит система) Теплопроизводительность: N[8]</v>
      </c>
      <c r="G143" t="str">
        <f>CONCATENATE(G$2,": ",G$3,list1!G143,"]")</f>
        <v xml:space="preserve"> (Потребляемая мощность) Охлаждение: N[1.94]</v>
      </c>
      <c r="H143" t="str">
        <f>CONCATENATE(H$2,": ",H$3,list1!H143,"]")</f>
        <v xml:space="preserve"> (Потребляемая мощность) Обогрев: S[2]</v>
      </c>
      <c r="I143" t="str">
        <f>CONCATENATE(I$2,": ",I$3,list1!I143,"]")</f>
        <v xml:space="preserve"> (Рабочий ток) Охлаждение: S[]</v>
      </c>
      <c r="J143" t="str">
        <f>CONCATENATE(J$2,": ",J$3,list1!J143,"]")</f>
        <v xml:space="preserve"> (Рабочий ток) Обогрев: S[]</v>
      </c>
      <c r="K143" t="str">
        <f>CONCATENATE(K$2,": ",K$3,list1!K143,"]")</f>
        <v xml:space="preserve"> (Рабочий ток) Напряжение / Частота источника питания: S[1 / 220 / 50]</v>
      </c>
      <c r="L143" t="str">
        <f>CONCATENATE(L$2,": ",L$3,list1!L143,"]")</f>
        <v xml:space="preserve"> (Рабочий ток) Хладагент: S[R410]</v>
      </c>
      <c r="M143" t="str">
        <f>CONCATENATE(M$2,": ",M$3,list1!M143,"]")</f>
        <v xml:space="preserve"> (Рабочий ток) Количество хладагента: N[]</v>
      </c>
      <c r="N143" t="str">
        <f>CONCATENATE(N$2,": ",N$3,list1!N143,"]")</f>
        <v xml:space="preserve"> (Рабочий ток) Объем рециркулируемого воздуха внутреннего блока: S[]</v>
      </c>
      <c r="O143" t="str">
        <f>CONCATENATE(O$2,": ",O$3,list1!O143,"]")</f>
        <v xml:space="preserve"> (Внутренний блок) Размеры (Ш x Г x В): S[]</v>
      </c>
      <c r="P143" t="str">
        <f>CONCATENATE(P$2,": ",P$3,list1!P143,"]")</f>
        <v xml:space="preserve"> (Внутренний блок) Упаковка (Ш x Г x В): S[]</v>
      </c>
      <c r="Q143" t="str">
        <f>CONCATENATE(Q$2,": ",Q$3,list1!Q143,"]")</f>
        <v xml:space="preserve"> (Внутренний блок) Масса (нетто / брутто): S[]</v>
      </c>
      <c r="R143" t="str">
        <f>CONCATENATE(R$2,": ",R$3,list1!R143,"]")</f>
        <v xml:space="preserve"> (Внутренний блок) Уровень шума мин. / макс.: S[]</v>
      </c>
      <c r="S143" t="str">
        <f>CONCATENATE(S$2,": ",S$3,list1!S143,"]")</f>
        <v xml:space="preserve"> (Наружный блок) Марка компрессора: S[TOSHIBA]</v>
      </c>
      <c r="T143" t="str">
        <f>CONCATENATE(T$2,": ",T$3,list1!T143,"]")</f>
        <v xml:space="preserve"> (Наружный блок) Размеры (Ш x Г x В): S[]</v>
      </c>
      <c r="U143" t="str">
        <f>CONCATENATE(U$2,": ",U$3,list1!U143,"]")</f>
        <v xml:space="preserve"> (Наружный блок) Упаковка (Ш x Г x В): S[]</v>
      </c>
      <c r="V143" t="str">
        <f>CONCATENATE(V$2,": ",V$3,list1!V143,"]")</f>
        <v xml:space="preserve"> (Наружный блок) Масса (нетто / брутто): S[]</v>
      </c>
      <c r="W143" t="str">
        <f>CONCATENATE(W$2,": ",W$3,list1!W143,"]")</f>
        <v xml:space="preserve"> (Наружный блок) Максимальный уровень шума: N[]</v>
      </c>
      <c r="X143" t="str">
        <f>CONCATENATE(X$2,": ",X$3,list1!X143,"]")</f>
        <v xml:space="preserve"> (Соединительные трубы) Жидкостная линия : N[]</v>
      </c>
      <c r="Y143" t="str">
        <f>CONCATENATE(Y$2,": ",Y$3,list1!Y143,"]")</f>
        <v xml:space="preserve"> (Соединительные трубы) Газовая линия : N[]</v>
      </c>
      <c r="Z143" t="str">
        <f>CONCATENATE(Z$2,": ",Z$3,list1!Z143,"]")</f>
        <v xml:space="preserve"> (Соединительные трубы) Максимальная длина трубопровода: N[50]</v>
      </c>
      <c r="AA143" t="str">
        <f>CONCATENATE(AA$2,": ",AA$3,list1!AA143,"]")</f>
        <v xml:space="preserve"> (Соединительные трубы) Максимальный перепад высот: S[15]</v>
      </c>
      <c r="AB143" t="str">
        <f>CONCATENATE(AB$2,": ",AB$3,list1!AB143,"]")</f>
        <v xml:space="preserve"> (Допустимая темп. наружного воздуха) Охлаждение: S[от -10 до +46]</v>
      </c>
      <c r="AC143" t="str">
        <f>CONCATENATE(AC$2,": ",AC$3,list1!AC143,"]")</f>
        <v xml:space="preserve"> (Допустимая темп. наружного воздуха) Обогрев: S[от -15 до +24]</v>
      </c>
      <c r="AD143" s="6" t="s">
        <v>5173</v>
      </c>
    </row>
    <row r="144" spans="1:30" x14ac:dyDescent="0.25">
      <c r="A144" t="str">
        <f>CONCATENATE(A$2,": ",A$3,list1!A144,"]")</f>
        <v>Производитель: E[FUJITSU]</v>
      </c>
      <c r="B144" t="str">
        <f>CONCATENATE(B$2,": ",B$3,list1!B144,"]")</f>
        <v xml:space="preserve"> Тип: S[Мульти сплит система]</v>
      </c>
      <c r="C144" t="str">
        <f>CONCATENATE(C$2,": ",C$3,list1!C144,"]")</f>
        <v xml:space="preserve"> (Сплит система) Холодопроизводительность: N[8]</v>
      </c>
      <c r="D144" t="str">
        <f>CONCATENATE(D$2,": ",D$3,list1!D144,"]")</f>
        <v xml:space="preserve"> (Сплит система) Площадь помещения: N[80]</v>
      </c>
      <c r="E144" t="str">
        <f>CONCATENATE(E$2,": ",E$3,list1!E144,"]")</f>
        <v xml:space="preserve"> (Сплит система) Инвентор: S[да]</v>
      </c>
      <c r="F144" t="str">
        <f>CONCATENATE(F$2,": ",F$3,list1!F144,"]")</f>
        <v xml:space="preserve"> (Сплит система) Теплопроизводительность: N[9.6]</v>
      </c>
      <c r="G144" t="str">
        <f>CONCATENATE(G$2,": ",G$3,list1!G144,"]")</f>
        <v xml:space="preserve"> (Потребляемая мощность) Охлаждение: N[2.22]</v>
      </c>
      <c r="H144" t="str">
        <f>CONCATENATE(H$2,": ",H$3,list1!H144,"]")</f>
        <v xml:space="preserve"> (Потребляемая мощность) Обогрев: S[2.4]</v>
      </c>
      <c r="I144" t="str">
        <f>CONCATENATE(I$2,": ",I$3,list1!I144,"]")</f>
        <v xml:space="preserve"> (Рабочий ток) Охлаждение: S[]</v>
      </c>
      <c r="J144" t="str">
        <f>CONCATENATE(J$2,": ",J$3,list1!J144,"]")</f>
        <v xml:space="preserve"> (Рабочий ток) Обогрев: S[]</v>
      </c>
      <c r="K144" t="str">
        <f>CONCATENATE(K$2,": ",K$3,list1!K144,"]")</f>
        <v xml:space="preserve"> (Рабочий ток) Напряжение / Частота источника питания: S[1 / 220 / 50]</v>
      </c>
      <c r="L144" t="str">
        <f>CONCATENATE(L$2,": ",L$3,list1!L144,"]")</f>
        <v xml:space="preserve"> (Рабочий ток) Хладагент: S[R410]</v>
      </c>
      <c r="M144" t="str">
        <f>CONCATENATE(M$2,": ",M$3,list1!M144,"]")</f>
        <v xml:space="preserve"> (Рабочий ток) Количество хладагента: N[]</v>
      </c>
      <c r="N144" t="str">
        <f>CONCATENATE(N$2,": ",N$3,list1!N144,"]")</f>
        <v xml:space="preserve"> (Рабочий ток) Объем рециркулируемого воздуха внутреннего блока: S[]</v>
      </c>
      <c r="O144" t="str">
        <f>CONCATENATE(O$2,": ",O$3,list1!O144,"]")</f>
        <v xml:space="preserve"> (Внутренний блок) Размеры (Ш x Г x В): S[]</v>
      </c>
      <c r="P144" t="str">
        <f>CONCATENATE(P$2,": ",P$3,list1!P144,"]")</f>
        <v xml:space="preserve"> (Внутренний блок) Упаковка (Ш x Г x В): S[]</v>
      </c>
      <c r="Q144" t="str">
        <f>CONCATENATE(Q$2,": ",Q$3,list1!Q144,"]")</f>
        <v xml:space="preserve"> (Внутренний блок) Масса (нетто / брутто): S[]</v>
      </c>
      <c r="R144" t="str">
        <f>CONCATENATE(R$2,": ",R$3,list1!R144,"]")</f>
        <v xml:space="preserve"> (Внутренний блок) Уровень шума мин. / макс.: S[]</v>
      </c>
      <c r="S144" t="str">
        <f>CONCATENATE(S$2,": ",S$3,list1!S144,"]")</f>
        <v xml:space="preserve"> (Наружный блок) Марка компрессора: S[SCI]</v>
      </c>
      <c r="T144" t="str">
        <f>CONCATENATE(T$2,": ",T$3,list1!T144,"]")</f>
        <v xml:space="preserve"> (Наружный блок) Размеры (Ш x Г x В): S[]</v>
      </c>
      <c r="U144" t="str">
        <f>CONCATENATE(U$2,": ",U$3,list1!U144,"]")</f>
        <v xml:space="preserve"> (Наружный блок) Упаковка (Ш x Г x В): S[]</v>
      </c>
      <c r="V144" t="str">
        <f>CONCATENATE(V$2,": ",V$3,list1!V144,"]")</f>
        <v xml:space="preserve"> (Наружный блок) Масса (нетто / брутто): S[]</v>
      </c>
      <c r="W144" t="str">
        <f>CONCATENATE(W$2,": ",W$3,list1!W144,"]")</f>
        <v xml:space="preserve"> (Наружный блок) Максимальный уровень шума: N[]</v>
      </c>
      <c r="X144" t="str">
        <f>CONCATENATE(X$2,": ",X$3,list1!X144,"]")</f>
        <v xml:space="preserve"> (Соединительные трубы) Жидкостная линия : N[]</v>
      </c>
      <c r="Y144" t="str">
        <f>CONCATENATE(Y$2,": ",Y$3,list1!Y144,"]")</f>
        <v xml:space="preserve"> (Соединительные трубы) Газовая линия : N[]</v>
      </c>
      <c r="Z144" t="str">
        <f>CONCATENATE(Z$2,": ",Z$3,list1!Z144,"]")</f>
        <v xml:space="preserve"> (Соединительные трубы) Максимальная длина трубопровода: N[70]</v>
      </c>
      <c r="AA144" t="str">
        <f>CONCATENATE(AA$2,": ",AA$3,list1!AA144,"]")</f>
        <v xml:space="preserve"> (Соединительные трубы) Максимальный перепад высот: S[15]</v>
      </c>
      <c r="AB144" t="str">
        <f>CONCATENATE(AB$2,": ",AB$3,list1!AB144,"]")</f>
        <v xml:space="preserve"> (Допустимая темп. наружного воздуха) Охлаждение: S[от -10 до +46]</v>
      </c>
      <c r="AC144" t="str">
        <f>CONCATENATE(AC$2,": ",AC$3,list1!AC144,"]")</f>
        <v xml:space="preserve"> (Допустимая темп. наружного воздуха) Обогрев: S[от -10 до +24]</v>
      </c>
      <c r="AD144" s="6" t="s">
        <v>5173</v>
      </c>
    </row>
    <row r="145" spans="1:30" x14ac:dyDescent="0.25">
      <c r="A145" t="str">
        <f>CONCATENATE(A$2,": ",A$3,list1!A145,"]")</f>
        <v>Производитель: E[FUJITSU]</v>
      </c>
      <c r="B145" t="str">
        <f>CONCATENATE(B$2,": ",B$3,list1!B145,"]")</f>
        <v xml:space="preserve"> Тип: S[Мульти сплит система]</v>
      </c>
      <c r="C145" t="str">
        <f>CONCATENATE(C$2,": ",C$3,list1!C145,"]")</f>
        <v xml:space="preserve"> (Сплит система) Холодопроизводительность: N[10]</v>
      </c>
      <c r="D145" t="str">
        <f>CONCATENATE(D$2,": ",D$3,list1!D145,"]")</f>
        <v xml:space="preserve"> (Сплит система) Площадь помещения: N[10]</v>
      </c>
      <c r="E145" t="str">
        <f>CONCATENATE(E$2,": ",E$3,list1!E145,"]")</f>
        <v xml:space="preserve"> (Сплит система) Инвентор: S[да]</v>
      </c>
      <c r="F145" t="str">
        <f>CONCATENATE(F$2,": ",F$3,list1!F145,"]")</f>
        <v xml:space="preserve"> (Сплит система) Теплопроизводительность: N[12]</v>
      </c>
      <c r="G145" t="str">
        <f>CONCATENATE(G$2,": ",G$3,list1!G145,"]")</f>
        <v xml:space="preserve"> (Потребляемая мощность) Охлаждение: N[2.44]</v>
      </c>
      <c r="H145" t="str">
        <f>CONCATENATE(H$2,": ",H$3,list1!H145,"]")</f>
        <v xml:space="preserve"> (Потребляемая мощность) Обогрев: S[2.79]</v>
      </c>
      <c r="I145" t="str">
        <f>CONCATENATE(I$2,": ",I$3,list1!I145,"]")</f>
        <v xml:space="preserve"> (Рабочий ток) Охлаждение: S[]</v>
      </c>
      <c r="J145" t="str">
        <f>CONCATENATE(J$2,": ",J$3,list1!J145,"]")</f>
        <v xml:space="preserve"> (Рабочий ток) Обогрев: S[]</v>
      </c>
      <c r="K145" t="str">
        <f>CONCATENATE(K$2,": ",K$3,list1!K145,"]")</f>
        <v xml:space="preserve"> (Рабочий ток) Напряжение / Частота источника питания: S[1 / 220 / 50]</v>
      </c>
      <c r="L145" t="str">
        <f>CONCATENATE(L$2,": ",L$3,list1!L145,"]")</f>
        <v xml:space="preserve"> (Рабочий ток) Хладагент: S[R410]</v>
      </c>
      <c r="M145" t="str">
        <f>CONCATENATE(M$2,": ",M$3,list1!M145,"]")</f>
        <v xml:space="preserve"> (Рабочий ток) Количество хладагента: N[]</v>
      </c>
      <c r="N145" t="str">
        <f>CONCATENATE(N$2,": ",N$3,list1!N145,"]")</f>
        <v xml:space="preserve"> (Рабочий ток) Объем рециркулируемого воздуха внутреннего блока: S[]</v>
      </c>
      <c r="O145" t="str">
        <f>CONCATENATE(O$2,": ",O$3,list1!O145,"]")</f>
        <v xml:space="preserve"> (Внутренний блок) Размеры (Ш x Г x В): S[]</v>
      </c>
      <c r="P145" t="str">
        <f>CONCATENATE(P$2,": ",P$3,list1!P145,"]")</f>
        <v xml:space="preserve"> (Внутренний блок) Упаковка (Ш x Г x В): S[]</v>
      </c>
      <c r="Q145" t="str">
        <f>CONCATENATE(Q$2,": ",Q$3,list1!Q145,"]")</f>
        <v xml:space="preserve"> (Внутренний блок) Масса (нетто / брутто): S[]</v>
      </c>
      <c r="R145" t="str">
        <f>CONCATENATE(R$2,": ",R$3,list1!R145,"]")</f>
        <v xml:space="preserve"> (Внутренний блок) Уровень шума мин. / макс.: S[]</v>
      </c>
      <c r="S145" t="str">
        <f>CONCATENATE(S$2,": ",S$3,list1!S145,"]")</f>
        <v xml:space="preserve"> (Наружный блок) Марка компрессора: S[GENERAL]</v>
      </c>
      <c r="T145" t="str">
        <f>CONCATENATE(T$2,": ",T$3,list1!T145,"]")</f>
        <v xml:space="preserve"> (Наружный блок) Размеры (Ш x Г x В): S[]</v>
      </c>
      <c r="U145" t="str">
        <f>CONCATENATE(U$2,": ",U$3,list1!U145,"]")</f>
        <v xml:space="preserve"> (Наружный блок) Упаковка (Ш x Г x В): S[]</v>
      </c>
      <c r="V145" t="str">
        <f>CONCATENATE(V$2,": ",V$3,list1!V145,"]")</f>
        <v xml:space="preserve"> (Наружный блок) Масса (нетто / брутто): S[]</v>
      </c>
      <c r="W145" t="str">
        <f>CONCATENATE(W$2,": ",W$3,list1!W145,"]")</f>
        <v xml:space="preserve"> (Наружный блок) Максимальный уровень шума: N[]</v>
      </c>
      <c r="X145" t="str">
        <f>CONCATENATE(X$2,": ",X$3,list1!X145,"]")</f>
        <v xml:space="preserve"> (Соединительные трубы) Жидкостная линия : N[]</v>
      </c>
      <c r="Y145" t="str">
        <f>CONCATENATE(Y$2,": ",Y$3,list1!Y145,"]")</f>
        <v xml:space="preserve"> (Соединительные трубы) Газовая линия : N[]</v>
      </c>
      <c r="Z145" t="str">
        <f>CONCATENATE(Z$2,": ",Z$3,list1!Z145,"]")</f>
        <v xml:space="preserve"> (Соединительные трубы) Максимальная длина трубопровода: N[80]</v>
      </c>
      <c r="AA145" t="str">
        <f>CONCATENATE(AA$2,": ",AA$3,list1!AA145,"]")</f>
        <v xml:space="preserve"> (Соединительные трубы) Максимальный перепад высот: S[15]</v>
      </c>
      <c r="AB145" t="str">
        <f>CONCATENATE(AB$2,": ",AB$3,list1!AB145,"]")</f>
        <v xml:space="preserve"> (Допустимая темп. наружного воздуха) Охлаждение: S[от -10 до +46]</v>
      </c>
      <c r="AC145" t="str">
        <f>CONCATENATE(AC$2,": ",AC$3,list1!AC145,"]")</f>
        <v xml:space="preserve"> (Допустимая темп. наружного воздуха) Обогрев: S[от -15 до +24]</v>
      </c>
      <c r="AD145" s="6" t="s">
        <v>5173</v>
      </c>
    </row>
    <row r="146" spans="1:30" x14ac:dyDescent="0.25">
      <c r="A146" t="str">
        <f>CONCATENATE(A$2,": ",A$3,list1!A146,"]")</f>
        <v>Производитель: E[FUJITSU]</v>
      </c>
      <c r="B146" t="str">
        <f>CONCATENATE(B$2,": ",B$3,list1!B146,"]")</f>
        <v xml:space="preserve"> Тип: S[Мульти сплит система]</v>
      </c>
      <c r="C146" t="str">
        <f>CONCATENATE(C$2,": ",C$3,list1!C146,"]")</f>
        <v xml:space="preserve"> (Сплит система) Холодопроизводительность: N[12.5]</v>
      </c>
      <c r="D146" t="str">
        <f>CONCATENATE(D$2,": ",D$3,list1!D146,"]")</f>
        <v xml:space="preserve"> (Сплит система) Площадь помещения: N[120]</v>
      </c>
      <c r="E146" t="str">
        <f>CONCATENATE(E$2,": ",E$3,list1!E146,"]")</f>
        <v xml:space="preserve"> (Сплит система) Инвентор: S[да]</v>
      </c>
      <c r="F146" t="str">
        <f>CONCATENATE(F$2,": ",F$3,list1!F146,"]")</f>
        <v xml:space="preserve"> (Сплит система) Теплопроизводительность: N[13.5]</v>
      </c>
      <c r="G146" t="str">
        <f>CONCATENATE(G$2,": ",G$3,list1!G146,"]")</f>
        <v xml:space="preserve"> (Потребляемая мощность) Охлаждение: N[3.57]</v>
      </c>
      <c r="H146" t="str">
        <f>CONCATENATE(H$2,": ",H$3,list1!H146,"]")</f>
        <v xml:space="preserve"> (Потребляемая мощность) Обогрев: S[3.37]</v>
      </c>
      <c r="I146" t="str">
        <f>CONCATENATE(I$2,": ",I$3,list1!I146,"]")</f>
        <v xml:space="preserve"> (Рабочий ток) Охлаждение: S[]</v>
      </c>
      <c r="J146" t="str">
        <f>CONCATENATE(J$2,": ",J$3,list1!J146,"]")</f>
        <v xml:space="preserve"> (Рабочий ток) Обогрев: S[]</v>
      </c>
      <c r="K146" t="str">
        <f>CONCATENATE(K$2,": ",K$3,list1!K146,"]")</f>
        <v xml:space="preserve"> (Рабочий ток) Напряжение / Частота источника питания: S[1 / 230 / 50]</v>
      </c>
      <c r="L146" t="str">
        <f>CONCATENATE(L$2,": ",L$3,list1!L146,"]")</f>
        <v xml:space="preserve"> (Рабочий ток) Хладагент: S[R410]</v>
      </c>
      <c r="M146" t="str">
        <f>CONCATENATE(M$2,": ",M$3,list1!M146,"]")</f>
        <v xml:space="preserve"> (Рабочий ток) Количество хладагента: N[]</v>
      </c>
      <c r="N146" t="str">
        <f>CONCATENATE(N$2,": ",N$3,list1!N146,"]")</f>
        <v xml:space="preserve"> (Рабочий ток) Объем рециркулируемого воздуха внутреннего блока: S[]</v>
      </c>
      <c r="O146" t="str">
        <f>CONCATENATE(O$2,": ",O$3,list1!O146,"]")</f>
        <v xml:space="preserve"> (Внутренний блок) Размеры (Ш x Г x В): S[]</v>
      </c>
      <c r="P146" t="str">
        <f>CONCATENATE(P$2,": ",P$3,list1!P146,"]")</f>
        <v xml:space="preserve"> (Внутренний блок) Упаковка (Ш x Г x В): S[]</v>
      </c>
      <c r="Q146" t="str">
        <f>CONCATENATE(Q$2,": ",Q$3,list1!Q146,"]")</f>
        <v xml:space="preserve"> (Внутренний блок) Масса (нетто / брутто): S[]</v>
      </c>
      <c r="R146" t="str">
        <f>CONCATENATE(R$2,": ",R$3,list1!R146,"]")</f>
        <v xml:space="preserve"> (Внутренний блок) Уровень шума мин. / макс.: S[]</v>
      </c>
      <c r="S146" t="str">
        <f>CONCATENATE(S$2,": ",S$3,list1!S146,"]")</f>
        <v xml:space="preserve"> (Наружный блок) Марка компрессора: S[GENERAL]</v>
      </c>
      <c r="T146" t="str">
        <f>CONCATENATE(T$2,": ",T$3,list1!T146,"]")</f>
        <v xml:space="preserve"> (Наружный блок) Размеры (Ш x Г x В): S[]</v>
      </c>
      <c r="U146" t="str">
        <f>CONCATENATE(U$2,": ",U$3,list1!U146,"]")</f>
        <v xml:space="preserve"> (Наружный блок) Упаковка (Ш x Г x В): S[]</v>
      </c>
      <c r="V146" t="str">
        <f>CONCATENATE(V$2,": ",V$3,list1!V146,"]")</f>
        <v xml:space="preserve"> (Наружный блок) Масса (нетто / брутто): S[]</v>
      </c>
      <c r="W146" t="str">
        <f>CONCATENATE(W$2,": ",W$3,list1!W146,"]")</f>
        <v xml:space="preserve"> (Наружный блок) Максимальный уровень шума: N[]</v>
      </c>
      <c r="X146" t="str">
        <f>CONCATENATE(X$2,": ",X$3,list1!X146,"]")</f>
        <v xml:space="preserve"> (Соединительные трубы) Жидкостная линия : N[]</v>
      </c>
      <c r="Y146" t="str">
        <f>CONCATENATE(Y$2,": ",Y$3,list1!Y146,"]")</f>
        <v xml:space="preserve"> (Соединительные трубы) Газовая линия : N[]</v>
      </c>
      <c r="Z146" t="str">
        <f>CONCATENATE(Z$2,": ",Z$3,list1!Z146,"]")</f>
        <v xml:space="preserve"> (Соединительные трубы) Максимальная длина трубопровода: N[80]</v>
      </c>
      <c r="AA146" t="str">
        <f>CONCATENATE(AA$2,": ",AA$3,list1!AA146,"]")</f>
        <v xml:space="preserve"> (Соединительные трубы) Максимальный перепад высот: S[15]</v>
      </c>
      <c r="AB146" t="str">
        <f>CONCATENATE(AB$2,": ",AB$3,list1!AB146,"]")</f>
        <v xml:space="preserve"> (Допустимая темп. наружного воздуха) Охлаждение: S[от -10 до +46]</v>
      </c>
      <c r="AC146" t="str">
        <f>CONCATENATE(AC$2,": ",AC$3,list1!AC146,"]")</f>
        <v xml:space="preserve"> (Допустимая темп. наружного воздуха) Обогрев: S[от -15 до +24]</v>
      </c>
      <c r="AD146" s="6" t="s">
        <v>5173</v>
      </c>
    </row>
    <row r="147" spans="1:30" x14ac:dyDescent="0.25">
      <c r="A147" t="str">
        <f>CONCATENATE(A$2,": ",A$3,list1!A147,"]")</f>
        <v>Производитель: E[FUJITSU]</v>
      </c>
      <c r="B147" t="str">
        <f>CONCATENATE(B$2,": ",B$3,list1!B147,"]")</f>
        <v xml:space="preserve"> Тип: S[Мульти сплит система]</v>
      </c>
      <c r="C147" t="str">
        <f>CONCATENATE(C$2,": ",C$3,list1!C147,"]")</f>
        <v xml:space="preserve"> (Сплит система) Холодопроизводительность: N[14]</v>
      </c>
      <c r="D147" t="str">
        <f>CONCATENATE(D$2,": ",D$3,list1!D147,"]")</f>
        <v xml:space="preserve"> (Сплит система) Площадь помещения: N[140]</v>
      </c>
      <c r="E147" t="str">
        <f>CONCATENATE(E$2,": ",E$3,list1!E147,"]")</f>
        <v xml:space="preserve"> (Сплит система) Инвентор: S[да]</v>
      </c>
      <c r="F147" t="str">
        <f>CONCATENATE(F$2,": ",F$3,list1!F147,"]")</f>
        <v xml:space="preserve"> (Сплит система) Теплопроизводительность: N[16]</v>
      </c>
      <c r="G147" t="str">
        <f>CONCATENATE(G$2,": ",G$3,list1!G147,"]")</f>
        <v xml:space="preserve"> (Потребляемая мощность) Охлаждение: N[5.2]</v>
      </c>
      <c r="H147" t="str">
        <f>CONCATENATE(H$2,": ",H$3,list1!H147,"]")</f>
        <v xml:space="preserve"> (Потребляемая мощность) Обогрев: S[5.16]</v>
      </c>
      <c r="I147" t="str">
        <f>CONCATENATE(I$2,": ",I$3,list1!I147,"]")</f>
        <v xml:space="preserve"> (Рабочий ток) Охлаждение: S[]</v>
      </c>
      <c r="J147" t="str">
        <f>CONCATENATE(J$2,": ",J$3,list1!J147,"]")</f>
        <v xml:space="preserve"> (Рабочий ток) Обогрев: S[]</v>
      </c>
      <c r="K147" t="str">
        <f>CONCATENATE(K$2,": ",K$3,list1!K147,"]")</f>
        <v xml:space="preserve"> (Рабочий ток) Напряжение / Частота источника питания: S[1 / 220 / 50]</v>
      </c>
      <c r="L147" t="str">
        <f>CONCATENATE(L$2,": ",L$3,list1!L147,"]")</f>
        <v xml:space="preserve"> (Рабочий ток) Хладагент: S[R410]</v>
      </c>
      <c r="M147" t="str">
        <f>CONCATENATE(M$2,": ",M$3,list1!M147,"]")</f>
        <v xml:space="preserve"> (Рабочий ток) Количество хладагента: N[]</v>
      </c>
      <c r="N147" t="str">
        <f>CONCATENATE(N$2,": ",N$3,list1!N147,"]")</f>
        <v xml:space="preserve"> (Рабочий ток) Объем рециркулируемого воздуха внутреннего блока: S[]</v>
      </c>
      <c r="O147" t="str">
        <f>CONCATENATE(O$2,": ",O$3,list1!O147,"]")</f>
        <v xml:space="preserve"> (Внутренний блок) Размеры (Ш x Г x В): S[]</v>
      </c>
      <c r="P147" t="str">
        <f>CONCATENATE(P$2,": ",P$3,list1!P147,"]")</f>
        <v xml:space="preserve"> (Внутренний блок) Упаковка (Ш x Г x В): S[]</v>
      </c>
      <c r="Q147" t="str">
        <f>CONCATENATE(Q$2,": ",Q$3,list1!Q147,"]")</f>
        <v xml:space="preserve"> (Внутренний блок) Масса (нетто / брутто): S[]</v>
      </c>
      <c r="R147" t="str">
        <f>CONCATENATE(R$2,": ",R$3,list1!R147,"]")</f>
        <v xml:space="preserve"> (Внутренний блок) Уровень шума мин. / макс.: S[]</v>
      </c>
      <c r="S147" t="str">
        <f>CONCATENATE(S$2,": ",S$3,list1!S147,"]")</f>
        <v xml:space="preserve"> (Наружный блок) Марка компрессора: S[SANYO]</v>
      </c>
      <c r="T147" t="str">
        <f>CONCATENATE(T$2,": ",T$3,list1!T147,"]")</f>
        <v xml:space="preserve"> (Наружный блок) Размеры (Ш x Г x В): S[]</v>
      </c>
      <c r="U147" t="str">
        <f>CONCATENATE(U$2,": ",U$3,list1!U147,"]")</f>
        <v xml:space="preserve"> (Наружный блок) Упаковка (Ш x Г x В): S[]</v>
      </c>
      <c r="V147" t="str">
        <f>CONCATENATE(V$2,": ",V$3,list1!V147,"]")</f>
        <v xml:space="preserve"> (Наружный блок) Масса (нетто / брутто): S[]</v>
      </c>
      <c r="W147" t="str">
        <f>CONCATENATE(W$2,": ",W$3,list1!W147,"]")</f>
        <v xml:space="preserve"> (Наружный блок) Максимальный уровень шума: N[]</v>
      </c>
      <c r="X147" t="str">
        <f>CONCATENATE(X$2,": ",X$3,list1!X147,"]")</f>
        <v xml:space="preserve"> (Соединительные трубы) Жидкостная линия : N[9.52]</v>
      </c>
      <c r="Y147" t="str">
        <f>CONCATENATE(Y$2,": ",Y$3,list1!Y147,"]")</f>
        <v xml:space="preserve"> (Соединительные трубы) Газовая линия : N[15.88]</v>
      </c>
      <c r="Z147" t="str">
        <f>CONCATENATE(Z$2,": ",Z$3,list1!Z147,"]")</f>
        <v xml:space="preserve"> (Соединительные трубы) Максимальная длина трубопровода: N[115]</v>
      </c>
      <c r="AA147" t="str">
        <f>CONCATENATE(AA$2,": ",AA$3,list1!AA147,"]")</f>
        <v xml:space="preserve"> (Соединительные трубы) Максимальный перепад высот: S[30]</v>
      </c>
      <c r="AB147" t="str">
        <f>CONCATENATE(AB$2,": ",AB$3,list1!AB147,"]")</f>
        <v xml:space="preserve"> (Допустимая темп. наружного воздуха) Охлаждение: S[от -5 до +46]</v>
      </c>
      <c r="AC147" t="str">
        <f>CONCATENATE(AC$2,": ",AC$3,list1!AC147,"]")</f>
        <v xml:space="preserve"> (Допустимая темп. наружного воздуха) Обогрев: S[от -15 до +24]</v>
      </c>
      <c r="AD147" s="6" t="s">
        <v>5173</v>
      </c>
    </row>
    <row r="148" spans="1:30" x14ac:dyDescent="0.25">
      <c r="A148" t="str">
        <f>CONCATENATE(A$2,": ",A$3,list1!A148,"]")</f>
        <v>Производитель: E[LESSAR]</v>
      </c>
      <c r="B148" t="str">
        <f>CONCATENATE(B$2,": ",B$3,list1!B148,"]")</f>
        <v xml:space="preserve"> Тип: S[Сплит система]</v>
      </c>
      <c r="C148" t="str">
        <f>CONCATENATE(C$2,": ",C$3,list1!C148,"]")</f>
        <v xml:space="preserve"> (Сплит система) Холодопроизводительность: N[2.05]</v>
      </c>
      <c r="D148" t="str">
        <f>CONCATENATE(D$2,": ",D$3,list1!D148,"]")</f>
        <v xml:space="preserve"> (Сплит система) Площадь помещения: N[20]</v>
      </c>
      <c r="E148" t="str">
        <f>CONCATENATE(E$2,": ",E$3,list1!E148,"]")</f>
        <v xml:space="preserve"> (Сплит система) Инвентор: S[да]</v>
      </c>
      <c r="F148" t="str">
        <f>CONCATENATE(F$2,": ",F$3,list1!F148,"]")</f>
        <v xml:space="preserve"> (Сплит система) Теплопроизводительность: N[2.05]</v>
      </c>
      <c r="G148" t="str">
        <f>CONCATENATE(G$2,": ",G$3,list1!G148,"]")</f>
        <v xml:space="preserve"> (Потребляемая мощность) Охлаждение: N[0.822]</v>
      </c>
      <c r="H148" t="str">
        <f>CONCATENATE(H$2,": ",H$3,list1!H148,"]")</f>
        <v xml:space="preserve"> (Потребляемая мощность) Обогрев: S[0.731]</v>
      </c>
      <c r="I148" t="str">
        <f>CONCATENATE(I$2,": ",I$3,list1!I148,"]")</f>
        <v xml:space="preserve"> (Рабочий ток) Охлаждение: S[]</v>
      </c>
      <c r="J148" t="str">
        <f>CONCATENATE(J$2,": ",J$3,list1!J148,"]")</f>
        <v xml:space="preserve"> (Рабочий ток) Обогрев: S[]</v>
      </c>
      <c r="K148" t="str">
        <f>CONCATENATE(K$2,": ",K$3,list1!K148,"]")</f>
        <v xml:space="preserve"> (Рабочий ток) Напряжение / Частота источника питания: S[1 / 220 / 50]</v>
      </c>
      <c r="L148" t="str">
        <f>CONCATENATE(L$2,": ",L$3,list1!L148,"]")</f>
        <v xml:space="preserve"> (Рабочий ток) Хладагент: S[R410A]</v>
      </c>
      <c r="M148" t="str">
        <f>CONCATENATE(M$2,": ",M$3,list1!M148,"]")</f>
        <v xml:space="preserve"> (Рабочий ток) Количество хладагента: N[]</v>
      </c>
      <c r="N148" t="str">
        <f>CONCATENATE(N$2,": ",N$3,list1!N148,"]")</f>
        <v xml:space="preserve"> (Рабочий ток) Объем рециркулируемого воздуха внутреннего блока: S[]</v>
      </c>
      <c r="O148" t="str">
        <f>CONCATENATE(O$2,": ",O$3,list1!O148,"]")</f>
        <v xml:space="preserve"> (Внутренний блок) Размеры (Ш x Г x В): S[715 х 285 х 194]</v>
      </c>
      <c r="P148" t="str">
        <f>CONCATENATE(P$2,": ",P$3,list1!P148,"]")</f>
        <v xml:space="preserve"> (Внутренний блок) Упаковка (Ш x Г x В): S[780 х 270 х 365]</v>
      </c>
      <c r="Q148" t="str">
        <f>CONCATENATE(Q$2,": ",Q$3,list1!Q148,"]")</f>
        <v xml:space="preserve"> (Внутренний блок) Масса (нетто / брутто): S[7.7 / 9.8]</v>
      </c>
      <c r="R148" t="str">
        <f>CONCATENATE(R$2,": ",R$3,list1!R148,"]")</f>
        <v xml:space="preserve"> (Внутренний блок) Уровень шума мин. / макс.: S[24/31/37.5]</v>
      </c>
      <c r="S148" t="str">
        <f>CONCATENATE(S$2,": ",S$3,list1!S148,"]")</f>
        <v xml:space="preserve"> (Наружный блок) Марка компрессора: S[GMCC]</v>
      </c>
      <c r="T148" t="str">
        <f>CONCATENATE(T$2,": ",T$3,list1!T148,"]")</f>
        <v xml:space="preserve"> (Наружный блок) Размеры (Ш x Г x В): S[681 х 285 х 434]</v>
      </c>
      <c r="U148" t="str">
        <f>CONCATENATE(U$2,": ",U$3,list1!U148,"]")</f>
        <v xml:space="preserve"> (Наружный блок) Упаковка (Ш x Г x В): S[795 х 345 х 505]</v>
      </c>
      <c r="V148" t="str">
        <f>CONCATENATE(V$2,": ",V$3,list1!V148,"]")</f>
        <v xml:space="preserve"> (Наружный блок) Масса (нетто / брутто): S[20.9/22.9]</v>
      </c>
      <c r="W148" t="str">
        <f>CONCATENATE(W$2,": ",W$3,list1!W148,"]")</f>
        <v xml:space="preserve"> (Наружный блок) Максимальный уровень шума: N[]</v>
      </c>
      <c r="X148" t="str">
        <f>CONCATENATE(X$2,": ",X$3,list1!X148,"]")</f>
        <v xml:space="preserve"> (Соединительные трубы) Жидкостная линия : N[6.35]</v>
      </c>
      <c r="Y148" t="str">
        <f>CONCATENATE(Y$2,": ",Y$3,list1!Y148,"]")</f>
        <v xml:space="preserve"> (Соединительные трубы) Газовая линия : N[9.52]</v>
      </c>
      <c r="Z148" t="str">
        <f>CONCATENATE(Z$2,": ",Z$3,list1!Z148,"]")</f>
        <v xml:space="preserve"> (Соединительные трубы) Максимальная длина трубопровода: N[25]</v>
      </c>
      <c r="AA148" t="str">
        <f>CONCATENATE(AA$2,": ",AA$3,list1!AA148,"]")</f>
        <v xml:space="preserve"> (Соединительные трубы) Максимальный перепад высот: S[10]</v>
      </c>
      <c r="AB148" t="str">
        <f>CONCATENATE(AB$2,": ",AB$3,list1!AB148,"]")</f>
        <v xml:space="preserve"> (Допустимая темп. наружного воздуха) Охлаждение: S[]</v>
      </c>
      <c r="AC148" t="str">
        <f>CONCATENATE(AC$2,": ",AC$3,list1!AC148,"]")</f>
        <v xml:space="preserve"> (Допустимая темп. наружного воздуха) Обогрев: S[от -15 до +30]</v>
      </c>
      <c r="AD148" s="6" t="s">
        <v>5245</v>
      </c>
    </row>
    <row r="149" spans="1:30" x14ac:dyDescent="0.25">
      <c r="A149" t="str">
        <f>CONCATENATE(A$2,": ",A$3,list1!A149,"]")</f>
        <v>Производитель: E[LESSAR]</v>
      </c>
      <c r="B149" t="str">
        <f>CONCATENATE(B$2,": ",B$3,list1!B149,"]")</f>
        <v xml:space="preserve"> Тип: S[Сплит система]</v>
      </c>
      <c r="C149" t="str">
        <f>CONCATENATE(C$2,": ",C$3,list1!C149,"]")</f>
        <v xml:space="preserve"> (Сплит система) Холодопроизводительность: N[2.05]</v>
      </c>
      <c r="D149" t="str">
        <f>CONCATENATE(D$2,": ",D$3,list1!D149,"]")</f>
        <v xml:space="preserve"> (Сплит система) Площадь помещения: N[20]</v>
      </c>
      <c r="E149" t="str">
        <f>CONCATENATE(E$2,": ",E$3,list1!E149,"]")</f>
        <v xml:space="preserve"> (Сплит система) Инвентор: S[да]</v>
      </c>
      <c r="F149" t="str">
        <f>CONCATENATE(F$2,": ",F$3,list1!F149,"]")</f>
        <v xml:space="preserve"> (Сплит система) Теплопроизводительность: N[2.34]</v>
      </c>
      <c r="G149" t="str">
        <f>CONCATENATE(G$2,": ",G$3,list1!G149,"]")</f>
        <v xml:space="preserve"> (Потребляемая мощность) Охлаждение: N[0.639]</v>
      </c>
      <c r="H149" t="str">
        <f>CONCATENATE(H$2,": ",H$3,list1!H149,"]")</f>
        <v xml:space="preserve"> (Потребляемая мощность) Обогрев: S[0.65]</v>
      </c>
      <c r="I149" t="str">
        <f>CONCATENATE(I$2,": ",I$3,list1!I149,"]")</f>
        <v xml:space="preserve"> (Рабочий ток) Охлаждение: S[]</v>
      </c>
      <c r="J149" t="str">
        <f>CONCATENATE(J$2,": ",J$3,list1!J149,"]")</f>
        <v xml:space="preserve"> (Рабочий ток) Обогрев: S[]</v>
      </c>
      <c r="K149" t="str">
        <f>CONCATENATE(K$2,": ",K$3,list1!K149,"]")</f>
        <v xml:space="preserve"> (Рабочий ток) Напряжение / Частота источника питания: S[1 / 220 / 50]</v>
      </c>
      <c r="L149" t="str">
        <f>CONCATENATE(L$2,": ",L$3,list1!L149,"]")</f>
        <v xml:space="preserve"> (Рабочий ток) Хладагент: S[R410A]</v>
      </c>
      <c r="M149" t="str">
        <f>CONCATENATE(M$2,": ",M$3,list1!M149,"]")</f>
        <v xml:space="preserve"> (Рабочий ток) Количество хладагента: N[]</v>
      </c>
      <c r="N149" t="str">
        <f>CONCATENATE(N$2,": ",N$3,list1!N149,"]")</f>
        <v xml:space="preserve"> (Рабочий ток) Объем рециркулируемого воздуха внутреннего блока: S[]</v>
      </c>
      <c r="O149" t="str">
        <f>CONCATENATE(O$2,": ",O$3,list1!O149,"]")</f>
        <v xml:space="preserve"> (Внутренний блок) Размеры (Ш x Г x В): S[715 х 285 х 194]</v>
      </c>
      <c r="P149" t="str">
        <f>CONCATENATE(P$2,": ",P$3,list1!P149,"]")</f>
        <v xml:space="preserve"> (Внутренний блок) Упаковка (Ш x Г x В): S[780 х 270 х 365]</v>
      </c>
      <c r="Q149" t="str">
        <f>CONCATENATE(Q$2,": ",Q$3,list1!Q149,"]")</f>
        <v xml:space="preserve"> (Внутренний блок) Масса (нетто / брутто): S[7.5 / 9.5]</v>
      </c>
      <c r="R149" t="str">
        <f>CONCATENATE(R$2,": ",R$3,list1!R149,"]")</f>
        <v xml:space="preserve"> (Внутренний блок) Уровень шума мин. / макс.: S[24/30.5/36.5]</v>
      </c>
      <c r="S149" t="str">
        <f>CONCATENATE(S$2,": ",S$3,list1!S149,"]")</f>
        <v xml:space="preserve"> (Наружный блок) Марка компрессора: S[GMCC]</v>
      </c>
      <c r="T149" t="str">
        <f>CONCATENATE(T$2,": ",T$3,list1!T149,"]")</f>
        <v xml:space="preserve"> (Наружный блок) Размеры (Ш x Г x В): S[720 х 270 х 495]</v>
      </c>
      <c r="U149" t="str">
        <f>CONCATENATE(U$2,": ",U$3,list1!U149,"]")</f>
        <v xml:space="preserve"> (Наружный блок) Упаковка (Ш x Г x В): S[835 х 300 х 540]</v>
      </c>
      <c r="V149" t="str">
        <f>CONCATENATE(V$2,": ",V$3,list1!V149,"]")</f>
        <v xml:space="preserve"> (Наружный блок) Масса (нетто / брутто): S[22.8/24.8]</v>
      </c>
      <c r="W149" t="str">
        <f>CONCATENATE(W$2,": ",W$3,list1!W149,"]")</f>
        <v xml:space="preserve"> (Наружный блок) Максимальный уровень шума: N[]</v>
      </c>
      <c r="X149" t="str">
        <f>CONCATENATE(X$2,": ",X$3,list1!X149,"]")</f>
        <v xml:space="preserve"> (Соединительные трубы) Жидкостная линия : N[6.35]</v>
      </c>
      <c r="Y149" t="str">
        <f>CONCATENATE(Y$2,": ",Y$3,list1!Y149,"]")</f>
        <v xml:space="preserve"> (Соединительные трубы) Газовая линия : N[9.52]</v>
      </c>
      <c r="Z149" t="str">
        <f>CONCATENATE(Z$2,": ",Z$3,list1!Z149,"]")</f>
        <v xml:space="preserve"> (Соединительные трубы) Максимальная длина трубопровода: N[25]</v>
      </c>
      <c r="AA149" t="str">
        <f>CONCATENATE(AA$2,": ",AA$3,list1!AA149,"]")</f>
        <v xml:space="preserve"> (Соединительные трубы) Максимальный перепад высот: S[10]</v>
      </c>
      <c r="AB149" t="str">
        <f>CONCATENATE(AB$2,": ",AB$3,list1!AB149,"]")</f>
        <v xml:space="preserve"> (Допустимая темп. наружного воздуха) Охлаждение: S[]</v>
      </c>
      <c r="AC149" t="str">
        <f>CONCATENATE(AC$2,": ",AC$3,list1!AC149,"]")</f>
        <v xml:space="preserve"> (Допустимая темп. наружного воздуха) Обогрев: S[от -15 до +24]</v>
      </c>
      <c r="AD149" s="6" t="s">
        <v>5245</v>
      </c>
    </row>
    <row r="150" spans="1:30" x14ac:dyDescent="0.25">
      <c r="A150" t="str">
        <f>CONCATENATE(A$2,": ",A$3,list1!A150,"]")</f>
        <v>Производитель: E[LESSAR]</v>
      </c>
      <c r="B150" t="str">
        <f>CONCATENATE(B$2,": ",B$3,list1!B150,"]")</f>
        <v xml:space="preserve"> Тип: S[Сплит система]</v>
      </c>
      <c r="C150" t="str">
        <f>CONCATENATE(C$2,": ",C$3,list1!C150,"]")</f>
        <v xml:space="preserve"> (Сплит система) Холодопроизводительность: N[2.64]</v>
      </c>
      <c r="D150" t="str">
        <f>CONCATENATE(D$2,": ",D$3,list1!D150,"]")</f>
        <v xml:space="preserve"> (Сплит система) Площадь помещения: N[26]</v>
      </c>
      <c r="E150" t="str">
        <f>CONCATENATE(E$2,": ",E$3,list1!E150,"]")</f>
        <v xml:space="preserve"> (Сплит система) Инвентор: S[да]</v>
      </c>
      <c r="F150" t="str">
        <f>CONCATENATE(F$2,": ",F$3,list1!F150,"]")</f>
        <v xml:space="preserve"> (Сплит система) Теплопроизводительность: N[2.64]</v>
      </c>
      <c r="G150" t="str">
        <f>CONCATENATE(G$2,": ",G$3,list1!G150,"]")</f>
        <v xml:space="preserve"> (Потребляемая мощность) Охлаждение: N[0.822]</v>
      </c>
      <c r="H150" t="str">
        <f>CONCATENATE(H$2,": ",H$3,list1!H150,"]")</f>
        <v xml:space="preserve"> (Потребляемая мощность) Обогрев: S[0.731]</v>
      </c>
      <c r="I150" t="str">
        <f>CONCATENATE(I$2,": ",I$3,list1!I150,"]")</f>
        <v xml:space="preserve"> (Рабочий ток) Охлаждение: S[]</v>
      </c>
      <c r="J150" t="str">
        <f>CONCATENATE(J$2,": ",J$3,list1!J150,"]")</f>
        <v xml:space="preserve"> (Рабочий ток) Обогрев: S[]</v>
      </c>
      <c r="K150" t="str">
        <f>CONCATENATE(K$2,": ",K$3,list1!K150,"]")</f>
        <v xml:space="preserve"> (Рабочий ток) Напряжение / Частота источника питания: S[1 / 220 / 50]</v>
      </c>
      <c r="L150" t="str">
        <f>CONCATENATE(L$2,": ",L$3,list1!L150,"]")</f>
        <v xml:space="preserve"> (Рабочий ток) Хладагент: S[R410A]</v>
      </c>
      <c r="M150" t="str">
        <f>CONCATENATE(M$2,": ",M$3,list1!M150,"]")</f>
        <v xml:space="preserve"> (Рабочий ток) Количество хладагента: N[]</v>
      </c>
      <c r="N150" t="str">
        <f>CONCATENATE(N$2,": ",N$3,list1!N150,"]")</f>
        <v xml:space="preserve"> (Рабочий ток) Объем рециркулируемого воздуха внутреннего блока: S[]</v>
      </c>
      <c r="O150" t="str">
        <f>CONCATENATE(O$2,": ",O$3,list1!O150,"]")</f>
        <v xml:space="preserve"> (Внутренний блок) Размеры (Ш x Г x В): S[715 х 285 х 194]</v>
      </c>
      <c r="P150" t="str">
        <f>CONCATENATE(P$2,": ",P$3,list1!P150,"]")</f>
        <v xml:space="preserve"> (Внутренний блок) Упаковка (Ш x Г x В): S[780 х 270 х 365]</v>
      </c>
      <c r="Q150" t="str">
        <f>CONCATENATE(Q$2,": ",Q$3,list1!Q150,"]")</f>
        <v xml:space="preserve"> (Внутренний блок) Масса (нетто / брутто): S[7.7 / 9.8]</v>
      </c>
      <c r="R150" t="str">
        <f>CONCATENATE(R$2,": ",R$3,list1!R150,"]")</f>
        <v xml:space="preserve"> (Внутренний блок) Уровень шума мин. / макс.: S[24/31/37.5]</v>
      </c>
      <c r="S150" t="str">
        <f>CONCATENATE(S$2,": ",S$3,list1!S150,"]")</f>
        <v xml:space="preserve"> (Наружный блок) Марка компрессора: S[GMCC]</v>
      </c>
      <c r="T150" t="str">
        <f>CONCATENATE(T$2,": ",T$3,list1!T150,"]")</f>
        <v xml:space="preserve"> (Наружный блок) Размеры (Ш x Г x В): S[681 х 285 х 434]</v>
      </c>
      <c r="U150" t="str">
        <f>CONCATENATE(U$2,": ",U$3,list1!U150,"]")</f>
        <v xml:space="preserve"> (Наружный блок) Упаковка (Ш x Г x В): S[795 х 345 х 505]</v>
      </c>
      <c r="V150" t="str">
        <f>CONCATENATE(V$2,": ",V$3,list1!V150,"]")</f>
        <v xml:space="preserve"> (Наружный блок) Масса (нетто / брутто): S[20.9/22.9]</v>
      </c>
      <c r="W150" t="str">
        <f>CONCATENATE(W$2,": ",W$3,list1!W150,"]")</f>
        <v xml:space="preserve"> (Наружный блок) Максимальный уровень шума: N[]</v>
      </c>
      <c r="X150" t="str">
        <f>CONCATENATE(X$2,": ",X$3,list1!X150,"]")</f>
        <v xml:space="preserve"> (Соединительные трубы) Жидкостная линия : N[6.35]</v>
      </c>
      <c r="Y150" t="str">
        <f>CONCATENATE(Y$2,": ",Y$3,list1!Y150,"]")</f>
        <v xml:space="preserve"> (Соединительные трубы) Газовая линия : N[9.52]</v>
      </c>
      <c r="Z150" t="str">
        <f>CONCATENATE(Z$2,": ",Z$3,list1!Z150,"]")</f>
        <v xml:space="preserve"> (Соединительные трубы) Максимальная длина трубопровода: N[25]</v>
      </c>
      <c r="AA150" t="str">
        <f>CONCATENATE(AA$2,": ",AA$3,list1!AA150,"]")</f>
        <v xml:space="preserve"> (Соединительные трубы) Максимальный перепад высот: S[10]</v>
      </c>
      <c r="AB150" t="str">
        <f>CONCATENATE(AB$2,": ",AB$3,list1!AB150,"]")</f>
        <v xml:space="preserve"> (Допустимая темп. наружного воздуха) Охлаждение: S[]</v>
      </c>
      <c r="AC150" t="str">
        <f>CONCATENATE(AC$2,": ",AC$3,list1!AC150,"]")</f>
        <v xml:space="preserve"> (Допустимая темп. наружного воздуха) Обогрев: S[от -15 до +30]</v>
      </c>
      <c r="AD150" s="6" t="s">
        <v>5245</v>
      </c>
    </row>
    <row r="151" spans="1:30" x14ac:dyDescent="0.25">
      <c r="A151" t="str">
        <f>CONCATENATE(A$2,": ",A$3,list1!A151,"]")</f>
        <v>Производитель: E[LESSAR]</v>
      </c>
      <c r="B151" t="str">
        <f>CONCATENATE(B$2,": ",B$3,list1!B151,"]")</f>
        <v xml:space="preserve"> Тип: S[Сплит система]</v>
      </c>
      <c r="C151" t="str">
        <f>CONCATENATE(C$2,": ",C$3,list1!C151,"]")</f>
        <v xml:space="preserve"> (Сплит система) Холодопроизводительность: N[2.64]</v>
      </c>
      <c r="D151" t="str">
        <f>CONCATENATE(D$2,": ",D$3,list1!D151,"]")</f>
        <v xml:space="preserve"> (Сплит система) Площадь помещения: N[26]</v>
      </c>
      <c r="E151" t="str">
        <f>CONCATENATE(E$2,": ",E$3,list1!E151,"]")</f>
        <v xml:space="preserve"> (Сплит система) Инвентор: S[да]</v>
      </c>
      <c r="F151" t="str">
        <f>CONCATENATE(F$2,": ",F$3,list1!F151,"]")</f>
        <v xml:space="preserve"> (Сплит система) Теплопроизводительность: N[2.93]</v>
      </c>
      <c r="G151" t="str">
        <f>CONCATENATE(G$2,": ",G$3,list1!G151,"]")</f>
        <v xml:space="preserve"> (Потребляемая мощность) Охлаждение: N[0.822]</v>
      </c>
      <c r="H151" t="str">
        <f>CONCATENATE(H$2,": ",H$3,list1!H151,"]")</f>
        <v xml:space="preserve"> (Потребляемая мощность) Обогрев: S[0.812]</v>
      </c>
      <c r="I151" t="str">
        <f>CONCATENATE(I$2,": ",I$3,list1!I151,"]")</f>
        <v xml:space="preserve"> (Рабочий ток) Охлаждение: S[]</v>
      </c>
      <c r="J151" t="str">
        <f>CONCATENATE(J$2,": ",J$3,list1!J151,"]")</f>
        <v xml:space="preserve"> (Рабочий ток) Обогрев: S[]</v>
      </c>
      <c r="K151" t="str">
        <f>CONCATENATE(K$2,": ",K$3,list1!K151,"]")</f>
        <v xml:space="preserve"> (Рабочий ток) Напряжение / Частота источника питания: S[1 / 220 / 50]</v>
      </c>
      <c r="L151" t="str">
        <f>CONCATENATE(L$2,": ",L$3,list1!L151,"]")</f>
        <v xml:space="preserve"> (Рабочий ток) Хладагент: S[R410A]</v>
      </c>
      <c r="M151" t="str">
        <f>CONCATENATE(M$2,": ",M$3,list1!M151,"]")</f>
        <v xml:space="preserve"> (Рабочий ток) Количество хладагента: N[]</v>
      </c>
      <c r="N151" t="str">
        <f>CONCATENATE(N$2,": ",N$3,list1!N151,"]")</f>
        <v xml:space="preserve"> (Рабочий ток) Объем рециркулируемого воздуха внутреннего блока: S[]</v>
      </c>
      <c r="O151" t="str">
        <f>CONCATENATE(O$2,": ",O$3,list1!O151,"]")</f>
        <v xml:space="preserve"> (Внутренний блок) Размеры (Ш x Г x В): S[715 х 285 х 194]</v>
      </c>
      <c r="P151" t="str">
        <f>CONCATENATE(P$2,": ",P$3,list1!P151,"]")</f>
        <v xml:space="preserve"> (Внутренний блок) Упаковка (Ш x Г x В): S[780 х 270 х 365]</v>
      </c>
      <c r="Q151" t="str">
        <f>CONCATENATE(Q$2,": ",Q$3,list1!Q151,"]")</f>
        <v xml:space="preserve"> (Внутренний блок) Масса (нетто / брутто): S[7.5 / 9.5]</v>
      </c>
      <c r="R151" t="str">
        <f>CONCATENATE(R$2,": ",R$3,list1!R151,"]")</f>
        <v xml:space="preserve"> (Внутренний блок) Уровень шума мин. / макс.: S[24/30.5/36.5]</v>
      </c>
      <c r="S151" t="str">
        <f>CONCATENATE(S$2,": ",S$3,list1!S151,"]")</f>
        <v xml:space="preserve"> (Наружный блок) Марка компрессора: S[GMCC]</v>
      </c>
      <c r="T151" t="str">
        <f>CONCATENATE(T$2,": ",T$3,list1!T151,"]")</f>
        <v xml:space="preserve"> (Наружный блок) Размеры (Ш x Г x В): S[720 х 270 х 495]</v>
      </c>
      <c r="U151" t="str">
        <f>CONCATENATE(U$2,": ",U$3,list1!U151,"]")</f>
        <v xml:space="preserve"> (Наружный блок) Упаковка (Ш x Г x В): S[835 х 300 х 540]</v>
      </c>
      <c r="V151" t="str">
        <f>CONCATENATE(V$2,": ",V$3,list1!V151,"]")</f>
        <v xml:space="preserve"> (Наружный блок) Масса (нетто / брутто): S[22.8/24.8]</v>
      </c>
      <c r="W151" t="str">
        <f>CONCATENATE(W$2,": ",W$3,list1!W151,"]")</f>
        <v xml:space="preserve"> (Наружный блок) Максимальный уровень шума: N[]</v>
      </c>
      <c r="X151" t="str">
        <f>CONCATENATE(X$2,": ",X$3,list1!X151,"]")</f>
        <v xml:space="preserve"> (Соединительные трубы) Жидкостная линия : N[6.35]</v>
      </c>
      <c r="Y151" t="str">
        <f>CONCATENATE(Y$2,": ",Y$3,list1!Y151,"]")</f>
        <v xml:space="preserve"> (Соединительные трубы) Газовая линия : N[9.52]</v>
      </c>
      <c r="Z151" t="str">
        <f>CONCATENATE(Z$2,": ",Z$3,list1!Z151,"]")</f>
        <v xml:space="preserve"> (Соединительные трубы) Максимальная длина трубопровода: N[25]</v>
      </c>
      <c r="AA151" t="str">
        <f>CONCATENATE(AA$2,": ",AA$3,list1!AA151,"]")</f>
        <v xml:space="preserve"> (Соединительные трубы) Максимальный перепад высот: S[10]</v>
      </c>
      <c r="AB151" t="str">
        <f>CONCATENATE(AB$2,": ",AB$3,list1!AB151,"]")</f>
        <v xml:space="preserve"> (Допустимая темп. наружного воздуха) Охлаждение: S[]</v>
      </c>
      <c r="AC151" t="str">
        <f>CONCATENATE(AC$2,": ",AC$3,list1!AC151,"]")</f>
        <v xml:space="preserve"> (Допустимая темп. наружного воздуха) Обогрев: S[от -15 до +24]</v>
      </c>
      <c r="AD151" s="6" t="s">
        <v>5245</v>
      </c>
    </row>
    <row r="152" spans="1:30" x14ac:dyDescent="0.25">
      <c r="A152" t="str">
        <f>CONCATENATE(A$2,": ",A$3,list1!A152,"]")</f>
        <v>Производитель: E[LESSAR]</v>
      </c>
      <c r="B152" t="str">
        <f>CONCATENATE(B$2,": ",B$3,list1!B152,"]")</f>
        <v xml:space="preserve"> Тип: S[Сплит система]</v>
      </c>
      <c r="C152" t="str">
        <f>CONCATENATE(C$2,": ",C$3,list1!C152,"]")</f>
        <v xml:space="preserve"> (Сплит система) Холодопроизводительность: N[3.22]</v>
      </c>
      <c r="D152" t="str">
        <f>CONCATENATE(D$2,": ",D$3,list1!D152,"]")</f>
        <v xml:space="preserve"> (Сплит система) Площадь помещения: N[32]</v>
      </c>
      <c r="E152" t="str">
        <f>CONCATENATE(E$2,": ",E$3,list1!E152,"]")</f>
        <v xml:space="preserve"> (Сплит система) Инвентор: S[да]</v>
      </c>
      <c r="F152" t="str">
        <f>CONCATENATE(F$2,": ",F$3,list1!F152,"]")</f>
        <v xml:space="preserve"> (Сплит система) Теплопроизводительность: N[3.52]</v>
      </c>
      <c r="G152" t="str">
        <f>CONCATENATE(G$2,": ",G$3,list1!G152,"]")</f>
        <v xml:space="preserve"> (Потребляемая мощность) Охлаждение: N[1.004]</v>
      </c>
      <c r="H152" t="str">
        <f>CONCATENATE(H$2,": ",H$3,list1!H152,"]")</f>
        <v xml:space="preserve"> (Потребляемая мощность) Обогрев: S[0.974]</v>
      </c>
      <c r="I152" t="str">
        <f>CONCATENATE(I$2,": ",I$3,list1!I152,"]")</f>
        <v xml:space="preserve"> (Рабочий ток) Охлаждение: S[]</v>
      </c>
      <c r="J152" t="str">
        <f>CONCATENATE(J$2,": ",J$3,list1!J152,"]")</f>
        <v xml:space="preserve"> (Рабочий ток) Обогрев: S[]</v>
      </c>
      <c r="K152" t="str">
        <f>CONCATENATE(K$2,": ",K$3,list1!K152,"]")</f>
        <v xml:space="preserve"> (Рабочий ток) Напряжение / Частота источника питания: S[1 / 220 / 50]</v>
      </c>
      <c r="L152" t="str">
        <f>CONCATENATE(L$2,": ",L$3,list1!L152,"]")</f>
        <v xml:space="preserve"> (Рабочий ток) Хладагент: S[R410A]</v>
      </c>
      <c r="M152" t="str">
        <f>CONCATENATE(M$2,": ",M$3,list1!M152,"]")</f>
        <v xml:space="preserve"> (Рабочий ток) Количество хладагента: N[]</v>
      </c>
      <c r="N152" t="str">
        <f>CONCATENATE(N$2,": ",N$3,list1!N152,"]")</f>
        <v xml:space="preserve"> (Рабочий ток) Объем рециркулируемого воздуха внутреннего блока: S[]</v>
      </c>
      <c r="O152" t="str">
        <f>CONCATENATE(O$2,": ",O$3,list1!O152,"]")</f>
        <v xml:space="preserve"> (Внутренний блок) Размеры (Ш x Г x В): S[715 х 285 х 194]</v>
      </c>
      <c r="P152" t="str">
        <f>CONCATENATE(P$2,": ",P$3,list1!P152,"]")</f>
        <v xml:space="preserve"> (Внутренний блок) Упаковка (Ш x Г x В): S[780 х 270 х 360]</v>
      </c>
      <c r="Q152" t="str">
        <f>CONCATENATE(Q$2,": ",Q$3,list1!Q152,"]")</f>
        <v xml:space="preserve"> (Внутренний блок) Масса (нетто / брутто): S[7.7 / 9.8]</v>
      </c>
      <c r="R152" t="str">
        <f>CONCATENATE(R$2,": ",R$3,list1!R152,"]")</f>
        <v xml:space="preserve"> (Внутренний блок) Уровень шума мин. / макс.: S[26/34/39.5]</v>
      </c>
      <c r="S152" t="str">
        <f>CONCATENATE(S$2,": ",S$3,list1!S152,"]")</f>
        <v xml:space="preserve"> (Наружный блок) Марка компрессора: S[GMCC]</v>
      </c>
      <c r="T152" t="str">
        <f>CONCATENATE(T$2,": ",T$3,list1!T152,"]")</f>
        <v xml:space="preserve"> (Наружный блок) Размеры (Ш x Г x В): S[700 х 275 х 550]</v>
      </c>
      <c r="U152" t="str">
        <f>CONCATENATE(U$2,": ",U$3,list1!U152,"]")</f>
        <v xml:space="preserve"> (Наружный блок) Упаковка (Ш x Г x В): S[815 х 325 х 615]</v>
      </c>
      <c r="V152" t="str">
        <f>CONCATENATE(V$2,": ",V$3,list1!V152,"]")</f>
        <v xml:space="preserve"> (Наружный блок) Масса (нетто / брутто): S[22.7/25.1]</v>
      </c>
      <c r="W152" t="str">
        <f>CONCATENATE(W$2,": ",W$3,list1!W152,"]")</f>
        <v xml:space="preserve"> (Наружный блок) Максимальный уровень шума: N[]</v>
      </c>
      <c r="X152" t="str">
        <f>CONCATENATE(X$2,": ",X$3,list1!X152,"]")</f>
        <v xml:space="preserve"> (Соединительные трубы) Жидкостная линия : N[6.35]</v>
      </c>
      <c r="Y152" t="str">
        <f>CONCATENATE(Y$2,": ",Y$3,list1!Y152,"]")</f>
        <v xml:space="preserve"> (Соединительные трубы) Газовая линия : N[9.52]</v>
      </c>
      <c r="Z152" t="str">
        <f>CONCATENATE(Z$2,": ",Z$3,list1!Z152,"]")</f>
        <v xml:space="preserve"> (Соединительные трубы) Максимальная длина трубопровода: N[25]</v>
      </c>
      <c r="AA152" t="str">
        <f>CONCATENATE(AA$2,": ",AA$3,list1!AA152,"]")</f>
        <v xml:space="preserve"> (Соединительные трубы) Максимальный перепад высот: S[10]</v>
      </c>
      <c r="AB152" t="str">
        <f>CONCATENATE(AB$2,": ",AB$3,list1!AB152,"]")</f>
        <v xml:space="preserve"> (Допустимая темп. наружного воздуха) Охлаждение: S[]</v>
      </c>
      <c r="AC152" t="str">
        <f>CONCATENATE(AC$2,": ",AC$3,list1!AC152,"]")</f>
        <v xml:space="preserve"> (Допустимая темп. наружного воздуха) Обогрев: S[от -15 до +30]</v>
      </c>
      <c r="AD152" s="6" t="s">
        <v>5245</v>
      </c>
    </row>
    <row r="153" spans="1:30" x14ac:dyDescent="0.25">
      <c r="A153" t="str">
        <f>CONCATENATE(A$2,": ",A$3,list1!A153,"]")</f>
        <v>Производитель: E[LESSAR]</v>
      </c>
      <c r="B153" t="str">
        <f>CONCATENATE(B$2,": ",B$3,list1!B153,"]")</f>
        <v xml:space="preserve"> Тип: S[Сплит система]</v>
      </c>
      <c r="C153" t="str">
        <f>CONCATENATE(C$2,": ",C$3,list1!C153,"]")</f>
        <v xml:space="preserve"> (Сплит система) Холодопроизводительность: N[3.36]</v>
      </c>
      <c r="D153" t="str">
        <f>CONCATENATE(D$2,": ",D$3,list1!D153,"]")</f>
        <v xml:space="preserve"> (Сплит система) Площадь помещения: N[33]</v>
      </c>
      <c r="E153" t="str">
        <f>CONCATENATE(E$2,": ",E$3,list1!E153,"]")</f>
        <v xml:space="preserve"> (Сплит система) Инвентор: S[да]</v>
      </c>
      <c r="F153" t="str">
        <f>CONCATENATE(F$2,": ",F$3,list1!F153,"]")</f>
        <v xml:space="preserve"> (Сплит система) Теплопроизводительность: N[3.69]</v>
      </c>
      <c r="G153" t="str">
        <f>CONCATENATE(G$2,": ",G$3,list1!G153,"]")</f>
        <v xml:space="preserve"> (Потребляемая мощность) Охлаждение: N[1.045]</v>
      </c>
      <c r="H153" t="str">
        <f>CONCATENATE(H$2,": ",H$3,list1!H153,"]")</f>
        <v xml:space="preserve"> (Потребляемая мощность) Обогрев: S[1.023]</v>
      </c>
      <c r="I153" t="str">
        <f>CONCATENATE(I$2,": ",I$3,list1!I153,"]")</f>
        <v xml:space="preserve"> (Рабочий ток) Охлаждение: S[]</v>
      </c>
      <c r="J153" t="str">
        <f>CONCATENATE(J$2,": ",J$3,list1!J153,"]")</f>
        <v xml:space="preserve"> (Рабочий ток) Обогрев: S[]</v>
      </c>
      <c r="K153" t="str">
        <f>CONCATENATE(K$2,": ",K$3,list1!K153,"]")</f>
        <v xml:space="preserve"> (Рабочий ток) Напряжение / Частота источника питания: S[1 / 220 / 50]</v>
      </c>
      <c r="L153" t="str">
        <f>CONCATENATE(L$2,": ",L$3,list1!L153,"]")</f>
        <v xml:space="preserve"> (Рабочий ток) Хладагент: S[R410A]</v>
      </c>
      <c r="M153" t="str">
        <f>CONCATENATE(M$2,": ",M$3,list1!M153,"]")</f>
        <v xml:space="preserve"> (Рабочий ток) Количество хладагента: N[]</v>
      </c>
      <c r="N153" t="str">
        <f>CONCATENATE(N$2,": ",N$3,list1!N153,"]")</f>
        <v xml:space="preserve"> (Рабочий ток) Объем рециркулируемого воздуха внутреннего блока: S[]</v>
      </c>
      <c r="O153" t="str">
        <f>CONCATENATE(O$2,": ",O$3,list1!O153,"]")</f>
        <v xml:space="preserve"> (Внутренний блок) Размеры (Ш x Г x В): S[715 х 285 х 194]</v>
      </c>
      <c r="P153" t="str">
        <f>CONCATENATE(P$2,": ",P$3,list1!P153,"]")</f>
        <v xml:space="preserve"> (Внутренний блок) Упаковка (Ш x Г x В): S[780 х 270 х 365]</v>
      </c>
      <c r="Q153" t="str">
        <f>CONCATENATE(Q$2,": ",Q$3,list1!Q153,"]")</f>
        <v xml:space="preserve"> (Внутренний блок) Масса (нетто / брутто): S[7.7 / 9.8]</v>
      </c>
      <c r="R153" t="str">
        <f>CONCATENATE(R$2,": ",R$3,list1!R153,"]")</f>
        <v xml:space="preserve"> (Внутренний блок) Уровень шума мин. / макс.: S[26/35.5/39.5]</v>
      </c>
      <c r="S153" t="str">
        <f>CONCATENATE(S$2,": ",S$3,list1!S153,"]")</f>
        <v xml:space="preserve"> (Наружный блок) Марка компрессора: S[GMCC]</v>
      </c>
      <c r="T153" t="str">
        <f>CONCATENATE(T$2,": ",T$3,list1!T153,"]")</f>
        <v xml:space="preserve"> (Наружный блок) Размеры (Ш x Г x В): S[720 х 270 х 495]</v>
      </c>
      <c r="U153" t="str">
        <f>CONCATENATE(U$2,": ",U$3,list1!U153,"]")</f>
        <v xml:space="preserve"> (Наружный блок) Упаковка (Ш x Г x В): S[835 х 300 х 540]</v>
      </c>
      <c r="V153" t="str">
        <f>CONCATENATE(V$2,": ",V$3,list1!V153,"]")</f>
        <v xml:space="preserve"> (Наружный блок) Масса (нетто / брутто): S[23.5/25.3]</v>
      </c>
      <c r="W153" t="str">
        <f>CONCATENATE(W$2,": ",W$3,list1!W153,"]")</f>
        <v xml:space="preserve"> (Наружный блок) Максимальный уровень шума: N[]</v>
      </c>
      <c r="X153" t="str">
        <f>CONCATENATE(X$2,": ",X$3,list1!X153,"]")</f>
        <v xml:space="preserve"> (Соединительные трубы) Жидкостная линия : N[6.35]</v>
      </c>
      <c r="Y153" t="str">
        <f>CONCATENATE(Y$2,": ",Y$3,list1!Y153,"]")</f>
        <v xml:space="preserve"> (Соединительные трубы) Газовая линия : N[9.52]</v>
      </c>
      <c r="Z153" t="str">
        <f>CONCATENATE(Z$2,": ",Z$3,list1!Z153,"]")</f>
        <v xml:space="preserve"> (Соединительные трубы) Максимальная длина трубопровода: N[25]</v>
      </c>
      <c r="AA153" t="str">
        <f>CONCATENATE(AA$2,": ",AA$3,list1!AA153,"]")</f>
        <v xml:space="preserve"> (Соединительные трубы) Максимальный перепад высот: S[10]</v>
      </c>
      <c r="AB153" t="str">
        <f>CONCATENATE(AB$2,": ",AB$3,list1!AB153,"]")</f>
        <v xml:space="preserve"> (Допустимая темп. наружного воздуха) Охлаждение: S[]</v>
      </c>
      <c r="AC153" t="str">
        <f>CONCATENATE(AC$2,": ",AC$3,list1!AC153,"]")</f>
        <v xml:space="preserve"> (Допустимая темп. наружного воздуха) Обогрев: S[от -15 до +30]</v>
      </c>
      <c r="AD153" s="6" t="s">
        <v>5245</v>
      </c>
    </row>
    <row r="154" spans="1:30" x14ac:dyDescent="0.25">
      <c r="A154" t="str">
        <f>CONCATENATE(A$2,": ",A$3,list1!A154,"]")</f>
        <v>Производитель: E[LESSAR]</v>
      </c>
      <c r="B154" t="str">
        <f>CONCATENATE(B$2,": ",B$3,list1!B154,"]")</f>
        <v xml:space="preserve"> Тип: S[Сплит система]</v>
      </c>
      <c r="C154" t="str">
        <f>CONCATENATE(C$2,": ",C$3,list1!C154,"]")</f>
        <v xml:space="preserve"> (Сплит система) Холодопроизводительность: N[2.2]</v>
      </c>
      <c r="D154" t="str">
        <f>CONCATENATE(D$2,": ",D$3,list1!D154,"]")</f>
        <v xml:space="preserve"> (Сплит система) Площадь помещения: N[22]</v>
      </c>
      <c r="E154" t="str">
        <f>CONCATENATE(E$2,": ",E$3,list1!E154,"]")</f>
        <v xml:space="preserve"> (Сплит система) Инвентор: S[нет]</v>
      </c>
      <c r="F154" t="str">
        <f>CONCATENATE(F$2,": ",F$3,list1!F154,"]")</f>
        <v xml:space="preserve"> (Сплит система) Теплопроизводительность: N[2.34]</v>
      </c>
      <c r="G154" t="str">
        <f>CONCATENATE(G$2,": ",G$3,list1!G154,"]")</f>
        <v xml:space="preserve"> (Потребляемая мощность) Охлаждение: N[0.685]</v>
      </c>
      <c r="H154" t="str">
        <f>CONCATENATE(H$2,": ",H$3,list1!H154,"]")</f>
        <v xml:space="preserve"> (Потребляемая мощность) Обогрев: S[0.649]</v>
      </c>
      <c r="I154" t="str">
        <f>CONCATENATE(I$2,": ",I$3,list1!I154,"]")</f>
        <v xml:space="preserve"> (Рабочий ток) Охлаждение: S[]</v>
      </c>
      <c r="J154" t="str">
        <f>CONCATENATE(J$2,": ",J$3,list1!J154,"]")</f>
        <v xml:space="preserve"> (Рабочий ток) Обогрев: S[]</v>
      </c>
      <c r="K154" t="str">
        <f>CONCATENATE(K$2,": ",K$3,list1!K154,"]")</f>
        <v xml:space="preserve"> (Рабочий ток) Напряжение / Частота источника питания: S[1 / 220 / 50]</v>
      </c>
      <c r="L154" t="str">
        <f>CONCATENATE(L$2,": ",L$3,list1!L154,"]")</f>
        <v xml:space="preserve"> (Рабочий ток) Хладагент: S[R410A]</v>
      </c>
      <c r="M154" t="str">
        <f>CONCATENATE(M$2,": ",M$3,list1!M154,"]")</f>
        <v xml:space="preserve"> (Рабочий ток) Количество хладагента: N[]</v>
      </c>
      <c r="N154" t="str">
        <f>CONCATENATE(N$2,": ",N$3,list1!N154,"]")</f>
        <v xml:space="preserve"> (Рабочий ток) Объем рециркулируемого воздуха внутреннего блока: S[]</v>
      </c>
      <c r="O154" t="str">
        <f>CONCATENATE(O$2,": ",O$3,list1!O154,"]")</f>
        <v xml:space="preserve"> (Внутренний блок) Размеры (Ш x Г x В): S[722 х 290 х 187]</v>
      </c>
      <c r="P154" t="str">
        <f>CONCATENATE(P$2,": ",P$3,list1!P154,"]")</f>
        <v xml:space="preserve"> (Внутренний блок) Упаковка (Ш x Г x В): S[790 х 270 х 375]</v>
      </c>
      <c r="Q154" t="str">
        <f>CONCATENATE(Q$2,": ",Q$3,list1!Q154,"]")</f>
        <v xml:space="preserve"> (Внутренний блок) Масса (нетто / брутто): S[8.3 / 10.6]</v>
      </c>
      <c r="R154" t="str">
        <f>CONCATENATE(R$2,": ",R$3,list1!R154,"]")</f>
        <v xml:space="preserve"> (Внутренний блок) Уровень шума мин. / макс.: S[26/34.5/38]</v>
      </c>
      <c r="S154" t="str">
        <f>CONCATENATE(S$2,": ",S$3,list1!S154,"]")</f>
        <v xml:space="preserve"> (Наружный блок) Марка компрессора: S[GMCC]</v>
      </c>
      <c r="T154" t="str">
        <f>CONCATENATE(T$2,": ",T$3,list1!T154,"]")</f>
        <v xml:space="preserve"> (Наружный блок) Размеры (Ш x Г x В): S[700 х 275 х 550]</v>
      </c>
      <c r="U154" t="str">
        <f>CONCATENATE(U$2,": ",U$3,list1!U154,"]")</f>
        <v xml:space="preserve"> (Наружный блок) Упаковка (Ш x Г x В): S[815 х 325 х 625]</v>
      </c>
      <c r="V154" t="str">
        <f>CONCATENATE(V$2,": ",V$3,list1!V154,"]")</f>
        <v xml:space="preserve"> (Наружный блок) Масса (нетто / брутто): S[23.9/26.2]</v>
      </c>
      <c r="W154" t="str">
        <f>CONCATENATE(W$2,": ",W$3,list1!W154,"]")</f>
        <v xml:space="preserve"> (Наружный блок) Максимальный уровень шума: N[]</v>
      </c>
      <c r="X154" t="str">
        <f>CONCATENATE(X$2,": ",X$3,list1!X154,"]")</f>
        <v xml:space="preserve"> (Соединительные трубы) Жидкостная линия : N[6.35]</v>
      </c>
      <c r="Y154" t="str">
        <f>CONCATENATE(Y$2,": ",Y$3,list1!Y154,"]")</f>
        <v xml:space="preserve"> (Соединительные трубы) Газовая линия : N[9.52]</v>
      </c>
      <c r="Z154" t="str">
        <f>CONCATENATE(Z$2,": ",Z$3,list1!Z154,"]")</f>
        <v xml:space="preserve"> (Соединительные трубы) Максимальная длина трубопровода: N[20]</v>
      </c>
      <c r="AA154" t="str">
        <f>CONCATENATE(AA$2,": ",AA$3,list1!AA154,"]")</f>
        <v xml:space="preserve"> (Соединительные трубы) Максимальный перепад высот: S[8]</v>
      </c>
      <c r="AB154" t="str">
        <f>CONCATENATE(AB$2,": ",AB$3,list1!AB154,"]")</f>
        <v xml:space="preserve"> (Допустимая темп. наружного воздуха) Охлаждение: S[от 18 до +43]</v>
      </c>
      <c r="AC154" t="str">
        <f>CONCATENATE(AC$2,": ",AC$3,list1!AC154,"]")</f>
        <v xml:space="preserve"> (Допустимая темп. наружного воздуха) Обогрев: S[от -7 до +24]</v>
      </c>
      <c r="AD154" s="6" t="s">
        <v>5245</v>
      </c>
    </row>
    <row r="155" spans="1:30" x14ac:dyDescent="0.25">
      <c r="A155" t="str">
        <f>CONCATENATE(A$2,": ",A$3,list1!A155,"]")</f>
        <v>Производитель: E[LESSAR]</v>
      </c>
      <c r="B155" t="str">
        <f>CONCATENATE(B$2,": ",B$3,list1!B155,"]")</f>
        <v xml:space="preserve"> Тип: S[Сплит система]</v>
      </c>
      <c r="C155" t="str">
        <f>CONCATENATE(C$2,": ",C$3,list1!C155,"]")</f>
        <v xml:space="preserve"> (Сплит система) Холодопроизводительность: N[2.28]</v>
      </c>
      <c r="D155" t="str">
        <f>CONCATENATE(D$2,": ",D$3,list1!D155,"]")</f>
        <v xml:space="preserve"> (Сплит система) Площадь помещения: N[23]</v>
      </c>
      <c r="E155" t="str">
        <f>CONCATENATE(E$2,": ",E$3,list1!E155,"]")</f>
        <v xml:space="preserve"> (Сплит система) Инвентор: S[нет]</v>
      </c>
      <c r="F155" t="str">
        <f>CONCATENATE(F$2,": ",F$3,list1!F155,"]")</f>
        <v xml:space="preserve"> (Сплит система) Теплопроизводительность: N[2.28]</v>
      </c>
      <c r="G155" t="str">
        <f>CONCATENATE(G$2,": ",G$3,list1!G155,"]")</f>
        <v xml:space="preserve"> (Потребляемая мощность) Охлаждение: N[0.693]</v>
      </c>
      <c r="H155" t="str">
        <f>CONCATENATE(H$2,": ",H$3,list1!H155,"]")</f>
        <v xml:space="preserve"> (Потребляемая мощность) Обогрев: S[0.617]</v>
      </c>
      <c r="I155" t="str">
        <f>CONCATENATE(I$2,": ",I$3,list1!I155,"]")</f>
        <v xml:space="preserve"> (Рабочий ток) Охлаждение: S[]</v>
      </c>
      <c r="J155" t="str">
        <f>CONCATENATE(J$2,": ",J$3,list1!J155,"]")</f>
        <v xml:space="preserve"> (Рабочий ток) Обогрев: S[]</v>
      </c>
      <c r="K155" t="str">
        <f>CONCATENATE(K$2,": ",K$3,list1!K155,"]")</f>
        <v xml:space="preserve"> (Рабочий ток) Напряжение / Частота источника питания: S[1 / 220 / 50]</v>
      </c>
      <c r="L155" t="str">
        <f>CONCATENATE(L$2,": ",L$3,list1!L155,"]")</f>
        <v xml:space="preserve"> (Рабочий ток) Хладагент: S[R410A]</v>
      </c>
      <c r="M155" t="str">
        <f>CONCATENATE(M$2,": ",M$3,list1!M155,"]")</f>
        <v xml:space="preserve"> (Рабочий ток) Количество хладагента: N[]</v>
      </c>
      <c r="N155" t="str">
        <f>CONCATENATE(N$2,": ",N$3,list1!N155,"]")</f>
        <v xml:space="preserve"> (Рабочий ток) Объем рециркулируемого воздуха внутреннего блока: S[]</v>
      </c>
      <c r="O155" t="str">
        <f>CONCATENATE(O$2,": ",O$3,list1!O155,"]")</f>
        <v xml:space="preserve"> (Внутренний блок) Размеры (Ш x Г x В): S[722 х 290 х 187]</v>
      </c>
      <c r="P155" t="str">
        <f>CONCATENATE(P$2,": ",P$3,list1!P155,"]")</f>
        <v xml:space="preserve"> (Внутренний блок) Упаковка (Ш x Г x В): S[790 х 270 х 375]</v>
      </c>
      <c r="Q155" t="str">
        <f>CONCATENATE(Q$2,": ",Q$3,list1!Q155,"]")</f>
        <v xml:space="preserve"> (Внутренний блок) Масса (нетто / брутто): S[8.1 / 10.4]</v>
      </c>
      <c r="R155" t="str">
        <f>CONCATENATE(R$2,": ",R$3,list1!R155,"]")</f>
        <v xml:space="preserve"> (Внутренний блок) Уровень шума мин. / макс.: S[26/35/40.5]</v>
      </c>
      <c r="S155" t="str">
        <f>CONCATENATE(S$2,": ",S$3,list1!S155,"]")</f>
        <v xml:space="preserve"> (Наружный блок) Марка компрессора: S[GMCC]</v>
      </c>
      <c r="T155" t="str">
        <f>CONCATENATE(T$2,": ",T$3,list1!T155,"]")</f>
        <v xml:space="preserve"> (Наружный блок) Размеры (Ш x Г x В): S[720 х 270 х 495]</v>
      </c>
      <c r="U155" t="str">
        <f>CONCATENATE(U$2,": ",U$3,list1!U155,"]")</f>
        <v xml:space="preserve"> (Наружный блок) Упаковка (Ш x Г x В): S[835 х 300 х 540]</v>
      </c>
      <c r="V155" t="str">
        <f>CONCATENATE(V$2,": ",V$3,list1!V155,"]")</f>
        <v xml:space="preserve"> (Наружный блок) Масса (нетто / брутто): S[24.6/26.5]</v>
      </c>
      <c r="W155" t="str">
        <f>CONCATENATE(W$2,": ",W$3,list1!W155,"]")</f>
        <v xml:space="preserve"> (Наружный блок) Максимальный уровень шума: N[]</v>
      </c>
      <c r="X155" t="str">
        <f>CONCATENATE(X$2,": ",X$3,list1!X155,"]")</f>
        <v xml:space="preserve"> (Соединительные трубы) Жидкостная линия : N[6.35]</v>
      </c>
      <c r="Y155" t="str">
        <f>CONCATENATE(Y$2,": ",Y$3,list1!Y155,"]")</f>
        <v xml:space="preserve"> (Соединительные трубы) Газовая линия : N[9.52]</v>
      </c>
      <c r="Z155" t="str">
        <f>CONCATENATE(Z$2,": ",Z$3,list1!Z155,"]")</f>
        <v xml:space="preserve"> (Соединительные трубы) Максимальная длина трубопровода: N[20]</v>
      </c>
      <c r="AA155" t="str">
        <f>CONCATENATE(AA$2,": ",AA$3,list1!AA155,"]")</f>
        <v xml:space="preserve"> (Соединительные трубы) Максимальный перепад высот: S[8]</v>
      </c>
      <c r="AB155" t="str">
        <f>CONCATENATE(AB$2,": ",AB$3,list1!AB155,"]")</f>
        <v xml:space="preserve"> (Допустимая темп. наружного воздуха) Охлаждение: S[от 18 до +43]</v>
      </c>
      <c r="AC155" t="str">
        <f>CONCATENATE(AC$2,": ",AC$3,list1!AC155,"]")</f>
        <v xml:space="preserve"> (Допустимая темп. наружного воздуха) Обогрев: S[от -7 до +24]</v>
      </c>
      <c r="AD155" s="6" t="s">
        <v>5245</v>
      </c>
    </row>
    <row r="156" spans="1:30" x14ac:dyDescent="0.25">
      <c r="A156" t="str">
        <f>CONCATENATE(A$2,": ",A$3,list1!A156,"]")</f>
        <v>Производитель: E[LESSAR]</v>
      </c>
      <c r="B156" t="str">
        <f>CONCATENATE(B$2,": ",B$3,list1!B156,"]")</f>
        <v xml:space="preserve"> Тип: S[Сплит система]</v>
      </c>
      <c r="C156" t="str">
        <f>CONCATENATE(C$2,": ",C$3,list1!C156,"]")</f>
        <v xml:space="preserve"> (Сплит система) Холодопроизводительность: N[2.64]</v>
      </c>
      <c r="D156" t="str">
        <f>CONCATENATE(D$2,": ",D$3,list1!D156,"]")</f>
        <v xml:space="preserve"> (Сплит система) Площадь помещения: N[26]</v>
      </c>
      <c r="E156" t="str">
        <f>CONCATENATE(E$2,": ",E$3,list1!E156,"]")</f>
        <v xml:space="preserve"> (Сплит система) Инвентор: S[нет]</v>
      </c>
      <c r="F156" t="str">
        <f>CONCATENATE(F$2,": ",F$3,list1!F156,"]")</f>
        <v xml:space="preserve"> (Сплит система) Теплопроизводительность: N[2.81]</v>
      </c>
      <c r="G156" t="str">
        <f>CONCATENATE(G$2,": ",G$3,list1!G156,"]")</f>
        <v xml:space="preserve"> (Потребляемая мощность) Охлаждение: N[0.821]</v>
      </c>
      <c r="H156" t="str">
        <f>CONCATENATE(H$2,": ",H$3,list1!H156,"]")</f>
        <v xml:space="preserve"> (Потребляемая мощность) Обогрев: S[0.771]</v>
      </c>
      <c r="I156" t="str">
        <f>CONCATENATE(I$2,": ",I$3,list1!I156,"]")</f>
        <v xml:space="preserve"> (Рабочий ток) Охлаждение: S[]</v>
      </c>
      <c r="J156" t="str">
        <f>CONCATENATE(J$2,": ",J$3,list1!J156,"]")</f>
        <v xml:space="preserve"> (Рабочий ток) Обогрев: S[]</v>
      </c>
      <c r="K156" t="str">
        <f>CONCATENATE(K$2,": ",K$3,list1!K156,"]")</f>
        <v xml:space="preserve"> (Рабочий ток) Напряжение / Частота источника питания: S[1 / 220 / 50]</v>
      </c>
      <c r="L156" t="str">
        <f>CONCATENATE(L$2,": ",L$3,list1!L156,"]")</f>
        <v xml:space="preserve"> (Рабочий ток) Хладагент: S[R410A]</v>
      </c>
      <c r="M156" t="str">
        <f>CONCATENATE(M$2,": ",M$3,list1!M156,"]")</f>
        <v xml:space="preserve"> (Рабочий ток) Количество хладагента: N[]</v>
      </c>
      <c r="N156" t="str">
        <f>CONCATENATE(N$2,": ",N$3,list1!N156,"]")</f>
        <v xml:space="preserve"> (Рабочий ток) Объем рециркулируемого воздуха внутреннего блока: S[]</v>
      </c>
      <c r="O156" t="str">
        <f>CONCATENATE(O$2,": ",O$3,list1!O156,"]")</f>
        <v xml:space="preserve"> (Внутренний блок) Размеры (Ш x Г x В): S[722 х 290 х 187]</v>
      </c>
      <c r="P156" t="str">
        <f>CONCATENATE(P$2,": ",P$3,list1!P156,"]")</f>
        <v xml:space="preserve"> (Внутренний блок) Упаковка (Ш x Г x В): S[790 х 270 х 375]</v>
      </c>
      <c r="Q156" t="str">
        <f>CONCATENATE(Q$2,": ",Q$3,list1!Q156,"]")</f>
        <v xml:space="preserve"> (Внутренний блок) Масса (нетто / брутто): S[8.2 / 10.2]</v>
      </c>
      <c r="R156" t="str">
        <f>CONCATENATE(R$2,": ",R$3,list1!R156,"]")</f>
        <v xml:space="preserve"> (Внутренний блок) Уровень шума мин. / макс.: S[26.5/33/41]</v>
      </c>
      <c r="S156" t="str">
        <f>CONCATENATE(S$2,": ",S$3,list1!S156,"]")</f>
        <v xml:space="preserve"> (Наружный блок) Марка компрессора: S[GMCC]</v>
      </c>
      <c r="T156" t="str">
        <f>CONCATENATE(T$2,": ",T$3,list1!T156,"]")</f>
        <v xml:space="preserve"> (Наружный блок) Размеры (Ш x Г x В): S[720 х 270 х 495]</v>
      </c>
      <c r="U156" t="str">
        <f>CONCATENATE(U$2,": ",U$3,list1!U156,"]")</f>
        <v xml:space="preserve"> (Наружный блок) Упаковка (Ш x Г x В): S[835 х 300 х 540]</v>
      </c>
      <c r="V156" t="str">
        <f>CONCATENATE(V$2,": ",V$3,list1!V156,"]")</f>
        <v xml:space="preserve"> (Наружный блок) Масса (нетто / брутто): S[24.9/26.6]</v>
      </c>
      <c r="W156" t="str">
        <f>CONCATENATE(W$2,": ",W$3,list1!W156,"]")</f>
        <v xml:space="preserve"> (Наружный блок) Максимальный уровень шума: N[]</v>
      </c>
      <c r="X156" t="str">
        <f>CONCATENATE(X$2,": ",X$3,list1!X156,"]")</f>
        <v xml:space="preserve"> (Соединительные трубы) Жидкостная линия : N[6.35]</v>
      </c>
      <c r="Y156" t="str">
        <f>CONCATENATE(Y$2,": ",Y$3,list1!Y156,"]")</f>
        <v xml:space="preserve"> (Соединительные трубы) Газовая линия : N[9.52]</v>
      </c>
      <c r="Z156" t="str">
        <f>CONCATENATE(Z$2,": ",Z$3,list1!Z156,"]")</f>
        <v xml:space="preserve"> (Соединительные трубы) Максимальная длина трубопровода: N[20]</v>
      </c>
      <c r="AA156" t="str">
        <f>CONCATENATE(AA$2,": ",AA$3,list1!AA156,"]")</f>
        <v xml:space="preserve"> (Соединительные трубы) Максимальный перепад высот: S[8]</v>
      </c>
      <c r="AB156" t="str">
        <f>CONCATENATE(AB$2,": ",AB$3,list1!AB156,"]")</f>
        <v xml:space="preserve"> (Допустимая темп. наружного воздуха) Охлаждение: S[от 18 до +43]</v>
      </c>
      <c r="AC156" t="str">
        <f>CONCATENATE(AC$2,": ",AC$3,list1!AC156,"]")</f>
        <v xml:space="preserve"> (Допустимая темп. наружного воздуха) Обогрев: S[от -7 до +24]</v>
      </c>
      <c r="AD156" s="6" t="s">
        <v>5245</v>
      </c>
    </row>
    <row r="157" spans="1:30" x14ac:dyDescent="0.25">
      <c r="A157" t="str">
        <f>CONCATENATE(A$2,": ",A$3,list1!A157,"]")</f>
        <v>Производитель: E[LESSAR]</v>
      </c>
      <c r="B157" t="str">
        <f>CONCATENATE(B$2,": ",B$3,list1!B157,"]")</f>
        <v xml:space="preserve"> Тип: S[Сплит система]</v>
      </c>
      <c r="C157" t="str">
        <f>CONCATENATE(C$2,": ",C$3,list1!C157,"]")</f>
        <v xml:space="preserve"> (Сплит система) Холодопроизводительность: N[3.52]</v>
      </c>
      <c r="D157" t="str">
        <f>CONCATENATE(D$2,": ",D$3,list1!D157,"]")</f>
        <v xml:space="preserve"> (Сплит система) Площадь помещения: N[35]</v>
      </c>
      <c r="E157" t="str">
        <f>CONCATENATE(E$2,": ",E$3,list1!E157,"]")</f>
        <v xml:space="preserve"> (Сплит система) Инвентор: S[нет]</v>
      </c>
      <c r="F157" t="str">
        <f>CONCATENATE(F$2,": ",F$3,list1!F157,"]")</f>
        <v xml:space="preserve"> (Сплит система) Теплопроизводительность: N[3.81]</v>
      </c>
      <c r="G157" t="str">
        <f>CONCATENATE(G$2,": ",G$3,list1!G157,"]")</f>
        <v xml:space="preserve"> (Потребляемая мощность) Охлаждение: N[1.096]</v>
      </c>
      <c r="H157" t="str">
        <f>CONCATENATE(H$2,": ",H$3,list1!H157,"]")</f>
        <v xml:space="preserve"> (Потребляемая мощность) Обогрев: S[1.055]</v>
      </c>
      <c r="I157" t="str">
        <f>CONCATENATE(I$2,": ",I$3,list1!I157,"]")</f>
        <v xml:space="preserve"> (Рабочий ток) Охлаждение: S[]</v>
      </c>
      <c r="J157" t="str">
        <f>CONCATENATE(J$2,": ",J$3,list1!J157,"]")</f>
        <v xml:space="preserve"> (Рабочий ток) Обогрев: S[]</v>
      </c>
      <c r="K157" t="str">
        <f>CONCATENATE(K$2,": ",K$3,list1!K157,"]")</f>
        <v xml:space="preserve"> (Рабочий ток) Напряжение / Частота источника питания: S[1 / 220 / 50]</v>
      </c>
      <c r="L157" t="str">
        <f>CONCATENATE(L$2,": ",L$3,list1!L157,"]")</f>
        <v xml:space="preserve"> (Рабочий ток) Хладагент: S[R410A]</v>
      </c>
      <c r="M157" t="str">
        <f>CONCATENATE(M$2,": ",M$3,list1!M157,"]")</f>
        <v xml:space="preserve"> (Рабочий ток) Количество хладагента: N[]</v>
      </c>
      <c r="N157" t="str">
        <f>CONCATENATE(N$2,": ",N$3,list1!N157,"]")</f>
        <v xml:space="preserve"> (Рабочий ток) Объем рециркулируемого воздуха внутреннего блока: S[]</v>
      </c>
      <c r="O157" t="str">
        <f>CONCATENATE(O$2,": ",O$3,list1!O157,"]")</f>
        <v xml:space="preserve"> (Внутренний блок) Размеры (Ш x Г x В): S[802 х 297 х 189]</v>
      </c>
      <c r="P157" t="str">
        <f>CONCATENATE(P$2,": ",P$3,list1!P157,"]")</f>
        <v xml:space="preserve"> (Внутренний блок) Упаковка (Ш x Г x В): S[875 х 285 х 380]</v>
      </c>
      <c r="Q157" t="str">
        <f>CONCATENATE(Q$2,": ",Q$3,list1!Q157,"]")</f>
        <v xml:space="preserve"> (Внутренний блок) Масса (нетто / брутто): S[8.8 / 11]</v>
      </c>
      <c r="R157" t="str">
        <f>CONCATENATE(R$2,": ",R$3,list1!R157,"]")</f>
        <v xml:space="preserve"> (Внутренний блок) Уровень шума мин. / макс.: S[26.5/35.5/37.5]</v>
      </c>
      <c r="S157" t="str">
        <f>CONCATENATE(S$2,": ",S$3,list1!S157,"]")</f>
        <v xml:space="preserve"> (Наружный блок) Марка компрессора: S[GMCC]</v>
      </c>
      <c r="T157" t="str">
        <f>CONCATENATE(T$2,": ",T$3,list1!T157,"]")</f>
        <v xml:space="preserve"> (Наружный блок) Размеры (Ш x Г x В): S[770 х 300 х 555]</v>
      </c>
      <c r="U157" t="str">
        <f>CONCATENATE(U$2,": ",U$3,list1!U157,"]")</f>
        <v xml:space="preserve"> (Наружный блок) Упаковка (Ш x Г x В): S[900 х 345 х 595]</v>
      </c>
      <c r="V157" t="str">
        <f>CONCATENATE(V$2,": ",V$3,list1!V157,"]")</f>
        <v xml:space="preserve"> (Наружный блок) Масса (нетто / брутто): S[31.2/33.5]</v>
      </c>
      <c r="W157" t="str">
        <f>CONCATENATE(W$2,": ",W$3,list1!W157,"]")</f>
        <v xml:space="preserve"> (Наружный блок) Максимальный уровень шума: N[]</v>
      </c>
      <c r="X157" t="str">
        <f>CONCATENATE(X$2,": ",X$3,list1!X157,"]")</f>
        <v xml:space="preserve"> (Соединительные трубы) Жидкостная линия : N[6.35]</v>
      </c>
      <c r="Y157" t="str">
        <f>CONCATENATE(Y$2,": ",Y$3,list1!Y157,"]")</f>
        <v xml:space="preserve"> (Соединительные трубы) Газовая линия : N[12.7]</v>
      </c>
      <c r="Z157" t="str">
        <f>CONCATENATE(Z$2,": ",Z$3,list1!Z157,"]")</f>
        <v xml:space="preserve"> (Соединительные трубы) Максимальная длина трубопровода: N[20]</v>
      </c>
      <c r="AA157" t="str">
        <f>CONCATENATE(AA$2,": ",AA$3,list1!AA157,"]")</f>
        <v xml:space="preserve"> (Соединительные трубы) Максимальный перепад высот: S[8]</v>
      </c>
      <c r="AB157" t="str">
        <f>CONCATENATE(AB$2,": ",AB$3,list1!AB157,"]")</f>
        <v xml:space="preserve"> (Допустимая темп. наружного воздуха) Охлаждение: S[от 18 до +43]</v>
      </c>
      <c r="AC157" t="str">
        <f>CONCATENATE(AC$2,": ",AC$3,list1!AC157,"]")</f>
        <v xml:space="preserve"> (Допустимая темп. наружного воздуха) Обогрев: S[от -7 до +24]</v>
      </c>
      <c r="AD157" s="6" t="s">
        <v>5245</v>
      </c>
    </row>
    <row r="158" spans="1:30" x14ac:dyDescent="0.25">
      <c r="A158" t="str">
        <f>CONCATENATE(A$2,": ",A$3,list1!A158,"]")</f>
        <v>Производитель: E[LESSAR]</v>
      </c>
      <c r="B158" t="str">
        <f>CONCATENATE(B$2,": ",B$3,list1!B158,"]")</f>
        <v xml:space="preserve"> Тип: S[Сплит система]</v>
      </c>
      <c r="C158" t="str">
        <f>CONCATENATE(C$2,": ",C$3,list1!C158,"]")</f>
        <v xml:space="preserve"> (Сплит система) Холодопроизводительность: N[5.28]</v>
      </c>
      <c r="D158" t="str">
        <f>CONCATENATE(D$2,": ",D$3,list1!D158,"]")</f>
        <v xml:space="preserve"> (Сплит система) Площадь помещения: N[53]</v>
      </c>
      <c r="E158" t="str">
        <f>CONCATENATE(E$2,": ",E$3,list1!E158,"]")</f>
        <v xml:space="preserve"> (Сплит система) Инвентор: S[нет]</v>
      </c>
      <c r="F158" t="str">
        <f>CONCATENATE(F$2,": ",F$3,list1!F158,"]")</f>
        <v xml:space="preserve"> (Сплит система) Теплопроизводительность: N[5.42]</v>
      </c>
      <c r="G158" t="str">
        <f>CONCATENATE(G$2,": ",G$3,list1!G158,"]")</f>
        <v xml:space="preserve"> (Потребляемая мощность) Охлаждение: N[1.644]</v>
      </c>
      <c r="H158" t="str">
        <f>CONCATENATE(H$2,": ",H$3,list1!H158,"]")</f>
        <v xml:space="preserve"> (Потребляемая мощность) Обогрев: S[1.502]</v>
      </c>
      <c r="I158" t="str">
        <f>CONCATENATE(I$2,": ",I$3,list1!I158,"]")</f>
        <v xml:space="preserve"> (Рабочий ток) Охлаждение: S[]</v>
      </c>
      <c r="J158" t="str">
        <f>CONCATENATE(J$2,": ",J$3,list1!J158,"]")</f>
        <v xml:space="preserve"> (Рабочий ток) Обогрев: S[]</v>
      </c>
      <c r="K158" t="str">
        <f>CONCATENATE(K$2,": ",K$3,list1!K158,"]")</f>
        <v xml:space="preserve"> (Рабочий ток) Напряжение / Частота источника питания: S[1 / 220 / 50]</v>
      </c>
      <c r="L158" t="str">
        <f>CONCATENATE(L$2,": ",L$3,list1!L158,"]")</f>
        <v xml:space="preserve"> (Рабочий ток) Хладагент: S[R410A]</v>
      </c>
      <c r="M158" t="str">
        <f>CONCATENATE(M$2,": ",M$3,list1!M158,"]")</f>
        <v xml:space="preserve"> (Рабочий ток) Количество хладагента: N[]</v>
      </c>
      <c r="N158" t="str">
        <f>CONCATENATE(N$2,": ",N$3,list1!N158,"]")</f>
        <v xml:space="preserve"> (Рабочий ток) Объем рециркулируемого воздуха внутреннего блока: S[]</v>
      </c>
      <c r="O158" t="str">
        <f>CONCATENATE(O$2,": ",O$3,list1!O158,"]")</f>
        <v xml:space="preserve"> (Внутренний блок) Размеры (Ш x Г x В): S[965 х 319 х 215]</v>
      </c>
      <c r="P158" t="str">
        <f>CONCATENATE(P$2,": ",P$3,list1!P158,"]")</f>
        <v xml:space="preserve"> (Внутренний блок) Упаковка (Ш x Г x В): S[1045 х 305 х 410]</v>
      </c>
      <c r="Q158" t="str">
        <f>CONCATENATE(Q$2,": ",Q$3,list1!Q158,"]")</f>
        <v xml:space="preserve"> (Внутренний блок) Масса (нетто / брутто): S[11.6 / 14.8]</v>
      </c>
      <c r="R158" t="str">
        <f>CONCATENATE(R$2,": ",R$3,list1!R158,"]")</f>
        <v xml:space="preserve"> (Внутренний блок) Уровень шума мин. / макс.: S[30/38.5/42.5]</v>
      </c>
      <c r="S158" t="str">
        <f>CONCATENATE(S$2,": ",S$3,list1!S158,"]")</f>
        <v xml:space="preserve"> (Наружный блок) Марка компрессора: S[GMCC]</v>
      </c>
      <c r="T158" t="str">
        <f>CONCATENATE(T$2,": ",T$3,list1!T158,"]")</f>
        <v xml:space="preserve"> (Наружный блок) Размеры (Ш x Г x В): S[770 х 300 х 555]</v>
      </c>
      <c r="U158" t="str">
        <f>CONCATENATE(U$2,": ",U$3,list1!U158,"]")</f>
        <v xml:space="preserve"> (Наружный блок) Упаковка (Ш x Г x В): S[900 х 348 х 625]</v>
      </c>
      <c r="V158" t="str">
        <f>CONCATENATE(V$2,": ",V$3,list1!V158,"]")</f>
        <v xml:space="preserve"> (Наружный блок) Масса (нетто / брутто): S[37.7/40]</v>
      </c>
      <c r="W158" t="str">
        <f>CONCATENATE(W$2,": ",W$3,list1!W158,"]")</f>
        <v xml:space="preserve"> (Наружный блок) Максимальный уровень шума: N[]</v>
      </c>
      <c r="X158" t="str">
        <f>CONCATENATE(X$2,": ",X$3,list1!X158,"]")</f>
        <v xml:space="preserve"> (Соединительные трубы) Жидкостная линия : N[6.35]</v>
      </c>
      <c r="Y158" t="str">
        <f>CONCATENATE(Y$2,": ",Y$3,list1!Y158,"]")</f>
        <v xml:space="preserve"> (Соединительные трубы) Газовая линия : N[12.7]</v>
      </c>
      <c r="Z158" t="str">
        <f>CONCATENATE(Z$2,": ",Z$3,list1!Z158,"]")</f>
        <v xml:space="preserve"> (Соединительные трубы) Максимальная длина трубопровода: N[25]</v>
      </c>
      <c r="AA158" t="str">
        <f>CONCATENATE(AA$2,": ",AA$3,list1!AA158,"]")</f>
        <v xml:space="preserve"> (Соединительные трубы) Максимальный перепад высот: S[10]</v>
      </c>
      <c r="AB158" t="str">
        <f>CONCATENATE(AB$2,": ",AB$3,list1!AB158,"]")</f>
        <v xml:space="preserve"> (Допустимая темп. наружного воздуха) Охлаждение: S[от 18 до +43]</v>
      </c>
      <c r="AC158" t="str">
        <f>CONCATENATE(AC$2,": ",AC$3,list1!AC158,"]")</f>
        <v xml:space="preserve"> (Допустимая темп. наружного воздуха) Обогрев: S[от -7 до +24]</v>
      </c>
      <c r="AD158" s="6" t="s">
        <v>5245</v>
      </c>
    </row>
    <row r="159" spans="1:30" x14ac:dyDescent="0.25">
      <c r="A159" t="str">
        <f>CONCATENATE(A$2,": ",A$3,list1!A159,"]")</f>
        <v>Производитель: E[LESSAR]</v>
      </c>
      <c r="B159" t="str">
        <f>CONCATENATE(B$2,": ",B$3,list1!B159,"]")</f>
        <v xml:space="preserve"> Тип: S[Сплит система]</v>
      </c>
      <c r="C159" t="str">
        <f>CONCATENATE(C$2,": ",C$3,list1!C159,"]")</f>
        <v xml:space="preserve"> (Сплит система) Холодопроизводительность: N[7.03]</v>
      </c>
      <c r="D159" t="str">
        <f>CONCATENATE(D$2,": ",D$3,list1!D159,"]")</f>
        <v xml:space="preserve"> (Сплит система) Площадь помещения: N[70]</v>
      </c>
      <c r="E159" t="str">
        <f>CONCATENATE(E$2,": ",E$3,list1!E159,"]")</f>
        <v xml:space="preserve"> (Сплит система) Инвентор: S[нет]</v>
      </c>
      <c r="F159" t="str">
        <f>CONCATENATE(F$2,": ",F$3,list1!F159,"]")</f>
        <v xml:space="preserve"> (Сплит система) Теплопроизводительность: N[7.62]</v>
      </c>
      <c r="G159" t="str">
        <f>CONCATENATE(G$2,": ",G$3,list1!G159,"]")</f>
        <v xml:space="preserve"> (Потребляемая мощность) Охлаждение: N[2.503]</v>
      </c>
      <c r="H159" t="str">
        <f>CONCATENATE(H$2,": ",H$3,list1!H159,"]")</f>
        <v xml:space="preserve"> (Потребляемая мощность) Обогрев: S[2.374]</v>
      </c>
      <c r="I159" t="str">
        <f>CONCATENATE(I$2,": ",I$3,list1!I159,"]")</f>
        <v xml:space="preserve"> (Рабочий ток) Охлаждение: S[]</v>
      </c>
      <c r="J159" t="str">
        <f>CONCATENATE(J$2,": ",J$3,list1!J159,"]")</f>
        <v xml:space="preserve"> (Рабочий ток) Обогрев: S[]</v>
      </c>
      <c r="K159" t="str">
        <f>CONCATENATE(K$2,": ",K$3,list1!K159,"]")</f>
        <v xml:space="preserve"> (Рабочий ток) Напряжение / Частота источника питания: S[1 / 220 / 50]</v>
      </c>
      <c r="L159" t="str">
        <f>CONCATENATE(L$2,": ",L$3,list1!L159,"]")</f>
        <v xml:space="preserve"> (Рабочий ток) Хладагент: S[R410A]</v>
      </c>
      <c r="M159" t="str">
        <f>CONCATENATE(M$2,": ",M$3,list1!M159,"]")</f>
        <v xml:space="preserve"> (Рабочий ток) Количество хладагента: N[]</v>
      </c>
      <c r="N159" t="str">
        <f>CONCATENATE(N$2,": ",N$3,list1!N159,"]")</f>
        <v xml:space="preserve"> (Рабочий ток) Объем рециркулируемого воздуха внутреннего блока: S[]</v>
      </c>
      <c r="O159" t="str">
        <f>CONCATENATE(O$2,": ",O$3,list1!O159,"]")</f>
        <v xml:space="preserve"> (Внутренний блок) Размеры (Ш x Г x В): S[1080 х 335 х 226]</v>
      </c>
      <c r="P159" t="str">
        <f>CONCATENATE(P$2,": ",P$3,list1!P159,"]")</f>
        <v xml:space="preserve"> (Внутренний блок) Упаковка (Ш x Г x В): S[1155 х 320 х 415]</v>
      </c>
      <c r="Q159" t="str">
        <f>CONCATENATE(Q$2,": ",Q$3,list1!Q159,"]")</f>
        <v xml:space="preserve"> (Внутренний блок) Масса (нетто / брутто): S[14 / 17.5]</v>
      </c>
      <c r="R159" t="str">
        <f>CONCATENATE(R$2,": ",R$3,list1!R159,"]")</f>
        <v xml:space="preserve"> (Внутренний блок) Уровень шума мин. / макс.: S[40/44/47]</v>
      </c>
      <c r="S159" t="str">
        <f>CONCATENATE(S$2,": ",S$3,list1!S159,"]")</f>
        <v xml:space="preserve"> (Наружный блок) Марка компрессора: S[GMCC]</v>
      </c>
      <c r="T159" t="str">
        <f>CONCATENATE(T$2,": ",T$3,list1!T159,"]")</f>
        <v xml:space="preserve"> (Наружный блок) Размеры (Ш x Г x В): S[845 х 363 х 702]</v>
      </c>
      <c r="U159" t="str">
        <f>CONCATENATE(U$2,": ",U$3,list1!U159,"]")</f>
        <v xml:space="preserve"> (Наружный блок) Упаковка (Ш x Г x В): S[965 х 395 х 775]</v>
      </c>
      <c r="V159" t="str">
        <f>CONCATENATE(V$2,": ",V$3,list1!V159,"]")</f>
        <v xml:space="preserve"> (Наружный блок) Масса (нетто / брутто): S[50.6/53.8]</v>
      </c>
      <c r="W159" t="str">
        <f>CONCATENATE(W$2,": ",W$3,list1!W159,"]")</f>
        <v xml:space="preserve"> (Наружный блок) Максимальный уровень шума: N[]</v>
      </c>
      <c r="X159" t="str">
        <f>CONCATENATE(X$2,": ",X$3,list1!X159,"]")</f>
        <v xml:space="preserve"> (Соединительные трубы) Жидкостная линия : N[9.52]</v>
      </c>
      <c r="Y159" t="str">
        <f>CONCATENATE(Y$2,": ",Y$3,list1!Y159,"]")</f>
        <v xml:space="preserve"> (Соединительные трубы) Газовая линия : N[15.9]</v>
      </c>
      <c r="Z159" t="str">
        <f>CONCATENATE(Z$2,": ",Z$3,list1!Z159,"]")</f>
        <v xml:space="preserve"> (Соединительные трубы) Максимальная длина трубопровода: N[25]</v>
      </c>
      <c r="AA159" t="str">
        <f>CONCATENATE(AA$2,": ",AA$3,list1!AA159,"]")</f>
        <v xml:space="preserve"> (Соединительные трубы) Максимальный перепад высот: S[10]</v>
      </c>
      <c r="AB159" t="str">
        <f>CONCATENATE(AB$2,": ",AB$3,list1!AB159,"]")</f>
        <v xml:space="preserve"> (Допустимая темп. наружного воздуха) Охлаждение: S[от 18 до +43]</v>
      </c>
      <c r="AC159" t="str">
        <f>CONCATENATE(AC$2,": ",AC$3,list1!AC159,"]")</f>
        <v xml:space="preserve"> (Допустимая темп. наружного воздуха) Обогрев: S[от -7 до +24]</v>
      </c>
      <c r="AD159" s="6" t="s">
        <v>5245</v>
      </c>
    </row>
    <row r="160" spans="1:30" x14ac:dyDescent="0.25">
      <c r="A160" t="str">
        <f>CONCATENATE(A$2,": ",A$3,list1!A160,"]")</f>
        <v>Производитель: E[LESSAR]</v>
      </c>
      <c r="B160" t="str">
        <f>CONCATENATE(B$2,": ",B$3,list1!B160,"]")</f>
        <v xml:space="preserve"> Тип: S[Сплит система]</v>
      </c>
      <c r="C160" t="str">
        <f>CONCATENATE(C$2,": ",C$3,list1!C160,"]")</f>
        <v xml:space="preserve"> (Сплит система) Холодопроизводительность: N[8.21]</v>
      </c>
      <c r="D160" t="str">
        <f>CONCATENATE(D$2,": ",D$3,list1!D160,"]")</f>
        <v xml:space="preserve"> (Сплит система) Площадь помещения: N[82]</v>
      </c>
      <c r="E160" t="str">
        <f>CONCATENATE(E$2,": ",E$3,list1!E160,"]")</f>
        <v xml:space="preserve"> (Сплит система) Инвентор: S[нет]</v>
      </c>
      <c r="F160" t="str">
        <f>CONCATENATE(F$2,": ",F$3,list1!F160,"]")</f>
        <v xml:space="preserve"> (Сплит система) Теплопроизводительность: N[8.5]</v>
      </c>
      <c r="G160" t="str">
        <f>CONCATENATE(G$2,": ",G$3,list1!G160,"]")</f>
        <v xml:space="preserve"> (Потребляемая мощность) Охлаждение: N[2.556]</v>
      </c>
      <c r="H160" t="str">
        <f>CONCATENATE(H$2,": ",H$3,list1!H160,"]")</f>
        <v xml:space="preserve"> (Потребляемая мощность) Обогрев: S[2.354]</v>
      </c>
      <c r="I160" t="str">
        <f>CONCATENATE(I$2,": ",I$3,list1!I160,"]")</f>
        <v xml:space="preserve"> (Рабочий ток) Охлаждение: S[]</v>
      </c>
      <c r="J160" t="str">
        <f>CONCATENATE(J$2,": ",J$3,list1!J160,"]")</f>
        <v xml:space="preserve"> (Рабочий ток) Обогрев: S[]</v>
      </c>
      <c r="K160" t="str">
        <f>CONCATENATE(K$2,": ",K$3,list1!K160,"]")</f>
        <v xml:space="preserve"> (Рабочий ток) Напряжение / Частота источника питания: S[1 / 220 / 50]</v>
      </c>
      <c r="L160" t="str">
        <f>CONCATENATE(L$2,": ",L$3,list1!L160,"]")</f>
        <v xml:space="preserve"> (Рабочий ток) Хладагент: S[R410A]</v>
      </c>
      <c r="M160" t="str">
        <f>CONCATENATE(M$2,": ",M$3,list1!M160,"]")</f>
        <v xml:space="preserve"> (Рабочий ток) Количество хладагента: N[]</v>
      </c>
      <c r="N160" t="str">
        <f>CONCATENATE(N$2,": ",N$3,list1!N160,"]")</f>
        <v xml:space="preserve"> (Рабочий ток) Объем рециркулируемого воздуха внутреннего блока: S[]</v>
      </c>
      <c r="O160" t="str">
        <f>CONCATENATE(O$2,": ",O$3,list1!O160,"]")</f>
        <v xml:space="preserve"> (Внутренний блок) Размеры (Ш x Г x В): S[1259 х 362 х 282]</v>
      </c>
      <c r="P160" t="str">
        <f>CONCATENATE(P$2,": ",P$3,list1!P160,"]")</f>
        <v xml:space="preserve"> (Внутренний блок) Упаковка (Ш x Г x В): S[1340 х 385 х 450]</v>
      </c>
      <c r="Q160" t="str">
        <f>CONCATENATE(Q$2,": ",Q$3,list1!Q160,"]")</f>
        <v xml:space="preserve"> (Внутренний блок) Масса (нетто / брутто): S[20.1 / 25.9]</v>
      </c>
      <c r="R160" t="str">
        <f>CONCATENATE(R$2,": ",R$3,list1!R160,"]")</f>
        <v xml:space="preserve"> (Внутренний блок) Уровень шума мин. / макс.: S[40/47/50]</v>
      </c>
      <c r="S160" t="str">
        <f>CONCATENATE(S$2,": ",S$3,list1!S160,"]")</f>
        <v xml:space="preserve"> (Наружный блок) Марка компрессора: S[GMCC]</v>
      </c>
      <c r="T160" t="str">
        <f>CONCATENATE(T$2,": ",T$3,list1!T160,"]")</f>
        <v xml:space="preserve"> (Наружный блок) Размеры (Ш x Г x В): S[946 х 410 х 810]</v>
      </c>
      <c r="U160" t="str">
        <f>CONCATENATE(U$2,": ",U$3,list1!U160,"]")</f>
        <v xml:space="preserve"> (Наружный блок) Упаковка (Ш x Г x В): S[1090 х 500 х 885]</v>
      </c>
      <c r="V160" t="str">
        <f>CONCATENATE(V$2,": ",V$3,list1!V160,"]")</f>
        <v xml:space="preserve"> (Наружный блок) Масса (нетто / брутто): S[62.5/68.5]</v>
      </c>
      <c r="W160" t="str">
        <f>CONCATENATE(W$2,": ",W$3,list1!W160,"]")</f>
        <v xml:space="preserve"> (Наружный блок) Максимальный уровень шума: N[]</v>
      </c>
      <c r="X160" t="str">
        <f>CONCATENATE(X$2,": ",X$3,list1!X160,"]")</f>
        <v xml:space="preserve"> (Соединительные трубы) Жидкостная линия : N[9.52]</v>
      </c>
      <c r="Y160" t="str">
        <f>CONCATENATE(Y$2,": ",Y$3,list1!Y160,"]")</f>
        <v xml:space="preserve"> (Соединительные трубы) Газовая линия : N[15.9]</v>
      </c>
      <c r="Z160" t="str">
        <f>CONCATENATE(Z$2,": ",Z$3,list1!Z160,"]")</f>
        <v xml:space="preserve"> (Соединительные трубы) Максимальная длина трубопровода: N[25]</v>
      </c>
      <c r="AA160" t="str">
        <f>CONCATENATE(AA$2,": ",AA$3,list1!AA160,"]")</f>
        <v xml:space="preserve"> (Соединительные трубы) Максимальный перепад высот: S[10]</v>
      </c>
      <c r="AB160" t="str">
        <f>CONCATENATE(AB$2,": ",AB$3,list1!AB160,"]")</f>
        <v xml:space="preserve"> (Допустимая темп. наружного воздуха) Охлаждение: S[от 18 до +54]</v>
      </c>
      <c r="AC160" t="str">
        <f>CONCATENATE(AC$2,": ",AC$3,list1!AC160,"]")</f>
        <v xml:space="preserve"> (Допустимая темп. наружного воздуха) Обогрев: S[от -7 до +24]</v>
      </c>
      <c r="AD160" s="6" t="s">
        <v>5245</v>
      </c>
    </row>
    <row r="161" spans="1:30" x14ac:dyDescent="0.25">
      <c r="A161" t="str">
        <f>CONCATENATE(A$2,": ",A$3,list1!A161,"]")</f>
        <v>Производитель: E[LESSAR]</v>
      </c>
      <c r="B161" t="str">
        <f>CONCATENATE(B$2,": ",B$3,list1!B161,"]")</f>
        <v xml:space="preserve"> Тип: S[Сплит система]</v>
      </c>
      <c r="C161" t="str">
        <f>CONCATENATE(C$2,": ",C$3,list1!C161,"]")</f>
        <v xml:space="preserve"> (Сплит система) Холодопроизводительность: N[9.96]</v>
      </c>
      <c r="D161" t="str">
        <f>CONCATENATE(D$2,": ",D$3,list1!D161,"]")</f>
        <v xml:space="preserve"> (Сплит система) Площадь помещения: N[100]</v>
      </c>
      <c r="E161" t="str">
        <f>CONCATENATE(E$2,": ",E$3,list1!E161,"]")</f>
        <v xml:space="preserve"> (Сплит система) Инвентор: S[нет]</v>
      </c>
      <c r="F161" t="str">
        <f>CONCATENATE(F$2,": ",F$3,list1!F161,"]")</f>
        <v xml:space="preserve"> (Сплит система) Теплопроизводительность: N[10.84]</v>
      </c>
      <c r="G161" t="str">
        <f>CONCATENATE(G$2,": ",G$3,list1!G161,"]")</f>
        <v xml:space="preserve"> (Потребляемая мощность) Охлаждение: N[3.104]</v>
      </c>
      <c r="H161" t="str">
        <f>CONCATENATE(H$2,": ",H$3,list1!H161,"]")</f>
        <v xml:space="preserve"> (Потребляемая мощность) Обогрев: S[3.08]</v>
      </c>
      <c r="I161" t="str">
        <f>CONCATENATE(I$2,": ",I$3,list1!I161,"]")</f>
        <v xml:space="preserve"> (Рабочий ток) Охлаждение: S[]</v>
      </c>
      <c r="J161" t="str">
        <f>CONCATENATE(J$2,": ",J$3,list1!J161,"]")</f>
        <v xml:space="preserve"> (Рабочий ток) Обогрев: S[]</v>
      </c>
      <c r="K161" t="str">
        <f>CONCATENATE(K$2,": ",K$3,list1!K161,"]")</f>
        <v xml:space="preserve"> (Рабочий ток) Напряжение / Частота источника питания: S[1 / 220 / 50]</v>
      </c>
      <c r="L161" t="str">
        <f>CONCATENATE(L$2,": ",L$3,list1!L161,"]")</f>
        <v xml:space="preserve"> (Рабочий ток) Хладагент: S[R410A]</v>
      </c>
      <c r="M161" t="str">
        <f>CONCATENATE(M$2,": ",M$3,list1!M161,"]")</f>
        <v xml:space="preserve"> (Рабочий ток) Количество хладагента: N[]</v>
      </c>
      <c r="N161" t="str">
        <f>CONCATENATE(N$2,": ",N$3,list1!N161,"]")</f>
        <v xml:space="preserve"> (Рабочий ток) Объем рециркулируемого воздуха внутреннего блока: S[]</v>
      </c>
      <c r="O161" t="str">
        <f>CONCATENATE(O$2,": ",O$3,list1!O161,"]")</f>
        <v xml:space="preserve"> (Внутренний блок) Размеры (Ш x Г x В): S[1260 х 362 х 283]</v>
      </c>
      <c r="P161" t="str">
        <f>CONCATENATE(P$2,": ",P$3,list1!P161,"]")</f>
        <v xml:space="preserve"> (Внутренний блок) Упаковка (Ш x Г x В): S[1340 х 385 х 450]</v>
      </c>
      <c r="Q161" t="str">
        <f>CONCATENATE(Q$2,": ",Q$3,list1!Q161,"]")</f>
        <v xml:space="preserve"> (Внутренний блок) Масса (нетто / брутто): S[21.8 / 27.6]</v>
      </c>
      <c r="R161" t="str">
        <f>CONCATENATE(R$2,": ",R$3,list1!R161,"]")</f>
        <v xml:space="preserve"> (Внутренний блок) Уровень шума мин. / макс.: S[42/47/51]</v>
      </c>
      <c r="S161" t="str">
        <f>CONCATENATE(S$2,": ",S$3,list1!S161,"]")</f>
        <v xml:space="preserve"> (Наружный блок) Марка компрессора: S[GMCC]</v>
      </c>
      <c r="T161" t="str">
        <f>CONCATENATE(T$2,": ",T$3,list1!T161,"]")</f>
        <v xml:space="preserve"> (Наружный блок) Размеры (Ш x Г x В): S[946 х 410 х 810]</v>
      </c>
      <c r="U161" t="str">
        <f>CONCATENATE(U$2,": ",U$3,list1!U161,"]")</f>
        <v xml:space="preserve"> (Наружный блок) Упаковка (Ш x Г x В): S[1090 х 500 х 885]</v>
      </c>
      <c r="V161" t="str">
        <f>CONCATENATE(V$2,": ",V$3,list1!V161,"]")</f>
        <v xml:space="preserve"> (Наружный блок) Масса (нетто / брутто): S[70/76.5]</v>
      </c>
      <c r="W161" t="str">
        <f>CONCATENATE(W$2,": ",W$3,list1!W161,"]")</f>
        <v xml:space="preserve"> (Наружный блок) Максимальный уровень шума: N[]</v>
      </c>
      <c r="X161" t="str">
        <f>CONCATENATE(X$2,": ",X$3,list1!X161,"]")</f>
        <v xml:space="preserve"> (Соединительные трубы) Жидкостная линия : N[9.52]</v>
      </c>
      <c r="Y161" t="str">
        <f>CONCATENATE(Y$2,": ",Y$3,list1!Y161,"]")</f>
        <v xml:space="preserve"> (Соединительные трубы) Газовая линия : N[15.9]</v>
      </c>
      <c r="Z161" t="str">
        <f>CONCATENATE(Z$2,": ",Z$3,list1!Z161,"]")</f>
        <v xml:space="preserve"> (Соединительные трубы) Максимальная длина трубопровода: N[25]</v>
      </c>
      <c r="AA161" t="str">
        <f>CONCATENATE(AA$2,": ",AA$3,list1!AA161,"]")</f>
        <v xml:space="preserve"> (Соединительные трубы) Максимальный перепад высот: S[10]</v>
      </c>
      <c r="AB161" t="str">
        <f>CONCATENATE(AB$2,": ",AB$3,list1!AB161,"]")</f>
        <v xml:space="preserve"> (Допустимая темп. наружного воздуха) Охлаждение: S[от 18 до +43]</v>
      </c>
      <c r="AC161" t="str">
        <f>CONCATENATE(AC$2,": ",AC$3,list1!AC161,"]")</f>
        <v xml:space="preserve"> (Допустимая темп. наружного воздуха) Обогрев: S[от -7 до +24]</v>
      </c>
      <c r="AD161" s="6" t="s">
        <v>5245</v>
      </c>
    </row>
    <row r="162" spans="1:30" x14ac:dyDescent="0.25">
      <c r="A162" t="str">
        <f>CONCATENATE(A$2,": ",A$3,list1!A162,"]")</f>
        <v>Производитель: E[LESSAR]</v>
      </c>
      <c r="B162" t="str">
        <f>CONCATENATE(B$2,": ",B$3,list1!B162,"]")</f>
        <v xml:space="preserve"> Тип: S[Сплит система]</v>
      </c>
      <c r="C162" t="str">
        <f>CONCATENATE(C$2,": ",C$3,list1!C162,"]")</f>
        <v xml:space="preserve"> (Сплит система) Холодопроизводительность: N[2.05]</v>
      </c>
      <c r="D162" t="str">
        <f>CONCATENATE(D$2,": ",D$3,list1!D162,"]")</f>
        <v xml:space="preserve"> (Сплит система) Площадь помещения: N[21]</v>
      </c>
      <c r="E162" t="str">
        <f>CONCATENATE(E$2,": ",E$3,list1!E162,"]")</f>
        <v xml:space="preserve"> (Сплит система) Инвентор: S[нет]</v>
      </c>
      <c r="F162" t="str">
        <f>CONCATENATE(F$2,": ",F$3,list1!F162,"]")</f>
        <v xml:space="preserve"> (Сплит система) Теплопроизводительность: N[2.34]</v>
      </c>
      <c r="G162" t="str">
        <f>CONCATENATE(G$2,": ",G$3,list1!G162,"]")</f>
        <v xml:space="preserve"> (Потребляемая мощность) Охлаждение: N[0.639]</v>
      </c>
      <c r="H162" t="str">
        <f>CONCATENATE(H$2,": ",H$3,list1!H162,"]")</f>
        <v xml:space="preserve"> (Потребляемая мощность) Обогрев: S[0.649]</v>
      </c>
      <c r="I162" t="str">
        <f>CONCATENATE(I$2,": ",I$3,list1!I162,"]")</f>
        <v xml:space="preserve"> (Рабочий ток) Охлаждение: S[]</v>
      </c>
      <c r="J162" t="str">
        <f>CONCATENATE(J$2,": ",J$3,list1!J162,"]")</f>
        <v xml:space="preserve"> (Рабочий ток) Обогрев: S[]</v>
      </c>
      <c r="K162" t="str">
        <f>CONCATENATE(K$2,": ",K$3,list1!K162,"]")</f>
        <v xml:space="preserve"> (Рабочий ток) Напряжение / Частота источника питания: S[1 / 220 / 50]</v>
      </c>
      <c r="L162" t="str">
        <f>CONCATENATE(L$2,": ",L$3,list1!L162,"]")</f>
        <v xml:space="preserve"> (Рабочий ток) Хладагент: S[R32]</v>
      </c>
      <c r="M162" t="str">
        <f>CONCATENATE(M$2,": ",M$3,list1!M162,"]")</f>
        <v xml:space="preserve"> (Рабочий ток) Количество хладагента: N[]</v>
      </c>
      <c r="N162" t="str">
        <f>CONCATENATE(N$2,": ",N$3,list1!N162,"]")</f>
        <v xml:space="preserve"> (Рабочий ток) Объем рециркулируемого воздуха внутреннего блока: S[]</v>
      </c>
      <c r="O162" t="str">
        <f>CONCATENATE(O$2,": ",O$3,list1!O162,"]")</f>
        <v xml:space="preserve"> (Внутренний блок) Размеры (Ш x Г x В): S[722 х 290 х 187]</v>
      </c>
      <c r="P162" t="str">
        <f>CONCATENATE(P$2,": ",P$3,list1!P162,"]")</f>
        <v xml:space="preserve"> (Внутренний блок) Упаковка (Ш x Г x В): S[790 х 270 х 375]</v>
      </c>
      <c r="Q162" t="str">
        <f>CONCATENATE(Q$2,": ",Q$3,list1!Q162,"]")</f>
        <v xml:space="preserve"> (Внутренний блок) Масса (нетто / брутто): S[8.1 / 10.4]</v>
      </c>
      <c r="R162" t="str">
        <f>CONCATENATE(R$2,": ",R$3,list1!R162,"]")</f>
        <v xml:space="preserve"> (Внутренний блок) Уровень шума мин. / макс.: S[26.5/38/41]</v>
      </c>
      <c r="S162" t="str">
        <f>CONCATENATE(S$2,": ",S$3,list1!S162,"]")</f>
        <v xml:space="preserve"> (Наружный блок) Марка компрессора: S[GMCC]</v>
      </c>
      <c r="T162" t="str">
        <f>CONCATENATE(T$2,": ",T$3,list1!T162,"]")</f>
        <v xml:space="preserve"> (Наружный блок) Размеры (Ш x Г x В): S[720 х 270 х 495]</v>
      </c>
      <c r="U162" t="str">
        <f>CONCATENATE(U$2,": ",U$3,list1!U162,"]")</f>
        <v xml:space="preserve"> (Наружный блок) Упаковка (Ш x Г x В): S[835 х 300 х 540]</v>
      </c>
      <c r="V162" t="str">
        <f>CONCATENATE(V$2,": ",V$3,list1!V162,"]")</f>
        <v xml:space="preserve"> (Наружный блок) Масса (нетто / брутто): S[23.9/25.6]</v>
      </c>
      <c r="W162" t="str">
        <f>CONCATENATE(W$2,": ",W$3,list1!W162,"]")</f>
        <v xml:space="preserve"> (Наружный блок) Максимальный уровень шума: N[]</v>
      </c>
      <c r="X162" t="str">
        <f>CONCATENATE(X$2,": ",X$3,list1!X162,"]")</f>
        <v xml:space="preserve"> (Соединительные трубы) Жидкостная линия : N[6.35]</v>
      </c>
      <c r="Y162" t="str">
        <f>CONCATENATE(Y$2,": ",Y$3,list1!Y162,"]")</f>
        <v xml:space="preserve"> (Соединительные трубы) Газовая линия : N[9.52]</v>
      </c>
      <c r="Z162" t="str">
        <f>CONCATENATE(Z$2,": ",Z$3,list1!Z162,"]")</f>
        <v xml:space="preserve"> (Соединительные трубы) Максимальная длина трубопровода: N[20]</v>
      </c>
      <c r="AA162" t="str">
        <f>CONCATENATE(AA$2,": ",AA$3,list1!AA162,"]")</f>
        <v xml:space="preserve"> (Соединительные трубы) Максимальный перепад высот: S[8]</v>
      </c>
      <c r="AB162" t="str">
        <f>CONCATENATE(AB$2,": ",AB$3,list1!AB162,"]")</f>
        <v xml:space="preserve"> (Допустимая темп. наружного воздуха) Охлаждение: S[от 18 до +43]</v>
      </c>
      <c r="AC162" t="str">
        <f>CONCATENATE(AC$2,": ",AC$3,list1!AC162,"]")</f>
        <v xml:space="preserve"> (Допустимая темп. наружного воздуха) Обогрев: S[от -7 до +24]</v>
      </c>
      <c r="AD162" s="6" t="s">
        <v>5245</v>
      </c>
    </row>
    <row r="163" spans="1:30" x14ac:dyDescent="0.25">
      <c r="A163" t="str">
        <f>CONCATENATE(A$2,": ",A$3,list1!A163,"]")</f>
        <v>Производитель: E[LESSAR]</v>
      </c>
      <c r="B163" t="str">
        <f>CONCATENATE(B$2,": ",B$3,list1!B163,"]")</f>
        <v xml:space="preserve"> Тип: S[Сплит система]</v>
      </c>
      <c r="C163" t="str">
        <f>CONCATENATE(C$2,": ",C$3,list1!C163,"]")</f>
        <v xml:space="preserve"> (Сплит система) Холодопроизводительность: N[2.64]</v>
      </c>
      <c r="D163" t="str">
        <f>CONCATENATE(D$2,": ",D$3,list1!D163,"]")</f>
        <v xml:space="preserve"> (Сплит система) Площадь помещения: N[26]</v>
      </c>
      <c r="E163" t="str">
        <f>CONCATENATE(E$2,": ",E$3,list1!E163,"]")</f>
        <v xml:space="preserve"> (Сплит система) Инвентор: S[нет]</v>
      </c>
      <c r="F163" t="str">
        <f>CONCATENATE(F$2,": ",F$3,list1!F163,"]")</f>
        <v xml:space="preserve"> (Сплит система) Теплопроизводительность: N[2.64]</v>
      </c>
      <c r="G163" t="str">
        <f>CONCATENATE(G$2,": ",G$3,list1!G163,"]")</f>
        <v xml:space="preserve"> (Потребляемая мощность) Охлаждение: N[0.821]</v>
      </c>
      <c r="H163" t="str">
        <f>CONCATENATE(H$2,": ",H$3,list1!H163,"]")</f>
        <v xml:space="preserve"> (Потребляемая мощность) Обогрев: S[0.73]</v>
      </c>
      <c r="I163" t="str">
        <f>CONCATENATE(I$2,": ",I$3,list1!I163,"]")</f>
        <v xml:space="preserve"> (Рабочий ток) Охлаждение: S[]</v>
      </c>
      <c r="J163" t="str">
        <f>CONCATENATE(J$2,": ",J$3,list1!J163,"]")</f>
        <v xml:space="preserve"> (Рабочий ток) Обогрев: S[]</v>
      </c>
      <c r="K163" t="str">
        <f>CONCATENATE(K$2,": ",K$3,list1!K163,"]")</f>
        <v xml:space="preserve"> (Рабочий ток) Напряжение / Частота источника питания: S[1 / 220 / 50]</v>
      </c>
      <c r="L163" t="str">
        <f>CONCATENATE(L$2,": ",L$3,list1!L163,"]")</f>
        <v xml:space="preserve"> (Рабочий ток) Хладагент: S[R32]</v>
      </c>
      <c r="M163" t="str">
        <f>CONCATENATE(M$2,": ",M$3,list1!M163,"]")</f>
        <v xml:space="preserve"> (Рабочий ток) Количество хладагента: N[]</v>
      </c>
      <c r="N163" t="str">
        <f>CONCATENATE(N$2,": ",N$3,list1!N163,"]")</f>
        <v xml:space="preserve"> (Рабочий ток) Объем рециркулируемого воздуха внутреннего блока: S[]</v>
      </c>
      <c r="O163" t="str">
        <f>CONCATENATE(O$2,": ",O$3,list1!O163,"]")</f>
        <v xml:space="preserve"> (Внутренний блок) Размеры (Ш x Г x В): S[722 х 290 х 187]</v>
      </c>
      <c r="P163" t="str">
        <f>CONCATENATE(P$2,": ",P$3,list1!P163,"]")</f>
        <v xml:space="preserve"> (Внутренний блок) Упаковка (Ш x Г x В): S[790 х 270 х 375]</v>
      </c>
      <c r="Q163" t="str">
        <f>CONCATENATE(Q$2,": ",Q$3,list1!Q163,"]")</f>
        <v xml:space="preserve"> (Внутренний блок) Масса (нетто / брутто): S[8.1 / 10.4]</v>
      </c>
      <c r="R163" t="str">
        <f>CONCATENATE(R$2,": ",R$3,list1!R163,"]")</f>
        <v xml:space="preserve"> (Внутренний блок) Уровень шума мин. / макс.: S[26.5/38/41]</v>
      </c>
      <c r="S163" t="str">
        <f>CONCATENATE(S$2,": ",S$3,list1!S163,"]")</f>
        <v xml:space="preserve"> (Наружный блок) Марка компрессора: S[GMCC]</v>
      </c>
      <c r="T163" t="str">
        <f>CONCATENATE(T$2,": ",T$3,list1!T163,"]")</f>
        <v xml:space="preserve"> (Наружный блок) Размеры (Ш x Г x В): S[720 х 270 х 495]</v>
      </c>
      <c r="U163" t="str">
        <f>CONCATENATE(U$2,": ",U$3,list1!U163,"]")</f>
        <v xml:space="preserve"> (Наружный блок) Упаковка (Ш x Г x В): S[835 х 300 х 540]</v>
      </c>
      <c r="V163" t="str">
        <f>CONCATENATE(V$2,": ",V$3,list1!V163,"]")</f>
        <v xml:space="preserve"> (Наружный блок) Масса (нетто / брутто): S[24.2/26]</v>
      </c>
      <c r="W163" t="str">
        <f>CONCATENATE(W$2,": ",W$3,list1!W163,"]")</f>
        <v xml:space="preserve"> (Наружный блок) Максимальный уровень шума: N[]</v>
      </c>
      <c r="X163" t="str">
        <f>CONCATENATE(X$2,": ",X$3,list1!X163,"]")</f>
        <v xml:space="preserve"> (Соединительные трубы) Жидкостная линия : N[6.35]</v>
      </c>
      <c r="Y163" t="str">
        <f>CONCATENATE(Y$2,": ",Y$3,list1!Y163,"]")</f>
        <v xml:space="preserve"> (Соединительные трубы) Газовая линия : N[9.52]</v>
      </c>
      <c r="Z163" t="str">
        <f>CONCATENATE(Z$2,": ",Z$3,list1!Z163,"]")</f>
        <v xml:space="preserve"> (Соединительные трубы) Максимальная длина трубопровода: N[20]</v>
      </c>
      <c r="AA163" t="str">
        <f>CONCATENATE(AA$2,": ",AA$3,list1!AA163,"]")</f>
        <v xml:space="preserve"> (Соединительные трубы) Максимальный перепад высот: S[8]</v>
      </c>
      <c r="AB163" t="str">
        <f>CONCATENATE(AB$2,": ",AB$3,list1!AB163,"]")</f>
        <v xml:space="preserve"> (Допустимая темп. наружного воздуха) Охлаждение: S[от 18 до +43]</v>
      </c>
      <c r="AC163" t="str">
        <f>CONCATENATE(AC$2,": ",AC$3,list1!AC163,"]")</f>
        <v xml:space="preserve"> (Допустимая темп. наружного воздуха) Обогрев: S[от -7 до +24]</v>
      </c>
      <c r="AD163" s="6" t="s">
        <v>5245</v>
      </c>
    </row>
    <row r="164" spans="1:30" x14ac:dyDescent="0.25">
      <c r="A164" t="str">
        <f>CONCATENATE(A$2,": ",A$3,list1!A164,"]")</f>
        <v>Производитель: E[LESSAR]</v>
      </c>
      <c r="B164" t="str">
        <f>CONCATENATE(B$2,": ",B$3,list1!B164,"]")</f>
        <v xml:space="preserve"> Тип: S[Сплит система]</v>
      </c>
      <c r="C164" t="str">
        <f>CONCATENATE(C$2,": ",C$3,list1!C164,"]")</f>
        <v xml:space="preserve"> (Сплит система) Холодопроизводительность: N[3.52]</v>
      </c>
      <c r="D164" t="str">
        <f>CONCATENATE(D$2,": ",D$3,list1!D164,"]")</f>
        <v xml:space="preserve"> (Сплит система) Площадь помещения: N[35]</v>
      </c>
      <c r="E164" t="str">
        <f>CONCATENATE(E$2,": ",E$3,list1!E164,"]")</f>
        <v xml:space="preserve"> (Сплит система) Инвентор: S[нет]</v>
      </c>
      <c r="F164" t="str">
        <f>CONCATENATE(F$2,": ",F$3,list1!F164,"]")</f>
        <v xml:space="preserve"> (Сплит система) Теплопроизводительность: N[3.66]</v>
      </c>
      <c r="G164" t="str">
        <f>CONCATENATE(G$2,": ",G$3,list1!G164,"]")</f>
        <v xml:space="preserve"> (Потребляемая мощность) Охлаждение: N[1.095]</v>
      </c>
      <c r="H164" t="str">
        <f>CONCATENATE(H$2,": ",H$3,list1!H164,"]")</f>
        <v xml:space="preserve"> (Потребляемая мощность) Обогрев: S[1.015]</v>
      </c>
      <c r="I164" t="str">
        <f>CONCATENATE(I$2,": ",I$3,list1!I164,"]")</f>
        <v xml:space="preserve"> (Рабочий ток) Охлаждение: S[]</v>
      </c>
      <c r="J164" t="str">
        <f>CONCATENATE(J$2,": ",J$3,list1!J164,"]")</f>
        <v xml:space="preserve"> (Рабочий ток) Обогрев: S[]</v>
      </c>
      <c r="K164" t="str">
        <f>CONCATENATE(K$2,": ",K$3,list1!K164,"]")</f>
        <v xml:space="preserve"> (Рабочий ток) Напряжение / Частота источника питания: S[1 / 220 / 50]</v>
      </c>
      <c r="L164" t="str">
        <f>CONCATENATE(L$2,": ",L$3,list1!L164,"]")</f>
        <v xml:space="preserve"> (Рабочий ток) Хладагент: S[R32]</v>
      </c>
      <c r="M164" t="str">
        <f>CONCATENATE(M$2,": ",M$3,list1!M164,"]")</f>
        <v xml:space="preserve"> (Рабочий ток) Количество хладагента: N[]</v>
      </c>
      <c r="N164" t="str">
        <f>CONCATENATE(N$2,": ",N$3,list1!N164,"]")</f>
        <v xml:space="preserve"> (Рабочий ток) Объем рециркулируемого воздуха внутреннего блока: S[]</v>
      </c>
      <c r="O164" t="str">
        <f>CONCATENATE(O$2,": ",O$3,list1!O164,"]")</f>
        <v xml:space="preserve"> (Внутренний блок) Размеры (Ш x Г x В): S[802 х 297 х 189]</v>
      </c>
      <c r="P164" t="str">
        <f>CONCATENATE(P$2,": ",P$3,list1!P164,"]")</f>
        <v xml:space="preserve"> (Внутренний блок) Упаковка (Ш x Г x В): S[875 х 285 х 380]</v>
      </c>
      <c r="Q164" t="str">
        <f>CONCATENATE(Q$2,": ",Q$3,list1!Q164,"]")</f>
        <v xml:space="preserve"> (Внутренний блок) Масса (нетто / брутто): S[9 / 11.4]</v>
      </c>
      <c r="R164" t="str">
        <f>CONCATENATE(R$2,": ",R$3,list1!R164,"]")</f>
        <v xml:space="preserve"> (Внутренний блок) Уровень шума мин. / макс.: S[26.5/34.5/37.5]</v>
      </c>
      <c r="S164" t="str">
        <f>CONCATENATE(S$2,": ",S$3,list1!S164,"]")</f>
        <v xml:space="preserve"> (Наружный блок) Марка компрессора: S[GMCC]</v>
      </c>
      <c r="T164" t="str">
        <f>CONCATENATE(T$2,": ",T$3,list1!T164,"]")</f>
        <v xml:space="preserve"> (Наружный блок) Размеры (Ш x Г x В): S[720 х 270 х 495]</v>
      </c>
      <c r="U164" t="str">
        <f>CONCATENATE(U$2,": ",U$3,list1!U164,"]")</f>
        <v xml:space="preserve"> (Наружный блок) Упаковка (Ш x Г x В): S[835 х 300 х 540]</v>
      </c>
      <c r="V164" t="str">
        <f>CONCATENATE(V$2,": ",V$3,list1!V164,"]")</f>
        <v xml:space="preserve"> (Наружный блок) Масса (нетто / брутто): S[26/27.7]</v>
      </c>
      <c r="W164" t="str">
        <f>CONCATENATE(W$2,": ",W$3,list1!W164,"]")</f>
        <v xml:space="preserve"> (Наружный блок) Максимальный уровень шума: N[]</v>
      </c>
      <c r="X164" t="str">
        <f>CONCATENATE(X$2,": ",X$3,list1!X164,"]")</f>
        <v xml:space="preserve"> (Соединительные трубы) Жидкостная линия : N[6.35]</v>
      </c>
      <c r="Y164" t="str">
        <f>CONCATENATE(Y$2,": ",Y$3,list1!Y164,"]")</f>
        <v xml:space="preserve"> (Соединительные трубы) Газовая линия : N[12.7]</v>
      </c>
      <c r="Z164" t="str">
        <f>CONCATENATE(Z$2,": ",Z$3,list1!Z164,"]")</f>
        <v xml:space="preserve"> (Соединительные трубы) Максимальная длина трубопровода: N[20]</v>
      </c>
      <c r="AA164" t="str">
        <f>CONCATENATE(AA$2,": ",AA$3,list1!AA164,"]")</f>
        <v xml:space="preserve"> (Соединительные трубы) Максимальный перепад высот: S[8]</v>
      </c>
      <c r="AB164" t="str">
        <f>CONCATENATE(AB$2,": ",AB$3,list1!AB164,"]")</f>
        <v xml:space="preserve"> (Допустимая темп. наружного воздуха) Охлаждение: S[от 18 до +43]</v>
      </c>
      <c r="AC164" t="str">
        <f>CONCATENATE(AC$2,": ",AC$3,list1!AC164,"]")</f>
        <v xml:space="preserve"> (Допустимая темп. наружного воздуха) Обогрев: S[от -7 до +24]</v>
      </c>
      <c r="AD164" s="6" t="s">
        <v>5245</v>
      </c>
    </row>
    <row r="165" spans="1:30" x14ac:dyDescent="0.25">
      <c r="A165" t="str">
        <f>CONCATENATE(A$2,": ",A$3,list1!A165,"]")</f>
        <v>Производитель: E[LESSAR]</v>
      </c>
      <c r="B165" t="str">
        <f>CONCATENATE(B$2,": ",B$3,list1!B165,"]")</f>
        <v xml:space="preserve"> Тип: S[Сплит система]</v>
      </c>
      <c r="C165" t="str">
        <f>CONCATENATE(C$2,": ",C$3,list1!C165,"]")</f>
        <v xml:space="preserve"> (Сплит система) Холодопроизводительность: N[5.28]</v>
      </c>
      <c r="D165" t="str">
        <f>CONCATENATE(D$2,": ",D$3,list1!D165,"]")</f>
        <v xml:space="preserve"> (Сплит система) Площадь помещения: N[53]</v>
      </c>
      <c r="E165" t="str">
        <f>CONCATENATE(E$2,": ",E$3,list1!E165,"]")</f>
        <v xml:space="preserve"> (Сплит система) Инвентор: S[нет]</v>
      </c>
      <c r="F165" t="str">
        <f>CONCATENATE(F$2,": ",F$3,list1!F165,"]")</f>
        <v xml:space="preserve"> (Сплит система) Теплопроизводительность: N[5.57]</v>
      </c>
      <c r="G165" t="str">
        <f>CONCATENATE(G$2,": ",G$3,list1!G165,"]")</f>
        <v xml:space="preserve"> (Потребляемая мощность) Охлаждение: N[1.643]</v>
      </c>
      <c r="H165" t="str">
        <f>CONCATENATE(H$2,": ",H$3,list1!H165,"]")</f>
        <v xml:space="preserve"> (Потребляемая мощность) Обогрев: S[1.542]</v>
      </c>
      <c r="I165" t="str">
        <f>CONCATENATE(I$2,": ",I$3,list1!I165,"]")</f>
        <v xml:space="preserve"> (Рабочий ток) Охлаждение: S[]</v>
      </c>
      <c r="J165" t="str">
        <f>CONCATENATE(J$2,": ",J$3,list1!J165,"]")</f>
        <v xml:space="preserve"> (Рабочий ток) Обогрев: S[]</v>
      </c>
      <c r="K165" t="str">
        <f>CONCATENATE(K$2,": ",K$3,list1!K165,"]")</f>
        <v xml:space="preserve"> (Рабочий ток) Напряжение / Частота источника питания: S[1 / 220 / 50]</v>
      </c>
      <c r="L165" t="str">
        <f>CONCATENATE(L$2,": ",L$3,list1!L165,"]")</f>
        <v xml:space="preserve"> (Рабочий ток) Хладагент: S[R32]</v>
      </c>
      <c r="M165" t="str">
        <f>CONCATENATE(M$2,": ",M$3,list1!M165,"]")</f>
        <v xml:space="preserve"> (Рабочий ток) Количество хладагента: N[]</v>
      </c>
      <c r="N165" t="str">
        <f>CONCATENATE(N$2,": ",N$3,list1!N165,"]")</f>
        <v xml:space="preserve"> (Рабочий ток) Объем рециркулируемого воздуха внутреннего блока: S[]</v>
      </c>
      <c r="O165" t="str">
        <f>CONCATENATE(O$2,": ",O$3,list1!O165,"]")</f>
        <v xml:space="preserve"> (Внутренний блок) Размеры (Ш x Г x В): S[965 х 319 х 215]</v>
      </c>
      <c r="P165" t="str">
        <f>CONCATENATE(P$2,": ",P$3,list1!P165,"]")</f>
        <v xml:space="preserve"> (Внутренний блок) Упаковка (Ш x Г x В): S[1045 х 305 х 410]</v>
      </c>
      <c r="Q165" t="str">
        <f>CONCATENATE(Q$2,": ",Q$3,list1!Q165,"]")</f>
        <v xml:space="preserve"> (Внутренний блок) Масса (нетто / брутто): S[12.1 / 15.3]</v>
      </c>
      <c r="R165" t="str">
        <f>CONCATENATE(R$2,": ",R$3,list1!R165,"]")</f>
        <v xml:space="preserve"> (Внутренний блок) Уровень шума мин. / макс.: S[34.5/38/45]</v>
      </c>
      <c r="S165" t="str">
        <f>CONCATENATE(S$2,": ",S$3,list1!S165,"]")</f>
        <v xml:space="preserve"> (Наружный блок) Марка компрессора: S[GMCC]</v>
      </c>
      <c r="T165" t="str">
        <f>CONCATENATE(T$2,": ",T$3,list1!T165,"]")</f>
        <v xml:space="preserve"> (Наружный блок) Размеры (Ш x Г x В): S[765 х 303 х 555]</v>
      </c>
      <c r="U165" t="str">
        <f>CONCATENATE(U$2,": ",U$3,list1!U165,"]")</f>
        <v xml:space="preserve"> (Наружный блок) Упаковка (Ш x Г x В): S[887 х 337 х 610]</v>
      </c>
      <c r="V165" t="str">
        <f>CONCATENATE(V$2,": ",V$3,list1!V165,"]")</f>
        <v xml:space="preserve"> (Наружный блок) Масса (нетто / брутто): S[34.5/37]</v>
      </c>
      <c r="W165" t="str">
        <f>CONCATENATE(W$2,": ",W$3,list1!W165,"]")</f>
        <v xml:space="preserve"> (Наружный блок) Максимальный уровень шума: N[]</v>
      </c>
      <c r="X165" t="str">
        <f>CONCATENATE(X$2,": ",X$3,list1!X165,"]")</f>
        <v xml:space="preserve"> (Соединительные трубы) Жидкостная линия : N[6.35]</v>
      </c>
      <c r="Y165" t="str">
        <f>CONCATENATE(Y$2,": ",Y$3,list1!Y165,"]")</f>
        <v xml:space="preserve"> (Соединительные трубы) Газовая линия : N[12.7]</v>
      </c>
      <c r="Z165" t="str">
        <f>CONCATENATE(Z$2,": ",Z$3,list1!Z165,"]")</f>
        <v xml:space="preserve"> (Соединительные трубы) Максимальная длина трубопровода: N[25]</v>
      </c>
      <c r="AA165" t="str">
        <f>CONCATENATE(AA$2,": ",AA$3,list1!AA165,"]")</f>
        <v xml:space="preserve"> (Соединительные трубы) Максимальный перепад высот: S[10]</v>
      </c>
      <c r="AB165" t="str">
        <f>CONCATENATE(AB$2,": ",AB$3,list1!AB165,"]")</f>
        <v xml:space="preserve"> (Допустимая темп. наружного воздуха) Охлаждение: S[от 18 до +43]</v>
      </c>
      <c r="AC165" t="str">
        <f>CONCATENATE(AC$2,": ",AC$3,list1!AC165,"]")</f>
        <v xml:space="preserve"> (Допустимая темп. наружного воздуха) Обогрев: S[от -7 до +24]</v>
      </c>
      <c r="AD165" s="6" t="s">
        <v>5245</v>
      </c>
    </row>
    <row r="166" spans="1:30" x14ac:dyDescent="0.25">
      <c r="A166" t="str">
        <f>CONCATENATE(A$2,": ",A$3,list1!A166,"]")</f>
        <v>Производитель: E[LESSAR]</v>
      </c>
      <c r="B166" t="str">
        <f>CONCATENATE(B$2,": ",B$3,list1!B166,"]")</f>
        <v xml:space="preserve"> Тип: S[Сплит система]</v>
      </c>
      <c r="C166" t="str">
        <f>CONCATENATE(C$2,": ",C$3,list1!C166,"]")</f>
        <v xml:space="preserve"> (Сплит система) Холодопроизводительность: N[7.03]</v>
      </c>
      <c r="D166" t="str">
        <f>CONCATENATE(D$2,": ",D$3,list1!D166,"]")</f>
        <v xml:space="preserve"> (Сплит система) Площадь помещения: N[70]</v>
      </c>
      <c r="E166" t="str">
        <f>CONCATENATE(E$2,": ",E$3,list1!E166,"]")</f>
        <v xml:space="preserve"> (Сплит система) Инвентор: S[нет]</v>
      </c>
      <c r="F166" t="str">
        <f>CONCATENATE(F$2,": ",F$3,list1!F166,"]")</f>
        <v xml:space="preserve"> (Сплит система) Теплопроизводительность: N[7.33]</v>
      </c>
      <c r="G166" t="str">
        <f>CONCATENATE(G$2,": ",G$3,list1!G166,"]")</f>
        <v xml:space="preserve"> (Потребляемая мощность) Охлаждение: N[2.191]</v>
      </c>
      <c r="H166" t="str">
        <f>CONCATENATE(H$2,": ",H$3,list1!H166,"]")</f>
        <v xml:space="preserve"> (Потребляемая мощность) Обогрев: S[2.03]</v>
      </c>
      <c r="I166" t="str">
        <f>CONCATENATE(I$2,": ",I$3,list1!I166,"]")</f>
        <v xml:space="preserve"> (Рабочий ток) Охлаждение: S[]</v>
      </c>
      <c r="J166" t="str">
        <f>CONCATENATE(J$2,": ",J$3,list1!J166,"]")</f>
        <v xml:space="preserve"> (Рабочий ток) Обогрев: S[]</v>
      </c>
      <c r="K166" t="str">
        <f>CONCATENATE(K$2,": ",K$3,list1!K166,"]")</f>
        <v xml:space="preserve"> (Рабочий ток) Напряжение / Частота источника питания: S[1 / 220 / 50]</v>
      </c>
      <c r="L166" t="str">
        <f>CONCATENATE(L$2,": ",L$3,list1!L166,"]")</f>
        <v xml:space="preserve"> (Рабочий ток) Хладагент: S[R32]</v>
      </c>
      <c r="M166" t="str">
        <f>CONCATENATE(M$2,": ",M$3,list1!M166,"]")</f>
        <v xml:space="preserve"> (Рабочий ток) Количество хладагента: N[]</v>
      </c>
      <c r="N166" t="str">
        <f>CONCATENATE(N$2,": ",N$3,list1!N166,"]")</f>
        <v xml:space="preserve"> (Рабочий ток) Объем рециркулируемого воздуха внутреннего блока: S[]</v>
      </c>
      <c r="O166" t="str">
        <f>CONCATENATE(O$2,": ",O$3,list1!O166,"]")</f>
        <v xml:space="preserve"> (Внутренний блок) Размеры (Ш x Г x В): S[1080 х 335 х 226]</v>
      </c>
      <c r="P166" t="str">
        <f>CONCATENATE(P$2,": ",P$3,list1!P166,"]")</f>
        <v xml:space="preserve"> (Внутренний блок) Упаковка (Ш x Г x В): S[1155 х 415 х 320]</v>
      </c>
      <c r="Q166" t="str">
        <f>CONCATENATE(Q$2,": ",Q$3,list1!Q166,"]")</f>
        <v xml:space="preserve"> (Внутренний блок) Масса (нетто / брутто): S[15 / 18.6]</v>
      </c>
      <c r="R166" t="str">
        <f>CONCATENATE(R$2,": ",R$3,list1!R166,"]")</f>
        <v xml:space="preserve"> (Внутренний блок) Уровень шума мин. / макс.: S[34.5/45.5/49]</v>
      </c>
      <c r="S166" t="str">
        <f>CONCATENATE(S$2,": ",S$3,list1!S166,"]")</f>
        <v xml:space="preserve"> (Наружный блок) Марка компрессора: S[GMCC]</v>
      </c>
      <c r="T166" t="str">
        <f>CONCATENATE(T$2,": ",T$3,list1!T166,"]")</f>
        <v xml:space="preserve"> (Наружный блок) Размеры (Ш x Г x В): S[890 х 342 х 673]</v>
      </c>
      <c r="U166" t="str">
        <f>CONCATENATE(U$2,": ",U$3,list1!U166,"]")</f>
        <v xml:space="preserve"> (Наружный блок) Упаковка (Ш x Г x В): S[995 х 398 х 740]</v>
      </c>
      <c r="V166" t="str">
        <f>CONCATENATE(V$2,": ",V$3,list1!V166,"]")</f>
        <v xml:space="preserve"> (Наружный блок) Масса (нетто / брутто): S[47.9/50.9]</v>
      </c>
      <c r="W166" t="str">
        <f>CONCATENATE(W$2,": ",W$3,list1!W166,"]")</f>
        <v xml:space="preserve"> (Наружный блок) Максимальный уровень шума: N[]</v>
      </c>
      <c r="X166" t="str">
        <f>CONCATENATE(X$2,": ",X$3,list1!X166,"]")</f>
        <v xml:space="preserve"> (Соединительные трубы) Жидкостная линия : N[9.52]</v>
      </c>
      <c r="Y166" t="str">
        <f>CONCATENATE(Y$2,": ",Y$3,list1!Y166,"]")</f>
        <v xml:space="preserve"> (Соединительные трубы) Газовая линия : N[15.9]</v>
      </c>
      <c r="Z166" t="str">
        <f>CONCATENATE(Z$2,": ",Z$3,list1!Z166,"]")</f>
        <v xml:space="preserve"> (Соединительные трубы) Максимальная длина трубопровода: N[25]</v>
      </c>
      <c r="AA166" t="str">
        <f>CONCATENATE(AA$2,": ",AA$3,list1!AA166,"]")</f>
        <v xml:space="preserve"> (Соединительные трубы) Максимальный перепад высот: S[10]</v>
      </c>
      <c r="AB166" t="str">
        <f>CONCATENATE(AB$2,": ",AB$3,list1!AB166,"]")</f>
        <v xml:space="preserve"> (Допустимая темп. наружного воздуха) Охлаждение: S[от 18 до +43]</v>
      </c>
      <c r="AC166" t="str">
        <f>CONCATENATE(AC$2,": ",AC$3,list1!AC166,"]")</f>
        <v xml:space="preserve"> (Допустимая темп. наружного воздуха) Обогрев: S[от -7 до +24]</v>
      </c>
      <c r="AD166" s="6" t="s">
        <v>5245</v>
      </c>
    </row>
    <row r="167" spans="1:30" x14ac:dyDescent="0.25">
      <c r="A167" t="str">
        <f>CONCATENATE(A$2,": ",A$3,list1!A167,"]")</f>
        <v>Производитель: E[LESSAR]</v>
      </c>
      <c r="B167" t="str">
        <f>CONCATENATE(B$2,": ",B$3,list1!B167,"]")</f>
        <v xml:space="preserve"> Тип: S[Сплит система]</v>
      </c>
      <c r="C167" t="str">
        <f>CONCATENATE(C$2,": ",C$3,list1!C167,"]")</f>
        <v xml:space="preserve"> (Сплит система) Холодопроизводительность: N[2.64]</v>
      </c>
      <c r="D167" t="str">
        <f>CONCATENATE(D$2,": ",D$3,list1!D167,"]")</f>
        <v xml:space="preserve"> (Сплит система) Площадь помещения: N[26]</v>
      </c>
      <c r="E167" t="str">
        <f>CONCATENATE(E$2,": ",E$3,list1!E167,"]")</f>
        <v xml:space="preserve"> (Сплит система) Инвентор: S[да]</v>
      </c>
      <c r="F167" t="str">
        <f>CONCATENATE(F$2,": ",F$3,list1!F167,"]")</f>
        <v xml:space="preserve"> (Сплит система) Теплопроизводительность: N[2.93]</v>
      </c>
      <c r="G167" t="str">
        <f>CONCATENATE(G$2,": ",G$3,list1!G167,"]")</f>
        <v xml:space="preserve"> (Потребляемая мощность) Охлаждение: N[0.613]</v>
      </c>
      <c r="H167" t="str">
        <f>CONCATENATE(H$2,": ",H$3,list1!H167,"]")</f>
        <v xml:space="preserve"> (Потребляемая мощность) Обогрев: S[0.637]</v>
      </c>
      <c r="I167" t="str">
        <f>CONCATENATE(I$2,": ",I$3,list1!I167,"]")</f>
        <v xml:space="preserve"> (Рабочий ток) Охлаждение: S[]</v>
      </c>
      <c r="J167" t="str">
        <f>CONCATENATE(J$2,": ",J$3,list1!J167,"]")</f>
        <v xml:space="preserve"> (Рабочий ток) Обогрев: S[]</v>
      </c>
      <c r="K167" t="str">
        <f>CONCATENATE(K$2,": ",K$3,list1!K167,"]")</f>
        <v xml:space="preserve"> (Рабочий ток) Напряжение / Частота источника питания: S[1 / 220 / 50]</v>
      </c>
      <c r="L167" t="str">
        <f>CONCATENATE(L$2,": ",L$3,list1!L167,"]")</f>
        <v xml:space="preserve"> (Рабочий ток) Хладагент: S[R410A]</v>
      </c>
      <c r="M167" t="str">
        <f>CONCATENATE(M$2,": ",M$3,list1!M167,"]")</f>
        <v xml:space="preserve"> (Рабочий ток) Количество хладагента: N[]</v>
      </c>
      <c r="N167" t="str">
        <f>CONCATENATE(N$2,": ",N$3,list1!N167,"]")</f>
        <v xml:space="preserve"> (Рабочий ток) Объем рециркулируемого воздуха внутреннего блока: S[]</v>
      </c>
      <c r="O167" t="str">
        <f>CONCATENATE(O$2,": ",O$3,list1!O167,"]")</f>
        <v xml:space="preserve"> (Внутренний блок) Размеры (Ш x Г x В): S[802 х 297 х 189]</v>
      </c>
      <c r="P167" t="str">
        <f>CONCATENATE(P$2,": ",P$3,list1!P167,"]")</f>
        <v xml:space="preserve"> (Внутренний блок) Упаковка (Ш x Г x В): S[875 х 285 х 375]</v>
      </c>
      <c r="Q167" t="str">
        <f>CONCATENATE(Q$2,": ",Q$3,list1!Q167,"]")</f>
        <v xml:space="preserve"> (Внутренний блок) Масса (нетто / брутто): S[8.2 / 10.7]</v>
      </c>
      <c r="R167" t="str">
        <f>CONCATENATE(R$2,": ",R$3,list1!R167,"]")</f>
        <v xml:space="preserve"> (Внутренний блок) Уровень шума мин. / макс.: S[21/22/32/38]</v>
      </c>
      <c r="S167" t="str">
        <f>CONCATENATE(S$2,": ",S$3,list1!S167,"]")</f>
        <v xml:space="preserve"> (Наружный блок) Марка компрессора: S[GMCC]</v>
      </c>
      <c r="T167" t="str">
        <f>CONCATENATE(T$2,": ",T$3,list1!T167,"]")</f>
        <v xml:space="preserve"> (Наружный блок) Размеры (Ш x Г x В): S[800 х 333 х 554]</v>
      </c>
      <c r="U167" t="str">
        <f>CONCATENATE(U$2,": ",U$3,list1!U167,"]")</f>
        <v xml:space="preserve"> (Наружный блок) Упаковка (Ш x Г x В): S[920 х 390 х 625]</v>
      </c>
      <c r="V167" t="str">
        <f>CONCATENATE(V$2,": ",V$3,list1!V167,"]")</f>
        <v xml:space="preserve"> (Наружный блок) Масса (нетто / брутто): S[29.1/31.9]</v>
      </c>
      <c r="W167" t="str">
        <f>CONCATENATE(W$2,": ",W$3,list1!W167,"]")</f>
        <v xml:space="preserve"> (Наружный блок) Максимальный уровень шума: N[]</v>
      </c>
      <c r="X167" t="str">
        <f>CONCATENATE(X$2,": ",X$3,list1!X167,"]")</f>
        <v xml:space="preserve"> (Соединительные трубы) Жидкостная линия : N[6.35]</v>
      </c>
      <c r="Y167" t="str">
        <f>CONCATENATE(Y$2,": ",Y$3,list1!Y167,"]")</f>
        <v xml:space="preserve"> (Соединительные трубы) Газовая линия : N[9.52]</v>
      </c>
      <c r="Z167" t="str">
        <f>CONCATENATE(Z$2,": ",Z$3,list1!Z167,"]")</f>
        <v xml:space="preserve"> (Соединительные трубы) Максимальная длина трубопровода: N[25]</v>
      </c>
      <c r="AA167" t="str">
        <f>CONCATENATE(AA$2,": ",AA$3,list1!AA167,"]")</f>
        <v xml:space="preserve"> (Соединительные трубы) Максимальный перепад высот: S[10]</v>
      </c>
      <c r="AB167" t="str">
        <f>CONCATENATE(AB$2,": ",AB$3,list1!AB167,"]")</f>
        <v xml:space="preserve"> (Допустимая темп. наружного воздуха) Охлаждение: S[от -15 до +50]</v>
      </c>
      <c r="AC167" t="str">
        <f>CONCATENATE(AC$2,": ",AC$3,list1!AC167,"]")</f>
        <v xml:space="preserve"> (Допустимая темп. наружного воздуха) Обогрев: S[от -15 до +30]</v>
      </c>
      <c r="AD167" s="6" t="s">
        <v>5245</v>
      </c>
    </row>
    <row r="168" spans="1:30" x14ac:dyDescent="0.25">
      <c r="A168" t="str">
        <f>CONCATENATE(A$2,": ",A$3,list1!A168,"]")</f>
        <v>Производитель: E[LESSAR]</v>
      </c>
      <c r="B168" t="str">
        <f>CONCATENATE(B$2,": ",B$3,list1!B168,"]")</f>
        <v xml:space="preserve"> Тип: S[Сплит система]</v>
      </c>
      <c r="C168" t="str">
        <f>CONCATENATE(C$2,": ",C$3,list1!C168,"]")</f>
        <v xml:space="preserve"> (Сплит система) Холодопроизводительность: N[3.52]</v>
      </c>
      <c r="D168" t="str">
        <f>CONCATENATE(D$2,": ",D$3,list1!D168,"]")</f>
        <v xml:space="preserve"> (Сплит система) Площадь помещения: N[35]</v>
      </c>
      <c r="E168" t="str">
        <f>CONCATENATE(E$2,": ",E$3,list1!E168,"]")</f>
        <v xml:space="preserve"> (Сплит система) Инвентор: S[да]</v>
      </c>
      <c r="F168" t="str">
        <f>CONCATENATE(F$2,": ",F$3,list1!F168,"]")</f>
        <v xml:space="preserve"> (Сплит система) Теплопроизводительность: N[3.81]</v>
      </c>
      <c r="G168" t="str">
        <f>CONCATENATE(G$2,": ",G$3,list1!G168,"]")</f>
        <v xml:space="preserve"> (Потребляемая мощность) Охлаждение: N[1.088]</v>
      </c>
      <c r="H168" t="str">
        <f>CONCATENATE(H$2,": ",H$3,list1!H168,"]")</f>
        <v xml:space="preserve"> (Потребляемая мощность) Обогрев: S[1.025]</v>
      </c>
      <c r="I168" t="str">
        <f>CONCATENATE(I$2,": ",I$3,list1!I168,"]")</f>
        <v xml:space="preserve"> (Рабочий ток) Охлаждение: S[]</v>
      </c>
      <c r="J168" t="str">
        <f>CONCATENATE(J$2,": ",J$3,list1!J168,"]")</f>
        <v xml:space="preserve"> (Рабочий ток) Обогрев: S[]</v>
      </c>
      <c r="K168" t="str">
        <f>CONCATENATE(K$2,": ",K$3,list1!K168,"]")</f>
        <v xml:space="preserve"> (Рабочий ток) Напряжение / Частота источника питания: S[1 / 220 / 50]</v>
      </c>
      <c r="L168" t="str">
        <f>CONCATENATE(L$2,": ",L$3,list1!L168,"]")</f>
        <v xml:space="preserve"> (Рабочий ток) Хладагент: S[R410A]</v>
      </c>
      <c r="M168" t="str">
        <f>CONCATENATE(M$2,": ",M$3,list1!M168,"]")</f>
        <v xml:space="preserve"> (Рабочий ток) Количество хладагента: N[]</v>
      </c>
      <c r="N168" t="str">
        <f>CONCATENATE(N$2,": ",N$3,list1!N168,"]")</f>
        <v xml:space="preserve"> (Рабочий ток) Объем рециркулируемого воздуха внутреннего блока: S[]</v>
      </c>
      <c r="O168" t="str">
        <f>CONCATENATE(O$2,": ",O$3,list1!O168,"]")</f>
        <v xml:space="preserve"> (Внутренний блок) Размеры (Ш x Г x В): S[802 х 297 х 189]</v>
      </c>
      <c r="P168" t="str">
        <f>CONCATENATE(P$2,": ",P$3,list1!P168,"]")</f>
        <v xml:space="preserve"> (Внутренний блок) Упаковка (Ш x Г x В): S[875 х 285 х 375]</v>
      </c>
      <c r="Q168" t="str">
        <f>CONCATENATE(Q$2,": ",Q$3,list1!Q168,"]")</f>
        <v xml:space="preserve"> (Внутренний блок) Масса (нетто / брутто): S[8.2 / 10.7]</v>
      </c>
      <c r="R168" t="str">
        <f>CONCATENATE(R$2,": ",R$3,list1!R168,"]")</f>
        <v xml:space="preserve"> (Внутренний блок) Уровень шума мин. / макс.: S[21/22/32/38]</v>
      </c>
      <c r="S168" t="str">
        <f>CONCATENATE(S$2,": ",S$3,list1!S168,"]")</f>
        <v xml:space="preserve"> (Наружный блок) Марка компрессора: S[GMCC]</v>
      </c>
      <c r="T168" t="str">
        <f>CONCATENATE(T$2,": ",T$3,list1!T168,"]")</f>
        <v xml:space="preserve"> (Наружный блок) Размеры (Ш x Г x В): S[800 х 333 х 554]</v>
      </c>
      <c r="U168" t="str">
        <f>CONCATENATE(U$2,": ",U$3,list1!U168,"]")</f>
        <v xml:space="preserve"> (Наружный блок) Упаковка (Ш x Г x В): S[920 х 390 х 625]</v>
      </c>
      <c r="V168" t="str">
        <f>CONCATENATE(V$2,": ",V$3,list1!V168,"]")</f>
        <v xml:space="preserve"> (Наружный блок) Масса (нетто / брутто): S[29.1/31.9]</v>
      </c>
      <c r="W168" t="str">
        <f>CONCATENATE(W$2,": ",W$3,list1!W168,"]")</f>
        <v xml:space="preserve"> (Наружный блок) Максимальный уровень шума: N[]</v>
      </c>
      <c r="X168" t="str">
        <f>CONCATENATE(X$2,": ",X$3,list1!X168,"]")</f>
        <v xml:space="preserve"> (Соединительные трубы) Жидкостная линия : N[6.35]</v>
      </c>
      <c r="Y168" t="str">
        <f>CONCATENATE(Y$2,": ",Y$3,list1!Y168,"]")</f>
        <v xml:space="preserve"> (Соединительные трубы) Газовая линия : N[9.52]</v>
      </c>
      <c r="Z168" t="str">
        <f>CONCATENATE(Z$2,": ",Z$3,list1!Z168,"]")</f>
        <v xml:space="preserve"> (Соединительные трубы) Максимальная длина трубопровода: N[25]</v>
      </c>
      <c r="AA168" t="str">
        <f>CONCATENATE(AA$2,": ",AA$3,list1!AA168,"]")</f>
        <v xml:space="preserve"> (Соединительные трубы) Максимальный перепад высот: S[10]</v>
      </c>
      <c r="AB168" t="str">
        <f>CONCATENATE(AB$2,": ",AB$3,list1!AB168,"]")</f>
        <v xml:space="preserve"> (Допустимая темп. наружного воздуха) Охлаждение: S[от -15 до +50]</v>
      </c>
      <c r="AC168" t="str">
        <f>CONCATENATE(AC$2,": ",AC$3,list1!AC168,"]")</f>
        <v xml:space="preserve"> (Допустимая темп. наружного воздуха) Обогрев: S[от -15 до +30]</v>
      </c>
      <c r="AD168" s="6" t="s">
        <v>5245</v>
      </c>
    </row>
    <row r="169" spans="1:30" x14ac:dyDescent="0.25">
      <c r="A169" t="str">
        <f>CONCATENATE(A$2,": ",A$3,list1!A169,"]")</f>
        <v>Производитель: E[LESSAR]</v>
      </c>
      <c r="B169" t="str">
        <f>CONCATENATE(B$2,": ",B$3,list1!B169,"]")</f>
        <v xml:space="preserve"> Тип: S[Сплит система]</v>
      </c>
      <c r="C169" t="str">
        <f>CONCATENATE(C$2,": ",C$3,list1!C169,"]")</f>
        <v xml:space="preserve"> (Сплит система) Холодопроизводительность: N[2.65]</v>
      </c>
      <c r="D169" t="str">
        <f>CONCATENATE(D$2,": ",D$3,list1!D169,"]")</f>
        <v xml:space="preserve"> (Сплит система) Площадь помещения: N[26]</v>
      </c>
      <c r="E169" t="str">
        <f>CONCATENATE(E$2,": ",E$3,list1!E169,"]")</f>
        <v xml:space="preserve"> (Сплит система) Инвентор: S[да]</v>
      </c>
      <c r="F169" t="str">
        <f>CONCATENATE(F$2,": ",F$3,list1!F169,"]")</f>
        <v xml:space="preserve"> (Сплит система) Теплопроизводительность: N[2.85]</v>
      </c>
      <c r="G169" t="str">
        <f>CONCATENATE(G$2,": ",G$3,list1!G169,"]")</f>
        <v xml:space="preserve"> (Потребляемая мощность) Охлаждение: N[0.78]</v>
      </c>
      <c r="H169" t="str">
        <f>CONCATENATE(H$2,": ",H$3,list1!H169,"]")</f>
        <v xml:space="preserve"> (Потребляемая мощность) Обогрев: S[0.781]</v>
      </c>
      <c r="I169" t="str">
        <f>CONCATENATE(I$2,": ",I$3,list1!I169,"]")</f>
        <v xml:space="preserve"> (Рабочий ток) Охлаждение: S[]</v>
      </c>
      <c r="J169" t="str">
        <f>CONCATENATE(J$2,": ",J$3,list1!J169,"]")</f>
        <v xml:space="preserve"> (Рабочий ток) Обогрев: S[]</v>
      </c>
      <c r="K169" t="str">
        <f>CONCATENATE(K$2,": ",K$3,list1!K169,"]")</f>
        <v xml:space="preserve"> (Рабочий ток) Напряжение / Частота источника питания: S[1 / 220 / 50]</v>
      </c>
      <c r="L169" t="str">
        <f>CONCATENATE(L$2,": ",L$3,list1!L169,"]")</f>
        <v xml:space="preserve"> (Рабочий ток) Хладагент: S[R32]</v>
      </c>
      <c r="M169" t="str">
        <f>CONCATENATE(M$2,": ",M$3,list1!M169,"]")</f>
        <v xml:space="preserve"> (Рабочий ток) Количество хладагента: N[]</v>
      </c>
      <c r="N169" t="str">
        <f>CONCATENATE(N$2,": ",N$3,list1!N169,"]")</f>
        <v xml:space="preserve"> (Рабочий ток) Объем рециркулируемого воздуха внутреннего блока: S[]</v>
      </c>
      <c r="O169" t="str">
        <f>CONCATENATE(O$2,": ",O$3,list1!O169,"]")</f>
        <v xml:space="preserve"> (Внутренний блок) Размеры (Ш x Г x В): S[713 х 270 х 195]</v>
      </c>
      <c r="P169" t="str">
        <f>CONCATENATE(P$2,": ",P$3,list1!P169,"]")</f>
        <v xml:space="preserve"> (Внутренний блок) Упаковка (Ш x Г x В): S[760 х 259 х 334]</v>
      </c>
      <c r="Q169" t="str">
        <f>CONCATENATE(Q$2,": ",Q$3,list1!Q169,"]")</f>
        <v xml:space="preserve"> (Внутренний блок) Масса (нетто / брутто): S[8.1 / 9.6]</v>
      </c>
      <c r="R169" t="str">
        <f>CONCATENATE(R$2,": ",R$3,list1!R169,"]")</f>
        <v xml:space="preserve"> (Внутренний блок) Уровень шума мин. / макс.: S[27/33/38/40]</v>
      </c>
      <c r="S169" t="str">
        <f>CONCATENATE(S$2,": ",S$3,list1!S169,"]")</f>
        <v xml:space="preserve"> (Наружный блок) Марка компрессора: S[Gree]</v>
      </c>
      <c r="T169" t="str">
        <f>CONCATENATE(T$2,": ",T$3,list1!T169,"]")</f>
        <v xml:space="preserve"> (Наружный блок) Размеры (Ш x Г x В): S[710 х 293 х 450]</v>
      </c>
      <c r="U169" t="str">
        <f>CONCATENATE(U$2,": ",U$3,list1!U169,"]")</f>
        <v xml:space="preserve"> (Наружный блок) Упаковка (Ш x Г x В): S[761 х 327 х 500]</v>
      </c>
      <c r="V169" t="str">
        <f>CONCATENATE(V$2,": ",V$3,list1!V169,"]")</f>
        <v xml:space="preserve"> (Наружный блок) Масса (нетто / брутто): S[21/23]</v>
      </c>
      <c r="W169" t="str">
        <f>CONCATENATE(W$2,": ",W$3,list1!W169,"]")</f>
        <v xml:space="preserve"> (Наружный блок) Максимальный уровень шума: N[]</v>
      </c>
      <c r="X169" t="str">
        <f>CONCATENATE(X$2,": ",X$3,list1!X169,"]")</f>
        <v xml:space="preserve"> (Соединительные трубы) Жидкостная линия : N[6.35]</v>
      </c>
      <c r="Y169" t="str">
        <f>CONCATENATE(Y$2,": ",Y$3,list1!Y169,"]")</f>
        <v xml:space="preserve"> (Соединительные трубы) Газовая линия : N[9.52]</v>
      </c>
      <c r="Z169" t="str">
        <f>CONCATENATE(Z$2,": ",Z$3,list1!Z169,"]")</f>
        <v xml:space="preserve"> (Соединительные трубы) Максимальная длина трубопровода: N[15]</v>
      </c>
      <c r="AA169" t="str">
        <f>CONCATENATE(AA$2,": ",AA$3,list1!AA169,"]")</f>
        <v xml:space="preserve"> (Соединительные трубы) Максимальный перепад высот: S[10]</v>
      </c>
      <c r="AB169" t="str">
        <f>CONCATENATE(AB$2,": ",AB$3,list1!AB169,"]")</f>
        <v xml:space="preserve"> (Допустимая темп. наружного воздуха) Охлаждение: S[от -15 до +43]</v>
      </c>
      <c r="AC169" t="str">
        <f>CONCATENATE(AC$2,": ",AC$3,list1!AC169,"]")</f>
        <v xml:space="preserve"> (Допустимая темп. наружного воздуха) Обогрев: S[от -15 до +24]</v>
      </c>
      <c r="AD169" s="6" t="s">
        <v>5245</v>
      </c>
    </row>
    <row r="170" spans="1:30" x14ac:dyDescent="0.25">
      <c r="A170" t="str">
        <f>CONCATENATE(A$2,": ",A$3,list1!A170,"]")</f>
        <v>Производитель: E[LESSAR]</v>
      </c>
      <c r="B170" t="str">
        <f>CONCATENATE(B$2,": ",B$3,list1!B170,"]")</f>
        <v xml:space="preserve"> Тип: S[Сплит система]</v>
      </c>
      <c r="C170" t="str">
        <f>CONCATENATE(C$2,": ",C$3,list1!C170,"]")</f>
        <v xml:space="preserve"> (Сплит система) Холодопроизводительность: N[3.5]</v>
      </c>
      <c r="D170" t="str">
        <f>CONCATENATE(D$2,": ",D$3,list1!D170,"]")</f>
        <v xml:space="preserve"> (Сплит система) Площадь помещения: N[35]</v>
      </c>
      <c r="E170" t="str">
        <f>CONCATENATE(E$2,": ",E$3,list1!E170,"]")</f>
        <v xml:space="preserve"> (Сплит система) Инвентор: S[да]</v>
      </c>
      <c r="F170" t="str">
        <f>CONCATENATE(F$2,": ",F$3,list1!F170,"]")</f>
        <v xml:space="preserve"> (Сплит система) Теплопроизводительность: N[3.5]</v>
      </c>
      <c r="G170" t="str">
        <f>CONCATENATE(G$2,": ",G$3,list1!G170,"]")</f>
        <v xml:space="preserve"> (Потребляемая мощность) Охлаждение: N[1.083]</v>
      </c>
      <c r="H170" t="str">
        <f>CONCATENATE(H$2,": ",H$3,list1!H170,"]")</f>
        <v xml:space="preserve"> (Потребляемая мощность) Обогрев: S[0.918]</v>
      </c>
      <c r="I170" t="str">
        <f>CONCATENATE(I$2,": ",I$3,list1!I170,"]")</f>
        <v xml:space="preserve"> (Рабочий ток) Охлаждение: S[]</v>
      </c>
      <c r="J170" t="str">
        <f>CONCATENATE(J$2,": ",J$3,list1!J170,"]")</f>
        <v xml:space="preserve"> (Рабочий ток) Обогрев: S[]</v>
      </c>
      <c r="K170" t="str">
        <f>CONCATENATE(K$2,": ",K$3,list1!K170,"]")</f>
        <v xml:space="preserve"> (Рабочий ток) Напряжение / Частота источника питания: S[1 / 220 / 50]</v>
      </c>
      <c r="L170" t="str">
        <f>CONCATENATE(L$2,": ",L$3,list1!L170,"]")</f>
        <v xml:space="preserve"> (Рабочий ток) Хладагент: S[R32]</v>
      </c>
      <c r="M170" t="str">
        <f>CONCATENATE(M$2,": ",M$3,list1!M170,"]")</f>
        <v xml:space="preserve"> (Рабочий ток) Количество хладагента: N[]</v>
      </c>
      <c r="N170" t="str">
        <f>CONCATENATE(N$2,": ",N$3,list1!N170,"]")</f>
        <v xml:space="preserve"> (Рабочий ток) Объем рециркулируемого воздуха внутреннего блока: S[]</v>
      </c>
      <c r="O170" t="str">
        <f>CONCATENATE(O$2,": ",O$3,list1!O170,"]")</f>
        <v xml:space="preserve"> (Внутренний блок) Размеры (Ш x Г x В): S[790 х 275 х 200]</v>
      </c>
      <c r="P170" t="str">
        <f>CONCATENATE(P$2,": ",P$3,list1!P170,"]")</f>
        <v xml:space="preserve"> (Внутренний блок) Упаковка (Ш x Г x В): S[850 х 262 х 339]</v>
      </c>
      <c r="Q170" t="str">
        <f>CONCATENATE(Q$2,": ",Q$3,list1!Q170,"]")</f>
        <v xml:space="preserve"> (Внутренний блок) Масса (нетто / брутто): S[9 / 11]</v>
      </c>
      <c r="R170" t="str">
        <f>CONCATENATE(R$2,": ",R$3,list1!R170,"]")</f>
        <v xml:space="preserve"> (Внутренний блок) Уровень шума мин. / макс.: S[26/33/37/41]</v>
      </c>
      <c r="S170" t="str">
        <f>CONCATENATE(S$2,": ",S$3,list1!S170,"]")</f>
        <v xml:space="preserve"> (Наружный блок) Марка компрессора: S[Gree]</v>
      </c>
      <c r="T170" t="str">
        <f>CONCATENATE(T$2,": ",T$3,list1!T170,"]")</f>
        <v xml:space="preserve"> (Наружный блок) Размеры (Ш x Г x В): S[732 х 330 х 550]</v>
      </c>
      <c r="U170" t="str">
        <f>CONCATENATE(U$2,": ",U$3,list1!U170,"]")</f>
        <v xml:space="preserve"> (Наружный блок) Упаковка (Ш x Г x В): S[791 х 373 х 590]</v>
      </c>
      <c r="V170" t="str">
        <f>CONCATENATE(V$2,": ",V$3,list1!V170,"]")</f>
        <v xml:space="preserve"> (Наружный блок) Масса (нетто / брутто): S[25.5/28]</v>
      </c>
      <c r="W170" t="str">
        <f>CONCATENATE(W$2,": ",W$3,list1!W170,"]")</f>
        <v xml:space="preserve"> (Наружный блок) Максимальный уровень шума: N[]</v>
      </c>
      <c r="X170" t="str">
        <f>CONCATENATE(X$2,": ",X$3,list1!X170,"]")</f>
        <v xml:space="preserve"> (Соединительные трубы) Жидкостная линия : N[6.35]</v>
      </c>
      <c r="Y170" t="str">
        <f>CONCATENATE(Y$2,": ",Y$3,list1!Y170,"]")</f>
        <v xml:space="preserve"> (Соединительные трубы) Газовая линия : N[9.52]</v>
      </c>
      <c r="Z170" t="str">
        <f>CONCATENATE(Z$2,": ",Z$3,list1!Z170,"]")</f>
        <v xml:space="preserve"> (Соединительные трубы) Максимальная длина трубопровода: N[15]</v>
      </c>
      <c r="AA170" t="str">
        <f>CONCATENATE(AA$2,": ",AA$3,list1!AA170,"]")</f>
        <v xml:space="preserve"> (Соединительные трубы) Максимальный перепад высот: S[10]</v>
      </c>
      <c r="AB170" t="str">
        <f>CONCATENATE(AB$2,": ",AB$3,list1!AB170,"]")</f>
        <v xml:space="preserve"> (Допустимая темп. наружного воздуха) Охлаждение: S[от -15 до +43]</v>
      </c>
      <c r="AC170" t="str">
        <f>CONCATENATE(AC$2,": ",AC$3,list1!AC170,"]")</f>
        <v xml:space="preserve"> (Допустимая темп. наружного воздуха) Обогрев: S[от -15 до +24]</v>
      </c>
      <c r="AD170" s="6" t="s">
        <v>5245</v>
      </c>
    </row>
    <row r="171" spans="1:30" x14ac:dyDescent="0.25">
      <c r="A171" t="str">
        <f>CONCATENATE(A$2,": ",A$3,list1!A171,"]")</f>
        <v>Производитель: E[LESSAR]</v>
      </c>
      <c r="B171" t="str">
        <f>CONCATENATE(B$2,": ",B$3,list1!B171,"]")</f>
        <v xml:space="preserve"> Тип: S[Сплит система]</v>
      </c>
      <c r="C171" t="str">
        <f>CONCATENATE(C$2,": ",C$3,list1!C171,"]")</f>
        <v xml:space="preserve"> (Сплит система) Холодопроизводительность: N[4.6]</v>
      </c>
      <c r="D171" t="str">
        <f>CONCATENATE(D$2,": ",D$3,list1!D171,"]")</f>
        <v xml:space="preserve"> (Сплит система) Площадь помещения: N[46]</v>
      </c>
      <c r="E171" t="str">
        <f>CONCATENATE(E$2,": ",E$3,list1!E171,"]")</f>
        <v xml:space="preserve"> (Сплит система) Инвентор: S[да]</v>
      </c>
      <c r="F171" t="str">
        <f>CONCATENATE(F$2,": ",F$3,list1!F171,"]")</f>
        <v xml:space="preserve"> (Сплит система) Теплопроизводительность: N[5.2]</v>
      </c>
      <c r="G171" t="str">
        <f>CONCATENATE(G$2,": ",G$3,list1!G171,"]")</f>
        <v xml:space="preserve"> (Потребляемая мощность) Охлаждение: N[1.355]</v>
      </c>
      <c r="H171" t="str">
        <f>CONCATENATE(H$2,": ",H$3,list1!H171,"]")</f>
        <v xml:space="preserve"> (Потребляемая мощность) Обогрев: S[1.34]</v>
      </c>
      <c r="I171" t="str">
        <f>CONCATENATE(I$2,": ",I$3,list1!I171,"]")</f>
        <v xml:space="preserve"> (Рабочий ток) Охлаждение: S[]</v>
      </c>
      <c r="J171" t="str">
        <f>CONCATENATE(J$2,": ",J$3,list1!J171,"]")</f>
        <v xml:space="preserve"> (Рабочий ток) Обогрев: S[]</v>
      </c>
      <c r="K171" t="str">
        <f>CONCATENATE(K$2,": ",K$3,list1!K171,"]")</f>
        <v xml:space="preserve"> (Рабочий ток) Напряжение / Частота источника питания: S[1 / 220 / 50]</v>
      </c>
      <c r="L171" t="str">
        <f>CONCATENATE(L$2,": ",L$3,list1!L171,"]")</f>
        <v xml:space="preserve"> (Рабочий ток) Хладагент: S[R32]</v>
      </c>
      <c r="M171" t="str">
        <f>CONCATENATE(M$2,": ",M$3,list1!M171,"]")</f>
        <v xml:space="preserve"> (Рабочий ток) Количество хладагента: N[]</v>
      </c>
      <c r="N171" t="str">
        <f>CONCATENATE(N$2,": ",N$3,list1!N171,"]")</f>
        <v xml:space="preserve"> (Рабочий ток) Объем рециркулируемого воздуха внутреннего блока: S[]</v>
      </c>
      <c r="O171" t="str">
        <f>CONCATENATE(O$2,": ",O$3,list1!O171,"]")</f>
        <v xml:space="preserve"> (Внутренний блок) Размеры (Ш x Г x В): S[970 х 300 х 224]</v>
      </c>
      <c r="P171" t="str">
        <f>CONCATENATE(P$2,": ",P$3,list1!P171,"]")</f>
        <v xml:space="preserve"> (Внутренний блок) Упаковка (Ш x Г x В): S[1020 х 294 х 370]</v>
      </c>
      <c r="Q171" t="str">
        <f>CONCATENATE(Q$2,": ",Q$3,list1!Q171,"]")</f>
        <v xml:space="preserve"> (Внутренний блок) Масса (нетто / брутто): S[13.5 / 16]</v>
      </c>
      <c r="R171" t="str">
        <f>CONCATENATE(R$2,": ",R$3,list1!R171,"]")</f>
        <v xml:space="preserve"> (Внутренний блок) Уровень шума мин. / макс.: S[34/38/42/44]</v>
      </c>
      <c r="S171" t="str">
        <f>CONCATENATE(S$2,": ",S$3,list1!S171,"]")</f>
        <v xml:space="preserve"> (Наружный блок) Марка компрессора: S[Gree]</v>
      </c>
      <c r="T171" t="str">
        <f>CONCATENATE(T$2,": ",T$3,list1!T171,"]")</f>
        <v xml:space="preserve"> (Наружный блок) Размеры (Ш x Г x В): S[732 х 330 х 550]</v>
      </c>
      <c r="U171" t="str">
        <f>CONCATENATE(U$2,": ",U$3,list1!U171,"]")</f>
        <v xml:space="preserve"> (Наружный блок) Упаковка (Ш x Г x В): S[791 х 373 х 590]</v>
      </c>
      <c r="V171" t="str">
        <f>CONCATENATE(V$2,": ",V$3,list1!V171,"]")</f>
        <v xml:space="preserve"> (Наружный блок) Масса (нетто / брутто): S[26.5/29]</v>
      </c>
      <c r="W171" t="str">
        <f>CONCATENATE(W$2,": ",W$3,list1!W171,"]")</f>
        <v xml:space="preserve"> (Наружный блок) Максимальный уровень шума: N[]</v>
      </c>
      <c r="X171" t="str">
        <f>CONCATENATE(X$2,": ",X$3,list1!X171,"]")</f>
        <v xml:space="preserve"> (Соединительные трубы) Жидкостная линия : N[6.35]</v>
      </c>
      <c r="Y171" t="str">
        <f>CONCATENATE(Y$2,": ",Y$3,list1!Y171,"]")</f>
        <v xml:space="preserve"> (Соединительные трубы) Газовая линия : N[9.52]</v>
      </c>
      <c r="Z171" t="str">
        <f>CONCATENATE(Z$2,": ",Z$3,list1!Z171,"]")</f>
        <v xml:space="preserve"> (Соединительные трубы) Максимальная длина трубопровода: N[25]</v>
      </c>
      <c r="AA171" t="str">
        <f>CONCATENATE(AA$2,": ",AA$3,list1!AA171,"]")</f>
        <v xml:space="preserve"> (Соединительные трубы) Максимальный перепад высот: S[10]</v>
      </c>
      <c r="AB171" t="str">
        <f>CONCATENATE(AB$2,": ",AB$3,list1!AB171,"]")</f>
        <v xml:space="preserve"> (Допустимая темп. наружного воздуха) Охлаждение: S[от -15 до +43]</v>
      </c>
      <c r="AC171" t="str">
        <f>CONCATENATE(AC$2,": ",AC$3,list1!AC171,"]")</f>
        <v xml:space="preserve"> (Допустимая темп. наружного воздуха) Обогрев: S[от -15 до +24]</v>
      </c>
      <c r="AD171" s="6" t="s">
        <v>5245</v>
      </c>
    </row>
    <row r="172" spans="1:30" x14ac:dyDescent="0.25">
      <c r="A172" t="str">
        <f>CONCATENATE(A$2,": ",A$3,list1!A172,"]")</f>
        <v>Производитель: E[LESSAR]</v>
      </c>
      <c r="B172" t="str">
        <f>CONCATENATE(B$2,": ",B$3,list1!B172,"]")</f>
        <v xml:space="preserve"> Тип: S[Сплит система]</v>
      </c>
      <c r="C172" t="str">
        <f>CONCATENATE(C$2,": ",C$3,list1!C172,"]")</f>
        <v xml:space="preserve"> (Сплит система) Холодопроизводительность: N[6.16]</v>
      </c>
      <c r="D172" t="str">
        <f>CONCATENATE(D$2,": ",D$3,list1!D172,"]")</f>
        <v xml:space="preserve"> (Сплит система) Площадь помещения: N[61]</v>
      </c>
      <c r="E172" t="str">
        <f>CONCATENATE(E$2,": ",E$3,list1!E172,"]")</f>
        <v xml:space="preserve"> (Сплит система) Инвентор: S[да]</v>
      </c>
      <c r="F172" t="str">
        <f>CONCATENATE(F$2,": ",F$3,list1!F172,"]")</f>
        <v xml:space="preserve"> (Сплит система) Теплопроизводительность: N[6.2]</v>
      </c>
      <c r="G172" t="str">
        <f>CONCATENATE(G$2,": ",G$3,list1!G172,"]")</f>
        <v xml:space="preserve"> (Потребляемая мощность) Охлаждение: N[1.917]</v>
      </c>
      <c r="H172" t="str">
        <f>CONCATENATE(H$2,": ",H$3,list1!H172,"]")</f>
        <v xml:space="preserve"> (Потребляемая мощность) Обогрев: S[1.698]</v>
      </c>
      <c r="I172" t="str">
        <f>CONCATENATE(I$2,": ",I$3,list1!I172,"]")</f>
        <v xml:space="preserve"> (Рабочий ток) Охлаждение: S[]</v>
      </c>
      <c r="J172" t="str">
        <f>CONCATENATE(J$2,": ",J$3,list1!J172,"]")</f>
        <v xml:space="preserve"> (Рабочий ток) Обогрев: S[]</v>
      </c>
      <c r="K172" t="str">
        <f>CONCATENATE(K$2,": ",K$3,list1!K172,"]")</f>
        <v xml:space="preserve"> (Рабочий ток) Напряжение / Частота источника питания: S[1 / 220 / 50]</v>
      </c>
      <c r="L172" t="str">
        <f>CONCATENATE(L$2,": ",L$3,list1!L172,"]")</f>
        <v xml:space="preserve"> (Рабочий ток) Хладагент: S[R32]</v>
      </c>
      <c r="M172" t="str">
        <f>CONCATENATE(M$2,": ",M$3,list1!M172,"]")</f>
        <v xml:space="preserve"> (Рабочий ток) Количество хладагента: N[]</v>
      </c>
      <c r="N172" t="str">
        <f>CONCATENATE(N$2,": ",N$3,list1!N172,"]")</f>
        <v xml:space="preserve"> (Рабочий ток) Объем рециркулируемого воздуха внутреннего блока: S[]</v>
      </c>
      <c r="O172" t="str">
        <f>CONCATENATE(O$2,": ",O$3,list1!O172,"]")</f>
        <v xml:space="preserve"> (Внутренний блок) Размеры (Ш x Г x В): S[970 х 300 х 224]</v>
      </c>
      <c r="P172" t="str">
        <f>CONCATENATE(P$2,": ",P$3,list1!P172,"]")</f>
        <v xml:space="preserve"> (Внутренний блок) Упаковка (Ш x Г x В): S[1020 х 294 х 370]</v>
      </c>
      <c r="Q172" t="str">
        <f>CONCATENATE(Q$2,": ",Q$3,list1!Q172,"]")</f>
        <v xml:space="preserve"> (Внутренний блок) Масса (нетто / брутто): S[13.5 / 16]</v>
      </c>
      <c r="R172" t="str">
        <f>CONCATENATE(R$2,": ",R$3,list1!R172,"]")</f>
        <v xml:space="preserve"> (Внутренний блок) Уровень шума мин. / макс.: S[34/38/43/48]</v>
      </c>
      <c r="S172" t="str">
        <f>CONCATENATE(S$2,": ",S$3,list1!S172,"]")</f>
        <v xml:space="preserve"> (Наружный блок) Марка компрессора: S[Gree]</v>
      </c>
      <c r="T172" t="str">
        <f>CONCATENATE(T$2,": ",T$3,list1!T172,"]")</f>
        <v xml:space="preserve"> (Наружный блок) Размеры (Ш x Г x В): S[873 х 376 х 555]</v>
      </c>
      <c r="U172" t="str">
        <f>CONCATENATE(U$2,": ",U$3,list1!U172,"]")</f>
        <v xml:space="preserve"> (Наружный блок) Упаковка (Ш x Г x В): S[948 х 428 х 591]</v>
      </c>
      <c r="V172" t="str">
        <f>CONCATENATE(V$2,": ",V$3,list1!V172,"]")</f>
        <v xml:space="preserve"> (Наружный блок) Масса (нетто / брутто): S[35/38]</v>
      </c>
      <c r="W172" t="str">
        <f>CONCATENATE(W$2,": ",W$3,list1!W172,"]")</f>
        <v xml:space="preserve"> (Наружный блок) Максимальный уровень шума: N[]</v>
      </c>
      <c r="X172" t="str">
        <f>CONCATENATE(X$2,": ",X$3,list1!X172,"]")</f>
        <v xml:space="preserve"> (Соединительные трубы) Жидкостная линия : N[6.35]</v>
      </c>
      <c r="Y172" t="str">
        <f>CONCATENATE(Y$2,": ",Y$3,list1!Y172,"]")</f>
        <v xml:space="preserve"> (Соединительные трубы) Газовая линия : N[12.7]</v>
      </c>
      <c r="Z172" t="str">
        <f>CONCATENATE(Z$2,": ",Z$3,list1!Z172,"]")</f>
        <v xml:space="preserve"> (Соединительные трубы) Максимальная длина трубопровода: N[25]</v>
      </c>
      <c r="AA172" t="str">
        <f>CONCATENATE(AA$2,": ",AA$3,list1!AA172,"]")</f>
        <v xml:space="preserve"> (Соединительные трубы) Максимальный перепад высот: S[10]</v>
      </c>
      <c r="AB172" t="str">
        <f>CONCATENATE(AB$2,": ",AB$3,list1!AB172,"]")</f>
        <v xml:space="preserve"> (Допустимая темп. наружного воздуха) Охлаждение: S[от -15 до +43]</v>
      </c>
      <c r="AC172" t="str">
        <f>CONCATENATE(AC$2,": ",AC$3,list1!AC172,"]")</f>
        <v xml:space="preserve"> (Допустимая темп. наружного воздуха) Обогрев: S[от -15 до +24]</v>
      </c>
      <c r="AD172" s="6" t="s">
        <v>5245</v>
      </c>
    </row>
    <row r="173" spans="1:30" x14ac:dyDescent="0.25">
      <c r="A173" t="str">
        <f>CONCATENATE(A$2,": ",A$3,list1!A173,"]")</f>
        <v>Производитель: E[LESSAR]</v>
      </c>
      <c r="B173" t="str">
        <f>CONCATENATE(B$2,": ",B$3,list1!B173,"]")</f>
        <v xml:space="preserve"> Тип: S[Сплит система]</v>
      </c>
      <c r="C173" t="str">
        <f>CONCATENATE(C$2,": ",C$3,list1!C173,"]")</f>
        <v xml:space="preserve"> (Сплит система) Холодопроизводительность: N[2.64]</v>
      </c>
      <c r="D173" t="str">
        <f>CONCATENATE(D$2,": ",D$3,list1!D173,"]")</f>
        <v xml:space="preserve"> (Сплит система) Площадь помещения: N[26]</v>
      </c>
      <c r="E173" t="str">
        <f>CONCATENATE(E$2,": ",E$3,list1!E173,"]")</f>
        <v xml:space="preserve"> (Сплит система) Инвентор: S[да]</v>
      </c>
      <c r="F173" t="str">
        <f>CONCATENATE(F$2,": ",F$3,list1!F173,"]")</f>
        <v xml:space="preserve"> (Сплит система) Теплопроизводительность: N[2.93]</v>
      </c>
      <c r="G173" t="str">
        <f>CONCATENATE(G$2,": ",G$3,list1!G173,"]")</f>
        <v xml:space="preserve"> (Потребляемая мощность) Охлаждение: N[0.799]</v>
      </c>
      <c r="H173" t="str">
        <f>CONCATENATE(H$2,": ",H$3,list1!H173,"]")</f>
        <v xml:space="preserve"> (Потребляемая мощность) Обогрев: S[0.812]</v>
      </c>
      <c r="I173" t="str">
        <f>CONCATENATE(I$2,": ",I$3,list1!I173,"]")</f>
        <v xml:space="preserve"> (Рабочий ток) Охлаждение: S[]</v>
      </c>
      <c r="J173" t="str">
        <f>CONCATENATE(J$2,": ",J$3,list1!J173,"]")</f>
        <v xml:space="preserve"> (Рабочий ток) Обогрев: S[]</v>
      </c>
      <c r="K173" t="str">
        <f>CONCATENATE(K$2,": ",K$3,list1!K173,"]")</f>
        <v xml:space="preserve"> (Рабочий ток) Напряжение / Частота источника питания: S[1 / 220 / 50]</v>
      </c>
      <c r="L173" t="str">
        <f>CONCATENATE(L$2,": ",L$3,list1!L173,"]")</f>
        <v xml:space="preserve"> (Рабочий ток) Хладагент: S[R32]</v>
      </c>
      <c r="M173" t="str">
        <f>CONCATENATE(M$2,": ",M$3,list1!M173,"]")</f>
        <v xml:space="preserve"> (Рабочий ток) Количество хладагента: N[]</v>
      </c>
      <c r="N173" t="str">
        <f>CONCATENATE(N$2,": ",N$3,list1!N173,"]")</f>
        <v xml:space="preserve"> (Рабочий ток) Объем рециркулируемого воздуха внутреннего блока: S[]</v>
      </c>
      <c r="O173" t="str">
        <f>CONCATENATE(O$2,": ",O$3,list1!O173,"]")</f>
        <v xml:space="preserve"> (Внутренний блок) Размеры (Ш x Г x В): S[726 х 291 х 210]</v>
      </c>
      <c r="P173" t="str">
        <f>CONCATENATE(P$2,": ",P$3,list1!P173,"]")</f>
        <v xml:space="preserve"> (Внутренний блок) Упаковка (Ш x Г x В): S[790 х 270 х 375]</v>
      </c>
      <c r="Q173" t="str">
        <f>CONCATENATE(Q$2,": ",Q$3,list1!Q173,"]")</f>
        <v xml:space="preserve"> (Внутренний блок) Масса (нетто / брутто): S[7.8 / 10.1]</v>
      </c>
      <c r="R173" t="str">
        <f>CONCATENATE(R$2,": ",R$3,list1!R173,"]")</f>
        <v xml:space="preserve"> (Внутренний блок) Уровень шума мин. / макс.: S[37.0/29.0/25.5]</v>
      </c>
      <c r="S173" t="str">
        <f>CONCATENATE(S$2,": ",S$3,list1!S173,"]")</f>
        <v xml:space="preserve"> (Наружный блок) Марка компрессора: S[GMCC]</v>
      </c>
      <c r="T173" t="str">
        <f>CONCATENATE(T$2,": ",T$3,list1!T173,"]")</f>
        <v xml:space="preserve"> (Наружный блок) Размеры (Ш x Г x В): S[720 х 462 х 495]</v>
      </c>
      <c r="U173" t="str">
        <f>CONCATENATE(U$2,": ",U$3,list1!U173,"]")</f>
        <v xml:space="preserve"> (Наружный блок) Упаковка (Ш x Г x В): S[835 х 300 х 540]</v>
      </c>
      <c r="V173" t="str">
        <f>CONCATENATE(V$2,": ",V$3,list1!V173,"]")</f>
        <v xml:space="preserve"> (Наружный блок) Масса (нетто / брутто): S[23.5/25.4]</v>
      </c>
      <c r="W173" t="str">
        <f>CONCATENATE(W$2,": ",W$3,list1!W173,"]")</f>
        <v xml:space="preserve"> (Наружный блок) Максимальный уровень шума: N[]</v>
      </c>
      <c r="X173" t="str">
        <f>CONCATENATE(X$2,": ",X$3,list1!X173,"]")</f>
        <v xml:space="preserve"> (Соединительные трубы) Жидкостная линия : N[6.35]</v>
      </c>
      <c r="Y173" t="str">
        <f>CONCATENATE(Y$2,": ",Y$3,list1!Y173,"]")</f>
        <v xml:space="preserve"> (Соединительные трубы) Газовая линия : N[9.52]</v>
      </c>
      <c r="Z173" t="str">
        <f>CONCATENATE(Z$2,": ",Z$3,list1!Z173,"]")</f>
        <v xml:space="preserve"> (Соединительные трубы) Максимальная длина трубопровода: N[25]</v>
      </c>
      <c r="AA173" t="str">
        <f>CONCATENATE(AA$2,": ",AA$3,list1!AA173,"]")</f>
        <v xml:space="preserve"> (Соединительные трубы) Максимальный перепад высот: S[10]</v>
      </c>
      <c r="AB173" t="str">
        <f>CONCATENATE(AB$2,": ",AB$3,list1!AB173,"]")</f>
        <v xml:space="preserve"> (Допустимая темп. наружного воздуха) Охлаждение: S[от -15 до +50]</v>
      </c>
      <c r="AC173" t="str">
        <f>CONCATENATE(AC$2,": ",AC$3,list1!AC173,"]")</f>
        <v xml:space="preserve"> (Допустимая темп. наружного воздуха) Обогрев: S[от -15 до +24]</v>
      </c>
      <c r="AD173" s="6" t="s">
        <v>5245</v>
      </c>
    </row>
    <row r="174" spans="1:30" x14ac:dyDescent="0.25">
      <c r="A174" t="str">
        <f>CONCATENATE(A$2,": ",A$3,list1!A174,"]")</f>
        <v>Производитель: E[LESSAR]</v>
      </c>
      <c r="B174" t="str">
        <f>CONCATENATE(B$2,": ",B$3,list1!B174,"]")</f>
        <v xml:space="preserve"> Тип: S[Сплит система]</v>
      </c>
      <c r="C174" t="str">
        <f>CONCATENATE(C$2,": ",C$3,list1!C174,"]")</f>
        <v xml:space="preserve"> (Сплит система) Холодопроизводительность: N[3.52]</v>
      </c>
      <c r="D174" t="str">
        <f>CONCATENATE(D$2,": ",D$3,list1!D174,"]")</f>
        <v xml:space="preserve"> (Сплит система) Площадь помещения: N[35]</v>
      </c>
      <c r="E174" t="str">
        <f>CONCATENATE(E$2,": ",E$3,list1!E174,"]")</f>
        <v xml:space="preserve"> (Сплит система) Инвентор: S[да]</v>
      </c>
      <c r="F174" t="str">
        <f>CONCATENATE(F$2,": ",F$3,list1!F174,"]")</f>
        <v xml:space="preserve"> (Сплит система) Теплопроизводительность: N[3.8]</v>
      </c>
      <c r="G174" t="str">
        <f>CONCATENATE(G$2,": ",G$3,list1!G174,"]")</f>
        <v xml:space="preserve"> (Потребляемая мощность) Охлаждение: N[1.165]</v>
      </c>
      <c r="H174" t="str">
        <f>CONCATENATE(H$2,": ",H$3,list1!H174,"]")</f>
        <v xml:space="preserve"> (Потребляемая мощность) Обогрев: S[1.018]</v>
      </c>
      <c r="I174" t="str">
        <f>CONCATENATE(I$2,": ",I$3,list1!I174,"]")</f>
        <v xml:space="preserve"> (Рабочий ток) Охлаждение: S[]</v>
      </c>
      <c r="J174" t="str">
        <f>CONCATENATE(J$2,": ",J$3,list1!J174,"]")</f>
        <v xml:space="preserve"> (Рабочий ток) Обогрев: S[]</v>
      </c>
      <c r="K174" t="str">
        <f>CONCATENATE(K$2,": ",K$3,list1!K174,"]")</f>
        <v xml:space="preserve"> (Рабочий ток) Напряжение / Частота источника питания: S[1 / 220 / 50]</v>
      </c>
      <c r="L174" t="str">
        <f>CONCATENATE(L$2,": ",L$3,list1!L174,"]")</f>
        <v xml:space="preserve"> (Рабочий ток) Хладагент: S[R32]</v>
      </c>
      <c r="M174" t="str">
        <f>CONCATENATE(M$2,": ",M$3,list1!M174,"]")</f>
        <v xml:space="preserve"> (Рабочий ток) Количество хладагента: N[]</v>
      </c>
      <c r="N174" t="str">
        <f>CONCATENATE(N$2,": ",N$3,list1!N174,"]")</f>
        <v xml:space="preserve"> (Рабочий ток) Объем рециркулируемого воздуха внутреннего блока: S[]</v>
      </c>
      <c r="O174" t="str">
        <f>CONCATENATE(O$2,": ",O$3,list1!O174,"]")</f>
        <v xml:space="preserve"> (Внутренний блок) Размеры (Ш x Г x В): S[835 х 295 х 208]</v>
      </c>
      <c r="P174" t="str">
        <f>CONCATENATE(P$2,": ",P$3,list1!P174,"]")</f>
        <v xml:space="preserve"> (Внутренний блок) Упаковка (Ш x Г x В): S[905 х 355 х 290]</v>
      </c>
      <c r="Q174" t="str">
        <f>CONCATENATE(Q$2,": ",Q$3,list1!Q174,"]")</f>
        <v xml:space="preserve"> (Внутренний блок) Масса (нетто / брутто): S[8.4 / 11]</v>
      </c>
      <c r="R174" t="str">
        <f>CONCATENATE(R$2,": ",R$3,list1!R174,"]")</f>
        <v xml:space="preserve"> (Внутренний блок) Уровень шума мин. / макс.: S[37.5/31.5/25]</v>
      </c>
      <c r="S174" t="str">
        <f>CONCATENATE(S$2,": ",S$3,list1!S174,"]")</f>
        <v xml:space="preserve"> (Наружный блок) Марка компрессора: S[GMCC]</v>
      </c>
      <c r="T174" t="str">
        <f>CONCATENATE(T$2,": ",T$3,list1!T174,"]")</f>
        <v xml:space="preserve"> (Наружный блок) Размеры (Ш x Г x В): S[720 х 270 х 495]</v>
      </c>
      <c r="U174" t="str">
        <f>CONCATENATE(U$2,": ",U$3,list1!U174,"]")</f>
        <v xml:space="preserve"> (Наружный блок) Упаковка (Ш x Г x В): S[835 х 300 х 540]</v>
      </c>
      <c r="V174" t="str">
        <f>CONCATENATE(V$2,": ",V$3,list1!V174,"]")</f>
        <v xml:space="preserve"> (Наружный блок) Масса (нетто / брутто): S[23.7/25.5]</v>
      </c>
      <c r="W174" t="str">
        <f>CONCATENATE(W$2,": ",W$3,list1!W174,"]")</f>
        <v xml:space="preserve"> (Наружный блок) Максимальный уровень шума: N[]</v>
      </c>
      <c r="X174" t="str">
        <f>CONCATENATE(X$2,": ",X$3,list1!X174,"]")</f>
        <v xml:space="preserve"> (Соединительные трубы) Жидкостная линия : N[6.35]</v>
      </c>
      <c r="Y174" t="str">
        <f>CONCATENATE(Y$2,": ",Y$3,list1!Y174,"]")</f>
        <v xml:space="preserve"> (Соединительные трубы) Газовая линия : N[9.52]</v>
      </c>
      <c r="Z174" t="str">
        <f>CONCATENATE(Z$2,": ",Z$3,list1!Z174,"]")</f>
        <v xml:space="preserve"> (Соединительные трубы) Максимальная длина трубопровода: N[25]</v>
      </c>
      <c r="AA174" t="str">
        <f>CONCATENATE(AA$2,": ",AA$3,list1!AA174,"]")</f>
        <v xml:space="preserve"> (Соединительные трубы) Максимальный перепад высот: S[10]</v>
      </c>
      <c r="AB174" t="str">
        <f>CONCATENATE(AB$2,": ",AB$3,list1!AB174,"]")</f>
        <v xml:space="preserve"> (Допустимая темп. наружного воздуха) Охлаждение: S[от -15 до +50]</v>
      </c>
      <c r="AC174" t="str">
        <f>CONCATENATE(AC$2,": ",AC$3,list1!AC174,"]")</f>
        <v xml:space="preserve"> (Допустимая темп. наружного воздуха) Обогрев: S[от -15 до +24]</v>
      </c>
      <c r="AD174" s="6" t="s">
        <v>5245</v>
      </c>
    </row>
    <row r="175" spans="1:30" x14ac:dyDescent="0.25">
      <c r="A175" t="str">
        <f>CONCATENATE(A$2,": ",A$3,list1!A175,"]")</f>
        <v>Производитель: E[LESSAR]</v>
      </c>
      <c r="B175" t="str">
        <f>CONCATENATE(B$2,": ",B$3,list1!B175,"]")</f>
        <v xml:space="preserve"> Тип: S[Сплит система]</v>
      </c>
      <c r="C175" t="str">
        <f>CONCATENATE(C$2,": ",C$3,list1!C175,"]")</f>
        <v xml:space="preserve"> (Сплит система) Холодопроизводительность: N[5.28]</v>
      </c>
      <c r="D175" t="str">
        <f>CONCATENATE(D$2,": ",D$3,list1!D175,"]")</f>
        <v xml:space="preserve"> (Сплит система) Площадь помещения: N[52]</v>
      </c>
      <c r="E175" t="str">
        <f>CONCATENATE(E$2,": ",E$3,list1!E175,"]")</f>
        <v xml:space="preserve"> (Сплит система) Инвентор: S[да]</v>
      </c>
      <c r="F175" t="str">
        <f>CONCATENATE(F$2,": ",F$3,list1!F175,"]")</f>
        <v xml:space="preserve"> (Сплит система) Теплопроизводительность: N[5.57]</v>
      </c>
      <c r="G175" t="str">
        <f>CONCATENATE(G$2,": ",G$3,list1!G175,"]")</f>
        <v xml:space="preserve"> (Потребляемая мощность) Охлаждение: N[1.55]</v>
      </c>
      <c r="H175" t="str">
        <f>CONCATENATE(H$2,": ",H$3,list1!H175,"]")</f>
        <v xml:space="preserve"> (Потребляемая мощность) Обогрев: S[1.543]</v>
      </c>
      <c r="I175" t="str">
        <f>CONCATENATE(I$2,": ",I$3,list1!I175,"]")</f>
        <v xml:space="preserve"> (Рабочий ток) Охлаждение: S[]</v>
      </c>
      <c r="J175" t="str">
        <f>CONCATENATE(J$2,": ",J$3,list1!J175,"]")</f>
        <v xml:space="preserve"> (Рабочий ток) Обогрев: S[]</v>
      </c>
      <c r="K175" t="str">
        <f>CONCATENATE(K$2,": ",K$3,list1!K175,"]")</f>
        <v xml:space="preserve"> (Рабочий ток) Напряжение / Частота источника питания: S[1 / 220 / 50]</v>
      </c>
      <c r="L175" t="str">
        <f>CONCATENATE(L$2,": ",L$3,list1!L175,"]")</f>
        <v xml:space="preserve"> (Рабочий ток) Хладагент: S[R32]</v>
      </c>
      <c r="M175" t="str">
        <f>CONCATENATE(M$2,": ",M$3,list1!M175,"]")</f>
        <v xml:space="preserve"> (Рабочий ток) Количество хладагента: N[]</v>
      </c>
      <c r="N175" t="str">
        <f>CONCATENATE(N$2,": ",N$3,list1!N175,"]")</f>
        <v xml:space="preserve"> (Рабочий ток) Объем рециркулируемого воздуха внутреннего блока: S[]</v>
      </c>
      <c r="O175" t="str">
        <f>CONCATENATE(O$2,": ",O$3,list1!O175,"]")</f>
        <v xml:space="preserve"> (Внутренний блок) Размеры (Ш x Г x В): S[969 х 320 х 241]</v>
      </c>
      <c r="P175" t="str">
        <f>CONCATENATE(P$2,": ",P$3,list1!P175,"]")</f>
        <v xml:space="preserve"> (Внутренний блок) Упаковка (Ш x Г x В): S[1045 х 315 х 405]</v>
      </c>
      <c r="Q175" t="str">
        <f>CONCATENATE(Q$2,": ",Q$3,list1!Q175,"]")</f>
        <v xml:space="preserve"> (Внутренний блок) Масса (нетто / брутто): S[11.2 / 14.6]</v>
      </c>
      <c r="R175" t="str">
        <f>CONCATENATE(R$2,": ",R$3,list1!R175,"]")</f>
        <v xml:space="preserve"> (Внутренний блок) Уровень шума мин. / макс.: S[41/37/31]</v>
      </c>
      <c r="S175" t="str">
        <f>CONCATENATE(S$2,": ",S$3,list1!S175,"]")</f>
        <v xml:space="preserve"> (Наружный блок) Марка компрессора: S[GMCC]</v>
      </c>
      <c r="T175" t="str">
        <f>CONCATENATE(T$2,": ",T$3,list1!T175,"]")</f>
        <v xml:space="preserve"> (Наружный блок) Размеры (Ш x Г x В): S[874 х 330 х 554]</v>
      </c>
      <c r="U175" t="str">
        <f>CONCATENATE(U$2,": ",U$3,list1!U175,"]")</f>
        <v xml:space="preserve"> (Наружный блок) Упаковка (Ш x Г x В): S[915 х 370 х 615]</v>
      </c>
      <c r="V175" t="str">
        <f>CONCATENATE(V$2,": ",V$3,list1!V175,"]")</f>
        <v xml:space="preserve"> (Наружный блок) Масса (нетто / брутто): S[33.5/36.1]</v>
      </c>
      <c r="W175" t="str">
        <f>CONCATENATE(W$2,": ",W$3,list1!W175,"]")</f>
        <v xml:space="preserve"> (Наружный блок) Максимальный уровень шума: N[]</v>
      </c>
      <c r="X175" t="str">
        <f>CONCATENATE(X$2,": ",X$3,list1!X175,"]")</f>
        <v xml:space="preserve"> (Соединительные трубы) Жидкостная линия : N[6.35]</v>
      </c>
      <c r="Y175" t="str">
        <f>CONCATENATE(Y$2,": ",Y$3,list1!Y175,"]")</f>
        <v xml:space="preserve"> (Соединительные трубы) Газовая линия : N[12.7]</v>
      </c>
      <c r="Z175" t="str">
        <f>CONCATENATE(Z$2,": ",Z$3,list1!Z175,"]")</f>
        <v xml:space="preserve"> (Соединительные трубы) Максимальная длина трубопровода: N[30]</v>
      </c>
      <c r="AA175" t="str">
        <f>CONCATENATE(AA$2,": ",AA$3,list1!AA175,"]")</f>
        <v xml:space="preserve"> (Соединительные трубы) Максимальный перепад высот: S[20]</v>
      </c>
      <c r="AB175" t="str">
        <f>CONCATENATE(AB$2,": ",AB$3,list1!AB175,"]")</f>
        <v xml:space="preserve"> (Допустимая темп. наружного воздуха) Охлаждение: S[от -15 до +50]</v>
      </c>
      <c r="AC175" t="str">
        <f>CONCATENATE(AC$2,": ",AC$3,list1!AC175,"]")</f>
        <v xml:space="preserve"> (Допустимая темп. наружного воздуха) Обогрев: S[от -15 до +24]</v>
      </c>
      <c r="AD175" s="6" t="s">
        <v>5245</v>
      </c>
    </row>
    <row r="176" spans="1:30" x14ac:dyDescent="0.25">
      <c r="A176" t="str">
        <f>CONCATENATE(A$2,": ",A$3,list1!A176,"]")</f>
        <v>Производитель: E[LESSAR]</v>
      </c>
      <c r="B176" t="str">
        <f>CONCATENATE(B$2,": ",B$3,list1!B176,"]")</f>
        <v xml:space="preserve"> Тип: S[Сплит система]</v>
      </c>
      <c r="C176" t="str">
        <f>CONCATENATE(C$2,": ",C$3,list1!C176,"]")</f>
        <v xml:space="preserve"> (Сплит система) Холодопроизводительность: N[7.03]</v>
      </c>
      <c r="D176" t="str">
        <f>CONCATENATE(D$2,": ",D$3,list1!D176,"]")</f>
        <v xml:space="preserve"> (Сплит система) Площадь помещения: N[70]</v>
      </c>
      <c r="E176" t="str">
        <f>CONCATENATE(E$2,": ",E$3,list1!E176,"]")</f>
        <v xml:space="preserve"> (Сплит система) Инвентор: S[да]</v>
      </c>
      <c r="F176" t="str">
        <f>CONCATENATE(F$2,": ",F$3,list1!F176,"]")</f>
        <v xml:space="preserve"> (Сплит система) Теплопроизводительность: N[7.33]</v>
      </c>
      <c r="G176" t="str">
        <f>CONCATENATE(G$2,": ",G$3,list1!G176,"]")</f>
        <v xml:space="preserve"> (Потребляемая мощность) Охлаждение: N[2.191]</v>
      </c>
      <c r="H176" t="str">
        <f>CONCATENATE(H$2,": ",H$3,list1!H176,"]")</f>
        <v xml:space="preserve"> (Потребляемая мощность) Обогрев: S[2.03]</v>
      </c>
      <c r="I176" t="str">
        <f>CONCATENATE(I$2,": ",I$3,list1!I176,"]")</f>
        <v xml:space="preserve"> (Рабочий ток) Охлаждение: S[]</v>
      </c>
      <c r="J176" t="str">
        <f>CONCATENATE(J$2,": ",J$3,list1!J176,"]")</f>
        <v xml:space="preserve"> (Рабочий ток) Обогрев: S[]</v>
      </c>
      <c r="K176" t="str">
        <f>CONCATENATE(K$2,": ",K$3,list1!K176,"]")</f>
        <v xml:space="preserve"> (Рабочий ток) Напряжение / Частота источника питания: S[1 / 220 / 50]</v>
      </c>
      <c r="L176" t="str">
        <f>CONCATENATE(L$2,": ",L$3,list1!L176,"]")</f>
        <v xml:space="preserve"> (Рабочий ток) Хладагент: S[R32]</v>
      </c>
      <c r="M176" t="str">
        <f>CONCATENATE(M$2,": ",M$3,list1!M176,"]")</f>
        <v xml:space="preserve"> (Рабочий ток) Количество хладагента: N[]</v>
      </c>
      <c r="N176" t="str">
        <f>CONCATENATE(N$2,": ",N$3,list1!N176,"]")</f>
        <v xml:space="preserve"> (Рабочий ток) Объем рециркулируемого воздуха внутреннего блока: S[]</v>
      </c>
      <c r="O176" t="str">
        <f>CONCATENATE(O$2,": ",O$3,list1!O176,"]")</f>
        <v xml:space="preserve"> (Внутренний блок) Размеры (Ш x Г x В): S[1083 х 336 х 244]</v>
      </c>
      <c r="P176" t="str">
        <f>CONCATENATE(P$2,": ",P$3,list1!P176,"]")</f>
        <v xml:space="preserve"> (Внутренний блок) Упаковка (Ш x Г x В): S[1155 х 415 х 315]</v>
      </c>
      <c r="Q176" t="str">
        <f>CONCATENATE(Q$2,": ",Q$3,list1!Q176,"]")</f>
        <v xml:space="preserve"> (Внутренний блок) Масса (нетто / брутто): S[13.6 / 17.3]</v>
      </c>
      <c r="R176" t="str">
        <f>CONCATENATE(R$2,": ",R$3,list1!R176,"]")</f>
        <v xml:space="preserve"> (Внутренний блок) Уровень шума мин. / макс.: S[46/37/34.5]</v>
      </c>
      <c r="S176" t="str">
        <f>CONCATENATE(S$2,": ",S$3,list1!S176,"]")</f>
        <v xml:space="preserve"> (Наружный блок) Марка компрессора: S[GMCC]</v>
      </c>
      <c r="T176" t="str">
        <f>CONCATENATE(T$2,": ",T$3,list1!T176,"]")</f>
        <v xml:space="preserve"> (Наружный блок) Размеры (Ш x Г x В): S[955 х 342 х 673]</v>
      </c>
      <c r="U176" t="str">
        <f>CONCATENATE(U$2,": ",U$3,list1!U176,"]")</f>
        <v xml:space="preserve"> (Наружный блок) Упаковка (Ш x Г x В): S[995 х 398 х 740]</v>
      </c>
      <c r="V176" t="str">
        <f>CONCATENATE(V$2,": ",V$3,list1!V176,"]")</f>
        <v xml:space="preserve"> (Наружный блок) Масса (нетто / брутто): S[43.9/46.9]</v>
      </c>
      <c r="W176" t="str">
        <f>CONCATENATE(W$2,": ",W$3,list1!W176,"]")</f>
        <v xml:space="preserve"> (Наружный блок) Максимальный уровень шума: N[]</v>
      </c>
      <c r="X176" t="str">
        <f>CONCATENATE(X$2,": ",X$3,list1!X176,"]")</f>
        <v xml:space="preserve"> (Соединительные трубы) Жидкостная линия : N[9.52]</v>
      </c>
      <c r="Y176" t="str">
        <f>CONCATENATE(Y$2,": ",Y$3,list1!Y176,"]")</f>
        <v xml:space="preserve"> (Соединительные трубы) Газовая линия : N[15.9]</v>
      </c>
      <c r="Z176" t="str">
        <f>CONCATENATE(Z$2,": ",Z$3,list1!Z176,"]")</f>
        <v xml:space="preserve"> (Соединительные трубы) Максимальная длина трубопровода: N[50]</v>
      </c>
      <c r="AA176" t="str">
        <f>CONCATENATE(AA$2,": ",AA$3,list1!AA176,"]")</f>
        <v xml:space="preserve"> (Соединительные трубы) Максимальный перепад высот: S[25]</v>
      </c>
      <c r="AB176" t="str">
        <f>CONCATENATE(AB$2,": ",AB$3,list1!AB176,"]")</f>
        <v xml:space="preserve"> (Допустимая темп. наружного воздуха) Охлаждение: S[от -15 до +50]</v>
      </c>
      <c r="AC176" t="str">
        <f>CONCATENATE(AC$2,": ",AC$3,list1!AC176,"]")</f>
        <v xml:space="preserve"> (Допустимая темп. наружного воздуха) Обогрев: S[от -15 до +24]</v>
      </c>
      <c r="AD176" s="6" t="s">
        <v>5245</v>
      </c>
    </row>
    <row r="177" spans="1:30" x14ac:dyDescent="0.25">
      <c r="A177" t="str">
        <f>CONCATENATE(A$2,": ",A$3,list1!A177,"]")</f>
        <v>Производитель: E[LESSAR]</v>
      </c>
      <c r="B177" t="str">
        <f>CONCATENATE(B$2,": ",B$3,list1!B177,"]")</f>
        <v xml:space="preserve"> Тип: S[Сплит система]</v>
      </c>
      <c r="C177" t="str">
        <f>CONCATENATE(C$2,": ",C$3,list1!C177,"]")</f>
        <v xml:space="preserve"> (Сплит система) Холодопроизводительность: N[2.64]</v>
      </c>
      <c r="D177" t="str">
        <f>CONCATENATE(D$2,": ",D$3,list1!D177,"]")</f>
        <v xml:space="preserve"> (Сплит система) Площадь помещения: N[26]</v>
      </c>
      <c r="E177" t="str">
        <f>CONCATENATE(E$2,": ",E$3,list1!E177,"]")</f>
        <v xml:space="preserve"> (Сплит система) Инвентор: S[да]</v>
      </c>
      <c r="F177" t="str">
        <f>CONCATENATE(F$2,": ",F$3,list1!F177,"]")</f>
        <v xml:space="preserve"> (Сплит система) Теплопроизводительность: N[2.93]</v>
      </c>
      <c r="G177" t="str">
        <f>CONCATENATE(G$2,": ",G$3,list1!G177,"]")</f>
        <v xml:space="preserve"> (Потребляемая мощность) Охлаждение: N[0.737]</v>
      </c>
      <c r="H177" t="str">
        <f>CONCATENATE(H$2,": ",H$3,list1!H177,"]")</f>
        <v xml:space="preserve"> (Потребляемая мощность) Обогрев: S[0.811]</v>
      </c>
      <c r="I177" t="str">
        <f>CONCATENATE(I$2,": ",I$3,list1!I177,"]")</f>
        <v xml:space="preserve"> (Рабочий ток) Охлаждение: S[]</v>
      </c>
      <c r="J177" t="str">
        <f>CONCATENATE(J$2,": ",J$3,list1!J177,"]")</f>
        <v xml:space="preserve"> (Рабочий ток) Обогрев: S[]</v>
      </c>
      <c r="K177" t="str">
        <f>CONCATENATE(K$2,": ",K$3,list1!K177,"]")</f>
        <v xml:space="preserve"> (Рабочий ток) Напряжение / Частота источника питания: S[1 / 220 / 50]</v>
      </c>
      <c r="L177" t="str">
        <f>CONCATENATE(L$2,": ",L$3,list1!L177,"]")</f>
        <v xml:space="preserve"> (Рабочий ток) Хладагент: S[R32]</v>
      </c>
      <c r="M177" t="str">
        <f>CONCATENATE(M$2,": ",M$3,list1!M177,"]")</f>
        <v xml:space="preserve"> (Рабочий ток) Количество хладагента: N[]</v>
      </c>
      <c r="N177" t="str">
        <f>CONCATENATE(N$2,": ",N$3,list1!N177,"]")</f>
        <v xml:space="preserve"> (Рабочий ток) Объем рециркулируемого воздуха внутреннего блока: S[]</v>
      </c>
      <c r="O177" t="str">
        <f>CONCATENATE(O$2,": ",O$3,list1!O177,"]")</f>
        <v xml:space="preserve"> (Внутренний блок) Размеры (Ш x Г x В): S[717 х 302 х 193]</v>
      </c>
      <c r="P177" t="str">
        <f>CONCATENATE(P$2,": ",P$3,list1!P177,"]")</f>
        <v xml:space="preserve"> (Внутренний блок) Упаковка (Ш x Г x В): S[785 х 375 х 290]</v>
      </c>
      <c r="Q177" t="str">
        <f>CONCATENATE(Q$2,": ",Q$3,list1!Q177,"]")</f>
        <v xml:space="preserve"> (Внутренний блок) Масса (нетто / брутто): S[7.8 / 10.3]</v>
      </c>
      <c r="R177" t="str">
        <f>CONCATENATE(R$2,": ",R$3,list1!R177,"]")</f>
        <v xml:space="preserve"> (Внутренний блок) Уровень шума мин. / макс.: S[29/35/41]</v>
      </c>
      <c r="S177" t="str">
        <f>CONCATENATE(S$2,": ",S$3,list1!S177,"]")</f>
        <v xml:space="preserve"> (Наружный блок) Марка компрессора: S[GMCC]</v>
      </c>
      <c r="T177" t="str">
        <f>CONCATENATE(T$2,": ",T$3,list1!T177,"]")</f>
        <v xml:space="preserve"> (Наружный блок) Размеры (Ш x Г x В): S[770 х 300 х 555]</v>
      </c>
      <c r="U177" t="str">
        <f>CONCATENATE(U$2,": ",U$3,list1!U177,"]")</f>
        <v xml:space="preserve"> (Наружный блок) Упаковка (Ш x Г x В): S[900 х 345 х 595]</v>
      </c>
      <c r="V177" t="str">
        <f>CONCATENATE(V$2,": ",V$3,list1!V177,"]")</f>
        <v xml:space="preserve"> (Наружный блок) Масса (нетто / брутто): S[26.8/29.1]</v>
      </c>
      <c r="W177" t="str">
        <f>CONCATENATE(W$2,": ",W$3,list1!W177,"]")</f>
        <v xml:space="preserve"> (Наружный блок) Максимальный уровень шума: N[]</v>
      </c>
      <c r="X177" t="str">
        <f>CONCATENATE(X$2,": ",X$3,list1!X177,"]")</f>
        <v xml:space="preserve"> (Соединительные трубы) Жидкостная линия : N[6.35]</v>
      </c>
      <c r="Y177" t="str">
        <f>CONCATENATE(Y$2,": ",Y$3,list1!Y177,"]")</f>
        <v xml:space="preserve"> (Соединительные трубы) Газовая линия : N[9.52]</v>
      </c>
      <c r="Z177" t="str">
        <f>CONCATENATE(Z$2,": ",Z$3,list1!Z177,"]")</f>
        <v xml:space="preserve"> (Соединительные трубы) Максимальная длина трубопровода: N[25]</v>
      </c>
      <c r="AA177" t="str">
        <f>CONCATENATE(AA$2,": ",AA$3,list1!AA177,"]")</f>
        <v xml:space="preserve"> (Соединительные трубы) Максимальный перепад высот: S[10]</v>
      </c>
      <c r="AB177" t="str">
        <f>CONCATENATE(AB$2,": ",AB$3,list1!AB177,"]")</f>
        <v xml:space="preserve"> (Допустимая темп. наружного воздуха) Охлаждение: S[от -15 до +50]</v>
      </c>
      <c r="AC177" t="str">
        <f>CONCATENATE(AC$2,": ",AC$3,list1!AC177,"]")</f>
        <v xml:space="preserve"> (Допустимая темп. наружного воздуха) Обогрев: S[от -15 до +30]</v>
      </c>
      <c r="AD177" s="6" t="s">
        <v>5245</v>
      </c>
    </row>
    <row r="178" spans="1:30" x14ac:dyDescent="0.25">
      <c r="A178" t="str">
        <f>CONCATENATE(A$2,": ",A$3,list1!A178,"]")</f>
        <v>Производитель: E[LESSAR]</v>
      </c>
      <c r="B178" t="str">
        <f>CONCATENATE(B$2,": ",B$3,list1!B178,"]")</f>
        <v xml:space="preserve"> Тип: S[Сплит система]</v>
      </c>
      <c r="C178" t="str">
        <f>CONCATENATE(C$2,": ",C$3,list1!C178,"]")</f>
        <v xml:space="preserve"> (Сплит система) Холодопроизводительность: N[3.52]</v>
      </c>
      <c r="D178" t="str">
        <f>CONCATENATE(D$2,": ",D$3,list1!D178,"]")</f>
        <v xml:space="preserve"> (Сплит система) Площадь помещения: N[35]</v>
      </c>
      <c r="E178" t="str">
        <f>CONCATENATE(E$2,": ",E$3,list1!E178,"]")</f>
        <v xml:space="preserve"> (Сплит система) Инвентор: S[да]</v>
      </c>
      <c r="F178" t="str">
        <f>CONCATENATE(F$2,": ",F$3,list1!F178,"]")</f>
        <v xml:space="preserve"> (Сплит система) Теплопроизводительность: N[4.1]</v>
      </c>
      <c r="G178" t="str">
        <f>CONCATENATE(G$2,": ",G$3,list1!G178,"]")</f>
        <v xml:space="preserve"> (Потребляемая мощность) Охлаждение: N[1.252]</v>
      </c>
      <c r="H178" t="str">
        <f>CONCATENATE(H$2,": ",H$3,list1!H178,"]")</f>
        <v xml:space="preserve"> (Потребляемая мощность) Обогрев: S[1.169]</v>
      </c>
      <c r="I178" t="str">
        <f>CONCATENATE(I$2,": ",I$3,list1!I178,"]")</f>
        <v xml:space="preserve"> (Рабочий ток) Охлаждение: S[]</v>
      </c>
      <c r="J178" t="str">
        <f>CONCATENATE(J$2,": ",J$3,list1!J178,"]")</f>
        <v xml:space="preserve"> (Рабочий ток) Обогрев: S[]</v>
      </c>
      <c r="K178" t="str">
        <f>CONCATENATE(K$2,": ",K$3,list1!K178,"]")</f>
        <v xml:space="preserve"> (Рабочий ток) Напряжение / Частота источника питания: S[1 / 220 / 50]</v>
      </c>
      <c r="L178" t="str">
        <f>CONCATENATE(L$2,": ",L$3,list1!L178,"]")</f>
        <v xml:space="preserve"> (Рабочий ток) Хладагент: S[R32]</v>
      </c>
      <c r="M178" t="str">
        <f>CONCATENATE(M$2,": ",M$3,list1!M178,"]")</f>
        <v xml:space="preserve"> (Рабочий ток) Количество хладагента: N[]</v>
      </c>
      <c r="N178" t="str">
        <f>CONCATENATE(N$2,": ",N$3,list1!N178,"]")</f>
        <v xml:space="preserve"> (Рабочий ток) Объем рециркулируемого воздуха внутреннего блока: S[]</v>
      </c>
      <c r="O178" t="str">
        <f>CONCATENATE(O$2,": ",O$3,list1!O178,"]")</f>
        <v xml:space="preserve"> (Внутренний блок) Размеры (Ш x Г x В): S[805 х 302 х 193]</v>
      </c>
      <c r="P178" t="str">
        <f>CONCATENATE(P$2,": ",P$3,list1!P178,"]")</f>
        <v xml:space="preserve"> (Внутренний блок) Упаковка (Ш x Г x В): S[875 х 375 х 290]</v>
      </c>
      <c r="Q178" t="str">
        <f>CONCATENATE(Q$2,": ",Q$3,list1!Q178,"]")</f>
        <v xml:space="preserve"> (Внутренний блок) Масса (нетто / брутто): S[8.2 / 10.9]</v>
      </c>
      <c r="R178" t="str">
        <f>CONCATENATE(R$2,": ",R$3,list1!R178,"]")</f>
        <v xml:space="preserve"> (Внутренний блок) Уровень шума мин. / макс.: S[28/36/42]</v>
      </c>
      <c r="S178" t="str">
        <f>CONCATENATE(S$2,": ",S$3,list1!S178,"]")</f>
        <v xml:space="preserve"> (Наружный блок) Марка компрессора: S[GMCC]</v>
      </c>
      <c r="T178" t="str">
        <f>CONCATENATE(T$2,": ",T$3,list1!T178,"]")</f>
        <v xml:space="preserve"> (Наружный блок) Размеры (Ш x Г x В): S[770 х 300 х 555]</v>
      </c>
      <c r="U178" t="str">
        <f>CONCATENATE(U$2,": ",U$3,list1!U178,"]")</f>
        <v xml:space="preserve"> (Наружный блок) Упаковка (Ш x Г x В): S[900 х 345 х 595]</v>
      </c>
      <c r="V178" t="str">
        <f>CONCATENATE(V$2,": ",V$3,list1!V178,"]")</f>
        <v xml:space="preserve"> (Наружный блок) Масса (нетто / брутто): S[27/29.4]</v>
      </c>
      <c r="W178" t="str">
        <f>CONCATENATE(W$2,": ",W$3,list1!W178,"]")</f>
        <v xml:space="preserve"> (Наружный блок) Максимальный уровень шума: N[]</v>
      </c>
      <c r="X178" t="str">
        <f>CONCATENATE(X$2,": ",X$3,list1!X178,"]")</f>
        <v xml:space="preserve"> (Соединительные трубы) Жидкостная линия : N[6.35]</v>
      </c>
      <c r="Y178" t="str">
        <f>CONCATENATE(Y$2,": ",Y$3,list1!Y178,"]")</f>
        <v xml:space="preserve"> (Соединительные трубы) Газовая линия : N[9.52]</v>
      </c>
      <c r="Z178" t="str">
        <f>CONCATENATE(Z$2,": ",Z$3,list1!Z178,"]")</f>
        <v xml:space="preserve"> (Соединительные трубы) Максимальная длина трубопровода: N[25]</v>
      </c>
      <c r="AA178" t="str">
        <f>CONCATENATE(AA$2,": ",AA$3,list1!AA178,"]")</f>
        <v xml:space="preserve"> (Соединительные трубы) Максимальный перепад высот: S[10]</v>
      </c>
      <c r="AB178" t="str">
        <f>CONCATENATE(AB$2,": ",AB$3,list1!AB178,"]")</f>
        <v xml:space="preserve"> (Допустимая темп. наружного воздуха) Охлаждение: S[от -15 до +50]</v>
      </c>
      <c r="AC178" t="str">
        <f>CONCATENATE(AC$2,": ",AC$3,list1!AC178,"]")</f>
        <v xml:space="preserve"> (Допустимая темп. наружного воздуха) Обогрев: S[от -15 до +30]</v>
      </c>
      <c r="AD178" s="6" t="s">
        <v>5245</v>
      </c>
    </row>
    <row r="179" spans="1:30" x14ac:dyDescent="0.25">
      <c r="A179" t="str">
        <f>CONCATENATE(A$2,": ",A$3,list1!A179,"]")</f>
        <v>Производитель: E[LESSAR]</v>
      </c>
      <c r="B179" t="str">
        <f>CONCATENATE(B$2,": ",B$3,list1!B179,"]")</f>
        <v xml:space="preserve"> Тип: S[Сплит система]</v>
      </c>
      <c r="C179" t="str">
        <f>CONCATENATE(C$2,": ",C$3,list1!C179,"]")</f>
        <v xml:space="preserve"> (Сплит система) Холодопроизводительность: N[5.28]</v>
      </c>
      <c r="D179" t="str">
        <f>CONCATENATE(D$2,": ",D$3,list1!D179,"]")</f>
        <v xml:space="preserve"> (Сплит система) Площадь помещения: N[52]</v>
      </c>
      <c r="E179" t="str">
        <f>CONCATENATE(E$2,": ",E$3,list1!E179,"]")</f>
        <v xml:space="preserve"> (Сплит система) Инвентор: S[да]</v>
      </c>
      <c r="F179" t="str">
        <f>CONCATENATE(F$2,": ",F$3,list1!F179,"]")</f>
        <v xml:space="preserve"> (Сплит система) Теплопроизводительность: N[5.57]</v>
      </c>
      <c r="G179" t="str">
        <f>CONCATENATE(G$2,": ",G$3,list1!G179,"]")</f>
        <v xml:space="preserve"> (Потребляемая мощность) Охлаждение: N[1.503]</v>
      </c>
      <c r="H179" t="str">
        <f>CONCATENATE(H$2,": ",H$3,list1!H179,"]")</f>
        <v xml:space="preserve"> (Потребляемая мощность) Обогрев: S[1.392]</v>
      </c>
      <c r="I179" t="str">
        <f>CONCATENATE(I$2,": ",I$3,list1!I179,"]")</f>
        <v xml:space="preserve"> (Рабочий ток) Охлаждение: S[]</v>
      </c>
      <c r="J179" t="str">
        <f>CONCATENATE(J$2,": ",J$3,list1!J179,"]")</f>
        <v xml:space="preserve"> (Рабочий ток) Обогрев: S[]</v>
      </c>
      <c r="K179" t="str">
        <f>CONCATENATE(K$2,": ",K$3,list1!K179,"]")</f>
        <v xml:space="preserve"> (Рабочий ток) Напряжение / Частота источника питания: S[1 / 220 / 50]</v>
      </c>
      <c r="L179" t="str">
        <f>CONCATENATE(L$2,": ",L$3,list1!L179,"]")</f>
        <v xml:space="preserve"> (Рабочий ток) Хладагент: S[R32]</v>
      </c>
      <c r="M179" t="str">
        <f>CONCATENATE(M$2,": ",M$3,list1!M179,"]")</f>
        <v xml:space="preserve"> (Рабочий ток) Количество хладагента: N[]</v>
      </c>
      <c r="N179" t="str">
        <f>CONCATENATE(N$2,": ",N$3,list1!N179,"]")</f>
        <v xml:space="preserve"> (Рабочий ток) Объем рециркулируемого воздуха внутреннего блока: S[]</v>
      </c>
      <c r="O179" t="str">
        <f>CONCATENATE(O$2,": ",O$3,list1!O179,"]")</f>
        <v xml:space="preserve"> (Внутренний блок) Размеры (Ш x Г x В): S[964 х 325 х 222]</v>
      </c>
      <c r="P179" t="str">
        <f>CONCATENATE(P$2,": ",P$3,list1!P179,"]")</f>
        <v xml:space="preserve"> (Внутренний блок) Упаковка (Ш x Г x В): S[1045 х 405 х 310]</v>
      </c>
      <c r="Q179" t="str">
        <f>CONCATENATE(Q$2,": ",Q$3,list1!Q179,"]")</f>
        <v xml:space="preserve"> (Внутренний блок) Масса (нетто / брутто): S[10.8 / 14.3]</v>
      </c>
      <c r="R179" t="str">
        <f>CONCATENATE(R$2,": ",R$3,list1!R179,"]")</f>
        <v xml:space="preserve"> (Внутренний блок) Уровень шума мин. / макс.: S[29/37/45]</v>
      </c>
      <c r="S179" t="str">
        <f>CONCATENATE(S$2,": ",S$3,list1!S179,"]")</f>
        <v xml:space="preserve"> (Наружный блок) Марка компрессора: S[GMCC]</v>
      </c>
      <c r="T179" t="str">
        <f>CONCATENATE(T$2,": ",T$3,list1!T179,"]")</f>
        <v xml:space="preserve"> (Наружный блок) Размеры (Ш x Г x В): S[800 х 333 х 554]</v>
      </c>
      <c r="U179" t="str">
        <f>CONCATENATE(U$2,": ",U$3,list1!U179,"]")</f>
        <v xml:space="preserve"> (Наружный блок) Упаковка (Ш x Г x В): S[920 х 390 х 615]</v>
      </c>
      <c r="V179" t="str">
        <f>CONCATENATE(V$2,": ",V$3,list1!V179,"]")</f>
        <v xml:space="preserve"> (Наружный блок) Масса (нетто / брутто): S[37/39.9]</v>
      </c>
      <c r="W179" t="str">
        <f>CONCATENATE(W$2,": ",W$3,list1!W179,"]")</f>
        <v xml:space="preserve"> (Наружный блок) Максимальный уровень шума: N[]</v>
      </c>
      <c r="X179" t="str">
        <f>CONCATENATE(X$2,": ",X$3,list1!X179,"]")</f>
        <v xml:space="preserve"> (Соединительные трубы) Жидкостная линия : N[6.35]</v>
      </c>
      <c r="Y179" t="str">
        <f>CONCATENATE(Y$2,": ",Y$3,list1!Y179,"]")</f>
        <v xml:space="preserve"> (Соединительные трубы) Газовая линия : N[12.7]</v>
      </c>
      <c r="Z179" t="str">
        <f>CONCATENATE(Z$2,": ",Z$3,list1!Z179,"]")</f>
        <v xml:space="preserve"> (Соединительные трубы) Максимальная длина трубопровода: N[30]</v>
      </c>
      <c r="AA179" t="str">
        <f>CONCATENATE(AA$2,": ",AA$3,list1!AA179,"]")</f>
        <v xml:space="preserve"> (Соединительные трубы) Максимальный перепад высот: S[20]</v>
      </c>
      <c r="AB179" t="str">
        <f>CONCATENATE(AB$2,": ",AB$3,list1!AB179,"]")</f>
        <v xml:space="preserve"> (Допустимая темп. наружного воздуха) Охлаждение: S[от -15 до +50]</v>
      </c>
      <c r="AC179" t="str">
        <f>CONCATENATE(AC$2,": ",AC$3,list1!AC179,"]")</f>
        <v xml:space="preserve"> (Допустимая темп. наружного воздуха) Обогрев: S[от -15 до +30]</v>
      </c>
      <c r="AD179" s="6" t="s">
        <v>5245</v>
      </c>
    </row>
    <row r="180" spans="1:30" x14ac:dyDescent="0.25">
      <c r="A180" t="str">
        <f>CONCATENATE(A$2,": ",A$3,list1!A180,"]")</f>
        <v>Производитель: E[LESSAR]</v>
      </c>
      <c r="B180" t="str">
        <f>CONCATENATE(B$2,": ",B$3,list1!B180,"]")</f>
        <v xml:space="preserve"> Тип: S[Сплит система]</v>
      </c>
      <c r="C180" t="str">
        <f>CONCATENATE(C$2,": ",C$3,list1!C180,"]")</f>
        <v xml:space="preserve"> (Сплит система) Холодопроизводительность: N[7.33]</v>
      </c>
      <c r="D180" t="str">
        <f>CONCATENATE(D$2,": ",D$3,list1!D180,"]")</f>
        <v xml:space="preserve"> (Сплит система) Площадь помещения: N[73]</v>
      </c>
      <c r="E180" t="str">
        <f>CONCATENATE(E$2,": ",E$3,list1!E180,"]")</f>
        <v xml:space="preserve"> (Сплит система) Инвентор: S[да]</v>
      </c>
      <c r="F180" t="str">
        <f>CONCATENATE(F$2,": ",F$3,list1!F180,"]")</f>
        <v xml:space="preserve"> (Сплит система) Теплопроизводительность: N[7.62]</v>
      </c>
      <c r="G180" t="str">
        <f>CONCATENATE(G$2,": ",G$3,list1!G180,"]")</f>
        <v xml:space="preserve"> (Потребляемая мощность) Охлаждение: N[2.283]</v>
      </c>
      <c r="H180" t="str">
        <f>CONCATENATE(H$2,": ",H$3,list1!H180,"]")</f>
        <v xml:space="preserve"> (Потребляемая мощность) Обогрев: S[2.11]</v>
      </c>
      <c r="I180" t="str">
        <f>CONCATENATE(I$2,": ",I$3,list1!I180,"]")</f>
        <v xml:space="preserve"> (Рабочий ток) Охлаждение: S[]</v>
      </c>
      <c r="J180" t="str">
        <f>CONCATENATE(J$2,": ",J$3,list1!J180,"]")</f>
        <v xml:space="preserve"> (Рабочий ток) Обогрев: S[]</v>
      </c>
      <c r="K180" t="str">
        <f>CONCATENATE(K$2,": ",K$3,list1!K180,"]")</f>
        <v xml:space="preserve"> (Рабочий ток) Напряжение / Частота источника питания: S[1 / 220 / 50]</v>
      </c>
      <c r="L180" t="str">
        <f>CONCATENATE(L$2,": ",L$3,list1!L180,"]")</f>
        <v xml:space="preserve"> (Рабочий ток) Хладагент: S[R32]</v>
      </c>
      <c r="M180" t="str">
        <f>CONCATENATE(M$2,": ",M$3,list1!M180,"]")</f>
        <v xml:space="preserve"> (Рабочий ток) Количество хладагента: N[]</v>
      </c>
      <c r="N180" t="str">
        <f>CONCATENATE(N$2,": ",N$3,list1!N180,"]")</f>
        <v xml:space="preserve"> (Рабочий ток) Объем рециркулируемого воздуха внутреннего блока: S[]</v>
      </c>
      <c r="O180" t="str">
        <f>CONCATENATE(O$2,": ",O$3,list1!O180,"]")</f>
        <v xml:space="preserve"> (Внутренний блок) Размеры (Ш x Г x В): S[1106 х 342 х 232]</v>
      </c>
      <c r="P180" t="str">
        <f>CONCATENATE(P$2,": ",P$3,list1!P180,"]")</f>
        <v xml:space="preserve"> (Внутренний блок) Упаковка (Ш x Г x В): S[1195 х 420 х 320]</v>
      </c>
      <c r="Q180" t="str">
        <f>CONCATENATE(Q$2,": ",Q$3,list1!Q180,"]")</f>
        <v xml:space="preserve"> (Внутренний блок) Масса (нетто / брутто): S[14.3 / 18.2]</v>
      </c>
      <c r="R180" t="str">
        <f>CONCATENATE(R$2,": ",R$3,list1!R180,"]")</f>
        <v xml:space="preserve"> (Внутренний блок) Уровень шума мин. / макс.: S[36/41/46]</v>
      </c>
      <c r="S180" t="str">
        <f>CONCATENATE(S$2,": ",S$3,list1!S180,"]")</f>
        <v xml:space="preserve"> (Наружный блок) Марка компрессора: S[GMCC]</v>
      </c>
      <c r="T180" t="str">
        <f>CONCATENATE(T$2,": ",T$3,list1!T180,"]")</f>
        <v xml:space="preserve"> (Наружный блок) Размеры (Ш x Г x В): S[845 х 363 х 702]</v>
      </c>
      <c r="U180" t="str">
        <f>CONCATENATE(U$2,": ",U$3,list1!U180,"]")</f>
        <v xml:space="preserve"> (Наружный блок) Упаковка (Ш x Г x В): S[965 х 395 х 775]</v>
      </c>
      <c r="V180" t="str">
        <f>CONCATENATE(V$2,": ",V$3,list1!V180,"]")</f>
        <v xml:space="preserve"> (Наружный блок) Масса (нетто / брутто): S[51.5/54.6]</v>
      </c>
      <c r="W180" t="str">
        <f>CONCATENATE(W$2,": ",W$3,list1!W180,"]")</f>
        <v xml:space="preserve"> (Наружный блок) Максимальный уровень шума: N[]</v>
      </c>
      <c r="X180" t="str">
        <f>CONCATENATE(X$2,": ",X$3,list1!X180,"]")</f>
        <v xml:space="preserve"> (Соединительные трубы) Жидкостная линия : N[9.52]</v>
      </c>
      <c r="Y180" t="str">
        <f>CONCATENATE(Y$2,": ",Y$3,list1!Y180,"]")</f>
        <v xml:space="preserve"> (Соединительные трубы) Газовая линия : N[15.9]</v>
      </c>
      <c r="Z180" t="str">
        <f>CONCATENATE(Z$2,": ",Z$3,list1!Z180,"]")</f>
        <v xml:space="preserve"> (Соединительные трубы) Максимальная длина трубопровода: N[50]</v>
      </c>
      <c r="AA180" t="str">
        <f>CONCATENATE(AA$2,": ",AA$3,list1!AA180,"]")</f>
        <v xml:space="preserve"> (Соединительные трубы) Максимальный перепад высот: S[25]</v>
      </c>
      <c r="AB180" t="str">
        <f>CONCATENATE(AB$2,": ",AB$3,list1!AB180,"]")</f>
        <v xml:space="preserve"> (Допустимая темп. наружного воздуха) Охлаждение: S[от -15 до +50]</v>
      </c>
      <c r="AC180" t="str">
        <f>CONCATENATE(AC$2,": ",AC$3,list1!AC180,"]")</f>
        <v xml:space="preserve"> (Допустимая темп. наружного воздуха) Обогрев: S[от -15 до +30]</v>
      </c>
      <c r="AD180" s="6" t="s">
        <v>5245</v>
      </c>
    </row>
    <row r="181" spans="1:30" x14ac:dyDescent="0.25">
      <c r="A181" t="str">
        <f>CONCATENATE(A$2,": ",A$3,list1!A181,"]")</f>
        <v>Производитель: E[LESSAR]</v>
      </c>
      <c r="B181" t="str">
        <f>CONCATENATE(B$2,": ",B$3,list1!B181,"]")</f>
        <v xml:space="preserve"> Тип: S[Сплит система]</v>
      </c>
      <c r="C181" t="str">
        <f>CONCATENATE(C$2,": ",C$3,list1!C181,"]")</f>
        <v xml:space="preserve"> (Сплит система) Холодопроизводительность: N[2.64]</v>
      </c>
      <c r="D181" t="str">
        <f>CONCATENATE(D$2,": ",D$3,list1!D181,"]")</f>
        <v xml:space="preserve"> (Сплит система) Площадь помещения: N[26]</v>
      </c>
      <c r="E181" t="str">
        <f>CONCATENATE(E$2,": ",E$3,list1!E181,"]")</f>
        <v xml:space="preserve"> (Сплит система) Инвентор: S[да]</v>
      </c>
      <c r="F181" t="str">
        <f>CONCATENATE(F$2,": ",F$3,list1!F181,"]")</f>
        <v xml:space="preserve"> (Сплит система) Теплопроизводительность: N[2.93]</v>
      </c>
      <c r="G181" t="str">
        <f>CONCATENATE(G$2,": ",G$3,list1!G181,"]")</f>
        <v xml:space="preserve"> (Потребляемая мощность) Охлаждение: N[0.712]</v>
      </c>
      <c r="H181" t="str">
        <f>CONCATENATE(H$2,": ",H$3,list1!H181,"]")</f>
        <v xml:space="preserve"> (Потребляемая мощность) Обогрев: S[0.771]</v>
      </c>
      <c r="I181" t="str">
        <f>CONCATENATE(I$2,": ",I$3,list1!I181,"]")</f>
        <v xml:space="preserve"> (Рабочий ток) Охлаждение: S[]</v>
      </c>
      <c r="J181" t="str">
        <f>CONCATENATE(J$2,": ",J$3,list1!J181,"]")</f>
        <v xml:space="preserve"> (Рабочий ток) Обогрев: S[]</v>
      </c>
      <c r="K181" t="str">
        <f>CONCATENATE(K$2,": ",K$3,list1!K181,"]")</f>
        <v xml:space="preserve"> (Рабочий ток) Напряжение / Частота источника питания: S[1 / 220 / 50]</v>
      </c>
      <c r="L181" t="str">
        <f>CONCATENATE(L$2,": ",L$3,list1!L181,"]")</f>
        <v xml:space="preserve"> (Рабочий ток) Хладагент: S[R32]</v>
      </c>
      <c r="M181" t="str">
        <f>CONCATENATE(M$2,": ",M$3,list1!M181,"]")</f>
        <v xml:space="preserve"> (Рабочий ток) Количество хладагента: N[]</v>
      </c>
      <c r="N181" t="str">
        <f>CONCATENATE(N$2,": ",N$3,list1!N181,"]")</f>
        <v xml:space="preserve"> (Рабочий ток) Объем рециркулируемого воздуха внутреннего блока: S[]</v>
      </c>
      <c r="O181" t="str">
        <f>CONCATENATE(O$2,": ",O$3,list1!O181,"]")</f>
        <v xml:space="preserve"> (Внутренний блок) Размеры (Ш x Г x В): S[897 х 312 х 182]</v>
      </c>
      <c r="P181" t="str">
        <f>CONCATENATE(P$2,": ",P$3,list1!P181,"]")</f>
        <v xml:space="preserve"> (Внутренний блок) Упаковка (Ш x Г x В): S[985 х 385 х 265]</v>
      </c>
      <c r="Q181" t="str">
        <f>CONCATENATE(Q$2,": ",Q$3,list1!Q181,"]")</f>
        <v xml:space="preserve"> (Внутренний блок) Масса (нетто / брутто): S[10.5 / 13.9]</v>
      </c>
      <c r="R181" t="str">
        <f>CONCATENATE(R$2,": ",R$3,list1!R181,"]")</f>
        <v xml:space="preserve"> (Внутренний блок) Уровень шума мин. / макс.: S[21/26/32/37.5]</v>
      </c>
      <c r="S181" t="str">
        <f>CONCATENATE(S$2,": ",S$3,list1!S181,"]")</f>
        <v xml:space="preserve"> (Наружный блок) Марка компрессора: S[GMCC]</v>
      </c>
      <c r="T181" t="str">
        <f>CONCATENATE(T$2,": ",T$3,list1!T181,"]")</f>
        <v xml:space="preserve"> (Наружный блок) Размеры (Ш x Г x В): S[770 х 300 х 555]</v>
      </c>
      <c r="U181" t="str">
        <f>CONCATENATE(U$2,": ",U$3,list1!U181,"]")</f>
        <v xml:space="preserve"> (Наружный блок) Упаковка (Ш x Г x В): S[900 х 345 х 595]</v>
      </c>
      <c r="V181" t="str">
        <f>CONCATENATE(V$2,": ",V$3,list1!V181,"]")</f>
        <v xml:space="preserve"> (Наружный блок) Масса (нетто / брутто): S[27/29.4]</v>
      </c>
      <c r="W181" t="str">
        <f>CONCATENATE(W$2,": ",W$3,list1!W181,"]")</f>
        <v xml:space="preserve"> (Наружный блок) Максимальный уровень шума: N[]</v>
      </c>
      <c r="X181" t="str">
        <f>CONCATENATE(X$2,": ",X$3,list1!X181,"]")</f>
        <v xml:space="preserve"> (Соединительные трубы) Жидкостная линия : N[6.35]</v>
      </c>
      <c r="Y181" t="str">
        <f>CONCATENATE(Y$2,": ",Y$3,list1!Y181,"]")</f>
        <v xml:space="preserve"> (Соединительные трубы) Газовая линия : N[9.52]</v>
      </c>
      <c r="Z181" t="str">
        <f>CONCATENATE(Z$2,": ",Z$3,list1!Z181,"]")</f>
        <v xml:space="preserve"> (Соединительные трубы) Максимальная длина трубопровода: N[25]</v>
      </c>
      <c r="AA181" t="str">
        <f>CONCATENATE(AA$2,": ",AA$3,list1!AA181,"]")</f>
        <v xml:space="preserve"> (Соединительные трубы) Максимальный перепад высот: S[10]</v>
      </c>
      <c r="AB181" t="str">
        <f>CONCATENATE(AB$2,": ",AB$3,list1!AB181,"]")</f>
        <v xml:space="preserve"> (Допустимая темп. наружного воздуха) Охлаждение: S[от -15 до +50]</v>
      </c>
      <c r="AC181" t="str">
        <f>CONCATENATE(AC$2,": ",AC$3,list1!AC181,"]")</f>
        <v xml:space="preserve"> (Допустимая темп. наружного воздуха) Обогрев: S[от -15 до +30]</v>
      </c>
      <c r="AD181" s="6" t="s">
        <v>5245</v>
      </c>
    </row>
    <row r="182" spans="1:30" x14ac:dyDescent="0.25">
      <c r="A182" t="str">
        <f>CONCATENATE(A$2,": ",A$3,list1!A182,"]")</f>
        <v>Производитель: E[LESSAR]</v>
      </c>
      <c r="B182" t="str">
        <f>CONCATENATE(B$2,": ",B$3,list1!B182,"]")</f>
        <v xml:space="preserve"> Тип: S[Сплит система]</v>
      </c>
      <c r="C182" t="str">
        <f>CONCATENATE(C$2,": ",C$3,list1!C182,"]")</f>
        <v xml:space="preserve"> (Сплит система) Холодопроизводительность: N[2.64]</v>
      </c>
      <c r="D182" t="str">
        <f>CONCATENATE(D$2,": ",D$3,list1!D182,"]")</f>
        <v xml:space="preserve"> (Сплит система) Площадь помещения: N[26]</v>
      </c>
      <c r="E182" t="str">
        <f>CONCATENATE(E$2,": ",E$3,list1!E182,"]")</f>
        <v xml:space="preserve"> (Сплит система) Инвентор: S[да]</v>
      </c>
      <c r="F182" t="str">
        <f>CONCATENATE(F$2,": ",F$3,list1!F182,"]")</f>
        <v xml:space="preserve"> (Сплит система) Теплопроизводительность: N[2.93]</v>
      </c>
      <c r="G182" t="str">
        <f>CONCATENATE(G$2,": ",G$3,list1!G182,"]")</f>
        <v xml:space="preserve"> (Потребляемая мощность) Охлаждение: N[0.628]</v>
      </c>
      <c r="H182" t="str">
        <f>CONCATENATE(H$2,": ",H$3,list1!H182,"]")</f>
        <v xml:space="preserve"> (Потребляемая мощность) Обогрев: S[0.666]</v>
      </c>
      <c r="I182" t="str">
        <f>CONCATENATE(I$2,": ",I$3,list1!I182,"]")</f>
        <v xml:space="preserve"> (Рабочий ток) Охлаждение: S[]</v>
      </c>
      <c r="J182" t="str">
        <f>CONCATENATE(J$2,": ",J$3,list1!J182,"]")</f>
        <v xml:space="preserve"> (Рабочий ток) Обогрев: S[]</v>
      </c>
      <c r="K182" t="str">
        <f>CONCATENATE(K$2,": ",K$3,list1!K182,"]")</f>
        <v xml:space="preserve"> (Рабочий ток) Напряжение / Частота источника питания: S[1 / 220 / 50]</v>
      </c>
      <c r="L182" t="str">
        <f>CONCATENATE(L$2,": ",L$3,list1!L182,"]")</f>
        <v xml:space="preserve"> (Рабочий ток) Хладагент: S[R32]</v>
      </c>
      <c r="M182" t="str">
        <f>CONCATENATE(M$2,": ",M$3,list1!M182,"]")</f>
        <v xml:space="preserve"> (Рабочий ток) Количество хладагента: N[]</v>
      </c>
      <c r="N182" t="str">
        <f>CONCATENATE(N$2,": ",N$3,list1!N182,"]")</f>
        <v xml:space="preserve"> (Рабочий ток) Объем рециркулируемого воздуха внутреннего блока: S[]</v>
      </c>
      <c r="O182" t="str">
        <f>CONCATENATE(O$2,": ",O$3,list1!O182,"]")</f>
        <v xml:space="preserve"> (Внутренний блок) Размеры (Ш x Г x В): S[897 х 312 х 182]</v>
      </c>
      <c r="P182" t="str">
        <f>CONCATENATE(P$2,": ",P$3,list1!P182,"]")</f>
        <v xml:space="preserve"> (Внутренний блок) Упаковка (Ш x Г x В): S[985 х 385 х 265]</v>
      </c>
      <c r="Q182" t="str">
        <f>CONCATENATE(Q$2,": ",Q$3,list1!Q182,"]")</f>
        <v xml:space="preserve"> (Внутренний блок) Масса (нетто / брутто): S[10.5 / 14.2]</v>
      </c>
      <c r="R182" t="str">
        <f>CONCATENATE(R$2,": ",R$3,list1!R182,"]")</f>
        <v xml:space="preserve"> (Внутренний блок) Уровень шума мин. / макс.: S[24/32/37.5]</v>
      </c>
      <c r="S182" t="str">
        <f>CONCATENATE(S$2,": ",S$3,list1!S182,"]")</f>
        <v xml:space="preserve"> (Наружный блок) Марка компрессора: S[GMCC]</v>
      </c>
      <c r="T182" t="str">
        <f>CONCATENATE(T$2,": ",T$3,list1!T182,"]")</f>
        <v xml:space="preserve"> (Наружный блок) Размеры (Ш x Г x В): S[765 х 303 х 555]</v>
      </c>
      <c r="U182" t="str">
        <f>CONCATENATE(U$2,": ",U$3,list1!U182,"]")</f>
        <v xml:space="preserve"> (Наружный блок) Упаковка (Ш x Г x В): S[887 х 337 х 610]</v>
      </c>
      <c r="V182" t="str">
        <f>CONCATENATE(V$2,": ",V$3,list1!V182,"]")</f>
        <v xml:space="preserve"> (Наружный блок) Масса (нетто / брутто): S[26.7/29.1]</v>
      </c>
      <c r="W182" t="str">
        <f>CONCATENATE(W$2,": ",W$3,list1!W182,"]")</f>
        <v xml:space="preserve"> (Наружный блок) Максимальный уровень шума: N[]</v>
      </c>
      <c r="X182" t="str">
        <f>CONCATENATE(X$2,": ",X$3,list1!X182,"]")</f>
        <v xml:space="preserve"> (Соединительные трубы) Жидкостная линия : N[6.35]</v>
      </c>
      <c r="Y182" t="str">
        <f>CONCATENATE(Y$2,": ",Y$3,list1!Y182,"]")</f>
        <v xml:space="preserve"> (Соединительные трубы) Газовая линия : N[9.52]</v>
      </c>
      <c r="Z182" t="str">
        <f>CONCATENATE(Z$2,": ",Z$3,list1!Z182,"]")</f>
        <v xml:space="preserve"> (Соединительные трубы) Максимальная длина трубопровода: N[25]</v>
      </c>
      <c r="AA182" t="str">
        <f>CONCATENATE(AA$2,": ",AA$3,list1!AA182,"]")</f>
        <v xml:space="preserve"> (Соединительные трубы) Максимальный перепад высот: S[10]</v>
      </c>
      <c r="AB182" t="str">
        <f>CONCATENATE(AB$2,": ",AB$3,list1!AB182,"]")</f>
        <v xml:space="preserve"> (Допустимая темп. наружного воздуха) Охлаждение: S[от -15 до +50]</v>
      </c>
      <c r="AC182" t="str">
        <f>CONCATENATE(AC$2,": ",AC$3,list1!AC182,"]")</f>
        <v xml:space="preserve"> (Допустимая темп. наружного воздуха) Обогрев: S[от -15 до +30]</v>
      </c>
      <c r="AD182" s="6" t="s">
        <v>5245</v>
      </c>
    </row>
    <row r="183" spans="1:30" x14ac:dyDescent="0.25">
      <c r="A183" t="str">
        <f>CONCATENATE(A$2,": ",A$3,list1!A183,"]")</f>
        <v>Производитель: E[LESSAR]</v>
      </c>
      <c r="B183" t="str">
        <f>CONCATENATE(B$2,": ",B$3,list1!B183,"]")</f>
        <v xml:space="preserve"> Тип: S[Сплит система]</v>
      </c>
      <c r="C183" t="str">
        <f>CONCATENATE(C$2,": ",C$3,list1!C183,"]")</f>
        <v xml:space="preserve"> (Сплит система) Холодопроизводительность: N[3.52]</v>
      </c>
      <c r="D183" t="str">
        <f>CONCATENATE(D$2,": ",D$3,list1!D183,"]")</f>
        <v xml:space="preserve"> (Сплит система) Площадь помещения: N[35]</v>
      </c>
      <c r="E183" t="str">
        <f>CONCATENATE(E$2,": ",E$3,list1!E183,"]")</f>
        <v xml:space="preserve"> (Сплит система) Инвентор: S[да]</v>
      </c>
      <c r="F183" t="str">
        <f>CONCATENATE(F$2,": ",F$3,list1!F183,"]")</f>
        <v xml:space="preserve"> (Сплит система) Теплопроизводительность: N[3.81]</v>
      </c>
      <c r="G183" t="str">
        <f>CONCATENATE(G$2,": ",G$3,list1!G183,"]")</f>
        <v xml:space="preserve"> (Потребляемая мощность) Охлаждение: N[1.208]</v>
      </c>
      <c r="H183" t="str">
        <f>CONCATENATE(H$2,": ",H$3,list1!H183,"]")</f>
        <v xml:space="preserve"> (Потребляемая мощность) Обогрев: S[1.34]</v>
      </c>
      <c r="I183" t="str">
        <f>CONCATENATE(I$2,": ",I$3,list1!I183,"]")</f>
        <v xml:space="preserve"> (Рабочий ток) Охлаждение: S[]</v>
      </c>
      <c r="J183" t="str">
        <f>CONCATENATE(J$2,": ",J$3,list1!J183,"]")</f>
        <v xml:space="preserve"> (Рабочий ток) Обогрев: S[]</v>
      </c>
      <c r="K183" t="str">
        <f>CONCATENATE(K$2,": ",K$3,list1!K183,"]")</f>
        <v xml:space="preserve"> (Рабочий ток) Напряжение / Частота источника питания: S[1 / 220 / 50]</v>
      </c>
      <c r="L183" t="str">
        <f>CONCATENATE(L$2,": ",L$3,list1!L183,"]")</f>
        <v xml:space="preserve"> (Рабочий ток) Хладагент: S[R32]</v>
      </c>
      <c r="M183" t="str">
        <f>CONCATENATE(M$2,": ",M$3,list1!M183,"]")</f>
        <v xml:space="preserve"> (Рабочий ток) Количество хладагента: N[]</v>
      </c>
      <c r="N183" t="str">
        <f>CONCATENATE(N$2,": ",N$3,list1!N183,"]")</f>
        <v xml:space="preserve"> (Рабочий ток) Объем рециркулируемого воздуха внутреннего блока: S[]</v>
      </c>
      <c r="O183" t="str">
        <f>CONCATENATE(O$2,": ",O$3,list1!O183,"]")</f>
        <v xml:space="preserve"> (Внутренний блок) Размеры (Ш x Г x В): S[897 х 312 х 182]</v>
      </c>
      <c r="P183" t="str">
        <f>CONCATENATE(P$2,": ",P$3,list1!P183,"]")</f>
        <v xml:space="preserve"> (Внутренний блок) Упаковка (Ш x Г x В): S[985 х 265 х 385]</v>
      </c>
      <c r="Q183" t="str">
        <f>CONCATENATE(Q$2,": ",Q$3,list1!Q183,"]")</f>
        <v xml:space="preserve"> (Внутренний блок) Масса (нетто / брутто): S[10.5 / 13.9]</v>
      </c>
      <c r="R183" t="str">
        <f>CONCATENATE(R$2,": ",R$3,list1!R183,"]")</f>
        <v xml:space="preserve"> (Внутренний блок) Уровень шума мин. / макс.: S[21/26/32/37.5]</v>
      </c>
      <c r="S183" t="str">
        <f>CONCATENATE(S$2,": ",S$3,list1!S183,"]")</f>
        <v xml:space="preserve"> (Наружный блок) Марка компрессора: S[GMCC]</v>
      </c>
      <c r="T183" t="str">
        <f>CONCATENATE(T$2,": ",T$3,list1!T183,"]")</f>
        <v xml:space="preserve"> (Наружный блок) Размеры (Ш x Г x В): S[770 х 300 х 555]</v>
      </c>
      <c r="U183" t="str">
        <f>CONCATENATE(U$2,": ",U$3,list1!U183,"]")</f>
        <v xml:space="preserve"> (Наружный блок) Упаковка (Ш x Г x В): S[900 х 345 х 595]</v>
      </c>
      <c r="V183" t="str">
        <f>CONCATENATE(V$2,": ",V$3,list1!V183,"]")</f>
        <v xml:space="preserve"> (Наружный блок) Масса (нетто / брутто): S[27/29.4]</v>
      </c>
      <c r="W183" t="str">
        <f>CONCATENATE(W$2,": ",W$3,list1!W183,"]")</f>
        <v xml:space="preserve"> (Наружный блок) Максимальный уровень шума: N[]</v>
      </c>
      <c r="X183" t="str">
        <f>CONCATENATE(X$2,": ",X$3,list1!X183,"]")</f>
        <v xml:space="preserve"> (Соединительные трубы) Жидкостная линия : N[6.35]</v>
      </c>
      <c r="Y183" t="str">
        <f>CONCATENATE(Y$2,": ",Y$3,list1!Y183,"]")</f>
        <v xml:space="preserve"> (Соединительные трубы) Газовая линия : N[9.52]</v>
      </c>
      <c r="Z183" t="str">
        <f>CONCATENATE(Z$2,": ",Z$3,list1!Z183,"]")</f>
        <v xml:space="preserve"> (Соединительные трубы) Максимальная длина трубопровода: N[25]</v>
      </c>
      <c r="AA183" t="str">
        <f>CONCATENATE(AA$2,": ",AA$3,list1!AA183,"]")</f>
        <v xml:space="preserve"> (Соединительные трубы) Максимальный перепад высот: S[10]</v>
      </c>
      <c r="AB183" t="str">
        <f>CONCATENATE(AB$2,": ",AB$3,list1!AB183,"]")</f>
        <v xml:space="preserve"> (Допустимая темп. наружного воздуха) Охлаждение: S[от -15 до +50]</v>
      </c>
      <c r="AC183" t="str">
        <f>CONCATENATE(AC$2,": ",AC$3,list1!AC183,"]")</f>
        <v xml:space="preserve"> (Допустимая темп. наружного воздуха) Обогрев: S[от -15 до +30]</v>
      </c>
      <c r="AD183" s="6" t="s">
        <v>5245</v>
      </c>
    </row>
    <row r="184" spans="1:30" x14ac:dyDescent="0.25">
      <c r="A184" t="str">
        <f>CONCATENATE(A$2,": ",A$3,list1!A184,"]")</f>
        <v>Производитель: E[LESSAR]</v>
      </c>
      <c r="B184" t="str">
        <f>CONCATENATE(B$2,": ",B$3,list1!B184,"]")</f>
        <v xml:space="preserve"> Тип: S[Сплит система]</v>
      </c>
      <c r="C184" t="str">
        <f>CONCATENATE(C$2,": ",C$3,list1!C184,"]")</f>
        <v xml:space="preserve"> (Сплит система) Холодопроизводительность: N[3.52]</v>
      </c>
      <c r="D184" t="str">
        <f>CONCATENATE(D$2,": ",D$3,list1!D184,"]")</f>
        <v xml:space="preserve"> (Сплит система) Площадь помещения: N[35]</v>
      </c>
      <c r="E184" t="str">
        <f>CONCATENATE(E$2,": ",E$3,list1!E184,"]")</f>
        <v xml:space="preserve"> (Сплит система) Инвентор: S[да]</v>
      </c>
      <c r="F184" t="str">
        <f>CONCATENATE(F$2,": ",F$3,list1!F184,"]")</f>
        <v xml:space="preserve"> (Сплит система) Теплопроизводительность: N[3.81]</v>
      </c>
      <c r="G184" t="str">
        <f>CONCATENATE(G$2,": ",G$3,list1!G184,"]")</f>
        <v xml:space="preserve"> (Потребляемая мощность) Охлаждение: N[1.034]</v>
      </c>
      <c r="H184" t="str">
        <f>CONCATENATE(H$2,": ",H$3,list1!H184,"]")</f>
        <v xml:space="preserve"> (Потребляемая мощность) Обогрев: S[1.03]</v>
      </c>
      <c r="I184" t="str">
        <f>CONCATENATE(I$2,": ",I$3,list1!I184,"]")</f>
        <v xml:space="preserve"> (Рабочий ток) Охлаждение: S[]</v>
      </c>
      <c r="J184" t="str">
        <f>CONCATENATE(J$2,": ",J$3,list1!J184,"]")</f>
        <v xml:space="preserve"> (Рабочий ток) Обогрев: S[]</v>
      </c>
      <c r="K184" t="str">
        <f>CONCATENATE(K$2,": ",K$3,list1!K184,"]")</f>
        <v xml:space="preserve"> (Рабочий ток) Напряжение / Частота источника питания: S[1 / 220 / 50]</v>
      </c>
      <c r="L184" t="str">
        <f>CONCATENATE(L$2,": ",L$3,list1!L184,"]")</f>
        <v xml:space="preserve"> (Рабочий ток) Хладагент: S[R32]</v>
      </c>
      <c r="M184" t="str">
        <f>CONCATENATE(M$2,": ",M$3,list1!M184,"]")</f>
        <v xml:space="preserve"> (Рабочий ток) Количество хладагента: N[]</v>
      </c>
      <c r="N184" t="str">
        <f>CONCATENATE(N$2,": ",N$3,list1!N184,"]")</f>
        <v xml:space="preserve"> (Рабочий ток) Объем рециркулируемого воздуха внутреннего блока: S[]</v>
      </c>
      <c r="O184" t="str">
        <f>CONCATENATE(O$2,": ",O$3,list1!O184,"]")</f>
        <v xml:space="preserve"> (Внутренний блок) Размеры (Ш x Г x В): S[897 х 312 х 182]</v>
      </c>
      <c r="P184" t="str">
        <f>CONCATENATE(P$2,": ",P$3,list1!P184,"]")</f>
        <v xml:space="preserve"> (Внутренний блок) Упаковка (Ш x Г x В): S[985 х 385 х 265]</v>
      </c>
      <c r="Q184" t="str">
        <f>CONCATENATE(Q$2,": ",Q$3,list1!Q184,"]")</f>
        <v xml:space="preserve"> (Внутренний блок) Масса (нетто / брутто): S[10.5 / 14.2]</v>
      </c>
      <c r="R184" t="str">
        <f>CONCATENATE(R$2,": ",R$3,list1!R184,"]")</f>
        <v xml:space="preserve"> (Внутренний блок) Уровень шума мин. / макс.: S[24/32/37.5]</v>
      </c>
      <c r="S184" t="str">
        <f>CONCATENATE(S$2,": ",S$3,list1!S184,"]")</f>
        <v xml:space="preserve"> (Наружный блок) Марка компрессора: S[GMCC]</v>
      </c>
      <c r="T184" t="str">
        <f>CONCATENATE(T$2,": ",T$3,list1!T184,"]")</f>
        <v xml:space="preserve"> (Наружный блок) Размеры (Ш x Г x В): S[765 х 303 х 555]</v>
      </c>
      <c r="U184" t="str">
        <f>CONCATENATE(U$2,": ",U$3,list1!U184,"]")</f>
        <v xml:space="preserve"> (Наружный блок) Упаковка (Ш x Г x В): S[887 х 337 х 610]</v>
      </c>
      <c r="V184" t="str">
        <f>CONCATENATE(V$2,": ",V$3,list1!V184,"]")</f>
        <v xml:space="preserve"> (Наружный блок) Масса (нетто / брутто): S[26.7/29.1]</v>
      </c>
      <c r="W184" t="str">
        <f>CONCATENATE(W$2,": ",W$3,list1!W184,"]")</f>
        <v xml:space="preserve"> (Наружный блок) Максимальный уровень шума: N[]</v>
      </c>
      <c r="X184" t="str">
        <f>CONCATENATE(X$2,": ",X$3,list1!X184,"]")</f>
        <v xml:space="preserve"> (Соединительные трубы) Жидкостная линия : N[6.35]</v>
      </c>
      <c r="Y184" t="str">
        <f>CONCATENATE(Y$2,": ",Y$3,list1!Y184,"]")</f>
        <v xml:space="preserve"> (Соединительные трубы) Газовая линия : N[9.52]</v>
      </c>
      <c r="Z184" t="str">
        <f>CONCATENATE(Z$2,": ",Z$3,list1!Z184,"]")</f>
        <v xml:space="preserve"> (Соединительные трубы) Максимальная длина трубопровода: N[25]</v>
      </c>
      <c r="AA184" t="str">
        <f>CONCATENATE(AA$2,": ",AA$3,list1!AA184,"]")</f>
        <v xml:space="preserve"> (Соединительные трубы) Максимальный перепад высот: S[10]</v>
      </c>
      <c r="AB184" t="str">
        <f>CONCATENATE(AB$2,": ",AB$3,list1!AB184,"]")</f>
        <v xml:space="preserve"> (Допустимая темп. наружного воздуха) Охлаждение: S[от -15 до +50]</v>
      </c>
      <c r="AC184" t="str">
        <f>CONCATENATE(AC$2,": ",AC$3,list1!AC184,"]")</f>
        <v xml:space="preserve"> (Допустимая темп. наружного воздуха) Обогрев: S[от -15 до +30]</v>
      </c>
      <c r="AD184" s="6" t="s">
        <v>5245</v>
      </c>
    </row>
    <row r="185" spans="1:30" x14ac:dyDescent="0.25">
      <c r="A185" t="str">
        <f>CONCATENATE(A$2,": ",A$3,list1!A185,"]")</f>
        <v>Производитель: E[LESSAR]</v>
      </c>
      <c r="B185" t="str">
        <f>CONCATENATE(B$2,": ",B$3,list1!B185,"]")</f>
        <v xml:space="preserve"> Тип: S[Сплит система]</v>
      </c>
      <c r="C185" t="str">
        <f>CONCATENATE(C$2,": ",C$3,list1!C185,"]")</f>
        <v xml:space="preserve"> (Сплит система) Холодопроизводительность: N[2.64]</v>
      </c>
      <c r="D185" t="str">
        <f>CONCATENATE(D$2,": ",D$3,list1!D185,"]")</f>
        <v xml:space="preserve"> (Сплит система) Площадь помещения: N[26]</v>
      </c>
      <c r="E185" t="str">
        <f>CONCATENATE(E$2,": ",E$3,list1!E185,"]")</f>
        <v xml:space="preserve"> (Сплит система) Инвентор: S[да]</v>
      </c>
      <c r="F185" t="str">
        <f>CONCATENATE(F$2,": ",F$3,list1!F185,"]")</f>
        <v xml:space="preserve"> (Сплит система) Теплопроизводительность: N[2.93]</v>
      </c>
      <c r="G185" t="str">
        <f>CONCATENATE(G$2,": ",G$3,list1!G185,"]")</f>
        <v xml:space="preserve"> (Потребляемая мощность) Охлаждение: N[0.6]</v>
      </c>
      <c r="H185" t="str">
        <f>CONCATENATE(H$2,": ",H$3,list1!H185,"]")</f>
        <v xml:space="preserve"> (Потребляемая мощность) Обогрев: S[0.623]</v>
      </c>
      <c r="I185" t="str">
        <f>CONCATENATE(I$2,": ",I$3,list1!I185,"]")</f>
        <v xml:space="preserve"> (Рабочий ток) Охлаждение: S[]</v>
      </c>
      <c r="J185" t="str">
        <f>CONCATENATE(J$2,": ",J$3,list1!J185,"]")</f>
        <v xml:space="preserve"> (Рабочий ток) Обогрев: S[]</v>
      </c>
      <c r="K185" t="str">
        <f>CONCATENATE(K$2,": ",K$3,list1!K185,"]")</f>
        <v xml:space="preserve"> (Рабочий ток) Напряжение / Частота источника питания: S[1 / 220 / 50]</v>
      </c>
      <c r="L185" t="str">
        <f>CONCATENATE(L$2,": ",L$3,list1!L185,"]")</f>
        <v xml:space="preserve"> (Рабочий ток) Хладагент: S[R32]</v>
      </c>
      <c r="M185" t="str">
        <f>CONCATENATE(M$2,": ",M$3,list1!M185,"]")</f>
        <v xml:space="preserve"> (Рабочий ток) Количество хладагента: N[]</v>
      </c>
      <c r="N185" t="str">
        <f>CONCATENATE(N$2,": ",N$3,list1!N185,"]")</f>
        <v xml:space="preserve"> (Рабочий ток) Объем рециркулируемого воздуха внутреннего блока: S[]</v>
      </c>
      <c r="O185" t="str">
        <f>CONCATENATE(O$2,": ",O$3,list1!O185,"]")</f>
        <v xml:space="preserve"> (Внутренний блок) Размеры (Ш x Г x В): S[920 х 211 х 321]</v>
      </c>
      <c r="P185" t="str">
        <f>CONCATENATE(P$2,": ",P$3,list1!P185,"]")</f>
        <v xml:space="preserve"> (Внутренний блок) Упаковка (Ш x Г x В): S[1005 х 385 х 295]</v>
      </c>
      <c r="Q185" t="str">
        <f>CONCATENATE(Q$2,": ",Q$3,list1!Q185,"]")</f>
        <v xml:space="preserve"> (Внутренний блок) Масса (нетто / брутто): S[11.3 / 14.16]</v>
      </c>
      <c r="R185" t="str">
        <f>CONCATENATE(R$2,": ",R$3,list1!R185,"]")</f>
        <v xml:space="preserve"> (Внутренний блок) Уровень шума мин. / макс.: S[21.5/32.5/40]</v>
      </c>
      <c r="S185" t="str">
        <f>CONCATENATE(S$2,": ",S$3,list1!S185,"]")</f>
        <v xml:space="preserve"> (Наружный блок) Марка компрессора: S[GMCC]</v>
      </c>
      <c r="T185" t="str">
        <f>CONCATENATE(T$2,": ",T$3,list1!T185,"]")</f>
        <v xml:space="preserve"> (Наружный блок) Размеры (Ш x Г x В): S[765 х 303 х 555]</v>
      </c>
      <c r="U185" t="str">
        <f>CONCATENATE(U$2,": ",U$3,list1!U185,"]")</f>
        <v xml:space="preserve"> (Наружный блок) Упаковка (Ш x Г x В): S[887 х 337 х 610]</v>
      </c>
      <c r="V185" t="str">
        <f>CONCATENATE(V$2,": ",V$3,list1!V185,"]")</f>
        <v xml:space="preserve"> (Наружный блок) Масса (нетто / брутто): S[26.4/28.8]</v>
      </c>
      <c r="W185" t="str">
        <f>CONCATENATE(W$2,": ",W$3,list1!W185,"]")</f>
        <v xml:space="preserve"> (Наружный блок) Максимальный уровень шума: N[]</v>
      </c>
      <c r="X185" t="str">
        <f>CONCATENATE(X$2,": ",X$3,list1!X185,"]")</f>
        <v xml:space="preserve"> (Соединительные трубы) Жидкостная линия : N[6.35]</v>
      </c>
      <c r="Y185" t="str">
        <f>CONCATENATE(Y$2,": ",Y$3,list1!Y185,"]")</f>
        <v xml:space="preserve"> (Соединительные трубы) Газовая линия : N[9.52]</v>
      </c>
      <c r="Z185" t="str">
        <f>CONCATENATE(Z$2,": ",Z$3,list1!Z185,"]")</f>
        <v xml:space="preserve"> (Соединительные трубы) Максимальная длина трубопровода: N[25]</v>
      </c>
      <c r="AA185" t="str">
        <f>CONCATENATE(AA$2,": ",AA$3,list1!AA185,"]")</f>
        <v xml:space="preserve"> (Соединительные трубы) Максимальный перепад высот: S[10]</v>
      </c>
      <c r="AB185" t="str">
        <f>CONCATENATE(AB$2,": ",AB$3,list1!AB185,"]")</f>
        <v xml:space="preserve"> (Допустимая темп. наружного воздуха) Охлаждение: S[от -15 до +50]</v>
      </c>
      <c r="AC185" t="str">
        <f>CONCATENATE(AC$2,": ",AC$3,list1!AC185,"]")</f>
        <v xml:space="preserve"> (Допустимая темп. наружного воздуха) Обогрев: S[от -15 до +24]</v>
      </c>
      <c r="AD185" s="6" t="s">
        <v>5245</v>
      </c>
    </row>
    <row r="186" spans="1:30" x14ac:dyDescent="0.25">
      <c r="A186" t="str">
        <f>CONCATENATE(A$2,": ",A$3,list1!A186,"]")</f>
        <v>Производитель: E[LESSAR]</v>
      </c>
      <c r="B186" t="str">
        <f>CONCATENATE(B$2,": ",B$3,list1!B186,"]")</f>
        <v xml:space="preserve"> Тип: S[Сплит система]</v>
      </c>
      <c r="C186" t="str">
        <f>CONCATENATE(C$2,": ",C$3,list1!C186,"]")</f>
        <v xml:space="preserve"> (Сплит система) Холодопроизводительность: N[3.52]</v>
      </c>
      <c r="D186" t="str">
        <f>CONCATENATE(D$2,": ",D$3,list1!D186,"]")</f>
        <v xml:space="preserve"> (Сплит система) Площадь помещения: N[35]</v>
      </c>
      <c r="E186" t="str">
        <f>CONCATENATE(E$2,": ",E$3,list1!E186,"]")</f>
        <v xml:space="preserve"> (Сплит система) Инвентор: S[да]</v>
      </c>
      <c r="F186" t="str">
        <f>CONCATENATE(F$2,": ",F$3,list1!F186,"]")</f>
        <v xml:space="preserve"> (Сплит система) Теплопроизводительность: N[3.81]</v>
      </c>
      <c r="G186" t="str">
        <f>CONCATENATE(G$2,": ",G$3,list1!G186,"]")</f>
        <v xml:space="preserve"> (Потребляемая мощность) Охлаждение: N[0.9]</v>
      </c>
      <c r="H186" t="str">
        <f>CONCATENATE(H$2,": ",H$3,list1!H186,"]")</f>
        <v xml:space="preserve"> (Потребляемая мощность) Обогрев: S[0.95]</v>
      </c>
      <c r="I186" t="str">
        <f>CONCATENATE(I$2,": ",I$3,list1!I186,"]")</f>
        <v xml:space="preserve"> (Рабочий ток) Охлаждение: S[]</v>
      </c>
      <c r="J186" t="str">
        <f>CONCATENATE(J$2,": ",J$3,list1!J186,"]")</f>
        <v xml:space="preserve"> (Рабочий ток) Обогрев: S[]</v>
      </c>
      <c r="K186" t="str">
        <f>CONCATENATE(K$2,": ",K$3,list1!K186,"]")</f>
        <v xml:space="preserve"> (Рабочий ток) Напряжение / Частота источника питания: S[1 / 220 / 50]</v>
      </c>
      <c r="L186" t="str">
        <f>CONCATENATE(L$2,": ",L$3,list1!L186,"]")</f>
        <v xml:space="preserve"> (Рабочий ток) Хладагент: S[R32]</v>
      </c>
      <c r="M186" t="str">
        <f>CONCATENATE(M$2,": ",M$3,list1!M186,"]")</f>
        <v xml:space="preserve"> (Рабочий ток) Количество хладагента: N[]</v>
      </c>
      <c r="N186" t="str">
        <f>CONCATENATE(N$2,": ",N$3,list1!N186,"]")</f>
        <v xml:space="preserve"> (Рабочий ток) Объем рециркулируемого воздуха внутреннего блока: S[]</v>
      </c>
      <c r="O186" t="str">
        <f>CONCATENATE(O$2,": ",O$3,list1!O186,"]")</f>
        <v xml:space="preserve"> (Внутренний блок) Размеры (Ш x Г x В): S[920 х 211 х 321]</v>
      </c>
      <c r="P186" t="str">
        <f>CONCATENATE(P$2,": ",P$3,list1!P186,"]")</f>
        <v xml:space="preserve"> (Внутренний блок) Упаковка (Ш x Г x В): S[1005 х 385 х 295]</v>
      </c>
      <c r="Q186" t="str">
        <f>CONCATENATE(Q$2,": ",Q$3,list1!Q186,"]")</f>
        <v xml:space="preserve"> (Внутренний блок) Масса (нетто / брутто): S[11.3 / 14.16]</v>
      </c>
      <c r="R186" t="str">
        <f>CONCATENATE(R$2,": ",R$3,list1!R186,"]")</f>
        <v xml:space="preserve"> (Внутренний блок) Уровень шума мин. / макс.: S[21.5/32.5/40]</v>
      </c>
      <c r="S186" t="str">
        <f>CONCATENATE(S$2,": ",S$3,list1!S186,"]")</f>
        <v xml:space="preserve"> (Наружный блок) Марка компрессора: S[GMCC]</v>
      </c>
      <c r="T186" t="str">
        <f>CONCATENATE(T$2,": ",T$3,list1!T186,"]")</f>
        <v xml:space="preserve"> (Наружный блок) Размеры (Ш x Г x В): S[765 х 303 х 555]</v>
      </c>
      <c r="U186" t="str">
        <f>CONCATENATE(U$2,": ",U$3,list1!U186,"]")</f>
        <v xml:space="preserve"> (Наружный блок) Упаковка (Ш x Г x В): S[887 х 337 х 610]</v>
      </c>
      <c r="V186" t="str">
        <f>CONCATENATE(V$2,": ",V$3,list1!V186,"]")</f>
        <v xml:space="preserve"> (Наружный блок) Масса (нетто / брутто): S[26.4/28.8]</v>
      </c>
      <c r="W186" t="str">
        <f>CONCATENATE(W$2,": ",W$3,list1!W186,"]")</f>
        <v xml:space="preserve"> (Наружный блок) Максимальный уровень шума: N[]</v>
      </c>
      <c r="X186" t="str">
        <f>CONCATENATE(X$2,": ",X$3,list1!X186,"]")</f>
        <v xml:space="preserve"> (Соединительные трубы) Жидкостная линия : N[6.35]</v>
      </c>
      <c r="Y186" t="str">
        <f>CONCATENATE(Y$2,": ",Y$3,list1!Y186,"]")</f>
        <v xml:space="preserve"> (Соединительные трубы) Газовая линия : N[9.52]</v>
      </c>
      <c r="Z186" t="str">
        <f>CONCATENATE(Z$2,": ",Z$3,list1!Z186,"]")</f>
        <v xml:space="preserve"> (Соединительные трубы) Максимальная длина трубопровода: N[25]</v>
      </c>
      <c r="AA186" t="str">
        <f>CONCATENATE(AA$2,": ",AA$3,list1!AA186,"]")</f>
        <v xml:space="preserve"> (Соединительные трубы) Максимальный перепад высот: S[10]</v>
      </c>
      <c r="AB186" t="str">
        <f>CONCATENATE(AB$2,": ",AB$3,list1!AB186,"]")</f>
        <v xml:space="preserve"> (Допустимая темп. наружного воздуха) Охлаждение: S[от -15 до +50]</v>
      </c>
      <c r="AC186" t="str">
        <f>CONCATENATE(AC$2,": ",AC$3,list1!AC186,"]")</f>
        <v xml:space="preserve"> (Допустимая темп. наружного воздуха) Обогрев: S[от -15 до +24]</v>
      </c>
      <c r="AD186" s="6" t="s">
        <v>5245</v>
      </c>
    </row>
    <row r="187" spans="1:30" x14ac:dyDescent="0.25">
      <c r="A187" t="str">
        <f>CONCATENATE(A$2,": ",A$3,list1!A187,"]")</f>
        <v>Производитель: E[LESSAR]</v>
      </c>
      <c r="B187" t="str">
        <f>CONCATENATE(B$2,": ",B$3,list1!B187,"]")</f>
        <v xml:space="preserve"> Тип: S[Канальные]</v>
      </c>
      <c r="C187" t="str">
        <f>CONCATENATE(C$2,": ",C$3,list1!C187,"]")</f>
        <v xml:space="preserve"> (Сплит система) Холодопроизводительность: N[28]</v>
      </c>
      <c r="D187" t="str">
        <f>CONCATENATE(D$2,": ",D$3,list1!D187,"]")</f>
        <v xml:space="preserve"> (Сплит система) Площадь помещения: N[280]</v>
      </c>
      <c r="E187" t="str">
        <f>CONCATENATE(E$2,": ",E$3,list1!E187,"]")</f>
        <v xml:space="preserve"> (Сплит система) Инвентор: S[да]</v>
      </c>
      <c r="F187" t="str">
        <f>CONCATENATE(F$2,": ",F$3,list1!F187,"]")</f>
        <v xml:space="preserve"> (Сплит система) Теплопроизводительность: N[31]</v>
      </c>
      <c r="G187" t="str">
        <f>CONCATENATE(G$2,": ",G$3,list1!G187,"]")</f>
        <v xml:space="preserve"> (Потребляемая мощность) Охлаждение: N[11.2]</v>
      </c>
      <c r="H187" t="str">
        <f>CONCATENATE(H$2,": ",H$3,list1!H187,"]")</f>
        <v xml:space="preserve"> (Потребляемая мощность) Обогрев: S[9.39]</v>
      </c>
      <c r="I187" t="str">
        <f>CONCATENATE(I$2,": ",I$3,list1!I187,"]")</f>
        <v xml:space="preserve"> (Рабочий ток) Охлаждение: S[]</v>
      </c>
      <c r="J187" t="str">
        <f>CONCATENATE(J$2,": ",J$3,list1!J187,"]")</f>
        <v xml:space="preserve"> (Рабочий ток) Обогрев: S[]</v>
      </c>
      <c r="K187" t="str">
        <f>CONCATENATE(K$2,": ",K$3,list1!K187,"]")</f>
        <v xml:space="preserve"> (Рабочий ток) Напряжение / Частота источника питания: S[3 / 380 / 50]</v>
      </c>
      <c r="L187" t="str">
        <f>CONCATENATE(L$2,": ",L$3,list1!L187,"]")</f>
        <v xml:space="preserve"> (Рабочий ток) Хладагент: S[R410A]</v>
      </c>
      <c r="M187" t="str">
        <f>CONCATENATE(M$2,": ",M$3,list1!M187,"]")</f>
        <v xml:space="preserve"> (Рабочий ток) Количество хладагента: N[]</v>
      </c>
      <c r="N187" t="str">
        <f>CONCATENATE(N$2,": ",N$3,list1!N187,"]")</f>
        <v xml:space="preserve"> (Рабочий ток) Объем рециркулируемого воздуха внутреннего блока: S[]</v>
      </c>
      <c r="O187" t="str">
        <f>CONCATENATE(O$2,": ",O$3,list1!O187,"]")</f>
        <v xml:space="preserve"> (Внутренний блок) Размеры (Ш x Г x В): S[722 х 450 х 1366]</v>
      </c>
      <c r="P187" t="str">
        <f>CONCATENATE(P$2,": ",P$3,list1!P187,"]")</f>
        <v xml:space="preserve"> (Внутренний блок) Упаковка (Ш x Г x В): S[875 х 1555 х 500]</v>
      </c>
      <c r="Q187" t="str">
        <f>CONCATENATE(Q$2,": ",Q$3,list1!Q187,"]")</f>
        <v xml:space="preserve"> (Внутренний блок) Масса (нетто / брутто): S[90 / 99]</v>
      </c>
      <c r="R187" t="str">
        <f>CONCATENATE(R$2,": ",R$3,list1!R187,"]")</f>
        <v xml:space="preserve"> (Внутренний блок) Уровень шума мин. / макс.: S[51/53/55]</v>
      </c>
      <c r="S187" t="str">
        <f>CONCATENATE(S$2,": ",S$3,list1!S187,"]")</f>
        <v xml:space="preserve"> (Наружный блок) Марка компрессора: S[GMCC]</v>
      </c>
      <c r="T187" t="str">
        <f>CONCATENATE(T$2,": ",T$3,list1!T187,"]")</f>
        <v xml:space="preserve"> (Наружный блок) Размеры (Ш x Г x В): S[400 х 1120 х 1558]</v>
      </c>
      <c r="U187" t="str">
        <f>CONCATENATE(U$2,": ",U$3,list1!U187,"]")</f>
        <v xml:space="preserve"> (Наружный блок) Упаковка (Ш x Г x В): S[565 х 1270 х 1720]</v>
      </c>
      <c r="V187" t="str">
        <f>CONCATENATE(V$2,": ",V$3,list1!V187,"]")</f>
        <v xml:space="preserve"> (Наружный блок) Масса (нетто / брутто): S[142/157]</v>
      </c>
      <c r="W187" t="str">
        <f>CONCATENATE(W$2,": ",W$3,list1!W187,"]")</f>
        <v xml:space="preserve"> (Наружный блок) Максимальный уровень шума: N[]</v>
      </c>
      <c r="X187" t="str">
        <f>CONCATENATE(X$2,": ",X$3,list1!X187,"]")</f>
        <v xml:space="preserve"> (Соединительные трубы) Жидкостная линия : N[9.52]</v>
      </c>
      <c r="Y187" t="str">
        <f>CONCATENATE(Y$2,": ",Y$3,list1!Y187,"]")</f>
        <v xml:space="preserve"> (Соединительные трубы) Газовая линия : N[]</v>
      </c>
      <c r="Z187" t="str">
        <f>CONCATENATE(Z$2,": ",Z$3,list1!Z187,"]")</f>
        <v xml:space="preserve"> (Соединительные трубы) Максимальная длина трубопровода: N[50]</v>
      </c>
      <c r="AA187" t="str">
        <f>CONCATENATE(AA$2,": ",AA$3,list1!AA187,"]")</f>
        <v xml:space="preserve"> (Соединительные трубы) Максимальный перепад высот: S[25]</v>
      </c>
      <c r="AB187" t="str">
        <f>CONCATENATE(AB$2,": ",AB$3,list1!AB187,"]")</f>
        <v xml:space="preserve"> (Допустимая темп. наружного воздуха) Охлаждение: S[от 10 до +55]</v>
      </c>
      <c r="AC187" t="str">
        <f>CONCATENATE(AC$2,": ",AC$3,list1!AC187,"]")</f>
        <v xml:space="preserve"> (Допустимая темп. наружного воздуха) Обогрев: S[от -15 до +27]</v>
      </c>
      <c r="AD187" s="6" t="s">
        <v>5245</v>
      </c>
    </row>
    <row r="188" spans="1:30" x14ac:dyDescent="0.25">
      <c r="A188" t="str">
        <f>CONCATENATE(A$2,": ",A$3,list1!A188,"]")</f>
        <v>Производитель: E[LESSAR]</v>
      </c>
      <c r="B188" t="str">
        <f>CONCATENATE(B$2,": ",B$3,list1!B188,"]")</f>
        <v xml:space="preserve"> Тип: S[Кассетные]</v>
      </c>
      <c r="C188" t="str">
        <f>CONCATENATE(C$2,": ",C$3,list1!C188,"]")</f>
        <v xml:space="preserve"> (Сплит система) Холодопроизводительность: N[7.03]</v>
      </c>
      <c r="D188" t="str">
        <f>CONCATENATE(D$2,": ",D$3,list1!D188,"]")</f>
        <v xml:space="preserve"> (Сплит система) Площадь помещения: N[70]</v>
      </c>
      <c r="E188" t="str">
        <f>CONCATENATE(E$2,": ",E$3,list1!E188,"]")</f>
        <v xml:space="preserve"> (Сплит система) Инвентор: S[да]</v>
      </c>
      <c r="F188" t="str">
        <f>CONCATENATE(F$2,": ",F$3,list1!F188,"]")</f>
        <v xml:space="preserve"> (Сплит система) Теплопроизводительность: N[7.62]</v>
      </c>
      <c r="G188" t="str">
        <f>CONCATENATE(G$2,": ",G$3,list1!G188,"]")</f>
        <v xml:space="preserve"> (Потребляемая мощность) Охлаждение: N[2.417]</v>
      </c>
      <c r="H188" t="str">
        <f>CONCATENATE(H$2,": ",H$3,list1!H188,"]")</f>
        <v xml:space="preserve"> (Потребляемая мощность) Обогрев: S[2.234]</v>
      </c>
      <c r="I188" t="str">
        <f>CONCATENATE(I$2,": ",I$3,list1!I188,"]")</f>
        <v xml:space="preserve"> (Рабочий ток) Охлаждение: S[]</v>
      </c>
      <c r="J188" t="str">
        <f>CONCATENATE(J$2,": ",J$3,list1!J188,"]")</f>
        <v xml:space="preserve"> (Рабочий ток) Обогрев: S[]</v>
      </c>
      <c r="K188" t="str">
        <f>CONCATENATE(K$2,": ",K$3,list1!K188,"]")</f>
        <v xml:space="preserve"> (Рабочий ток) Напряжение / Частота источника питания: S[1 / 220 / 50]</v>
      </c>
      <c r="L188" t="str">
        <f>CONCATENATE(L$2,": ",L$3,list1!L188,"]")</f>
        <v xml:space="preserve"> (Рабочий ток) Хладагент: S[R410A]</v>
      </c>
      <c r="M188" t="str">
        <f>CONCATENATE(M$2,": ",M$3,list1!M188,"]")</f>
        <v xml:space="preserve"> (Рабочий ток) Количество хладагента: N[]</v>
      </c>
      <c r="N188" t="str">
        <f>CONCATENATE(N$2,": ",N$3,list1!N188,"]")</f>
        <v xml:space="preserve"> (Рабочий ток) Объем рециркулируемого воздуха внутреннего блока: S[]</v>
      </c>
      <c r="O188" t="str">
        <f>CONCATENATE(O$2,": ",O$3,list1!O188,"]")</f>
        <v xml:space="preserve"> (Внутренний блок) Размеры (Ш x Г x В): S[950 х 55 х 950]</v>
      </c>
      <c r="P188" t="str">
        <f>CONCATENATE(P$2,": ",P$3,list1!P188,"]")</f>
        <v xml:space="preserve"> (Внутренний блок) Упаковка (Ш x Г x В): S[1035 х 1035 х 90]</v>
      </c>
      <c r="Q188" t="str">
        <f>CONCATENATE(Q$2,": ",Q$3,list1!Q188,"]")</f>
        <v xml:space="preserve"> (Внутренний блок) Масса (нетто / брутто): S[5 / 8]</v>
      </c>
      <c r="R188" t="str">
        <f>CONCATENATE(R$2,": ",R$3,list1!R188,"]")</f>
        <v xml:space="preserve"> (Внутренний блок) Уровень шума мин. / макс.: S[38/45/51]</v>
      </c>
      <c r="S188" t="str">
        <f>CONCATENATE(S$2,": ",S$3,list1!S188,"]")</f>
        <v xml:space="preserve"> (Наружный блок) Марка компрессора: S[GMCC]</v>
      </c>
      <c r="T188" t="str">
        <f>CONCATENATE(T$2,": ",T$3,list1!T188,"]")</f>
        <v xml:space="preserve"> (Наружный блок) Размеры (Ш x Г x В): S[845 х 363 х 702]</v>
      </c>
      <c r="U188" t="str">
        <f>CONCATENATE(U$2,": ",U$3,list1!U188,"]")</f>
        <v xml:space="preserve"> (Наружный блок) Упаковка (Ш x Г x В): S[965 х 395 х 775]</v>
      </c>
      <c r="V188" t="str">
        <f>CONCATENATE(V$2,": ",V$3,list1!V188,"]")</f>
        <v xml:space="preserve"> (Наружный блок) Масса (нетто / брутто): S[46/49.1]</v>
      </c>
      <c r="W188" t="str">
        <f>CONCATENATE(W$2,": ",W$3,list1!W188,"]")</f>
        <v xml:space="preserve"> (Наружный блок) Максимальный уровень шума: N[]</v>
      </c>
      <c r="X188" t="str">
        <f>CONCATENATE(X$2,": ",X$3,list1!X188,"]")</f>
        <v xml:space="preserve"> (Соединительные трубы) Жидкостная линия : N[9.52]</v>
      </c>
      <c r="Y188" t="str">
        <f>CONCATENATE(Y$2,": ",Y$3,list1!Y188,"]")</f>
        <v xml:space="preserve"> (Соединительные трубы) Газовая линия : N[16]</v>
      </c>
      <c r="Z188" t="str">
        <f>CONCATENATE(Z$2,": ",Z$3,list1!Z188,"]")</f>
        <v xml:space="preserve"> (Соединительные трубы) Максимальная длина трубопровода: N[25]</v>
      </c>
      <c r="AA188" t="str">
        <f>CONCATENATE(AA$2,": ",AA$3,list1!AA188,"]")</f>
        <v xml:space="preserve"> (Соединительные трубы) Максимальный перепад высот: S[15]</v>
      </c>
      <c r="AB188" t="str">
        <f>CONCATENATE(AB$2,": ",AB$3,list1!AB188,"]")</f>
        <v xml:space="preserve"> (Допустимая темп. наружного воздуха) Охлаждение: S[от -15 до +50]</v>
      </c>
      <c r="AC188" t="str">
        <f>CONCATENATE(AC$2,": ",AC$3,list1!AC188,"]")</f>
        <v xml:space="preserve"> (Допустимая темп. наружного воздуха) Обогрев: S[от -15 до +24]</v>
      </c>
      <c r="AD188" s="6" t="s">
        <v>5245</v>
      </c>
    </row>
    <row r="189" spans="1:30" x14ac:dyDescent="0.25">
      <c r="A189" t="str">
        <f>CONCATENATE(A$2,": ",A$3,list1!A189,"]")</f>
        <v>Производитель: E[LESSAR]</v>
      </c>
      <c r="B189" t="str">
        <f>CONCATENATE(B$2,": ",B$3,list1!B189,"]")</f>
        <v xml:space="preserve"> Тип: S[Кассетные]</v>
      </c>
      <c r="C189" t="str">
        <f>CONCATENATE(C$2,": ",C$3,list1!C189,"]")</f>
        <v xml:space="preserve"> (Сплит система) Холодопроизводительность: N[7.47]</v>
      </c>
      <c r="D189" t="str">
        <f>CONCATENATE(D$2,": ",D$3,list1!D189,"]")</f>
        <v xml:space="preserve"> (Сплит система) Площадь помещения: N[74]</v>
      </c>
      <c r="E189" t="str">
        <f>CONCATENATE(E$2,": ",E$3,list1!E189,"]")</f>
        <v xml:space="preserve"> (Сплит система) Инвентор: S[да]</v>
      </c>
      <c r="F189" t="str">
        <f>CONCATENATE(F$2,": ",F$3,list1!F189,"]")</f>
        <v xml:space="preserve"> (Сплит система) Теплопроизводительность: N[7.91]</v>
      </c>
      <c r="G189" t="str">
        <f>CONCATENATE(G$2,": ",G$3,list1!G189,"]")</f>
        <v xml:space="preserve"> (Потребляемая мощность) Охлаждение: N[2.508]</v>
      </c>
      <c r="H189" t="str">
        <f>CONCATENATE(H$2,": ",H$3,list1!H189,"]")</f>
        <v xml:space="preserve"> (Потребляемая мощность) Обогрев: S[1.978]</v>
      </c>
      <c r="I189" t="str">
        <f>CONCATENATE(I$2,": ",I$3,list1!I189,"]")</f>
        <v xml:space="preserve"> (Рабочий ток) Охлаждение: S[]</v>
      </c>
      <c r="J189" t="str">
        <f>CONCATENATE(J$2,": ",J$3,list1!J189,"]")</f>
        <v xml:space="preserve"> (Рабочий ток) Обогрев: S[]</v>
      </c>
      <c r="K189" t="str">
        <f>CONCATENATE(K$2,": ",K$3,list1!K189,"]")</f>
        <v xml:space="preserve"> (Рабочий ток) Напряжение / Частота источника питания: S[1 / 220 / 50]</v>
      </c>
      <c r="L189" t="str">
        <f>CONCATENATE(L$2,": ",L$3,list1!L189,"]")</f>
        <v xml:space="preserve"> (Рабочий ток) Хладагент: S[R410A]</v>
      </c>
      <c r="M189" t="str">
        <f>CONCATENATE(M$2,": ",M$3,list1!M189,"]")</f>
        <v xml:space="preserve"> (Рабочий ток) Количество хладагента: N[]</v>
      </c>
      <c r="N189" t="str">
        <f>CONCATENATE(N$2,": ",N$3,list1!N189,"]")</f>
        <v xml:space="preserve"> (Рабочий ток) Объем рециркулируемого воздуха внутреннего блока: S[]</v>
      </c>
      <c r="O189" t="str">
        <f>CONCATENATE(O$2,": ",O$3,list1!O189,"]")</f>
        <v xml:space="preserve"> (Внутренний блок) Размеры (Ш x Г x В): S[950 х 55 х 950]</v>
      </c>
      <c r="P189" t="str">
        <f>CONCATENATE(P$2,": ",P$3,list1!P189,"]")</f>
        <v xml:space="preserve"> (Внутренний блок) Упаковка (Ш x Г x В): S[1035 х 1035 х 90]</v>
      </c>
      <c r="Q189" t="str">
        <f>CONCATENATE(Q$2,": ",Q$3,list1!Q189,"]")</f>
        <v xml:space="preserve"> (Внутренний блок) Масса (нетто / брутто): S[6 / 9]</v>
      </c>
      <c r="R189" t="str">
        <f>CONCATENATE(R$2,": ",R$3,list1!R189,"]")</f>
        <v xml:space="preserve"> (Внутренний блок) Уровень шума мин. / макс.: S[40/43/45]</v>
      </c>
      <c r="S189" t="str">
        <f>CONCATENATE(S$2,": ",S$3,list1!S189,"]")</f>
        <v xml:space="preserve"> (Наружный блок) Марка компрессора: S[GMCC]</v>
      </c>
      <c r="T189" t="str">
        <f>CONCATENATE(T$2,": ",T$3,list1!T189,"]")</f>
        <v xml:space="preserve"> (Наружный блок) Размеры (Ш x Г x В): S[890 х 342 х 673]</v>
      </c>
      <c r="U189" t="str">
        <f>CONCATENATE(U$2,": ",U$3,list1!U189,"]")</f>
        <v xml:space="preserve"> (Наружный блок) Упаковка (Ш x Г x В): S[398 х 995 х 740]</v>
      </c>
      <c r="V189" t="str">
        <f>CONCATENATE(V$2,": ",V$3,list1!V189,"]")</f>
        <v xml:space="preserve"> (Наружный блок) Масса (нетто / брутто): S[44/47.3]</v>
      </c>
      <c r="W189" t="str">
        <f>CONCATENATE(W$2,": ",W$3,list1!W189,"]")</f>
        <v xml:space="preserve"> (Наружный блок) Максимальный уровень шума: N[]</v>
      </c>
      <c r="X189" t="str">
        <f>CONCATENATE(X$2,": ",X$3,list1!X189,"]")</f>
        <v xml:space="preserve"> (Соединительные трубы) Жидкостная линия : N[9.52]</v>
      </c>
      <c r="Y189" t="str">
        <f>CONCATENATE(Y$2,": ",Y$3,list1!Y189,"]")</f>
        <v xml:space="preserve"> (Соединительные трубы) Газовая линия : N[15.9]</v>
      </c>
      <c r="Z189" t="str">
        <f>CONCATENATE(Z$2,": ",Z$3,list1!Z189,"]")</f>
        <v xml:space="preserve"> (Соединительные трубы) Максимальная длина трубопровода: N[25]</v>
      </c>
      <c r="AA189" t="str">
        <f>CONCATENATE(AA$2,": ",AA$3,list1!AA189,"]")</f>
        <v xml:space="preserve"> (Соединительные трубы) Максимальный перепад высот: S[15]</v>
      </c>
      <c r="AB189" t="str">
        <f>CONCATENATE(AB$2,": ",AB$3,list1!AB189,"]")</f>
        <v xml:space="preserve"> (Допустимая темп. наружного воздуха) Охлаждение: S[от -15 до +50]</v>
      </c>
      <c r="AC189" t="str">
        <f>CONCATENATE(AC$2,": ",AC$3,list1!AC189,"]")</f>
        <v xml:space="preserve"> (Допустимая темп. наружного воздуха) Обогрев: S[от -15 до +24]</v>
      </c>
      <c r="AD189" s="6" t="s">
        <v>5245</v>
      </c>
    </row>
    <row r="190" spans="1:30" x14ac:dyDescent="0.25">
      <c r="A190" t="str">
        <f>CONCATENATE(A$2,": ",A$3,list1!A190,"]")</f>
        <v>Производитель: E[LESSAR]</v>
      </c>
      <c r="B190" t="str">
        <f>CONCATENATE(B$2,": ",B$3,list1!B190,"]")</f>
        <v xml:space="preserve"> Тип: S[Кассетные]</v>
      </c>
      <c r="C190" t="str">
        <f>CONCATENATE(C$2,": ",C$3,list1!C190,"]")</f>
        <v xml:space="preserve"> (Сплит система) Холодопроизводительность: N[10.55]</v>
      </c>
      <c r="D190" t="str">
        <f>CONCATENATE(D$2,": ",D$3,list1!D190,"]")</f>
        <v xml:space="preserve"> (Сплит система) Площадь помещения: N[100]</v>
      </c>
      <c r="E190" t="str">
        <f>CONCATENATE(E$2,": ",E$3,list1!E190,"]")</f>
        <v xml:space="preserve"> (Сплит система) Инвентор: S[да]</v>
      </c>
      <c r="F190" t="str">
        <f>CONCATENATE(F$2,": ",F$3,list1!F190,"]")</f>
        <v xml:space="preserve"> (Сплит система) Теплопроизводительность: N[11.14]</v>
      </c>
      <c r="G190" t="str">
        <f>CONCATENATE(G$2,": ",G$3,list1!G190,"]")</f>
        <v xml:space="preserve"> (Потребляемая мощность) Охлаждение: N[3.75]</v>
      </c>
      <c r="H190" t="str">
        <f>CONCATENATE(H$2,": ",H$3,list1!H190,"]")</f>
        <v xml:space="preserve"> (Потребляемая мощность) Обогрев: S[3.08]</v>
      </c>
      <c r="I190" t="str">
        <f>CONCATENATE(I$2,": ",I$3,list1!I190,"]")</f>
        <v xml:space="preserve"> (Рабочий ток) Охлаждение: S[]</v>
      </c>
      <c r="J190" t="str">
        <f>CONCATENATE(J$2,": ",J$3,list1!J190,"]")</f>
        <v xml:space="preserve"> (Рабочий ток) Обогрев: S[]</v>
      </c>
      <c r="K190" t="str">
        <f>CONCATENATE(K$2,": ",K$3,list1!K190,"]")</f>
        <v xml:space="preserve"> (Рабочий ток) Напряжение / Частота источника питания: S[3 / 380 / 50]</v>
      </c>
      <c r="L190" t="str">
        <f>CONCATENATE(L$2,": ",L$3,list1!L190,"]")</f>
        <v xml:space="preserve"> (Рабочий ток) Хладагент: S[R410A]</v>
      </c>
      <c r="M190" t="str">
        <f>CONCATENATE(M$2,": ",M$3,list1!M190,"]")</f>
        <v xml:space="preserve"> (Рабочий ток) Количество хладагента: N[]</v>
      </c>
      <c r="N190" t="str">
        <f>CONCATENATE(N$2,": ",N$3,list1!N190,"]")</f>
        <v xml:space="preserve"> (Рабочий ток) Объем рециркулируемого воздуха внутреннего блока: S[]</v>
      </c>
      <c r="O190" t="str">
        <f>CONCATENATE(O$2,": ",O$3,list1!O190,"]")</f>
        <v xml:space="preserve"> (Внутренний блок) Размеры (Ш x Г x В): S[950 х 55 х 950]</v>
      </c>
      <c r="P190" t="str">
        <f>CONCATENATE(P$2,": ",P$3,list1!P190,"]")</f>
        <v xml:space="preserve"> (Внутренний блок) Упаковка (Ш x Г x В): S[1035 х 1035 х 90]</v>
      </c>
      <c r="Q190" t="str">
        <f>CONCATENATE(Q$2,": ",Q$3,list1!Q190,"]")</f>
        <v xml:space="preserve"> (Внутренний блок) Масса (нетто / брутто): S[5 / 8]</v>
      </c>
      <c r="R190" t="str">
        <f>CONCATENATE(R$2,": ",R$3,list1!R190,"]")</f>
        <v xml:space="preserve"> (Внутренний блок) Уровень шума мин. / макс.: S[45/48/52]</v>
      </c>
      <c r="S190" t="str">
        <f>CONCATENATE(S$2,": ",S$3,list1!S190,"]")</f>
        <v xml:space="preserve"> (Наружный блок) Марка компрессора: S[GMCC]</v>
      </c>
      <c r="T190" t="str">
        <f>CONCATENATE(T$2,": ",T$3,list1!T190,"]")</f>
        <v xml:space="preserve"> (Наружный блок) Размеры (Ш x Г x В): S[946 х 410 х 810]</v>
      </c>
      <c r="U190" t="str">
        <f>CONCATENATE(U$2,": ",U$3,list1!U190,"]")</f>
        <v xml:space="preserve"> (Наружный блок) Упаковка (Ш x Г x В): S[1090 х 500 х 875]</v>
      </c>
      <c r="V190" t="str">
        <f>CONCATENATE(V$2,": ",V$3,list1!V190,"]")</f>
        <v xml:space="preserve"> (Наружный блок) Масса (нетто / брутто): S[77.9/82.7]</v>
      </c>
      <c r="W190" t="str">
        <f>CONCATENATE(W$2,": ",W$3,list1!W190,"]")</f>
        <v xml:space="preserve"> (Наружный блок) Максимальный уровень шума: N[]</v>
      </c>
      <c r="X190" t="str">
        <f>CONCATENATE(X$2,": ",X$3,list1!X190,"]")</f>
        <v xml:space="preserve"> (Соединительные трубы) Жидкостная линия : N[9.52]</v>
      </c>
      <c r="Y190" t="str">
        <f>CONCATENATE(Y$2,": ",Y$3,list1!Y190,"]")</f>
        <v xml:space="preserve"> (Соединительные трубы) Газовая линия : N[19]</v>
      </c>
      <c r="Z190" t="str">
        <f>CONCATENATE(Z$2,": ",Z$3,list1!Z190,"]")</f>
        <v xml:space="preserve"> (Соединительные трубы) Максимальная длина трубопровода: N[30]</v>
      </c>
      <c r="AA190" t="str">
        <f>CONCATENATE(AA$2,": ",AA$3,list1!AA190,"]")</f>
        <v xml:space="preserve"> (Соединительные трубы) Максимальный перепад высот: S[20]</v>
      </c>
      <c r="AB190" t="str">
        <f>CONCATENATE(AB$2,": ",AB$3,list1!AB190,"]")</f>
        <v xml:space="preserve"> (Допустимая темп. наружного воздуха) Охлаждение: S[от -15 до +50]</v>
      </c>
      <c r="AC190" t="str">
        <f>CONCATENATE(AC$2,": ",AC$3,list1!AC190,"]")</f>
        <v xml:space="preserve"> (Допустимая темп. наружного воздуха) Обогрев: S[от -15 до +24]</v>
      </c>
      <c r="AD190" s="6" t="s">
        <v>5245</v>
      </c>
    </row>
    <row r="191" spans="1:30" x14ac:dyDescent="0.25">
      <c r="A191" t="str">
        <f>CONCATENATE(A$2,": ",A$3,list1!A191,"]")</f>
        <v>Производитель: E[LESSAR]</v>
      </c>
      <c r="B191" t="str">
        <f>CONCATENATE(B$2,": ",B$3,list1!B191,"]")</f>
        <v xml:space="preserve"> Тип: S[Кассетные]</v>
      </c>
      <c r="C191" t="str">
        <f>CONCATENATE(C$2,": ",C$3,list1!C191,"]")</f>
        <v xml:space="preserve"> (Сплит система) Холодопроизводительность: N[10.55]</v>
      </c>
      <c r="D191" t="str">
        <f>CONCATENATE(D$2,": ",D$3,list1!D191,"]")</f>
        <v xml:space="preserve"> (Сплит система) Площадь помещения: N[100]</v>
      </c>
      <c r="E191" t="str">
        <f>CONCATENATE(E$2,": ",E$3,list1!E191,"]")</f>
        <v xml:space="preserve"> (Сплит система) Инвентор: S[нет]</v>
      </c>
      <c r="F191" t="str">
        <f>CONCATENATE(F$2,": ",F$3,list1!F191,"]")</f>
        <v xml:space="preserve"> (Сплит система) Теплопроизводительность: N[11.14]</v>
      </c>
      <c r="G191" t="str">
        <f>CONCATENATE(G$2,": ",G$3,list1!G191,"]")</f>
        <v xml:space="preserve"> (Потребляемая мощность) Охлаждение: N[3.9]</v>
      </c>
      <c r="H191" t="str">
        <f>CONCATENATE(H$2,": ",H$3,list1!H191,"]")</f>
        <v xml:space="preserve"> (Потребляемая мощность) Обогрев: S[3.15]</v>
      </c>
      <c r="I191" t="str">
        <f>CONCATENATE(I$2,": ",I$3,list1!I191,"]")</f>
        <v xml:space="preserve"> (Рабочий ток) Охлаждение: S[]</v>
      </c>
      <c r="J191" t="str">
        <f>CONCATENATE(J$2,": ",J$3,list1!J191,"]")</f>
        <v xml:space="preserve"> (Рабочий ток) Обогрев: S[]</v>
      </c>
      <c r="K191" t="str">
        <f>CONCATENATE(K$2,": ",K$3,list1!K191,"]")</f>
        <v xml:space="preserve"> (Рабочий ток) Напряжение / Частота источника питания: S[3 / 380 / 50]</v>
      </c>
      <c r="L191" t="str">
        <f>CONCATENATE(L$2,": ",L$3,list1!L191,"]")</f>
        <v xml:space="preserve"> (Рабочий ток) Хладагент: S[R410A]</v>
      </c>
      <c r="M191" t="str">
        <f>CONCATENATE(M$2,": ",M$3,list1!M191,"]")</f>
        <v xml:space="preserve"> (Рабочий ток) Количество хладагента: N[]</v>
      </c>
      <c r="N191" t="str">
        <f>CONCATENATE(N$2,": ",N$3,list1!N191,"]")</f>
        <v xml:space="preserve"> (Рабочий ток) Объем рециркулируемого воздуха внутреннего блока: S[]</v>
      </c>
      <c r="O191" t="str">
        <f>CONCATENATE(O$2,": ",O$3,list1!O191,"]")</f>
        <v xml:space="preserve"> (Внутренний блок) Размеры (Ш x Г x В): S[950 х 55 х 950]</v>
      </c>
      <c r="P191" t="str">
        <f>CONCATENATE(P$2,": ",P$3,list1!P191,"]")</f>
        <v xml:space="preserve"> (Внутренний блок) Упаковка (Ш x Г x В): S[1035 х 1035 х 90]</v>
      </c>
      <c r="Q191" t="str">
        <f>CONCATENATE(Q$2,": ",Q$3,list1!Q191,"]")</f>
        <v xml:space="preserve"> (Внутренний блок) Масса (нетто / брутто): S[6 / 9]</v>
      </c>
      <c r="R191" t="str">
        <f>CONCATENATE(R$2,": ",R$3,list1!R191,"]")</f>
        <v xml:space="preserve"> (Внутренний блок) Уровень шума мин. / макс.: S[44.5/47.0/49.5]</v>
      </c>
      <c r="S191" t="str">
        <f>CONCATENATE(S$2,": ",S$3,list1!S191,"]")</f>
        <v xml:space="preserve"> (Наружный блок) Марка компрессора: S[GMCC]</v>
      </c>
      <c r="T191" t="str">
        <f>CONCATENATE(T$2,": ",T$3,list1!T191,"]")</f>
        <v xml:space="preserve"> (Наружный блок) Размеры (Ш x Г x В): S[946 х 410 х 810]</v>
      </c>
      <c r="U191" t="str">
        <f>CONCATENATE(U$2,": ",U$3,list1!U191,"]")</f>
        <v xml:space="preserve"> (Наружный блок) Упаковка (Ш x Г x В): S[1090 х 500 х 885]</v>
      </c>
      <c r="V191" t="str">
        <f>CONCATENATE(V$2,": ",V$3,list1!V191,"]")</f>
        <v xml:space="preserve"> (Наружный блок) Масса (нетто / брутто): S[77.9/82.7]</v>
      </c>
      <c r="W191" t="str">
        <f>CONCATENATE(W$2,": ",W$3,list1!W191,"]")</f>
        <v xml:space="preserve"> (Наружный блок) Максимальный уровень шума: N[]</v>
      </c>
      <c r="X191" t="str">
        <f>CONCATENATE(X$2,": ",X$3,list1!X191,"]")</f>
        <v xml:space="preserve"> (Соединительные трубы) Жидкостная линия : N[9.52]</v>
      </c>
      <c r="Y191" t="str">
        <f>CONCATENATE(Y$2,": ",Y$3,list1!Y191,"]")</f>
        <v xml:space="preserve"> (Соединительные трубы) Газовая линия : N[15.9]</v>
      </c>
      <c r="Z191" t="str">
        <f>CONCATENATE(Z$2,": ",Z$3,list1!Z191,"]")</f>
        <v xml:space="preserve"> (Соединительные трубы) Максимальная длина трубопровода: N[30]</v>
      </c>
      <c r="AA191" t="str">
        <f>CONCATENATE(AA$2,": ",AA$3,list1!AA191,"]")</f>
        <v xml:space="preserve"> (Соединительные трубы) Максимальный перепад высот: S[20]</v>
      </c>
      <c r="AB191" t="str">
        <f>CONCATENATE(AB$2,": ",AB$3,list1!AB191,"]")</f>
        <v xml:space="preserve"> (Допустимая темп. наружного воздуха) Охлаждение: S[от -15 до +50]</v>
      </c>
      <c r="AC191" t="str">
        <f>CONCATENATE(AC$2,": ",AC$3,list1!AC191,"]")</f>
        <v xml:space="preserve"> (Допустимая темп. наружного воздуха) Обогрев: S[от -15 до +24]</v>
      </c>
      <c r="AD191" s="6" t="s">
        <v>5245</v>
      </c>
    </row>
    <row r="192" spans="1:30" x14ac:dyDescent="0.25">
      <c r="A192" t="str">
        <f>CONCATENATE(A$2,": ",A$3,list1!A192,"]")</f>
        <v>Производитель: E[LESSAR]</v>
      </c>
      <c r="B192" t="str">
        <f>CONCATENATE(B$2,": ",B$3,list1!B192,"]")</f>
        <v xml:space="preserve"> Тип: S[Кассетные]</v>
      </c>
      <c r="C192" t="str">
        <f>CONCATENATE(C$2,": ",C$3,list1!C192,"]")</f>
        <v xml:space="preserve"> (Сплит система) Холодопроизводительность: N[11.14]</v>
      </c>
      <c r="D192" t="str">
        <f>CONCATENATE(D$2,": ",D$3,list1!D192,"]")</f>
        <v xml:space="preserve"> (Сплит система) Площадь помещения: N[110]</v>
      </c>
      <c r="E192" t="str">
        <f>CONCATENATE(E$2,": ",E$3,list1!E192,"]")</f>
        <v xml:space="preserve"> (Сплит система) Инвентор: S[да]</v>
      </c>
      <c r="F192" t="str">
        <f>CONCATENATE(F$2,": ",F$3,list1!F192,"]")</f>
        <v xml:space="preserve"> (Сплит система) Теплопроизводительность: N[11.87]</v>
      </c>
      <c r="G192" t="str">
        <f>CONCATENATE(G$2,": ",G$3,list1!G192,"]")</f>
        <v xml:space="preserve"> (Потребляемая мощность) Охлаждение: N[3.84]</v>
      </c>
      <c r="H192" t="str">
        <f>CONCATENATE(H$2,": ",H$3,list1!H192,"]")</f>
        <v xml:space="preserve"> (Потребляемая мощность) Обогрев: S[3.288]</v>
      </c>
      <c r="I192" t="str">
        <f>CONCATENATE(I$2,": ",I$3,list1!I192,"]")</f>
        <v xml:space="preserve"> (Рабочий ток) Охлаждение: S[]</v>
      </c>
      <c r="J192" t="str">
        <f>CONCATENATE(J$2,": ",J$3,list1!J192,"]")</f>
        <v xml:space="preserve"> (Рабочий ток) Обогрев: S[]</v>
      </c>
      <c r="K192" t="str">
        <f>CONCATENATE(K$2,": ",K$3,list1!K192,"]")</f>
        <v xml:space="preserve"> (Рабочий ток) Напряжение / Частота источника питания: S[3 / 380 / 50]</v>
      </c>
      <c r="L192" t="str">
        <f>CONCATENATE(L$2,": ",L$3,list1!L192,"]")</f>
        <v xml:space="preserve"> (Рабочий ток) Хладагент: S[R410A]</v>
      </c>
      <c r="M192" t="str">
        <f>CONCATENATE(M$2,": ",M$3,list1!M192,"]")</f>
        <v xml:space="preserve"> (Рабочий ток) Количество хладагента: N[]</v>
      </c>
      <c r="N192" t="str">
        <f>CONCATENATE(N$2,": ",N$3,list1!N192,"]")</f>
        <v xml:space="preserve"> (Рабочий ток) Объем рециркулируемого воздуха внутреннего блока: S[]</v>
      </c>
      <c r="O192" t="str">
        <f>CONCATENATE(O$2,": ",O$3,list1!O192,"]")</f>
        <v xml:space="preserve"> (Внутренний блок) Размеры (Ш x Г x В): S[950 х 55 х 950]</v>
      </c>
      <c r="P192" t="str">
        <f>CONCATENATE(P$2,": ",P$3,list1!P192,"]")</f>
        <v xml:space="preserve"> (Внутренний блок) Упаковка (Ш x Г x В): S[1035 х 1035 х 90]</v>
      </c>
      <c r="Q192" t="str">
        <f>CONCATENATE(Q$2,": ",Q$3,list1!Q192,"]")</f>
        <v xml:space="preserve"> (Внутренний блок) Масса (нетто / брутто): S[6 / 9]</v>
      </c>
      <c r="R192" t="str">
        <f>CONCATENATE(R$2,": ",R$3,list1!R192,"]")</f>
        <v xml:space="preserve"> (Внутренний блок) Уровень шума мин. / макс.: S[44.5/47/49.5]</v>
      </c>
      <c r="S192" t="str">
        <f>CONCATENATE(S$2,": ",S$3,list1!S192,"]")</f>
        <v xml:space="preserve"> (Наружный блок) Марка компрессора: S[GMCC]</v>
      </c>
      <c r="T192" t="str">
        <f>CONCATENATE(T$2,": ",T$3,list1!T192,"]")</f>
        <v xml:space="preserve"> (Наружный блок) Размеры (Ш x Г x В): S[946 х 410 х 810]</v>
      </c>
      <c r="U192" t="str">
        <f>CONCATENATE(U$2,": ",U$3,list1!U192,"]")</f>
        <v xml:space="preserve"> (Наружный блок) Упаковка (Ш x Г x В): S[1090 х 500 х 885]</v>
      </c>
      <c r="V192" t="str">
        <f>CONCATENATE(V$2,": ",V$3,list1!V192,"]")</f>
        <v xml:space="preserve"> (Наружный блок) Масса (нетто / брутто): S[77.9/82.7]</v>
      </c>
      <c r="W192" t="str">
        <f>CONCATENATE(W$2,": ",W$3,list1!W192,"]")</f>
        <v xml:space="preserve"> (Наружный блок) Максимальный уровень шума: N[]</v>
      </c>
      <c r="X192" t="str">
        <f>CONCATENATE(X$2,": ",X$3,list1!X192,"]")</f>
        <v xml:space="preserve"> (Соединительные трубы) Жидкостная линия : N[9.52]</v>
      </c>
      <c r="Y192" t="str">
        <f>CONCATENATE(Y$2,": ",Y$3,list1!Y192,"]")</f>
        <v xml:space="preserve"> (Соединительные трубы) Газовая линия : N[15.9]</v>
      </c>
      <c r="Z192" t="str">
        <f>CONCATENATE(Z$2,": ",Z$3,list1!Z192,"]")</f>
        <v xml:space="preserve"> (Соединительные трубы) Максимальная длина трубопровода: N[30]</v>
      </c>
      <c r="AA192" t="str">
        <f>CONCATENATE(AA$2,": ",AA$3,list1!AA192,"]")</f>
        <v xml:space="preserve"> (Соединительные трубы) Максимальный перепад высот: S[20]</v>
      </c>
      <c r="AB192" t="str">
        <f>CONCATENATE(AB$2,": ",AB$3,list1!AB192,"]")</f>
        <v xml:space="preserve"> (Допустимая темп. наружного воздуха) Охлаждение: S[от -15 до +50]</v>
      </c>
      <c r="AC192" t="str">
        <f>CONCATENATE(AC$2,": ",AC$3,list1!AC192,"]")</f>
        <v xml:space="preserve"> (Допустимая темп. наружного воздуха) Обогрев: S[от -15 до +24]</v>
      </c>
      <c r="AD192" s="6" t="s">
        <v>5245</v>
      </c>
    </row>
    <row r="193" spans="1:30" x14ac:dyDescent="0.25">
      <c r="A193" t="str">
        <f>CONCATENATE(A$2,": ",A$3,list1!A193,"]")</f>
        <v>Производитель: E[LESSAR]</v>
      </c>
      <c r="B193" t="str">
        <f>CONCATENATE(B$2,": ",B$3,list1!B193,"]")</f>
        <v xml:space="preserve"> Тип: S[Кассетные]</v>
      </c>
      <c r="C193" t="str">
        <f>CONCATENATE(C$2,": ",C$3,list1!C193,"]")</f>
        <v xml:space="preserve"> (Сплит система) Холодопроизводительность: N[13.39]</v>
      </c>
      <c r="D193" t="str">
        <f>CONCATENATE(D$2,": ",D$3,list1!D193,"]")</f>
        <v xml:space="preserve"> (Сплит система) Площадь помещения: N[130]</v>
      </c>
      <c r="E193" t="str">
        <f>CONCATENATE(E$2,": ",E$3,list1!E193,"]")</f>
        <v xml:space="preserve"> (Сплит система) Инвентор: S[да]</v>
      </c>
      <c r="F193" t="str">
        <f>CONCATENATE(F$2,": ",F$3,list1!F193,"]")</f>
        <v xml:space="preserve"> (Сплит система) Теплопроизводительность: N[14.65]</v>
      </c>
      <c r="G193" t="str">
        <f>CONCATENATE(G$2,": ",G$3,list1!G193,"]")</f>
        <v xml:space="preserve"> (Потребляемая мощность) Охлаждение: N[4.59]</v>
      </c>
      <c r="H193" t="str">
        <f>CONCATENATE(H$2,": ",H$3,list1!H193,"]")</f>
        <v xml:space="preserve"> (Потребляемая мощность) Обогрев: S[4.17]</v>
      </c>
      <c r="I193" t="str">
        <f>CONCATENATE(I$2,": ",I$3,list1!I193,"]")</f>
        <v xml:space="preserve"> (Рабочий ток) Охлаждение: S[]</v>
      </c>
      <c r="J193" t="str">
        <f>CONCATENATE(J$2,": ",J$3,list1!J193,"]")</f>
        <v xml:space="preserve"> (Рабочий ток) Обогрев: S[]</v>
      </c>
      <c r="K193" t="str">
        <f>CONCATENATE(K$2,": ",K$3,list1!K193,"]")</f>
        <v xml:space="preserve"> (Рабочий ток) Напряжение / Частота источника питания: S[3 / 380 / 50]</v>
      </c>
      <c r="L193" t="str">
        <f>CONCATENATE(L$2,": ",L$3,list1!L193,"]")</f>
        <v xml:space="preserve"> (Рабочий ток) Хладагент: S[R410A]</v>
      </c>
      <c r="M193" t="str">
        <f>CONCATENATE(M$2,": ",M$3,list1!M193,"]")</f>
        <v xml:space="preserve"> (Рабочий ток) Количество хладагента: N[]</v>
      </c>
      <c r="N193" t="str">
        <f>CONCATENATE(N$2,": ",N$3,list1!N193,"]")</f>
        <v xml:space="preserve"> (Рабочий ток) Объем рециркулируемого воздуха внутреннего блока: S[]</v>
      </c>
      <c r="O193" t="str">
        <f>CONCATENATE(O$2,": ",O$3,list1!O193,"]")</f>
        <v xml:space="preserve"> (Внутренний блок) Размеры (Ш x Г x В): S[950 х 55 х 950]</v>
      </c>
      <c r="P193" t="str">
        <f>CONCATENATE(P$2,": ",P$3,list1!P193,"]")</f>
        <v xml:space="preserve"> (Внутренний блок) Упаковка (Ш x Г x В): S[1035 х 1035 х 90]</v>
      </c>
      <c r="Q193" t="str">
        <f>CONCATENATE(Q$2,": ",Q$3,list1!Q193,"]")</f>
        <v xml:space="preserve"> (Внутренний блок) Масса (нетто / брутто): S[5 / 8]</v>
      </c>
      <c r="R193" t="str">
        <f>CONCATENATE(R$2,": ",R$3,list1!R193,"]")</f>
        <v xml:space="preserve"> (Внутренний блок) Уровень шума мин. / макс.: S[46/49/52]</v>
      </c>
      <c r="S193" t="str">
        <f>CONCATENATE(S$2,": ",S$3,list1!S193,"]")</f>
        <v xml:space="preserve"> (Наружный блок) Марка компрессора: S[GMCC]</v>
      </c>
      <c r="T193" t="str">
        <f>CONCATENATE(T$2,": ",T$3,list1!T193,"]")</f>
        <v xml:space="preserve"> (Наружный блок) Размеры (Ш x Г x В): S[946 х 410 х 810]</v>
      </c>
      <c r="U193" t="str">
        <f>CONCATENATE(U$2,": ",U$3,list1!U193,"]")</f>
        <v xml:space="preserve"> (Наружный блок) Упаковка (Ш x Г x В): S[1090 х 500 х 875]</v>
      </c>
      <c r="V193" t="str">
        <f>CONCATENATE(V$2,": ",V$3,list1!V193,"]")</f>
        <v xml:space="preserve"> (Наружный блок) Масса (нетто / брутто): S[86/91.6]</v>
      </c>
      <c r="W193" t="str">
        <f>CONCATENATE(W$2,": ",W$3,list1!W193,"]")</f>
        <v xml:space="preserve"> (Наружный блок) Максимальный уровень шума: N[]</v>
      </c>
      <c r="X193" t="str">
        <f>CONCATENATE(X$2,": ",X$3,list1!X193,"]")</f>
        <v xml:space="preserve"> (Соединительные трубы) Жидкостная линия : N[9.52]</v>
      </c>
      <c r="Y193" t="str">
        <f>CONCATENATE(Y$2,": ",Y$3,list1!Y193,"]")</f>
        <v xml:space="preserve"> (Соединительные трубы) Газовая линия : N[19]</v>
      </c>
      <c r="Z193" t="str">
        <f>CONCATENATE(Z$2,": ",Z$3,list1!Z193,"]")</f>
        <v xml:space="preserve"> (Соединительные трубы) Максимальная длина трубопровода: N[50]</v>
      </c>
      <c r="AA193" t="str">
        <f>CONCATENATE(AA$2,": ",AA$3,list1!AA193,"]")</f>
        <v xml:space="preserve"> (Соединительные трубы) Максимальный перепад высот: S[25]</v>
      </c>
      <c r="AB193" t="str">
        <f>CONCATENATE(AB$2,": ",AB$3,list1!AB193,"]")</f>
        <v xml:space="preserve"> (Допустимая темп. наружного воздуха) Охлаждение: S[от -15 до +50]</v>
      </c>
      <c r="AC193" t="str">
        <f>CONCATENATE(AC$2,": ",AC$3,list1!AC193,"]")</f>
        <v xml:space="preserve"> (Допустимая темп. наружного воздуха) Обогрев: S[от -15 до +24]</v>
      </c>
      <c r="AD193" s="6" t="s">
        <v>5245</v>
      </c>
    </row>
    <row r="194" spans="1:30" x14ac:dyDescent="0.25">
      <c r="A194" t="str">
        <f>CONCATENATE(A$2,": ",A$3,list1!A194,"]")</f>
        <v>Производитель: E[LESSAR]</v>
      </c>
      <c r="B194" t="str">
        <f>CONCATENATE(B$2,": ",B$3,list1!B194,"]")</f>
        <v xml:space="preserve"> Тип: S[Кассетные]</v>
      </c>
      <c r="C194" t="str">
        <f>CONCATENATE(C$2,": ",C$3,list1!C194,"]")</f>
        <v xml:space="preserve"> (Сплит система) Холодопроизводительность: N[13.92]</v>
      </c>
      <c r="D194" t="str">
        <f>CONCATENATE(D$2,": ",D$3,list1!D194,"]")</f>
        <v xml:space="preserve"> (Сплит система) Площадь помещения: N[130]</v>
      </c>
      <c r="E194" t="str">
        <f>CONCATENATE(E$2,": ",E$3,list1!E194,"]")</f>
        <v xml:space="preserve"> (Сплит система) Инвентор: S[да]</v>
      </c>
      <c r="F194" t="str">
        <f>CONCATENATE(F$2,": ",F$3,list1!F194,"]")</f>
        <v xml:space="preserve"> (Сплит система) Теплопроизводительность: N[15.53]</v>
      </c>
      <c r="G194" t="str">
        <f>CONCATENATE(G$2,": ",G$3,list1!G194,"]")</f>
        <v xml:space="preserve"> (Потребляемая мощность) Охлаждение: N[5.358]</v>
      </c>
      <c r="H194" t="str">
        <f>CONCATENATE(H$2,": ",H$3,list1!H194,"]")</f>
        <v xml:space="preserve"> (Потребляемая мощность) Обогрев: S[4.854]</v>
      </c>
      <c r="I194" t="str">
        <f>CONCATENATE(I$2,": ",I$3,list1!I194,"]")</f>
        <v xml:space="preserve"> (Рабочий ток) Охлаждение: S[]</v>
      </c>
      <c r="J194" t="str">
        <f>CONCATENATE(J$2,": ",J$3,list1!J194,"]")</f>
        <v xml:space="preserve"> (Рабочий ток) Обогрев: S[]</v>
      </c>
      <c r="K194" t="str">
        <f>CONCATENATE(K$2,": ",K$3,list1!K194,"]")</f>
        <v xml:space="preserve"> (Рабочий ток) Напряжение / Частота источника питания: S[3 / 380 / 50]</v>
      </c>
      <c r="L194" t="str">
        <f>CONCATENATE(L$2,": ",L$3,list1!L194,"]")</f>
        <v xml:space="preserve"> (Рабочий ток) Хладагент: S[R410A]</v>
      </c>
      <c r="M194" t="str">
        <f>CONCATENATE(M$2,": ",M$3,list1!M194,"]")</f>
        <v xml:space="preserve"> (Рабочий ток) Количество хладагента: N[]</v>
      </c>
      <c r="N194" t="str">
        <f>CONCATENATE(N$2,": ",N$3,list1!N194,"]")</f>
        <v xml:space="preserve"> (Рабочий ток) Объем рециркулируемого воздуха внутреннего блока: S[]</v>
      </c>
      <c r="O194" t="str">
        <f>CONCATENATE(O$2,": ",O$3,list1!O194,"]")</f>
        <v xml:space="preserve"> (Внутренний блок) Размеры (Ш x Г x В): S[950 х 55 х 950]</v>
      </c>
      <c r="P194" t="str">
        <f>CONCATENATE(P$2,": ",P$3,list1!P194,"]")</f>
        <v xml:space="preserve"> (Внутренний блок) Упаковка (Ш x Г x В): S[1035 х 1035 х 90]</v>
      </c>
      <c r="Q194" t="str">
        <f>CONCATENATE(Q$2,": ",Q$3,list1!Q194,"]")</f>
        <v xml:space="preserve"> (Внутренний блок) Масса (нетто / брутто): S[6 / 9]</v>
      </c>
      <c r="R194" t="str">
        <f>CONCATENATE(R$2,": ",R$3,list1!R194,"]")</f>
        <v xml:space="preserve"> (Внутренний блок) Уровень шума мин. / макс.: S[48/51.5/53.5]</v>
      </c>
      <c r="S194" t="str">
        <f>CONCATENATE(S$2,": ",S$3,list1!S194,"]")</f>
        <v xml:space="preserve"> (Наружный блок) Марка компрессора: S[GMCC]</v>
      </c>
      <c r="T194" t="str">
        <f>CONCATENATE(T$2,": ",T$3,list1!T194,"]")</f>
        <v xml:space="preserve"> (Наружный блок) Размеры (Ш x Г x В): S[946 х 410 х 810]</v>
      </c>
      <c r="U194" t="str">
        <f>CONCATENATE(U$2,": ",U$3,list1!U194,"]")</f>
        <v xml:space="preserve"> (Наружный блок) Упаковка (Ш x Г x В): S[1090 х 500 х 885]</v>
      </c>
      <c r="V194" t="str">
        <f>CONCATENATE(V$2,": ",V$3,list1!V194,"]")</f>
        <v xml:space="preserve"> (Наружный блок) Масса (нетто / брутто): S[86.7/91.4]</v>
      </c>
      <c r="W194" t="str">
        <f>CONCATENATE(W$2,": ",W$3,list1!W194,"]")</f>
        <v xml:space="preserve"> (Наружный блок) Максимальный уровень шума: N[]</v>
      </c>
      <c r="X194" t="str">
        <f>CONCATENATE(X$2,": ",X$3,list1!X194,"]")</f>
        <v xml:space="preserve"> (Соединительные трубы) Жидкостная линия : N[9.52]</v>
      </c>
      <c r="Y194" t="str">
        <f>CONCATENATE(Y$2,": ",Y$3,list1!Y194,"]")</f>
        <v xml:space="preserve"> (Соединительные трубы) Газовая линия : N[15.9]</v>
      </c>
      <c r="Z194" t="str">
        <f>CONCATENATE(Z$2,": ",Z$3,list1!Z194,"]")</f>
        <v xml:space="preserve"> (Соединительные трубы) Максимальная длина трубопровода: N[50]</v>
      </c>
      <c r="AA194" t="str">
        <f>CONCATENATE(AA$2,": ",AA$3,list1!AA194,"]")</f>
        <v xml:space="preserve"> (Соединительные трубы) Максимальный перепад высот: S[30]</v>
      </c>
      <c r="AB194" t="str">
        <f>CONCATENATE(AB$2,": ",AB$3,list1!AB194,"]")</f>
        <v xml:space="preserve"> (Допустимая темп. наружного воздуха) Охлаждение: S[от -15 до +50]</v>
      </c>
      <c r="AC194" t="str">
        <f>CONCATENATE(AC$2,": ",AC$3,list1!AC194,"]")</f>
        <v xml:space="preserve"> (Допустимая темп. наружного воздуха) Обогрев: S[от -15 до +24]</v>
      </c>
      <c r="AD194" s="6" t="s">
        <v>5245</v>
      </c>
    </row>
    <row r="195" spans="1:30" x14ac:dyDescent="0.25">
      <c r="A195" t="str">
        <f>CONCATENATE(A$2,": ",A$3,list1!A195,"]")</f>
        <v>Производитель: E[LESSAR]</v>
      </c>
      <c r="B195" t="str">
        <f>CONCATENATE(B$2,": ",B$3,list1!B195,"]")</f>
        <v xml:space="preserve"> Тип: S[Кассетные]</v>
      </c>
      <c r="C195" t="str">
        <f>CONCATENATE(C$2,": ",C$3,list1!C195,"]")</f>
        <v xml:space="preserve"> (Сплит система) Холодопроизводительность: N[16.12]</v>
      </c>
      <c r="D195" t="str">
        <f>CONCATENATE(D$2,": ",D$3,list1!D195,"]")</f>
        <v xml:space="preserve"> (Сплит система) Площадь помещения: N[160]</v>
      </c>
      <c r="E195" t="str">
        <f>CONCATENATE(E$2,": ",E$3,list1!E195,"]")</f>
        <v xml:space="preserve"> (Сплит система) Инвентор: S[да]</v>
      </c>
      <c r="F195" t="str">
        <f>CONCATENATE(F$2,": ",F$3,list1!F195,"]")</f>
        <v xml:space="preserve"> (Сплит система) Теплопроизводительность: N[17]</v>
      </c>
      <c r="G195" t="str">
        <f>CONCATENATE(G$2,": ",G$3,list1!G195,"]")</f>
        <v xml:space="preserve"> (Потребляемая мощность) Охлаждение: N[5.74]</v>
      </c>
      <c r="H195" t="str">
        <f>CONCATENATE(H$2,": ",H$3,list1!H195,"]")</f>
        <v xml:space="preserve"> (Потребляемая мощность) Обогрев: S[4.985]</v>
      </c>
      <c r="I195" t="str">
        <f>CONCATENATE(I$2,": ",I$3,list1!I195,"]")</f>
        <v xml:space="preserve"> (Рабочий ток) Охлаждение: S[]</v>
      </c>
      <c r="J195" t="str">
        <f>CONCATENATE(J$2,": ",J$3,list1!J195,"]")</f>
        <v xml:space="preserve"> (Рабочий ток) Обогрев: S[]</v>
      </c>
      <c r="K195" t="str">
        <f>CONCATENATE(K$2,": ",K$3,list1!K195,"]")</f>
        <v xml:space="preserve"> (Рабочий ток) Напряжение / Частота источника питания: S[3 / 380 / 50]</v>
      </c>
      <c r="L195" t="str">
        <f>CONCATENATE(L$2,": ",L$3,list1!L195,"]")</f>
        <v xml:space="preserve"> (Рабочий ток) Хладагент: S[R410A]</v>
      </c>
      <c r="M195" t="str">
        <f>CONCATENATE(M$2,": ",M$3,list1!M195,"]")</f>
        <v xml:space="preserve"> (Рабочий ток) Количество хладагента: N[]</v>
      </c>
      <c r="N195" t="str">
        <f>CONCATENATE(N$2,": ",N$3,list1!N195,"]")</f>
        <v xml:space="preserve"> (Рабочий ток) Объем рециркулируемого воздуха внутреннего блока: S[]</v>
      </c>
      <c r="O195" t="str">
        <f>CONCATENATE(O$2,": ",O$3,list1!O195,"]")</f>
        <v xml:space="preserve"> (Внутренний блок) Размеры (Ш x Г x В): S[950 х 55 х 950]</v>
      </c>
      <c r="P195" t="str">
        <f>CONCATENATE(P$2,": ",P$3,list1!P195,"]")</f>
        <v xml:space="preserve"> (Внутренний блок) Упаковка (Ш x Г x В): S[1035 х 1035 х 90]</v>
      </c>
      <c r="Q195" t="str">
        <f>CONCATENATE(Q$2,": ",Q$3,list1!Q195,"]")</f>
        <v xml:space="preserve"> (Внутренний блок) Масса (нетто / брутто): S[5 / 8]</v>
      </c>
      <c r="R195" t="str">
        <f>CONCATENATE(R$2,": ",R$3,list1!R195,"]")</f>
        <v xml:space="preserve"> (Внутренний блок) Уровень шума мин. / макс.: S[44/48/53]</v>
      </c>
      <c r="S195" t="str">
        <f>CONCATENATE(S$2,": ",S$3,list1!S195,"]")</f>
        <v xml:space="preserve"> (Наружный блок) Марка компрессора: S[GMCC]</v>
      </c>
      <c r="T195" t="str">
        <f>CONCATENATE(T$2,": ",T$3,list1!T195,"]")</f>
        <v xml:space="preserve"> (Наружный блок) Размеры (Ш x Г x В): S[952 х 410 х 1333]</v>
      </c>
      <c r="U195" t="str">
        <f>CONCATENATE(U$2,": ",U$3,list1!U195,"]")</f>
        <v xml:space="preserve"> (Наружный блок) Упаковка (Ш x Г x В): S[1095 х 495 х 1480]</v>
      </c>
      <c r="V195" t="str">
        <f>CONCATENATE(V$2,": ",V$3,list1!V195,"]")</f>
        <v xml:space="preserve"> (Наружный блок) Масса (нетто / брутто): S[107/120.7]</v>
      </c>
      <c r="W195" t="str">
        <f>CONCATENATE(W$2,": ",W$3,list1!W195,"]")</f>
        <v xml:space="preserve"> (Наружный блок) Максимальный уровень шума: N[]</v>
      </c>
      <c r="X195" t="str">
        <f>CONCATENATE(X$2,": ",X$3,list1!X195,"]")</f>
        <v xml:space="preserve"> (Соединительные трубы) Жидкостная линия : N[9.52]</v>
      </c>
      <c r="Y195" t="str">
        <f>CONCATENATE(Y$2,": ",Y$3,list1!Y195,"]")</f>
        <v xml:space="preserve"> (Соединительные трубы) Газовая линия : N[19]</v>
      </c>
      <c r="Z195" t="str">
        <f>CONCATENATE(Z$2,": ",Z$3,list1!Z195,"]")</f>
        <v xml:space="preserve"> (Соединительные трубы) Максимальная длина трубопровода: N[50]</v>
      </c>
      <c r="AA195" t="str">
        <f>CONCATENATE(AA$2,": ",AA$3,list1!AA195,"]")</f>
        <v xml:space="preserve"> (Соединительные трубы) Максимальный перепад высот: S[25]</v>
      </c>
      <c r="AB195" t="str">
        <f>CONCATENATE(AB$2,": ",AB$3,list1!AB195,"]")</f>
        <v xml:space="preserve"> (Допустимая темп. наружного воздуха) Охлаждение: S[от -15 до +50]</v>
      </c>
      <c r="AC195" t="str">
        <f>CONCATENATE(AC$2,": ",AC$3,list1!AC195,"]")</f>
        <v xml:space="preserve"> (Допустимая темп. наружного воздуха) Обогрев: S[от -15 до +24]</v>
      </c>
      <c r="AD195" s="6" t="s">
        <v>5245</v>
      </c>
    </row>
    <row r="196" spans="1:30" x14ac:dyDescent="0.25">
      <c r="A196" t="str">
        <f>CONCATENATE(A$2,": ",A$3,list1!A196,"]")</f>
        <v>Производитель: E[LESSAR]</v>
      </c>
      <c r="B196" t="str">
        <f>CONCATENATE(B$2,": ",B$3,list1!B196,"]")</f>
        <v xml:space="preserve"> Тип: S[Кассетные]</v>
      </c>
      <c r="C196" t="str">
        <f>CONCATENATE(C$2,": ",C$3,list1!C196,"]")</f>
        <v xml:space="preserve"> (Сплит система) Холодопроизводительность: N[16.12]</v>
      </c>
      <c r="D196" t="str">
        <f>CONCATENATE(D$2,": ",D$3,list1!D196,"]")</f>
        <v xml:space="preserve"> (Сплит система) Площадь помещения: N[160]</v>
      </c>
      <c r="E196" t="str">
        <f>CONCATENATE(E$2,": ",E$3,list1!E196,"]")</f>
        <v xml:space="preserve"> (Сплит система) Инвентор: S[да]</v>
      </c>
      <c r="F196" t="str">
        <f>CONCATENATE(F$2,": ",F$3,list1!F196,"]")</f>
        <v xml:space="preserve"> (Сплит система) Теплопроизводительность: N[17.58]</v>
      </c>
      <c r="G196" t="str">
        <f>CONCATENATE(G$2,": ",G$3,list1!G196,"]")</f>
        <v xml:space="preserve"> (Потребляемая мощность) Охлаждение: N[6.321]</v>
      </c>
      <c r="H196" t="str">
        <f>CONCATENATE(H$2,": ",H$3,list1!H196,"]")</f>
        <v xml:space="preserve"> (Потребляемая мощность) Обогрев: S[4.912]</v>
      </c>
      <c r="I196" t="str">
        <f>CONCATENATE(I$2,": ",I$3,list1!I196,"]")</f>
        <v xml:space="preserve"> (Рабочий ток) Охлаждение: S[]</v>
      </c>
      <c r="J196" t="str">
        <f>CONCATENATE(J$2,": ",J$3,list1!J196,"]")</f>
        <v xml:space="preserve"> (Рабочий ток) Обогрев: S[]</v>
      </c>
      <c r="K196" t="str">
        <f>CONCATENATE(K$2,": ",K$3,list1!K196,"]")</f>
        <v xml:space="preserve"> (Рабочий ток) Напряжение / Частота источника питания: S[3 / 380 / 50]</v>
      </c>
      <c r="L196" t="str">
        <f>CONCATENATE(L$2,": ",L$3,list1!L196,"]")</f>
        <v xml:space="preserve"> (Рабочий ток) Хладагент: S[R410A]</v>
      </c>
      <c r="M196" t="str">
        <f>CONCATENATE(M$2,": ",M$3,list1!M196,"]")</f>
        <v xml:space="preserve"> (Рабочий ток) Количество хладагента: N[]</v>
      </c>
      <c r="N196" t="str">
        <f>CONCATENATE(N$2,": ",N$3,list1!N196,"]")</f>
        <v xml:space="preserve"> (Рабочий ток) Объем рециркулируемого воздуха внутреннего блока: S[]</v>
      </c>
      <c r="O196" t="str">
        <f>CONCATENATE(O$2,": ",O$3,list1!O196,"]")</f>
        <v xml:space="preserve"> (Внутренний блок) Размеры (Ш x Г x В): S[950 х 55 х 950]</v>
      </c>
      <c r="P196" t="str">
        <f>CONCATENATE(P$2,": ",P$3,list1!P196,"]")</f>
        <v xml:space="preserve"> (Внутренний блок) Упаковка (Ш x Г x В): S[1035 х 1035 х 90]</v>
      </c>
      <c r="Q196" t="str">
        <f>CONCATENATE(Q$2,": ",Q$3,list1!Q196,"]")</f>
        <v xml:space="preserve"> (Внутренний блок) Масса (нетто / брутто): S[6 / 9]</v>
      </c>
      <c r="R196" t="str">
        <f>CONCATENATE(R$2,": ",R$3,list1!R196,"]")</f>
        <v xml:space="preserve"> (Внутренний блок) Уровень шума мин. / макс.: S[49.5/52/54.5]</v>
      </c>
      <c r="S196" t="str">
        <f>CONCATENATE(S$2,": ",S$3,list1!S196,"]")</f>
        <v xml:space="preserve"> (Наружный блок) Марка компрессора: S[GMCC]</v>
      </c>
      <c r="T196" t="str">
        <f>CONCATENATE(T$2,": ",T$3,list1!T196,"]")</f>
        <v xml:space="preserve"> (Наружный блок) Размеры (Ш x Г x В): S[952 х 415 х 1333]</v>
      </c>
      <c r="U196" t="str">
        <f>CONCATENATE(U$2,": ",U$3,list1!U196,"]")</f>
        <v xml:space="preserve"> (Наружный блок) Упаковка (Ш x Г x В): S[1095 х 495 х 1480]</v>
      </c>
      <c r="V196" t="str">
        <f>CONCATENATE(V$2,": ",V$3,list1!V196,"]")</f>
        <v xml:space="preserve"> (Наружный блок) Масса (нетто / брутто): S[107.1/121.3]</v>
      </c>
      <c r="W196" t="str">
        <f>CONCATENATE(W$2,": ",W$3,list1!W196,"]")</f>
        <v xml:space="preserve"> (Наружный блок) Максимальный уровень шума: N[]</v>
      </c>
      <c r="X196" t="str">
        <f>CONCATENATE(X$2,": ",X$3,list1!X196,"]")</f>
        <v xml:space="preserve"> (Соединительные трубы) Жидкостная линия : N[9.52]</v>
      </c>
      <c r="Y196" t="str">
        <f>CONCATENATE(Y$2,": ",Y$3,list1!Y196,"]")</f>
        <v xml:space="preserve"> (Соединительные трубы) Газовая линия : N[15.9]</v>
      </c>
      <c r="Z196" t="str">
        <f>CONCATENATE(Z$2,": ",Z$3,list1!Z196,"]")</f>
        <v xml:space="preserve"> (Соединительные трубы) Максимальная длина трубопровода: N[50]</v>
      </c>
      <c r="AA196" t="str">
        <f>CONCATENATE(AA$2,": ",AA$3,list1!AA196,"]")</f>
        <v xml:space="preserve"> (Соединительные трубы) Максимальный перепад высот: S[30]</v>
      </c>
      <c r="AB196" t="str">
        <f>CONCATENATE(AB$2,": ",AB$3,list1!AB196,"]")</f>
        <v xml:space="preserve"> (Допустимая темп. наружного воздуха) Охлаждение: S[от -15 до +50]</v>
      </c>
      <c r="AC196" t="str">
        <f>CONCATENATE(AC$2,": ",AC$3,list1!AC196,"]")</f>
        <v xml:space="preserve"> (Допустимая темп. наружного воздуха) Обогрев: S[от -15 до +24]</v>
      </c>
      <c r="AD196" s="6" t="s">
        <v>5245</v>
      </c>
    </row>
    <row r="197" spans="1:30" x14ac:dyDescent="0.25">
      <c r="A197" t="str">
        <f>CONCATENATE(A$2,": ",A$3,list1!A197,"]")</f>
        <v>Производитель: E[LESSAR]</v>
      </c>
      <c r="B197" t="str">
        <f>CONCATENATE(B$2,": ",B$3,list1!B197,"]")</f>
        <v xml:space="preserve"> Тип: S[Кассетные]</v>
      </c>
      <c r="C197" t="str">
        <f>CONCATENATE(C$2,": ",C$3,list1!C197,"]")</f>
        <v xml:space="preserve"> (Сплит система) Холодопроизводительность: N[3.52]</v>
      </c>
      <c r="D197" t="str">
        <f>CONCATENATE(D$2,": ",D$3,list1!D197,"]")</f>
        <v xml:space="preserve"> (Сплит система) Площадь помещения: N[35]</v>
      </c>
      <c r="E197" t="str">
        <f>CONCATENATE(E$2,": ",E$3,list1!E197,"]")</f>
        <v xml:space="preserve"> (Сплит система) Инвентор: S[да]</v>
      </c>
      <c r="F197" t="str">
        <f>CONCATENATE(F$2,": ",F$3,list1!F197,"]")</f>
        <v xml:space="preserve"> (Сплит система) Теплопроизводительность: N[4.1]</v>
      </c>
      <c r="G197" t="str">
        <f>CONCATENATE(G$2,": ",G$3,list1!G197,"]")</f>
        <v xml:space="preserve"> (Потребляемая мощность) Охлаждение: N[1.08]</v>
      </c>
      <c r="H197" t="str">
        <f>CONCATENATE(H$2,": ",H$3,list1!H197,"]")</f>
        <v xml:space="preserve"> (Потребляемая мощность) Обогрев: S[1.06]</v>
      </c>
      <c r="I197" t="str">
        <f>CONCATENATE(I$2,": ",I$3,list1!I197,"]")</f>
        <v xml:space="preserve"> (Рабочий ток) Охлаждение: S[]</v>
      </c>
      <c r="J197" t="str">
        <f>CONCATENATE(J$2,": ",J$3,list1!J197,"]")</f>
        <v xml:space="preserve"> (Рабочий ток) Обогрев: S[]</v>
      </c>
      <c r="K197" t="str">
        <f>CONCATENATE(K$2,": ",K$3,list1!K197,"]")</f>
        <v xml:space="preserve"> (Рабочий ток) Напряжение / Частота источника питания: S[1 / 220 / 50]</v>
      </c>
      <c r="L197" t="str">
        <f>CONCATENATE(L$2,": ",L$3,list1!L197,"]")</f>
        <v xml:space="preserve"> (Рабочий ток) Хладагент: S[R410A]</v>
      </c>
      <c r="M197" t="str">
        <f>CONCATENATE(M$2,": ",M$3,list1!M197,"]")</f>
        <v xml:space="preserve"> (Рабочий ток) Количество хладагента: N[]</v>
      </c>
      <c r="N197" t="str">
        <f>CONCATENATE(N$2,": ",N$3,list1!N197,"]")</f>
        <v xml:space="preserve"> (Рабочий ток) Объем рециркулируемого воздуха внутреннего блока: S[]</v>
      </c>
      <c r="O197" t="str">
        <f>CONCATENATE(O$2,": ",O$3,list1!O197,"]")</f>
        <v xml:space="preserve"> (Внутренний блок) Размеры (Ш x Г x В): S[647 х 50 х 647]</v>
      </c>
      <c r="P197" t="str">
        <f>CONCATENATE(P$2,": ",P$3,list1!P197,"]")</f>
        <v xml:space="preserve"> (Внутренний блок) Упаковка (Ш x Г x В): S[715 х 715 х 123]</v>
      </c>
      <c r="Q197" t="str">
        <f>CONCATENATE(Q$2,": ",Q$3,list1!Q197,"]")</f>
        <v xml:space="preserve"> (Внутренний блок) Масса (нетто / брутто): S[2.5 / 4.5]</v>
      </c>
      <c r="R197" t="str">
        <f>CONCATENATE(R$2,": ",R$3,list1!R197,"]")</f>
        <v xml:space="preserve"> (Внутренний блок) Уровень шума мин. / макс.: S[34/38/42]</v>
      </c>
      <c r="S197" t="str">
        <f>CONCATENATE(S$2,": ",S$3,list1!S197,"]")</f>
        <v xml:space="preserve"> (Наружный блок) Марка компрессора: S[GMCC]</v>
      </c>
      <c r="T197" t="str">
        <f>CONCATENATE(T$2,": ",T$3,list1!T197,"]")</f>
        <v xml:space="preserve"> (Наружный блок) Размеры (Ш x Г x В): S[800 х 333 х 554]</v>
      </c>
      <c r="U197" t="str">
        <f>CONCATENATE(U$2,": ",U$3,list1!U197,"]")</f>
        <v xml:space="preserve"> (Наружный блок) Упаковка (Ш x Г x В): S[920 х 390 х 615]</v>
      </c>
      <c r="V197" t="str">
        <f>CONCATENATE(V$2,": ",V$3,list1!V197,"]")</f>
        <v xml:space="preserve"> (Наружный блок) Масса (нетто / брутто): S[29.9/32.6]</v>
      </c>
      <c r="W197" t="str">
        <f>CONCATENATE(W$2,": ",W$3,list1!W197,"]")</f>
        <v xml:space="preserve"> (Наружный блок) Максимальный уровень шума: N[]</v>
      </c>
      <c r="X197" t="str">
        <f>CONCATENATE(X$2,": ",X$3,list1!X197,"]")</f>
        <v xml:space="preserve"> (Соединительные трубы) Жидкостная линия : N[6.35]</v>
      </c>
      <c r="Y197" t="str">
        <f>CONCATENATE(Y$2,": ",Y$3,list1!Y197,"]")</f>
        <v xml:space="preserve"> (Соединительные трубы) Газовая линия : N[9.52]</v>
      </c>
      <c r="Z197" t="str">
        <f>CONCATENATE(Z$2,": ",Z$3,list1!Z197,"]")</f>
        <v xml:space="preserve"> (Соединительные трубы) Максимальная длина трубопровода: N[25]</v>
      </c>
      <c r="AA197" t="str">
        <f>CONCATENATE(AA$2,": ",AA$3,list1!AA197,"]")</f>
        <v xml:space="preserve"> (Соединительные трубы) Максимальный перепад высот: S[10]</v>
      </c>
      <c r="AB197" t="str">
        <f>CONCATENATE(AB$2,": ",AB$3,list1!AB197,"]")</f>
        <v xml:space="preserve"> (Допустимая темп. наружного воздуха) Охлаждение: S[от -15 до +50]</v>
      </c>
      <c r="AC197" t="str">
        <f>CONCATENATE(AC$2,": ",AC$3,list1!AC197,"]")</f>
        <v xml:space="preserve"> (Допустимая темп. наружного воздуха) Обогрев: S[от -15 до +24]</v>
      </c>
      <c r="AD197" s="6" t="s">
        <v>5245</v>
      </c>
    </row>
    <row r="198" spans="1:30" x14ac:dyDescent="0.25">
      <c r="A198" t="str">
        <f>CONCATENATE(A$2,": ",A$3,list1!A198,"]")</f>
        <v>Производитель: E[LESSAR]</v>
      </c>
      <c r="B198" t="str">
        <f>CONCATENATE(B$2,": ",B$3,list1!B198,"]")</f>
        <v xml:space="preserve"> Тип: S[Кассетные]</v>
      </c>
      <c r="C198" t="str">
        <f>CONCATENATE(C$2,": ",C$3,list1!C198,"]")</f>
        <v xml:space="preserve"> (Сплит система) Холодопроизводительность: N[3.66]</v>
      </c>
      <c r="D198" t="str">
        <f>CONCATENATE(D$2,": ",D$3,list1!D198,"]")</f>
        <v xml:space="preserve"> (Сплит система) Площадь помещения: N[36]</v>
      </c>
      <c r="E198" t="str">
        <f>CONCATENATE(E$2,": ",E$3,list1!E198,"]")</f>
        <v xml:space="preserve"> (Сплит система) Инвентор: S[да]</v>
      </c>
      <c r="F198" t="str">
        <f>CONCATENATE(F$2,": ",F$3,list1!F198,"]")</f>
        <v xml:space="preserve"> (Сплит система) Теплопроизводительность: N[4.25]</v>
      </c>
      <c r="G198" t="str">
        <f>CONCATENATE(G$2,": ",G$3,list1!G198,"]")</f>
        <v xml:space="preserve"> (Потребляемая мощность) Охлаждение: N[1.197]</v>
      </c>
      <c r="H198" t="str">
        <f>CONCATENATE(H$2,": ",H$3,list1!H198,"]")</f>
        <v xml:space="preserve"> (Потребляемая мощность) Обогрев: S[1.098]</v>
      </c>
      <c r="I198" t="str">
        <f>CONCATENATE(I$2,": ",I$3,list1!I198,"]")</f>
        <v xml:space="preserve"> (Рабочий ток) Охлаждение: S[]</v>
      </c>
      <c r="J198" t="str">
        <f>CONCATENATE(J$2,": ",J$3,list1!J198,"]")</f>
        <v xml:space="preserve"> (Рабочий ток) Обогрев: S[]</v>
      </c>
      <c r="K198" t="str">
        <f>CONCATENATE(K$2,": ",K$3,list1!K198,"]")</f>
        <v xml:space="preserve"> (Рабочий ток) Напряжение / Частота источника питания: S[1 / 220 / 50]</v>
      </c>
      <c r="L198" t="str">
        <f>CONCATENATE(L$2,": ",L$3,list1!L198,"]")</f>
        <v xml:space="preserve"> (Рабочий ток) Хладагент: S[R410A]</v>
      </c>
      <c r="M198" t="str">
        <f>CONCATENATE(M$2,": ",M$3,list1!M198,"]")</f>
        <v xml:space="preserve"> (Рабочий ток) Количество хладагента: N[]</v>
      </c>
      <c r="N198" t="str">
        <f>CONCATENATE(N$2,": ",N$3,list1!N198,"]")</f>
        <v xml:space="preserve"> (Рабочий ток) Объем рециркулируемого воздуха внутреннего блока: S[]</v>
      </c>
      <c r="O198" t="str">
        <f>CONCATENATE(O$2,": ",O$3,list1!O198,"]")</f>
        <v xml:space="preserve"> (Внутренний блок) Размеры (Ш x Г x В): S[647 х 50 х 647]</v>
      </c>
      <c r="P198" t="str">
        <f>CONCATENATE(P$2,": ",P$3,list1!P198,"]")</f>
        <v xml:space="preserve"> (Внутренний блок) Упаковка (Ш x Г x В): S[715 х 715 х 123]</v>
      </c>
      <c r="Q198" t="str">
        <f>CONCATENATE(Q$2,": ",Q$3,list1!Q198,"]")</f>
        <v xml:space="preserve"> (Внутренний блок) Масса (нетто / брутто): S[2.5 / 4.5]</v>
      </c>
      <c r="R198" t="str">
        <f>CONCATENATE(R$2,": ",R$3,list1!R198,"]")</f>
        <v xml:space="preserve"> (Внутренний блок) Уровень шума мин. / макс.: S[35?/?38?/?42]</v>
      </c>
      <c r="S198" t="str">
        <f>CONCATENATE(S$2,": ",S$3,list1!S198,"]")</f>
        <v xml:space="preserve"> (Наружный блок) Марка компрессора: S[GMCC]</v>
      </c>
      <c r="T198" t="str">
        <f>CONCATENATE(T$2,": ",T$3,list1!T198,"]")</f>
        <v xml:space="preserve"> (Наружный блок) Размеры (Ш x Г x В): S[765 х 303 х 555]</v>
      </c>
      <c r="U198" t="str">
        <f>CONCATENATE(U$2,": ",U$3,list1!U198,"]")</f>
        <v xml:space="preserve"> (Наружный блок) Упаковка (Ш x Г x В): S[887 х 337 х 610]</v>
      </c>
      <c r="V198" t="str">
        <f>CONCATENATE(V$2,": ",V$3,list1!V198,"]")</f>
        <v xml:space="preserve"> (Наружный блок) Масса (нетто / брутто): S[26.9/29.2]</v>
      </c>
      <c r="W198" t="str">
        <f>CONCATENATE(W$2,": ",W$3,list1!W198,"]")</f>
        <v xml:space="preserve"> (Наружный блок) Максимальный уровень шума: N[]</v>
      </c>
      <c r="X198" t="str">
        <f>CONCATENATE(X$2,": ",X$3,list1!X198,"]")</f>
        <v xml:space="preserve"> (Соединительные трубы) Жидкостная линия : N[6.35]</v>
      </c>
      <c r="Y198" t="str">
        <f>CONCATENATE(Y$2,": ",Y$3,list1!Y198,"]")</f>
        <v xml:space="preserve"> (Соединительные трубы) Газовая линия : N[9.52]</v>
      </c>
      <c r="Z198" t="str">
        <f>CONCATENATE(Z$2,": ",Z$3,list1!Z198,"]")</f>
        <v xml:space="preserve"> (Соединительные трубы) Максимальная длина трубопровода: N[25]</v>
      </c>
      <c r="AA198" t="str">
        <f>CONCATENATE(AA$2,": ",AA$3,list1!AA198,"]")</f>
        <v xml:space="preserve"> (Соединительные трубы) Максимальный перепад высот: S[10]</v>
      </c>
      <c r="AB198" t="str">
        <f>CONCATENATE(AB$2,": ",AB$3,list1!AB198,"]")</f>
        <v xml:space="preserve"> (Допустимая темп. наружного воздуха) Охлаждение: S[от -15 до +50]</v>
      </c>
      <c r="AC198" t="str">
        <f>CONCATENATE(AC$2,": ",AC$3,list1!AC198,"]")</f>
        <v xml:space="preserve"> (Допустимая темп. наружного воздуха) Обогрев: S[от -15 до +24]</v>
      </c>
      <c r="AD198" s="6" t="s">
        <v>5245</v>
      </c>
    </row>
    <row r="199" spans="1:30" x14ac:dyDescent="0.25">
      <c r="A199" t="str">
        <f>CONCATENATE(A$2,": ",A$3,list1!A199,"]")</f>
        <v>Производитель: E[LESSAR]</v>
      </c>
      <c r="B199" t="str">
        <f>CONCATENATE(B$2,": ",B$3,list1!B199,"]")</f>
        <v xml:space="preserve"> Тип: S[Кассетные]</v>
      </c>
      <c r="C199" t="str">
        <f>CONCATENATE(C$2,": ",C$3,list1!C199,"]")</f>
        <v xml:space="preserve"> (Сплит система) Холодопроизводительность: N[5.28]</v>
      </c>
      <c r="D199" t="str">
        <f>CONCATENATE(D$2,": ",D$3,list1!D199,"]")</f>
        <v xml:space="preserve"> (Сплит система) Площадь помещения: N[52]</v>
      </c>
      <c r="E199" t="str">
        <f>CONCATENATE(E$2,": ",E$3,list1!E199,"]")</f>
        <v xml:space="preserve"> (Сплит система) Инвентор: S[да]</v>
      </c>
      <c r="F199" t="str">
        <f>CONCATENATE(F$2,": ",F$3,list1!F199,"]")</f>
        <v xml:space="preserve"> (Сплит система) Теплопроизводительность: N[5.57]</v>
      </c>
      <c r="G199" t="str">
        <f>CONCATENATE(G$2,": ",G$3,list1!G199,"]")</f>
        <v xml:space="preserve"> (Потребляемая мощность) Охлаждение: N[1.55]</v>
      </c>
      <c r="H199" t="str">
        <f>CONCATENATE(H$2,": ",H$3,list1!H199,"]")</f>
        <v xml:space="preserve"> (Потребляемая мощность) Обогрев: S[1.42]</v>
      </c>
      <c r="I199" t="str">
        <f>CONCATENATE(I$2,": ",I$3,list1!I199,"]")</f>
        <v xml:space="preserve"> (Рабочий ток) Охлаждение: S[]</v>
      </c>
      <c r="J199" t="str">
        <f>CONCATENATE(J$2,": ",J$3,list1!J199,"]")</f>
        <v xml:space="preserve"> (Рабочий ток) Обогрев: S[]</v>
      </c>
      <c r="K199" t="str">
        <f>CONCATENATE(K$2,": ",K$3,list1!K199,"]")</f>
        <v xml:space="preserve"> (Рабочий ток) Напряжение / Частота источника питания: S[1 / 220 / 50]</v>
      </c>
      <c r="L199" t="str">
        <f>CONCATENATE(L$2,": ",L$3,list1!L199,"]")</f>
        <v xml:space="preserve"> (Рабочий ток) Хладагент: S[R410A]</v>
      </c>
      <c r="M199" t="str">
        <f>CONCATENATE(M$2,": ",M$3,list1!M199,"]")</f>
        <v xml:space="preserve"> (Рабочий ток) Количество хладагента: N[]</v>
      </c>
      <c r="N199" t="str">
        <f>CONCATENATE(N$2,": ",N$3,list1!N199,"]")</f>
        <v xml:space="preserve"> (Рабочий ток) Объем рециркулируемого воздуха внутреннего блока: S[]</v>
      </c>
      <c r="O199" t="str">
        <f>CONCATENATE(O$2,": ",O$3,list1!O199,"]")</f>
        <v xml:space="preserve"> (Внутренний блок) Размеры (Ш x Г x В): S[647 х 50 х 647]</v>
      </c>
      <c r="P199" t="str">
        <f>CONCATENATE(P$2,": ",P$3,list1!P199,"]")</f>
        <v xml:space="preserve"> (Внутренний блок) Упаковка (Ш x Г x В): S[715 х 715 х 123]</v>
      </c>
      <c r="Q199" t="str">
        <f>CONCATENATE(Q$2,": ",Q$3,list1!Q199,"]")</f>
        <v xml:space="preserve"> (Внутренний блок) Масса (нетто / брутто): S[2.5 / 4.5]</v>
      </c>
      <c r="R199" t="str">
        <f>CONCATENATE(R$2,": ",R$3,list1!R199,"]")</f>
        <v xml:space="preserve"> (Внутренний блок) Уровень шума мин. / макс.: S[36/39/43]</v>
      </c>
      <c r="S199" t="str">
        <f>CONCATENATE(S$2,": ",S$3,list1!S199,"]")</f>
        <v xml:space="preserve"> (Наружный блок) Марка компрессора: S[GMCC]</v>
      </c>
      <c r="T199" t="str">
        <f>CONCATENATE(T$2,": ",T$3,list1!T199,"]")</f>
        <v xml:space="preserve"> (Наружный блок) Размеры (Ш x Г x В): S[800 х 333 х 554]</v>
      </c>
      <c r="U199" t="str">
        <f>CONCATENATE(U$2,": ",U$3,list1!U199,"]")</f>
        <v xml:space="preserve"> (Наружный блок) Упаковка (Ш x Г x В): S[920 х 390 х 615]</v>
      </c>
      <c r="V199" t="str">
        <f>CONCATENATE(V$2,": ",V$3,list1!V199,"]")</f>
        <v xml:space="preserve"> (Наружный блок) Масса (нетто / брутто): S[34.5/37.2]</v>
      </c>
      <c r="W199" t="str">
        <f>CONCATENATE(W$2,": ",W$3,list1!W199,"]")</f>
        <v xml:space="preserve"> (Наружный блок) Максимальный уровень шума: N[]</v>
      </c>
      <c r="X199" t="str">
        <f>CONCATENATE(X$2,": ",X$3,list1!X199,"]")</f>
        <v xml:space="preserve"> (Соединительные трубы) Жидкостная линия : N[6.35]</v>
      </c>
      <c r="Y199" t="str">
        <f>CONCATENATE(Y$2,": ",Y$3,list1!Y199,"]")</f>
        <v xml:space="preserve"> (Соединительные трубы) Газовая линия : N[12.7]</v>
      </c>
      <c r="Z199" t="str">
        <f>CONCATENATE(Z$2,": ",Z$3,list1!Z199,"]")</f>
        <v xml:space="preserve"> (Соединительные трубы) Максимальная длина трубопровода: N[30]</v>
      </c>
      <c r="AA199" t="str">
        <f>CONCATENATE(AA$2,": ",AA$3,list1!AA199,"]")</f>
        <v xml:space="preserve"> (Соединительные трубы) Максимальный перепад высот: S[20]</v>
      </c>
      <c r="AB199" t="str">
        <f>CONCATENATE(AB$2,": ",AB$3,list1!AB199,"]")</f>
        <v xml:space="preserve"> (Допустимая темп. наружного воздуха) Охлаждение: S[от -15 до +50]</v>
      </c>
      <c r="AC199" t="str">
        <f>CONCATENATE(AC$2,": ",AC$3,list1!AC199,"]")</f>
        <v xml:space="preserve"> (Допустимая темп. наружного воздуха) Обогрев: S[от -15 до +24]</v>
      </c>
      <c r="AD199" s="6" t="s">
        <v>5245</v>
      </c>
    </row>
    <row r="200" spans="1:30" x14ac:dyDescent="0.25">
      <c r="A200" t="str">
        <f>CONCATENATE(A$2,": ",A$3,list1!A200,"]")</f>
        <v>Производитель: E[LESSAR]</v>
      </c>
      <c r="B200" t="str">
        <f>CONCATENATE(B$2,": ",B$3,list1!B200,"]")</f>
        <v xml:space="preserve"> Тип: S[Кассетные]</v>
      </c>
      <c r="C200" t="str">
        <f>CONCATENATE(C$2,": ",C$3,list1!C200,"]")</f>
        <v xml:space="preserve"> (Сплит система) Холодопроизводительность: N[5.28]</v>
      </c>
      <c r="D200" t="str">
        <f>CONCATENATE(D$2,": ",D$3,list1!D200,"]")</f>
        <v xml:space="preserve"> (Сплит система) Площадь помещения: N[52]</v>
      </c>
      <c r="E200" t="str">
        <f>CONCATENATE(E$2,": ",E$3,list1!E200,"]")</f>
        <v xml:space="preserve"> (Сплит система) Инвентор: S[да]</v>
      </c>
      <c r="F200" t="str">
        <f>CONCATENATE(F$2,": ",F$3,list1!F200,"]")</f>
        <v xml:space="preserve"> (Сплит система) Теплопроизводительность: N[5.57]</v>
      </c>
      <c r="G200" t="str">
        <f>CONCATENATE(G$2,": ",G$3,list1!G200,"]")</f>
        <v xml:space="preserve"> (Потребляемая мощность) Охлаждение: N[1.649]</v>
      </c>
      <c r="H200" t="str">
        <f>CONCATENATE(H$2,": ",H$3,list1!H200,"]")</f>
        <v xml:space="preserve"> (Потребляемая мощность) Обогрев: S[1.52]</v>
      </c>
      <c r="I200" t="str">
        <f>CONCATENATE(I$2,": ",I$3,list1!I200,"]")</f>
        <v xml:space="preserve"> (Рабочий ток) Охлаждение: S[]</v>
      </c>
      <c r="J200" t="str">
        <f>CONCATENATE(J$2,": ",J$3,list1!J200,"]")</f>
        <v xml:space="preserve"> (Рабочий ток) Обогрев: S[]</v>
      </c>
      <c r="K200" t="str">
        <f>CONCATENATE(K$2,": ",K$3,list1!K200,"]")</f>
        <v xml:space="preserve"> (Рабочий ток) Напряжение / Частота источника питания: S[1 / 220 / 50]</v>
      </c>
      <c r="L200" t="str">
        <f>CONCATENATE(L$2,": ",L$3,list1!L200,"]")</f>
        <v xml:space="preserve"> (Рабочий ток) Хладагент: S[R410A]</v>
      </c>
      <c r="M200" t="str">
        <f>CONCATENATE(M$2,": ",M$3,list1!M200,"]")</f>
        <v xml:space="preserve"> (Рабочий ток) Количество хладагента: N[]</v>
      </c>
      <c r="N200" t="str">
        <f>CONCATENATE(N$2,": ",N$3,list1!N200,"]")</f>
        <v xml:space="preserve"> (Рабочий ток) Объем рециркулируемого воздуха внутреннего блока: S[]</v>
      </c>
      <c r="O200" t="str">
        <f>CONCATENATE(O$2,": ",O$3,list1!O200,"]")</f>
        <v xml:space="preserve"> (Внутренний блок) Размеры (Ш x Г x В): S[647 х 50 х 647]</v>
      </c>
      <c r="P200" t="str">
        <f>CONCATENATE(P$2,": ",P$3,list1!P200,"]")</f>
        <v xml:space="preserve"> (Внутренний блок) Упаковка (Ш x Г x В): S[715 х 715 х 123]</v>
      </c>
      <c r="Q200" t="str">
        <f>CONCATENATE(Q$2,": ",Q$3,list1!Q200,"]")</f>
        <v xml:space="preserve"> (Внутренний блок) Масса (нетто / брутто): S[2.5 / 4.5]</v>
      </c>
      <c r="R200" t="str">
        <f>CONCATENATE(R$2,": ",R$3,list1!R200,"]")</f>
        <v xml:space="preserve"> (Внутренний блок) Уровень шума мин. / макс.: S[37?/?40.5?/?44]</v>
      </c>
      <c r="S200" t="str">
        <f>CONCATENATE(S$2,": ",S$3,list1!S200,"]")</f>
        <v xml:space="preserve"> (Наружный блок) Марка компрессора: S[GMCC]</v>
      </c>
      <c r="T200" t="str">
        <f>CONCATENATE(T$2,": ",T$3,list1!T200,"]")</f>
        <v xml:space="preserve"> (Наружный блок) Размеры (Ш x Г x В): S[805 х 330 х 554]</v>
      </c>
      <c r="U200" t="str">
        <f>CONCATENATE(U$2,": ",U$3,list1!U200,"]")</f>
        <v xml:space="preserve"> (Наружный блок) Упаковка (Ш x Г x В): S[915 х 370 х 615]</v>
      </c>
      <c r="V200" t="str">
        <f>CONCATENATE(V$2,": ",V$3,list1!V200,"]")</f>
        <v xml:space="preserve"> (Наружный блок) Масса (нетто / брутто): S[33.6/36.2]</v>
      </c>
      <c r="W200" t="str">
        <f>CONCATENATE(W$2,": ",W$3,list1!W200,"]")</f>
        <v xml:space="preserve"> (Наружный блок) Максимальный уровень шума: N[]</v>
      </c>
      <c r="X200" t="str">
        <f>CONCATENATE(X$2,": ",X$3,list1!X200,"]")</f>
        <v xml:space="preserve"> (Соединительные трубы) Жидкостная линия : N[6.35]</v>
      </c>
      <c r="Y200" t="str">
        <f>CONCATENATE(Y$2,": ",Y$3,list1!Y200,"]")</f>
        <v xml:space="preserve"> (Соединительные трубы) Газовая линия : N[12.7]</v>
      </c>
      <c r="Z200" t="str">
        <f>CONCATENATE(Z$2,": ",Z$3,list1!Z200,"]")</f>
        <v xml:space="preserve"> (Соединительные трубы) Максимальная длина трубопровода: N[30]</v>
      </c>
      <c r="AA200" t="str">
        <f>CONCATENATE(AA$2,": ",AA$3,list1!AA200,"]")</f>
        <v xml:space="preserve"> (Соединительные трубы) Максимальный перепад высот: S[20]</v>
      </c>
      <c r="AB200" t="str">
        <f>CONCATENATE(AB$2,": ",AB$3,list1!AB200,"]")</f>
        <v xml:space="preserve"> (Допустимая темп. наружного воздуха) Охлаждение: S[от -15 до +50]</v>
      </c>
      <c r="AC200" t="str">
        <f>CONCATENATE(AC$2,": ",AC$3,list1!AC200,"]")</f>
        <v xml:space="preserve"> (Допустимая темп. наружного воздуха) Обогрев: S[от -15 до +24]</v>
      </c>
      <c r="AD200" s="6" t="s">
        <v>5245</v>
      </c>
    </row>
    <row r="201" spans="1:30" x14ac:dyDescent="0.25">
      <c r="A201" t="str">
        <f>CONCATENATE(A$2,": ",A$3,list1!A201,"]")</f>
        <v>Производитель: E[LESSAR]</v>
      </c>
      <c r="B201" t="str">
        <f>CONCATENATE(B$2,": ",B$3,list1!B201,"]")</f>
        <v xml:space="preserve"> Тип: S[Напольно-потолочные]</v>
      </c>
      <c r="C201" t="str">
        <f>CONCATENATE(C$2,": ",C$3,list1!C201,"]")</f>
        <v xml:space="preserve"> (Сплит система) Холодопроизводительность: N[5.28]</v>
      </c>
      <c r="D201" t="str">
        <f>CONCATENATE(D$2,": ",D$3,list1!D201,"]")</f>
        <v xml:space="preserve"> (Сплит система) Площадь помещения: N[52]</v>
      </c>
      <c r="E201" t="str">
        <f>CONCATENATE(E$2,": ",E$3,list1!E201,"]")</f>
        <v xml:space="preserve"> (Сплит система) Инвентор: S[да]</v>
      </c>
      <c r="F201" t="str">
        <f>CONCATENATE(F$2,": ",F$3,list1!F201,"]")</f>
        <v xml:space="preserve"> (Сплит система) Теплопроизводительность: N[5.67]</v>
      </c>
      <c r="G201" t="str">
        <f>CONCATENATE(G$2,": ",G$3,list1!G201,"]")</f>
        <v xml:space="preserve"> (Потребляемая мощность) Охлаждение: N[1.63]</v>
      </c>
      <c r="H201" t="str">
        <f>CONCATENATE(H$2,": ",H$3,list1!H201,"]")</f>
        <v xml:space="preserve"> (Потребляемая мощность) Обогрев: S[1.46]</v>
      </c>
      <c r="I201" t="str">
        <f>CONCATENATE(I$2,": ",I$3,list1!I201,"]")</f>
        <v xml:space="preserve"> (Рабочий ток) Охлаждение: S[]</v>
      </c>
      <c r="J201" t="str">
        <f>CONCATENATE(J$2,": ",J$3,list1!J201,"]")</f>
        <v xml:space="preserve"> (Рабочий ток) Обогрев: S[]</v>
      </c>
      <c r="K201" t="str">
        <f>CONCATENATE(K$2,": ",K$3,list1!K201,"]")</f>
        <v xml:space="preserve"> (Рабочий ток) Напряжение / Частота источника питания: S[1 / 220 / 50]</v>
      </c>
      <c r="L201" t="str">
        <f>CONCATENATE(L$2,": ",L$3,list1!L201,"]")</f>
        <v xml:space="preserve"> (Рабочий ток) Хладагент: S[R410A]</v>
      </c>
      <c r="M201" t="str">
        <f>CONCATENATE(M$2,": ",M$3,list1!M201,"]")</f>
        <v xml:space="preserve"> (Рабочий ток) Количество хладагента: N[]</v>
      </c>
      <c r="N201" t="str">
        <f>CONCATENATE(N$2,": ",N$3,list1!N201,"]")</f>
        <v xml:space="preserve"> (Рабочий ток) Объем рециркулируемого воздуха внутреннего блока: S[]</v>
      </c>
      <c r="O201" t="str">
        <f>CONCATENATE(O$2,": ",O$3,list1!O201,"]")</f>
        <v xml:space="preserve"> (Внутренний блок) Размеры (Ш x Г x В): S[1068 х 235 х 675]</v>
      </c>
      <c r="P201" t="str">
        <f>CONCATENATE(P$2,": ",P$3,list1!P201,"]")</f>
        <v xml:space="preserve"> (Внутренний блок) Упаковка (Ш x Г x В): S[1145 х 755 х 313]</v>
      </c>
      <c r="Q201" t="str">
        <f>CONCATENATE(Q$2,": ",Q$3,list1!Q201,"]")</f>
        <v xml:space="preserve"> (Внутренний блок) Масса (нетто / брутто): S[28 / 33.3]</v>
      </c>
      <c r="R201" t="str">
        <f>CONCATENATE(R$2,": ",R$3,list1!R201,"]")</f>
        <v xml:space="preserve"> (Внутренний блок) Уровень шума мин. / макс.: S[37/40/45]</v>
      </c>
      <c r="S201" t="str">
        <f>CONCATENATE(S$2,": ",S$3,list1!S201,"]")</f>
        <v xml:space="preserve"> (Наружный блок) Марка компрессора: S[GMCC]</v>
      </c>
      <c r="T201" t="str">
        <f>CONCATENATE(T$2,": ",T$3,list1!T201,"]")</f>
        <v xml:space="preserve"> (Наружный блок) Размеры (Ш x Г x В): S[800 х 333 х 554]</v>
      </c>
      <c r="U201" t="str">
        <f>CONCATENATE(U$2,": ",U$3,list1!U201,"]")</f>
        <v xml:space="preserve"> (Наружный блок) Упаковка (Ш x Г x В): S[920 х 390 х 615]</v>
      </c>
      <c r="V201" t="str">
        <f>CONCATENATE(V$2,": ",V$3,list1!V201,"]")</f>
        <v xml:space="preserve"> (Наружный блок) Масса (нетто / брутто): S[35.5/38.4]</v>
      </c>
      <c r="W201" t="str">
        <f>CONCATENATE(W$2,": ",W$3,list1!W201,"]")</f>
        <v xml:space="preserve"> (Наружный блок) Максимальный уровень шума: N[]</v>
      </c>
      <c r="X201" t="str">
        <f>CONCATENATE(X$2,": ",X$3,list1!X201,"]")</f>
        <v xml:space="preserve"> (Соединительные трубы) Жидкостная линия : N[6.35]</v>
      </c>
      <c r="Y201" t="str">
        <f>CONCATENATE(Y$2,": ",Y$3,list1!Y201,"]")</f>
        <v xml:space="preserve"> (Соединительные трубы) Газовая линия : N[12.7]</v>
      </c>
      <c r="Z201" t="str">
        <f>CONCATENATE(Z$2,": ",Z$3,list1!Z201,"]")</f>
        <v xml:space="preserve"> (Соединительные трубы) Максимальная длина трубопровода: N[30]</v>
      </c>
      <c r="AA201" t="str">
        <f>CONCATENATE(AA$2,": ",AA$3,list1!AA201,"]")</f>
        <v xml:space="preserve"> (Соединительные трубы) Максимальный перепад высот: S[20]</v>
      </c>
      <c r="AB201" t="str">
        <f>CONCATENATE(AB$2,": ",AB$3,list1!AB201,"]")</f>
        <v xml:space="preserve"> (Допустимая темп. наружного воздуха) Охлаждение: S[от -15 до +50]</v>
      </c>
      <c r="AC201" t="str">
        <f>CONCATENATE(AC$2,": ",AC$3,list1!AC201,"]")</f>
        <v xml:space="preserve"> (Допустимая темп. наружного воздуха) Обогрев: S[от -15 до +24]</v>
      </c>
      <c r="AD201" s="6" t="s">
        <v>5245</v>
      </c>
    </row>
    <row r="202" spans="1:30" x14ac:dyDescent="0.25">
      <c r="A202" t="str">
        <f>CONCATENATE(A$2,": ",A$3,list1!A202,"]")</f>
        <v>Производитель: E[LESSAR]</v>
      </c>
      <c r="B202" t="str">
        <f>CONCATENATE(B$2,": ",B$3,list1!B202,"]")</f>
        <v xml:space="preserve"> Тип: S[Напольно-потолочные]</v>
      </c>
      <c r="C202" t="str">
        <f>CONCATENATE(C$2,": ",C$3,list1!C202,"]")</f>
        <v xml:space="preserve"> (Сплит система) Холодопроизводительность: N[5.28]</v>
      </c>
      <c r="D202" t="str">
        <f>CONCATENATE(D$2,": ",D$3,list1!D202,"]")</f>
        <v xml:space="preserve"> (Сплит система) Площадь помещения: N[52]</v>
      </c>
      <c r="E202" t="str">
        <f>CONCATENATE(E$2,": ",E$3,list1!E202,"]")</f>
        <v xml:space="preserve"> (Сплит система) Инвентор: S[да]</v>
      </c>
      <c r="F202" t="str">
        <f>CONCATENATE(F$2,": ",F$3,list1!F202,"]")</f>
        <v xml:space="preserve"> (Сплит система) Теплопроизводительность: N[5.57]</v>
      </c>
      <c r="G202" t="str">
        <f>CONCATENATE(G$2,": ",G$3,list1!G202,"]")</f>
        <v xml:space="preserve"> (Потребляемая мощность) Охлаждение: N[1.633]</v>
      </c>
      <c r="H202" t="str">
        <f>CONCATENATE(H$2,": ",H$3,list1!H202,"]")</f>
        <v xml:space="preserve"> (Потребляемая мощность) Обогрев: S[1.5]</v>
      </c>
      <c r="I202" t="str">
        <f>CONCATENATE(I$2,": ",I$3,list1!I202,"]")</f>
        <v xml:space="preserve"> (Рабочий ток) Охлаждение: S[]</v>
      </c>
      <c r="J202" t="str">
        <f>CONCATENATE(J$2,": ",J$3,list1!J202,"]")</f>
        <v xml:space="preserve"> (Рабочий ток) Обогрев: S[]</v>
      </c>
      <c r="K202" t="str">
        <f>CONCATENATE(K$2,": ",K$3,list1!K202,"]")</f>
        <v xml:space="preserve"> (Рабочий ток) Напряжение / Частота источника питания: S[1 / 220 / 50]</v>
      </c>
      <c r="L202" t="str">
        <f>CONCATENATE(L$2,": ",L$3,list1!L202,"]")</f>
        <v xml:space="preserve"> (Рабочий ток) Хладагент: S[R410A]</v>
      </c>
      <c r="M202" t="str">
        <f>CONCATENATE(M$2,": ",M$3,list1!M202,"]")</f>
        <v xml:space="preserve"> (Рабочий ток) Количество хладагента: N[]</v>
      </c>
      <c r="N202" t="str">
        <f>CONCATENATE(N$2,": ",N$3,list1!N202,"]")</f>
        <v xml:space="preserve"> (Рабочий ток) Объем рециркулируемого воздуха внутреннего блока: S[]</v>
      </c>
      <c r="O202" t="str">
        <f>CONCATENATE(O$2,": ",O$3,list1!O202,"]")</f>
        <v xml:space="preserve"> (Внутренний блок) Размеры (Ш x Г x В): S[1068 х 235 х 675]</v>
      </c>
      <c r="P202" t="str">
        <f>CONCATENATE(P$2,": ",P$3,list1!P202,"]")</f>
        <v xml:space="preserve"> (Внутренний блок) Упаковка (Ш x Г x В): S[1145 х 755 х 313]</v>
      </c>
      <c r="Q202" t="str">
        <f>CONCATENATE(Q$2,": ",Q$3,list1!Q202,"]")</f>
        <v xml:space="preserve"> (Внутренний блок) Масса (нетто / брутто): S[28 / 33.3]</v>
      </c>
      <c r="R202" t="str">
        <f>CONCATENATE(R$2,": ",R$3,list1!R202,"]")</f>
        <v xml:space="preserve"> (Внутренний блок) Уровень шума мин. / макс.: S[34.5/38.5/42]</v>
      </c>
      <c r="S202" t="str">
        <f>CONCATENATE(S$2,": ",S$3,list1!S202,"]")</f>
        <v xml:space="preserve"> (Наружный блок) Марка компрессора: S[GMCC]</v>
      </c>
      <c r="T202" t="str">
        <f>CONCATENATE(T$2,": ",T$3,list1!T202,"]")</f>
        <v xml:space="preserve"> (Наружный блок) Размеры (Ш x Г x В): S[800 х 333 х 554]</v>
      </c>
      <c r="U202" t="str">
        <f>CONCATENATE(U$2,": ",U$3,list1!U202,"]")</f>
        <v xml:space="preserve"> (Наружный блок) Упаковка (Ш x Г x В): S[920 х 390 х 615]</v>
      </c>
      <c r="V202" t="str">
        <f>CONCATENATE(V$2,": ",V$3,list1!V202,"]")</f>
        <v xml:space="preserve"> (Наружный блок) Масса (нетто / брутто): S[34.5/37.2]</v>
      </c>
      <c r="W202" t="str">
        <f>CONCATENATE(W$2,": ",W$3,list1!W202,"]")</f>
        <v xml:space="preserve"> (Наружный блок) Максимальный уровень шума: N[]</v>
      </c>
      <c r="X202" t="str">
        <f>CONCATENATE(X$2,": ",X$3,list1!X202,"]")</f>
        <v xml:space="preserve"> (Соединительные трубы) Жидкостная линия : N[6.35]</v>
      </c>
      <c r="Y202" t="str">
        <f>CONCATENATE(Y$2,": ",Y$3,list1!Y202,"]")</f>
        <v xml:space="preserve"> (Соединительные трубы) Газовая линия : N[12.7]</v>
      </c>
      <c r="Z202" t="str">
        <f>CONCATENATE(Z$2,": ",Z$3,list1!Z202,"]")</f>
        <v xml:space="preserve"> (Соединительные трубы) Максимальная длина трубопровода: N[30]</v>
      </c>
      <c r="AA202" t="str">
        <f>CONCATENATE(AA$2,": ",AA$3,list1!AA202,"]")</f>
        <v xml:space="preserve"> (Соединительные трубы) Максимальный перепад высот: S[20]</v>
      </c>
      <c r="AB202" t="str">
        <f>CONCATENATE(AB$2,": ",AB$3,list1!AB202,"]")</f>
        <v xml:space="preserve"> (Допустимая темп. наружного воздуха) Охлаждение: S[от -15 до +50]</v>
      </c>
      <c r="AC202" t="str">
        <f>CONCATENATE(AC$2,": ",AC$3,list1!AC202,"]")</f>
        <v xml:space="preserve"> (Допустимая темп. наружного воздуха) Обогрев: S[от -15 до +24]</v>
      </c>
      <c r="AD202" s="6" t="s">
        <v>5245</v>
      </c>
    </row>
    <row r="203" spans="1:30" x14ac:dyDescent="0.25">
      <c r="A203" t="str">
        <f>CONCATENATE(A$2,": ",A$3,list1!A203,"]")</f>
        <v>Производитель: E[LESSAR]</v>
      </c>
      <c r="B203" t="str">
        <f>CONCATENATE(B$2,": ",B$3,list1!B203,"]")</f>
        <v xml:space="preserve"> Тип: S[Напольно-потолочные]</v>
      </c>
      <c r="C203" t="str">
        <f>CONCATENATE(C$2,": ",C$3,list1!C203,"]")</f>
        <v xml:space="preserve"> (Сплит система) Холодопроизводительность: N[5.28]</v>
      </c>
      <c r="D203" t="str">
        <f>CONCATENATE(D$2,": ",D$3,list1!D203,"]")</f>
        <v xml:space="preserve"> (Сплит система) Площадь помещения: N[52]</v>
      </c>
      <c r="E203" t="str">
        <f>CONCATENATE(E$2,": ",E$3,list1!E203,"]")</f>
        <v xml:space="preserve"> (Сплит система) Инвентор: S[да]</v>
      </c>
      <c r="F203" t="str">
        <f>CONCATENATE(F$2,": ",F$3,list1!F203,"]")</f>
        <v xml:space="preserve"> (Сплит система) Теплопроизводительность: N[5.86]</v>
      </c>
      <c r="G203" t="str">
        <f>CONCATENATE(G$2,": ",G$3,list1!G203,"]")</f>
        <v xml:space="preserve"> (Потребляемая мощность) Охлаждение: N[1.649]</v>
      </c>
      <c r="H203" t="str">
        <f>CONCATENATE(H$2,": ",H$3,list1!H203,"]")</f>
        <v xml:space="preserve"> (Потребляемая мощность) Обогрев: S[1.5]</v>
      </c>
      <c r="I203" t="str">
        <f>CONCATENATE(I$2,": ",I$3,list1!I203,"]")</f>
        <v xml:space="preserve"> (Рабочий ток) Охлаждение: S[]</v>
      </c>
      <c r="J203" t="str">
        <f>CONCATENATE(J$2,": ",J$3,list1!J203,"]")</f>
        <v xml:space="preserve"> (Рабочий ток) Обогрев: S[]</v>
      </c>
      <c r="K203" t="str">
        <f>CONCATENATE(K$2,": ",K$3,list1!K203,"]")</f>
        <v xml:space="preserve"> (Рабочий ток) Напряжение / Частота источника питания: S[1 / 220 / 50]</v>
      </c>
      <c r="L203" t="str">
        <f>CONCATENATE(L$2,": ",L$3,list1!L203,"]")</f>
        <v xml:space="preserve"> (Рабочий ток) Хладагент: S[R410A]</v>
      </c>
      <c r="M203" t="str">
        <f>CONCATENATE(M$2,": ",M$3,list1!M203,"]")</f>
        <v xml:space="preserve"> (Рабочий ток) Количество хладагента: N[]</v>
      </c>
      <c r="N203" t="str">
        <f>CONCATENATE(N$2,": ",N$3,list1!N203,"]")</f>
        <v xml:space="preserve"> (Рабочий ток) Объем рециркулируемого воздуха внутреннего блока: S[]</v>
      </c>
      <c r="O203" t="str">
        <f>CONCATENATE(O$2,": ",O$3,list1!O203,"]")</f>
        <v xml:space="preserve"> (Внутренний блок) Размеры (Ш x Г x В): S[1068 х 235 х 675]</v>
      </c>
      <c r="P203" t="str">
        <f>CONCATENATE(P$2,": ",P$3,list1!P203,"]")</f>
        <v xml:space="preserve"> (Внутренний блок) Упаковка (Ш x Г x В): S[1145 х 755 х 318]</v>
      </c>
      <c r="Q203" t="str">
        <f>CONCATENATE(Q$2,": ",Q$3,list1!Q203,"]")</f>
        <v xml:space="preserve"> (Внутренний блок) Масса (нетто / брутто): S[28 / 33.3]</v>
      </c>
      <c r="R203" t="str">
        <f>CONCATENATE(R$2,": ",R$3,list1!R203,"]")</f>
        <v xml:space="preserve"> (Внутренний блок) Уровень шума мин. / макс.: S[35.5/39/43]</v>
      </c>
      <c r="S203" t="str">
        <f>CONCATENATE(S$2,": ",S$3,list1!S203,"]")</f>
        <v xml:space="preserve"> (Наружный блок) Марка компрессора: S[GMCC]</v>
      </c>
      <c r="T203" t="str">
        <f>CONCATENATE(T$2,": ",T$3,list1!T203,"]")</f>
        <v xml:space="preserve"> (Наружный блок) Размеры (Ш x Г x В): S[805 х 330 х 554]</v>
      </c>
      <c r="U203" t="str">
        <f>CONCATENATE(U$2,": ",U$3,list1!U203,"]")</f>
        <v xml:space="preserve"> (Наружный блок) Упаковка (Ш x Г x В): S[915 х 370 х 615]</v>
      </c>
      <c r="V203" t="str">
        <f>CONCATENATE(V$2,": ",V$3,list1!V203,"]")</f>
        <v xml:space="preserve"> (Наружный блок) Масса (нетто / брутто): S[33.6/36.2]</v>
      </c>
      <c r="W203" t="str">
        <f>CONCATENATE(W$2,": ",W$3,list1!W203,"]")</f>
        <v xml:space="preserve"> (Наружный блок) Максимальный уровень шума: N[]</v>
      </c>
      <c r="X203" t="str">
        <f>CONCATENATE(X$2,": ",X$3,list1!X203,"]")</f>
        <v xml:space="preserve"> (Соединительные трубы) Жидкостная линия : N[6.35]</v>
      </c>
      <c r="Y203" t="str">
        <f>CONCATENATE(Y$2,": ",Y$3,list1!Y203,"]")</f>
        <v xml:space="preserve"> (Соединительные трубы) Газовая линия : N[12.7]</v>
      </c>
      <c r="Z203" t="str">
        <f>CONCATENATE(Z$2,": ",Z$3,list1!Z203,"]")</f>
        <v xml:space="preserve"> (Соединительные трубы) Максимальная длина трубопровода: N[30]</v>
      </c>
      <c r="AA203" t="str">
        <f>CONCATENATE(AA$2,": ",AA$3,list1!AA203,"]")</f>
        <v xml:space="preserve"> (Соединительные трубы) Максимальный перепад высот: S[20]</v>
      </c>
      <c r="AB203" t="str">
        <f>CONCATENATE(AB$2,": ",AB$3,list1!AB203,"]")</f>
        <v xml:space="preserve"> (Допустимая темп. наружного воздуха) Охлаждение: S[от -15 до +50]</v>
      </c>
      <c r="AC203" t="str">
        <f>CONCATENATE(AC$2,": ",AC$3,list1!AC203,"]")</f>
        <v xml:space="preserve"> (Допустимая темп. наружного воздуха) Обогрев: S[от -15 до +24]</v>
      </c>
      <c r="AD203" s="6" t="s">
        <v>5245</v>
      </c>
    </row>
    <row r="204" spans="1:30" x14ac:dyDescent="0.25">
      <c r="A204" t="str">
        <f>CONCATENATE(A$2,": ",A$3,list1!A204,"]")</f>
        <v>Производитель: E[LESSAR]</v>
      </c>
      <c r="B204" t="str">
        <f>CONCATENATE(B$2,": ",B$3,list1!B204,"]")</f>
        <v xml:space="preserve"> Тип: S[Напольно-потолочные]</v>
      </c>
      <c r="C204" t="str">
        <f>CONCATENATE(C$2,": ",C$3,list1!C204,"]")</f>
        <v xml:space="preserve"> (Сплит система) Холодопроизводительность: N[7.03]</v>
      </c>
      <c r="D204" t="str">
        <f>CONCATENATE(D$2,": ",D$3,list1!D204,"]")</f>
        <v xml:space="preserve"> (Сплит система) Площадь помещения: N[70]</v>
      </c>
      <c r="E204" t="str">
        <f>CONCATENATE(E$2,": ",E$3,list1!E204,"]")</f>
        <v xml:space="preserve"> (Сплит система) Инвентор: S[да]</v>
      </c>
      <c r="F204" t="str">
        <f>CONCATENATE(F$2,": ",F$3,list1!F204,"]")</f>
        <v xml:space="preserve"> (Сплит система) Теплопроизводительность: N[7.62]</v>
      </c>
      <c r="G204" t="str">
        <f>CONCATENATE(G$2,": ",G$3,list1!G204,"]")</f>
        <v xml:space="preserve"> (Потребляемая мощность) Охлаждение: N[2.07]</v>
      </c>
      <c r="H204" t="str">
        <f>CONCATENATE(H$2,": ",H$3,list1!H204,"]")</f>
        <v xml:space="preserve"> (Потребляемая мощность) Обогрев: S[2.05]</v>
      </c>
      <c r="I204" t="str">
        <f>CONCATENATE(I$2,": ",I$3,list1!I204,"]")</f>
        <v xml:space="preserve"> (Рабочий ток) Охлаждение: S[]</v>
      </c>
      <c r="J204" t="str">
        <f>CONCATENATE(J$2,": ",J$3,list1!J204,"]")</f>
        <v xml:space="preserve"> (Рабочий ток) Обогрев: S[]</v>
      </c>
      <c r="K204" t="str">
        <f>CONCATENATE(K$2,": ",K$3,list1!K204,"]")</f>
        <v xml:space="preserve"> (Рабочий ток) Напряжение / Частота источника питания: S[1 / 220 / 50]</v>
      </c>
      <c r="L204" t="str">
        <f>CONCATENATE(L$2,": ",L$3,list1!L204,"]")</f>
        <v xml:space="preserve"> (Рабочий ток) Хладагент: S[R410A]</v>
      </c>
      <c r="M204" t="str">
        <f>CONCATENATE(M$2,": ",M$3,list1!M204,"]")</f>
        <v xml:space="preserve"> (Рабочий ток) Количество хладагента: N[]</v>
      </c>
      <c r="N204" t="str">
        <f>CONCATENATE(N$2,": ",N$3,list1!N204,"]")</f>
        <v xml:space="preserve"> (Рабочий ток) Объем рециркулируемого воздуха внутреннего блока: S[]</v>
      </c>
      <c r="O204" t="str">
        <f>CONCATENATE(O$2,": ",O$3,list1!O204,"]")</f>
        <v xml:space="preserve"> (Внутренний блок) Размеры (Ш x Г x В): S[1068 х 235 х 675]</v>
      </c>
      <c r="P204" t="str">
        <f>CONCATENATE(P$2,": ",P$3,list1!P204,"]")</f>
        <v xml:space="preserve"> (Внутренний блок) Упаковка (Ш x Г x В): S[1145 х 755 х 318]</v>
      </c>
      <c r="Q204" t="str">
        <f>CONCATENATE(Q$2,": ",Q$3,list1!Q204,"]")</f>
        <v xml:space="preserve"> (Внутренний блок) Масса (нетто / брутто): S[26.8 / 31.9]</v>
      </c>
      <c r="R204" t="str">
        <f>CONCATENATE(R$2,": ",R$3,list1!R204,"]")</f>
        <v xml:space="preserve"> (Внутренний блок) Уровень шума мин. / макс.: S[41/46/50]</v>
      </c>
      <c r="S204" t="str">
        <f>CONCATENATE(S$2,": ",S$3,list1!S204,"]")</f>
        <v xml:space="preserve"> (Наружный блок) Марка компрессора: S[GMCC]</v>
      </c>
      <c r="T204" t="str">
        <f>CONCATENATE(T$2,": ",T$3,list1!T204,"]")</f>
        <v xml:space="preserve"> (Наружный блок) Размеры (Ш x Г x В): S[845 х 363 х 702]</v>
      </c>
      <c r="U204" t="str">
        <f>CONCATENATE(U$2,": ",U$3,list1!U204,"]")</f>
        <v xml:space="preserve"> (Наружный блок) Упаковка (Ш x Г x В): S[965 х 395 х 755]</v>
      </c>
      <c r="V204" t="str">
        <f>CONCATENATE(V$2,": ",V$3,list1!V204,"]")</f>
        <v xml:space="preserve"> (Наружный блок) Масса (нетто / брутто): S[49/51.5]</v>
      </c>
      <c r="W204" t="str">
        <f>CONCATENATE(W$2,": ",W$3,list1!W204,"]")</f>
        <v xml:space="preserve"> (Наружный блок) Максимальный уровень шума: N[]</v>
      </c>
      <c r="X204" t="str">
        <f>CONCATENATE(X$2,": ",X$3,list1!X204,"]")</f>
        <v xml:space="preserve"> (Соединительные трубы) Жидкостная линия : N[9.52]</v>
      </c>
      <c r="Y204" t="str">
        <f>CONCATENATE(Y$2,": ",Y$3,list1!Y204,"]")</f>
        <v xml:space="preserve"> (Соединительные трубы) Газовая линия : N[15.9]</v>
      </c>
      <c r="Z204" t="str">
        <f>CONCATENATE(Z$2,": ",Z$3,list1!Z204,"]")</f>
        <v xml:space="preserve"> (Соединительные трубы) Максимальная длина трубопровода: N[50]</v>
      </c>
      <c r="AA204" t="str">
        <f>CONCATENATE(AA$2,": ",AA$3,list1!AA204,"]")</f>
        <v xml:space="preserve"> (Соединительные трубы) Максимальный перепад высот: S[25]</v>
      </c>
      <c r="AB204" t="str">
        <f>CONCATENATE(AB$2,": ",AB$3,list1!AB204,"]")</f>
        <v xml:space="preserve"> (Допустимая темп. наружного воздуха) Охлаждение: S[от -15 до +50]</v>
      </c>
      <c r="AC204" t="str">
        <f>CONCATENATE(AC$2,": ",AC$3,list1!AC204,"]")</f>
        <v xml:space="preserve"> (Допустимая темп. наружного воздуха) Обогрев: S[от -15 до +24]</v>
      </c>
      <c r="AD204" s="6" t="s">
        <v>5245</v>
      </c>
    </row>
    <row r="205" spans="1:30" x14ac:dyDescent="0.25">
      <c r="A205" t="str">
        <f>CONCATENATE(A$2,": ",A$3,list1!A205,"]")</f>
        <v>Производитель: E[LESSAR]</v>
      </c>
      <c r="B205" t="str">
        <f>CONCATENATE(B$2,": ",B$3,list1!B205,"]")</f>
        <v xml:space="preserve"> Тип: S[Напольно-потолочные]</v>
      </c>
      <c r="C205" t="str">
        <f>CONCATENATE(C$2,": ",C$3,list1!C205,"]")</f>
        <v xml:space="preserve"> (Сплит система) Холодопроизводительность: N[7.33]</v>
      </c>
      <c r="D205" t="str">
        <f>CONCATENATE(D$2,": ",D$3,list1!D205,"]")</f>
        <v xml:space="preserve"> (Сплит система) Площадь помещения: N[73]</v>
      </c>
      <c r="E205" t="str">
        <f>CONCATENATE(E$2,": ",E$3,list1!E205,"]")</f>
        <v xml:space="preserve"> (Сплит система) Инвентор: S[да]</v>
      </c>
      <c r="F205" t="str">
        <f>CONCATENATE(F$2,": ",F$3,list1!F205,"]")</f>
        <v xml:space="preserve"> (Сплит система) Теплопроизводительность: N[8.5]</v>
      </c>
      <c r="G205" t="str">
        <f>CONCATENATE(G$2,": ",G$3,list1!G205,"]")</f>
        <v xml:space="preserve"> (Потребляемая мощность) Охлаждение: N[2.155]</v>
      </c>
      <c r="H205" t="str">
        <f>CONCATENATE(H$2,": ",H$3,list1!H205,"]")</f>
        <v xml:space="preserve"> (Потребляемая мощность) Обогрев: S[2.25]</v>
      </c>
      <c r="I205" t="str">
        <f>CONCATENATE(I$2,": ",I$3,list1!I205,"]")</f>
        <v xml:space="preserve"> (Рабочий ток) Охлаждение: S[]</v>
      </c>
      <c r="J205" t="str">
        <f>CONCATENATE(J$2,": ",J$3,list1!J205,"]")</f>
        <v xml:space="preserve"> (Рабочий ток) Обогрев: S[]</v>
      </c>
      <c r="K205" t="str">
        <f>CONCATENATE(K$2,": ",K$3,list1!K205,"]")</f>
        <v xml:space="preserve"> (Рабочий ток) Напряжение / Частота источника питания: S[1 / 220 / 50]</v>
      </c>
      <c r="L205" t="str">
        <f>CONCATENATE(L$2,": ",L$3,list1!L205,"]")</f>
        <v xml:space="preserve"> (Рабочий ток) Хладагент: S[R410A]</v>
      </c>
      <c r="M205" t="str">
        <f>CONCATENATE(M$2,": ",M$3,list1!M205,"]")</f>
        <v xml:space="preserve"> (Рабочий ток) Количество хладагента: N[]</v>
      </c>
      <c r="N205" t="str">
        <f>CONCATENATE(N$2,": ",N$3,list1!N205,"]")</f>
        <v xml:space="preserve"> (Рабочий ток) Объем рециркулируемого воздуха внутреннего блока: S[]</v>
      </c>
      <c r="O205" t="str">
        <f>CONCATENATE(O$2,": ",O$3,list1!O205,"]")</f>
        <v xml:space="preserve"> (Внутренний блок) Размеры (Ш x Г x В): S[1068 х 235 х 675]</v>
      </c>
      <c r="P205" t="str">
        <f>CONCATENATE(P$2,": ",P$3,list1!P205,"]")</f>
        <v xml:space="preserve"> (Внутренний блок) Упаковка (Ш x Г x В): S[1145 х 755 х 318]</v>
      </c>
      <c r="Q205" t="str">
        <f>CONCATENATE(Q$2,": ",Q$3,list1!Q205,"]")</f>
        <v xml:space="preserve"> (Внутренний блок) Масса (нетто / брутто): S[28 / 33.1]</v>
      </c>
      <c r="R205" t="str">
        <f>CONCATENATE(R$2,": ",R$3,list1!R205,"]")</f>
        <v xml:space="preserve"> (Внутренний блок) Уровень шума мин. / макс.: S[41/46/50]</v>
      </c>
      <c r="S205" t="str">
        <f>CONCATENATE(S$2,": ",S$3,list1!S205,"]")</f>
        <v xml:space="preserve"> (Наружный блок) Марка компрессора: S[GMCC]</v>
      </c>
      <c r="T205" t="str">
        <f>CONCATENATE(T$2,": ",T$3,list1!T205,"]")</f>
        <v xml:space="preserve"> (Наружный блок) Размеры (Ш x Г x В): S[890 х 342 х 673]</v>
      </c>
      <c r="U205" t="str">
        <f>CONCATENATE(U$2,": ",U$3,list1!U205,"]")</f>
        <v xml:space="preserve"> (Наружный блок) Упаковка (Ш x Г x В): S[995 х 398 х 740]</v>
      </c>
      <c r="V205" t="str">
        <f>CONCATENATE(V$2,": ",V$3,list1!V205,"]")</f>
        <v xml:space="preserve"> (Наружный блок) Масса (нетто / брутто): S[45.1/48.3]</v>
      </c>
      <c r="W205" t="str">
        <f>CONCATENATE(W$2,": ",W$3,list1!W205,"]")</f>
        <v xml:space="preserve"> (Наружный блок) Максимальный уровень шума: N[]</v>
      </c>
      <c r="X205" t="str">
        <f>CONCATENATE(X$2,": ",X$3,list1!X205,"]")</f>
        <v xml:space="preserve"> (Соединительные трубы) Жидкостная линия : N[9.52]</v>
      </c>
      <c r="Y205" t="str">
        <f>CONCATENATE(Y$2,": ",Y$3,list1!Y205,"]")</f>
        <v xml:space="preserve"> (Соединительные трубы) Газовая линия : N[15.9]</v>
      </c>
      <c r="Z205" t="str">
        <f>CONCATENATE(Z$2,": ",Z$3,list1!Z205,"]")</f>
        <v xml:space="preserve"> (Соединительные трубы) Максимальная длина трубопровода: N[50]</v>
      </c>
      <c r="AA205" t="str">
        <f>CONCATENATE(AA$2,": ",AA$3,list1!AA205,"]")</f>
        <v xml:space="preserve"> (Соединительные трубы) Максимальный перепад высот: S[25]</v>
      </c>
      <c r="AB205" t="str">
        <f>CONCATENATE(AB$2,": ",AB$3,list1!AB205,"]")</f>
        <v xml:space="preserve"> (Допустимая темп. наружного воздуха) Охлаждение: S[от -15 до +50]</v>
      </c>
      <c r="AC205" t="str">
        <f>CONCATENATE(AC$2,": ",AC$3,list1!AC205,"]")</f>
        <v xml:space="preserve"> (Допустимая темп. наружного воздуха) Обогрев: S[от -15 до +24]</v>
      </c>
      <c r="AD205" s="6" t="s">
        <v>5245</v>
      </c>
    </row>
    <row r="206" spans="1:30" x14ac:dyDescent="0.25">
      <c r="A206" t="str">
        <f>CONCATENATE(A$2,": ",A$3,list1!A206,"]")</f>
        <v>Производитель: E[LESSAR]</v>
      </c>
      <c r="B206" t="str">
        <f>CONCATENATE(B$2,": ",B$3,list1!B206,"]")</f>
        <v xml:space="preserve"> Тип: S[Напольно-потолочные]</v>
      </c>
      <c r="C206" t="str">
        <f>CONCATENATE(C$2,": ",C$3,list1!C206,"]")</f>
        <v xml:space="preserve"> (Сплит система) Холодопроизводительность: N[10.55]</v>
      </c>
      <c r="D206" t="str">
        <f>CONCATENATE(D$2,": ",D$3,list1!D206,"]")</f>
        <v xml:space="preserve"> (Сплит система) Площадь помещения: N[100]</v>
      </c>
      <c r="E206" t="str">
        <f>CONCATENATE(E$2,": ",E$3,list1!E206,"]")</f>
        <v xml:space="preserve"> (Сплит система) Инвентор: S[да]</v>
      </c>
      <c r="F206" t="str">
        <f>CONCATENATE(F$2,": ",F$3,list1!F206,"]")</f>
        <v xml:space="preserve"> (Сплит система) Теплопроизводительность: N[11.14]</v>
      </c>
      <c r="G206" t="str">
        <f>CONCATENATE(G$2,": ",G$3,list1!G206,"]")</f>
        <v xml:space="preserve"> (Потребляемая мощность) Охлаждение: N[3.505]</v>
      </c>
      <c r="H206" t="str">
        <f>CONCATENATE(H$2,": ",H$3,list1!H206,"]")</f>
        <v xml:space="preserve"> (Потребляемая мощность) Обогрев: S[3.085]</v>
      </c>
      <c r="I206" t="str">
        <f>CONCATENATE(I$2,": ",I$3,list1!I206,"]")</f>
        <v xml:space="preserve"> (Рабочий ток) Охлаждение: S[]</v>
      </c>
      <c r="J206" t="str">
        <f>CONCATENATE(J$2,": ",J$3,list1!J206,"]")</f>
        <v xml:space="preserve"> (Рабочий ток) Обогрев: S[]</v>
      </c>
      <c r="K206" t="str">
        <f>CONCATENATE(K$2,": ",K$3,list1!K206,"]")</f>
        <v xml:space="preserve"> (Рабочий ток) Напряжение / Частота источника питания: S[3 / 380 / 50]</v>
      </c>
      <c r="L206" t="str">
        <f>CONCATENATE(L$2,": ",L$3,list1!L206,"]")</f>
        <v xml:space="preserve"> (Рабочий ток) Хладагент: S[R410A]</v>
      </c>
      <c r="M206" t="str">
        <f>CONCATENATE(M$2,": ",M$3,list1!M206,"]")</f>
        <v xml:space="preserve"> (Рабочий ток) Количество хладагента: N[]</v>
      </c>
      <c r="N206" t="str">
        <f>CONCATENATE(N$2,": ",N$3,list1!N206,"]")</f>
        <v xml:space="preserve"> (Рабочий ток) Объем рециркулируемого воздуха внутреннего блока: S[]</v>
      </c>
      <c r="O206" t="str">
        <f>CONCATENATE(O$2,": ",O$3,list1!O206,"]")</f>
        <v xml:space="preserve"> (Внутренний блок) Размеры (Ш x Г x В): S[1285 х 235 х 675]</v>
      </c>
      <c r="P206" t="str">
        <f>CONCATENATE(P$2,": ",P$3,list1!P206,"]")</f>
        <v xml:space="preserve"> (Внутренний блок) Упаковка (Ш x Г x В): S[1360 х 755 х 318]</v>
      </c>
      <c r="Q206" t="str">
        <f>CONCATENATE(Q$2,": ",Q$3,list1!Q206,"]")</f>
        <v xml:space="preserve"> (Внутренний блок) Масса (нетто / брутто): S[30.1 / 35.4]</v>
      </c>
      <c r="R206" t="str">
        <f>CONCATENATE(R$2,": ",R$3,list1!R206,"]")</f>
        <v xml:space="preserve"> (Внутренний блок) Уровень шума мин. / макс.: S[45/49/54]</v>
      </c>
      <c r="S206" t="str">
        <f>CONCATENATE(S$2,": ",S$3,list1!S206,"]")</f>
        <v xml:space="preserve"> (Наружный блок) Марка компрессора: S[GMCC]</v>
      </c>
      <c r="T206" t="str">
        <f>CONCATENATE(T$2,": ",T$3,list1!T206,"]")</f>
        <v xml:space="preserve"> (Наружный блок) Размеры (Ш x Г x В): S[946 х 410 х 810]</v>
      </c>
      <c r="U206" t="str">
        <f>CONCATENATE(U$2,": ",U$3,list1!U206,"]")</f>
        <v xml:space="preserve"> (Наружный блок) Упаковка (Ш x Г x В): S[1090 х 500 х 875]</v>
      </c>
      <c r="V206" t="str">
        <f>CONCATENATE(V$2,": ",V$3,list1!V206,"]")</f>
        <v xml:space="preserve"> (Наружный блок) Масса (нетто / брутто): S[77.9/82.7]</v>
      </c>
      <c r="W206" t="str">
        <f>CONCATENATE(W$2,": ",W$3,list1!W206,"]")</f>
        <v xml:space="preserve"> (Наружный блок) Максимальный уровень шума: N[]</v>
      </c>
      <c r="X206" t="str">
        <f>CONCATENATE(X$2,": ",X$3,list1!X206,"]")</f>
        <v xml:space="preserve"> (Соединительные трубы) Жидкостная линия : N[9.52]</v>
      </c>
      <c r="Y206" t="str">
        <f>CONCATENATE(Y$2,": ",Y$3,list1!Y206,"]")</f>
        <v xml:space="preserve"> (Соединительные трубы) Газовая линия : N[19]</v>
      </c>
      <c r="Z206" t="str">
        <f>CONCATENATE(Z$2,": ",Z$3,list1!Z206,"]")</f>
        <v xml:space="preserve"> (Соединительные трубы) Максимальная длина трубопровода: N[30]</v>
      </c>
      <c r="AA206" t="str">
        <f>CONCATENATE(AA$2,": ",AA$3,list1!AA206,"]")</f>
        <v xml:space="preserve"> (Соединительные трубы) Максимальный перепад высот: S[20]</v>
      </c>
      <c r="AB206" t="str">
        <f>CONCATENATE(AB$2,": ",AB$3,list1!AB206,"]")</f>
        <v xml:space="preserve"> (Допустимая темп. наружного воздуха) Охлаждение: S[от -15 до +50]</v>
      </c>
      <c r="AC206" t="str">
        <f>CONCATENATE(AC$2,": ",AC$3,list1!AC206,"]")</f>
        <v xml:space="preserve"> (Допустимая темп. наружного воздуха) Обогрев: S[от -15 до +24]</v>
      </c>
      <c r="AD206" s="6" t="s">
        <v>5245</v>
      </c>
    </row>
    <row r="207" spans="1:30" x14ac:dyDescent="0.25">
      <c r="A207" t="str">
        <f>CONCATENATE(A$2,": ",A$3,list1!A207,"]")</f>
        <v>Производитель: E[LESSAR]</v>
      </c>
      <c r="B207" t="str">
        <f>CONCATENATE(B$2,": ",B$3,list1!B207,"]")</f>
        <v xml:space="preserve"> Тип: S[Напольно-потолочные]</v>
      </c>
      <c r="C207" t="str">
        <f>CONCATENATE(C$2,": ",C$3,list1!C207,"]")</f>
        <v xml:space="preserve"> (Сплит система) Холодопроизводительность: N[10.55]</v>
      </c>
      <c r="D207" t="str">
        <f>CONCATENATE(D$2,": ",D$3,list1!D207,"]")</f>
        <v xml:space="preserve"> (Сплит система) Площадь помещения: N[100]</v>
      </c>
      <c r="E207" t="str">
        <f>CONCATENATE(E$2,": ",E$3,list1!E207,"]")</f>
        <v xml:space="preserve"> (Сплит система) Инвентор: S[да]</v>
      </c>
      <c r="F207" t="str">
        <f>CONCATENATE(F$2,": ",F$3,list1!F207,"]")</f>
        <v xml:space="preserve"> (Сплит система) Теплопроизводительность: N[11.72]</v>
      </c>
      <c r="G207" t="str">
        <f>CONCATENATE(G$2,": ",G$3,list1!G207,"]")</f>
        <v xml:space="preserve"> (Потребляемая мощность) Охлаждение: N[4]</v>
      </c>
      <c r="H207" t="str">
        <f>CONCATENATE(H$2,": ",H$3,list1!H207,"]")</f>
        <v xml:space="preserve"> (Потребляемая мощность) Обогрев: S[3.25]</v>
      </c>
      <c r="I207" t="str">
        <f>CONCATENATE(I$2,": ",I$3,list1!I207,"]")</f>
        <v xml:space="preserve"> (Рабочий ток) Охлаждение: S[]</v>
      </c>
      <c r="J207" t="str">
        <f>CONCATENATE(J$2,": ",J$3,list1!J207,"]")</f>
        <v xml:space="preserve"> (Рабочий ток) Обогрев: S[]</v>
      </c>
      <c r="K207" t="str">
        <f>CONCATENATE(K$2,": ",K$3,list1!K207,"]")</f>
        <v xml:space="preserve"> (Рабочий ток) Напряжение / Частота источника питания: S[3 / 380 / 50]</v>
      </c>
      <c r="L207" t="str">
        <f>CONCATENATE(L$2,": ",L$3,list1!L207,"]")</f>
        <v xml:space="preserve"> (Рабочий ток) Хладагент: S[R410A]</v>
      </c>
      <c r="M207" t="str">
        <f>CONCATENATE(M$2,": ",M$3,list1!M207,"]")</f>
        <v xml:space="preserve"> (Рабочий ток) Количество хладагента: N[]</v>
      </c>
      <c r="N207" t="str">
        <f>CONCATENATE(N$2,": ",N$3,list1!N207,"]")</f>
        <v xml:space="preserve"> (Рабочий ток) Объем рециркулируемого воздуха внутреннего блока: S[]</v>
      </c>
      <c r="O207" t="str">
        <f>CONCATENATE(O$2,": ",O$3,list1!O207,"]")</f>
        <v xml:space="preserve"> (Внутренний блок) Размеры (Ш x Г x В): S[1650 х 235 х 675]</v>
      </c>
      <c r="P207" t="str">
        <f>CONCATENATE(P$2,": ",P$3,list1!P207,"]")</f>
        <v xml:space="preserve"> (Внутренний блок) Упаковка (Ш x Г x В): S[1725 х 755 х 318]</v>
      </c>
      <c r="Q207" t="str">
        <f>CONCATENATE(Q$2,": ",Q$3,list1!Q207,"]")</f>
        <v xml:space="preserve"> (Внутренний блок) Масса (нетто / брутто): S[41.5 / 48]</v>
      </c>
      <c r="R207" t="str">
        <f>CONCATENATE(R$2,": ",R$3,list1!R207,"]")</f>
        <v xml:space="preserve"> (Внутренний блок) Уровень шума мин. / макс.: S[44/48/51]</v>
      </c>
      <c r="S207" t="str">
        <f>CONCATENATE(S$2,": ",S$3,list1!S207,"]")</f>
        <v xml:space="preserve"> (Наружный блок) Марка компрессора: S[GMCC]</v>
      </c>
      <c r="T207" t="str">
        <f>CONCATENATE(T$2,": ",T$3,list1!T207,"]")</f>
        <v xml:space="preserve"> (Наружный блок) Размеры (Ш x Г x В): S[946 х 410 х 810]</v>
      </c>
      <c r="U207" t="str">
        <f>CONCATENATE(U$2,": ",U$3,list1!U207,"]")</f>
        <v xml:space="preserve"> (Наружный блок) Упаковка (Ш x Г x В): S[1090 х 500 х 885]</v>
      </c>
      <c r="V207" t="str">
        <f>CONCATENATE(V$2,": ",V$3,list1!V207,"]")</f>
        <v xml:space="preserve"> (Наружный блок) Масса (нетто / брутто): S[77.9/82.7]</v>
      </c>
      <c r="W207" t="str">
        <f>CONCATENATE(W$2,": ",W$3,list1!W207,"]")</f>
        <v xml:space="preserve"> (Наружный блок) Максимальный уровень шума: N[]</v>
      </c>
      <c r="X207" t="str">
        <f>CONCATENATE(X$2,": ",X$3,list1!X207,"]")</f>
        <v xml:space="preserve"> (Соединительные трубы) Жидкостная линия : N[9.52]</v>
      </c>
      <c r="Y207" t="str">
        <f>CONCATENATE(Y$2,": ",Y$3,list1!Y207,"]")</f>
        <v xml:space="preserve"> (Соединительные трубы) Газовая линия : N[15.9]</v>
      </c>
      <c r="Z207" t="str">
        <f>CONCATENATE(Z$2,": ",Z$3,list1!Z207,"]")</f>
        <v xml:space="preserve"> (Соединительные трубы) Максимальная длина трубопровода: N[30]</v>
      </c>
      <c r="AA207" t="str">
        <f>CONCATENATE(AA$2,": ",AA$3,list1!AA207,"]")</f>
        <v xml:space="preserve"> (Соединительные трубы) Максимальный перепад высот: S[20]</v>
      </c>
      <c r="AB207" t="str">
        <f>CONCATENATE(AB$2,": ",AB$3,list1!AB207,"]")</f>
        <v xml:space="preserve"> (Допустимая темп. наружного воздуха) Охлаждение: S[от -15 до +50]</v>
      </c>
      <c r="AC207" t="str">
        <f>CONCATENATE(AC$2,": ",AC$3,list1!AC207,"]")</f>
        <v xml:space="preserve"> (Допустимая темп. наружного воздуха) Обогрев: S[от -15 до +24]</v>
      </c>
      <c r="AD207" s="6" t="s">
        <v>5245</v>
      </c>
    </row>
    <row r="208" spans="1:30" x14ac:dyDescent="0.25">
      <c r="A208" t="str">
        <f>CONCATENATE(A$2,": ",A$3,list1!A208,"]")</f>
        <v>Производитель: E[LESSAR]</v>
      </c>
      <c r="B208" t="str">
        <f>CONCATENATE(B$2,": ",B$3,list1!B208,"]")</f>
        <v xml:space="preserve"> Тип: S[Напольно-потолочные]</v>
      </c>
      <c r="C208" t="str">
        <f>CONCATENATE(C$2,": ",C$3,list1!C208,"]")</f>
        <v xml:space="preserve"> (Сплит система) Холодопроизводительность: N[11.14]</v>
      </c>
      <c r="D208" t="str">
        <f>CONCATENATE(D$2,": ",D$3,list1!D208,"]")</f>
        <v xml:space="preserve"> (Сплит система) Площадь помещения: N[110]</v>
      </c>
      <c r="E208" t="str">
        <f>CONCATENATE(E$2,": ",E$3,list1!E208,"]")</f>
        <v xml:space="preserve"> (Сплит система) Инвентор: S[да]</v>
      </c>
      <c r="F208" t="str">
        <f>CONCATENATE(F$2,": ",F$3,list1!F208,"]")</f>
        <v xml:space="preserve"> (Сплит система) Теплопроизводительность: N[11.87]</v>
      </c>
      <c r="G208" t="str">
        <f>CONCATENATE(G$2,": ",G$3,list1!G208,"]")</f>
        <v xml:space="preserve"> (Потребляемая мощность) Охлаждение: N[3.84]</v>
      </c>
      <c r="H208" t="str">
        <f>CONCATENATE(H$2,": ",H$3,list1!H208,"]")</f>
        <v xml:space="preserve"> (Потребляемая мощность) Обогрев: S[2.967]</v>
      </c>
      <c r="I208" t="str">
        <f>CONCATENATE(I$2,": ",I$3,list1!I208,"]")</f>
        <v xml:space="preserve"> (Рабочий ток) Охлаждение: S[]</v>
      </c>
      <c r="J208" t="str">
        <f>CONCATENATE(J$2,": ",J$3,list1!J208,"]")</f>
        <v xml:space="preserve"> (Рабочий ток) Обогрев: S[]</v>
      </c>
      <c r="K208" t="str">
        <f>CONCATENATE(K$2,": ",K$3,list1!K208,"]")</f>
        <v xml:space="preserve"> (Рабочий ток) Напряжение / Частота источника питания: S[3 / 380 / 50]</v>
      </c>
      <c r="L208" t="str">
        <f>CONCATENATE(L$2,": ",L$3,list1!L208,"]")</f>
        <v xml:space="preserve"> (Рабочий ток) Хладагент: S[R410A]</v>
      </c>
      <c r="M208" t="str">
        <f>CONCATENATE(M$2,": ",M$3,list1!M208,"]")</f>
        <v xml:space="preserve"> (Рабочий ток) Количество хладагента: N[]</v>
      </c>
      <c r="N208" t="str">
        <f>CONCATENATE(N$2,": ",N$3,list1!N208,"]")</f>
        <v xml:space="preserve"> (Рабочий ток) Объем рециркулируемого воздуха внутреннего блока: S[]</v>
      </c>
      <c r="O208" t="str">
        <f>CONCATENATE(O$2,": ",O$3,list1!O208,"]")</f>
        <v xml:space="preserve"> (Внутренний блок) Размеры (Ш x Г x В): S[1650 х 235 х 675]</v>
      </c>
      <c r="P208" t="str">
        <f>CONCATENATE(P$2,": ",P$3,list1!P208,"]")</f>
        <v xml:space="preserve"> (Внутренний блок) Упаковка (Ш x Г x В): S[1725 х 755 х 318]</v>
      </c>
      <c r="Q208" t="str">
        <f>CONCATENATE(Q$2,": ",Q$3,list1!Q208,"]")</f>
        <v xml:space="preserve"> (Внутренний блок) Масса (нетто / брутто): S[41.5 / 48]</v>
      </c>
      <c r="R208" t="str">
        <f>CONCATENATE(R$2,": ",R$3,list1!R208,"]")</f>
        <v xml:space="preserve"> (Внутренний блок) Уровень шума мин. / макс.: S[44/48/51]</v>
      </c>
      <c r="S208" t="str">
        <f>CONCATENATE(S$2,": ",S$3,list1!S208,"]")</f>
        <v xml:space="preserve"> (Наружный блок) Марка компрессора: S[GMCC]</v>
      </c>
      <c r="T208" t="str">
        <f>CONCATENATE(T$2,": ",T$3,list1!T208,"]")</f>
        <v xml:space="preserve"> (Наружный блок) Размеры (Ш x Г x В): S[946 х 410 х 810]</v>
      </c>
      <c r="U208" t="str">
        <f>CONCATENATE(U$2,": ",U$3,list1!U208,"]")</f>
        <v xml:space="preserve"> (Наружный блок) Упаковка (Ш x Г x В): S[1090 х 500 х 885]</v>
      </c>
      <c r="V208" t="str">
        <f>CONCATENATE(V$2,": ",V$3,list1!V208,"]")</f>
        <v xml:space="preserve"> (Наружный блок) Масса (нетто / брутто): S[77.9/82.7]</v>
      </c>
      <c r="W208" t="str">
        <f>CONCATENATE(W$2,": ",W$3,list1!W208,"]")</f>
        <v xml:space="preserve"> (Наружный блок) Максимальный уровень шума: N[]</v>
      </c>
      <c r="X208" t="str">
        <f>CONCATENATE(X$2,": ",X$3,list1!X208,"]")</f>
        <v xml:space="preserve"> (Соединительные трубы) Жидкостная линия : N[9.52]</v>
      </c>
      <c r="Y208" t="str">
        <f>CONCATENATE(Y$2,": ",Y$3,list1!Y208,"]")</f>
        <v xml:space="preserve"> (Соединительные трубы) Газовая линия : N[15.9]</v>
      </c>
      <c r="Z208" t="str">
        <f>CONCATENATE(Z$2,": ",Z$3,list1!Z208,"]")</f>
        <v xml:space="preserve"> (Соединительные трубы) Максимальная длина трубопровода: N[30]</v>
      </c>
      <c r="AA208" t="str">
        <f>CONCATENATE(AA$2,": ",AA$3,list1!AA208,"]")</f>
        <v xml:space="preserve"> (Соединительные трубы) Максимальный перепад высот: S[20]</v>
      </c>
      <c r="AB208" t="str">
        <f>CONCATENATE(AB$2,": ",AB$3,list1!AB208,"]")</f>
        <v xml:space="preserve"> (Допустимая темп. наружного воздуха) Охлаждение: S[от -15 до +50]</v>
      </c>
      <c r="AC208" t="str">
        <f>CONCATENATE(AC$2,": ",AC$3,list1!AC208,"]")</f>
        <v xml:space="preserve"> (Допустимая темп. наружного воздуха) Обогрев: S[от -15 до +24]</v>
      </c>
      <c r="AD208" s="6" t="s">
        <v>5245</v>
      </c>
    </row>
    <row r="209" spans="1:30" x14ac:dyDescent="0.25">
      <c r="A209" t="str">
        <f>CONCATENATE(A$2,": ",A$3,list1!A209,"]")</f>
        <v>Производитель: E[LESSAR]</v>
      </c>
      <c r="B209" t="str">
        <f>CONCATENATE(B$2,": ",B$3,list1!B209,"]")</f>
        <v xml:space="preserve"> Тип: S[Напольно-потолочные]</v>
      </c>
      <c r="C209" t="str">
        <f>CONCATENATE(C$2,": ",C$3,list1!C209,"]")</f>
        <v xml:space="preserve"> (Сплит система) Холодопроизводительность: N[14.07]</v>
      </c>
      <c r="D209" t="str">
        <f>CONCATENATE(D$2,": ",D$3,list1!D209,"]")</f>
        <v xml:space="preserve"> (Сплит система) Площадь помещения: N[140]</v>
      </c>
      <c r="E209" t="str">
        <f>CONCATENATE(E$2,": ",E$3,list1!E209,"]")</f>
        <v xml:space="preserve"> (Сплит система) Инвентор: S[да]</v>
      </c>
      <c r="F209" t="str">
        <f>CONCATENATE(F$2,": ",F$3,list1!F209,"]")</f>
        <v xml:space="preserve"> (Сплит система) Теплопроизводительность: N[14.65]</v>
      </c>
      <c r="G209" t="str">
        <f>CONCATENATE(G$2,": ",G$3,list1!G209,"]")</f>
        <v xml:space="preserve"> (Потребляемая мощность) Охлаждение: N[5.01]</v>
      </c>
      <c r="H209" t="str">
        <f>CONCATENATE(H$2,": ",H$3,list1!H209,"]")</f>
        <v xml:space="preserve"> (Потребляемая мощность) Обогрев: S[4.175]</v>
      </c>
      <c r="I209" t="str">
        <f>CONCATENATE(I$2,": ",I$3,list1!I209,"]")</f>
        <v xml:space="preserve"> (Рабочий ток) Охлаждение: S[]</v>
      </c>
      <c r="J209" t="str">
        <f>CONCATENATE(J$2,": ",J$3,list1!J209,"]")</f>
        <v xml:space="preserve"> (Рабочий ток) Обогрев: S[]</v>
      </c>
      <c r="K209" t="str">
        <f>CONCATENATE(K$2,": ",K$3,list1!K209,"]")</f>
        <v xml:space="preserve"> (Рабочий ток) Напряжение / Частота источника питания: S[3 / 380 / 50]</v>
      </c>
      <c r="L209" t="str">
        <f>CONCATENATE(L$2,": ",L$3,list1!L209,"]")</f>
        <v xml:space="preserve"> (Рабочий ток) Хладагент: S[R410A]</v>
      </c>
      <c r="M209" t="str">
        <f>CONCATENATE(M$2,": ",M$3,list1!M209,"]")</f>
        <v xml:space="preserve"> (Рабочий ток) Количество хладагента: N[]</v>
      </c>
      <c r="N209" t="str">
        <f>CONCATENATE(N$2,": ",N$3,list1!N209,"]")</f>
        <v xml:space="preserve"> (Рабочий ток) Объем рециркулируемого воздуха внутреннего блока: S[]</v>
      </c>
      <c r="O209" t="str">
        <f>CONCATENATE(O$2,": ",O$3,list1!O209,"]")</f>
        <v xml:space="preserve"> (Внутренний блок) Размеры (Ш x Г x В): S[1650 х 235 х 675]</v>
      </c>
      <c r="P209" t="str">
        <f>CONCATENATE(P$2,": ",P$3,list1!P209,"]")</f>
        <v xml:space="preserve"> (Внутренний блок) Упаковка (Ш x Г x В): S[1725 х 755 х 318]</v>
      </c>
      <c r="Q209" t="str">
        <f>CONCATENATE(Q$2,": ",Q$3,list1!Q209,"]")</f>
        <v xml:space="preserve"> (Внутренний блок) Масса (нетто / брутто): S[37.5 / 43.8]</v>
      </c>
      <c r="R209" t="str">
        <f>CONCATENATE(R$2,": ",R$3,list1!R209,"]")</f>
        <v xml:space="preserve"> (Внутренний блок) Уровень шума мин. / макс.: S[49/52/56]</v>
      </c>
      <c r="S209" t="str">
        <f>CONCATENATE(S$2,": ",S$3,list1!S209,"]")</f>
        <v xml:space="preserve"> (Наружный блок) Марка компрессора: S[GMCC]</v>
      </c>
      <c r="T209" t="str">
        <f>CONCATENATE(T$2,": ",T$3,list1!T209,"]")</f>
        <v xml:space="preserve"> (Наружный блок) Размеры (Ш x Г x В): S[946 х 410 х 810]</v>
      </c>
      <c r="U209" t="str">
        <f>CONCATENATE(U$2,": ",U$3,list1!U209,"]")</f>
        <v xml:space="preserve"> (Наружный блок) Упаковка (Ш x Г x В): S[1090 х 500 х 875]</v>
      </c>
      <c r="V209" t="str">
        <f>CONCATENATE(V$2,": ",V$3,list1!V209,"]")</f>
        <v xml:space="preserve"> (Наружный блок) Масса (нетто / брутто): S[86/91.6]</v>
      </c>
      <c r="W209" t="str">
        <f>CONCATENATE(W$2,": ",W$3,list1!W209,"]")</f>
        <v xml:space="preserve"> (Наружный блок) Максимальный уровень шума: N[]</v>
      </c>
      <c r="X209" t="str">
        <f>CONCATENATE(X$2,": ",X$3,list1!X209,"]")</f>
        <v xml:space="preserve"> (Соединительные трубы) Жидкостная линия : N[9.52]</v>
      </c>
      <c r="Y209" t="str">
        <f>CONCATENATE(Y$2,": ",Y$3,list1!Y209,"]")</f>
        <v xml:space="preserve"> (Соединительные трубы) Газовая линия : N[19]</v>
      </c>
      <c r="Z209" t="str">
        <f>CONCATENATE(Z$2,": ",Z$3,list1!Z209,"]")</f>
        <v xml:space="preserve"> (Соединительные трубы) Максимальная длина трубопровода: N[50]</v>
      </c>
      <c r="AA209" t="str">
        <f>CONCATENATE(AA$2,": ",AA$3,list1!AA209,"]")</f>
        <v xml:space="preserve"> (Соединительные трубы) Максимальный перепад высот: S[25]</v>
      </c>
      <c r="AB209" t="str">
        <f>CONCATENATE(AB$2,": ",AB$3,list1!AB209,"]")</f>
        <v xml:space="preserve"> (Допустимая темп. наружного воздуха) Охлаждение: S[от -15 до +50]</v>
      </c>
      <c r="AC209" t="str">
        <f>CONCATENATE(AC$2,": ",AC$3,list1!AC209,"]")</f>
        <v xml:space="preserve"> (Допустимая темп. наружного воздуха) Обогрев: S[от -15 до +24]</v>
      </c>
      <c r="AD209" s="6" t="s">
        <v>5245</v>
      </c>
    </row>
    <row r="210" spans="1:30" x14ac:dyDescent="0.25">
      <c r="A210" t="str">
        <f>CONCATENATE(A$2,": ",A$3,list1!A210,"]")</f>
        <v>Производитель: E[LESSAR]</v>
      </c>
      <c r="B210" t="str">
        <f>CONCATENATE(B$2,": ",B$3,list1!B210,"]")</f>
        <v xml:space="preserve"> Тип: S[Напольно-потолочные]</v>
      </c>
      <c r="C210" t="str">
        <f>CONCATENATE(C$2,": ",C$3,list1!C210,"]")</f>
        <v xml:space="preserve"> (Сплит система) Холодопроизводительность: N[14.07]</v>
      </c>
      <c r="D210" t="str">
        <f>CONCATENATE(D$2,": ",D$3,list1!D210,"]")</f>
        <v xml:space="preserve"> (Сплит система) Площадь помещения: N[140]</v>
      </c>
      <c r="E210" t="str">
        <f>CONCATENATE(E$2,": ",E$3,list1!E210,"]")</f>
        <v xml:space="preserve"> (Сплит система) Инвентор: S[да]</v>
      </c>
      <c r="F210" t="str">
        <f>CONCATENATE(F$2,": ",F$3,list1!F210,"]")</f>
        <v xml:space="preserve"> (Сплит система) Теплопроизводительность: N[15.53]</v>
      </c>
      <c r="G210" t="str">
        <f>CONCATENATE(G$2,": ",G$3,list1!G210,"]")</f>
        <v xml:space="preserve"> (Потребляемая мощность) Охлаждение: N[5.7]</v>
      </c>
      <c r="H210" t="str">
        <f>CONCATENATE(H$2,": ",H$3,list1!H210,"]")</f>
        <v xml:space="preserve"> (Потребляемая мощность) Обогрев: S[4.854]</v>
      </c>
      <c r="I210" t="str">
        <f>CONCATENATE(I$2,": ",I$3,list1!I210,"]")</f>
        <v xml:space="preserve"> (Рабочий ток) Охлаждение: S[]</v>
      </c>
      <c r="J210" t="str">
        <f>CONCATENATE(J$2,": ",J$3,list1!J210,"]")</f>
        <v xml:space="preserve"> (Рабочий ток) Обогрев: S[]</v>
      </c>
      <c r="K210" t="str">
        <f>CONCATENATE(K$2,": ",K$3,list1!K210,"]")</f>
        <v xml:space="preserve"> (Рабочий ток) Напряжение / Частота источника питания: S[3 / 380 / 50]</v>
      </c>
      <c r="L210" t="str">
        <f>CONCATENATE(L$2,": ",L$3,list1!L210,"]")</f>
        <v xml:space="preserve"> (Рабочий ток) Хладагент: S[R410A]</v>
      </c>
      <c r="M210" t="str">
        <f>CONCATENATE(M$2,": ",M$3,list1!M210,"]")</f>
        <v xml:space="preserve"> (Рабочий ток) Количество хладагента: N[]</v>
      </c>
      <c r="N210" t="str">
        <f>CONCATENATE(N$2,": ",N$3,list1!N210,"]")</f>
        <v xml:space="preserve"> (Рабочий ток) Объем рециркулируемого воздуха внутреннего блока: S[]</v>
      </c>
      <c r="O210" t="str">
        <f>CONCATENATE(O$2,": ",O$3,list1!O210,"]")</f>
        <v xml:space="preserve"> (Внутренний блок) Размеры (Ш x Г x В): S[1650 х 235 х 675]</v>
      </c>
      <c r="P210" t="str">
        <f>CONCATENATE(P$2,": ",P$3,list1!P210,"]")</f>
        <v xml:space="preserve"> (Внутренний блок) Упаковка (Ш x Г x В): S[1725 х 755 х 318]</v>
      </c>
      <c r="Q210" t="str">
        <f>CONCATENATE(Q$2,": ",Q$3,list1!Q210,"]")</f>
        <v xml:space="preserve"> (Внутренний блок) Масса (нетто / брутто): S[40.4 / 46.8]</v>
      </c>
      <c r="R210" t="str">
        <f>CONCATENATE(R$2,": ",R$3,list1!R210,"]")</f>
        <v xml:space="preserve"> (Внутренний блок) Уровень шума мин. / макс.: S[50/52/54]</v>
      </c>
      <c r="S210" t="str">
        <f>CONCATENATE(S$2,": ",S$3,list1!S210,"]")</f>
        <v xml:space="preserve"> (Наружный блок) Марка компрессора: S[GMCC]</v>
      </c>
      <c r="T210" t="str">
        <f>CONCATENATE(T$2,": ",T$3,list1!T210,"]")</f>
        <v xml:space="preserve"> (Наружный блок) Размеры (Ш x Г x В): S[946 х 410 х 810]</v>
      </c>
      <c r="U210" t="str">
        <f>CONCATENATE(U$2,": ",U$3,list1!U210,"]")</f>
        <v xml:space="preserve"> (Наружный блок) Упаковка (Ш x Г x В): S[1090 х 500 х 885]</v>
      </c>
      <c r="V210" t="str">
        <f>CONCATENATE(V$2,": ",V$3,list1!V210,"]")</f>
        <v xml:space="preserve"> (Наружный блок) Масса (нетто / брутто): S[86.7/91.4]</v>
      </c>
      <c r="W210" t="str">
        <f>CONCATENATE(W$2,": ",W$3,list1!W210,"]")</f>
        <v xml:space="preserve"> (Наружный блок) Максимальный уровень шума: N[]</v>
      </c>
      <c r="X210" t="str">
        <f>CONCATENATE(X$2,": ",X$3,list1!X210,"]")</f>
        <v xml:space="preserve"> (Соединительные трубы) Жидкостная линия : N[9.52]</v>
      </c>
      <c r="Y210" t="str">
        <f>CONCATENATE(Y$2,": ",Y$3,list1!Y210,"]")</f>
        <v xml:space="preserve"> (Соединительные трубы) Газовая линия : N[15.9]</v>
      </c>
      <c r="Z210" t="str">
        <f>CONCATENATE(Z$2,": ",Z$3,list1!Z210,"]")</f>
        <v xml:space="preserve"> (Соединительные трубы) Максимальная длина трубопровода: N[50]</v>
      </c>
      <c r="AA210" t="str">
        <f>CONCATENATE(AA$2,": ",AA$3,list1!AA210,"]")</f>
        <v xml:space="preserve"> (Соединительные трубы) Максимальный перепад высот: S[30]</v>
      </c>
      <c r="AB210" t="str">
        <f>CONCATENATE(AB$2,": ",AB$3,list1!AB210,"]")</f>
        <v xml:space="preserve"> (Допустимая темп. наружного воздуха) Охлаждение: S[от -15 до +50]</v>
      </c>
      <c r="AC210" t="str">
        <f>CONCATENATE(AC$2,": ",AC$3,list1!AC210,"]")</f>
        <v xml:space="preserve"> (Допустимая темп. наружного воздуха) Обогрев: S[от -15 до +24]</v>
      </c>
      <c r="AD210" s="6" t="s">
        <v>5245</v>
      </c>
    </row>
    <row r="211" spans="1:30" x14ac:dyDescent="0.25">
      <c r="A211" t="str">
        <f>CONCATENATE(A$2,": ",A$3,list1!A211,"]")</f>
        <v>Производитель: E[LESSAR]</v>
      </c>
      <c r="B211" t="str">
        <f>CONCATENATE(B$2,": ",B$3,list1!B211,"]")</f>
        <v xml:space="preserve"> Тип: S[Напольно-потолочные]</v>
      </c>
      <c r="C211" t="str">
        <f>CONCATENATE(C$2,": ",C$3,list1!C211,"]")</f>
        <v xml:space="preserve"> (Сплит система) Холодопроизводительность: N[16.12]</v>
      </c>
      <c r="D211" t="str">
        <f>CONCATENATE(D$2,": ",D$3,list1!D211,"]")</f>
        <v xml:space="preserve"> (Сплит система) Площадь помещения: N[160]</v>
      </c>
      <c r="E211" t="str">
        <f>CONCATENATE(E$2,": ",E$3,list1!E211,"]")</f>
        <v xml:space="preserve"> (Сплит система) Инвентор: S[да]</v>
      </c>
      <c r="F211" t="str">
        <f>CONCATENATE(F$2,": ",F$3,list1!F211,"]")</f>
        <v xml:space="preserve"> (Сплит система) Теплопроизводительность: N[17]</v>
      </c>
      <c r="G211" t="str">
        <f>CONCATENATE(G$2,": ",G$3,list1!G211,"]")</f>
        <v xml:space="preserve"> (Потребляемая мощность) Охлаждение: N[5.74]</v>
      </c>
      <c r="H211" t="str">
        <f>CONCATENATE(H$2,": ",H$3,list1!H211,"]")</f>
        <v xml:space="preserve"> (Потребляемая мощность) Обогрев: S[4.7]</v>
      </c>
      <c r="I211" t="str">
        <f>CONCATENATE(I$2,": ",I$3,list1!I211,"]")</f>
        <v xml:space="preserve"> (Рабочий ток) Охлаждение: S[]</v>
      </c>
      <c r="J211" t="str">
        <f>CONCATENATE(J$2,": ",J$3,list1!J211,"]")</f>
        <v xml:space="preserve"> (Рабочий ток) Обогрев: S[]</v>
      </c>
      <c r="K211" t="str">
        <f>CONCATENATE(K$2,": ",K$3,list1!K211,"]")</f>
        <v xml:space="preserve"> (Рабочий ток) Напряжение / Частота источника питания: S[3 / 380 / 50]</v>
      </c>
      <c r="L211" t="str">
        <f>CONCATENATE(L$2,": ",L$3,list1!L211,"]")</f>
        <v xml:space="preserve"> (Рабочий ток) Хладагент: S[R410A]</v>
      </c>
      <c r="M211" t="str">
        <f>CONCATENATE(M$2,": ",M$3,list1!M211,"]")</f>
        <v xml:space="preserve"> (Рабочий ток) Количество хладагента: N[]</v>
      </c>
      <c r="N211" t="str">
        <f>CONCATENATE(N$2,": ",N$3,list1!N211,"]")</f>
        <v xml:space="preserve"> (Рабочий ток) Объем рециркулируемого воздуха внутреннего блока: S[]</v>
      </c>
      <c r="O211" t="str">
        <f>CONCATENATE(O$2,": ",O$3,list1!O211,"]")</f>
        <v xml:space="preserve"> (Внутренний блок) Размеры (Ш x Г x В): S[1650 х 235 х 675]</v>
      </c>
      <c r="P211" t="str">
        <f>CONCATENATE(P$2,": ",P$3,list1!P211,"]")</f>
        <v xml:space="preserve"> (Внутренний блок) Упаковка (Ш x Г x В): S[1725 х 755 х 318]</v>
      </c>
      <c r="Q211" t="str">
        <f>CONCATENATE(Q$2,": ",Q$3,list1!Q211,"]")</f>
        <v xml:space="preserve"> (Внутренний блок) Масса (нетто / брутто): S[40 / 46]</v>
      </c>
      <c r="R211" t="str">
        <f>CONCATENATE(R$2,": ",R$3,list1!R211,"]")</f>
        <v xml:space="preserve"> (Внутренний блок) Уровень шума мин. / макс.: S[46/49/55]</v>
      </c>
      <c r="S211" t="str">
        <f>CONCATENATE(S$2,": ",S$3,list1!S211,"]")</f>
        <v xml:space="preserve"> (Наружный блок) Марка компрессора: S[GMCC]</v>
      </c>
      <c r="T211" t="str">
        <f>CONCATENATE(T$2,": ",T$3,list1!T211,"]")</f>
        <v xml:space="preserve"> (Наружный блок) Размеры (Ш x Г x В): S[952 х 410 х 1333]</v>
      </c>
      <c r="U211" t="str">
        <f>CONCATENATE(U$2,": ",U$3,list1!U211,"]")</f>
        <v xml:space="preserve"> (Наружный блок) Упаковка (Ш x Г x В): S[1095 х 495 х 1480]</v>
      </c>
      <c r="V211" t="str">
        <f>CONCATENATE(V$2,": ",V$3,list1!V211,"]")</f>
        <v xml:space="preserve"> (Наружный блок) Масса (нетто / брутто): S[107/120.7]</v>
      </c>
      <c r="W211" t="str">
        <f>CONCATENATE(W$2,": ",W$3,list1!W211,"]")</f>
        <v xml:space="preserve"> (Наружный блок) Максимальный уровень шума: N[]</v>
      </c>
      <c r="X211" t="str">
        <f>CONCATENATE(X$2,": ",X$3,list1!X211,"]")</f>
        <v xml:space="preserve"> (Соединительные трубы) Жидкостная линия : N[9.52]</v>
      </c>
      <c r="Y211" t="str">
        <f>CONCATENATE(Y$2,": ",Y$3,list1!Y211,"]")</f>
        <v xml:space="preserve"> (Соединительные трубы) Газовая линия : N[19]</v>
      </c>
      <c r="Z211" t="str">
        <f>CONCATENATE(Z$2,": ",Z$3,list1!Z211,"]")</f>
        <v xml:space="preserve"> (Соединительные трубы) Максимальная длина трубопровода: N[50]</v>
      </c>
      <c r="AA211" t="str">
        <f>CONCATENATE(AA$2,": ",AA$3,list1!AA211,"]")</f>
        <v xml:space="preserve"> (Соединительные трубы) Максимальный перепад высот: S[25]</v>
      </c>
      <c r="AB211" t="str">
        <f>CONCATENATE(AB$2,": ",AB$3,list1!AB211,"]")</f>
        <v xml:space="preserve"> (Допустимая темп. наружного воздуха) Охлаждение: S[от -15 до +50]</v>
      </c>
      <c r="AC211" t="str">
        <f>CONCATENATE(AC$2,": ",AC$3,list1!AC211,"]")</f>
        <v xml:space="preserve"> (Допустимая темп. наружного воздуха) Обогрев: S[от -15 до +24]</v>
      </c>
      <c r="AD211" s="6" t="s">
        <v>5245</v>
      </c>
    </row>
    <row r="212" spans="1:30" x14ac:dyDescent="0.25">
      <c r="A212" t="str">
        <f>CONCATENATE(A$2,": ",A$3,list1!A212,"]")</f>
        <v>Производитель: E[LESSAR]</v>
      </c>
      <c r="B212" t="str">
        <f>CONCATENATE(B$2,": ",B$3,list1!B212,"]")</f>
        <v xml:space="preserve"> Тип: S[Напольно-потолочные]</v>
      </c>
      <c r="C212" t="str">
        <f>CONCATENATE(C$2,": ",C$3,list1!C212,"]")</f>
        <v xml:space="preserve"> (Сплит система) Холодопроизводительность: N[16.12]</v>
      </c>
      <c r="D212" t="str">
        <f>CONCATENATE(D$2,": ",D$3,list1!D212,"]")</f>
        <v xml:space="preserve"> (Сплит система) Площадь помещения: N[160]</v>
      </c>
      <c r="E212" t="str">
        <f>CONCATENATE(E$2,": ",E$3,list1!E212,"]")</f>
        <v xml:space="preserve"> (Сплит система) Инвентор: S[да]</v>
      </c>
      <c r="F212" t="str">
        <f>CONCATENATE(F$2,": ",F$3,list1!F212,"]")</f>
        <v xml:space="preserve"> (Сплит система) Теплопроизводительность: N[17.88]</v>
      </c>
      <c r="G212" t="str">
        <f>CONCATENATE(G$2,": ",G$3,list1!G212,"]")</f>
        <v xml:space="preserve"> (Потребляемая мощность) Охлаждение: N[6.321]</v>
      </c>
      <c r="H212" t="str">
        <f>CONCATENATE(H$2,": ",H$3,list1!H212,"]")</f>
        <v xml:space="preserve"> (Потребляемая мощность) Обогрев: S[5.249]</v>
      </c>
      <c r="I212" t="str">
        <f>CONCATENATE(I$2,": ",I$3,list1!I212,"]")</f>
        <v xml:space="preserve"> (Рабочий ток) Охлаждение: S[]</v>
      </c>
      <c r="J212" t="str">
        <f>CONCATENATE(J$2,": ",J$3,list1!J212,"]")</f>
        <v xml:space="preserve"> (Рабочий ток) Обогрев: S[]</v>
      </c>
      <c r="K212" t="str">
        <f>CONCATENATE(K$2,": ",K$3,list1!K212,"]")</f>
        <v xml:space="preserve"> (Рабочий ток) Напряжение / Частота источника питания: S[3 / 380 / 50]</v>
      </c>
      <c r="L212" t="str">
        <f>CONCATENATE(L$2,": ",L$3,list1!L212,"]")</f>
        <v xml:space="preserve"> (Рабочий ток) Хладагент: S[R410A]</v>
      </c>
      <c r="M212" t="str">
        <f>CONCATENATE(M$2,": ",M$3,list1!M212,"]")</f>
        <v xml:space="preserve"> (Рабочий ток) Количество хладагента: N[]</v>
      </c>
      <c r="N212" t="str">
        <f>CONCATENATE(N$2,": ",N$3,list1!N212,"]")</f>
        <v xml:space="preserve"> (Рабочий ток) Объем рециркулируемого воздуха внутреннего блока: S[]</v>
      </c>
      <c r="O212" t="str">
        <f>CONCATENATE(O$2,": ",O$3,list1!O212,"]")</f>
        <v xml:space="preserve"> (Внутренний блок) Размеры (Ш x Г x В): S[1650 х 235 х 675]</v>
      </c>
      <c r="P212" t="str">
        <f>CONCATENATE(P$2,": ",P$3,list1!P212,"]")</f>
        <v xml:space="preserve"> (Внутренний блок) Упаковка (Ш x Г x В): S[1725 х 755 х 318]</v>
      </c>
      <c r="Q212" t="str">
        <f>CONCATENATE(Q$2,": ",Q$3,list1!Q212,"]")</f>
        <v xml:space="preserve"> (Внутренний блок) Масса (нетто / брутто): S[40.4 / 47]</v>
      </c>
      <c r="R212" t="str">
        <f>CONCATENATE(R$2,": ",R$3,list1!R212,"]")</f>
        <v xml:space="preserve"> (Внутренний блок) Уровень шума мин. / макс.: S[49.5/50.5/53.5]</v>
      </c>
      <c r="S212" t="str">
        <f>CONCATENATE(S$2,": ",S$3,list1!S212,"]")</f>
        <v xml:space="preserve"> (Наружный блок) Марка компрессора: S[GMCC]</v>
      </c>
      <c r="T212" t="str">
        <f>CONCATENATE(T$2,": ",T$3,list1!T212,"]")</f>
        <v xml:space="preserve"> (Наружный блок) Размеры (Ш x Г x В): S[952 х 415 х 1333]</v>
      </c>
      <c r="U212" t="str">
        <f>CONCATENATE(U$2,": ",U$3,list1!U212,"]")</f>
        <v xml:space="preserve"> (Наружный блок) Упаковка (Ш x Г x В): S[1095 х 495 х 1480]</v>
      </c>
      <c r="V212" t="str">
        <f>CONCATENATE(V$2,": ",V$3,list1!V212,"]")</f>
        <v xml:space="preserve"> (Наружный блок) Масса (нетто / брутто): S[107.1/121.3]</v>
      </c>
      <c r="W212" t="str">
        <f>CONCATENATE(W$2,": ",W$3,list1!W212,"]")</f>
        <v xml:space="preserve"> (Наружный блок) Максимальный уровень шума: N[]</v>
      </c>
      <c r="X212" t="str">
        <f>CONCATENATE(X$2,": ",X$3,list1!X212,"]")</f>
        <v xml:space="preserve"> (Соединительные трубы) Жидкостная линия : N[9.52]</v>
      </c>
      <c r="Y212" t="str">
        <f>CONCATENATE(Y$2,": ",Y$3,list1!Y212,"]")</f>
        <v xml:space="preserve"> (Соединительные трубы) Газовая линия : N[15.9]</v>
      </c>
      <c r="Z212" t="str">
        <f>CONCATENATE(Z$2,": ",Z$3,list1!Z212,"]")</f>
        <v xml:space="preserve"> (Соединительные трубы) Максимальная длина трубопровода: N[50]</v>
      </c>
      <c r="AA212" t="str">
        <f>CONCATENATE(AA$2,": ",AA$3,list1!AA212,"]")</f>
        <v xml:space="preserve"> (Соединительные трубы) Максимальный перепад высот: S[30]</v>
      </c>
      <c r="AB212" t="str">
        <f>CONCATENATE(AB$2,": ",AB$3,list1!AB212,"]")</f>
        <v xml:space="preserve"> (Допустимая темп. наружного воздуха) Охлаждение: S[от -15 до +50]</v>
      </c>
      <c r="AC212" t="str">
        <f>CONCATENATE(AC$2,": ",AC$3,list1!AC212,"]")</f>
        <v xml:space="preserve"> (Допустимая темп. наружного воздуха) Обогрев: S[от -15 до +24]</v>
      </c>
      <c r="AD212" s="6" t="s">
        <v>5245</v>
      </c>
    </row>
    <row r="213" spans="1:30" x14ac:dyDescent="0.25">
      <c r="A213" t="str">
        <f>CONCATENATE(A$2,": ",A$3,list1!A213,"]")</f>
        <v>Производитель: E[LESSAR]</v>
      </c>
      <c r="B213" t="str">
        <f>CONCATENATE(B$2,": ",B$3,list1!B213,"]")</f>
        <v xml:space="preserve"> Тип: S[Канальные]</v>
      </c>
      <c r="C213" t="str">
        <f>CONCATENATE(C$2,": ",C$3,list1!C213,"]")</f>
        <v xml:space="preserve"> (Сплит система) Холодопроизводительность: N[3.52]</v>
      </c>
      <c r="D213" t="str">
        <f>CONCATENATE(D$2,": ",D$3,list1!D213,"]")</f>
        <v xml:space="preserve"> (Сплит система) Площадь помещения: N[35]</v>
      </c>
      <c r="E213" t="str">
        <f>CONCATENATE(E$2,": ",E$3,list1!E213,"]")</f>
        <v xml:space="preserve"> (Сплит система) Инвентор: S[да]</v>
      </c>
      <c r="F213" t="str">
        <f>CONCATENATE(F$2,": ",F$3,list1!F213,"]")</f>
        <v xml:space="preserve"> (Сплит система) Теплопроизводительность: N[3.81]</v>
      </c>
      <c r="G213" t="str">
        <f>CONCATENATE(G$2,": ",G$3,list1!G213,"]")</f>
        <v xml:space="preserve"> (Потребляемая мощность) Охлаждение: N[1.17]</v>
      </c>
      <c r="H213" t="str">
        <f>CONCATENATE(H$2,": ",H$3,list1!H213,"]")</f>
        <v xml:space="preserve"> (Потребляемая мощность) Обогрев: S[0.99]</v>
      </c>
      <c r="I213" t="str">
        <f>CONCATENATE(I$2,": ",I$3,list1!I213,"]")</f>
        <v xml:space="preserve"> (Рабочий ток) Охлаждение: S[]</v>
      </c>
      <c r="J213" t="str">
        <f>CONCATENATE(J$2,": ",J$3,list1!J213,"]")</f>
        <v xml:space="preserve"> (Рабочий ток) Обогрев: S[]</v>
      </c>
      <c r="K213" t="str">
        <f>CONCATENATE(K$2,": ",K$3,list1!K213,"]")</f>
        <v xml:space="preserve"> (Рабочий ток) Напряжение / Частота источника питания: S[1 / 220 / 50]</v>
      </c>
      <c r="L213" t="str">
        <f>CONCATENATE(L$2,": ",L$3,list1!L213,"]")</f>
        <v xml:space="preserve"> (Рабочий ток) Хладагент: S[R410A]</v>
      </c>
      <c r="M213" t="str">
        <f>CONCATENATE(M$2,": ",M$3,list1!M213,"]")</f>
        <v xml:space="preserve"> (Рабочий ток) Количество хладагента: N[]</v>
      </c>
      <c r="N213" t="str">
        <f>CONCATENATE(N$2,": ",N$3,list1!N213,"]")</f>
        <v xml:space="preserve"> (Рабочий ток) Объем рециркулируемого воздуха внутреннего блока: S[]</v>
      </c>
      <c r="O213" t="str">
        <f>CONCATENATE(O$2,": ",O$3,list1!O213,"]")</f>
        <v xml:space="preserve"> (Внутренний блок) Размеры (Ш x Г x В): S[700 х 200 х 450]</v>
      </c>
      <c r="P213" t="str">
        <f>CONCATENATE(P$2,": ",P$3,list1!P213,"]")</f>
        <v xml:space="preserve"> (Внутренний блок) Упаковка (Ш x Г x В): S[860 х 540 х 275]</v>
      </c>
      <c r="Q213" t="str">
        <f>CONCATENATE(Q$2,": ",Q$3,list1!Q213,"]")</f>
        <v xml:space="preserve"> (Внутренний блок) Масса (нетто / брутто): S[18 / 22]</v>
      </c>
      <c r="R213" t="str">
        <f>CONCATENATE(R$2,": ",R$3,list1!R213,"]")</f>
        <v xml:space="preserve"> (Внутренний блок) Уровень шума мин. / макс.: S[27.5/34.5/40]</v>
      </c>
      <c r="S213" t="str">
        <f>CONCATENATE(S$2,": ",S$3,list1!S213,"]")</f>
        <v xml:space="preserve"> (Наружный блок) Марка компрессора: S[GMCC]</v>
      </c>
      <c r="T213" t="str">
        <f>CONCATENATE(T$2,": ",T$3,list1!T213,"]")</f>
        <v xml:space="preserve"> (Наружный блок) Размеры (Ш x Г x В): S[800 х 333 х 554]</v>
      </c>
      <c r="U213" t="str">
        <f>CONCATENATE(U$2,": ",U$3,list1!U213,"]")</f>
        <v xml:space="preserve"> (Наружный блок) Упаковка (Ш x Г x В): S[920 х 390 х 615]</v>
      </c>
      <c r="V213" t="str">
        <f>CONCATENATE(V$2,": ",V$3,list1!V213,"]")</f>
        <v xml:space="preserve"> (Наружный блок) Масса (нетто / брутто): S[29.9/32.6]</v>
      </c>
      <c r="W213" t="str">
        <f>CONCATENATE(W$2,": ",W$3,list1!W213,"]")</f>
        <v xml:space="preserve"> (Наружный блок) Максимальный уровень шума: N[]</v>
      </c>
      <c r="X213" t="str">
        <f>CONCATENATE(X$2,": ",X$3,list1!X213,"]")</f>
        <v xml:space="preserve"> (Соединительные трубы) Жидкостная линия : N[6.35]</v>
      </c>
      <c r="Y213" t="str">
        <f>CONCATENATE(Y$2,": ",Y$3,list1!Y213,"]")</f>
        <v xml:space="preserve"> (Соединительные трубы) Газовая линия : N[9.52]</v>
      </c>
      <c r="Z213" t="str">
        <f>CONCATENATE(Z$2,": ",Z$3,list1!Z213,"]")</f>
        <v xml:space="preserve"> (Соединительные трубы) Максимальная длина трубопровода: N[25]</v>
      </c>
      <c r="AA213" t="str">
        <f>CONCATENATE(AA$2,": ",AA$3,list1!AA213,"]")</f>
        <v xml:space="preserve"> (Соединительные трубы) Максимальный перепад высот: S[10]</v>
      </c>
      <c r="AB213" t="str">
        <f>CONCATENATE(AB$2,": ",AB$3,list1!AB213,"]")</f>
        <v xml:space="preserve"> (Допустимая темп. наружного воздуха) Охлаждение: S[от -15 до +50]</v>
      </c>
      <c r="AC213" t="str">
        <f>CONCATENATE(AC$2,": ",AC$3,list1!AC213,"]")</f>
        <v xml:space="preserve"> (Допустимая темп. наружного воздуха) Обогрев: S[от -15 до +24]</v>
      </c>
      <c r="AD213" s="6" t="s">
        <v>5245</v>
      </c>
    </row>
    <row r="214" spans="1:30" x14ac:dyDescent="0.25">
      <c r="A214" t="str">
        <f>CONCATENATE(A$2,": ",A$3,list1!A214,"]")</f>
        <v>Производитель: E[LESSAR]</v>
      </c>
      <c r="B214" t="str">
        <f>CONCATENATE(B$2,": ",B$3,list1!B214,"]")</f>
        <v xml:space="preserve"> Тип: S[Канальные]</v>
      </c>
      <c r="C214" t="str">
        <f>CONCATENATE(C$2,": ",C$3,list1!C214,"]")</f>
        <v xml:space="preserve"> (Сплит система) Холодопроизводительность: N[3.66]</v>
      </c>
      <c r="D214" t="str">
        <f>CONCATENATE(D$2,": ",D$3,list1!D214,"]")</f>
        <v xml:space="preserve"> (Сплит система) Площадь помещения: N[36]</v>
      </c>
      <c r="E214" t="str">
        <f>CONCATENATE(E$2,": ",E$3,list1!E214,"]")</f>
        <v xml:space="preserve"> (Сплит система) Инвентор: S[да]</v>
      </c>
      <c r="F214" t="str">
        <f>CONCATENATE(F$2,": ",F$3,list1!F214,"]")</f>
        <v xml:space="preserve"> (Сплит система) Теплопроизводительность: N[4.25]</v>
      </c>
      <c r="G214" t="str">
        <f>CONCATENATE(G$2,": ",G$3,list1!G214,"]")</f>
        <v xml:space="preserve"> (Потребляемая мощность) Охлаждение: N[1.352]</v>
      </c>
      <c r="H214" t="str">
        <f>CONCATENATE(H$2,": ",H$3,list1!H214,"]")</f>
        <v xml:space="preserve"> (Потребляемая мощность) Обогрев: S[1.171]</v>
      </c>
      <c r="I214" t="str">
        <f>CONCATENATE(I$2,": ",I$3,list1!I214,"]")</f>
        <v xml:space="preserve"> (Рабочий ток) Охлаждение: S[]</v>
      </c>
      <c r="J214" t="str">
        <f>CONCATENATE(J$2,": ",J$3,list1!J214,"]")</f>
        <v xml:space="preserve"> (Рабочий ток) Обогрев: S[]</v>
      </c>
      <c r="K214" t="str">
        <f>CONCATENATE(K$2,": ",K$3,list1!K214,"]")</f>
        <v xml:space="preserve"> (Рабочий ток) Напряжение / Частота источника питания: S[1 / 220 / 50]</v>
      </c>
      <c r="L214" t="str">
        <f>CONCATENATE(L$2,": ",L$3,list1!L214,"]")</f>
        <v xml:space="preserve"> (Рабочий ток) Хладагент: S[R410A]</v>
      </c>
      <c r="M214" t="str">
        <f>CONCATENATE(M$2,": ",M$3,list1!M214,"]")</f>
        <v xml:space="preserve"> (Рабочий ток) Количество хладагента: N[]</v>
      </c>
      <c r="N214" t="str">
        <f>CONCATENATE(N$2,": ",N$3,list1!N214,"]")</f>
        <v xml:space="preserve"> (Рабочий ток) Объем рециркулируемого воздуха внутреннего блока: S[]</v>
      </c>
      <c r="O214" t="str">
        <f>CONCATENATE(O$2,": ",O$3,list1!O214,"]")</f>
        <v xml:space="preserve"> (Внутренний блок) Размеры (Ш x Г x В): S[700 х 200 х 506]</v>
      </c>
      <c r="P214" t="str">
        <f>CONCATENATE(P$2,": ",P$3,list1!P214,"]")</f>
        <v xml:space="preserve"> (Внутренний блок) Упаковка (Ш x Г x В): S[860 х 540 х 285]</v>
      </c>
      <c r="Q214" t="str">
        <f>CONCATENATE(Q$2,": ",Q$3,list1!Q214,"]")</f>
        <v xml:space="preserve"> (Внутренний блок) Масса (нетто / брутто): S[17.8 / 21.5]</v>
      </c>
      <c r="R214" t="str">
        <f>CONCATENATE(R$2,": ",R$3,list1!R214,"]")</f>
        <v xml:space="preserve"> (Внутренний блок) Уровень шума мин. / макс.: S[25/34/38]</v>
      </c>
      <c r="S214" t="str">
        <f>CONCATENATE(S$2,": ",S$3,list1!S214,"]")</f>
        <v xml:space="preserve"> (Наружный блок) Марка компрессора: S[GMCC]</v>
      </c>
      <c r="T214" t="str">
        <f>CONCATENATE(T$2,": ",T$3,list1!T214,"]")</f>
        <v xml:space="preserve"> (Наружный блок) Размеры (Ш x Г x В): S[765 х 303 х 555]</v>
      </c>
      <c r="U214" t="str">
        <f>CONCATENATE(U$2,": ",U$3,list1!U214,"]")</f>
        <v xml:space="preserve"> (Наружный блок) Упаковка (Ш x Г x В): S[887 х 337 х 610]</v>
      </c>
      <c r="V214" t="str">
        <f>CONCATENATE(V$2,": ",V$3,list1!V214,"]")</f>
        <v xml:space="preserve"> (Наружный блок) Масса (нетто / брутто): S[26.9/29.2]</v>
      </c>
      <c r="W214" t="str">
        <f>CONCATENATE(W$2,": ",W$3,list1!W214,"]")</f>
        <v xml:space="preserve"> (Наружный блок) Максимальный уровень шума: N[]</v>
      </c>
      <c r="X214" t="str">
        <f>CONCATENATE(X$2,": ",X$3,list1!X214,"]")</f>
        <v xml:space="preserve"> (Соединительные трубы) Жидкостная линия : N[6.35]</v>
      </c>
      <c r="Y214" t="str">
        <f>CONCATENATE(Y$2,": ",Y$3,list1!Y214,"]")</f>
        <v xml:space="preserve"> (Соединительные трубы) Газовая линия : N[9.52]</v>
      </c>
      <c r="Z214" t="str">
        <f>CONCATENATE(Z$2,": ",Z$3,list1!Z214,"]")</f>
        <v xml:space="preserve"> (Соединительные трубы) Максимальная длина трубопровода: N[25]</v>
      </c>
      <c r="AA214" t="str">
        <f>CONCATENATE(AA$2,": ",AA$3,list1!AA214,"]")</f>
        <v xml:space="preserve"> (Соединительные трубы) Максимальный перепад высот: S[10]</v>
      </c>
      <c r="AB214" t="str">
        <f>CONCATENATE(AB$2,": ",AB$3,list1!AB214,"]")</f>
        <v xml:space="preserve"> (Допустимая темп. наружного воздуха) Охлаждение: S[от -15 до +50]</v>
      </c>
      <c r="AC214" t="str">
        <f>CONCATENATE(AC$2,": ",AC$3,list1!AC214,"]")</f>
        <v xml:space="preserve"> (Допустимая темп. наружного воздуха) Обогрев: S[от -15 до +24]</v>
      </c>
      <c r="AD214" s="6" t="s">
        <v>5245</v>
      </c>
    </row>
    <row r="215" spans="1:30" x14ac:dyDescent="0.25">
      <c r="A215" t="str">
        <f>CONCATENATE(A$2,": ",A$3,list1!A215,"]")</f>
        <v>Производитель: E[LESSAR]</v>
      </c>
      <c r="B215" t="str">
        <f>CONCATENATE(B$2,": ",B$3,list1!B215,"]")</f>
        <v xml:space="preserve"> Тип: S[Канальные]</v>
      </c>
      <c r="C215" t="str">
        <f>CONCATENATE(C$2,": ",C$3,list1!C215,"]")</f>
        <v xml:space="preserve"> (Сплит система) Холодопроизводительность: N[5.28]</v>
      </c>
      <c r="D215" t="str">
        <f>CONCATENATE(D$2,": ",D$3,list1!D215,"]")</f>
        <v xml:space="preserve"> (Сплит система) Площадь помещения: N[52]</v>
      </c>
      <c r="E215" t="str">
        <f>CONCATENATE(E$2,": ",E$3,list1!E215,"]")</f>
        <v xml:space="preserve"> (Сплит система) Инвентор: S[да]</v>
      </c>
      <c r="F215" t="str">
        <f>CONCATENATE(F$2,": ",F$3,list1!F215,"]")</f>
        <v xml:space="preserve"> (Сплит система) Теплопроизводительность: N[5.86]</v>
      </c>
      <c r="G215" t="str">
        <f>CONCATENATE(G$2,": ",G$3,list1!G215,"]")</f>
        <v xml:space="preserve"> (Потребляемая мощность) Охлаждение: N[1.635]</v>
      </c>
      <c r="H215" t="str">
        <f>CONCATENATE(H$2,": ",H$3,list1!H215,"]")</f>
        <v xml:space="preserve"> (Потребляемая мощность) Обогрев: S[1.578]</v>
      </c>
      <c r="I215" t="str">
        <f>CONCATENATE(I$2,": ",I$3,list1!I215,"]")</f>
        <v xml:space="preserve"> (Рабочий ток) Охлаждение: S[]</v>
      </c>
      <c r="J215" t="str">
        <f>CONCATENATE(J$2,": ",J$3,list1!J215,"]")</f>
        <v xml:space="preserve"> (Рабочий ток) Обогрев: S[]</v>
      </c>
      <c r="K215" t="str">
        <f>CONCATENATE(K$2,": ",K$3,list1!K215,"]")</f>
        <v xml:space="preserve"> (Рабочий ток) Напряжение / Частота источника питания: S[1 / 220 / 50]</v>
      </c>
      <c r="L215" t="str">
        <f>CONCATENATE(L$2,": ",L$3,list1!L215,"]")</f>
        <v xml:space="preserve"> (Рабочий ток) Хладагент: S[R410A]</v>
      </c>
      <c r="M215" t="str">
        <f>CONCATENATE(M$2,": ",M$3,list1!M215,"]")</f>
        <v xml:space="preserve"> (Рабочий ток) Количество хладагента: N[]</v>
      </c>
      <c r="N215" t="str">
        <f>CONCATENATE(N$2,": ",N$3,list1!N215,"]")</f>
        <v xml:space="preserve"> (Рабочий ток) Объем рециркулируемого воздуха внутреннего блока: S[]</v>
      </c>
      <c r="O215" t="str">
        <f>CONCATENATE(O$2,": ",O$3,list1!O215,"]")</f>
        <v xml:space="preserve"> (Внутренний блок) Размеры (Ш x Г x В): S[880 х 210 х 674]</v>
      </c>
      <c r="P215" t="str">
        <f>CONCATENATE(P$2,": ",P$3,list1!P215,"]")</f>
        <v xml:space="preserve"> (Внутренний блок) Упаковка (Ш x Г x В): S[1070 х 725 х 280]</v>
      </c>
      <c r="Q215" t="str">
        <f>CONCATENATE(Q$2,": ",Q$3,list1!Q215,"]")</f>
        <v xml:space="preserve"> (Внутренний блок) Масса (нетто / брутто): S[24.3 / 29.6]</v>
      </c>
      <c r="R215" t="str">
        <f>CONCATENATE(R$2,": ",R$3,list1!R215,"]")</f>
        <v xml:space="preserve"> (Внутренний блок) Уровень шума мин. / макс.: S[33/38/42]</v>
      </c>
      <c r="S215" t="str">
        <f>CONCATENATE(S$2,": ",S$3,list1!S215,"]")</f>
        <v xml:space="preserve"> (Наружный блок) Марка компрессора: S[GMCC]</v>
      </c>
      <c r="T215" t="str">
        <f>CONCATENATE(T$2,": ",T$3,list1!T215,"]")</f>
        <v xml:space="preserve"> (Наружный блок) Размеры (Ш x Г x В): S[800 х 333 х 554]</v>
      </c>
      <c r="U215" t="str">
        <f>CONCATENATE(U$2,": ",U$3,list1!U215,"]")</f>
        <v xml:space="preserve"> (Наружный блок) Упаковка (Ш x Г x В): S[920 х 390 х 615]</v>
      </c>
      <c r="V215" t="str">
        <f>CONCATENATE(V$2,": ",V$3,list1!V215,"]")</f>
        <v xml:space="preserve"> (Наружный блок) Масса (нетто / брутто): S[34.5/37.2]</v>
      </c>
      <c r="W215" t="str">
        <f>CONCATENATE(W$2,": ",W$3,list1!W215,"]")</f>
        <v xml:space="preserve"> (Наружный блок) Максимальный уровень шума: N[]</v>
      </c>
      <c r="X215" t="str">
        <f>CONCATENATE(X$2,": ",X$3,list1!X215,"]")</f>
        <v xml:space="preserve"> (Соединительные трубы) Жидкостная линия : N[6.35]</v>
      </c>
      <c r="Y215" t="str">
        <f>CONCATENATE(Y$2,": ",Y$3,list1!Y215,"]")</f>
        <v xml:space="preserve"> (Соединительные трубы) Газовая линия : N[12.7]</v>
      </c>
      <c r="Z215" t="str">
        <f>CONCATENATE(Z$2,": ",Z$3,list1!Z215,"]")</f>
        <v xml:space="preserve"> (Соединительные трубы) Максимальная длина трубопровода: N[30]</v>
      </c>
      <c r="AA215" t="str">
        <f>CONCATENATE(AA$2,": ",AA$3,list1!AA215,"]")</f>
        <v xml:space="preserve"> (Соединительные трубы) Максимальный перепад высот: S[20]</v>
      </c>
      <c r="AB215" t="str">
        <f>CONCATENATE(AB$2,": ",AB$3,list1!AB215,"]")</f>
        <v xml:space="preserve"> (Допустимая темп. наружного воздуха) Охлаждение: S[от -15 до +50]</v>
      </c>
      <c r="AC215" t="str">
        <f>CONCATENATE(AC$2,": ",AC$3,list1!AC215,"]")</f>
        <v xml:space="preserve"> (Допустимая темп. наружного воздуха) Обогрев: S[от -15 до +24]</v>
      </c>
      <c r="AD215" s="6" t="s">
        <v>5245</v>
      </c>
    </row>
    <row r="216" spans="1:30" x14ac:dyDescent="0.25">
      <c r="A216" t="str">
        <f>CONCATENATE(A$2,": ",A$3,list1!A216,"]")</f>
        <v>Производитель: E[LESSAR]</v>
      </c>
      <c r="B216" t="str">
        <f>CONCATENATE(B$2,": ",B$3,list1!B216,"]")</f>
        <v xml:space="preserve"> Тип: S[Канальные]</v>
      </c>
      <c r="C216" t="str">
        <f>CONCATENATE(C$2,": ",C$3,list1!C216,"]")</f>
        <v xml:space="preserve"> (Сплит система) Холодопроизводительность: N[5.28]</v>
      </c>
      <c r="D216" t="str">
        <f>CONCATENATE(D$2,": ",D$3,list1!D216,"]")</f>
        <v xml:space="preserve"> (Сплит система) Площадь помещения: N[52]</v>
      </c>
      <c r="E216" t="str">
        <f>CONCATENATE(E$2,": ",E$3,list1!E216,"]")</f>
        <v xml:space="preserve"> (Сплит система) Инвентор: S[да]</v>
      </c>
      <c r="F216" t="str">
        <f>CONCATENATE(F$2,": ",F$3,list1!F216,"]")</f>
        <v xml:space="preserve"> (Сплит система) Теплопроизводительность: N[5.57]</v>
      </c>
      <c r="G216" t="str">
        <f>CONCATENATE(G$2,": ",G$3,list1!G216,"]")</f>
        <v xml:space="preserve"> (Потребляемая мощность) Охлаждение: N[1.649]</v>
      </c>
      <c r="H216" t="str">
        <f>CONCATENATE(H$2,": ",H$3,list1!H216,"]")</f>
        <v xml:space="preserve"> (Потребляемая мощность) Обогрев: S[1.653]</v>
      </c>
      <c r="I216" t="str">
        <f>CONCATENATE(I$2,": ",I$3,list1!I216,"]")</f>
        <v xml:space="preserve"> (Рабочий ток) Охлаждение: S[]</v>
      </c>
      <c r="J216" t="str">
        <f>CONCATENATE(J$2,": ",J$3,list1!J216,"]")</f>
        <v xml:space="preserve"> (Рабочий ток) Обогрев: S[]</v>
      </c>
      <c r="K216" t="str">
        <f>CONCATENATE(K$2,": ",K$3,list1!K216,"]")</f>
        <v xml:space="preserve"> (Рабочий ток) Напряжение / Частота источника питания: S[1 / 220 / 50]</v>
      </c>
      <c r="L216" t="str">
        <f>CONCATENATE(L$2,": ",L$3,list1!L216,"]")</f>
        <v xml:space="preserve"> (Рабочий ток) Хладагент: S[R410A]</v>
      </c>
      <c r="M216" t="str">
        <f>CONCATENATE(M$2,": ",M$3,list1!M216,"]")</f>
        <v xml:space="preserve"> (Рабочий ток) Количество хладагента: N[]</v>
      </c>
      <c r="N216" t="str">
        <f>CONCATENATE(N$2,": ",N$3,list1!N216,"]")</f>
        <v xml:space="preserve"> (Рабочий ток) Объем рециркулируемого воздуха внутреннего блока: S[]</v>
      </c>
      <c r="O216" t="str">
        <f>CONCATENATE(O$2,": ",O$3,list1!O216,"]")</f>
        <v xml:space="preserve"> (Внутренний блок) Размеры (Ш x Г x В): S[880 х 210 х 674]</v>
      </c>
      <c r="P216" t="str">
        <f>CONCATENATE(P$2,": ",P$3,list1!P216,"]")</f>
        <v xml:space="preserve"> (Внутренний блок) Упаковка (Ш x Г x В): S[1070 х 725 х 280]</v>
      </c>
      <c r="Q216" t="str">
        <f>CONCATENATE(Q$2,": ",Q$3,list1!Q216,"]")</f>
        <v xml:space="preserve"> (Внутренний блок) Масса (нетто / брутто): S[24.4 / 29.6]</v>
      </c>
      <c r="R216" t="str">
        <f>CONCATENATE(R$2,": ",R$3,list1!R216,"]")</f>
        <v xml:space="preserve"> (Внутренний блок) Уровень шума мин. / макс.: S[34/38/41]</v>
      </c>
      <c r="S216" t="str">
        <f>CONCATENATE(S$2,": ",S$3,list1!S216,"]")</f>
        <v xml:space="preserve"> (Наружный блок) Марка компрессора: S[GMCC]</v>
      </c>
      <c r="T216" t="str">
        <f>CONCATENATE(T$2,": ",T$3,list1!T216,"]")</f>
        <v xml:space="preserve"> (Наружный блок) Размеры (Ш x Г x В): S[805 х 330 х 554]</v>
      </c>
      <c r="U216" t="str">
        <f>CONCATENATE(U$2,": ",U$3,list1!U216,"]")</f>
        <v xml:space="preserve"> (Наружный блок) Упаковка (Ш x Г x В): S[915 х 370 х 615]</v>
      </c>
      <c r="V216" t="str">
        <f>CONCATENATE(V$2,": ",V$3,list1!V216,"]")</f>
        <v xml:space="preserve"> (Наружный блок) Масса (нетто / брутто): S[33.6/36.2]</v>
      </c>
      <c r="W216" t="str">
        <f>CONCATENATE(W$2,": ",W$3,list1!W216,"]")</f>
        <v xml:space="preserve"> (Наружный блок) Максимальный уровень шума: N[]</v>
      </c>
      <c r="X216" t="str">
        <f>CONCATENATE(X$2,": ",X$3,list1!X216,"]")</f>
        <v xml:space="preserve"> (Соединительные трубы) Жидкостная линия : N[6.35]</v>
      </c>
      <c r="Y216" t="str">
        <f>CONCATENATE(Y$2,": ",Y$3,list1!Y216,"]")</f>
        <v xml:space="preserve"> (Соединительные трубы) Газовая линия : N[12.7]</v>
      </c>
      <c r="Z216" t="str">
        <f>CONCATENATE(Z$2,": ",Z$3,list1!Z216,"]")</f>
        <v xml:space="preserve"> (Соединительные трубы) Максимальная длина трубопровода: N[30]</v>
      </c>
      <c r="AA216" t="str">
        <f>CONCATENATE(AA$2,": ",AA$3,list1!AA216,"]")</f>
        <v xml:space="preserve"> (Соединительные трубы) Максимальный перепад высот: S[20]</v>
      </c>
      <c r="AB216" t="str">
        <f>CONCATENATE(AB$2,": ",AB$3,list1!AB216,"]")</f>
        <v xml:space="preserve"> (Допустимая темп. наружного воздуха) Охлаждение: S[от -15 до +50]</v>
      </c>
      <c r="AC216" t="str">
        <f>CONCATENATE(AC$2,": ",AC$3,list1!AC216,"]")</f>
        <v xml:space="preserve"> (Допустимая темп. наружного воздуха) Обогрев: S[от -15 до +24]</v>
      </c>
      <c r="AD216" s="6" t="s">
        <v>5245</v>
      </c>
    </row>
    <row r="217" spans="1:30" x14ac:dyDescent="0.25">
      <c r="A217" t="str">
        <f>CONCATENATE(A$2,": ",A$3,list1!A217,"]")</f>
        <v>Производитель: E[LESSAR]</v>
      </c>
      <c r="B217" t="str">
        <f>CONCATENATE(B$2,": ",B$3,list1!B217,"]")</f>
        <v xml:space="preserve"> Тип: S[Канальные]</v>
      </c>
      <c r="C217" t="str">
        <f>CONCATENATE(C$2,": ",C$3,list1!C217,"]")</f>
        <v xml:space="preserve"> (Сплит система) Холодопроизводительность: N[7.03]</v>
      </c>
      <c r="D217" t="str">
        <f>CONCATENATE(D$2,": ",D$3,list1!D217,"]")</f>
        <v xml:space="preserve"> (Сплит система) Площадь помещения: N[70]</v>
      </c>
      <c r="E217" t="str">
        <f>CONCATENATE(E$2,": ",E$3,list1!E217,"]")</f>
        <v xml:space="preserve"> (Сплит система) Инвентор: S[да]</v>
      </c>
      <c r="F217" t="str">
        <f>CONCATENATE(F$2,": ",F$3,list1!F217,"]")</f>
        <v xml:space="preserve"> (Сплит система) Теплопроизводительность: N[7.62]</v>
      </c>
      <c r="G217" t="str">
        <f>CONCATENATE(G$2,": ",G$3,list1!G217,"]")</f>
        <v xml:space="preserve"> (Потребляемая мощность) Охлаждение: N[2.175]</v>
      </c>
      <c r="H217" t="str">
        <f>CONCATENATE(H$2,": ",H$3,list1!H217,"]")</f>
        <v xml:space="preserve"> (Потребляемая мощность) Обогрев: S[2.05]</v>
      </c>
      <c r="I217" t="str">
        <f>CONCATENATE(I$2,": ",I$3,list1!I217,"]")</f>
        <v xml:space="preserve"> (Рабочий ток) Охлаждение: S[]</v>
      </c>
      <c r="J217" t="str">
        <f>CONCATENATE(J$2,": ",J$3,list1!J217,"]")</f>
        <v xml:space="preserve"> (Рабочий ток) Обогрев: S[]</v>
      </c>
      <c r="K217" t="str">
        <f>CONCATENATE(K$2,": ",K$3,list1!K217,"]")</f>
        <v xml:space="preserve"> (Рабочий ток) Напряжение / Частота источника питания: S[1 / 220 / 50]</v>
      </c>
      <c r="L217" t="str">
        <f>CONCATENATE(L$2,": ",L$3,list1!L217,"]")</f>
        <v xml:space="preserve"> (Рабочий ток) Хладагент: S[R410A]</v>
      </c>
      <c r="M217" t="str">
        <f>CONCATENATE(M$2,": ",M$3,list1!M217,"]")</f>
        <v xml:space="preserve"> (Рабочий ток) Количество хладагента: N[]</v>
      </c>
      <c r="N217" t="str">
        <f>CONCATENATE(N$2,": ",N$3,list1!N217,"]")</f>
        <v xml:space="preserve"> (Рабочий ток) Объем рециркулируемого воздуха внутреннего блока: S[]</v>
      </c>
      <c r="O217" t="str">
        <f>CONCATENATE(O$2,": ",O$3,list1!O217,"]")</f>
        <v xml:space="preserve"> (Внутренний блок) Размеры (Ш x Г x В): S[1100 х 249 х 774]</v>
      </c>
      <c r="P217" t="str">
        <f>CONCATENATE(P$2,": ",P$3,list1!P217,"]")</f>
        <v xml:space="preserve"> (Внутренний блок) Упаковка (Ш x Г x В): S[1305 х 805 х 305]</v>
      </c>
      <c r="Q217" t="str">
        <f>CONCATENATE(Q$2,": ",Q$3,list1!Q217,"]")</f>
        <v xml:space="preserve"> (Внутренний блок) Масса (нетто / брутто): S[31.5 / 38.9]</v>
      </c>
      <c r="R217" t="str">
        <f>CONCATENATE(R$2,": ",R$3,list1!R217,"]")</f>
        <v xml:space="preserve"> (Внутренний блок) Уровень шума мин. / макс.: S[40/42/44]</v>
      </c>
      <c r="S217" t="str">
        <f>CONCATENATE(S$2,": ",S$3,list1!S217,"]")</f>
        <v xml:space="preserve"> (Наружный блок) Марка компрессора: S[GMCC]</v>
      </c>
      <c r="T217" t="str">
        <f>CONCATENATE(T$2,": ",T$3,list1!T217,"]")</f>
        <v xml:space="preserve"> (Наружный блок) Размеры (Ш x Г x В): S[845 х 363 х 702]</v>
      </c>
      <c r="U217" t="str">
        <f>CONCATENATE(U$2,": ",U$3,list1!U217,"]")</f>
        <v xml:space="preserve"> (Наружный блок) Упаковка (Ш x Г x В): S[965 х 395 х 755]</v>
      </c>
      <c r="V217" t="str">
        <f>CONCATENATE(V$2,": ",V$3,list1!V217,"]")</f>
        <v xml:space="preserve"> (Наружный блок) Масса (нетто / брутто): S[49/51.5]</v>
      </c>
      <c r="W217" t="str">
        <f>CONCATENATE(W$2,": ",W$3,list1!W217,"]")</f>
        <v xml:space="preserve"> (Наружный блок) Максимальный уровень шума: N[]</v>
      </c>
      <c r="X217" t="str">
        <f>CONCATENATE(X$2,": ",X$3,list1!X217,"]")</f>
        <v xml:space="preserve"> (Соединительные трубы) Жидкостная линия : N[9.52]</v>
      </c>
      <c r="Y217" t="str">
        <f>CONCATENATE(Y$2,": ",Y$3,list1!Y217,"]")</f>
        <v xml:space="preserve"> (Соединительные трубы) Газовая линия : N[15.9]</v>
      </c>
      <c r="Z217" t="str">
        <f>CONCATENATE(Z$2,": ",Z$3,list1!Z217,"]")</f>
        <v xml:space="preserve"> (Соединительные трубы) Максимальная длина трубопровода: N[50]</v>
      </c>
      <c r="AA217" t="str">
        <f>CONCATENATE(AA$2,": ",AA$3,list1!AA217,"]")</f>
        <v xml:space="preserve"> (Соединительные трубы) Максимальный перепад высот: S[25]</v>
      </c>
      <c r="AB217" t="str">
        <f>CONCATENATE(AB$2,": ",AB$3,list1!AB217,"]")</f>
        <v xml:space="preserve"> (Допустимая темп. наружного воздуха) Охлаждение: S[от -15 до +50]</v>
      </c>
      <c r="AC217" t="str">
        <f>CONCATENATE(AC$2,": ",AC$3,list1!AC217,"]")</f>
        <v xml:space="preserve"> (Допустимая темп. наружного воздуха) Обогрев: S[от -15 до +24]</v>
      </c>
      <c r="AD217" s="6" t="s">
        <v>5245</v>
      </c>
    </row>
    <row r="218" spans="1:30" x14ac:dyDescent="0.25">
      <c r="A218" t="str">
        <f>CONCATENATE(A$2,": ",A$3,list1!A218,"]")</f>
        <v>Производитель: E[LESSAR]</v>
      </c>
      <c r="B218" t="str">
        <f>CONCATENATE(B$2,": ",B$3,list1!B218,"]")</f>
        <v xml:space="preserve"> Тип: S[Канальные]</v>
      </c>
      <c r="C218" t="str">
        <f>CONCATENATE(C$2,": ",C$3,list1!C218,"]")</f>
        <v xml:space="preserve"> (Сплит система) Холодопроизводительность: N[7.33]</v>
      </c>
      <c r="D218" t="str">
        <f>CONCATENATE(D$2,": ",D$3,list1!D218,"]")</f>
        <v xml:space="preserve"> (Сплит система) Площадь помещения: N[73]</v>
      </c>
      <c r="E218" t="str">
        <f>CONCATENATE(E$2,": ",E$3,list1!E218,"]")</f>
        <v xml:space="preserve"> (Сплит система) Инвентор: S[да]</v>
      </c>
      <c r="F218" t="str">
        <f>CONCATENATE(F$2,": ",F$3,list1!F218,"]")</f>
        <v xml:space="preserve"> (Сплит система) Теплопроизводительность: N[8.5]</v>
      </c>
      <c r="G218" t="str">
        <f>CONCATENATE(G$2,": ",G$3,list1!G218,"]")</f>
        <v xml:space="preserve"> (Потребляемая мощность) Охлаждение: N[2.155]</v>
      </c>
      <c r="H218" t="str">
        <f>CONCATENATE(H$2,": ",H$3,list1!H218,"]")</f>
        <v xml:space="preserve"> (Потребляемая мощность) Обогрев: S[2.25]</v>
      </c>
      <c r="I218" t="str">
        <f>CONCATENATE(I$2,": ",I$3,list1!I218,"]")</f>
        <v xml:space="preserve"> (Рабочий ток) Охлаждение: S[]</v>
      </c>
      <c r="J218" t="str">
        <f>CONCATENATE(J$2,": ",J$3,list1!J218,"]")</f>
        <v xml:space="preserve"> (Рабочий ток) Обогрев: S[]</v>
      </c>
      <c r="K218" t="str">
        <f>CONCATENATE(K$2,": ",K$3,list1!K218,"]")</f>
        <v xml:space="preserve"> (Рабочий ток) Напряжение / Частота источника питания: S[1 / 220 / 50]</v>
      </c>
      <c r="L218" t="str">
        <f>CONCATENATE(L$2,": ",L$3,list1!L218,"]")</f>
        <v xml:space="preserve"> (Рабочий ток) Хладагент: S[R410A]</v>
      </c>
      <c r="M218" t="str">
        <f>CONCATENATE(M$2,": ",M$3,list1!M218,"]")</f>
        <v xml:space="preserve"> (Рабочий ток) Количество хладагента: N[]</v>
      </c>
      <c r="N218" t="str">
        <f>CONCATENATE(N$2,": ",N$3,list1!N218,"]")</f>
        <v xml:space="preserve"> (Рабочий ток) Объем рециркулируемого воздуха внутреннего блока: S[]</v>
      </c>
      <c r="O218" t="str">
        <f>CONCATENATE(O$2,": ",O$3,list1!O218,"]")</f>
        <v xml:space="preserve"> (Внутренний блок) Размеры (Ш x Г x В): S[1100 х 249 х 774]</v>
      </c>
      <c r="P218" t="str">
        <f>CONCATENATE(P$2,": ",P$3,list1!P218,"]")</f>
        <v xml:space="preserve"> (Внутренний блок) Упаковка (Ш x Г x В): S[1305 х 805 х 315]</v>
      </c>
      <c r="Q218" t="str">
        <f>CONCATENATE(Q$2,": ",Q$3,list1!Q218,"]")</f>
        <v xml:space="preserve"> (Внутренний блок) Масса (нетто / брутто): S[32.3 / 39.1]</v>
      </c>
      <c r="R218" t="str">
        <f>CONCATENATE(R$2,": ",R$3,list1!R218,"]")</f>
        <v xml:space="preserve"> (Внутренний блок) Уровень шума мин. / макс.: S[37/39/41]</v>
      </c>
      <c r="S218" t="str">
        <f>CONCATENATE(S$2,": ",S$3,list1!S218,"]")</f>
        <v xml:space="preserve"> (Наружный блок) Марка компрессора: S[GMCC]</v>
      </c>
      <c r="T218" t="str">
        <f>CONCATENATE(T$2,": ",T$3,list1!T218,"]")</f>
        <v xml:space="preserve"> (Наружный блок) Размеры (Ш x Г x В): S[890 х 342 х 673]</v>
      </c>
      <c r="U218" t="str">
        <f>CONCATENATE(U$2,": ",U$3,list1!U218,"]")</f>
        <v xml:space="preserve"> (Наружный блок) Упаковка (Ш x Г x В): S[995 х 398 х 740]</v>
      </c>
      <c r="V218" t="str">
        <f>CONCATENATE(V$2,": ",V$3,list1!V218,"]")</f>
        <v xml:space="preserve"> (Наружный блок) Масса (нетто / брутто): S[45.1/48.3]</v>
      </c>
      <c r="W218" t="str">
        <f>CONCATENATE(W$2,": ",W$3,list1!W218,"]")</f>
        <v xml:space="preserve"> (Наружный блок) Максимальный уровень шума: N[]</v>
      </c>
      <c r="X218" t="str">
        <f>CONCATENATE(X$2,": ",X$3,list1!X218,"]")</f>
        <v xml:space="preserve"> (Соединительные трубы) Жидкостная линия : N[9.52]</v>
      </c>
      <c r="Y218" t="str">
        <f>CONCATENATE(Y$2,": ",Y$3,list1!Y218,"]")</f>
        <v xml:space="preserve"> (Соединительные трубы) Газовая линия : N[15.9]</v>
      </c>
      <c r="Z218" t="str">
        <f>CONCATENATE(Z$2,": ",Z$3,list1!Z218,"]")</f>
        <v xml:space="preserve"> (Соединительные трубы) Максимальная длина трубопровода: N[50]</v>
      </c>
      <c r="AA218" t="str">
        <f>CONCATENATE(AA$2,": ",AA$3,list1!AA218,"]")</f>
        <v xml:space="preserve"> (Соединительные трубы) Максимальный перепад высот: S[25]</v>
      </c>
      <c r="AB218" t="str">
        <f>CONCATENATE(AB$2,": ",AB$3,list1!AB218,"]")</f>
        <v xml:space="preserve"> (Допустимая темп. наружного воздуха) Охлаждение: S[от -15 до +50]</v>
      </c>
      <c r="AC218" t="str">
        <f>CONCATENATE(AC$2,": ",AC$3,list1!AC218,"]")</f>
        <v xml:space="preserve"> (Допустимая темп. наружного воздуха) Обогрев: S[от -15 до +24]</v>
      </c>
      <c r="AD218" s="6" t="s">
        <v>5245</v>
      </c>
    </row>
    <row r="219" spans="1:30" x14ac:dyDescent="0.25">
      <c r="A219" t="str">
        <f>CONCATENATE(A$2,": ",A$3,list1!A219,"]")</f>
        <v>Производитель: E[LESSAR]</v>
      </c>
      <c r="B219" t="str">
        <f>CONCATENATE(B$2,": ",B$3,list1!B219,"]")</f>
        <v xml:space="preserve"> Тип: S[Канальные]</v>
      </c>
      <c r="C219" t="str">
        <f>CONCATENATE(C$2,": ",C$3,list1!C219,"]")</f>
        <v xml:space="preserve"> (Сплит система) Холодопроизводительность: N[10.55]</v>
      </c>
      <c r="D219" t="str">
        <f>CONCATENATE(D$2,": ",D$3,list1!D219,"]")</f>
        <v xml:space="preserve"> (Сплит система) Площадь помещения: N[100]</v>
      </c>
      <c r="E219" t="str">
        <f>CONCATENATE(E$2,": ",E$3,list1!E219,"]")</f>
        <v xml:space="preserve"> (Сплит система) Инвентор: S[да]</v>
      </c>
      <c r="F219" t="str">
        <f>CONCATENATE(F$2,": ",F$3,list1!F219,"]")</f>
        <v xml:space="preserve"> (Сплит система) Теплопроизводительность: N[11.14]</v>
      </c>
      <c r="G219" t="str">
        <f>CONCATENATE(G$2,": ",G$3,list1!G219,"]")</f>
        <v xml:space="preserve"> (Потребляемая мощность) Охлаждение: N[3.59]</v>
      </c>
      <c r="H219" t="str">
        <f>CONCATENATE(H$2,": ",H$3,list1!H219,"]")</f>
        <v xml:space="preserve"> (Потребляемая мощность) Обогрев: S[3.085]</v>
      </c>
      <c r="I219" t="str">
        <f>CONCATENATE(I$2,": ",I$3,list1!I219,"]")</f>
        <v xml:space="preserve"> (Рабочий ток) Охлаждение: S[]</v>
      </c>
      <c r="J219" t="str">
        <f>CONCATENATE(J$2,": ",J$3,list1!J219,"]")</f>
        <v xml:space="preserve"> (Рабочий ток) Обогрев: S[]</v>
      </c>
      <c r="K219" t="str">
        <f>CONCATENATE(K$2,": ",K$3,list1!K219,"]")</f>
        <v xml:space="preserve"> (Рабочий ток) Напряжение / Частота источника питания: S[3 / 380 / 50]</v>
      </c>
      <c r="L219" t="str">
        <f>CONCATENATE(L$2,": ",L$3,list1!L219,"]")</f>
        <v xml:space="preserve"> (Рабочий ток) Хладагент: S[R410A]</v>
      </c>
      <c r="M219" t="str">
        <f>CONCATENATE(M$2,": ",M$3,list1!M219,"]")</f>
        <v xml:space="preserve"> (Рабочий ток) Количество хладагента: N[]</v>
      </c>
      <c r="N219" t="str">
        <f>CONCATENATE(N$2,": ",N$3,list1!N219,"]")</f>
        <v xml:space="preserve"> (Рабочий ток) Объем рециркулируемого воздуха внутреннего блока: S[]</v>
      </c>
      <c r="O219" t="str">
        <f>CONCATENATE(O$2,": ",O$3,list1!O219,"]")</f>
        <v xml:space="preserve"> (Внутренний блок) Размеры (Ш x Г x В): S[1100 х 249 х 774]</v>
      </c>
      <c r="P219" t="str">
        <f>CONCATENATE(P$2,": ",P$3,list1!P219,"]")</f>
        <v xml:space="preserve"> (Внутренний блок) Упаковка (Ш x Г x В): S[1305 х 805 х 315]</v>
      </c>
      <c r="Q219" t="str">
        <f>CONCATENATE(Q$2,": ",Q$3,list1!Q219,"]")</f>
        <v xml:space="preserve"> (Внутренний блок) Масса (нетто / брутто): S[34.5 / 41.9]</v>
      </c>
      <c r="R219" t="str">
        <f>CONCATENATE(R$2,": ",R$3,list1!R219,"]")</f>
        <v xml:space="preserve"> (Внутренний блок) Уровень шума мин. / макс.: S[36/38.5/45]</v>
      </c>
      <c r="S219" t="str">
        <f>CONCATENATE(S$2,": ",S$3,list1!S219,"]")</f>
        <v xml:space="preserve"> (Наружный блок) Марка компрессора: S[GMCC]</v>
      </c>
      <c r="T219" t="str">
        <f>CONCATENATE(T$2,": ",T$3,list1!T219,"]")</f>
        <v xml:space="preserve"> (Наружный блок) Размеры (Ш x Г x В): S[946 х 410 х 810]</v>
      </c>
      <c r="U219" t="str">
        <f>CONCATENATE(U$2,": ",U$3,list1!U219,"]")</f>
        <v xml:space="preserve"> (Наружный блок) Упаковка (Ш x Г x В): S[1090 х 500 х 875]</v>
      </c>
      <c r="V219" t="str">
        <f>CONCATENATE(V$2,": ",V$3,list1!V219,"]")</f>
        <v xml:space="preserve"> (Наружный блок) Масса (нетто / брутто): S[77.9/82.7]</v>
      </c>
      <c r="W219" t="str">
        <f>CONCATENATE(W$2,": ",W$3,list1!W219,"]")</f>
        <v xml:space="preserve"> (Наружный блок) Максимальный уровень шума: N[]</v>
      </c>
      <c r="X219" t="str">
        <f>CONCATENATE(X$2,": ",X$3,list1!X219,"]")</f>
        <v xml:space="preserve"> (Соединительные трубы) Жидкостная линия : N[9.52]</v>
      </c>
      <c r="Y219" t="str">
        <f>CONCATENATE(Y$2,": ",Y$3,list1!Y219,"]")</f>
        <v xml:space="preserve"> (Соединительные трубы) Газовая линия : N[19]</v>
      </c>
      <c r="Z219" t="str">
        <f>CONCATENATE(Z$2,": ",Z$3,list1!Z219,"]")</f>
        <v xml:space="preserve"> (Соединительные трубы) Максимальная длина трубопровода: N[30]</v>
      </c>
      <c r="AA219" t="str">
        <f>CONCATENATE(AA$2,": ",AA$3,list1!AA219,"]")</f>
        <v xml:space="preserve"> (Соединительные трубы) Максимальный перепад высот: S[20]</v>
      </c>
      <c r="AB219" t="str">
        <f>CONCATENATE(AB$2,": ",AB$3,list1!AB219,"]")</f>
        <v xml:space="preserve"> (Допустимая темп. наружного воздуха) Охлаждение: S[от -15 до +50]</v>
      </c>
      <c r="AC219" t="str">
        <f>CONCATENATE(AC$2,": ",AC$3,list1!AC219,"]")</f>
        <v xml:space="preserve"> (Допустимая темп. наружного воздуха) Обогрев: S[от -15 до +24]</v>
      </c>
      <c r="AD219" s="6" t="s">
        <v>5245</v>
      </c>
    </row>
    <row r="220" spans="1:30" x14ac:dyDescent="0.25">
      <c r="A220" t="str">
        <f>CONCATENATE(A$2,": ",A$3,list1!A220,"]")</f>
        <v>Производитель: E[LESSAR]</v>
      </c>
      <c r="B220" t="str">
        <f>CONCATENATE(B$2,": ",B$3,list1!B220,"]")</f>
        <v xml:space="preserve"> Тип: S[Канальные]</v>
      </c>
      <c r="C220" t="str">
        <f>CONCATENATE(C$2,": ",C$3,list1!C220,"]")</f>
        <v xml:space="preserve"> (Сплит система) Холодопроизводительность: N[11.14]</v>
      </c>
      <c r="D220" t="str">
        <f>CONCATENATE(D$2,": ",D$3,list1!D220,"]")</f>
        <v xml:space="preserve"> (Сплит система) Площадь помещения: N[110]</v>
      </c>
      <c r="E220" t="str">
        <f>CONCATENATE(E$2,": ",E$3,list1!E220,"]")</f>
        <v xml:space="preserve"> (Сплит система) Инвентор: S[да]</v>
      </c>
      <c r="F220" t="str">
        <f>CONCATENATE(F$2,": ",F$3,list1!F220,"]")</f>
        <v xml:space="preserve"> (Сплит система) Теплопроизводительность: N[11.87]</v>
      </c>
      <c r="G220" t="str">
        <f>CONCATENATE(G$2,": ",G$3,list1!G220,"]")</f>
        <v xml:space="preserve"> (Потребляемая мощность) Охлаждение: N[3.84]</v>
      </c>
      <c r="H220" t="str">
        <f>CONCATENATE(H$2,": ",H$3,list1!H220,"]")</f>
        <v xml:space="preserve"> (Потребляемая мощность) Обогрев: S[2.895]</v>
      </c>
      <c r="I220" t="str">
        <f>CONCATENATE(I$2,": ",I$3,list1!I220,"]")</f>
        <v xml:space="preserve"> (Рабочий ток) Охлаждение: S[]</v>
      </c>
      <c r="J220" t="str">
        <f>CONCATENATE(J$2,": ",J$3,list1!J220,"]")</f>
        <v xml:space="preserve"> (Рабочий ток) Обогрев: S[]</v>
      </c>
      <c r="K220" t="str">
        <f>CONCATENATE(K$2,": ",K$3,list1!K220,"]")</f>
        <v xml:space="preserve"> (Рабочий ток) Напряжение / Частота источника питания: S[3 / 380 / 50]</v>
      </c>
      <c r="L220" t="str">
        <f>CONCATENATE(L$2,": ",L$3,list1!L220,"]")</f>
        <v xml:space="preserve"> (Рабочий ток) Хладагент: S[R410A]</v>
      </c>
      <c r="M220" t="str">
        <f>CONCATENATE(M$2,": ",M$3,list1!M220,"]")</f>
        <v xml:space="preserve"> (Рабочий ток) Количество хладагента: N[]</v>
      </c>
      <c r="N220" t="str">
        <f>CONCATENATE(N$2,": ",N$3,list1!N220,"]")</f>
        <v xml:space="preserve"> (Рабочий ток) Объем рециркулируемого воздуха внутреннего блока: S[]</v>
      </c>
      <c r="O220" t="str">
        <f>CONCATENATE(O$2,": ",O$3,list1!O220,"]")</f>
        <v xml:space="preserve"> (Внутренний блок) Размеры (Ш x Г x В): S[1360 х 249 х 774]</v>
      </c>
      <c r="P220" t="str">
        <f>CONCATENATE(P$2,": ",P$3,list1!P220,"]")</f>
        <v xml:space="preserve"> (Внутренний блок) Упаковка (Ш x Г x В): S[1570 х 805 х 330]</v>
      </c>
      <c r="Q220" t="str">
        <f>CONCATENATE(Q$2,": ",Q$3,list1!Q220,"]")</f>
        <v xml:space="preserve"> (Внутренний блок) Масса (нетто / брутто): S[40.5 / 48.2]</v>
      </c>
      <c r="R220" t="str">
        <f>CONCATENATE(R$2,": ",R$3,list1!R220,"]")</f>
        <v xml:space="preserve"> (Внутренний блок) Уровень шума мин. / макс.: S[38/40.5/44]</v>
      </c>
      <c r="S220" t="str">
        <f>CONCATENATE(S$2,": ",S$3,list1!S220,"]")</f>
        <v xml:space="preserve"> (Наружный блок) Марка компрессора: S[GMCC]</v>
      </c>
      <c r="T220" t="str">
        <f>CONCATENATE(T$2,": ",T$3,list1!T220,"]")</f>
        <v xml:space="preserve"> (Наружный блок) Размеры (Ш x Г x В): S[946 х 410 х 810]</v>
      </c>
      <c r="U220" t="str">
        <f>CONCATENATE(U$2,": ",U$3,list1!U220,"]")</f>
        <v xml:space="preserve"> (Наружный блок) Упаковка (Ш x Г x В): S[1090 х 500 х 885]</v>
      </c>
      <c r="V220" t="str">
        <f>CONCATENATE(V$2,": ",V$3,list1!V220,"]")</f>
        <v xml:space="preserve"> (Наружный блок) Масса (нетто / брутто): S[77.9/82.7]</v>
      </c>
      <c r="W220" t="str">
        <f>CONCATENATE(W$2,": ",W$3,list1!W220,"]")</f>
        <v xml:space="preserve"> (Наружный блок) Максимальный уровень шума: N[]</v>
      </c>
      <c r="X220" t="str">
        <f>CONCATENATE(X$2,": ",X$3,list1!X220,"]")</f>
        <v xml:space="preserve"> (Соединительные трубы) Жидкостная линия : N[9.52]</v>
      </c>
      <c r="Y220" t="str">
        <f>CONCATENATE(Y$2,": ",Y$3,list1!Y220,"]")</f>
        <v xml:space="preserve"> (Соединительные трубы) Газовая линия : N[15.9]</v>
      </c>
      <c r="Z220" t="str">
        <f>CONCATENATE(Z$2,": ",Z$3,list1!Z220,"]")</f>
        <v xml:space="preserve"> (Соединительные трубы) Максимальная длина трубопровода: N[30]</v>
      </c>
      <c r="AA220" t="str">
        <f>CONCATENATE(AA$2,": ",AA$3,list1!AA220,"]")</f>
        <v xml:space="preserve"> (Соединительные трубы) Максимальный перепад высот: S[20]</v>
      </c>
      <c r="AB220" t="str">
        <f>CONCATENATE(AB$2,": ",AB$3,list1!AB220,"]")</f>
        <v xml:space="preserve"> (Допустимая темп. наружного воздуха) Охлаждение: S[от -15 до +50]</v>
      </c>
      <c r="AC220" t="str">
        <f>CONCATENATE(AC$2,": ",AC$3,list1!AC220,"]")</f>
        <v xml:space="preserve"> (Допустимая темп. наружного воздуха) Обогрев: S[от -15 до +24]</v>
      </c>
      <c r="AD220" s="6" t="s">
        <v>5245</v>
      </c>
    </row>
    <row r="221" spans="1:30" x14ac:dyDescent="0.25">
      <c r="A221" t="str">
        <f>CONCATENATE(A$2,": ",A$3,list1!A221,"]")</f>
        <v>Производитель: E[LESSAR]</v>
      </c>
      <c r="B221" t="str">
        <f>CONCATENATE(B$2,": ",B$3,list1!B221,"]")</f>
        <v xml:space="preserve"> Тип: S[Канальные]</v>
      </c>
      <c r="C221" t="str">
        <f>CONCATENATE(C$2,": ",C$3,list1!C221,"]")</f>
        <v xml:space="preserve"> (Сплит система) Холодопроизводительность: N[14.07]</v>
      </c>
      <c r="D221" t="str">
        <f>CONCATENATE(D$2,": ",D$3,list1!D221,"]")</f>
        <v xml:space="preserve"> (Сплит система) Площадь помещения: N[140]</v>
      </c>
      <c r="E221" t="str">
        <f>CONCATENATE(E$2,": ",E$3,list1!E221,"]")</f>
        <v xml:space="preserve"> (Сплит система) Инвентор: S[да]</v>
      </c>
      <c r="F221" t="str">
        <f>CONCATENATE(F$2,": ",F$3,list1!F221,"]")</f>
        <v xml:space="preserve"> (Сплит система) Теплопроизводительность: N[14.65]</v>
      </c>
      <c r="G221" t="str">
        <f>CONCATENATE(G$2,": ",G$3,list1!G221,"]")</f>
        <v xml:space="preserve"> (Потребляемая мощность) Охлаждение: N[5.191]</v>
      </c>
      <c r="H221" t="str">
        <f>CONCATENATE(H$2,": ",H$3,list1!H221,"]")</f>
        <v xml:space="preserve"> (Потребляемая мощность) Обогрев: S[4.059]</v>
      </c>
      <c r="I221" t="str">
        <f>CONCATENATE(I$2,": ",I$3,list1!I221,"]")</f>
        <v xml:space="preserve"> (Рабочий ток) Охлаждение: S[]</v>
      </c>
      <c r="J221" t="str">
        <f>CONCATENATE(J$2,": ",J$3,list1!J221,"]")</f>
        <v xml:space="preserve"> (Рабочий ток) Обогрев: S[]</v>
      </c>
      <c r="K221" t="str">
        <f>CONCATENATE(K$2,": ",K$3,list1!K221,"]")</f>
        <v xml:space="preserve"> (Рабочий ток) Напряжение / Частота источника питания: S[3 / 380 / 50]</v>
      </c>
      <c r="L221" t="str">
        <f>CONCATENATE(L$2,": ",L$3,list1!L221,"]")</f>
        <v xml:space="preserve"> (Рабочий ток) Хладагент: S[R410A]</v>
      </c>
      <c r="M221" t="str">
        <f>CONCATENATE(M$2,": ",M$3,list1!M221,"]")</f>
        <v xml:space="preserve"> (Рабочий ток) Количество хладагента: N[]</v>
      </c>
      <c r="N221" t="str">
        <f>CONCATENATE(N$2,": ",N$3,list1!N221,"]")</f>
        <v xml:space="preserve"> (Рабочий ток) Объем рециркулируемого воздуха внутреннего блока: S[]</v>
      </c>
      <c r="O221" t="str">
        <f>CONCATENATE(O$2,": ",O$3,list1!O221,"]")</f>
        <v xml:space="preserve"> (Внутренний блок) Размеры (Ш x Г x В): S[1200 х 300 х 874]</v>
      </c>
      <c r="P221" t="str">
        <f>CONCATENATE(P$2,": ",P$3,list1!P221,"]")</f>
        <v xml:space="preserve"> (Внутренний блок) Упаковка (Ш x Г x В): S[1405 х 915 х 365]</v>
      </c>
      <c r="Q221" t="str">
        <f>CONCATENATE(Q$2,": ",Q$3,list1!Q221,"]")</f>
        <v xml:space="preserve"> (Внутренний блок) Масса (нетто / брутто): S[47.3 / 56]</v>
      </c>
      <c r="R221" t="str">
        <f>CONCATENATE(R$2,": ",R$3,list1!R221,"]")</f>
        <v xml:space="preserve"> (Внутренний блок) Уровень шума мин. / макс.: S[39/43/47]</v>
      </c>
      <c r="S221" t="str">
        <f>CONCATENATE(S$2,": ",S$3,list1!S221,"]")</f>
        <v xml:space="preserve"> (Наружный блок) Марка компрессора: S[GMCC]</v>
      </c>
      <c r="T221" t="str">
        <f>CONCATENATE(T$2,": ",T$3,list1!T221,"]")</f>
        <v xml:space="preserve"> (Наружный блок) Размеры (Ш x Г x В): S[946 х 410 х 810]</v>
      </c>
      <c r="U221" t="str">
        <f>CONCATENATE(U$2,": ",U$3,list1!U221,"]")</f>
        <v xml:space="preserve"> (Наружный блок) Упаковка (Ш x Г x В): S[1090 х 500 х 875]</v>
      </c>
      <c r="V221" t="str">
        <f>CONCATENATE(V$2,": ",V$3,list1!V221,"]")</f>
        <v xml:space="preserve"> (Наружный блок) Масса (нетто / брутто): S[86/91.6]</v>
      </c>
      <c r="W221" t="str">
        <f>CONCATENATE(W$2,": ",W$3,list1!W221,"]")</f>
        <v xml:space="preserve"> (Наружный блок) Максимальный уровень шума: N[]</v>
      </c>
      <c r="X221" t="str">
        <f>CONCATENATE(X$2,": ",X$3,list1!X221,"]")</f>
        <v xml:space="preserve"> (Соединительные трубы) Жидкостная линия : N[9.52]</v>
      </c>
      <c r="Y221" t="str">
        <f>CONCATENATE(Y$2,": ",Y$3,list1!Y221,"]")</f>
        <v xml:space="preserve"> (Соединительные трубы) Газовая линия : N[19]</v>
      </c>
      <c r="Z221" t="str">
        <f>CONCATENATE(Z$2,": ",Z$3,list1!Z221,"]")</f>
        <v xml:space="preserve"> (Соединительные трубы) Максимальная длина трубопровода: N[50]</v>
      </c>
      <c r="AA221" t="str">
        <f>CONCATENATE(AA$2,": ",AA$3,list1!AA221,"]")</f>
        <v xml:space="preserve"> (Соединительные трубы) Максимальный перепад высот: S[25]</v>
      </c>
      <c r="AB221" t="str">
        <f>CONCATENATE(AB$2,": ",AB$3,list1!AB221,"]")</f>
        <v xml:space="preserve"> (Допустимая темп. наружного воздуха) Охлаждение: S[от -15 до +50]</v>
      </c>
      <c r="AC221" t="str">
        <f>CONCATENATE(AC$2,": ",AC$3,list1!AC221,"]")</f>
        <v xml:space="preserve"> (Допустимая темп. наружного воздуха) Обогрев: S[от -15 до +24]</v>
      </c>
      <c r="AD221" s="6" t="s">
        <v>5245</v>
      </c>
    </row>
    <row r="222" spans="1:30" x14ac:dyDescent="0.25">
      <c r="A222" t="str">
        <f>CONCATENATE(A$2,": ",A$3,list1!A222,"]")</f>
        <v>Производитель: E[LESSAR]</v>
      </c>
      <c r="B222" t="str">
        <f>CONCATENATE(B$2,": ",B$3,list1!B222,"]")</f>
        <v xml:space="preserve"> Тип: S[Канальные]</v>
      </c>
      <c r="C222" t="str">
        <f>CONCATENATE(C$2,": ",C$3,list1!C222,"]")</f>
        <v xml:space="preserve"> (Сплит система) Холодопроизводительность: N[14.07]</v>
      </c>
      <c r="D222" t="str">
        <f>CONCATENATE(D$2,": ",D$3,list1!D222,"]")</f>
        <v xml:space="preserve"> (Сплит система) Площадь помещения: N[140]</v>
      </c>
      <c r="E222" t="str">
        <f>CONCATENATE(E$2,": ",E$3,list1!E222,"]")</f>
        <v xml:space="preserve"> (Сплит система) Инвентор: S[да]</v>
      </c>
      <c r="F222" t="str">
        <f>CONCATENATE(F$2,": ",F$3,list1!F222,"]")</f>
        <v xml:space="preserve"> (Сплит система) Теплопроизводительность: N[15.53]</v>
      </c>
      <c r="G222" t="str">
        <f>CONCATENATE(G$2,": ",G$3,list1!G222,"]")</f>
        <v xml:space="preserve"> (Потребляемая мощность) Охлаждение: N[5.45]</v>
      </c>
      <c r="H222" t="str">
        <f>CONCATENATE(H$2,": ",H$3,list1!H222,"]")</f>
        <v xml:space="preserve"> (Потребляемая мощность) Обогрев: S[4.088]</v>
      </c>
      <c r="I222" t="str">
        <f>CONCATENATE(I$2,": ",I$3,list1!I222,"]")</f>
        <v xml:space="preserve"> (Рабочий ток) Охлаждение: S[]</v>
      </c>
      <c r="J222" t="str">
        <f>CONCATENATE(J$2,": ",J$3,list1!J222,"]")</f>
        <v xml:space="preserve"> (Рабочий ток) Обогрев: S[]</v>
      </c>
      <c r="K222" t="str">
        <f>CONCATENATE(K$2,": ",K$3,list1!K222,"]")</f>
        <v xml:space="preserve"> (Рабочий ток) Напряжение / Частота источника питания: S[3 / 380 / 50]</v>
      </c>
      <c r="L222" t="str">
        <f>CONCATENATE(L$2,": ",L$3,list1!L222,"]")</f>
        <v xml:space="preserve"> (Рабочий ток) Хладагент: S[R410A]</v>
      </c>
      <c r="M222" t="str">
        <f>CONCATENATE(M$2,": ",M$3,list1!M222,"]")</f>
        <v xml:space="preserve"> (Рабочий ток) Количество хладагента: N[]</v>
      </c>
      <c r="N222" t="str">
        <f>CONCATENATE(N$2,": ",N$3,list1!N222,"]")</f>
        <v xml:space="preserve"> (Рабочий ток) Объем рециркулируемого воздуха внутреннего блока: S[]</v>
      </c>
      <c r="O222" t="str">
        <f>CONCATENATE(O$2,": ",O$3,list1!O222,"]")</f>
        <v xml:space="preserve"> (Внутренний блок) Размеры (Ш x Г x В): S[1200 х 300 х 874]</v>
      </c>
      <c r="P222" t="str">
        <f>CONCATENATE(P$2,": ",P$3,list1!P222,"]")</f>
        <v xml:space="preserve"> (Внутренний блок) Упаковка (Ш x Г x В): S[1405 х 915 х 365]</v>
      </c>
      <c r="Q222" t="str">
        <f>CONCATENATE(Q$2,": ",Q$3,list1!Q222,"]")</f>
        <v xml:space="preserve"> (Внутренний блок) Масса (нетто / брутто): S[47.6 / 55.8]</v>
      </c>
      <c r="R222" t="str">
        <f>CONCATENATE(R$2,": ",R$3,list1!R222,"]")</f>
        <v xml:space="preserve"> (Внутренний блок) Уровень шума мин. / макс.: S[43/45.5/47.5]</v>
      </c>
      <c r="S222" t="str">
        <f>CONCATENATE(S$2,": ",S$3,list1!S222,"]")</f>
        <v xml:space="preserve"> (Наружный блок) Марка компрессора: S[GMCC]</v>
      </c>
      <c r="T222" t="str">
        <f>CONCATENATE(T$2,": ",T$3,list1!T222,"]")</f>
        <v xml:space="preserve"> (Наружный блок) Размеры (Ш x Г x В): S[946 х 410 х 810]</v>
      </c>
      <c r="U222" t="str">
        <f>CONCATENATE(U$2,": ",U$3,list1!U222,"]")</f>
        <v xml:space="preserve"> (Наружный блок) Упаковка (Ш x Г x В): S[1090 х 500 х 885]</v>
      </c>
      <c r="V222" t="str">
        <f>CONCATENATE(V$2,": ",V$3,list1!V222,"]")</f>
        <v xml:space="preserve"> (Наружный блок) Масса (нетто / брутто): S[86.7/91.4]</v>
      </c>
      <c r="W222" t="str">
        <f>CONCATENATE(W$2,": ",W$3,list1!W222,"]")</f>
        <v xml:space="preserve"> (Наружный блок) Максимальный уровень шума: N[]</v>
      </c>
      <c r="X222" t="str">
        <f>CONCATENATE(X$2,": ",X$3,list1!X222,"]")</f>
        <v xml:space="preserve"> (Соединительные трубы) Жидкостная линия : N[9.52]</v>
      </c>
      <c r="Y222" t="str">
        <f>CONCATENATE(Y$2,": ",Y$3,list1!Y222,"]")</f>
        <v xml:space="preserve"> (Соединительные трубы) Газовая линия : N[15.9]</v>
      </c>
      <c r="Z222" t="str">
        <f>CONCATENATE(Z$2,": ",Z$3,list1!Z222,"]")</f>
        <v xml:space="preserve"> (Соединительные трубы) Максимальная длина трубопровода: N[50]</v>
      </c>
      <c r="AA222" t="str">
        <f>CONCATENATE(AA$2,": ",AA$3,list1!AA222,"]")</f>
        <v xml:space="preserve"> (Соединительные трубы) Максимальный перепад высот: S[30]</v>
      </c>
      <c r="AB222" t="str">
        <f>CONCATENATE(AB$2,": ",AB$3,list1!AB222,"]")</f>
        <v xml:space="preserve"> (Допустимая темп. наружного воздуха) Охлаждение: S[от -15 до +50]</v>
      </c>
      <c r="AC222" t="str">
        <f>CONCATENATE(AC$2,": ",AC$3,list1!AC222,"]")</f>
        <v xml:space="preserve"> (Допустимая темп. наружного воздуха) Обогрев: S[от -15 до +24]</v>
      </c>
      <c r="AD222" s="6" t="s">
        <v>5245</v>
      </c>
    </row>
    <row r="223" spans="1:30" x14ac:dyDescent="0.25">
      <c r="A223" t="str">
        <f>CONCATENATE(A$2,": ",A$3,list1!A223,"]")</f>
        <v>Производитель: E[LESSAR]</v>
      </c>
      <c r="B223" t="str">
        <f>CONCATENATE(B$2,": ",B$3,list1!B223,"]")</f>
        <v xml:space="preserve"> Тип: S[Канальные]</v>
      </c>
      <c r="C223" t="str">
        <f>CONCATENATE(C$2,": ",C$3,list1!C223,"]")</f>
        <v xml:space="preserve"> (Сплит система) Холодопроизводительность: N[16.12]</v>
      </c>
      <c r="D223" t="str">
        <f>CONCATENATE(D$2,": ",D$3,list1!D223,"]")</f>
        <v xml:space="preserve"> (Сплит система) Площадь помещения: N[160]</v>
      </c>
      <c r="E223" t="str">
        <f>CONCATENATE(E$2,": ",E$3,list1!E223,"]")</f>
        <v xml:space="preserve"> (Сплит система) Инвентор: S[да]</v>
      </c>
      <c r="F223" t="str">
        <f>CONCATENATE(F$2,": ",F$3,list1!F223,"]")</f>
        <v xml:space="preserve"> (Сплит система) Теплопроизводительность: N[17]</v>
      </c>
      <c r="G223" t="str">
        <f>CONCATENATE(G$2,": ",G$3,list1!G223,"]")</f>
        <v xml:space="preserve"> (Потребляемая мощность) Охлаждение: N[6.176]</v>
      </c>
      <c r="H223" t="str">
        <f>CONCATENATE(H$2,": ",H$3,list1!H223,"]")</f>
        <v xml:space="preserve"> (Потребляемая мощность) Обогрев: S[4.709]</v>
      </c>
      <c r="I223" t="str">
        <f>CONCATENATE(I$2,": ",I$3,list1!I223,"]")</f>
        <v xml:space="preserve"> (Рабочий ток) Охлаждение: S[]</v>
      </c>
      <c r="J223" t="str">
        <f>CONCATENATE(J$2,": ",J$3,list1!J223,"]")</f>
        <v xml:space="preserve"> (Рабочий ток) Обогрев: S[]</v>
      </c>
      <c r="K223" t="str">
        <f>CONCATENATE(K$2,": ",K$3,list1!K223,"]")</f>
        <v xml:space="preserve"> (Рабочий ток) Напряжение / Частота источника питания: S[3 / 380 / 50]</v>
      </c>
      <c r="L223" t="str">
        <f>CONCATENATE(L$2,": ",L$3,list1!L223,"]")</f>
        <v xml:space="preserve"> (Рабочий ток) Хладагент: S[R410A]</v>
      </c>
      <c r="M223" t="str">
        <f>CONCATENATE(M$2,": ",M$3,list1!M223,"]")</f>
        <v xml:space="preserve"> (Рабочий ток) Количество хладагента: N[]</v>
      </c>
      <c r="N223" t="str">
        <f>CONCATENATE(N$2,": ",N$3,list1!N223,"]")</f>
        <v xml:space="preserve"> (Рабочий ток) Объем рециркулируемого воздуха внутреннего блока: S[]</v>
      </c>
      <c r="O223" t="str">
        <f>CONCATENATE(O$2,": ",O$3,list1!O223,"]")</f>
        <v xml:space="preserve"> (Внутренний блок) Размеры (Ш x Г x В): S[1200 х 300 х 874]</v>
      </c>
      <c r="P223" t="str">
        <f>CONCATENATE(P$2,": ",P$3,list1!P223,"]")</f>
        <v xml:space="preserve"> (Внутренний блок) Упаковка (Ш x Г x В): S[1405 х 915 х 365]</v>
      </c>
      <c r="Q223" t="str">
        <f>CONCATENATE(Q$2,": ",Q$3,list1!Q223,"]")</f>
        <v xml:space="preserve"> (Внутренний блок) Масса (нетто / брутто): S[47.2 / 56]</v>
      </c>
      <c r="R223" t="str">
        <f>CONCATENATE(R$2,": ",R$3,list1!R223,"]")</f>
        <v xml:space="preserve"> (Внутренний блок) Уровень шума мин. / макс.: S[41/44/48]</v>
      </c>
      <c r="S223" t="str">
        <f>CONCATENATE(S$2,": ",S$3,list1!S223,"]")</f>
        <v xml:space="preserve"> (Наружный блок) Марка компрессора: S[GMCC]</v>
      </c>
      <c r="T223" t="str">
        <f>CONCATENATE(T$2,": ",T$3,list1!T223,"]")</f>
        <v xml:space="preserve"> (Наружный блок) Размеры (Ш x Г x В): S[952 х 410 х 1333]</v>
      </c>
      <c r="U223" t="str">
        <f>CONCATENATE(U$2,": ",U$3,list1!U223,"]")</f>
        <v xml:space="preserve"> (Наружный блок) Упаковка (Ш x Г x В): S[1095 х 495 х 1480]</v>
      </c>
      <c r="V223" t="str">
        <f>CONCATENATE(V$2,": ",V$3,list1!V223,"]")</f>
        <v xml:space="preserve"> (Наружный блок) Масса (нетто / брутто): S[107/120.7]</v>
      </c>
      <c r="W223" t="str">
        <f>CONCATENATE(W$2,": ",W$3,list1!W223,"]")</f>
        <v xml:space="preserve"> (Наружный блок) Максимальный уровень шума: N[]</v>
      </c>
      <c r="X223" t="str">
        <f>CONCATENATE(X$2,": ",X$3,list1!X223,"]")</f>
        <v xml:space="preserve"> (Соединительные трубы) Жидкостная линия : N[9.52]</v>
      </c>
      <c r="Y223" t="str">
        <f>CONCATENATE(Y$2,": ",Y$3,list1!Y223,"]")</f>
        <v xml:space="preserve"> (Соединительные трубы) Газовая линия : N[19]</v>
      </c>
      <c r="Z223" t="str">
        <f>CONCATENATE(Z$2,": ",Z$3,list1!Z223,"]")</f>
        <v xml:space="preserve"> (Соединительные трубы) Максимальная длина трубопровода: N[50]</v>
      </c>
      <c r="AA223" t="str">
        <f>CONCATENATE(AA$2,": ",AA$3,list1!AA223,"]")</f>
        <v xml:space="preserve"> (Соединительные трубы) Максимальный перепад высот: S[25]</v>
      </c>
      <c r="AB223" t="str">
        <f>CONCATENATE(AB$2,": ",AB$3,list1!AB223,"]")</f>
        <v xml:space="preserve"> (Допустимая темп. наружного воздуха) Охлаждение: S[от -15 до +50]</v>
      </c>
      <c r="AC223" t="str">
        <f>CONCATENATE(AC$2,": ",AC$3,list1!AC223,"]")</f>
        <v xml:space="preserve"> (Допустимая темп. наружного воздуха) Обогрев: S[от -15 до +24]</v>
      </c>
      <c r="AD223" s="6" t="s">
        <v>5245</v>
      </c>
    </row>
    <row r="224" spans="1:30" x14ac:dyDescent="0.25">
      <c r="A224" t="str">
        <f>CONCATENATE(A$2,": ",A$3,list1!A224,"]")</f>
        <v>Производитель: E[LESSAR]</v>
      </c>
      <c r="B224" t="str">
        <f>CONCATENATE(B$2,": ",B$3,list1!B224,"]")</f>
        <v xml:space="preserve"> Тип: S[Канальные]</v>
      </c>
      <c r="C224" t="str">
        <f>CONCATENATE(C$2,": ",C$3,list1!C224,"]")</f>
        <v xml:space="preserve"> (Сплит система) Холодопроизводительность: N[16.12]</v>
      </c>
      <c r="D224" t="str">
        <f>CONCATENATE(D$2,": ",D$3,list1!D224,"]")</f>
        <v xml:space="preserve"> (Сплит система) Площадь помещения: N[160]</v>
      </c>
      <c r="E224" t="str">
        <f>CONCATENATE(E$2,": ",E$3,list1!E224,"]")</f>
        <v xml:space="preserve"> (Сплит система) Инвентор: S[да]</v>
      </c>
      <c r="F224" t="str">
        <f>CONCATENATE(F$2,": ",F$3,list1!F224,"]")</f>
        <v xml:space="preserve"> (Сплит система) Теплопроизводительность: N[18.76]</v>
      </c>
      <c r="G224" t="str">
        <f>CONCATENATE(G$2,": ",G$3,list1!G224,"]")</f>
        <v xml:space="preserve"> (Потребляемая мощность) Охлаждение: N[6.321]</v>
      </c>
      <c r="H224" t="str">
        <f>CONCATENATE(H$2,": ",H$3,list1!H224,"]")</f>
        <v xml:space="preserve"> (Потребляемая мощность) Обогрев: S[4.81]</v>
      </c>
      <c r="I224" t="str">
        <f>CONCATENATE(I$2,": ",I$3,list1!I224,"]")</f>
        <v xml:space="preserve"> (Рабочий ток) Охлаждение: S[]</v>
      </c>
      <c r="J224" t="str">
        <f>CONCATENATE(J$2,": ",J$3,list1!J224,"]")</f>
        <v xml:space="preserve"> (Рабочий ток) Обогрев: S[]</v>
      </c>
      <c r="K224" t="str">
        <f>CONCATENATE(K$2,": ",K$3,list1!K224,"]")</f>
        <v xml:space="preserve"> (Рабочий ток) Напряжение / Частота источника питания: S[3 / 380 / 50]</v>
      </c>
      <c r="L224" t="str">
        <f>CONCATENATE(L$2,": ",L$3,list1!L224,"]")</f>
        <v xml:space="preserve"> (Рабочий ток) Хладагент: S[R410A]</v>
      </c>
      <c r="M224" t="str">
        <f>CONCATENATE(M$2,": ",M$3,list1!M224,"]")</f>
        <v xml:space="preserve"> (Рабочий ток) Количество хладагента: N[]</v>
      </c>
      <c r="N224" t="str">
        <f>CONCATENATE(N$2,": ",N$3,list1!N224,"]")</f>
        <v xml:space="preserve"> (Рабочий ток) Объем рециркулируемого воздуха внутреннего блока: S[]</v>
      </c>
      <c r="O224" t="str">
        <f>CONCATENATE(O$2,": ",O$3,list1!O224,"]")</f>
        <v xml:space="preserve"> (Внутренний блок) Размеры (Ш x Г x В): S[1200 х 300 х 874]</v>
      </c>
      <c r="P224" t="str">
        <f>CONCATENATE(P$2,": ",P$3,list1!P224,"]")</f>
        <v xml:space="preserve"> (Внутренний блок) Упаковка (Ш x Г x В): S[1405 х 915 х 365]</v>
      </c>
      <c r="Q224" t="str">
        <f>CONCATENATE(Q$2,": ",Q$3,list1!Q224,"]")</f>
        <v xml:space="preserve"> (Внутренний блок) Масса (нетто / брутто): S[47.4 / 56.1]</v>
      </c>
      <c r="R224" t="str">
        <f>CONCATENATE(R$2,": ",R$3,list1!R224,"]")</f>
        <v xml:space="preserve"> (Внутренний блок) Уровень шума мин. / макс.: S[46/48.5/50]</v>
      </c>
      <c r="S224" t="str">
        <f>CONCATENATE(S$2,": ",S$3,list1!S224,"]")</f>
        <v xml:space="preserve"> (Наружный блок) Марка компрессора: S[GMCC]</v>
      </c>
      <c r="T224" t="str">
        <f>CONCATENATE(T$2,": ",T$3,list1!T224,"]")</f>
        <v xml:space="preserve"> (Наружный блок) Размеры (Ш x Г x В): S[952 х 415 х 1333]</v>
      </c>
      <c r="U224" t="str">
        <f>CONCATENATE(U$2,": ",U$3,list1!U224,"]")</f>
        <v xml:space="preserve"> (Наружный блок) Упаковка (Ш x Г x В): S[1095 х 495 х 1480]</v>
      </c>
      <c r="V224" t="str">
        <f>CONCATENATE(V$2,": ",V$3,list1!V224,"]")</f>
        <v xml:space="preserve"> (Наружный блок) Масса (нетто / брутто): S[107.1/121.3]</v>
      </c>
      <c r="W224" t="str">
        <f>CONCATENATE(W$2,": ",W$3,list1!W224,"]")</f>
        <v xml:space="preserve"> (Наружный блок) Максимальный уровень шума: N[]</v>
      </c>
      <c r="X224" t="str">
        <f>CONCATENATE(X$2,": ",X$3,list1!X224,"]")</f>
        <v xml:space="preserve"> (Соединительные трубы) Жидкостная линия : N[9.52]</v>
      </c>
      <c r="Y224" t="str">
        <f>CONCATENATE(Y$2,": ",Y$3,list1!Y224,"]")</f>
        <v xml:space="preserve"> (Соединительные трубы) Газовая линия : N[15.9]</v>
      </c>
      <c r="Z224" t="str">
        <f>CONCATENATE(Z$2,": ",Z$3,list1!Z224,"]")</f>
        <v xml:space="preserve"> (Соединительные трубы) Максимальная длина трубопровода: N[50]</v>
      </c>
      <c r="AA224" t="str">
        <f>CONCATENATE(AA$2,": ",AA$3,list1!AA224,"]")</f>
        <v xml:space="preserve"> (Соединительные трубы) Максимальный перепад высот: S[30]</v>
      </c>
      <c r="AB224" t="str">
        <f>CONCATENATE(AB$2,": ",AB$3,list1!AB224,"]")</f>
        <v xml:space="preserve"> (Допустимая темп. наружного воздуха) Охлаждение: S[от -15 до +50]</v>
      </c>
      <c r="AC224" t="str">
        <f>CONCATENATE(AC$2,": ",AC$3,list1!AC224,"]")</f>
        <v xml:space="preserve"> (Допустимая темп. наружного воздуха) Обогрев: S[от -15 до +24]</v>
      </c>
      <c r="AD224" s="6" t="s">
        <v>5245</v>
      </c>
    </row>
    <row r="225" spans="1:30" x14ac:dyDescent="0.25">
      <c r="A225" t="str">
        <f>CONCATENATE(A$2,": ",A$3,list1!A225,"]")</f>
        <v>Производитель: E[LESSAR]</v>
      </c>
      <c r="B225" t="str">
        <f>CONCATENATE(B$2,": ",B$3,list1!B225,"]")</f>
        <v xml:space="preserve"> Тип: S[Канальные]</v>
      </c>
      <c r="C225" t="str">
        <f>CONCATENATE(C$2,": ",C$3,list1!C225,"]")</f>
        <v xml:space="preserve"> (Сплит система) Холодопроизводительность: N[44]</v>
      </c>
      <c r="D225" t="str">
        <f>CONCATENATE(D$2,": ",D$3,list1!D225,"]")</f>
        <v xml:space="preserve"> (Сплит система) Площадь помещения: N[440]</v>
      </c>
      <c r="E225" t="str">
        <f>CONCATENATE(E$2,": ",E$3,list1!E225,"]")</f>
        <v xml:space="preserve"> (Сплит система) Инвентор: S[нет]</v>
      </c>
      <c r="F225" t="str">
        <f>CONCATENATE(F$2,": ",F$3,list1!F225,"]")</f>
        <v xml:space="preserve"> (Сплит система) Теплопроизводительность: N[47]</v>
      </c>
      <c r="G225" t="str">
        <f>CONCATENATE(G$2,": ",G$3,list1!G225,"]")</f>
        <v xml:space="preserve"> (Потребляемая мощность) Охлаждение: N[16.3]</v>
      </c>
      <c r="H225" t="str">
        <f>CONCATENATE(H$2,": ",H$3,list1!H225,"]")</f>
        <v xml:space="preserve"> (Потребляемая мощность) Обогрев: S[15.7]</v>
      </c>
      <c r="I225" t="str">
        <f>CONCATENATE(I$2,": ",I$3,list1!I225,"]")</f>
        <v xml:space="preserve"> (Рабочий ток) Охлаждение: S[]</v>
      </c>
      <c r="J225" t="str">
        <f>CONCATENATE(J$2,": ",J$3,list1!J225,"]")</f>
        <v xml:space="preserve"> (Рабочий ток) Обогрев: S[]</v>
      </c>
      <c r="K225" t="str">
        <f>CONCATENATE(K$2,": ",K$3,list1!K225,"]")</f>
        <v xml:space="preserve"> (Рабочий ток) Напряжение / Частота источника питания: S[3 / 380 / 50]</v>
      </c>
      <c r="L225" t="str">
        <f>CONCATENATE(L$2,": ",L$3,list1!L225,"]")</f>
        <v xml:space="preserve"> (Рабочий ток) Хладагент: S[R410A]</v>
      </c>
      <c r="M225" t="str">
        <f>CONCATENATE(M$2,": ",M$3,list1!M225,"]")</f>
        <v xml:space="preserve"> (Рабочий ток) Количество хладагента: N[]</v>
      </c>
      <c r="N225" t="str">
        <f>CONCATENATE(N$2,": ",N$3,list1!N225,"]")</f>
        <v xml:space="preserve"> (Рабочий ток) Объем рециркулируемого воздуха внутреннего блока: S[]</v>
      </c>
      <c r="O225" t="str">
        <f>CONCATENATE(O$2,": ",O$3,list1!O225,"]")</f>
        <v xml:space="preserve"> (Внутренний блок) Размеры (Ш x Г x В): S[1988 х 669 х 906]</v>
      </c>
      <c r="P225" t="str">
        <f>CONCATENATE(P$2,": ",P$3,list1!P225,"]")</f>
        <v xml:space="preserve"> (Внутренний блок) Упаковка (Ш x Г x В): S[2095 х 964 х 800]</v>
      </c>
      <c r="Q225" t="str">
        <f>CONCATENATE(Q$2,": ",Q$3,list1!Q225,"]")</f>
        <v xml:space="preserve"> (Внутренний блок) Масса (нетто / брутто): S[208 / 220]</v>
      </c>
      <c r="R225" t="str">
        <f>CONCATENATE(R$2,": ",R$3,list1!R225,"]")</f>
        <v xml:space="preserve"> (Внутренний блок) Уровень шума мин. / макс.: S[63]</v>
      </c>
      <c r="S225" t="str">
        <f>CONCATENATE(S$2,": ",S$3,list1!S225,"]")</f>
        <v xml:space="preserve"> (Наружный блок) Марка компрессора: S[Hitachi x 3]</v>
      </c>
      <c r="T225" t="str">
        <f>CONCATENATE(T$2,": ",T$3,list1!T225,"]")</f>
        <v xml:space="preserve"> (Наружный блок) Размеры (Ш x Г x В): S[1250 х 765 х 1615]</v>
      </c>
      <c r="U225" t="str">
        <f>CONCATENATE(U$2,": ",U$3,list1!U225,"]")</f>
        <v xml:space="preserve"> (Наружный блок) Упаковка (Ш x Г x В): S[1305 х 820 х 1790]</v>
      </c>
      <c r="V225" t="str">
        <f>CONCATENATE(V$2,": ",V$3,list1!V225,"]")</f>
        <v xml:space="preserve"> (Наружный блок) Масса (нетто / брутто): S[288/308]</v>
      </c>
      <c r="W225" t="str">
        <f>CONCATENATE(W$2,": ",W$3,list1!W225,"]")</f>
        <v xml:space="preserve"> (Наружный блок) Максимальный уровень шума: N[]</v>
      </c>
      <c r="X225" t="str">
        <f>CONCATENATE(X$2,": ",X$3,list1!X225,"]")</f>
        <v xml:space="preserve"> (Соединительные трубы) Жидкостная линия : N[16]</v>
      </c>
      <c r="Y225" t="str">
        <f>CONCATENATE(Y$2,": ",Y$3,list1!Y225,"]")</f>
        <v xml:space="preserve"> (Соединительные трубы) Газовая линия : N[32]</v>
      </c>
      <c r="Z225" t="str">
        <f>CONCATENATE(Z$2,": ",Z$3,list1!Z225,"]")</f>
        <v xml:space="preserve"> (Соединительные трубы) Максимальная длина трубопровода: N[50]</v>
      </c>
      <c r="AA225" t="str">
        <f>CONCATENATE(AA$2,": ",AA$3,list1!AA225,"]")</f>
        <v xml:space="preserve"> (Соединительные трубы) Максимальный перепад высот: S[25]</v>
      </c>
      <c r="AB225" t="str">
        <f>CONCATENATE(AB$2,": ",AB$3,list1!AB225,"]")</f>
        <v xml:space="preserve"> (Допустимая темп. наружного воздуха) Охлаждение: S[от 17 до +46]</v>
      </c>
      <c r="AC225" t="str">
        <f>CONCATENATE(AC$2,": ",AC$3,list1!AC225,"]")</f>
        <v xml:space="preserve"> (Допустимая темп. наружного воздуха) Обогрев: S[от -7 до +24]</v>
      </c>
      <c r="AD225" s="6" t="s">
        <v>5245</v>
      </c>
    </row>
    <row r="226" spans="1:30" x14ac:dyDescent="0.25">
      <c r="A226" t="str">
        <f>CONCATENATE(A$2,": ",A$3,list1!A226,"]")</f>
        <v>Производитель: E[LESSAR]</v>
      </c>
      <c r="B226" t="str">
        <f>CONCATENATE(B$2,": ",B$3,list1!B226,"]")</f>
        <v xml:space="preserve"> Тип: S[Канальные]</v>
      </c>
      <c r="C226" t="str">
        <f>CONCATENATE(C$2,": ",C$3,list1!C226,"]")</f>
        <v xml:space="preserve"> (Сплит система) Холодопроизводительность: N[56.3]</v>
      </c>
      <c r="D226" t="str">
        <f>CONCATENATE(D$2,": ",D$3,list1!D226,"]")</f>
        <v xml:space="preserve"> (Сплит система) Площадь помещения: N[563]</v>
      </c>
      <c r="E226" t="str">
        <f>CONCATENATE(E$2,": ",E$3,list1!E226,"]")</f>
        <v xml:space="preserve"> (Сплит система) Инвентор: S[нет]</v>
      </c>
      <c r="F226" t="str">
        <f>CONCATENATE(F$2,": ",F$3,list1!F226,"]")</f>
        <v xml:space="preserve"> (Сплит система) Теплопроизводительность: N[58.6]</v>
      </c>
      <c r="G226" t="str">
        <f>CONCATENATE(G$2,": ",G$3,list1!G226,"]")</f>
        <v xml:space="preserve"> (Потребляемая мощность) Охлаждение: N[22]</v>
      </c>
      <c r="H226" t="str">
        <f>CONCATENATE(H$2,": ",H$3,list1!H226,"]")</f>
        <v xml:space="preserve"> (Потребляемая мощность) Обогрев: S[19.3]</v>
      </c>
      <c r="I226" t="str">
        <f>CONCATENATE(I$2,": ",I$3,list1!I226,"]")</f>
        <v xml:space="preserve"> (Рабочий ток) Охлаждение: S[]</v>
      </c>
      <c r="J226" t="str">
        <f>CONCATENATE(J$2,": ",J$3,list1!J226,"]")</f>
        <v xml:space="preserve"> (Рабочий ток) Обогрев: S[]</v>
      </c>
      <c r="K226" t="str">
        <f>CONCATENATE(K$2,": ",K$3,list1!K226,"]")</f>
        <v xml:space="preserve"> (Рабочий ток) Напряжение / Частота источника питания: S[3 / 380 / 50]</v>
      </c>
      <c r="L226" t="str">
        <f>CONCATENATE(L$2,": ",L$3,list1!L226,"]")</f>
        <v xml:space="preserve"> (Рабочий ток) Хладагент: S[R410A]</v>
      </c>
      <c r="M226" t="str">
        <f>CONCATENATE(M$2,": ",M$3,list1!M226,"]")</f>
        <v xml:space="preserve"> (Рабочий ток) Количество хладагента: N[]</v>
      </c>
      <c r="N226" t="str">
        <f>CONCATENATE(N$2,": ",N$3,list1!N226,"]")</f>
        <v xml:space="preserve"> (Рабочий ток) Объем рециркулируемого воздуха внутреннего блока: S[]</v>
      </c>
      <c r="O226" t="str">
        <f>CONCATENATE(O$2,": ",O$3,list1!O226,"]")</f>
        <v xml:space="preserve"> (Внутренний блок) Размеры (Ш x Г x В): S[1988 х 669 х 906]</v>
      </c>
      <c r="P226" t="str">
        <f>CONCATENATE(P$2,": ",P$3,list1!P226,"]")</f>
        <v xml:space="preserve"> (Внутренний блок) Упаковка (Ш x Г x В): S[2095 х 964 х 800]</v>
      </c>
      <c r="Q226" t="str">
        <f>CONCATENATE(Q$2,": ",Q$3,list1!Q226,"]")</f>
        <v xml:space="preserve"> (Внутренний блок) Масса (нетто / брутто): S[215 / 230]</v>
      </c>
      <c r="R226" t="str">
        <f>CONCATENATE(R$2,": ",R$3,list1!R226,"]")</f>
        <v xml:space="preserve"> (Внутренний блок) Уровень шума мин. / макс.: S[65]</v>
      </c>
      <c r="S226" t="str">
        <f>CONCATENATE(S$2,": ",S$3,list1!S226,"]")</f>
        <v xml:space="preserve"> (Наружный блок) Марка компрессора: S[Hitachi x 3]</v>
      </c>
      <c r="T226" t="str">
        <f>CONCATENATE(T$2,": ",T$3,list1!T226,"]")</f>
        <v xml:space="preserve"> (Наружный блок) Размеры (Ш x Г x В): S[1390 х 765 х 1615]</v>
      </c>
      <c r="U226" t="str">
        <f>CONCATENATE(U$2,": ",U$3,list1!U226,"]")</f>
        <v xml:space="preserve"> (Наружный блок) Упаковка (Ш x Г x В): S[1455 х 830 х 1790]</v>
      </c>
      <c r="V226" t="str">
        <f>CONCATENATE(V$2,": ",V$3,list1!V226,"]")</f>
        <v xml:space="preserve"> (Наружный блок) Масса (нетто / брутто): S[320/336]</v>
      </c>
      <c r="W226" t="str">
        <f>CONCATENATE(W$2,": ",W$3,list1!W226,"]")</f>
        <v xml:space="preserve"> (Наружный блок) Максимальный уровень шума: N[]</v>
      </c>
      <c r="X226" t="str">
        <f>CONCATENATE(X$2,": ",X$3,list1!X226,"]")</f>
        <v xml:space="preserve"> (Соединительные трубы) Жидкостная линия : N[16]</v>
      </c>
      <c r="Y226" t="str">
        <f>CONCATENATE(Y$2,": ",Y$3,list1!Y226,"]")</f>
        <v xml:space="preserve"> (Соединительные трубы) Газовая линия : N[35]</v>
      </c>
      <c r="Z226" t="str">
        <f>CONCATENATE(Z$2,": ",Z$3,list1!Z226,"]")</f>
        <v xml:space="preserve"> (Соединительные трубы) Максимальная длина трубопровода: N[50]</v>
      </c>
      <c r="AA226" t="str">
        <f>CONCATENATE(AA$2,": ",AA$3,list1!AA226,"]")</f>
        <v xml:space="preserve"> (Соединительные трубы) Максимальный перепад высот: S[25]</v>
      </c>
      <c r="AB226" t="str">
        <f>CONCATENATE(AB$2,": ",AB$3,list1!AB226,"]")</f>
        <v xml:space="preserve"> (Допустимая темп. наружного воздуха) Охлаждение: S[от 17 до +46]</v>
      </c>
      <c r="AC226" t="str">
        <f>CONCATENATE(AC$2,": ",AC$3,list1!AC226,"]")</f>
        <v xml:space="preserve"> (Допустимая темп. наружного воздуха) Обогрев: S[от -7 до +24]</v>
      </c>
      <c r="AD226" s="6" t="s">
        <v>5245</v>
      </c>
    </row>
    <row r="227" spans="1:30" x14ac:dyDescent="0.25">
      <c r="A227" t="str">
        <f>CONCATENATE(A$2,": ",A$3,list1!A227,"]")</f>
        <v>Производитель: E[LESSAR]</v>
      </c>
      <c r="B227" t="str">
        <f>CONCATENATE(B$2,": ",B$3,list1!B227,"]")</f>
        <v xml:space="preserve"> Тип: S[Канальные]</v>
      </c>
      <c r="C227" t="str">
        <f>CONCATENATE(C$2,": ",C$3,list1!C227,"]")</f>
        <v xml:space="preserve"> (Сплит система) Холодопроизводительность: N[28.1]</v>
      </c>
      <c r="D227" t="str">
        <f>CONCATENATE(D$2,": ",D$3,list1!D227,"]")</f>
        <v xml:space="preserve"> (Сплит система) Площадь помещения: N[281]</v>
      </c>
      <c r="E227" t="str">
        <f>CONCATENATE(E$2,": ",E$3,list1!E227,"]")</f>
        <v xml:space="preserve"> (Сплит система) Инвентор: S[нет]</v>
      </c>
      <c r="F227" t="str">
        <f>CONCATENATE(F$2,": ",F$3,list1!F227,"]")</f>
        <v xml:space="preserve"> (Сплит система) Теплопроизводительность: N[31.1]</v>
      </c>
      <c r="G227" t="str">
        <f>CONCATENATE(G$2,": ",G$3,list1!G227,"]")</f>
        <v xml:space="preserve"> (Потребляемая мощность) Охлаждение: N[9.6]</v>
      </c>
      <c r="H227" t="str">
        <f>CONCATENATE(H$2,": ",H$3,list1!H227,"]")</f>
        <v xml:space="preserve"> (Потребляемая мощность) Обогрев: S[10.3]</v>
      </c>
      <c r="I227" t="str">
        <f>CONCATENATE(I$2,": ",I$3,list1!I227,"]")</f>
        <v xml:space="preserve"> (Рабочий ток) Охлаждение: S[]</v>
      </c>
      <c r="J227" t="str">
        <f>CONCATENATE(J$2,": ",J$3,list1!J227,"]")</f>
        <v xml:space="preserve"> (Рабочий ток) Обогрев: S[]</v>
      </c>
      <c r="K227" t="str">
        <f>CONCATENATE(K$2,": ",K$3,list1!K227,"]")</f>
        <v xml:space="preserve"> (Рабочий ток) Напряжение / Частота источника питания: S[3 / 380 / 50]</v>
      </c>
      <c r="L227" t="str">
        <f>CONCATENATE(L$2,": ",L$3,list1!L227,"]")</f>
        <v xml:space="preserve"> (Рабочий ток) Хладагент: S[R410A]</v>
      </c>
      <c r="M227" t="str">
        <f>CONCATENATE(M$2,": ",M$3,list1!M227,"]")</f>
        <v xml:space="preserve"> (Рабочий ток) Количество хладагента: N[]</v>
      </c>
      <c r="N227" t="str">
        <f>CONCATENATE(N$2,": ",N$3,list1!N227,"]")</f>
        <v xml:space="preserve"> (Рабочий ток) Объем рециркулируемого воздуха внутреннего блока: S[]</v>
      </c>
      <c r="O227" t="str">
        <f>CONCATENATE(O$2,": ",O$3,list1!O227,"]")</f>
        <v xml:space="preserve"> (Внутренний блок) Размеры (Ш x Г x В): S[1452 х 462 х 716]</v>
      </c>
      <c r="P227" t="str">
        <f>CONCATENATE(P$2,": ",P$3,list1!P227,"]")</f>
        <v xml:space="preserve"> (Внутренний блок) Упаковка (Ш x Г x В): S[1555 х 875 х 500]</v>
      </c>
      <c r="Q227" t="str">
        <f>CONCATENATE(Q$2,": ",Q$3,list1!Q227,"]")</f>
        <v xml:space="preserve"> (Внутренний блок) Масса (нетто / брутто): S[97 / 109]</v>
      </c>
      <c r="R227" t="str">
        <f>CONCATENATE(R$2,": ",R$3,list1!R227,"]")</f>
        <v xml:space="preserve"> (Внутренний блок) Уровень шума мин. / макс.: S[56]</v>
      </c>
      <c r="S227" t="str">
        <f>CONCATENATE(S$2,": ",S$3,list1!S227,"]")</f>
        <v xml:space="preserve"> (Наружный блок) Марка компрессора: S[Danfoss]</v>
      </c>
      <c r="T227" t="str">
        <f>CONCATENATE(T$2,": ",T$3,list1!T227,"]")</f>
        <v xml:space="preserve"> (Наружный блок) Размеры (Ш x Г x В): S[1312 х 658 х 919]</v>
      </c>
      <c r="U227" t="str">
        <f>CONCATENATE(U$2,": ",U$3,list1!U227,"]")</f>
        <v xml:space="preserve"> (Наружный блок) Упаковка (Ш x Г x В): S[1320 х 730 х 1060]</v>
      </c>
      <c r="V227" t="str">
        <f>CONCATENATE(V$2,": ",V$3,list1!V227,"]")</f>
        <v xml:space="preserve"> (Наружный блок) Масса (нетто / брутто): S[177/192]</v>
      </c>
      <c r="W227" t="str">
        <f>CONCATENATE(W$2,": ",W$3,list1!W227,"]")</f>
        <v xml:space="preserve"> (Наружный блок) Максимальный уровень шума: N[]</v>
      </c>
      <c r="X227" t="str">
        <f>CONCATENATE(X$2,": ",X$3,list1!X227,"]")</f>
        <v xml:space="preserve"> (Соединительные трубы) Жидкостная линия : N[12.7]</v>
      </c>
      <c r="Y227" t="str">
        <f>CONCATENATE(Y$2,": ",Y$3,list1!Y227,"]")</f>
        <v xml:space="preserve"> (Соединительные трубы) Газовая линия : N[25.4]</v>
      </c>
      <c r="Z227" t="str">
        <f>CONCATENATE(Z$2,": ",Z$3,list1!Z227,"]")</f>
        <v xml:space="preserve"> (Соединительные трубы) Максимальная длина трубопровода: N[50]</v>
      </c>
      <c r="AA227" t="str">
        <f>CONCATENATE(AA$2,": ",AA$3,list1!AA227,"]")</f>
        <v xml:space="preserve"> (Соединительные трубы) Максимальный перепад высот: S[25]</v>
      </c>
      <c r="AB227" t="str">
        <f>CONCATENATE(AB$2,": ",AB$3,list1!AB227,"]")</f>
        <v xml:space="preserve"> (Допустимая темп. наружного воздуха) Охлаждение: S[от 17 до +46]</v>
      </c>
      <c r="AC227" t="str">
        <f>CONCATENATE(AC$2,": ",AC$3,list1!AC227,"]")</f>
        <v xml:space="preserve"> (Допустимая темп. наружного воздуха) Обогрев: S[от -7 до +24]</v>
      </c>
      <c r="AD227" s="6" t="s">
        <v>5245</v>
      </c>
    </row>
    <row r="228" spans="1:30" x14ac:dyDescent="0.25">
      <c r="A228" t="str">
        <f>CONCATENATE(A$2,": ",A$3,list1!A228,"]")</f>
        <v>Производитель: E[LESSAR]</v>
      </c>
      <c r="B228" t="str">
        <f>CONCATENATE(B$2,": ",B$3,list1!B228,"]")</f>
        <v xml:space="preserve"> Тип: S[Колонные]</v>
      </c>
      <c r="C228" t="str">
        <f>CONCATENATE(C$2,": ",C$3,list1!C228,"]")</f>
        <v xml:space="preserve"> (Сплит система) Холодопроизводительность: N[7.03]</v>
      </c>
      <c r="D228" t="str">
        <f>CONCATENATE(D$2,": ",D$3,list1!D228,"]")</f>
        <v xml:space="preserve"> (Сплит система) Площадь помещения: N[70]</v>
      </c>
      <c r="E228" t="str">
        <f>CONCATENATE(E$2,": ",E$3,list1!E228,"]")</f>
        <v xml:space="preserve"> (Сплит система) Инвентор: S[нет]</v>
      </c>
      <c r="F228" t="str">
        <f>CONCATENATE(F$2,": ",F$3,list1!F228,"]")</f>
        <v xml:space="preserve"> (Сплит система) Теплопроизводительность: N[7.62]</v>
      </c>
      <c r="G228" t="str">
        <f>CONCATENATE(G$2,": ",G$3,list1!G228,"]")</f>
        <v xml:space="preserve"> (Потребляемая мощность) Охлаждение: N[2.7]</v>
      </c>
      <c r="H228" t="str">
        <f>CONCATENATE(H$2,": ",H$3,list1!H228,"]")</f>
        <v xml:space="preserve"> (Потребляемая мощность) Обогрев: S[2.5]</v>
      </c>
      <c r="I228" t="str">
        <f>CONCATENATE(I$2,": ",I$3,list1!I228,"]")</f>
        <v xml:space="preserve"> (Рабочий ток) Охлаждение: S[]</v>
      </c>
      <c r="J228" t="str">
        <f>CONCATENATE(J$2,": ",J$3,list1!J228,"]")</f>
        <v xml:space="preserve"> (Рабочий ток) Обогрев: S[]</v>
      </c>
      <c r="K228" t="str">
        <f>CONCATENATE(K$2,": ",K$3,list1!K228,"]")</f>
        <v xml:space="preserve"> (Рабочий ток) Напряжение / Частота источника питания: S[1 / 220 / 50]</v>
      </c>
      <c r="L228" t="str">
        <f>CONCATENATE(L$2,": ",L$3,list1!L228,"]")</f>
        <v xml:space="preserve"> (Рабочий ток) Хладагент: S[R410A]</v>
      </c>
      <c r="M228" t="str">
        <f>CONCATENATE(M$2,": ",M$3,list1!M228,"]")</f>
        <v xml:space="preserve"> (Рабочий ток) Количество хладагента: N[]</v>
      </c>
      <c r="N228" t="str">
        <f>CONCATENATE(N$2,": ",N$3,list1!N228,"]")</f>
        <v xml:space="preserve"> (Рабочий ток) Объем рециркулируемого воздуха внутреннего блока: S[]</v>
      </c>
      <c r="O228" t="str">
        <f>CONCATENATE(O$2,": ",O$3,list1!O228,"]")</f>
        <v xml:space="preserve"> (Внутренний блок) Размеры (Ш x Г x В): S[510 х 1750 х 315]</v>
      </c>
      <c r="P228" t="str">
        <f>CONCATENATE(P$2,": ",P$3,list1!P228,"]")</f>
        <v xml:space="preserve"> (Внутренний блок) Упаковка (Ш x Г x В): S[655 х 430 х 1910]</v>
      </c>
      <c r="Q228" t="str">
        <f>CONCATENATE(Q$2,": ",Q$3,list1!Q228,"]")</f>
        <v xml:space="preserve"> (Внутренний блок) Масса (нетто / брутто): S[38.4 / 48.7]</v>
      </c>
      <c r="R228" t="str">
        <f>CONCATENATE(R$2,": ",R$3,list1!R228,"]")</f>
        <v xml:space="preserve"> (Внутренний блок) Уровень шума мин. / макс.: S[40.5/47.5]</v>
      </c>
      <c r="S228" t="str">
        <f>CONCATENATE(S$2,": ",S$3,list1!S228,"]")</f>
        <v xml:space="preserve"> (Наружный блок) Марка компрессора: S[GMCC]</v>
      </c>
      <c r="T228" t="str">
        <f>CONCATENATE(T$2,": ",T$3,list1!T228,"]")</f>
        <v xml:space="preserve"> (Наружный блок) Размеры (Ш x Г x В): S[845 х 363 х 702]</v>
      </c>
      <c r="U228" t="str">
        <f>CONCATENATE(U$2,": ",U$3,list1!U228,"]")</f>
        <v xml:space="preserve"> (Наружный блок) Упаковка (Ш x Г x В): S[965 х 395 х 775]</v>
      </c>
      <c r="V228" t="str">
        <f>CONCATENATE(V$2,": ",V$3,list1!V228,"]")</f>
        <v xml:space="preserve"> (Наружный блок) Масса (нетто / брутто): S[57.7/61]</v>
      </c>
      <c r="W228" t="str">
        <f>CONCATENATE(W$2,": ",W$3,list1!W228,"]")</f>
        <v xml:space="preserve"> (Наружный блок) Максимальный уровень шума: N[]</v>
      </c>
      <c r="X228" t="str">
        <f>CONCATENATE(X$2,": ",X$3,list1!X228,"]")</f>
        <v xml:space="preserve"> (Соединительные трубы) Жидкостная линия : N[9.52]</v>
      </c>
      <c r="Y228" t="str">
        <f>CONCATENATE(Y$2,": ",Y$3,list1!Y228,"]")</f>
        <v xml:space="preserve"> (Соединительные трубы) Газовая линия : N[15.9]</v>
      </c>
      <c r="Z228" t="str">
        <f>CONCATENATE(Z$2,": ",Z$3,list1!Z228,"]")</f>
        <v xml:space="preserve"> (Соединительные трубы) Максимальная длина трубопровода: N[25]</v>
      </c>
      <c r="AA228" t="str">
        <f>CONCATENATE(AA$2,": ",AA$3,list1!AA228,"]")</f>
        <v xml:space="preserve"> (Соединительные трубы) Максимальный перепад высот: S[15]</v>
      </c>
      <c r="AB228" t="str">
        <f>CONCATENATE(AB$2,": ",AB$3,list1!AB228,"]")</f>
        <v xml:space="preserve"> (Допустимая темп. наружного воздуха) Охлаждение: S[от -15 до +43]</v>
      </c>
      <c r="AC228" t="str">
        <f>CONCATENATE(AC$2,": ",AC$3,list1!AC228,"]")</f>
        <v xml:space="preserve"> (Допустимая темп. наружного воздуха) Обогрев: S[от -7 до +24]</v>
      </c>
      <c r="AD228" s="6" t="s">
        <v>5245</v>
      </c>
    </row>
    <row r="229" spans="1:30" x14ac:dyDescent="0.25">
      <c r="A229" t="str">
        <f>CONCATENATE(A$2,": ",A$3,list1!A229,"]")</f>
        <v>Производитель: E[LESSAR]</v>
      </c>
      <c r="B229" t="str">
        <f>CONCATENATE(B$2,": ",B$3,list1!B229,"]")</f>
        <v xml:space="preserve"> Тип: S[Колонные]</v>
      </c>
      <c r="C229" t="str">
        <f>CONCATENATE(C$2,": ",C$3,list1!C229,"]")</f>
        <v xml:space="preserve"> (Сплит система) Холодопроизводительность: N[7.03]</v>
      </c>
      <c r="D229" t="str">
        <f>CONCATENATE(D$2,": ",D$3,list1!D229,"]")</f>
        <v xml:space="preserve"> (Сплит система) Площадь помещения: N[70]</v>
      </c>
      <c r="E229" t="str">
        <f>CONCATENATE(E$2,": ",E$3,list1!E229,"]")</f>
        <v xml:space="preserve"> (Сплит система) Инвентор: S[нет]</v>
      </c>
      <c r="F229" t="str">
        <f>CONCATENATE(F$2,": ",F$3,list1!F229,"]")</f>
        <v xml:space="preserve"> (Сплит система) Теплопроизводительность: N[7.91]</v>
      </c>
      <c r="G229" t="str">
        <f>CONCATENATE(G$2,": ",G$3,list1!G229,"]")</f>
        <v xml:space="preserve"> (Потребляемая мощность) Охлаждение: N[2.425]</v>
      </c>
      <c r="H229" t="str">
        <f>CONCATENATE(H$2,": ",H$3,list1!H229,"]")</f>
        <v xml:space="preserve"> (Потребляемая мощность) Обогрев: S[2.47]</v>
      </c>
      <c r="I229" t="str">
        <f>CONCATENATE(I$2,": ",I$3,list1!I229,"]")</f>
        <v xml:space="preserve"> (Рабочий ток) Охлаждение: S[]</v>
      </c>
      <c r="J229" t="str">
        <f>CONCATENATE(J$2,": ",J$3,list1!J229,"]")</f>
        <v xml:space="preserve"> (Рабочий ток) Обогрев: S[]</v>
      </c>
      <c r="K229" t="str">
        <f>CONCATENATE(K$2,": ",K$3,list1!K229,"]")</f>
        <v xml:space="preserve"> (Рабочий ток) Напряжение / Частота источника питания: S[1 / 220 / 50]</v>
      </c>
      <c r="L229" t="str">
        <f>CONCATENATE(L$2,": ",L$3,list1!L229,"]")</f>
        <v xml:space="preserve"> (Рабочий ток) Хладагент: S[R410A]</v>
      </c>
      <c r="M229" t="str">
        <f>CONCATENATE(M$2,": ",M$3,list1!M229,"]")</f>
        <v xml:space="preserve"> (Рабочий ток) Количество хладагента: N[]</v>
      </c>
      <c r="N229" t="str">
        <f>CONCATENATE(N$2,": ",N$3,list1!N229,"]")</f>
        <v xml:space="preserve"> (Рабочий ток) Объем рециркулируемого воздуха внутреннего блока: S[]</v>
      </c>
      <c r="O229" t="str">
        <f>CONCATENATE(O$2,": ",O$3,list1!O229,"]")</f>
        <v xml:space="preserve"> (Внутренний блок) Размеры (Ш x Г x В): S[510 х 1750 х 315]</v>
      </c>
      <c r="P229" t="str">
        <f>CONCATENATE(P$2,": ",P$3,list1!P229,"]")</f>
        <v xml:space="preserve"> (Внутренний блок) Упаковка (Ш x Г x В): S[1910 х 655 х 430]</v>
      </c>
      <c r="Q229" t="str">
        <f>CONCATENATE(Q$2,": ",Q$3,list1!Q229,"]")</f>
        <v xml:space="preserve"> (Внутренний блок) Масса (нетто / брутто): S[38.4 / 49]</v>
      </c>
      <c r="R229" t="str">
        <f>CONCATENATE(R$2,": ",R$3,list1!R229,"]")</f>
        <v xml:space="preserve"> (Внутренний блок) Уровень шума мин. / макс.: S[40/47]</v>
      </c>
      <c r="S229" t="str">
        <f>CONCATENATE(S$2,": ",S$3,list1!S229,"]")</f>
        <v xml:space="preserve"> (Наружный блок) Марка компрессора: S[GMCC]</v>
      </c>
      <c r="T229" t="str">
        <f>CONCATENATE(T$2,": ",T$3,list1!T229,"]")</f>
        <v xml:space="preserve"> (Наружный блок) Размеры (Ш x Г x В): S[890 х 342 х 673]</v>
      </c>
      <c r="U229" t="str">
        <f>CONCATENATE(U$2,": ",U$3,list1!U229,"]")</f>
        <v xml:space="preserve"> (Наружный блок) Упаковка (Ш x Г x В): S[995 х 398 х 740]</v>
      </c>
      <c r="V229" t="str">
        <f>CONCATENATE(V$2,": ",V$3,list1!V229,"]")</f>
        <v xml:space="preserve"> (Наружный блок) Масса (нетто / брутто): S[55.5/58.7]</v>
      </c>
      <c r="W229" t="str">
        <f>CONCATENATE(W$2,": ",W$3,list1!W229,"]")</f>
        <v xml:space="preserve"> (Наружный блок) Максимальный уровень шума: N[]</v>
      </c>
      <c r="X229" t="str">
        <f>CONCATENATE(X$2,": ",X$3,list1!X229,"]")</f>
        <v xml:space="preserve"> (Соединительные трубы) Жидкостная линия : N[9.52]</v>
      </c>
      <c r="Y229" t="str">
        <f>CONCATENATE(Y$2,": ",Y$3,list1!Y229,"]")</f>
        <v xml:space="preserve"> (Соединительные трубы) Газовая линия : N[15.9]</v>
      </c>
      <c r="Z229" t="str">
        <f>CONCATENATE(Z$2,": ",Z$3,list1!Z229,"]")</f>
        <v xml:space="preserve"> (Соединительные трубы) Максимальная длина трубопровода: N[25]</v>
      </c>
      <c r="AA229" t="str">
        <f>CONCATENATE(AA$2,": ",AA$3,list1!AA229,"]")</f>
        <v xml:space="preserve"> (Соединительные трубы) Максимальный перепад высот: S[15]</v>
      </c>
      <c r="AB229" t="str">
        <f>CONCATENATE(AB$2,": ",AB$3,list1!AB229,"]")</f>
        <v xml:space="preserve"> (Допустимая темп. наружного воздуха) Охлаждение: S[от 18 до +43]</v>
      </c>
      <c r="AC229" t="str">
        <f>CONCATENATE(AC$2,": ",AC$3,list1!AC229,"]")</f>
        <v xml:space="preserve"> (Допустимая темп. наружного воздуха) Обогрев: S[от -7 до +24]</v>
      </c>
      <c r="AD229" s="6" t="s">
        <v>5245</v>
      </c>
    </row>
    <row r="230" spans="1:30" x14ac:dyDescent="0.25">
      <c r="A230" t="str">
        <f>CONCATENATE(A$2,": ",A$3,list1!A230,"]")</f>
        <v>Производитель: E[LESSAR]</v>
      </c>
      <c r="B230" t="str">
        <f>CONCATENATE(B$2,": ",B$3,list1!B230,"]")</f>
        <v xml:space="preserve"> Тип: S[Колонные]</v>
      </c>
      <c r="C230" t="str">
        <f>CONCATENATE(C$2,": ",C$3,list1!C230,"]")</f>
        <v xml:space="preserve"> (Сплит система) Холодопроизводительность: N[14.06]</v>
      </c>
      <c r="D230" t="str">
        <f>CONCATENATE(D$2,": ",D$3,list1!D230,"]")</f>
        <v xml:space="preserve"> (Сплит система) Площадь помещения: N[141]</v>
      </c>
      <c r="E230" t="str">
        <f>CONCATENATE(E$2,": ",E$3,list1!E230,"]")</f>
        <v xml:space="preserve"> (Сплит система) Инвентор: S[нет]</v>
      </c>
      <c r="F230" t="str">
        <f>CONCATENATE(F$2,": ",F$3,list1!F230,"]")</f>
        <v xml:space="preserve"> (Сплит система) Теплопроизводительность: N[15.24]</v>
      </c>
      <c r="G230" t="str">
        <f>CONCATENATE(G$2,": ",G$3,list1!G230,"]")</f>
        <v xml:space="preserve"> (Потребляемая мощность) Охлаждение: N[5.39]</v>
      </c>
      <c r="H230" t="str">
        <f>CONCATENATE(H$2,": ",H$3,list1!H230,"]")</f>
        <v xml:space="preserve"> (Потребляемая мощность) Обогрев: S[5.06]</v>
      </c>
      <c r="I230" t="str">
        <f>CONCATENATE(I$2,": ",I$3,list1!I230,"]")</f>
        <v xml:space="preserve"> (Рабочий ток) Охлаждение: S[]</v>
      </c>
      <c r="J230" t="str">
        <f>CONCATENATE(J$2,": ",J$3,list1!J230,"]")</f>
        <v xml:space="preserve"> (Рабочий ток) Обогрев: S[]</v>
      </c>
      <c r="K230" t="str">
        <f>CONCATENATE(K$2,": ",K$3,list1!K230,"]")</f>
        <v xml:space="preserve"> (Рабочий ток) Напряжение / Частота источника питания: S[3 / 380 / 50]</v>
      </c>
      <c r="L230" t="str">
        <f>CONCATENATE(L$2,": ",L$3,list1!L230,"]")</f>
        <v xml:space="preserve"> (Рабочий ток) Хладагент: S[R410A]</v>
      </c>
      <c r="M230" t="str">
        <f>CONCATENATE(M$2,": ",M$3,list1!M230,"]")</f>
        <v xml:space="preserve"> (Рабочий ток) Количество хладагента: N[]</v>
      </c>
      <c r="N230" t="str">
        <f>CONCATENATE(N$2,": ",N$3,list1!N230,"]")</f>
        <v xml:space="preserve"> (Рабочий ток) Объем рециркулируемого воздуха внутреннего блока: S[]</v>
      </c>
      <c r="O230" t="str">
        <f>CONCATENATE(O$2,": ",O$3,list1!O230,"]")</f>
        <v xml:space="preserve"> (Внутренний блок) Размеры (Ш x Г x В): S[540 х 1825 х 410]</v>
      </c>
      <c r="P230" t="str">
        <f>CONCATENATE(P$2,": ",P$3,list1!P230,"]")</f>
        <v xml:space="preserve"> (Внутренний блок) Упаковка (Ш x Г x В): S[690 х 540 х 1965]</v>
      </c>
      <c r="Q230" t="str">
        <f>CONCATENATE(Q$2,": ",Q$3,list1!Q230,"]")</f>
        <v xml:space="preserve"> (Внутренний блок) Масса (нетто / брутто): S[54.7 / 68.9]</v>
      </c>
      <c r="R230" t="str">
        <f>CONCATENATE(R$2,": ",R$3,list1!R230,"]")</f>
        <v xml:space="preserve"> (Внутренний блок) Уровень шума мин. / макс.: S[50/53]</v>
      </c>
      <c r="S230" t="str">
        <f>CONCATENATE(S$2,": ",S$3,list1!S230,"]")</f>
        <v xml:space="preserve"> (Наружный блок) Марка компрессора: S[PANASONIC]</v>
      </c>
      <c r="T230" t="str">
        <f>CONCATENATE(T$2,": ",T$3,list1!T230,"]")</f>
        <v xml:space="preserve"> (Наружный блок) Размеры (Ш x Г x В): S[900 х 350 х 1170]</v>
      </c>
      <c r="U230" t="str">
        <f>CONCATENATE(U$2,": ",U$3,list1!U230,"]")</f>
        <v xml:space="preserve"> (Наружный блок) Упаковка (Ш x Г x В): S[1032 х 443 х 1307]</v>
      </c>
      <c r="V230" t="str">
        <f>CONCATENATE(V$2,": ",V$3,list1!V230,"]")</f>
        <v xml:space="preserve"> (Наружный блок) Масса (нетто / брутто): S[93.2/105]</v>
      </c>
      <c r="W230" t="str">
        <f>CONCATENATE(W$2,": ",W$3,list1!W230,"]")</f>
        <v xml:space="preserve"> (Наружный блок) Максимальный уровень шума: N[]</v>
      </c>
      <c r="X230" t="str">
        <f>CONCATENATE(X$2,": ",X$3,list1!X230,"]")</f>
        <v xml:space="preserve"> (Соединительные трубы) Жидкостная линия : N[9.52]</v>
      </c>
      <c r="Y230" t="str">
        <f>CONCATENATE(Y$2,": ",Y$3,list1!Y230,"]")</f>
        <v xml:space="preserve"> (Соединительные трубы) Газовая линия : N[19]</v>
      </c>
      <c r="Z230" t="str">
        <f>CONCATENATE(Z$2,": ",Z$3,list1!Z230,"]")</f>
        <v xml:space="preserve"> (Соединительные трубы) Максимальная длина трубопровода: N[50]</v>
      </c>
      <c r="AA230" t="str">
        <f>CONCATENATE(AA$2,": ",AA$3,list1!AA230,"]")</f>
        <v xml:space="preserve"> (Соединительные трубы) Максимальный перепад высот: S[30]</v>
      </c>
      <c r="AB230" t="str">
        <f>CONCATENATE(AB$2,": ",AB$3,list1!AB230,"]")</f>
        <v xml:space="preserve"> (Допустимая темп. наружного воздуха) Охлаждение: S[от 18 до +43]</v>
      </c>
      <c r="AC230" t="str">
        <f>CONCATENATE(AC$2,": ",AC$3,list1!AC230,"]")</f>
        <v xml:space="preserve"> (Допустимая темп. наружного воздуха) Обогрев: S[от -7 до +24]</v>
      </c>
      <c r="AD230" s="6" t="s">
        <v>5245</v>
      </c>
    </row>
    <row r="231" spans="1:30" x14ac:dyDescent="0.25">
      <c r="A231" t="str">
        <f>CONCATENATE(A$2,": ",A$3,list1!A231,"]")</f>
        <v>Производитель: E[LESSAR]</v>
      </c>
      <c r="B231" t="str">
        <f>CONCATENATE(B$2,": ",B$3,list1!B231,"]")</f>
        <v xml:space="preserve"> Тип: S[Колонные]</v>
      </c>
      <c r="C231" t="str">
        <f>CONCATENATE(C$2,": ",C$3,list1!C231,"]")</f>
        <v xml:space="preserve"> (Сплит система) Холодопроизводительность: N[14.07]</v>
      </c>
      <c r="D231" t="str">
        <f>CONCATENATE(D$2,": ",D$3,list1!D231,"]")</f>
        <v xml:space="preserve"> (Сплит система) Площадь помещения: N[141]</v>
      </c>
      <c r="E231" t="str">
        <f>CONCATENATE(E$2,": ",E$3,list1!E231,"]")</f>
        <v xml:space="preserve"> (Сплит система) Инвентор: S[нет]</v>
      </c>
      <c r="F231" t="str">
        <f>CONCATENATE(F$2,": ",F$3,list1!F231,"]")</f>
        <v xml:space="preserve"> (Сплит система) Теплопроизводительность: N[16.12]</v>
      </c>
      <c r="G231" t="str">
        <f>CONCATENATE(G$2,": ",G$3,list1!G231,"]")</f>
        <v xml:space="preserve"> (Потребляемая мощность) Охлаждение: N[5.3]</v>
      </c>
      <c r="H231" t="str">
        <f>CONCATENATE(H$2,": ",H$3,list1!H231,"]")</f>
        <v xml:space="preserve"> (Потребляемая мощность) Обогрев: S[5.35]</v>
      </c>
      <c r="I231" t="str">
        <f>CONCATENATE(I$2,": ",I$3,list1!I231,"]")</f>
        <v xml:space="preserve"> (Рабочий ток) Охлаждение: S[]</v>
      </c>
      <c r="J231" t="str">
        <f>CONCATENATE(J$2,": ",J$3,list1!J231,"]")</f>
        <v xml:space="preserve"> (Рабочий ток) Обогрев: S[]</v>
      </c>
      <c r="K231" t="str">
        <f>CONCATENATE(K$2,": ",K$3,list1!K231,"]")</f>
        <v xml:space="preserve"> (Рабочий ток) Напряжение / Частота источника питания: S[3 / 380 / 50]</v>
      </c>
      <c r="L231" t="str">
        <f>CONCATENATE(L$2,": ",L$3,list1!L231,"]")</f>
        <v xml:space="preserve"> (Рабочий ток) Хладагент: S[R410A]</v>
      </c>
      <c r="M231" t="str">
        <f>CONCATENATE(M$2,": ",M$3,list1!M231,"]")</f>
        <v xml:space="preserve"> (Рабочий ток) Количество хладагента: N[]</v>
      </c>
      <c r="N231" t="str">
        <f>CONCATENATE(N$2,": ",N$3,list1!N231,"]")</f>
        <v xml:space="preserve"> (Рабочий ток) Объем рециркулируемого воздуха внутреннего блока: S[]</v>
      </c>
      <c r="O231" t="str">
        <f>CONCATENATE(O$2,": ",O$3,list1!O231,"]")</f>
        <v xml:space="preserve"> (Внутренний блок) Размеры (Ш x Г x В): S[540 х 1800 х 350]</v>
      </c>
      <c r="P231" t="str">
        <f>CONCATENATE(P$2,": ",P$3,list1!P231,"]")</f>
        <v xml:space="preserve"> (Внутренний блок) Упаковка (Ш x Г x В): S[685 х 480 х 1910]</v>
      </c>
      <c r="Q231" t="str">
        <f>CONCATENATE(Q$2,": ",Q$3,list1!Q231,"]")</f>
        <v xml:space="preserve"> (Внутренний блок) Масса (нетто / брутто): S[51.3 / 65.5]</v>
      </c>
      <c r="R231" t="str">
        <f>CONCATENATE(R$2,": ",R$3,list1!R231,"]")</f>
        <v xml:space="preserve"> (Внутренний блок) Уровень шума мин. / макс.: S[46/54]</v>
      </c>
      <c r="S231" t="str">
        <f>CONCATENATE(S$2,": ",S$3,list1!S231,"]")</f>
        <v xml:space="preserve"> (Наружный блок) Марка компрессора: S[PANASONIC]</v>
      </c>
      <c r="T231" t="str">
        <f>CONCATENATE(T$2,": ",T$3,list1!T231,"]")</f>
        <v xml:space="preserve"> (Наружный блок) Размеры (Ш x Г x В): S[900 х 350 х 1170]</v>
      </c>
      <c r="U231" t="str">
        <f>CONCATENATE(U$2,": ",U$3,list1!U231,"]")</f>
        <v xml:space="preserve"> (Наружный блок) Упаковка (Ш x Г x В): S[1032 х 443 х 1307]</v>
      </c>
      <c r="V231" t="str">
        <f>CONCATENATE(V$2,": ",V$3,list1!V231,"]")</f>
        <v xml:space="preserve"> (Наружный блок) Масса (нетто / брутто): S[98.6/109.3]</v>
      </c>
      <c r="W231" t="str">
        <f>CONCATENATE(W$2,": ",W$3,list1!W231,"]")</f>
        <v xml:space="preserve"> (Наружный блок) Максимальный уровень шума: N[]</v>
      </c>
      <c r="X231" t="str">
        <f>CONCATENATE(X$2,": ",X$3,list1!X231,"]")</f>
        <v xml:space="preserve"> (Соединительные трубы) Жидкостная линия : N[9.52]</v>
      </c>
      <c r="Y231" t="str">
        <f>CONCATENATE(Y$2,": ",Y$3,list1!Y231,"]")</f>
        <v xml:space="preserve"> (Соединительные трубы) Газовая линия : N[19]</v>
      </c>
      <c r="Z231" t="str">
        <f>CONCATENATE(Z$2,": ",Z$3,list1!Z231,"]")</f>
        <v xml:space="preserve"> (Соединительные трубы) Максимальная длина трубопровода: N[50]</v>
      </c>
      <c r="AA231" t="str">
        <f>CONCATENATE(AA$2,": ",AA$3,list1!AA231,"]")</f>
        <v xml:space="preserve"> (Соединительные трубы) Максимальный перепад высот: S[30]</v>
      </c>
      <c r="AB231" t="str">
        <f>CONCATENATE(AB$2,": ",AB$3,list1!AB231,"]")</f>
        <v xml:space="preserve"> (Допустимая темп. наружного воздуха) Охлаждение: S[от 18 до +43]</v>
      </c>
      <c r="AC231" t="str">
        <f>CONCATENATE(AC$2,": ",AC$3,list1!AC231,"]")</f>
        <v xml:space="preserve"> (Допустимая темп. наружного воздуха) Обогрев: S[от -7 до +24]</v>
      </c>
      <c r="AD231" s="6" t="s">
        <v>5245</v>
      </c>
    </row>
    <row r="232" spans="1:30" x14ac:dyDescent="0.25">
      <c r="A232" t="str">
        <f>CONCATENATE(A$2,": ",A$3,list1!A232,"]")</f>
        <v>Производитель: E[LESSAR]</v>
      </c>
      <c r="B232" t="str">
        <f>CONCATENATE(B$2,": ",B$3,list1!B232,"]")</f>
        <v xml:space="preserve"> Тип: S[Колонные]</v>
      </c>
      <c r="C232" t="str">
        <f>CONCATENATE(C$2,": ",C$3,list1!C232,"]")</f>
        <v xml:space="preserve"> (Сплит система) Холодопроизводительность: N[16.96]</v>
      </c>
      <c r="D232" t="str">
        <f>CONCATENATE(D$2,": ",D$3,list1!D232,"]")</f>
        <v xml:space="preserve"> (Сплит система) Площадь помещения: N[170]</v>
      </c>
      <c r="E232" t="str">
        <f>CONCATENATE(E$2,": ",E$3,list1!E232,"]")</f>
        <v xml:space="preserve"> (Сплит система) Инвентор: S[нет]</v>
      </c>
      <c r="F232" t="str">
        <f>CONCATENATE(F$2,": ",F$3,list1!F232,"]")</f>
        <v xml:space="preserve"> (Сплит система) Теплопроизводительность: N[18.17]</v>
      </c>
      <c r="G232" t="str">
        <f>CONCATENATE(G$2,": ",G$3,list1!G232,"]")</f>
        <v xml:space="preserve"> (Потребляемая мощность) Охлаждение: N[6.5]</v>
      </c>
      <c r="H232" t="str">
        <f>CONCATENATE(H$2,": ",H$3,list1!H232,"]")</f>
        <v xml:space="preserve"> (Потребляемая мощность) Обогрев: S[5.3]</v>
      </c>
      <c r="I232" t="str">
        <f>CONCATENATE(I$2,": ",I$3,list1!I232,"]")</f>
        <v xml:space="preserve"> (Рабочий ток) Охлаждение: S[]</v>
      </c>
      <c r="J232" t="str">
        <f>CONCATENATE(J$2,": ",J$3,list1!J232,"]")</f>
        <v xml:space="preserve"> (Рабочий ток) Обогрев: S[]</v>
      </c>
      <c r="K232" t="str">
        <f>CONCATENATE(K$2,": ",K$3,list1!K232,"]")</f>
        <v xml:space="preserve"> (Рабочий ток) Напряжение / Частота источника питания: S[3 / 380 / 50]</v>
      </c>
      <c r="L232" t="str">
        <f>CONCATENATE(L$2,": ",L$3,list1!L232,"]")</f>
        <v xml:space="preserve"> (Рабочий ток) Хладагент: S[R410A]</v>
      </c>
      <c r="M232" t="str">
        <f>CONCATENATE(M$2,": ",M$3,list1!M232,"]")</f>
        <v xml:space="preserve"> (Рабочий ток) Количество хладагента: N[]</v>
      </c>
      <c r="N232" t="str">
        <f>CONCATENATE(N$2,": ",N$3,list1!N232,"]")</f>
        <v xml:space="preserve"> (Рабочий ток) Объем рециркулируемого воздуха внутреннего блока: S[]</v>
      </c>
      <c r="O232" t="str">
        <f>CONCATENATE(O$2,": ",O$3,list1!O232,"]")</f>
        <v xml:space="preserve"> (Внутренний блок) Размеры (Ш x Г x В): S[600 х 1934 х 455]</v>
      </c>
      <c r="P232" t="str">
        <f>CONCATENATE(P$2,": ",P$3,list1!P232,"]")</f>
        <v xml:space="preserve"> (Внутренний блок) Упаковка (Ш x Г x В): S[755 х 585 х 2080]</v>
      </c>
      <c r="Q232" t="str">
        <f>CONCATENATE(Q$2,": ",Q$3,list1!Q232,"]")</f>
        <v xml:space="preserve"> (Внутренний блок) Масса (нетто / брутто): S[68.5 / 88.3]</v>
      </c>
      <c r="R232" t="str">
        <f>CONCATENATE(R$2,": ",R$3,list1!R232,"]")</f>
        <v xml:space="preserve"> (Внутренний блок) Уровень шума мин. / макс.: S[49.8/53.9]</v>
      </c>
      <c r="S232" t="str">
        <f>CONCATENATE(S$2,": ",S$3,list1!S232,"]")</f>
        <v xml:space="preserve"> (Наружный блок) Марка компрессора: S[PANASONIC]</v>
      </c>
      <c r="T232" t="str">
        <f>CONCATENATE(T$2,": ",T$3,list1!T232,"]")</f>
        <v xml:space="preserve"> (Наружный блок) Размеры (Ш x Г x В): S[900 х 350 х 1170]</v>
      </c>
      <c r="U232" t="str">
        <f>CONCATENATE(U$2,": ",U$3,list1!U232,"]")</f>
        <v xml:space="preserve"> (Наружный блок) Упаковка (Ш x Г x В): S[1032 х 443 х 1307]</v>
      </c>
      <c r="V232" t="str">
        <f>CONCATENATE(V$2,": ",V$3,list1!V232,"]")</f>
        <v xml:space="preserve"> (Наружный блок) Масса (нетто / брутто): S[97/107]</v>
      </c>
      <c r="W232" t="str">
        <f>CONCATENATE(W$2,": ",W$3,list1!W232,"]")</f>
        <v xml:space="preserve"> (Наружный блок) Максимальный уровень шума: N[]</v>
      </c>
      <c r="X232" t="str">
        <f>CONCATENATE(X$2,": ",X$3,list1!X232,"]")</f>
        <v xml:space="preserve"> (Соединительные трубы) Жидкостная линия : N[12.7]</v>
      </c>
      <c r="Y232" t="str">
        <f>CONCATENATE(Y$2,": ",Y$3,list1!Y232,"]")</f>
        <v xml:space="preserve"> (Соединительные трубы) Газовая линия : N[19]</v>
      </c>
      <c r="Z232" t="str">
        <f>CONCATENATE(Z$2,": ",Z$3,list1!Z232,"]")</f>
        <v xml:space="preserve"> (Соединительные трубы) Максимальная длина трубопровода: N[50]</v>
      </c>
      <c r="AA232" t="str">
        <f>CONCATENATE(AA$2,": ",AA$3,list1!AA232,"]")</f>
        <v xml:space="preserve"> (Соединительные трубы) Максимальный перепад высот: S[30]</v>
      </c>
      <c r="AB232" t="str">
        <f>CONCATENATE(AB$2,": ",AB$3,list1!AB232,"]")</f>
        <v xml:space="preserve"> (Допустимая темп. наружного воздуха) Охлаждение: S[от 18 до +43]</v>
      </c>
      <c r="AC232" t="str">
        <f>CONCATENATE(AC$2,": ",AC$3,list1!AC232,"]")</f>
        <v xml:space="preserve"> (Допустимая темп. наружного воздуха) Обогрев: S[от -7 до +24]</v>
      </c>
      <c r="AD232" s="6" t="s">
        <v>5245</v>
      </c>
    </row>
    <row r="233" spans="1:30" x14ac:dyDescent="0.25">
      <c r="A233" t="str">
        <f>CONCATENATE(A$2,": ",A$3,list1!A233,"]")</f>
        <v>Производитель: E[LESSAR]</v>
      </c>
      <c r="B233" t="str">
        <f>CONCATENATE(B$2,": ",B$3,list1!B233,"]")</f>
        <v xml:space="preserve"> Тип: S[Колонные]</v>
      </c>
      <c r="C233" t="str">
        <f>CONCATENATE(C$2,": ",C$3,list1!C233,"]")</f>
        <v xml:space="preserve"> (Сплит система) Холодопроизводительность: N[17.14]</v>
      </c>
      <c r="D233" t="str">
        <f>CONCATENATE(D$2,": ",D$3,list1!D233,"]")</f>
        <v xml:space="preserve"> (Сплит система) Площадь помещения: N[171]</v>
      </c>
      <c r="E233" t="str">
        <f>CONCATENATE(E$2,": ",E$3,list1!E233,"]")</f>
        <v xml:space="preserve"> (Сплит система) Инвентор: S[нет]</v>
      </c>
      <c r="F233" t="str">
        <f>CONCATENATE(F$2,": ",F$3,list1!F233,"]")</f>
        <v xml:space="preserve"> (Сплит система) Теплопроизводительность: N[18.9]</v>
      </c>
      <c r="G233" t="str">
        <f>CONCATENATE(G$2,": ",G$3,list1!G233,"]")</f>
        <v xml:space="preserve"> (Потребляемая мощность) Охлаждение: N[6.7]</v>
      </c>
      <c r="H233" t="str">
        <f>CONCATENATE(H$2,": ",H$3,list1!H233,"]")</f>
        <v xml:space="preserve"> (Потребляемая мощность) Обогрев: S[5.59]</v>
      </c>
      <c r="I233" t="str">
        <f>CONCATENATE(I$2,": ",I$3,list1!I233,"]")</f>
        <v xml:space="preserve"> (Рабочий ток) Охлаждение: S[]</v>
      </c>
      <c r="J233" t="str">
        <f>CONCATENATE(J$2,": ",J$3,list1!J233,"]")</f>
        <v xml:space="preserve"> (Рабочий ток) Обогрев: S[]</v>
      </c>
      <c r="K233" t="str">
        <f>CONCATENATE(K$2,": ",K$3,list1!K233,"]")</f>
        <v xml:space="preserve"> (Рабочий ток) Напряжение / Частота источника питания: S[3 / 380 / 50]</v>
      </c>
      <c r="L233" t="str">
        <f>CONCATENATE(L$2,": ",L$3,list1!L233,"]")</f>
        <v xml:space="preserve"> (Рабочий ток) Хладагент: S[R410A]</v>
      </c>
      <c r="M233" t="str">
        <f>CONCATENATE(M$2,": ",M$3,list1!M233,"]")</f>
        <v xml:space="preserve"> (Рабочий ток) Количество хладагента: N[]</v>
      </c>
      <c r="N233" t="str">
        <f>CONCATENATE(N$2,": ",N$3,list1!N233,"]")</f>
        <v xml:space="preserve"> (Рабочий ток) Объем рециркулируемого воздуха внутреннего блока: S[]</v>
      </c>
      <c r="O233" t="str">
        <f>CONCATENATE(O$2,": ",O$3,list1!O233,"]")</f>
        <v xml:space="preserve"> (Внутренний блок) Размеры (Ш x Г x В): S[600 х 1934 х 455]</v>
      </c>
      <c r="P233" t="str">
        <f>CONCATENATE(P$2,": ",P$3,list1!P233,"]")</f>
        <v xml:space="preserve"> (Внутренний блок) Упаковка (Ш x Г x В): S[755 х 585 х 2080]</v>
      </c>
      <c r="Q233" t="str">
        <f>CONCATENATE(Q$2,": ",Q$3,list1!Q233,"]")</f>
        <v xml:space="preserve"> (Внутренний блок) Масса (нетто / брутто): S[67 / 85.6]</v>
      </c>
      <c r="R233" t="str">
        <f>CONCATENATE(R$2,": ",R$3,list1!R233,"]")</f>
        <v xml:space="preserve"> (Внутренний блок) Уровень шума мин. / макс.: S[50/54]</v>
      </c>
      <c r="S233" t="str">
        <f>CONCATENATE(S$2,": ",S$3,list1!S233,"]")</f>
        <v xml:space="preserve"> (Наружный блок) Марка компрессора: S[PANASONIC]</v>
      </c>
      <c r="T233" t="str">
        <f>CONCATENATE(T$2,": ",T$3,list1!T233,"]")</f>
        <v xml:space="preserve"> (Наружный блок) Размеры (Ш x Г x В): S[900 х 350 х 1170]</v>
      </c>
      <c r="U233" t="str">
        <f>CONCATENATE(U$2,": ",U$3,list1!U233,"]")</f>
        <v xml:space="preserve"> (Наружный блок) Упаковка (Ш x Г x В): S[1032 х 443 х 1307]</v>
      </c>
      <c r="V233" t="str">
        <f>CONCATENATE(V$2,": ",V$3,list1!V233,"]")</f>
        <v xml:space="preserve"> (Наружный блок) Масса (нетто / брутто): S[99.7/111.2]</v>
      </c>
      <c r="W233" t="str">
        <f>CONCATENATE(W$2,": ",W$3,list1!W233,"]")</f>
        <v xml:space="preserve"> (Наружный блок) Максимальный уровень шума: N[]</v>
      </c>
      <c r="X233" t="str">
        <f>CONCATENATE(X$2,": ",X$3,list1!X233,"]")</f>
        <v xml:space="preserve"> (Соединительные трубы) Жидкостная линия : N[9.52]</v>
      </c>
      <c r="Y233" t="str">
        <f>CONCATENATE(Y$2,": ",Y$3,list1!Y233,"]")</f>
        <v xml:space="preserve"> (Соединительные трубы) Газовая линия : N[19]</v>
      </c>
      <c r="Z233" t="str">
        <f>CONCATENATE(Z$2,": ",Z$3,list1!Z233,"]")</f>
        <v xml:space="preserve"> (Соединительные трубы) Максимальная длина трубопровода: N[50]</v>
      </c>
      <c r="AA233" t="str">
        <f>CONCATENATE(AA$2,": ",AA$3,list1!AA233,"]")</f>
        <v xml:space="preserve"> (Соединительные трубы) Максимальный перепад высот: S[30]</v>
      </c>
      <c r="AB233" t="str">
        <f>CONCATENATE(AB$2,": ",AB$3,list1!AB233,"]")</f>
        <v xml:space="preserve"> (Допустимая темп. наружного воздуха) Охлаждение: S[от -15 до +43]</v>
      </c>
      <c r="AC233" t="str">
        <f>CONCATENATE(AC$2,": ",AC$3,list1!AC233,"]")</f>
        <v xml:space="preserve"> (Допустимая темп. наружного воздуха) Обогрев: S[от -7 до +24]</v>
      </c>
      <c r="AD233" s="6" t="s">
        <v>5245</v>
      </c>
    </row>
    <row r="234" spans="1:30" x14ac:dyDescent="0.25">
      <c r="A234" t="str">
        <f>CONCATENATE(A$2,": ",A$3,list1!A234,"]")</f>
        <v>Производитель: E[LESSAR]</v>
      </c>
      <c r="B234" t="str">
        <f>CONCATENATE(B$2,": ",B$3,list1!B234,"]")</f>
        <v xml:space="preserve"> Тип: S[Канальные]</v>
      </c>
      <c r="C234" t="str">
        <f>CONCATENATE(C$2,": ",C$3,list1!C234,"]")</f>
        <v xml:space="preserve"> (Сплит система) Холодопроизводительность: N[2.05]</v>
      </c>
      <c r="D234" t="str">
        <f>CONCATENATE(D$2,": ",D$3,list1!D234,"]")</f>
        <v xml:space="preserve"> (Сплит система) Площадь помещения: N[21]</v>
      </c>
      <c r="E234" t="str">
        <f>CONCATENATE(E$2,": ",E$3,list1!E234,"]")</f>
        <v xml:space="preserve"> (Сплит система) Инвентор: S[да]</v>
      </c>
      <c r="F234" t="str">
        <f>CONCATENATE(F$2,": ",F$3,list1!F234,"]")</f>
        <v xml:space="preserve"> (Сплит система) Теплопроизводительность: N[2.34]</v>
      </c>
      <c r="G234" t="str">
        <f>CONCATENATE(G$2,": ",G$3,list1!G234,"]")</f>
        <v xml:space="preserve"> (Потребляемая мощность) Охлаждение: N[0.17]</v>
      </c>
      <c r="H234" t="str">
        <f>CONCATENATE(H$2,": ",H$3,list1!H234,"]")</f>
        <v xml:space="preserve"> (Потребляемая мощность) Обогрев: S[0.17]</v>
      </c>
      <c r="I234" t="str">
        <f>CONCATENATE(I$2,": ",I$3,list1!I234,"]")</f>
        <v xml:space="preserve"> (Рабочий ток) Охлаждение: S[]</v>
      </c>
      <c r="J234" t="str">
        <f>CONCATENATE(J$2,": ",J$3,list1!J234,"]")</f>
        <v xml:space="preserve"> (Рабочий ток) Обогрев: S[]</v>
      </c>
      <c r="K234" t="str">
        <f>CONCATENATE(K$2,": ",K$3,list1!K234,"]")</f>
        <v xml:space="preserve"> (Рабочий ток) Напряжение / Частота источника питания: S[1 / 220 / 50]</v>
      </c>
      <c r="L234" t="str">
        <f>CONCATENATE(L$2,": ",L$3,list1!L234,"]")</f>
        <v xml:space="preserve"> (Рабочий ток) Хладагент: S[R410A]</v>
      </c>
      <c r="M234" t="str">
        <f>CONCATENATE(M$2,": ",M$3,list1!M234,"]")</f>
        <v xml:space="preserve"> (Рабочий ток) Количество хладагента: N[]</v>
      </c>
      <c r="N234" t="str">
        <f>CONCATENATE(N$2,": ",N$3,list1!N234,"]")</f>
        <v xml:space="preserve"> (Рабочий ток) Объем рециркулируемого воздуха внутреннего блока: S[]</v>
      </c>
      <c r="O234" t="str">
        <f>CONCATENATE(O$2,": ",O$3,list1!O234,"]")</f>
        <v xml:space="preserve"> (Внутренний блок) Размеры (Ш x Г x В): S[700 х 450 х 200]</v>
      </c>
      <c r="P234" t="str">
        <f>CONCATENATE(P$2,": ",P$3,list1!P234,"]")</f>
        <v xml:space="preserve"> (Внутренний блок) Упаковка (Ш x Г x В): S[860 х 540 х 270]</v>
      </c>
      <c r="Q234" t="str">
        <f>CONCATENATE(Q$2,": ",Q$3,list1!Q234,"]")</f>
        <v xml:space="preserve"> (Внутренний блок) Масса (нетто / брутто): S[18 / 22]</v>
      </c>
      <c r="R234" t="str">
        <f>CONCATENATE(R$2,": ",R$3,list1!R234,"]")</f>
        <v xml:space="preserve"> (Внутренний блок) Уровень шума мин. / макс.: S[27/34/40]</v>
      </c>
      <c r="S234" t="str">
        <f>CONCATENATE(S$2,": ",S$3,list1!S234,"]")</f>
        <v xml:space="preserve"> (Наружный блок) Марка компрессора: S[]</v>
      </c>
      <c r="T234" t="str">
        <f>CONCATENATE(T$2,": ",T$3,list1!T234,"]")</f>
        <v xml:space="preserve"> (Наружный блок) Размеры (Ш x Г x В): S[700 х 450 х 200]</v>
      </c>
      <c r="U234" t="str">
        <f>CONCATENATE(U$2,": ",U$3,list1!U234,"]")</f>
        <v xml:space="preserve"> (Наружный блок) Упаковка (Ш x Г x В): S[860 х 540 х 270]</v>
      </c>
      <c r="V234" t="str">
        <f>CONCATENATE(V$2,": ",V$3,list1!V234,"]")</f>
        <v xml:space="preserve"> (Наружный блок) Масса (нетто / брутто): S[18 / 22]</v>
      </c>
      <c r="W234" t="str">
        <f>CONCATENATE(W$2,": ",W$3,list1!W234,"]")</f>
        <v xml:space="preserve"> (Наружный блок) Максимальный уровень шума: N[]</v>
      </c>
      <c r="X234" t="str">
        <f>CONCATENATE(X$2,": ",X$3,list1!X234,"]")</f>
        <v xml:space="preserve"> (Соединительные трубы) Жидкостная линия : N[6.35]</v>
      </c>
      <c r="Y234" t="str">
        <f>CONCATENATE(Y$2,": ",Y$3,list1!Y234,"]")</f>
        <v xml:space="preserve"> (Соединительные трубы) Газовая линия : N[9.52]</v>
      </c>
      <c r="Z234" t="str">
        <f>CONCATENATE(Z$2,": ",Z$3,list1!Z234,"]")</f>
        <v xml:space="preserve"> (Соединительные трубы) Максимальная длина трубопровода: N[]</v>
      </c>
      <c r="AA234" t="str">
        <f>CONCATENATE(AA$2,": ",AA$3,list1!AA234,"]")</f>
        <v xml:space="preserve"> (Соединительные трубы) Максимальный перепад высот: S[]</v>
      </c>
      <c r="AB234" t="str">
        <f>CONCATENATE(AB$2,": ",AB$3,list1!AB234,"]")</f>
        <v xml:space="preserve"> (Допустимая темп. наружного воздуха) Охлаждение: S[]</v>
      </c>
      <c r="AC234" t="str">
        <f>CONCATENATE(AC$2,": ",AC$3,list1!AC234,"]")</f>
        <v xml:space="preserve"> (Допустимая темп. наружного воздуха) Обогрев: S[]</v>
      </c>
      <c r="AD234" s="6" t="s">
        <v>5172</v>
      </c>
    </row>
    <row r="235" spans="1:30" x14ac:dyDescent="0.25">
      <c r="A235" t="str">
        <f>CONCATENATE(A$2,": ",A$3,list1!A235,"]")</f>
        <v>Производитель: E[LESSAR]</v>
      </c>
      <c r="B235" t="str">
        <f>CONCATENATE(B$2,": ",B$3,list1!B235,"]")</f>
        <v xml:space="preserve"> Тип: S[Канальные]</v>
      </c>
      <c r="C235" t="str">
        <f>CONCATENATE(C$2,": ",C$3,list1!C235,"]")</f>
        <v xml:space="preserve"> (Сплит система) Холодопроизводительность: N[2.64]</v>
      </c>
      <c r="D235" t="str">
        <f>CONCATENATE(D$2,": ",D$3,list1!D235,"]")</f>
        <v xml:space="preserve"> (Сплит система) Площадь помещения: N[26]</v>
      </c>
      <c r="E235" t="str">
        <f>CONCATENATE(E$2,": ",E$3,list1!E235,"]")</f>
        <v xml:space="preserve"> (Сплит система) Инвентор: S[да]</v>
      </c>
      <c r="F235" t="str">
        <f>CONCATENATE(F$2,": ",F$3,list1!F235,"]")</f>
        <v xml:space="preserve"> (Сплит система) Теплопроизводительность: N[2.93]</v>
      </c>
      <c r="G235" t="str">
        <f>CONCATENATE(G$2,": ",G$3,list1!G235,"]")</f>
        <v xml:space="preserve"> (Потребляемая мощность) Охлаждение: N[0.18]</v>
      </c>
      <c r="H235" t="str">
        <f>CONCATENATE(H$2,": ",H$3,list1!H235,"]")</f>
        <v xml:space="preserve"> (Потребляемая мощность) Обогрев: S[0.18]</v>
      </c>
      <c r="I235" t="str">
        <f>CONCATENATE(I$2,": ",I$3,list1!I235,"]")</f>
        <v xml:space="preserve"> (Рабочий ток) Охлаждение: S[]</v>
      </c>
      <c r="J235" t="str">
        <f>CONCATENATE(J$2,": ",J$3,list1!J235,"]")</f>
        <v xml:space="preserve"> (Рабочий ток) Обогрев: S[]</v>
      </c>
      <c r="K235" t="str">
        <f>CONCATENATE(K$2,": ",K$3,list1!K235,"]")</f>
        <v xml:space="preserve"> (Рабочий ток) Напряжение / Частота источника питания: S[1 / 220 / 50]</v>
      </c>
      <c r="L235" t="str">
        <f>CONCATENATE(L$2,": ",L$3,list1!L235,"]")</f>
        <v xml:space="preserve"> (Рабочий ток) Хладагент: S[R410A]</v>
      </c>
      <c r="M235" t="str">
        <f>CONCATENATE(M$2,": ",M$3,list1!M235,"]")</f>
        <v xml:space="preserve"> (Рабочий ток) Количество хладагента: N[]</v>
      </c>
      <c r="N235" t="str">
        <f>CONCATENATE(N$2,": ",N$3,list1!N235,"]")</f>
        <v xml:space="preserve"> (Рабочий ток) Объем рециркулируемого воздуха внутреннего блока: S[]</v>
      </c>
      <c r="O235" t="str">
        <f>CONCATENATE(O$2,": ",O$3,list1!O235,"]")</f>
        <v xml:space="preserve"> (Внутренний блок) Размеры (Ш x Г x В): S[700 х 450 х 200]</v>
      </c>
      <c r="P235" t="str">
        <f>CONCATENATE(P$2,": ",P$3,list1!P235,"]")</f>
        <v xml:space="preserve"> (Внутренний блок) Упаковка (Ш x Г x В): S[860 х 540 х 270]</v>
      </c>
      <c r="Q235" t="str">
        <f>CONCATENATE(Q$2,": ",Q$3,list1!Q235,"]")</f>
        <v xml:space="preserve"> (Внутренний блок) Масса (нетто / брутто): S[18 / 22]</v>
      </c>
      <c r="R235" t="str">
        <f>CONCATENATE(R$2,": ",R$3,list1!R235,"]")</f>
        <v xml:space="preserve"> (Внутренний блок) Уровень шума мин. / макс.: S[27/34/40]</v>
      </c>
      <c r="S235" t="str">
        <f>CONCATENATE(S$2,": ",S$3,list1!S235,"]")</f>
        <v xml:space="preserve"> (Наружный блок) Марка компрессора: S[]</v>
      </c>
      <c r="T235" t="str">
        <f>CONCATENATE(T$2,": ",T$3,list1!T235,"]")</f>
        <v xml:space="preserve"> (Наружный блок) Размеры (Ш x Г x В): S[700 х 450 х 200]</v>
      </c>
      <c r="U235" t="str">
        <f>CONCATENATE(U$2,": ",U$3,list1!U235,"]")</f>
        <v xml:space="preserve"> (Наружный блок) Упаковка (Ш x Г x В): S[860 х 540 х 270]</v>
      </c>
      <c r="V235" t="str">
        <f>CONCATENATE(V$2,": ",V$3,list1!V235,"]")</f>
        <v xml:space="preserve"> (Наружный блок) Масса (нетто / брутто): S[18 / 22]</v>
      </c>
      <c r="W235" t="str">
        <f>CONCATENATE(W$2,": ",W$3,list1!W235,"]")</f>
        <v xml:space="preserve"> (Наружный блок) Максимальный уровень шума: N[]</v>
      </c>
      <c r="X235" t="str">
        <f>CONCATENATE(X$2,": ",X$3,list1!X235,"]")</f>
        <v xml:space="preserve"> (Соединительные трубы) Жидкостная линия : N[6.35]</v>
      </c>
      <c r="Y235" t="str">
        <f>CONCATENATE(Y$2,": ",Y$3,list1!Y235,"]")</f>
        <v xml:space="preserve"> (Соединительные трубы) Газовая линия : N[9.52]</v>
      </c>
      <c r="Z235" t="str">
        <f>CONCATENATE(Z$2,": ",Z$3,list1!Z235,"]")</f>
        <v xml:space="preserve"> (Соединительные трубы) Максимальная длина трубопровода: N[]</v>
      </c>
      <c r="AA235" t="str">
        <f>CONCATENATE(AA$2,": ",AA$3,list1!AA235,"]")</f>
        <v xml:space="preserve"> (Соединительные трубы) Максимальный перепад высот: S[]</v>
      </c>
      <c r="AB235" t="str">
        <f>CONCATENATE(AB$2,": ",AB$3,list1!AB235,"]")</f>
        <v xml:space="preserve"> (Допустимая темп. наружного воздуха) Охлаждение: S[]</v>
      </c>
      <c r="AC235" t="str">
        <f>CONCATENATE(AC$2,": ",AC$3,list1!AC235,"]")</f>
        <v xml:space="preserve"> (Допустимая темп. наружного воздуха) Обогрев: S[]</v>
      </c>
      <c r="AD235" s="6" t="s">
        <v>5172</v>
      </c>
    </row>
    <row r="236" spans="1:30" x14ac:dyDescent="0.25">
      <c r="A236" t="str">
        <f>CONCATENATE(A$2,": ",A$3,list1!A236,"]")</f>
        <v>Производитель: E[LESSAR]</v>
      </c>
      <c r="B236" t="str">
        <f>CONCATENATE(B$2,": ",B$3,list1!B236,"]")</f>
        <v xml:space="preserve"> Тип: S[Канальные]</v>
      </c>
      <c r="C236" t="str">
        <f>CONCATENATE(C$2,": ",C$3,list1!C236,"]")</f>
        <v xml:space="preserve"> (Сплит система) Холодопроизводительность: N[3.52]</v>
      </c>
      <c r="D236" t="str">
        <f>CONCATENATE(D$2,": ",D$3,list1!D236,"]")</f>
        <v xml:space="preserve"> (Сплит система) Площадь помещения: N[35]</v>
      </c>
      <c r="E236" t="str">
        <f>CONCATENATE(E$2,": ",E$3,list1!E236,"]")</f>
        <v xml:space="preserve"> (Сплит система) Инвентор: S[да]</v>
      </c>
      <c r="F236" t="str">
        <f>CONCATENATE(F$2,": ",F$3,list1!F236,"]")</f>
        <v xml:space="preserve"> (Сплит система) Теплопроизводительность: N[3.81]</v>
      </c>
      <c r="G236" t="str">
        <f>CONCATENATE(G$2,": ",G$3,list1!G236,"]")</f>
        <v xml:space="preserve"> (Потребляемая мощность) Охлаждение: N[0.185]</v>
      </c>
      <c r="H236" t="str">
        <f>CONCATENATE(H$2,": ",H$3,list1!H236,"]")</f>
        <v xml:space="preserve"> (Потребляемая мощность) Обогрев: S[0.185]</v>
      </c>
      <c r="I236" t="str">
        <f>CONCATENATE(I$2,": ",I$3,list1!I236,"]")</f>
        <v xml:space="preserve"> (Рабочий ток) Охлаждение: S[]</v>
      </c>
      <c r="J236" t="str">
        <f>CONCATENATE(J$2,": ",J$3,list1!J236,"]")</f>
        <v xml:space="preserve"> (Рабочий ток) Обогрев: S[]</v>
      </c>
      <c r="K236" t="str">
        <f>CONCATENATE(K$2,": ",K$3,list1!K236,"]")</f>
        <v xml:space="preserve"> (Рабочий ток) Напряжение / Частота источника питания: S[1 / 220 / 50]</v>
      </c>
      <c r="L236" t="str">
        <f>CONCATENATE(L$2,": ",L$3,list1!L236,"]")</f>
        <v xml:space="preserve"> (Рабочий ток) Хладагент: S[R410A]</v>
      </c>
      <c r="M236" t="str">
        <f>CONCATENATE(M$2,": ",M$3,list1!M236,"]")</f>
        <v xml:space="preserve"> (Рабочий ток) Количество хладагента: N[]</v>
      </c>
      <c r="N236" t="str">
        <f>CONCATENATE(N$2,": ",N$3,list1!N236,"]")</f>
        <v xml:space="preserve"> (Рабочий ток) Объем рециркулируемого воздуха внутреннего блока: S[]</v>
      </c>
      <c r="O236" t="str">
        <f>CONCATENATE(O$2,": ",O$3,list1!O236,"]")</f>
        <v xml:space="preserve"> (Внутренний блок) Размеры (Ш x Г x В): S[700 х 450 х 200]</v>
      </c>
      <c r="P236" t="str">
        <f>CONCATENATE(P$2,": ",P$3,list1!P236,"]")</f>
        <v xml:space="preserve"> (Внутренний блок) Упаковка (Ш x Г x В): S[860 х 540 х 270]</v>
      </c>
      <c r="Q236" t="str">
        <f>CONCATENATE(Q$2,": ",Q$3,list1!Q236,"]")</f>
        <v xml:space="preserve"> (Внутренний блок) Масса (нетто / брутто): S[18 / 22]</v>
      </c>
      <c r="R236" t="str">
        <f>CONCATENATE(R$2,": ",R$3,list1!R236,"]")</f>
        <v xml:space="preserve"> (Внутренний блок) Уровень шума мин. / макс.: S[27.5/34.5/40]</v>
      </c>
      <c r="S236" t="str">
        <f>CONCATENATE(S$2,": ",S$3,list1!S236,"]")</f>
        <v xml:space="preserve"> (Наружный блок) Марка компрессора: S[]</v>
      </c>
      <c r="T236" t="str">
        <f>CONCATENATE(T$2,": ",T$3,list1!T236,"]")</f>
        <v xml:space="preserve"> (Наружный блок) Размеры (Ш x Г x В): S[700 х 450 х 200]</v>
      </c>
      <c r="U236" t="str">
        <f>CONCATENATE(U$2,": ",U$3,list1!U236,"]")</f>
        <v xml:space="preserve"> (Наружный блок) Упаковка (Ш x Г x В): S[860 х 540 х 270]</v>
      </c>
      <c r="V236" t="str">
        <f>CONCATENATE(V$2,": ",V$3,list1!V236,"]")</f>
        <v xml:space="preserve"> (Наружный блок) Масса (нетто / брутто): S[18 / 22]</v>
      </c>
      <c r="W236" t="str">
        <f>CONCATENATE(W$2,": ",W$3,list1!W236,"]")</f>
        <v xml:space="preserve"> (Наружный блок) Максимальный уровень шума: N[]</v>
      </c>
      <c r="X236" t="str">
        <f>CONCATENATE(X$2,": ",X$3,list1!X236,"]")</f>
        <v xml:space="preserve"> (Соединительные трубы) Жидкостная линия : N[6.35]</v>
      </c>
      <c r="Y236" t="str">
        <f>CONCATENATE(Y$2,": ",Y$3,list1!Y236,"]")</f>
        <v xml:space="preserve"> (Соединительные трубы) Газовая линия : N[9.52]</v>
      </c>
      <c r="Z236" t="str">
        <f>CONCATENATE(Z$2,": ",Z$3,list1!Z236,"]")</f>
        <v xml:space="preserve"> (Соединительные трубы) Максимальная длина трубопровода: N[]</v>
      </c>
      <c r="AA236" t="str">
        <f>CONCATENATE(AA$2,": ",AA$3,list1!AA236,"]")</f>
        <v xml:space="preserve"> (Соединительные трубы) Максимальный перепад высот: S[]</v>
      </c>
      <c r="AB236" t="str">
        <f>CONCATENATE(AB$2,": ",AB$3,list1!AB236,"]")</f>
        <v xml:space="preserve"> (Допустимая темп. наружного воздуха) Охлаждение: S[]</v>
      </c>
      <c r="AC236" t="str">
        <f>CONCATENATE(AC$2,": ",AC$3,list1!AC236,"]")</f>
        <v xml:space="preserve"> (Допустимая темп. наружного воздуха) Обогрев: S[]</v>
      </c>
      <c r="AD236" s="6" t="s">
        <v>5172</v>
      </c>
    </row>
    <row r="237" spans="1:30" x14ac:dyDescent="0.25">
      <c r="A237" t="str">
        <f>CONCATENATE(A$2,": ",A$3,list1!A237,"]")</f>
        <v>Производитель: E[LESSAR]</v>
      </c>
      <c r="B237" t="str">
        <f>CONCATENATE(B$2,": ",B$3,list1!B237,"]")</f>
        <v xml:space="preserve"> Тип: S[Канальные]</v>
      </c>
      <c r="C237" t="str">
        <f>CONCATENATE(C$2,": ",C$3,list1!C237,"]")</f>
        <v xml:space="preserve"> (Сплит система) Холодопроизводительность: N[3.52]</v>
      </c>
      <c r="D237" t="str">
        <f>CONCATENATE(D$2,": ",D$3,list1!D237,"]")</f>
        <v xml:space="preserve"> (Сплит система) Площадь помещения: N[35]</v>
      </c>
      <c r="E237" t="str">
        <f>CONCATENATE(E$2,": ",E$3,list1!E237,"]")</f>
        <v xml:space="preserve"> (Сплит система) Инвентор: S[да]</v>
      </c>
      <c r="F237" t="str">
        <f>CONCATENATE(F$2,": ",F$3,list1!F237,"]")</f>
        <v xml:space="preserve"> (Сплит система) Теплопроизводительность: N[3.81]</v>
      </c>
      <c r="G237" t="str">
        <f>CONCATENATE(G$2,": ",G$3,list1!G237,"]")</f>
        <v xml:space="preserve"> (Потребляемая мощность) Охлаждение: N[0.185]</v>
      </c>
      <c r="H237" t="str">
        <f>CONCATENATE(H$2,": ",H$3,list1!H237,"]")</f>
        <v xml:space="preserve"> (Потребляемая мощность) Обогрев: S[0.185]</v>
      </c>
      <c r="I237" t="str">
        <f>CONCATENATE(I$2,": ",I$3,list1!I237,"]")</f>
        <v xml:space="preserve"> (Рабочий ток) Охлаждение: S[]</v>
      </c>
      <c r="J237" t="str">
        <f>CONCATENATE(J$2,": ",J$3,list1!J237,"]")</f>
        <v xml:space="preserve"> (Рабочий ток) Обогрев: S[]</v>
      </c>
      <c r="K237" t="str">
        <f>CONCATENATE(K$2,": ",K$3,list1!K237,"]")</f>
        <v xml:space="preserve"> (Рабочий ток) Напряжение / Частота источника питания: S[1 / 220 / 50]</v>
      </c>
      <c r="L237" t="str">
        <f>CONCATENATE(L$2,": ",L$3,list1!L237,"]")</f>
        <v xml:space="preserve"> (Рабочий ток) Хладагент: S[R32]</v>
      </c>
      <c r="M237" t="str">
        <f>CONCATENATE(M$2,": ",M$3,list1!M237,"]")</f>
        <v xml:space="preserve"> (Рабочий ток) Количество хладагента: N[]</v>
      </c>
      <c r="N237" t="str">
        <f>CONCATENATE(N$2,": ",N$3,list1!N237,"]")</f>
        <v xml:space="preserve"> (Рабочий ток) Объем рециркулируемого воздуха внутреннего блока: S[]</v>
      </c>
      <c r="O237" t="str">
        <f>CONCATENATE(O$2,": ",O$3,list1!O237,"]")</f>
        <v xml:space="preserve"> (Внутренний блок) Размеры (Ш x Г x В): S[700 х 506 х 200]</v>
      </c>
      <c r="P237" t="str">
        <f>CONCATENATE(P$2,": ",P$3,list1!P237,"]")</f>
        <v xml:space="preserve"> (Внутренний блок) Упаковка (Ш x Г x В): S[860 х 540 х 285]</v>
      </c>
      <c r="Q237" t="str">
        <f>CONCATENATE(Q$2,": ",Q$3,list1!Q237,"]")</f>
        <v xml:space="preserve"> (Внутренний блок) Масса (нетто / брутто): S[17.8 / 21.5]</v>
      </c>
      <c r="R237" t="str">
        <f>CONCATENATE(R$2,": ",R$3,list1!R237,"]")</f>
        <v xml:space="preserve"> (Внутренний блок) Уровень шума мин. / макс.: S[30/32/34.5]</v>
      </c>
      <c r="S237" t="str">
        <f>CONCATENATE(S$2,": ",S$3,list1!S237,"]")</f>
        <v xml:space="preserve"> (Наружный блок) Марка компрессора: S[]</v>
      </c>
      <c r="T237" t="str">
        <f>CONCATENATE(T$2,": ",T$3,list1!T237,"]")</f>
        <v xml:space="preserve"> (Наружный блок) Размеры (Ш x Г x В): S[700 х 506 х 200]</v>
      </c>
      <c r="U237" t="str">
        <f>CONCATENATE(U$2,": ",U$3,list1!U237,"]")</f>
        <v xml:space="preserve"> (Наружный блок) Упаковка (Ш x Г x В): S[860 х 540 х 285]</v>
      </c>
      <c r="V237" t="str">
        <f>CONCATENATE(V$2,": ",V$3,list1!V237,"]")</f>
        <v xml:space="preserve"> (Наружный блок) Масса (нетто / брутто): S[17.8 / 21.5]</v>
      </c>
      <c r="W237" t="str">
        <f>CONCATENATE(W$2,": ",W$3,list1!W237,"]")</f>
        <v xml:space="preserve"> (Наружный блок) Максимальный уровень шума: N[]</v>
      </c>
      <c r="X237" t="str">
        <f>CONCATENATE(X$2,": ",X$3,list1!X237,"]")</f>
        <v xml:space="preserve"> (Соединительные трубы) Жидкостная линия : N[6.35]</v>
      </c>
      <c r="Y237" t="str">
        <f>CONCATENATE(Y$2,": ",Y$3,list1!Y237,"]")</f>
        <v xml:space="preserve"> (Соединительные трубы) Газовая линия : N[9.52]</v>
      </c>
      <c r="Z237" t="str">
        <f>CONCATENATE(Z$2,": ",Z$3,list1!Z237,"]")</f>
        <v xml:space="preserve"> (Соединительные трубы) Максимальная длина трубопровода: N[]</v>
      </c>
      <c r="AA237" t="str">
        <f>CONCATENATE(AA$2,": ",AA$3,list1!AA237,"]")</f>
        <v xml:space="preserve"> (Соединительные трубы) Максимальный перепад высот: S[]</v>
      </c>
      <c r="AB237" t="str">
        <f>CONCATENATE(AB$2,": ",AB$3,list1!AB237,"]")</f>
        <v xml:space="preserve"> (Допустимая темп. наружного воздуха) Охлаждение: S[]</v>
      </c>
      <c r="AC237" t="str">
        <f>CONCATENATE(AC$2,": ",AC$3,list1!AC237,"]")</f>
        <v xml:space="preserve"> (Допустимая темп. наружного воздуха) Обогрев: S[]</v>
      </c>
      <c r="AD237" s="6" t="s">
        <v>5172</v>
      </c>
    </row>
    <row r="238" spans="1:30" x14ac:dyDescent="0.25">
      <c r="A238" t="str">
        <f>CONCATENATE(A$2,": ",A$3,list1!A238,"]")</f>
        <v>Производитель: E[LESSAR]</v>
      </c>
      <c r="B238" t="str">
        <f>CONCATENATE(B$2,": ",B$3,list1!B238,"]")</f>
        <v xml:space="preserve"> Тип: S[Канальные]</v>
      </c>
      <c r="C238" t="str">
        <f>CONCATENATE(C$2,": ",C$3,list1!C238,"]")</f>
        <v xml:space="preserve"> (Сплит система) Холодопроизводительность: N[5.28]</v>
      </c>
      <c r="D238" t="str">
        <f>CONCATENATE(D$2,": ",D$3,list1!D238,"]")</f>
        <v xml:space="preserve"> (Сплит система) Площадь помещения: N[53]</v>
      </c>
      <c r="E238" t="str">
        <f>CONCATENATE(E$2,": ",E$3,list1!E238,"]")</f>
        <v xml:space="preserve"> (Сплит система) Инвентор: S[да]</v>
      </c>
      <c r="F238" t="str">
        <f>CONCATENATE(F$2,": ",F$3,list1!F238,"]")</f>
        <v xml:space="preserve"> (Сплит система) Теплопроизводительность: N[5.57]</v>
      </c>
      <c r="G238" t="str">
        <f>CONCATENATE(G$2,": ",G$3,list1!G238,"]")</f>
        <v xml:space="preserve"> (Потребляемая мощность) Охлаждение: N[0.2]</v>
      </c>
      <c r="H238" t="str">
        <f>CONCATENATE(H$2,": ",H$3,list1!H238,"]")</f>
        <v xml:space="preserve"> (Потребляемая мощность) Обогрев: S[0.2]</v>
      </c>
      <c r="I238" t="str">
        <f>CONCATENATE(I$2,": ",I$3,list1!I238,"]")</f>
        <v xml:space="preserve"> (Рабочий ток) Охлаждение: S[]</v>
      </c>
      <c r="J238" t="str">
        <f>CONCATENATE(J$2,": ",J$3,list1!J238,"]")</f>
        <v xml:space="preserve"> (Рабочий ток) Обогрев: S[]</v>
      </c>
      <c r="K238" t="str">
        <f>CONCATENATE(K$2,": ",K$3,list1!K238,"]")</f>
        <v xml:space="preserve"> (Рабочий ток) Напряжение / Частота источника питания: S[1 / 220 / 50]</v>
      </c>
      <c r="L238" t="str">
        <f>CONCATENATE(L$2,": ",L$3,list1!L238,"]")</f>
        <v xml:space="preserve"> (Рабочий ток) Хладагент: S[R410A]</v>
      </c>
      <c r="M238" t="str">
        <f>CONCATENATE(M$2,": ",M$3,list1!M238,"]")</f>
        <v xml:space="preserve"> (Рабочий ток) Количество хладагента: N[]</v>
      </c>
      <c r="N238" t="str">
        <f>CONCATENATE(N$2,": ",N$3,list1!N238,"]")</f>
        <v xml:space="preserve"> (Рабочий ток) Объем рециркулируемого воздуха внутреннего блока: S[]</v>
      </c>
      <c r="O238" t="str">
        <f>CONCATENATE(O$2,": ",O$3,list1!O238,"]")</f>
        <v xml:space="preserve"> (Внутренний блок) Размеры (Ш x Г x В): S[880 х 674 х 210]</v>
      </c>
      <c r="P238" t="str">
        <f>CONCATENATE(P$2,": ",P$3,list1!P238,"]")</f>
        <v xml:space="preserve"> (Внутренний блок) Упаковка (Ш x Г x В): S[1070 х 725 х 280]</v>
      </c>
      <c r="Q238" t="str">
        <f>CONCATENATE(Q$2,": ",Q$3,list1!Q238,"]")</f>
        <v xml:space="preserve"> (Внутренний блок) Масса (нетто / брутто): S[24.3 / 29.6]</v>
      </c>
      <c r="R238" t="str">
        <f>CONCATENATE(R$2,": ",R$3,list1!R238,"]")</f>
        <v xml:space="preserve"> (Внутренний блок) Уровень шума мин. / макс.: S[33/38/41.5]</v>
      </c>
      <c r="S238" t="str">
        <f>CONCATENATE(S$2,": ",S$3,list1!S238,"]")</f>
        <v xml:space="preserve"> (Наружный блок) Марка компрессора: S[]</v>
      </c>
      <c r="T238" t="str">
        <f>CONCATENATE(T$2,": ",T$3,list1!T238,"]")</f>
        <v xml:space="preserve"> (Наружный блок) Размеры (Ш x Г x В): S[880 х 674 х 210]</v>
      </c>
      <c r="U238" t="str">
        <f>CONCATENATE(U$2,": ",U$3,list1!U238,"]")</f>
        <v xml:space="preserve"> (Наружный блок) Упаковка (Ш x Г x В): S[1070 х 725 х 280]</v>
      </c>
      <c r="V238" t="str">
        <f>CONCATENATE(V$2,": ",V$3,list1!V238,"]")</f>
        <v xml:space="preserve"> (Наружный блок) Масса (нетто / брутто): S[24.3 / 29.6]</v>
      </c>
      <c r="W238" t="str">
        <f>CONCATENATE(W$2,": ",W$3,list1!W238,"]")</f>
        <v xml:space="preserve"> (Наружный блок) Максимальный уровень шума: N[]</v>
      </c>
      <c r="X238" t="str">
        <f>CONCATENATE(X$2,": ",X$3,list1!X238,"]")</f>
        <v xml:space="preserve"> (Соединительные трубы) Жидкостная линия : N[6.35]</v>
      </c>
      <c r="Y238" t="str">
        <f>CONCATENATE(Y$2,": ",Y$3,list1!Y238,"]")</f>
        <v xml:space="preserve"> (Соединительные трубы) Газовая линия : N[12.7]</v>
      </c>
      <c r="Z238" t="str">
        <f>CONCATENATE(Z$2,": ",Z$3,list1!Z238,"]")</f>
        <v xml:space="preserve"> (Соединительные трубы) Максимальная длина трубопровода: N[]</v>
      </c>
      <c r="AA238" t="str">
        <f>CONCATENATE(AA$2,": ",AA$3,list1!AA238,"]")</f>
        <v xml:space="preserve"> (Соединительные трубы) Максимальный перепад высот: S[]</v>
      </c>
      <c r="AB238" t="str">
        <f>CONCATENATE(AB$2,": ",AB$3,list1!AB238,"]")</f>
        <v xml:space="preserve"> (Допустимая темп. наружного воздуха) Охлаждение: S[]</v>
      </c>
      <c r="AC238" t="str">
        <f>CONCATENATE(AC$2,": ",AC$3,list1!AC238,"]")</f>
        <v xml:space="preserve"> (Допустимая темп. наружного воздуха) Обогрев: S[]</v>
      </c>
      <c r="AD238" s="6" t="s">
        <v>5172</v>
      </c>
    </row>
    <row r="239" spans="1:30" x14ac:dyDescent="0.25">
      <c r="A239" t="str">
        <f>CONCATENATE(A$2,": ",A$3,list1!A239,"]")</f>
        <v>Производитель: E[LESSAR]</v>
      </c>
      <c r="B239" t="str">
        <f>CONCATENATE(B$2,": ",B$3,list1!B239,"]")</f>
        <v xml:space="preserve"> Тип: S[Канальные]</v>
      </c>
      <c r="C239" t="str">
        <f>CONCATENATE(C$2,": ",C$3,list1!C239,"]")</f>
        <v xml:space="preserve"> (Сплит система) Холодопроизводительность: N[5.28]</v>
      </c>
      <c r="D239" t="str">
        <f>CONCATENATE(D$2,": ",D$3,list1!D239,"]")</f>
        <v xml:space="preserve"> (Сплит система) Площадь помещения: N[53]</v>
      </c>
      <c r="E239" t="str">
        <f>CONCATENATE(E$2,": ",E$3,list1!E239,"]")</f>
        <v xml:space="preserve"> (Сплит система) Инвентор: S[да]</v>
      </c>
      <c r="F239" t="str">
        <f>CONCATENATE(F$2,": ",F$3,list1!F239,"]")</f>
        <v xml:space="preserve"> (Сплит система) Теплопроизводительность: N[5.57]</v>
      </c>
      <c r="G239" t="str">
        <f>CONCATENATE(G$2,": ",G$3,list1!G239,"]")</f>
        <v xml:space="preserve"> (Потребляемая мощность) Охлаждение: N[0.2]</v>
      </c>
      <c r="H239" t="str">
        <f>CONCATENATE(H$2,": ",H$3,list1!H239,"]")</f>
        <v xml:space="preserve"> (Потребляемая мощность) Обогрев: S[0.2]</v>
      </c>
      <c r="I239" t="str">
        <f>CONCATENATE(I$2,": ",I$3,list1!I239,"]")</f>
        <v xml:space="preserve"> (Рабочий ток) Охлаждение: S[]</v>
      </c>
      <c r="J239" t="str">
        <f>CONCATENATE(J$2,": ",J$3,list1!J239,"]")</f>
        <v xml:space="preserve"> (Рабочий ток) Обогрев: S[]</v>
      </c>
      <c r="K239" t="str">
        <f>CONCATENATE(K$2,": ",K$3,list1!K239,"]")</f>
        <v xml:space="preserve"> (Рабочий ток) Напряжение / Частота источника питания: S[1 / 220 / 50]</v>
      </c>
      <c r="L239" t="str">
        <f>CONCATENATE(L$2,": ",L$3,list1!L239,"]")</f>
        <v xml:space="preserve"> (Рабочий ток) Хладагент: S[R32]</v>
      </c>
      <c r="M239" t="str">
        <f>CONCATENATE(M$2,": ",M$3,list1!M239,"]")</f>
        <v xml:space="preserve"> (Рабочий ток) Количество хладагента: N[]</v>
      </c>
      <c r="N239" t="str">
        <f>CONCATENATE(N$2,": ",N$3,list1!N239,"]")</f>
        <v xml:space="preserve"> (Рабочий ток) Объем рециркулируемого воздуха внутреннего блока: S[]</v>
      </c>
      <c r="O239" t="str">
        <f>CONCATENATE(O$2,": ",O$3,list1!O239,"]")</f>
        <v xml:space="preserve"> (Внутренний блок) Размеры (Ш x Г x В): S[880 х 674 х 210]</v>
      </c>
      <c r="P239" t="str">
        <f>CONCATENATE(P$2,": ",P$3,list1!P239,"]")</f>
        <v xml:space="preserve"> (Внутренний блок) Упаковка (Ш x Г x В): S[1070 х 725 х 280]</v>
      </c>
      <c r="Q239" t="str">
        <f>CONCATENATE(Q$2,": ",Q$3,list1!Q239,"]")</f>
        <v xml:space="preserve"> (Внутренний блок) Масса (нетто / брутто): S[24.4 / 29.6]</v>
      </c>
      <c r="R239" t="str">
        <f>CONCATENATE(R$2,": ",R$3,list1!R239,"]")</f>
        <v xml:space="preserve"> (Внутренний блок) Уровень шума мин. / макс.: S[35/39/42]</v>
      </c>
      <c r="S239" t="str">
        <f>CONCATENATE(S$2,": ",S$3,list1!S239,"]")</f>
        <v xml:space="preserve"> (Наружный блок) Марка компрессора: S[]</v>
      </c>
      <c r="T239" t="str">
        <f>CONCATENATE(T$2,": ",T$3,list1!T239,"]")</f>
        <v xml:space="preserve"> (Наружный блок) Размеры (Ш x Г x В): S[880 х 674 х 210]</v>
      </c>
      <c r="U239" t="str">
        <f>CONCATENATE(U$2,": ",U$3,list1!U239,"]")</f>
        <v xml:space="preserve"> (Наружный блок) Упаковка (Ш x Г x В): S[1070 х 725 х 280]</v>
      </c>
      <c r="V239" t="str">
        <f>CONCATENATE(V$2,": ",V$3,list1!V239,"]")</f>
        <v xml:space="preserve"> (Наружный блок) Масса (нетто / брутто): S[24.4 / 29.6]</v>
      </c>
      <c r="W239" t="str">
        <f>CONCATENATE(W$2,": ",W$3,list1!W239,"]")</f>
        <v xml:space="preserve"> (Наружный блок) Максимальный уровень шума: N[]</v>
      </c>
      <c r="X239" t="str">
        <f>CONCATENATE(X$2,": ",X$3,list1!X239,"]")</f>
        <v xml:space="preserve"> (Соединительные трубы) Жидкостная линия : N[6.35]</v>
      </c>
      <c r="Y239" t="str">
        <f>CONCATENATE(Y$2,": ",Y$3,list1!Y239,"]")</f>
        <v xml:space="preserve"> (Соединительные трубы) Газовая линия : N[12.7]</v>
      </c>
      <c r="Z239" t="str">
        <f>CONCATENATE(Z$2,": ",Z$3,list1!Z239,"]")</f>
        <v xml:space="preserve"> (Соединительные трубы) Максимальная длина трубопровода: N[]</v>
      </c>
      <c r="AA239" t="str">
        <f>CONCATENATE(AA$2,": ",AA$3,list1!AA239,"]")</f>
        <v xml:space="preserve"> (Соединительные трубы) Максимальный перепад высот: S[]</v>
      </c>
      <c r="AB239" t="str">
        <f>CONCATENATE(AB$2,": ",AB$3,list1!AB239,"]")</f>
        <v xml:space="preserve"> (Допустимая темп. наружного воздуха) Охлаждение: S[]</v>
      </c>
      <c r="AC239" t="str">
        <f>CONCATENATE(AC$2,": ",AC$3,list1!AC239,"]")</f>
        <v xml:space="preserve"> (Допустимая темп. наружного воздуха) Обогрев: S[]</v>
      </c>
      <c r="AD239" s="6" t="s">
        <v>5172</v>
      </c>
    </row>
    <row r="240" spans="1:30" x14ac:dyDescent="0.25">
      <c r="A240" t="str">
        <f>CONCATENATE(A$2,": ",A$3,list1!A240,"]")</f>
        <v>Производитель: E[LESSAR]</v>
      </c>
      <c r="B240" t="str">
        <f>CONCATENATE(B$2,": ",B$3,list1!B240,"]")</f>
        <v xml:space="preserve"> Тип: S[Кассетные]</v>
      </c>
      <c r="C240" t="str">
        <f>CONCATENATE(C$2,": ",C$3,list1!C240,"]")</f>
        <v xml:space="preserve"> (Сплит система) Холодопроизводительность: N[2.63]</v>
      </c>
      <c r="D240" t="str">
        <f>CONCATENATE(D$2,": ",D$3,list1!D240,"]")</f>
        <v xml:space="preserve"> (Сплит система) Площадь помещения: N[26]</v>
      </c>
      <c r="E240" t="str">
        <f>CONCATENATE(E$2,": ",E$3,list1!E240,"]")</f>
        <v xml:space="preserve"> (Сплит система) Инвентор: S[да]</v>
      </c>
      <c r="F240" t="str">
        <f>CONCATENATE(F$2,": ",F$3,list1!F240,"]")</f>
        <v xml:space="preserve"> (Сплит система) Теплопроизводительность: N[2.63]</v>
      </c>
      <c r="G240" t="str">
        <f>CONCATENATE(G$2,": ",G$3,list1!G240,"]")</f>
        <v xml:space="preserve"> (Потребляемая мощность) Охлаждение: N[0]</v>
      </c>
      <c r="H240" t="str">
        <f>CONCATENATE(H$2,": ",H$3,list1!H240,"]")</f>
        <v xml:space="preserve"> (Потребляемая мощность) Обогрев: S[0]</v>
      </c>
      <c r="I240" t="str">
        <f>CONCATENATE(I$2,": ",I$3,list1!I240,"]")</f>
        <v xml:space="preserve"> (Рабочий ток) Охлаждение: S[]</v>
      </c>
      <c r="J240" t="str">
        <f>CONCATENATE(J$2,": ",J$3,list1!J240,"]")</f>
        <v xml:space="preserve"> (Рабочий ток) Обогрев: S[]</v>
      </c>
      <c r="K240" t="str">
        <f>CONCATENATE(K$2,": ",K$3,list1!K240,"]")</f>
        <v xml:space="preserve"> (Рабочий ток) Напряжение / Частота источника питания: S[1 / 220 / 50]</v>
      </c>
      <c r="L240" t="str">
        <f>CONCATENATE(L$2,": ",L$3,list1!L240,"]")</f>
        <v xml:space="preserve"> (Рабочий ток) Хладагент: S[]</v>
      </c>
      <c r="M240" t="str">
        <f>CONCATENATE(M$2,": ",M$3,list1!M240,"]")</f>
        <v xml:space="preserve"> (Рабочий ток) Количество хладагента: N[]</v>
      </c>
      <c r="N240" t="str">
        <f>CONCATENATE(N$2,": ",N$3,list1!N240,"]")</f>
        <v xml:space="preserve"> (Рабочий ток) Объем рециркулируемого воздуха внутреннего блока: S[]</v>
      </c>
      <c r="O240" t="str">
        <f>CONCATENATE(O$2,": ",O$3,list1!O240,"]")</f>
        <v xml:space="preserve"> (Внутренний блок) Размеры (Ш x Г x В): S[]</v>
      </c>
      <c r="P240" t="str">
        <f>CONCATENATE(P$2,": ",P$3,list1!P240,"]")</f>
        <v xml:space="preserve"> (Внутренний блок) Упаковка (Ш x Г x В): S[]</v>
      </c>
      <c r="Q240" t="str">
        <f>CONCATENATE(Q$2,": ",Q$3,list1!Q240,"]")</f>
        <v xml:space="preserve"> (Внутренний блок) Масса (нетто / брутто): S[]</v>
      </c>
      <c r="R240" t="str">
        <f>CONCATENATE(R$2,": ",R$3,list1!R240,"]")</f>
        <v xml:space="preserve"> (Внутренний блок) Уровень шума мин. / макс.: S[]</v>
      </c>
      <c r="S240" t="str">
        <f>CONCATENATE(S$2,": ",S$3,list1!S240,"]")</f>
        <v xml:space="preserve"> (Наружный блок) Марка компрессора: S[]</v>
      </c>
      <c r="T240" t="str">
        <f>CONCATENATE(T$2,": ",T$3,list1!T240,"]")</f>
        <v xml:space="preserve"> (Наружный блок) Размеры (Ш x Г x В): S[]</v>
      </c>
      <c r="U240" t="str">
        <f>CONCATENATE(U$2,": ",U$3,list1!U240,"]")</f>
        <v xml:space="preserve"> (Наружный блок) Упаковка (Ш x Г x В): S[]</v>
      </c>
      <c r="V240" t="str">
        <f>CONCATENATE(V$2,": ",V$3,list1!V240,"]")</f>
        <v xml:space="preserve"> (Наружный блок) Масса (нетто / брутто): S[]</v>
      </c>
      <c r="W240" t="str">
        <f>CONCATENATE(W$2,": ",W$3,list1!W240,"]")</f>
        <v xml:space="preserve"> (Наружный блок) Максимальный уровень шума: N[]</v>
      </c>
      <c r="X240" t="str">
        <f>CONCATENATE(X$2,": ",X$3,list1!X240,"]")</f>
        <v xml:space="preserve"> (Соединительные трубы) Жидкостная линия : N[6.35]</v>
      </c>
      <c r="Y240" t="str">
        <f>CONCATENATE(Y$2,": ",Y$3,list1!Y240,"]")</f>
        <v xml:space="preserve"> (Соединительные трубы) Газовая линия : N[9.53]</v>
      </c>
      <c r="Z240" t="str">
        <f>CONCATENATE(Z$2,": ",Z$3,list1!Z240,"]")</f>
        <v xml:space="preserve"> (Соединительные трубы) Максимальная длина трубопровода: N[]</v>
      </c>
      <c r="AA240" t="str">
        <f>CONCATENATE(AA$2,": ",AA$3,list1!AA240,"]")</f>
        <v xml:space="preserve"> (Соединительные трубы) Максимальный перепад высот: S[]</v>
      </c>
      <c r="AB240" t="str">
        <f>CONCATENATE(AB$2,": ",AB$3,list1!AB240,"]")</f>
        <v xml:space="preserve"> (Допустимая темп. наружного воздуха) Охлаждение: S[]</v>
      </c>
      <c r="AC240" t="str">
        <f>CONCATENATE(AC$2,": ",AC$3,list1!AC240,"]")</f>
        <v xml:space="preserve"> (Допустимая темп. наружного воздуха) Обогрев: S[]</v>
      </c>
      <c r="AD240" s="6" t="s">
        <v>5172</v>
      </c>
    </row>
    <row r="241" spans="1:30" x14ac:dyDescent="0.25">
      <c r="A241" t="str">
        <f>CONCATENATE(A$2,": ",A$3,list1!A241,"]")</f>
        <v>Производитель: E[LESSAR]</v>
      </c>
      <c r="B241" t="str">
        <f>CONCATENATE(B$2,": ",B$3,list1!B241,"]")</f>
        <v xml:space="preserve"> Тип: S[Кассетные]</v>
      </c>
      <c r="C241" t="str">
        <f>CONCATENATE(C$2,": ",C$3,list1!C241,"]")</f>
        <v xml:space="preserve"> (Сплит система) Холодопроизводительность: N[3.51]</v>
      </c>
      <c r="D241" t="str">
        <f>CONCATENATE(D$2,": ",D$3,list1!D241,"]")</f>
        <v xml:space="preserve"> (Сплит система) Площадь помещения: N[35]</v>
      </c>
      <c r="E241" t="str">
        <f>CONCATENATE(E$2,": ",E$3,list1!E241,"]")</f>
        <v xml:space="preserve"> (Сплит система) Инвентор: S[да]</v>
      </c>
      <c r="F241" t="str">
        <f>CONCATENATE(F$2,": ",F$3,list1!F241,"]")</f>
        <v xml:space="preserve"> (Сплит система) Теплопроизводительность: N[4.1]</v>
      </c>
      <c r="G241" t="str">
        <f>CONCATENATE(G$2,": ",G$3,list1!G241,"]")</f>
        <v xml:space="preserve"> (Потребляемая мощность) Охлаждение: N[0]</v>
      </c>
      <c r="H241" t="str">
        <f>CONCATENATE(H$2,": ",H$3,list1!H241,"]")</f>
        <v xml:space="preserve"> (Потребляемая мощность) Обогрев: S[0]</v>
      </c>
      <c r="I241" t="str">
        <f>CONCATENATE(I$2,": ",I$3,list1!I241,"]")</f>
        <v xml:space="preserve"> (Рабочий ток) Охлаждение: S[]</v>
      </c>
      <c r="J241" t="str">
        <f>CONCATENATE(J$2,": ",J$3,list1!J241,"]")</f>
        <v xml:space="preserve"> (Рабочий ток) Обогрев: S[]</v>
      </c>
      <c r="K241" t="str">
        <f>CONCATENATE(K$2,": ",K$3,list1!K241,"]")</f>
        <v xml:space="preserve"> (Рабочий ток) Напряжение / Частота источника питания: S[1 / 220 / 50]</v>
      </c>
      <c r="L241" t="str">
        <f>CONCATENATE(L$2,": ",L$3,list1!L241,"]")</f>
        <v xml:space="preserve"> (Рабочий ток) Хладагент: S[]</v>
      </c>
      <c r="M241" t="str">
        <f>CONCATENATE(M$2,": ",M$3,list1!M241,"]")</f>
        <v xml:space="preserve"> (Рабочий ток) Количество хладагента: N[]</v>
      </c>
      <c r="N241" t="str">
        <f>CONCATENATE(N$2,": ",N$3,list1!N241,"]")</f>
        <v xml:space="preserve"> (Рабочий ток) Объем рециркулируемого воздуха внутреннего блока: S[]</v>
      </c>
      <c r="O241" t="str">
        <f>CONCATENATE(O$2,": ",O$3,list1!O241,"]")</f>
        <v xml:space="preserve"> (Внутренний блок) Размеры (Ш x Г x В): S[]</v>
      </c>
      <c r="P241" t="str">
        <f>CONCATENATE(P$2,": ",P$3,list1!P241,"]")</f>
        <v xml:space="preserve"> (Внутренний блок) Упаковка (Ш x Г x В): S[]</v>
      </c>
      <c r="Q241" t="str">
        <f>CONCATENATE(Q$2,": ",Q$3,list1!Q241,"]")</f>
        <v xml:space="preserve"> (Внутренний блок) Масса (нетто / брутто): S[]</v>
      </c>
      <c r="R241" t="str">
        <f>CONCATENATE(R$2,": ",R$3,list1!R241,"]")</f>
        <v xml:space="preserve"> (Внутренний блок) Уровень шума мин. / макс.: S[]</v>
      </c>
      <c r="S241" t="str">
        <f>CONCATENATE(S$2,": ",S$3,list1!S241,"]")</f>
        <v xml:space="preserve"> (Наружный блок) Марка компрессора: S[]</v>
      </c>
      <c r="T241" t="str">
        <f>CONCATENATE(T$2,": ",T$3,list1!T241,"]")</f>
        <v xml:space="preserve"> (Наружный блок) Размеры (Ш x Г x В): S[]</v>
      </c>
      <c r="U241" t="str">
        <f>CONCATENATE(U$2,": ",U$3,list1!U241,"]")</f>
        <v xml:space="preserve"> (Наружный блок) Упаковка (Ш x Г x В): S[]</v>
      </c>
      <c r="V241" t="str">
        <f>CONCATENATE(V$2,": ",V$3,list1!V241,"]")</f>
        <v xml:space="preserve"> (Наружный блок) Масса (нетто / брутто): S[]</v>
      </c>
      <c r="W241" t="str">
        <f>CONCATENATE(W$2,": ",W$3,list1!W241,"]")</f>
        <v xml:space="preserve"> (Наружный блок) Максимальный уровень шума: N[]</v>
      </c>
      <c r="X241" t="str">
        <f>CONCATENATE(X$2,": ",X$3,list1!X241,"]")</f>
        <v xml:space="preserve"> (Соединительные трубы) Жидкостная линия : N[6.35]</v>
      </c>
      <c r="Y241" t="str">
        <f>CONCATENATE(Y$2,": ",Y$3,list1!Y241,"]")</f>
        <v xml:space="preserve"> (Соединительные трубы) Газовая линия : N[9.53]</v>
      </c>
      <c r="Z241" t="str">
        <f>CONCATENATE(Z$2,": ",Z$3,list1!Z241,"]")</f>
        <v xml:space="preserve"> (Соединительные трубы) Максимальная длина трубопровода: N[]</v>
      </c>
      <c r="AA241" t="str">
        <f>CONCATENATE(AA$2,": ",AA$3,list1!AA241,"]")</f>
        <v xml:space="preserve"> (Соединительные трубы) Максимальный перепад высот: S[]</v>
      </c>
      <c r="AB241" t="str">
        <f>CONCATENATE(AB$2,": ",AB$3,list1!AB241,"]")</f>
        <v xml:space="preserve"> (Допустимая темп. наружного воздуха) Охлаждение: S[]</v>
      </c>
      <c r="AC241" t="str">
        <f>CONCATENATE(AC$2,": ",AC$3,list1!AC241,"]")</f>
        <v xml:space="preserve"> (Допустимая темп. наружного воздуха) Обогрев: S[]</v>
      </c>
      <c r="AD241" s="6" t="s">
        <v>5172</v>
      </c>
    </row>
    <row r="242" spans="1:30" x14ac:dyDescent="0.25">
      <c r="A242" t="str">
        <f>CONCATENATE(A$2,": ",A$3,list1!A242,"]")</f>
        <v>Производитель: E[LESSAR]</v>
      </c>
      <c r="B242" t="str">
        <f>CONCATENATE(B$2,": ",B$3,list1!B242,"]")</f>
        <v xml:space="preserve"> Тип: S[Кассетные]</v>
      </c>
      <c r="C242" t="str">
        <f>CONCATENATE(C$2,": ",C$3,list1!C242,"]")</f>
        <v xml:space="preserve"> (Сплит система) Холодопроизводительность: N[]</v>
      </c>
      <c r="D242" t="str">
        <f>CONCATENATE(D$2,": ",D$3,list1!D242,"]")</f>
        <v xml:space="preserve"> (Сплит система) Площадь помещения: N[]</v>
      </c>
      <c r="E242" t="str">
        <f>CONCATENATE(E$2,": ",E$3,list1!E242,"]")</f>
        <v xml:space="preserve"> (Сплит система) Инвентор: S[да]</v>
      </c>
      <c r="F242" t="str">
        <f>CONCATENATE(F$2,": ",F$3,list1!F242,"]")</f>
        <v xml:space="preserve"> (Сплит система) Теплопроизводительность: N[]</v>
      </c>
      <c r="G242" t="str">
        <f>CONCATENATE(G$2,": ",G$3,list1!G242,"]")</f>
        <v xml:space="preserve"> (Потребляемая мощность) Охлаждение: N[]</v>
      </c>
      <c r="H242" t="str">
        <f>CONCATENATE(H$2,": ",H$3,list1!H242,"]")</f>
        <v xml:space="preserve"> (Потребляемая мощность) Обогрев: S[]</v>
      </c>
      <c r="I242" t="str">
        <f>CONCATENATE(I$2,": ",I$3,list1!I242,"]")</f>
        <v xml:space="preserve"> (Рабочий ток) Охлаждение: S[]</v>
      </c>
      <c r="J242" t="str">
        <f>CONCATENATE(J$2,": ",J$3,list1!J242,"]")</f>
        <v xml:space="preserve"> (Рабочий ток) Обогрев: S[]</v>
      </c>
      <c r="K242" t="str">
        <f>CONCATENATE(K$2,": ",K$3,list1!K242,"]")</f>
        <v xml:space="preserve"> (Рабочий ток) Напряжение / Частота источника питания: S[]</v>
      </c>
      <c r="L242" t="str">
        <f>CONCATENATE(L$2,": ",L$3,list1!L242,"]")</f>
        <v xml:space="preserve"> (Рабочий ток) Хладагент: S[]</v>
      </c>
      <c r="M242" t="str">
        <f>CONCATENATE(M$2,": ",M$3,list1!M242,"]")</f>
        <v xml:space="preserve"> (Рабочий ток) Количество хладагента: N[]</v>
      </c>
      <c r="N242" t="str">
        <f>CONCATENATE(N$2,": ",N$3,list1!N242,"]")</f>
        <v xml:space="preserve"> (Рабочий ток) Объем рециркулируемого воздуха внутреннего блока: S[]</v>
      </c>
      <c r="O242" t="str">
        <f>CONCATENATE(O$2,": ",O$3,list1!O242,"]")</f>
        <v xml:space="preserve"> (Внутренний блок) Размеры (Ш x Г x В): S[]</v>
      </c>
      <c r="P242" t="str">
        <f>CONCATENATE(P$2,": ",P$3,list1!P242,"]")</f>
        <v xml:space="preserve"> (Внутренний блок) Упаковка (Ш x Г x В): S[]</v>
      </c>
      <c r="Q242" t="str">
        <f>CONCATENATE(Q$2,": ",Q$3,list1!Q242,"]")</f>
        <v xml:space="preserve"> (Внутренний блок) Масса (нетто / брутто): S[]</v>
      </c>
      <c r="R242" t="str">
        <f>CONCATENATE(R$2,": ",R$3,list1!R242,"]")</f>
        <v xml:space="preserve"> (Внутренний блок) Уровень шума мин. / макс.: S[]</v>
      </c>
      <c r="S242" t="str">
        <f>CONCATENATE(S$2,": ",S$3,list1!S242,"]")</f>
        <v xml:space="preserve"> (Наружный блок) Марка компрессора: S[]</v>
      </c>
      <c r="T242" t="str">
        <f>CONCATENATE(T$2,": ",T$3,list1!T242,"]")</f>
        <v xml:space="preserve"> (Наружный блок) Размеры (Ш x Г x В): S[]</v>
      </c>
      <c r="U242" t="str">
        <f>CONCATENATE(U$2,": ",U$3,list1!U242,"]")</f>
        <v xml:space="preserve"> (Наружный блок) Упаковка (Ш x Г x В): S[]</v>
      </c>
      <c r="V242" t="str">
        <f>CONCATENATE(V$2,": ",V$3,list1!V242,"]")</f>
        <v xml:space="preserve"> (Наружный блок) Масса (нетто / брутто): S[]</v>
      </c>
      <c r="W242" t="str">
        <f>CONCATENATE(W$2,": ",W$3,list1!W242,"]")</f>
        <v xml:space="preserve"> (Наружный блок) Максимальный уровень шума: N[]</v>
      </c>
      <c r="X242" t="str">
        <f>CONCATENATE(X$2,": ",X$3,list1!X242,"]")</f>
        <v xml:space="preserve"> (Соединительные трубы) Жидкостная линия : N[]</v>
      </c>
      <c r="Y242" t="str">
        <f>CONCATENATE(Y$2,": ",Y$3,list1!Y242,"]")</f>
        <v xml:space="preserve"> (Соединительные трубы) Газовая линия : N[]</v>
      </c>
      <c r="Z242" t="str">
        <f>CONCATENATE(Z$2,": ",Z$3,list1!Z242,"]")</f>
        <v xml:space="preserve"> (Соединительные трубы) Максимальная длина трубопровода: N[]</v>
      </c>
      <c r="AA242" t="str">
        <f>CONCATENATE(AA$2,": ",AA$3,list1!AA242,"]")</f>
        <v xml:space="preserve"> (Соединительные трубы) Максимальный перепад высот: S[]</v>
      </c>
      <c r="AB242" t="str">
        <f>CONCATENATE(AB$2,": ",AB$3,list1!AB242,"]")</f>
        <v xml:space="preserve"> (Допустимая темп. наружного воздуха) Охлаждение: S[]</v>
      </c>
      <c r="AC242" t="str">
        <f>CONCATENATE(AC$2,": ",AC$3,list1!AC242,"]")</f>
        <v xml:space="preserve"> (Допустимая темп. наружного воздуха) Обогрев: S[]</v>
      </c>
      <c r="AD242" s="6" t="s">
        <v>5172</v>
      </c>
    </row>
    <row r="243" spans="1:30" x14ac:dyDescent="0.25">
      <c r="A243" t="str">
        <f>CONCATENATE(A$2,": ",A$3,list1!A243,"]")</f>
        <v>Производитель: E[LESSAR]</v>
      </c>
      <c r="B243" t="str">
        <f>CONCATENATE(B$2,": ",B$3,list1!B243,"]")</f>
        <v xml:space="preserve"> Тип: S[Кассетные]</v>
      </c>
      <c r="C243" t="str">
        <f>CONCATENATE(C$2,": ",C$3,list1!C243,"]")</f>
        <v xml:space="preserve"> (Сплит система) Холодопроизводительность: N[5.27]</v>
      </c>
      <c r="D243" t="str">
        <f>CONCATENATE(D$2,": ",D$3,list1!D243,"]")</f>
        <v xml:space="preserve"> (Сплит система) Площадь помещения: N[53]</v>
      </c>
      <c r="E243" t="str">
        <f>CONCATENATE(E$2,": ",E$3,list1!E243,"]")</f>
        <v xml:space="preserve"> (Сплит система) Инвентор: S[да]</v>
      </c>
      <c r="F243" t="str">
        <f>CONCATENATE(F$2,": ",F$3,list1!F243,"]")</f>
        <v xml:space="preserve"> (Сплит система) Теплопроизводительность: N[5.27]</v>
      </c>
      <c r="G243" t="str">
        <f>CONCATENATE(G$2,": ",G$3,list1!G243,"]")</f>
        <v xml:space="preserve"> (Потребляемая мощность) Охлаждение: N[0]</v>
      </c>
      <c r="H243" t="str">
        <f>CONCATENATE(H$2,": ",H$3,list1!H243,"]")</f>
        <v xml:space="preserve"> (Потребляемая мощность) Обогрев: S[0]</v>
      </c>
      <c r="I243" t="str">
        <f>CONCATENATE(I$2,": ",I$3,list1!I243,"]")</f>
        <v xml:space="preserve"> (Рабочий ток) Охлаждение: S[]</v>
      </c>
      <c r="J243" t="str">
        <f>CONCATENATE(J$2,": ",J$3,list1!J243,"]")</f>
        <v xml:space="preserve"> (Рабочий ток) Обогрев: S[]</v>
      </c>
      <c r="K243" t="str">
        <f>CONCATENATE(K$2,": ",K$3,list1!K243,"]")</f>
        <v xml:space="preserve"> (Рабочий ток) Напряжение / Частота источника питания: S[1 / 220 / 50]</v>
      </c>
      <c r="L243" t="str">
        <f>CONCATENATE(L$2,": ",L$3,list1!L243,"]")</f>
        <v xml:space="preserve"> (Рабочий ток) Хладагент: S[]</v>
      </c>
      <c r="M243" t="str">
        <f>CONCATENATE(M$2,": ",M$3,list1!M243,"]")</f>
        <v xml:space="preserve"> (Рабочий ток) Количество хладагента: N[]</v>
      </c>
      <c r="N243" t="str">
        <f>CONCATENATE(N$2,": ",N$3,list1!N243,"]")</f>
        <v xml:space="preserve"> (Рабочий ток) Объем рециркулируемого воздуха внутреннего блока: S[]</v>
      </c>
      <c r="O243" t="str">
        <f>CONCATENATE(O$2,": ",O$3,list1!O243,"]")</f>
        <v xml:space="preserve"> (Внутренний блок) Размеры (Ш x Г x В): S[]</v>
      </c>
      <c r="P243" t="str">
        <f>CONCATENATE(P$2,": ",P$3,list1!P243,"]")</f>
        <v xml:space="preserve"> (Внутренний блок) Упаковка (Ш x Г x В): S[]</v>
      </c>
      <c r="Q243" t="str">
        <f>CONCATENATE(Q$2,": ",Q$3,list1!Q243,"]")</f>
        <v xml:space="preserve"> (Внутренний блок) Масса (нетто / брутто): S[]</v>
      </c>
      <c r="R243" t="str">
        <f>CONCATENATE(R$2,": ",R$3,list1!R243,"]")</f>
        <v xml:space="preserve"> (Внутренний блок) Уровень шума мин. / макс.: S[]</v>
      </c>
      <c r="S243" t="str">
        <f>CONCATENATE(S$2,": ",S$3,list1!S243,"]")</f>
        <v xml:space="preserve"> (Наружный блок) Марка компрессора: S[]</v>
      </c>
      <c r="T243" t="str">
        <f>CONCATENATE(T$2,": ",T$3,list1!T243,"]")</f>
        <v xml:space="preserve"> (Наружный блок) Размеры (Ш x Г x В): S[]</v>
      </c>
      <c r="U243" t="str">
        <f>CONCATENATE(U$2,": ",U$3,list1!U243,"]")</f>
        <v xml:space="preserve"> (Наружный блок) Упаковка (Ш x Г x В): S[]</v>
      </c>
      <c r="V243" t="str">
        <f>CONCATENATE(V$2,": ",V$3,list1!V243,"]")</f>
        <v xml:space="preserve"> (Наружный блок) Масса (нетто / брутто): S[]</v>
      </c>
      <c r="W243" t="str">
        <f>CONCATENATE(W$2,": ",W$3,list1!W243,"]")</f>
        <v xml:space="preserve"> (Наружный блок) Максимальный уровень шума: N[]</v>
      </c>
      <c r="X243" t="str">
        <f>CONCATENATE(X$2,": ",X$3,list1!X243,"]")</f>
        <v xml:space="preserve"> (Соединительные трубы) Жидкостная линия : N[6.35]</v>
      </c>
      <c r="Y243" t="str">
        <f>CONCATENATE(Y$2,": ",Y$3,list1!Y243,"]")</f>
        <v xml:space="preserve"> (Соединительные трубы) Газовая линия : N[12.7]</v>
      </c>
      <c r="Z243" t="str">
        <f>CONCATENATE(Z$2,": ",Z$3,list1!Z243,"]")</f>
        <v xml:space="preserve"> (Соединительные трубы) Максимальная длина трубопровода: N[]</v>
      </c>
      <c r="AA243" t="str">
        <f>CONCATENATE(AA$2,": ",AA$3,list1!AA243,"]")</f>
        <v xml:space="preserve"> (Соединительные трубы) Максимальный перепад высот: S[]</v>
      </c>
      <c r="AB243" t="str">
        <f>CONCATENATE(AB$2,": ",AB$3,list1!AB243,"]")</f>
        <v xml:space="preserve"> (Допустимая темп. наружного воздуха) Охлаждение: S[]</v>
      </c>
      <c r="AC243" t="str">
        <f>CONCATENATE(AC$2,": ",AC$3,list1!AC243,"]")</f>
        <v xml:space="preserve"> (Допустимая темп. наружного воздуха) Обогрев: S[]</v>
      </c>
      <c r="AD243" s="6" t="s">
        <v>5172</v>
      </c>
    </row>
    <row r="244" spans="1:30" x14ac:dyDescent="0.25">
      <c r="A244" t="str">
        <f>CONCATENATE(A$2,": ",A$3,list1!A244,"]")</f>
        <v>Производитель: E[LESSAR]</v>
      </c>
      <c r="B244" t="str">
        <f>CONCATENATE(B$2,": ",B$3,list1!B244,"]")</f>
        <v xml:space="preserve"> Тип: S[Кассетные]</v>
      </c>
      <c r="C244" t="str">
        <f>CONCATENATE(C$2,": ",C$3,list1!C244,"]")</f>
        <v xml:space="preserve"> (Сплит система) Холодопроизводительность: N[]</v>
      </c>
      <c r="D244" t="str">
        <f>CONCATENATE(D$2,": ",D$3,list1!D244,"]")</f>
        <v xml:space="preserve"> (Сплит система) Площадь помещения: N[]</v>
      </c>
      <c r="E244" t="str">
        <f>CONCATENATE(E$2,": ",E$3,list1!E244,"]")</f>
        <v xml:space="preserve"> (Сплит система) Инвентор: S[да]</v>
      </c>
      <c r="F244" t="str">
        <f>CONCATENATE(F$2,": ",F$3,list1!F244,"]")</f>
        <v xml:space="preserve"> (Сплит система) Теплопроизводительность: N[]</v>
      </c>
      <c r="G244" t="str">
        <f>CONCATENATE(G$2,": ",G$3,list1!G244,"]")</f>
        <v xml:space="preserve"> (Потребляемая мощность) Охлаждение: N[]</v>
      </c>
      <c r="H244" t="str">
        <f>CONCATENATE(H$2,": ",H$3,list1!H244,"]")</f>
        <v xml:space="preserve"> (Потребляемая мощность) Обогрев: S[]</v>
      </c>
      <c r="I244" t="str">
        <f>CONCATENATE(I$2,": ",I$3,list1!I244,"]")</f>
        <v xml:space="preserve"> (Рабочий ток) Охлаждение: S[]</v>
      </c>
      <c r="J244" t="str">
        <f>CONCATENATE(J$2,": ",J$3,list1!J244,"]")</f>
        <v xml:space="preserve"> (Рабочий ток) Обогрев: S[]</v>
      </c>
      <c r="K244" t="str">
        <f>CONCATENATE(K$2,": ",K$3,list1!K244,"]")</f>
        <v xml:space="preserve"> (Рабочий ток) Напряжение / Частота источника питания: S[]</v>
      </c>
      <c r="L244" t="str">
        <f>CONCATENATE(L$2,": ",L$3,list1!L244,"]")</f>
        <v xml:space="preserve"> (Рабочий ток) Хладагент: S[]</v>
      </c>
      <c r="M244" t="str">
        <f>CONCATENATE(M$2,": ",M$3,list1!M244,"]")</f>
        <v xml:space="preserve"> (Рабочий ток) Количество хладагента: N[]</v>
      </c>
      <c r="N244" t="str">
        <f>CONCATENATE(N$2,": ",N$3,list1!N244,"]")</f>
        <v xml:space="preserve"> (Рабочий ток) Объем рециркулируемого воздуха внутреннего блока: S[]</v>
      </c>
      <c r="O244" t="str">
        <f>CONCATENATE(O$2,": ",O$3,list1!O244,"]")</f>
        <v xml:space="preserve"> (Внутренний блок) Размеры (Ш x Г x В): S[]</v>
      </c>
      <c r="P244" t="str">
        <f>CONCATENATE(P$2,": ",P$3,list1!P244,"]")</f>
        <v xml:space="preserve"> (Внутренний блок) Упаковка (Ш x Г x В): S[]</v>
      </c>
      <c r="Q244" t="str">
        <f>CONCATENATE(Q$2,": ",Q$3,list1!Q244,"]")</f>
        <v xml:space="preserve"> (Внутренний блок) Масса (нетто / брутто): S[]</v>
      </c>
      <c r="R244" t="str">
        <f>CONCATENATE(R$2,": ",R$3,list1!R244,"]")</f>
        <v xml:space="preserve"> (Внутренний блок) Уровень шума мин. / макс.: S[]</v>
      </c>
      <c r="S244" t="str">
        <f>CONCATENATE(S$2,": ",S$3,list1!S244,"]")</f>
        <v xml:space="preserve"> (Наружный блок) Марка компрессора: S[]</v>
      </c>
      <c r="T244" t="str">
        <f>CONCATENATE(T$2,": ",T$3,list1!T244,"]")</f>
        <v xml:space="preserve"> (Наружный блок) Размеры (Ш x Г x В): S[]</v>
      </c>
      <c r="U244" t="str">
        <f>CONCATENATE(U$2,": ",U$3,list1!U244,"]")</f>
        <v xml:space="preserve"> (Наружный блок) Упаковка (Ш x Г x В): S[]</v>
      </c>
      <c r="V244" t="str">
        <f>CONCATENATE(V$2,": ",V$3,list1!V244,"]")</f>
        <v xml:space="preserve"> (Наружный блок) Масса (нетто / брутто): S[]</v>
      </c>
      <c r="W244" t="str">
        <f>CONCATENATE(W$2,": ",W$3,list1!W244,"]")</f>
        <v xml:space="preserve"> (Наружный блок) Максимальный уровень шума: N[]</v>
      </c>
      <c r="X244" t="str">
        <f>CONCATENATE(X$2,": ",X$3,list1!X244,"]")</f>
        <v xml:space="preserve"> (Соединительные трубы) Жидкостная линия : N[]</v>
      </c>
      <c r="Y244" t="str">
        <f>CONCATENATE(Y$2,": ",Y$3,list1!Y244,"]")</f>
        <v xml:space="preserve"> (Соединительные трубы) Газовая линия : N[]</v>
      </c>
      <c r="Z244" t="str">
        <f>CONCATENATE(Z$2,": ",Z$3,list1!Z244,"]")</f>
        <v xml:space="preserve"> (Соединительные трубы) Максимальная длина трубопровода: N[]</v>
      </c>
      <c r="AA244" t="str">
        <f>CONCATENATE(AA$2,": ",AA$3,list1!AA244,"]")</f>
        <v xml:space="preserve"> (Соединительные трубы) Максимальный перепад высот: S[]</v>
      </c>
      <c r="AB244" t="str">
        <f>CONCATENATE(AB$2,": ",AB$3,list1!AB244,"]")</f>
        <v xml:space="preserve"> (Допустимая темп. наружного воздуха) Охлаждение: S[]</v>
      </c>
      <c r="AC244" t="str">
        <f>CONCATENATE(AC$2,": ",AC$3,list1!AC244,"]")</f>
        <v xml:space="preserve"> (Допустимая темп. наружного воздуха) Обогрев: S[]</v>
      </c>
      <c r="AD244" s="6" t="s">
        <v>5172</v>
      </c>
    </row>
    <row r="245" spans="1:30" x14ac:dyDescent="0.25">
      <c r="A245" t="str">
        <f>CONCATENATE(A$2,": ",A$3,list1!A245,"]")</f>
        <v>Производитель: E[LESSAR]</v>
      </c>
      <c r="B245" t="str">
        <f>CONCATENATE(B$2,": ",B$3,list1!B245,"]")</f>
        <v xml:space="preserve"> Тип: S[Мульти сплит система]</v>
      </c>
      <c r="C245" t="str">
        <f>CONCATENATE(C$2,": ",C$3,list1!C245,"]")</f>
        <v xml:space="preserve"> (Сплит система) Холодопроизводительность: N[2.7]</v>
      </c>
      <c r="D245" t="str">
        <f>CONCATENATE(D$2,": ",D$3,list1!D245,"]")</f>
        <v xml:space="preserve"> (Сплит система) Площадь помещения: N[27]</v>
      </c>
      <c r="E245" t="str">
        <f>CONCATENATE(E$2,": ",E$3,list1!E245,"]")</f>
        <v xml:space="preserve"> (Сплит система) Инвентор: S[да]</v>
      </c>
      <c r="F245" t="str">
        <f>CONCATENATE(F$2,": ",F$3,list1!F245,"]")</f>
        <v xml:space="preserve"> (Сплит система) Теплопроизводительность: N[2.93]</v>
      </c>
      <c r="G245" t="str">
        <f>CONCATENATE(G$2,": ",G$3,list1!G245,"]")</f>
        <v xml:space="preserve"> (Потребляемая мощность) Охлаждение: N[0.018]</v>
      </c>
      <c r="H245" t="str">
        <f>CONCATENATE(H$2,": ",H$3,list1!H245,"]")</f>
        <v xml:space="preserve"> (Потребляемая мощность) Обогрев: S[0.018]</v>
      </c>
      <c r="I245" t="str">
        <f>CONCATENATE(I$2,": ",I$3,list1!I245,"]")</f>
        <v xml:space="preserve"> (Рабочий ток) Охлаждение: S[]</v>
      </c>
      <c r="J245" t="str">
        <f>CONCATENATE(J$2,": ",J$3,list1!J245,"]")</f>
        <v xml:space="preserve"> (Рабочий ток) Обогрев: S[]</v>
      </c>
      <c r="K245" t="str">
        <f>CONCATENATE(K$2,": ",K$3,list1!K245,"]")</f>
        <v xml:space="preserve"> (Рабочий ток) Напряжение / Частота источника питания: S[1 / 220 / 50]</v>
      </c>
      <c r="L245" t="str">
        <f>CONCATENATE(L$2,": ",L$3,list1!L245,"]")</f>
        <v xml:space="preserve"> (Рабочий ток) Хладагент: S[R410]</v>
      </c>
      <c r="M245" t="str">
        <f>CONCATENATE(M$2,": ",M$3,list1!M245,"]")</f>
        <v xml:space="preserve"> (Рабочий ток) Количество хладагента: N[]</v>
      </c>
      <c r="N245" t="str">
        <f>CONCATENATE(N$2,": ",N$3,list1!N245,"]")</f>
        <v xml:space="preserve"> (Рабочий ток) Объем рециркулируемого воздуха внутреннего блока: S[]</v>
      </c>
      <c r="O245" t="str">
        <f>CONCATENATE(O$2,": ",O$3,list1!O245,"]")</f>
        <v xml:space="preserve"> (Внутренний блок) Размеры (Ш x Г x В): S[722 х 187 х 290]</v>
      </c>
      <c r="P245" t="str">
        <f>CONCATENATE(P$2,": ",P$3,list1!P245,"]")</f>
        <v xml:space="preserve"> (Внутренний блок) Упаковка (Ш x Г x В): S[790 х 270 х 370]</v>
      </c>
      <c r="Q245" t="str">
        <f>CONCATENATE(Q$2,": ",Q$3,list1!Q245,"]")</f>
        <v xml:space="preserve"> (Внутренний блок) Масса (нетто / брутто): S[7.3 / 9.7]</v>
      </c>
      <c r="R245" t="str">
        <f>CONCATENATE(R$2,": ",R$3,list1!R245,"]")</f>
        <v xml:space="preserve"> (Внутренний блок) Уровень шума мин. / макс.: S[22/33/37]</v>
      </c>
      <c r="S245" t="str">
        <f>CONCATENATE(S$2,": ",S$3,list1!S245,"]")</f>
        <v xml:space="preserve"> (Наружный блок) Марка компрессора: S[]</v>
      </c>
      <c r="T245" t="str">
        <f>CONCATENATE(T$2,": ",T$3,list1!T245,"]")</f>
        <v xml:space="preserve"> (Наружный блок) Размеры (Ш x Г x В): S[722 х 187 х 290]</v>
      </c>
      <c r="U245" t="str">
        <f>CONCATENATE(U$2,": ",U$3,list1!U245,"]")</f>
        <v xml:space="preserve"> (Наружный блок) Упаковка (Ш x Г x В): S[790 х 270 х 370]</v>
      </c>
      <c r="V245" t="str">
        <f>CONCATENATE(V$2,": ",V$3,list1!V245,"]")</f>
        <v xml:space="preserve"> (Наружный блок) Масса (нетто / брутто): S[7.3 / 9.7]</v>
      </c>
      <c r="W245" t="str">
        <f>CONCATENATE(W$2,": ",W$3,list1!W245,"]")</f>
        <v xml:space="preserve"> (Наружный блок) Максимальный уровень шума: N[]</v>
      </c>
      <c r="X245" t="str">
        <f>CONCATENATE(X$2,": ",X$3,list1!X245,"]")</f>
        <v xml:space="preserve"> (Соединительные трубы) Жидкостная линия : N[6.35]</v>
      </c>
      <c r="Y245" t="str">
        <f>CONCATENATE(Y$2,": ",Y$3,list1!Y245,"]")</f>
        <v xml:space="preserve"> (Соединительные трубы) Газовая линия : N[9.52]</v>
      </c>
      <c r="Z245" t="str">
        <f>CONCATENATE(Z$2,": ",Z$3,list1!Z245,"]")</f>
        <v xml:space="preserve"> (Соединительные трубы) Максимальная длина трубопровода: N[]</v>
      </c>
      <c r="AA245" t="str">
        <f>CONCATENATE(AA$2,": ",AA$3,list1!AA245,"]")</f>
        <v xml:space="preserve"> (Соединительные трубы) Максимальный перепад высот: S[]</v>
      </c>
      <c r="AB245" t="str">
        <f>CONCATENATE(AB$2,": ",AB$3,list1!AB245,"]")</f>
        <v xml:space="preserve"> (Допустимая темп. наружного воздуха) Охлаждение: S[]</v>
      </c>
      <c r="AC245" t="str">
        <f>CONCATENATE(AC$2,": ",AC$3,list1!AC245,"]")</f>
        <v xml:space="preserve"> (Допустимая темп. наружного воздуха) Обогрев: S[]</v>
      </c>
      <c r="AD245" s="6" t="s">
        <v>5172</v>
      </c>
    </row>
    <row r="246" spans="1:30" x14ac:dyDescent="0.25">
      <c r="A246" t="str">
        <f>CONCATENATE(A$2,": ",A$3,list1!A246,"]")</f>
        <v>Производитель: E[LESSAR]</v>
      </c>
      <c r="B246" t="str">
        <f>CONCATENATE(B$2,": ",B$3,list1!B246,"]")</f>
        <v xml:space="preserve"> Тип: S[Мульти сплит система]</v>
      </c>
      <c r="C246" t="str">
        <f>CONCATENATE(C$2,": ",C$3,list1!C246,"]")</f>
        <v xml:space="preserve"> (Сплит система) Холодопроизводительность: N[3.52]</v>
      </c>
      <c r="D246" t="str">
        <f>CONCATENATE(D$2,": ",D$3,list1!D246,"]")</f>
        <v xml:space="preserve"> (Сплит система) Площадь помещения: N[35]</v>
      </c>
      <c r="E246" t="str">
        <f>CONCATENATE(E$2,": ",E$3,list1!E246,"]")</f>
        <v xml:space="preserve"> (Сплит система) Инвентор: S[да]</v>
      </c>
      <c r="F246" t="str">
        <f>CONCATENATE(F$2,": ",F$3,list1!F246,"]")</f>
        <v xml:space="preserve"> (Сплит система) Теплопроизводительность: N[3.81]</v>
      </c>
      <c r="G246" t="str">
        <f>CONCATENATE(G$2,": ",G$3,list1!G246,"]")</f>
        <v xml:space="preserve"> (Потребляемая мощность) Охлаждение: N[0.021]</v>
      </c>
      <c r="H246" t="str">
        <f>CONCATENATE(H$2,": ",H$3,list1!H246,"]")</f>
        <v xml:space="preserve"> (Потребляемая мощность) Обогрев: S[0.021]</v>
      </c>
      <c r="I246" t="str">
        <f>CONCATENATE(I$2,": ",I$3,list1!I246,"]")</f>
        <v xml:space="preserve"> (Рабочий ток) Охлаждение: S[]</v>
      </c>
      <c r="J246" t="str">
        <f>CONCATENATE(J$2,": ",J$3,list1!J246,"]")</f>
        <v xml:space="preserve"> (Рабочий ток) Обогрев: S[]</v>
      </c>
      <c r="K246" t="str">
        <f>CONCATENATE(K$2,": ",K$3,list1!K246,"]")</f>
        <v xml:space="preserve"> (Рабочий ток) Напряжение / Частота источника питания: S[1 / 220 / 50]</v>
      </c>
      <c r="L246" t="str">
        <f>CONCATENATE(L$2,": ",L$3,list1!L246,"]")</f>
        <v xml:space="preserve"> (Рабочий ток) Хладагент: S[R410]</v>
      </c>
      <c r="M246" t="str">
        <f>CONCATENATE(M$2,": ",M$3,list1!M246,"]")</f>
        <v xml:space="preserve"> (Рабочий ток) Количество хладагента: N[]</v>
      </c>
      <c r="N246" t="str">
        <f>CONCATENATE(N$2,": ",N$3,list1!N246,"]")</f>
        <v xml:space="preserve"> (Рабочий ток) Объем рециркулируемого воздуха внутреннего блока: S[]</v>
      </c>
      <c r="O246" t="str">
        <f>CONCATENATE(O$2,": ",O$3,list1!O246,"]")</f>
        <v xml:space="preserve"> (Внутренний блок) Размеры (Ш x Г x В): S[802 х 189 х 297]</v>
      </c>
      <c r="P246" t="str">
        <f>CONCATENATE(P$2,": ",P$3,list1!P246,"]")</f>
        <v xml:space="preserve"> (Внутренний блок) Упаковка (Ш x Г x В): S[875 х 285 х 375]</v>
      </c>
      <c r="Q246" t="str">
        <f>CONCATENATE(Q$2,": ",Q$3,list1!Q246,"]")</f>
        <v xml:space="preserve"> (Внутренний блок) Масса (нетто / брутто): S[8.2 / 10.7]</v>
      </c>
      <c r="R246" t="str">
        <f>CONCATENATE(R$2,": ",R$3,list1!R246,"]")</f>
        <v xml:space="preserve"> (Внутренний блок) Уровень шума мин. / макс.: S[22/32/38]</v>
      </c>
      <c r="S246" t="str">
        <f>CONCATENATE(S$2,": ",S$3,list1!S246,"]")</f>
        <v xml:space="preserve"> (Наружный блок) Марка компрессора: S[]</v>
      </c>
      <c r="T246" t="str">
        <f>CONCATENATE(T$2,": ",T$3,list1!T246,"]")</f>
        <v xml:space="preserve"> (Наружный блок) Размеры (Ш x Г x В): S[802 х 189 х 297]</v>
      </c>
      <c r="U246" t="str">
        <f>CONCATENATE(U$2,": ",U$3,list1!U246,"]")</f>
        <v xml:space="preserve"> (Наружный блок) Упаковка (Ш x Г x В): S[875 х 285 х 375]</v>
      </c>
      <c r="V246" t="str">
        <f>CONCATENATE(V$2,": ",V$3,list1!V246,"]")</f>
        <v xml:space="preserve"> (Наружный блок) Масса (нетто / брутто): S[8.2 / 10.7]</v>
      </c>
      <c r="W246" t="str">
        <f>CONCATENATE(W$2,": ",W$3,list1!W246,"]")</f>
        <v xml:space="preserve"> (Наружный блок) Максимальный уровень шума: N[]</v>
      </c>
      <c r="X246" t="str">
        <f>CONCATENATE(X$2,": ",X$3,list1!X246,"]")</f>
        <v xml:space="preserve"> (Соединительные трубы) Жидкостная линия : N[6.35]</v>
      </c>
      <c r="Y246" t="str">
        <f>CONCATENATE(Y$2,": ",Y$3,list1!Y246,"]")</f>
        <v xml:space="preserve"> (Соединительные трубы) Газовая линия : N[9.52]</v>
      </c>
      <c r="Z246" t="str">
        <f>CONCATENATE(Z$2,": ",Z$3,list1!Z246,"]")</f>
        <v xml:space="preserve"> (Соединительные трубы) Максимальная длина трубопровода: N[]</v>
      </c>
      <c r="AA246" t="str">
        <f>CONCATENATE(AA$2,": ",AA$3,list1!AA246,"]")</f>
        <v xml:space="preserve"> (Соединительные трубы) Максимальный перепад высот: S[]</v>
      </c>
      <c r="AB246" t="str">
        <f>CONCATENATE(AB$2,": ",AB$3,list1!AB246,"]")</f>
        <v xml:space="preserve"> (Допустимая темп. наружного воздуха) Охлаждение: S[]</v>
      </c>
      <c r="AC246" t="str">
        <f>CONCATENATE(AC$2,": ",AC$3,list1!AC246,"]")</f>
        <v xml:space="preserve"> (Допустимая темп. наружного воздуха) Обогрев: S[]</v>
      </c>
      <c r="AD246" s="6" t="s">
        <v>5172</v>
      </c>
    </row>
    <row r="247" spans="1:30" x14ac:dyDescent="0.25">
      <c r="A247" t="str">
        <f>CONCATENATE(A$2,": ",A$3,list1!A247,"]")</f>
        <v>Производитель: E[LESSAR]</v>
      </c>
      <c r="B247" t="str">
        <f>CONCATENATE(B$2,": ",B$3,list1!B247,"]")</f>
        <v xml:space="preserve"> Тип: S[Мульти сплит система]</v>
      </c>
      <c r="C247" t="str">
        <f>CONCATENATE(C$2,": ",C$3,list1!C247,"]")</f>
        <v xml:space="preserve"> (Сплит система) Холодопроизводительность: N[3.52]</v>
      </c>
      <c r="D247" t="str">
        <f>CONCATENATE(D$2,": ",D$3,list1!D247,"]")</f>
        <v xml:space="preserve"> (Сплит система) Площадь помещения: N[35]</v>
      </c>
      <c r="E247" t="str">
        <f>CONCATENATE(E$2,": ",E$3,list1!E247,"]")</f>
        <v xml:space="preserve"> (Сплит система) Инвентор: S[да]</v>
      </c>
      <c r="F247" t="str">
        <f>CONCATENATE(F$2,": ",F$3,list1!F247,"]")</f>
        <v xml:space="preserve"> (Сплит система) Теплопроизводительность: N[3.81]</v>
      </c>
      <c r="G247" t="str">
        <f>CONCATENATE(G$2,": ",G$3,list1!G247,"]")</f>
        <v xml:space="preserve"> (Потребляемая мощность) Охлаждение: N[0.023]</v>
      </c>
      <c r="H247" t="str">
        <f>CONCATENATE(H$2,": ",H$3,list1!H247,"]")</f>
        <v xml:space="preserve"> (Потребляемая мощность) Обогрев: S[0.023]</v>
      </c>
      <c r="I247" t="str">
        <f>CONCATENATE(I$2,": ",I$3,list1!I247,"]")</f>
        <v xml:space="preserve"> (Рабочий ток) Охлаждение: S[]</v>
      </c>
      <c r="J247" t="str">
        <f>CONCATENATE(J$2,": ",J$3,list1!J247,"]")</f>
        <v xml:space="preserve"> (Рабочий ток) Обогрев: S[]</v>
      </c>
      <c r="K247" t="str">
        <f>CONCATENATE(K$2,": ",K$3,list1!K247,"]")</f>
        <v xml:space="preserve"> (Рабочий ток) Напряжение / Частота источника питания: S[1 / 220 / 50]</v>
      </c>
      <c r="L247" t="str">
        <f>CONCATENATE(L$2,": ",L$3,list1!L247,"]")</f>
        <v xml:space="preserve"> (Рабочий ток) Хладагент: S[R32]</v>
      </c>
      <c r="M247" t="str">
        <f>CONCATENATE(M$2,": ",M$3,list1!M247,"]")</f>
        <v xml:space="preserve"> (Рабочий ток) Количество хладагента: N[]</v>
      </c>
      <c r="N247" t="str">
        <f>CONCATENATE(N$2,": ",N$3,list1!N247,"]")</f>
        <v xml:space="preserve"> (Рабочий ток) Объем рециркулируемого воздуха внутреннего блока: S[]</v>
      </c>
      <c r="O247" t="str">
        <f>CONCATENATE(O$2,": ",O$3,list1!O247,"]")</f>
        <v xml:space="preserve"> (Внутренний блок) Размеры (Ш x Г x В): S[802 х 189 х 297]</v>
      </c>
      <c r="P247" t="str">
        <f>CONCATENATE(P$2,": ",P$3,list1!P247,"]")</f>
        <v xml:space="preserve"> (Внутренний блок) Упаковка (Ш x Г x В): S[875 х 285 х 375]</v>
      </c>
      <c r="Q247" t="str">
        <f>CONCATENATE(Q$2,": ",Q$3,list1!Q247,"]")</f>
        <v xml:space="preserve"> (Внутренний блок) Масса (нетто / брутто): S[8.6 / 11.1]</v>
      </c>
      <c r="R247" t="str">
        <f>CONCATENATE(R$2,": ",R$3,list1!R247,"]")</f>
        <v xml:space="preserve"> (Внутренний блок) Уровень шума мин. / макс.: S[25/35/42]</v>
      </c>
      <c r="S247" t="str">
        <f>CONCATENATE(S$2,": ",S$3,list1!S247,"]")</f>
        <v xml:space="preserve"> (Наружный блок) Марка компрессора: S[]</v>
      </c>
      <c r="T247" t="str">
        <f>CONCATENATE(T$2,": ",T$3,list1!T247,"]")</f>
        <v xml:space="preserve"> (Наружный блок) Размеры (Ш x Г x В): S[802 х 189 х 297]</v>
      </c>
      <c r="U247" t="str">
        <f>CONCATENATE(U$2,": ",U$3,list1!U247,"]")</f>
        <v xml:space="preserve"> (Наружный блок) Упаковка (Ш x Г x В): S[875 х 285 х 375]</v>
      </c>
      <c r="V247" t="str">
        <f>CONCATENATE(V$2,": ",V$3,list1!V247,"]")</f>
        <v xml:space="preserve"> (Наружный блок) Масса (нетто / брутто): S[8.6 / 11.1]</v>
      </c>
      <c r="W247" t="str">
        <f>CONCATENATE(W$2,": ",W$3,list1!W247,"]")</f>
        <v xml:space="preserve"> (Наружный блок) Максимальный уровень шума: N[]</v>
      </c>
      <c r="X247" t="str">
        <f>CONCATENATE(X$2,": ",X$3,list1!X247,"]")</f>
        <v xml:space="preserve"> (Соединительные трубы) Жидкостная линия : N[6.35]</v>
      </c>
      <c r="Y247" t="str">
        <f>CONCATENATE(Y$2,": ",Y$3,list1!Y247,"]")</f>
        <v xml:space="preserve"> (Соединительные трубы) Газовая линия : N[9.52]</v>
      </c>
      <c r="Z247" t="str">
        <f>CONCATENATE(Z$2,": ",Z$3,list1!Z247,"]")</f>
        <v xml:space="preserve"> (Соединительные трубы) Максимальная длина трубопровода: N[]</v>
      </c>
      <c r="AA247" t="str">
        <f>CONCATENATE(AA$2,": ",AA$3,list1!AA247,"]")</f>
        <v xml:space="preserve"> (Соединительные трубы) Максимальный перепад высот: S[]</v>
      </c>
      <c r="AB247" t="str">
        <f>CONCATENATE(AB$2,": ",AB$3,list1!AB247,"]")</f>
        <v xml:space="preserve"> (Допустимая темп. наружного воздуха) Охлаждение: S[]</v>
      </c>
      <c r="AC247" t="str">
        <f>CONCATENATE(AC$2,": ",AC$3,list1!AC247,"]")</f>
        <v xml:space="preserve"> (Допустимая темп. наружного воздуха) Обогрев: S[]</v>
      </c>
      <c r="AD247" s="6" t="s">
        <v>5172</v>
      </c>
    </row>
    <row r="248" spans="1:30" x14ac:dyDescent="0.25">
      <c r="A248" t="str">
        <f>CONCATENATE(A$2,": ",A$3,list1!A248,"]")</f>
        <v>Производитель: E[LESSAR]</v>
      </c>
      <c r="B248" t="str">
        <f>CONCATENATE(B$2,": ",B$3,list1!B248,"]")</f>
        <v xml:space="preserve"> Тип: S[Мульти сплит система]</v>
      </c>
      <c r="C248" t="str">
        <f>CONCATENATE(C$2,": ",C$3,list1!C248,"]")</f>
        <v xml:space="preserve"> (Сплит система) Холодопроизводительность: N[5.28]</v>
      </c>
      <c r="D248" t="str">
        <f>CONCATENATE(D$2,": ",D$3,list1!D248,"]")</f>
        <v xml:space="preserve"> (Сплит система) Площадь помещения: N[53]</v>
      </c>
      <c r="E248" t="str">
        <f>CONCATENATE(E$2,": ",E$3,list1!E248,"]")</f>
        <v xml:space="preserve"> (Сплит система) Инвентор: S[да]</v>
      </c>
      <c r="F248" t="str">
        <f>CONCATENATE(F$2,": ",F$3,list1!F248,"]")</f>
        <v xml:space="preserve"> (Сплит система) Теплопроизводительность: N[5.57]</v>
      </c>
      <c r="G248" t="str">
        <f>CONCATENATE(G$2,": ",G$3,list1!G248,"]")</f>
        <v xml:space="preserve"> (Потребляемая мощность) Охлаждение: N[0.024]</v>
      </c>
      <c r="H248" t="str">
        <f>CONCATENATE(H$2,": ",H$3,list1!H248,"]")</f>
        <v xml:space="preserve"> (Потребляемая мощность) Обогрев: S[0.024]</v>
      </c>
      <c r="I248" t="str">
        <f>CONCATENATE(I$2,": ",I$3,list1!I248,"]")</f>
        <v xml:space="preserve"> (Рабочий ток) Охлаждение: S[]</v>
      </c>
      <c r="J248" t="str">
        <f>CONCATENATE(J$2,": ",J$3,list1!J248,"]")</f>
        <v xml:space="preserve"> (Рабочий ток) Обогрев: S[]</v>
      </c>
      <c r="K248" t="str">
        <f>CONCATENATE(K$2,": ",K$3,list1!K248,"]")</f>
        <v xml:space="preserve"> (Рабочий ток) Напряжение / Частота источника питания: S[1 / 220 / 50]</v>
      </c>
      <c r="L248" t="str">
        <f>CONCATENATE(L$2,": ",L$3,list1!L248,"]")</f>
        <v xml:space="preserve"> (Рабочий ток) Хладагент: S[R410]</v>
      </c>
      <c r="M248" t="str">
        <f>CONCATENATE(M$2,": ",M$3,list1!M248,"]")</f>
        <v xml:space="preserve"> (Рабочий ток) Количество хладагента: N[]</v>
      </c>
      <c r="N248" t="str">
        <f>CONCATENATE(N$2,": ",N$3,list1!N248,"]")</f>
        <v xml:space="preserve"> (Рабочий ток) Объем рециркулируемого воздуха внутреннего блока: S[]</v>
      </c>
      <c r="O248" t="str">
        <f>CONCATENATE(O$2,": ",O$3,list1!O248,"]")</f>
        <v xml:space="preserve"> (Внутренний блок) Размеры (Ш x Г x В): S[965 х 215 х 319]</v>
      </c>
      <c r="P248" t="str">
        <f>CONCATENATE(P$2,": ",P$3,list1!P248,"]")</f>
        <v xml:space="preserve"> (Внутренний блок) Упаковка (Ш x Г x В): S[1045 х 305 х 405]</v>
      </c>
      <c r="Q248" t="str">
        <f>CONCATENATE(Q$2,": ",Q$3,list1!Q248,"]")</f>
        <v xml:space="preserve"> (Внутренний блок) Масса (нетто / брутто): S[9 / 12.2]</v>
      </c>
      <c r="R248" t="str">
        <f>CONCATENATE(R$2,": ",R$3,list1!R248,"]")</f>
        <v xml:space="preserve"> (Внутренний блок) Уровень шума мин. / макс.: S[27/33/42]</v>
      </c>
      <c r="S248" t="str">
        <f>CONCATENATE(S$2,": ",S$3,list1!S248,"]")</f>
        <v xml:space="preserve"> (Наружный блок) Марка компрессора: S[]</v>
      </c>
      <c r="T248" t="str">
        <f>CONCATENATE(T$2,": ",T$3,list1!T248,"]")</f>
        <v xml:space="preserve"> (Наружный блок) Размеры (Ш x Г x В): S[965 х 215 х 319]</v>
      </c>
      <c r="U248" t="str">
        <f>CONCATENATE(U$2,": ",U$3,list1!U248,"]")</f>
        <v xml:space="preserve"> (Наружный блок) Упаковка (Ш x Г x В): S[1045 х 305 х 405]</v>
      </c>
      <c r="V248" t="str">
        <f>CONCATENATE(V$2,": ",V$3,list1!V248,"]")</f>
        <v xml:space="preserve"> (Наружный блок) Масса (нетто / брутто): S[9 / 12.2]</v>
      </c>
      <c r="W248" t="str">
        <f>CONCATENATE(W$2,": ",W$3,list1!W248,"]")</f>
        <v xml:space="preserve"> (Наружный блок) Максимальный уровень шума: N[]</v>
      </c>
      <c r="X248" t="str">
        <f>CONCATENATE(X$2,": ",X$3,list1!X248,"]")</f>
        <v xml:space="preserve"> (Соединительные трубы) Жидкостная линия : N[6.35]</v>
      </c>
      <c r="Y248" t="str">
        <f>CONCATENATE(Y$2,": ",Y$3,list1!Y248,"]")</f>
        <v xml:space="preserve"> (Соединительные трубы) Газовая линия : N[12.7]</v>
      </c>
      <c r="Z248" t="str">
        <f>CONCATENATE(Z$2,": ",Z$3,list1!Z248,"]")</f>
        <v xml:space="preserve"> (Соединительные трубы) Максимальная длина трубопровода: N[]</v>
      </c>
      <c r="AA248" t="str">
        <f>CONCATENATE(AA$2,": ",AA$3,list1!AA248,"]")</f>
        <v xml:space="preserve"> (Соединительные трубы) Максимальный перепад высот: S[]</v>
      </c>
      <c r="AB248" t="str">
        <f>CONCATENATE(AB$2,": ",AB$3,list1!AB248,"]")</f>
        <v xml:space="preserve"> (Допустимая темп. наружного воздуха) Охлаждение: S[]</v>
      </c>
      <c r="AC248" t="str">
        <f>CONCATENATE(AC$2,": ",AC$3,list1!AC248,"]")</f>
        <v xml:space="preserve"> (Допустимая темп. наружного воздуха) Обогрев: S[]</v>
      </c>
      <c r="AD248" s="6" t="s">
        <v>5172</v>
      </c>
    </row>
    <row r="249" spans="1:30" x14ac:dyDescent="0.25">
      <c r="A249" t="str">
        <f>CONCATENATE(A$2,": ",A$3,list1!A249,"]")</f>
        <v>Производитель: E[LESSAR]</v>
      </c>
      <c r="B249" t="str">
        <f>CONCATENATE(B$2,": ",B$3,list1!B249,"]")</f>
        <v xml:space="preserve"> Тип: S[Мульти сплит система]</v>
      </c>
      <c r="C249" t="str">
        <f>CONCATENATE(C$2,": ",C$3,list1!C249,"]")</f>
        <v xml:space="preserve"> (Сплит система) Холодопроизводительность: N[5.28]</v>
      </c>
      <c r="D249" t="str">
        <f>CONCATENATE(D$2,": ",D$3,list1!D249,"]")</f>
        <v xml:space="preserve"> (Сплит система) Площадь помещения: N[53]</v>
      </c>
      <c r="E249" t="str">
        <f>CONCATENATE(E$2,": ",E$3,list1!E249,"]")</f>
        <v xml:space="preserve"> (Сплит система) Инвентор: S[да]</v>
      </c>
      <c r="F249" t="str">
        <f>CONCATENATE(F$2,": ",F$3,list1!F249,"]")</f>
        <v xml:space="preserve"> (Сплит система) Теплопроизводительность: N[5.57]</v>
      </c>
      <c r="G249" t="str">
        <f>CONCATENATE(G$2,": ",G$3,list1!G249,"]")</f>
        <v xml:space="preserve"> (Потребляемая мощность) Охлаждение: N[0.035]</v>
      </c>
      <c r="H249" t="str">
        <f>CONCATENATE(H$2,": ",H$3,list1!H249,"]")</f>
        <v xml:space="preserve"> (Потребляемая мощность) Обогрев: S[0.035]</v>
      </c>
      <c r="I249" t="str">
        <f>CONCATENATE(I$2,": ",I$3,list1!I249,"]")</f>
        <v xml:space="preserve"> (Рабочий ток) Охлаждение: S[]</v>
      </c>
      <c r="J249" t="str">
        <f>CONCATENATE(J$2,": ",J$3,list1!J249,"]")</f>
        <v xml:space="preserve"> (Рабочий ток) Обогрев: S[]</v>
      </c>
      <c r="K249" t="str">
        <f>CONCATENATE(K$2,": ",K$3,list1!K249,"]")</f>
        <v xml:space="preserve"> (Рабочий ток) Напряжение / Частота источника питания: S[1 / 220 / 50]</v>
      </c>
      <c r="L249" t="str">
        <f>CONCATENATE(L$2,": ",L$3,list1!L249,"]")</f>
        <v xml:space="preserve"> (Рабочий ток) Хладагент: S[R32]</v>
      </c>
      <c r="M249" t="str">
        <f>CONCATENATE(M$2,": ",M$3,list1!M249,"]")</f>
        <v xml:space="preserve"> (Рабочий ток) Количество хладагента: N[]</v>
      </c>
      <c r="N249" t="str">
        <f>CONCATENATE(N$2,": ",N$3,list1!N249,"]")</f>
        <v xml:space="preserve"> (Рабочий ток) Объем рециркулируемого воздуха внутреннего блока: S[]</v>
      </c>
      <c r="O249" t="str">
        <f>CONCATENATE(O$2,": ",O$3,list1!O249,"]")</f>
        <v xml:space="preserve"> (Внутренний блок) Размеры (Ш x Г x В): S[965 х 215 х 319]</v>
      </c>
      <c r="P249" t="str">
        <f>CONCATENATE(P$2,": ",P$3,list1!P249,"]")</f>
        <v xml:space="preserve"> (Внутренний блок) Упаковка (Ш x Г x В): S[1045 х 305 х 405]</v>
      </c>
      <c r="Q249" t="str">
        <f>CONCATENATE(Q$2,": ",Q$3,list1!Q249,"]")</f>
        <v xml:space="preserve"> (Внутренний блок) Масса (нетто / брутто): S[10.9 / 14.2]</v>
      </c>
      <c r="R249" t="str">
        <f>CONCATENATE(R$2,": ",R$3,list1!R249,"]")</f>
        <v xml:space="preserve"> (Внутренний блок) Уровень шума мин. / макс.: S[28.5/30.5/41.5]</v>
      </c>
      <c r="S249" t="str">
        <f>CONCATENATE(S$2,": ",S$3,list1!S249,"]")</f>
        <v xml:space="preserve"> (Наружный блок) Марка компрессора: S[]</v>
      </c>
      <c r="T249" t="str">
        <f>CONCATENATE(T$2,": ",T$3,list1!T249,"]")</f>
        <v xml:space="preserve"> (Наружный блок) Размеры (Ш x Г x В): S[965 х 215 х 319]</v>
      </c>
      <c r="U249" t="str">
        <f>CONCATENATE(U$2,": ",U$3,list1!U249,"]")</f>
        <v xml:space="preserve"> (Наружный блок) Упаковка (Ш x Г x В): S[1045 х 305 х 405]</v>
      </c>
      <c r="V249" t="str">
        <f>CONCATENATE(V$2,": ",V$3,list1!V249,"]")</f>
        <v xml:space="preserve"> (Наружный блок) Масса (нетто / брутто): S[10.9 / 14.2]</v>
      </c>
      <c r="W249" t="str">
        <f>CONCATENATE(W$2,": ",W$3,list1!W249,"]")</f>
        <v xml:space="preserve"> (Наружный блок) Максимальный уровень шума: N[]</v>
      </c>
      <c r="X249" t="str">
        <f>CONCATENATE(X$2,": ",X$3,list1!X249,"]")</f>
        <v xml:space="preserve"> (Соединительные трубы) Жидкостная линия : N[6.35]</v>
      </c>
      <c r="Y249" t="str">
        <f>CONCATENATE(Y$2,": ",Y$3,list1!Y249,"]")</f>
        <v xml:space="preserve"> (Соединительные трубы) Газовая линия : N[12.7]</v>
      </c>
      <c r="Z249" t="str">
        <f>CONCATENATE(Z$2,": ",Z$3,list1!Z249,"]")</f>
        <v xml:space="preserve"> (Соединительные трубы) Максимальная длина трубопровода: N[]</v>
      </c>
      <c r="AA249" t="str">
        <f>CONCATENATE(AA$2,": ",AA$3,list1!AA249,"]")</f>
        <v xml:space="preserve"> (Соединительные трубы) Максимальный перепад высот: S[]</v>
      </c>
      <c r="AB249" t="str">
        <f>CONCATENATE(AB$2,": ",AB$3,list1!AB249,"]")</f>
        <v xml:space="preserve"> (Допустимая темп. наружного воздуха) Охлаждение: S[]</v>
      </c>
      <c r="AC249" t="str">
        <f>CONCATENATE(AC$2,": ",AC$3,list1!AC249,"]")</f>
        <v xml:space="preserve"> (Допустимая темп. наружного воздуха) Обогрев: S[]</v>
      </c>
      <c r="AD249" s="6" t="s">
        <v>5172</v>
      </c>
    </row>
    <row r="250" spans="1:30" x14ac:dyDescent="0.25">
      <c r="A250" t="str">
        <f>CONCATENATE(A$2,": ",A$3,list1!A250,"]")</f>
        <v>Производитель: E[LESSAR]</v>
      </c>
      <c r="B250" t="str">
        <f>CONCATENATE(B$2,": ",B$3,list1!B250,"]")</f>
        <v xml:space="preserve"> Тип: S[Мульти сплит система]</v>
      </c>
      <c r="C250" t="str">
        <f>CONCATENATE(C$2,": ",C$3,list1!C250,"]")</f>
        <v xml:space="preserve"> (Сплит система) Холодопроизводительность: N[7.33]</v>
      </c>
      <c r="D250" t="str">
        <f>CONCATENATE(D$2,": ",D$3,list1!D250,"]")</f>
        <v xml:space="preserve"> (Сплит система) Площадь помещения: N[73]</v>
      </c>
      <c r="E250" t="str">
        <f>CONCATENATE(E$2,": ",E$3,list1!E250,"]")</f>
        <v xml:space="preserve"> (Сплит система) Инвентор: S[да]</v>
      </c>
      <c r="F250" t="str">
        <f>CONCATENATE(F$2,": ",F$3,list1!F250,"]")</f>
        <v xml:space="preserve"> (Сплит система) Теплопроизводительность: N[7.62]</v>
      </c>
      <c r="G250" t="str">
        <f>CONCATENATE(G$2,": ",G$3,list1!G250,"]")</f>
        <v xml:space="preserve"> (Потребляемая мощность) Охлаждение: N[0.035]</v>
      </c>
      <c r="H250" t="str">
        <f>CONCATENATE(H$2,": ",H$3,list1!H250,"]")</f>
        <v xml:space="preserve"> (Потребляемая мощность) Обогрев: S[0.035]</v>
      </c>
      <c r="I250" t="str">
        <f>CONCATENATE(I$2,": ",I$3,list1!I250,"]")</f>
        <v xml:space="preserve"> (Рабочий ток) Охлаждение: S[]</v>
      </c>
      <c r="J250" t="str">
        <f>CONCATENATE(J$2,": ",J$3,list1!J250,"]")</f>
        <v xml:space="preserve"> (Рабочий ток) Обогрев: S[]</v>
      </c>
      <c r="K250" t="str">
        <f>CONCATENATE(K$2,": ",K$3,list1!K250,"]")</f>
        <v xml:space="preserve"> (Рабочий ток) Напряжение / Частота источника питания: S[1 / 220 / 50]</v>
      </c>
      <c r="L250" t="str">
        <f>CONCATENATE(L$2,": ",L$3,list1!L250,"]")</f>
        <v xml:space="preserve"> (Рабочий ток) Хладагент: S[R410]</v>
      </c>
      <c r="M250" t="str">
        <f>CONCATENATE(M$2,": ",M$3,list1!M250,"]")</f>
        <v xml:space="preserve"> (Рабочий ток) Количество хладагента: N[]</v>
      </c>
      <c r="N250" t="str">
        <f>CONCATENATE(N$2,": ",N$3,list1!N250,"]")</f>
        <v xml:space="preserve"> (Рабочий ток) Объем рециркулируемого воздуха внутреннего блока: S[]</v>
      </c>
      <c r="O250" t="str">
        <f>CONCATENATE(O$2,": ",O$3,list1!O250,"]")</f>
        <v xml:space="preserve"> (Внутренний блок) Размеры (Ш x Г x В): S[1080 х 226 х 335]</v>
      </c>
      <c r="P250" t="str">
        <f>CONCATENATE(P$2,": ",P$3,list1!P250,"]")</f>
        <v xml:space="preserve"> (Внутренний блок) Упаковка (Ш x Г x В): S[1155 х 415 х 315]</v>
      </c>
      <c r="Q250" t="str">
        <f>CONCATENATE(Q$2,": ",Q$3,list1!Q250,"]")</f>
        <v xml:space="preserve"> (Внутренний блок) Масса (нетто / брутто): S[12 / 15.2]</v>
      </c>
      <c r="R250" t="str">
        <f>CONCATENATE(R$2,": ",R$3,list1!R250,"]")</f>
        <v xml:space="preserve"> (Внутренний блок) Уровень шума мин. / макс.: S[30/40/46]</v>
      </c>
      <c r="S250" t="str">
        <f>CONCATENATE(S$2,": ",S$3,list1!S250,"]")</f>
        <v xml:space="preserve"> (Наружный блок) Марка компрессора: S[]</v>
      </c>
      <c r="T250" t="str">
        <f>CONCATENATE(T$2,": ",T$3,list1!T250,"]")</f>
        <v xml:space="preserve"> (Наружный блок) Размеры (Ш x Г x В): S[1080 х 226 х 335]</v>
      </c>
      <c r="U250" t="str">
        <f>CONCATENATE(U$2,": ",U$3,list1!U250,"]")</f>
        <v xml:space="preserve"> (Наружный блок) Упаковка (Ш x Г x В): S[1155 х 415 х 315]</v>
      </c>
      <c r="V250" t="str">
        <f>CONCATENATE(V$2,": ",V$3,list1!V250,"]")</f>
        <v xml:space="preserve"> (Наружный блок) Масса (нетто / брутто): S[12 / 15.2]</v>
      </c>
      <c r="W250" t="str">
        <f>CONCATENATE(W$2,": ",W$3,list1!W250,"]")</f>
        <v xml:space="preserve"> (Наружный блок) Максимальный уровень шума: N[]</v>
      </c>
      <c r="X250" t="str">
        <f>CONCATENATE(X$2,": ",X$3,list1!X250,"]")</f>
        <v xml:space="preserve"> (Соединительные трубы) Жидкостная линия : N[9.52]</v>
      </c>
      <c r="Y250" t="str">
        <f>CONCATENATE(Y$2,": ",Y$3,list1!Y250,"]")</f>
        <v xml:space="preserve"> (Соединительные трубы) Газовая линия : N[15.9]</v>
      </c>
      <c r="Z250" t="str">
        <f>CONCATENATE(Z$2,": ",Z$3,list1!Z250,"]")</f>
        <v xml:space="preserve"> (Соединительные трубы) Максимальная длина трубопровода: N[]</v>
      </c>
      <c r="AA250" t="str">
        <f>CONCATENATE(AA$2,": ",AA$3,list1!AA250,"]")</f>
        <v xml:space="preserve"> (Соединительные трубы) Максимальный перепад высот: S[]</v>
      </c>
      <c r="AB250" t="str">
        <f>CONCATENATE(AB$2,": ",AB$3,list1!AB250,"]")</f>
        <v xml:space="preserve"> (Допустимая темп. наружного воздуха) Охлаждение: S[]</v>
      </c>
      <c r="AC250" t="str">
        <f>CONCATENATE(AC$2,": ",AC$3,list1!AC250,"]")</f>
        <v xml:space="preserve"> (Допустимая темп. наружного воздуха) Обогрев: S[]</v>
      </c>
      <c r="AD250" s="6" t="s">
        <v>5172</v>
      </c>
    </row>
    <row r="251" spans="1:30" x14ac:dyDescent="0.25">
      <c r="A251" t="str">
        <f>CONCATENATE(A$2,": ",A$3,list1!A251,"]")</f>
        <v>Производитель: E[LESSAR]</v>
      </c>
      <c r="B251" t="str">
        <f>CONCATENATE(B$2,": ",B$3,list1!B251,"]")</f>
        <v xml:space="preserve"> Тип: S[Мульти сплит система]</v>
      </c>
      <c r="C251" t="str">
        <f>CONCATENATE(C$2,": ",C$3,list1!C251,"]")</f>
        <v xml:space="preserve"> (Сплит система) Холодопроизводительность: N[7.03]</v>
      </c>
      <c r="D251" t="str">
        <f>CONCATENATE(D$2,": ",D$3,list1!D251,"]")</f>
        <v xml:space="preserve"> (Сплит система) Площадь помещения: N[70]</v>
      </c>
      <c r="E251" t="str">
        <f>CONCATENATE(E$2,": ",E$3,list1!E251,"]")</f>
        <v xml:space="preserve"> (Сплит система) Инвентор: S[да]</v>
      </c>
      <c r="F251" t="str">
        <f>CONCATENATE(F$2,": ",F$3,list1!F251,"]")</f>
        <v xml:space="preserve"> (Сплит система) Теплопроизводительность: N[7.33]</v>
      </c>
      <c r="G251" t="str">
        <f>CONCATENATE(G$2,": ",G$3,list1!G251,"]")</f>
        <v xml:space="preserve"> (Потребляемая мощность) Охлаждение: N[0.072]</v>
      </c>
      <c r="H251" t="str">
        <f>CONCATENATE(H$2,": ",H$3,list1!H251,"]")</f>
        <v xml:space="preserve"> (Потребляемая мощность) Обогрев: S[0.072]</v>
      </c>
      <c r="I251" t="str">
        <f>CONCATENATE(I$2,": ",I$3,list1!I251,"]")</f>
        <v xml:space="preserve"> (Рабочий ток) Охлаждение: S[]</v>
      </c>
      <c r="J251" t="str">
        <f>CONCATENATE(J$2,": ",J$3,list1!J251,"]")</f>
        <v xml:space="preserve"> (Рабочий ток) Обогрев: S[]</v>
      </c>
      <c r="K251" t="str">
        <f>CONCATENATE(K$2,": ",K$3,list1!K251,"]")</f>
        <v xml:space="preserve"> (Рабочий ток) Напряжение / Частота источника питания: S[1 / 220 / 50]</v>
      </c>
      <c r="L251" t="str">
        <f>CONCATENATE(L$2,": ",L$3,list1!L251,"]")</f>
        <v xml:space="preserve"> (Рабочий ток) Хладагент: S[R32]</v>
      </c>
      <c r="M251" t="str">
        <f>CONCATENATE(M$2,": ",M$3,list1!M251,"]")</f>
        <v xml:space="preserve"> (Рабочий ток) Количество хладагента: N[]</v>
      </c>
      <c r="N251" t="str">
        <f>CONCATENATE(N$2,": ",N$3,list1!N251,"]")</f>
        <v xml:space="preserve"> (Рабочий ток) Объем рециркулируемого воздуха внутреннего блока: S[]</v>
      </c>
      <c r="O251" t="str">
        <f>CONCATENATE(O$2,": ",O$3,list1!O251,"]")</f>
        <v xml:space="preserve"> (Внутренний блок) Размеры (Ш x Г x В): S[1080 х 226 х 335]</v>
      </c>
      <c r="P251" t="str">
        <f>CONCATENATE(P$2,": ",P$3,list1!P251,"]")</f>
        <v xml:space="preserve"> (Внутренний блок) Упаковка (Ш x Г x В): S[1155 х 415 х 315]</v>
      </c>
      <c r="Q251" t="str">
        <f>CONCATENATE(Q$2,": ",Q$3,list1!Q251,"]")</f>
        <v xml:space="preserve"> (Внутренний блок) Масса (нетто / брутто): S[13.7 / 17.3]</v>
      </c>
      <c r="R251" t="str">
        <f>CONCATENATE(R$2,": ",R$3,list1!R251,"]")</f>
        <v xml:space="preserve"> (Внутренний блок) Уровень шума мин. / макс.: S[29/38.5/45]</v>
      </c>
      <c r="S251" t="str">
        <f>CONCATENATE(S$2,": ",S$3,list1!S251,"]")</f>
        <v xml:space="preserve"> (Наружный блок) Марка компрессора: S[]</v>
      </c>
      <c r="T251" t="str">
        <f>CONCATENATE(T$2,": ",T$3,list1!T251,"]")</f>
        <v xml:space="preserve"> (Наружный блок) Размеры (Ш x Г x В): S[1080 х 226 х 335]</v>
      </c>
      <c r="U251" t="str">
        <f>CONCATENATE(U$2,": ",U$3,list1!U251,"]")</f>
        <v xml:space="preserve"> (Наружный блок) Упаковка (Ш x Г x В): S[1155 х 415 х 315]</v>
      </c>
      <c r="V251" t="str">
        <f>CONCATENATE(V$2,": ",V$3,list1!V251,"]")</f>
        <v xml:space="preserve"> (Наружный блок) Масса (нетто / брутто): S[13.7 / 17.3]</v>
      </c>
      <c r="W251" t="str">
        <f>CONCATENATE(W$2,": ",W$3,list1!W251,"]")</f>
        <v xml:space="preserve"> (Наружный блок) Максимальный уровень шума: N[]</v>
      </c>
      <c r="X251" t="str">
        <f>CONCATENATE(X$2,": ",X$3,list1!X251,"]")</f>
        <v xml:space="preserve"> (Соединительные трубы) Жидкостная линия : N[9.52]</v>
      </c>
      <c r="Y251" t="str">
        <f>CONCATENATE(Y$2,": ",Y$3,list1!Y251,"]")</f>
        <v xml:space="preserve"> (Соединительные трубы) Газовая линия : N[15.9]</v>
      </c>
      <c r="Z251" t="str">
        <f>CONCATENATE(Z$2,": ",Z$3,list1!Z251,"]")</f>
        <v xml:space="preserve"> (Соединительные трубы) Максимальная длина трубопровода: N[]</v>
      </c>
      <c r="AA251" t="str">
        <f>CONCATENATE(AA$2,": ",AA$3,list1!AA251,"]")</f>
        <v xml:space="preserve"> (Соединительные трубы) Максимальный перепад высот: S[]</v>
      </c>
      <c r="AB251" t="str">
        <f>CONCATENATE(AB$2,": ",AB$3,list1!AB251,"]")</f>
        <v xml:space="preserve"> (Допустимая темп. наружного воздуха) Охлаждение: S[]</v>
      </c>
      <c r="AC251" t="str">
        <f>CONCATENATE(AC$2,": ",AC$3,list1!AC251,"]")</f>
        <v xml:space="preserve"> (Допустимая темп. наружного воздуха) Обогрев: S[]</v>
      </c>
      <c r="AD251" s="6" t="s">
        <v>5172</v>
      </c>
    </row>
    <row r="252" spans="1:30" x14ac:dyDescent="0.25">
      <c r="A252" t="str">
        <f>CONCATENATE(A$2,": ",A$3,list1!A252,"]")</f>
        <v>Производитель: E[LESSAR]</v>
      </c>
      <c r="B252" t="str">
        <f>CONCATENATE(B$2,": ",B$3,list1!B252,"]")</f>
        <v xml:space="preserve"> Тип: S[Мульти сплит система]</v>
      </c>
      <c r="C252" t="str">
        <f>CONCATENATE(C$2,": ",C$3,list1!C252,"]")</f>
        <v xml:space="preserve"> (Сплит система) Холодопроизводительность: N[2.34]</v>
      </c>
      <c r="D252" t="str">
        <f>CONCATENATE(D$2,": ",D$3,list1!D252,"]")</f>
        <v xml:space="preserve"> (Сплит система) Площадь помещения: N[23]</v>
      </c>
      <c r="E252" t="str">
        <f>CONCATENATE(E$2,": ",E$3,list1!E252,"]")</f>
        <v xml:space="preserve"> (Сплит система) Инвентор: S[да]</v>
      </c>
      <c r="F252" t="str">
        <f>CONCATENATE(F$2,": ",F$3,list1!F252,"]")</f>
        <v xml:space="preserve"> (Сплит система) Теплопроизводительность: N[2.63]</v>
      </c>
      <c r="G252" t="str">
        <f>CONCATENATE(G$2,": ",G$3,list1!G252,"]")</f>
        <v xml:space="preserve"> (Потребляемая мощность) Охлаждение: N[0.024]</v>
      </c>
      <c r="H252" t="str">
        <f>CONCATENATE(H$2,": ",H$3,list1!H252,"]")</f>
        <v xml:space="preserve"> (Потребляемая мощность) Обогрев: S[0.024]</v>
      </c>
      <c r="I252" t="str">
        <f>CONCATENATE(I$2,": ",I$3,list1!I252,"]")</f>
        <v xml:space="preserve"> (Рабочий ток) Охлаждение: S[]</v>
      </c>
      <c r="J252" t="str">
        <f>CONCATENATE(J$2,": ",J$3,list1!J252,"]")</f>
        <v xml:space="preserve"> (Рабочий ток) Обогрев: S[]</v>
      </c>
      <c r="K252" t="str">
        <f>CONCATENATE(K$2,": ",K$3,list1!K252,"]")</f>
        <v xml:space="preserve"> (Рабочий ток) Напряжение / Частота источника питания: S[1 / 220 / 50]</v>
      </c>
      <c r="L252" t="str">
        <f>CONCATENATE(L$2,": ",L$3,list1!L252,"]")</f>
        <v xml:space="preserve"> (Рабочий ток) Хладагент: S[R410A]</v>
      </c>
      <c r="M252" t="str">
        <f>CONCATENATE(M$2,": ",M$3,list1!M252,"]")</f>
        <v xml:space="preserve"> (Рабочий ток) Количество хладагента: N[]</v>
      </c>
      <c r="N252" t="str">
        <f>CONCATENATE(N$2,": ",N$3,list1!N252,"]")</f>
        <v xml:space="preserve"> (Рабочий ток) Объем рециркулируемого воздуха внутреннего блока: S[]</v>
      </c>
      <c r="O252" t="str">
        <f>CONCATENATE(O$2,": ",O$3,list1!O252,"]")</f>
        <v xml:space="preserve"> (Внутренний блок) Размеры (Ш x Г x В): S[722 х 187 х 290]</v>
      </c>
      <c r="P252" t="str">
        <f>CONCATENATE(P$2,": ",P$3,list1!P252,"]")</f>
        <v xml:space="preserve"> (Внутренний блок) Упаковка (Ш x Г x В): S[790 х 270 х 370]</v>
      </c>
      <c r="Q252" t="str">
        <f>CONCATENATE(Q$2,": ",Q$3,list1!Q252,"]")</f>
        <v xml:space="preserve"> (Внутренний блок) Масса (нетто / брутто): S[7.4 / 9.6]</v>
      </c>
      <c r="R252" t="str">
        <f>CONCATENATE(R$2,": ",R$3,list1!R252,"]")</f>
        <v xml:space="preserve"> (Внутренний блок) Уровень шума мин. / макс.: S[]</v>
      </c>
      <c r="S252" t="str">
        <f>CONCATENATE(S$2,": ",S$3,list1!S252,"]")</f>
        <v xml:space="preserve"> (Наружный блок) Марка компрессора: S[]</v>
      </c>
      <c r="T252" t="str">
        <f>CONCATENATE(T$2,": ",T$3,list1!T252,"]")</f>
        <v xml:space="preserve"> (Наружный блок) Размеры (Ш x Г x В): S[722 х 187 х 290]</v>
      </c>
      <c r="U252" t="str">
        <f>CONCATENATE(U$2,": ",U$3,list1!U252,"]")</f>
        <v xml:space="preserve"> (Наружный блок) Упаковка (Ш x Г x В): S[790 х 270 х 370]</v>
      </c>
      <c r="V252" t="str">
        <f>CONCATENATE(V$2,": ",V$3,list1!V252,"]")</f>
        <v xml:space="preserve"> (Наружный блок) Масса (нетто / брутто): S[7.4 / 9.6]</v>
      </c>
      <c r="W252" t="str">
        <f>CONCATENATE(W$2,": ",W$3,list1!W252,"]")</f>
        <v xml:space="preserve"> (Наружный блок) Максимальный уровень шума: N[]</v>
      </c>
      <c r="X252" t="str">
        <f>CONCATENATE(X$2,": ",X$3,list1!X252,"]")</f>
        <v xml:space="preserve"> (Соединительные трубы) Жидкостная линия : N[6.35]</v>
      </c>
      <c r="Y252" t="str">
        <f>CONCATENATE(Y$2,": ",Y$3,list1!Y252,"]")</f>
        <v xml:space="preserve"> (Соединительные трубы) Газовая линия : N[9.53]</v>
      </c>
      <c r="Z252" t="str">
        <f>CONCATENATE(Z$2,": ",Z$3,list1!Z252,"]")</f>
        <v xml:space="preserve"> (Соединительные трубы) Максимальная длина трубопровода: N[]</v>
      </c>
      <c r="AA252" t="str">
        <f>CONCATENATE(AA$2,": ",AA$3,list1!AA252,"]")</f>
        <v xml:space="preserve"> (Соединительные трубы) Максимальный перепад высот: S[]</v>
      </c>
      <c r="AB252" t="str">
        <f>CONCATENATE(AB$2,": ",AB$3,list1!AB252,"]")</f>
        <v xml:space="preserve"> (Допустимая темп. наружного воздуха) Охлаждение: S[]</v>
      </c>
      <c r="AC252" t="str">
        <f>CONCATENATE(AC$2,": ",AC$3,list1!AC252,"]")</f>
        <v xml:space="preserve"> (Допустимая темп. наружного воздуха) Обогрев: S[]</v>
      </c>
      <c r="AD252" s="6" t="s">
        <v>5172</v>
      </c>
    </row>
    <row r="253" spans="1:30" x14ac:dyDescent="0.25">
      <c r="A253" t="str">
        <f>CONCATENATE(A$2,": ",A$3,list1!A253,"]")</f>
        <v>Производитель: E[LESSAR]</v>
      </c>
      <c r="B253" t="str">
        <f>CONCATENATE(B$2,": ",B$3,list1!B253,"]")</f>
        <v xml:space="preserve"> Тип: S[Мульти сплит система]</v>
      </c>
      <c r="C253" t="str">
        <f>CONCATENATE(C$2,": ",C$3,list1!C253,"]")</f>
        <v xml:space="preserve"> (Сплит система) Холодопроизводительность: N[2.63]</v>
      </c>
      <c r="D253" t="str">
        <f>CONCATENATE(D$2,": ",D$3,list1!D253,"]")</f>
        <v xml:space="preserve"> (Сплит система) Площадь помещения: N[26]</v>
      </c>
      <c r="E253" t="str">
        <f>CONCATENATE(E$2,": ",E$3,list1!E253,"]")</f>
        <v xml:space="preserve"> (Сплит система) Инвентор: S[да]</v>
      </c>
      <c r="F253" t="str">
        <f>CONCATENATE(F$2,": ",F$3,list1!F253,"]")</f>
        <v xml:space="preserve"> (Сплит система) Теплопроизводительность: N[2.93]</v>
      </c>
      <c r="G253" t="str">
        <f>CONCATENATE(G$2,": ",G$3,list1!G253,"]")</f>
        <v xml:space="preserve"> (Потребляемая мощность) Охлаждение: N[0.02]</v>
      </c>
      <c r="H253" t="str">
        <f>CONCATENATE(H$2,": ",H$3,list1!H253,"]")</f>
        <v xml:space="preserve"> (Потребляемая мощность) Обогрев: S[0.02]</v>
      </c>
      <c r="I253" t="str">
        <f>CONCATENATE(I$2,": ",I$3,list1!I253,"]")</f>
        <v xml:space="preserve"> (Рабочий ток) Охлаждение: S[]</v>
      </c>
      <c r="J253" t="str">
        <f>CONCATENATE(J$2,": ",J$3,list1!J253,"]")</f>
        <v xml:space="preserve"> (Рабочий ток) Обогрев: S[]</v>
      </c>
      <c r="K253" t="str">
        <f>CONCATENATE(K$2,": ",K$3,list1!K253,"]")</f>
        <v xml:space="preserve"> (Рабочий ток) Напряжение / Частота источника питания: S[1 / 220 / 50]</v>
      </c>
      <c r="L253" t="str">
        <f>CONCATENATE(L$2,": ",L$3,list1!L253,"]")</f>
        <v xml:space="preserve"> (Рабочий ток) Хладагент: S[R410A]</v>
      </c>
      <c r="M253" t="str">
        <f>CONCATENATE(M$2,": ",M$3,list1!M253,"]")</f>
        <v xml:space="preserve"> (Рабочий ток) Количество хладагента: N[]</v>
      </c>
      <c r="N253" t="str">
        <f>CONCATENATE(N$2,": ",N$3,list1!N253,"]")</f>
        <v xml:space="preserve"> (Рабочий ток) Объем рециркулируемого воздуха внутреннего блока: S[]</v>
      </c>
      <c r="O253" t="str">
        <f>CONCATENATE(O$2,": ",O$3,list1!O253,"]")</f>
        <v xml:space="preserve"> (Внутренний блок) Размеры (Ш x Г x В): S[722 х 187 х 290]</v>
      </c>
      <c r="P253" t="str">
        <f>CONCATENATE(P$2,": ",P$3,list1!P253,"]")</f>
        <v xml:space="preserve"> (Внутренний блок) Упаковка (Ш x Г x В): S[790 х 270 х 370]</v>
      </c>
      <c r="Q253" t="str">
        <f>CONCATENATE(Q$2,": ",Q$3,list1!Q253,"]")</f>
        <v xml:space="preserve"> (Внутренний блок) Масса (нетто / брутто): S[7.4 / 9.6]</v>
      </c>
      <c r="R253" t="str">
        <f>CONCATENATE(R$2,": ",R$3,list1!R253,"]")</f>
        <v xml:space="preserve"> (Внутренний блок) Уровень шума мин. / макс.: S[32/33/37]</v>
      </c>
      <c r="S253" t="str">
        <f>CONCATENATE(S$2,": ",S$3,list1!S253,"]")</f>
        <v xml:space="preserve"> (Наружный блок) Марка компрессора: S[]</v>
      </c>
      <c r="T253" t="str">
        <f>CONCATENATE(T$2,": ",T$3,list1!T253,"]")</f>
        <v xml:space="preserve"> (Наружный блок) Размеры (Ш x Г x В): S[722 х 187 х 290]</v>
      </c>
      <c r="U253" t="str">
        <f>CONCATENATE(U$2,": ",U$3,list1!U253,"]")</f>
        <v xml:space="preserve"> (Наружный блок) Упаковка (Ш x Г x В): S[790 х 270 х 370]</v>
      </c>
      <c r="V253" t="str">
        <f>CONCATENATE(V$2,": ",V$3,list1!V253,"]")</f>
        <v xml:space="preserve"> (Наружный блок) Масса (нетто / брутто): S[7.4 / 9.6]</v>
      </c>
      <c r="W253" t="str">
        <f>CONCATENATE(W$2,": ",W$3,list1!W253,"]")</f>
        <v xml:space="preserve"> (Наружный блок) Максимальный уровень шума: N[]</v>
      </c>
      <c r="X253" t="str">
        <f>CONCATENATE(X$2,": ",X$3,list1!X253,"]")</f>
        <v xml:space="preserve"> (Соединительные трубы) Жидкостная линия : N[6.35]</v>
      </c>
      <c r="Y253" t="str">
        <f>CONCATENATE(Y$2,": ",Y$3,list1!Y253,"]")</f>
        <v xml:space="preserve"> (Соединительные трубы) Газовая линия : N[9.53]</v>
      </c>
      <c r="Z253" t="str">
        <f>CONCATENATE(Z$2,": ",Z$3,list1!Z253,"]")</f>
        <v xml:space="preserve"> (Соединительные трубы) Максимальная длина трубопровода: N[]</v>
      </c>
      <c r="AA253" t="str">
        <f>CONCATENATE(AA$2,": ",AA$3,list1!AA253,"]")</f>
        <v xml:space="preserve"> (Соединительные трубы) Максимальный перепад высот: S[]</v>
      </c>
      <c r="AB253" t="str">
        <f>CONCATENATE(AB$2,": ",AB$3,list1!AB253,"]")</f>
        <v xml:space="preserve"> (Допустимая темп. наружного воздуха) Охлаждение: S[]</v>
      </c>
      <c r="AC253" t="str">
        <f>CONCATENATE(AC$2,": ",AC$3,list1!AC253,"]")</f>
        <v xml:space="preserve"> (Допустимая темп. наружного воздуха) Обогрев: S[]</v>
      </c>
      <c r="AD253" s="6" t="s">
        <v>5172</v>
      </c>
    </row>
    <row r="254" spans="1:30" x14ac:dyDescent="0.25">
      <c r="A254" t="str">
        <f>CONCATENATE(A$2,": ",A$3,list1!A254,"]")</f>
        <v>Производитель: E[LESSAR]</v>
      </c>
      <c r="B254" t="str">
        <f>CONCATENATE(B$2,": ",B$3,list1!B254,"]")</f>
        <v xml:space="preserve"> Тип: S[Мульти сплит система]</v>
      </c>
      <c r="C254" t="str">
        <f>CONCATENATE(C$2,": ",C$3,list1!C254,"]")</f>
        <v xml:space="preserve"> (Сплит система) Холодопроизводительность: N[3.51]</v>
      </c>
      <c r="D254" t="str">
        <f>CONCATENATE(D$2,": ",D$3,list1!D254,"]")</f>
        <v xml:space="preserve"> (Сплит система) Площадь помещения: N[35]</v>
      </c>
      <c r="E254" t="str">
        <f>CONCATENATE(E$2,": ",E$3,list1!E254,"]")</f>
        <v xml:space="preserve"> (Сплит система) Инвентор: S[да]</v>
      </c>
      <c r="F254" t="str">
        <f>CONCATENATE(F$2,": ",F$3,list1!F254,"]")</f>
        <v xml:space="preserve"> (Сплит система) Теплопроизводительность: N[3.8]</v>
      </c>
      <c r="G254" t="str">
        <f>CONCATENATE(G$2,": ",G$3,list1!G254,"]")</f>
        <v xml:space="preserve"> (Потребляемая мощность) Охлаждение: N[0.02]</v>
      </c>
      <c r="H254" t="str">
        <f>CONCATENATE(H$2,": ",H$3,list1!H254,"]")</f>
        <v xml:space="preserve"> (Потребляемая мощность) Обогрев: S[0.02]</v>
      </c>
      <c r="I254" t="str">
        <f>CONCATENATE(I$2,": ",I$3,list1!I254,"]")</f>
        <v xml:space="preserve"> (Рабочий ток) Охлаждение: S[]</v>
      </c>
      <c r="J254" t="str">
        <f>CONCATENATE(J$2,": ",J$3,list1!J254,"]")</f>
        <v xml:space="preserve"> (Рабочий ток) Обогрев: S[]</v>
      </c>
      <c r="K254" t="str">
        <f>CONCATENATE(K$2,": ",K$3,list1!K254,"]")</f>
        <v xml:space="preserve"> (Рабочий ток) Напряжение / Частота источника питания: S[1 / 220 / 50]</v>
      </c>
      <c r="L254" t="str">
        <f>CONCATENATE(L$2,": ",L$3,list1!L254,"]")</f>
        <v xml:space="preserve"> (Рабочий ток) Хладагент: S[R410A]</v>
      </c>
      <c r="M254" t="str">
        <f>CONCATENATE(M$2,": ",M$3,list1!M254,"]")</f>
        <v xml:space="preserve"> (Рабочий ток) Количество хладагента: N[]</v>
      </c>
      <c r="N254" t="str">
        <f>CONCATENATE(N$2,": ",N$3,list1!N254,"]")</f>
        <v xml:space="preserve"> (Рабочий ток) Объем рециркулируемого воздуха внутреннего блока: S[]</v>
      </c>
      <c r="O254" t="str">
        <f>CONCATENATE(O$2,": ",O$3,list1!O254,"]")</f>
        <v xml:space="preserve"> (Внутренний блок) Размеры (Ш x Г x В): S[802 х 189 х 297]</v>
      </c>
      <c r="P254" t="str">
        <f>CONCATENATE(P$2,": ",P$3,list1!P254,"]")</f>
        <v xml:space="preserve"> (Внутренний блок) Упаковка (Ш x Г x В): S[875 х 285 х 375]</v>
      </c>
      <c r="Q254" t="str">
        <f>CONCATENATE(Q$2,": ",Q$3,list1!Q254,"]")</f>
        <v xml:space="preserve"> (Внутренний блок) Масса (нетто / брутто): S[8.2 / 10.7]</v>
      </c>
      <c r="R254" t="str">
        <f>CONCATENATE(R$2,": ",R$3,list1!R254,"]")</f>
        <v xml:space="preserve"> (Внутренний блок) Уровень шума мин. / макс.: S[24/35/39]</v>
      </c>
      <c r="S254" t="str">
        <f>CONCATENATE(S$2,": ",S$3,list1!S254,"]")</f>
        <v xml:space="preserve"> (Наружный блок) Марка компрессора: S[]</v>
      </c>
      <c r="T254" t="str">
        <f>CONCATENATE(T$2,": ",T$3,list1!T254,"]")</f>
        <v xml:space="preserve"> (Наружный блок) Размеры (Ш x Г x В): S[802 х 189 х 297]</v>
      </c>
      <c r="U254" t="str">
        <f>CONCATENATE(U$2,": ",U$3,list1!U254,"]")</f>
        <v xml:space="preserve"> (Наружный блок) Упаковка (Ш x Г x В): S[875 х 285 х 375]</v>
      </c>
      <c r="V254" t="str">
        <f>CONCATENATE(V$2,": ",V$3,list1!V254,"]")</f>
        <v xml:space="preserve"> (Наружный блок) Масса (нетто / брутто): S[8.2 / 10.7]</v>
      </c>
      <c r="W254" t="str">
        <f>CONCATENATE(W$2,": ",W$3,list1!W254,"]")</f>
        <v xml:space="preserve"> (Наружный блок) Максимальный уровень шума: N[]</v>
      </c>
      <c r="X254" t="str">
        <f>CONCATENATE(X$2,": ",X$3,list1!X254,"]")</f>
        <v xml:space="preserve"> (Соединительные трубы) Жидкостная линия : N[6.35]</v>
      </c>
      <c r="Y254" t="str">
        <f>CONCATENATE(Y$2,": ",Y$3,list1!Y254,"]")</f>
        <v xml:space="preserve"> (Соединительные трубы) Газовая линия : N[9.53]</v>
      </c>
      <c r="Z254" t="str">
        <f>CONCATENATE(Z$2,": ",Z$3,list1!Z254,"]")</f>
        <v xml:space="preserve"> (Соединительные трубы) Максимальная длина трубопровода: N[]</v>
      </c>
      <c r="AA254" t="str">
        <f>CONCATENATE(AA$2,": ",AA$3,list1!AA254,"]")</f>
        <v xml:space="preserve"> (Соединительные трубы) Максимальный перепад высот: S[]</v>
      </c>
      <c r="AB254" t="str">
        <f>CONCATENATE(AB$2,": ",AB$3,list1!AB254,"]")</f>
        <v xml:space="preserve"> (Допустимая темп. наружного воздуха) Охлаждение: S[]</v>
      </c>
      <c r="AC254" t="str">
        <f>CONCATENATE(AC$2,": ",AC$3,list1!AC254,"]")</f>
        <v xml:space="preserve"> (Допустимая темп. наружного воздуха) Обогрев: S[]</v>
      </c>
      <c r="AD254" s="6" t="s">
        <v>5172</v>
      </c>
    </row>
    <row r="255" spans="1:30" x14ac:dyDescent="0.25">
      <c r="A255" t="str">
        <f>CONCATENATE(A$2,": ",A$3,list1!A255,"]")</f>
        <v>Производитель: E[LESSAR]</v>
      </c>
      <c r="B255" t="str">
        <f>CONCATENATE(B$2,": ",B$3,list1!B255,"]")</f>
        <v xml:space="preserve"> Тип: S[Мульти сплит система]</v>
      </c>
      <c r="C255" t="str">
        <f>CONCATENATE(C$2,": ",C$3,list1!C255,"]")</f>
        <v xml:space="preserve"> (Сплит система) Холодопроизводительность: N[5.27]</v>
      </c>
      <c r="D255" t="str">
        <f>CONCATENATE(D$2,": ",D$3,list1!D255,"]")</f>
        <v xml:space="preserve"> (Сплит система) Площадь помещения: N[53]</v>
      </c>
      <c r="E255" t="str">
        <f>CONCATENATE(E$2,": ",E$3,list1!E255,"]")</f>
        <v xml:space="preserve"> (Сплит система) Инвентор: S[да]</v>
      </c>
      <c r="F255" t="str">
        <f>CONCATENATE(F$2,": ",F$3,list1!F255,"]")</f>
        <v xml:space="preserve"> (Сплит система) Теплопроизводительность: N[5.86]</v>
      </c>
      <c r="G255" t="str">
        <f>CONCATENATE(G$2,": ",G$3,list1!G255,"]")</f>
        <v xml:space="preserve"> (Потребляемая мощность) Охлаждение: N[0.03]</v>
      </c>
      <c r="H255" t="str">
        <f>CONCATENATE(H$2,": ",H$3,list1!H255,"]")</f>
        <v xml:space="preserve"> (Потребляемая мощность) Обогрев: S[0.03]</v>
      </c>
      <c r="I255" t="str">
        <f>CONCATENATE(I$2,": ",I$3,list1!I255,"]")</f>
        <v xml:space="preserve"> (Рабочий ток) Охлаждение: S[]</v>
      </c>
      <c r="J255" t="str">
        <f>CONCATENATE(J$2,": ",J$3,list1!J255,"]")</f>
        <v xml:space="preserve"> (Рабочий ток) Обогрев: S[]</v>
      </c>
      <c r="K255" t="str">
        <f>CONCATENATE(K$2,": ",K$3,list1!K255,"]")</f>
        <v xml:space="preserve"> (Рабочий ток) Напряжение / Частота источника питания: S[1 / 220 / 50]</v>
      </c>
      <c r="L255" t="str">
        <f>CONCATENATE(L$2,": ",L$3,list1!L255,"]")</f>
        <v xml:space="preserve"> (Рабочий ток) Хладагент: S[R410A]</v>
      </c>
      <c r="M255" t="str">
        <f>CONCATENATE(M$2,": ",M$3,list1!M255,"]")</f>
        <v xml:space="preserve"> (Рабочий ток) Количество хладагента: N[]</v>
      </c>
      <c r="N255" t="str">
        <f>CONCATENATE(N$2,": ",N$3,list1!N255,"]")</f>
        <v xml:space="preserve"> (Рабочий ток) Объем рециркулируемого воздуха внутреннего блока: S[]</v>
      </c>
      <c r="O255" t="str">
        <f>CONCATENATE(O$2,": ",O$3,list1!O255,"]")</f>
        <v xml:space="preserve"> (Внутренний блок) Размеры (Ш x Г x В): S[215 х 965 х 319]</v>
      </c>
      <c r="P255" t="str">
        <f>CONCATENATE(P$2,": ",P$3,list1!P255,"]")</f>
        <v xml:space="preserve"> (Внутренний блок) Упаковка (Ш x Г x В): S[305 х 1045 х 405]</v>
      </c>
      <c r="Q255" t="str">
        <f>CONCATENATE(Q$2,": ",Q$3,list1!Q255,"]")</f>
        <v xml:space="preserve"> (Внутренний блок) Масса (нетто / брутто): S[10.7 / 14]</v>
      </c>
      <c r="R255" t="str">
        <f>CONCATENATE(R$2,": ",R$3,list1!R255,"]")</f>
        <v xml:space="preserve"> (Внутренний блок) Уровень шума мин. / макс.: S[]</v>
      </c>
      <c r="S255" t="str">
        <f>CONCATENATE(S$2,": ",S$3,list1!S255,"]")</f>
        <v xml:space="preserve"> (Наружный блок) Марка компрессора: S[]</v>
      </c>
      <c r="T255" t="str">
        <f>CONCATENATE(T$2,": ",T$3,list1!T255,"]")</f>
        <v xml:space="preserve"> (Наружный блок) Размеры (Ш x Г x В): S[215 х 965 х 319]</v>
      </c>
      <c r="U255" t="str">
        <f>CONCATENATE(U$2,": ",U$3,list1!U255,"]")</f>
        <v xml:space="preserve"> (Наружный блок) Упаковка (Ш x Г x В): S[305 х 1045 х 405]</v>
      </c>
      <c r="V255" t="str">
        <f>CONCATENATE(V$2,": ",V$3,list1!V255,"]")</f>
        <v xml:space="preserve"> (Наружный блок) Масса (нетто / брутто): S[10.7 / 14]</v>
      </c>
      <c r="W255" t="str">
        <f>CONCATENATE(W$2,": ",W$3,list1!W255,"]")</f>
        <v xml:space="preserve"> (Наружный блок) Максимальный уровень шума: N[]</v>
      </c>
      <c r="X255" t="str">
        <f>CONCATENATE(X$2,": ",X$3,list1!X255,"]")</f>
        <v xml:space="preserve"> (Соединительные трубы) Жидкостная линия : N[6.35]</v>
      </c>
      <c r="Y255" t="str">
        <f>CONCATENATE(Y$2,": ",Y$3,list1!Y255,"]")</f>
        <v xml:space="preserve"> (Соединительные трубы) Газовая линия : N[12.7]</v>
      </c>
      <c r="Z255" t="str">
        <f>CONCATENATE(Z$2,": ",Z$3,list1!Z255,"]")</f>
        <v xml:space="preserve"> (Соединительные трубы) Максимальная длина трубопровода: N[]</v>
      </c>
      <c r="AA255" t="str">
        <f>CONCATENATE(AA$2,": ",AA$3,list1!AA255,"]")</f>
        <v xml:space="preserve"> (Соединительные трубы) Максимальный перепад высот: S[]</v>
      </c>
      <c r="AB255" t="str">
        <f>CONCATENATE(AB$2,": ",AB$3,list1!AB255,"]")</f>
        <v xml:space="preserve"> (Допустимая темп. наружного воздуха) Охлаждение: S[]</v>
      </c>
      <c r="AC255" t="str">
        <f>CONCATENATE(AC$2,": ",AC$3,list1!AC255,"]")</f>
        <v xml:space="preserve"> (Допустимая темп. наружного воздуха) Обогрев: S[]</v>
      </c>
      <c r="AD255" s="6" t="s">
        <v>5172</v>
      </c>
    </row>
    <row r="256" spans="1:30" x14ac:dyDescent="0.25">
      <c r="A256" t="str">
        <f>CONCATENATE(A$2,": ",A$3,list1!A256,"]")</f>
        <v>Производитель: E[LESSAR]</v>
      </c>
      <c r="B256" t="str">
        <f>CONCATENATE(B$2,": ",B$3,list1!B256,"]")</f>
        <v xml:space="preserve"> Тип: S[Мульти сплит система]</v>
      </c>
      <c r="C256" t="str">
        <f>CONCATENATE(C$2,": ",C$3,list1!C256,"]")</f>
        <v xml:space="preserve"> (Сплит система) Холодопроизводительность: N[7.03]</v>
      </c>
      <c r="D256" t="str">
        <f>CONCATENATE(D$2,": ",D$3,list1!D256,"]")</f>
        <v xml:space="preserve"> (Сплит система) Площадь помещения: N[70]</v>
      </c>
      <c r="E256" t="str">
        <f>CONCATENATE(E$2,": ",E$3,list1!E256,"]")</f>
        <v xml:space="preserve"> (Сплит система) Инвентор: S[да]</v>
      </c>
      <c r="F256" t="str">
        <f>CONCATENATE(F$2,": ",F$3,list1!F256,"]")</f>
        <v xml:space="preserve"> (Сплит система) Теплопроизводительность: N[7.91]</v>
      </c>
      <c r="G256" t="str">
        <f>CONCATENATE(G$2,": ",G$3,list1!G256,"]")</f>
        <v xml:space="preserve"> (Потребляемая мощность) Охлаждение: N[0.06]</v>
      </c>
      <c r="H256" t="str">
        <f>CONCATENATE(H$2,": ",H$3,list1!H256,"]")</f>
        <v xml:space="preserve"> (Потребляемая мощность) Обогрев: S[0.06]</v>
      </c>
      <c r="I256" t="str">
        <f>CONCATENATE(I$2,": ",I$3,list1!I256,"]")</f>
        <v xml:space="preserve"> (Рабочий ток) Охлаждение: S[]</v>
      </c>
      <c r="J256" t="str">
        <f>CONCATENATE(J$2,": ",J$3,list1!J256,"]")</f>
        <v xml:space="preserve"> (Рабочий ток) Обогрев: S[]</v>
      </c>
      <c r="K256" t="str">
        <f>CONCATENATE(K$2,": ",K$3,list1!K256,"]")</f>
        <v xml:space="preserve"> (Рабочий ток) Напряжение / Частота источника питания: S[1 / 220 / 50]</v>
      </c>
      <c r="L256" t="str">
        <f>CONCATENATE(L$2,": ",L$3,list1!L256,"]")</f>
        <v xml:space="preserve"> (Рабочий ток) Хладагент: S[R410A]</v>
      </c>
      <c r="M256" t="str">
        <f>CONCATENATE(M$2,": ",M$3,list1!M256,"]")</f>
        <v xml:space="preserve"> (Рабочий ток) Количество хладагента: N[]</v>
      </c>
      <c r="N256" t="str">
        <f>CONCATENATE(N$2,": ",N$3,list1!N256,"]")</f>
        <v xml:space="preserve"> (Рабочий ток) Объем рециркулируемого воздуха внутреннего блока: S[]</v>
      </c>
      <c r="O256" t="str">
        <f>CONCATENATE(O$2,": ",O$3,list1!O256,"]")</f>
        <v xml:space="preserve"> (Внутренний блок) Размеры (Ш x Г x В): S[1080 х 226 х 335]</v>
      </c>
      <c r="P256" t="str">
        <f>CONCATENATE(P$2,": ",P$3,list1!P256,"]")</f>
        <v xml:space="preserve"> (Внутренний блок) Упаковка (Ш x Г x В): S[1155 х 315 х 415]</v>
      </c>
      <c r="Q256" t="str">
        <f>CONCATENATE(Q$2,": ",Q$3,list1!Q256,"]")</f>
        <v xml:space="preserve"> (Внутренний блок) Масса (нетто / брутто): S[13 / 16.6]</v>
      </c>
      <c r="R256" t="str">
        <f>CONCATENATE(R$2,": ",R$3,list1!R256,"]")</f>
        <v xml:space="preserve"> (Внутренний блок) Уровень шума мин. / макс.: S[32/43/48]</v>
      </c>
      <c r="S256" t="str">
        <f>CONCATENATE(S$2,": ",S$3,list1!S256,"]")</f>
        <v xml:space="preserve"> (Наружный блок) Марка компрессора: S[]</v>
      </c>
      <c r="T256" t="str">
        <f>CONCATENATE(T$2,": ",T$3,list1!T256,"]")</f>
        <v xml:space="preserve"> (Наружный блок) Размеры (Ш x Г x В): S[1080 х 226 х 335]</v>
      </c>
      <c r="U256" t="str">
        <f>CONCATENATE(U$2,": ",U$3,list1!U256,"]")</f>
        <v xml:space="preserve"> (Наружный блок) Упаковка (Ш x Г x В): S[1155 х 315 х 415]</v>
      </c>
      <c r="V256" t="str">
        <f>CONCATENATE(V$2,": ",V$3,list1!V256,"]")</f>
        <v xml:space="preserve"> (Наружный блок) Масса (нетто / брутто): S[13 / 16.6]</v>
      </c>
      <c r="W256" t="str">
        <f>CONCATENATE(W$2,": ",W$3,list1!W256,"]")</f>
        <v xml:space="preserve"> (Наружный блок) Максимальный уровень шума: N[]</v>
      </c>
      <c r="X256" t="str">
        <f>CONCATENATE(X$2,": ",X$3,list1!X256,"]")</f>
        <v xml:space="preserve"> (Соединительные трубы) Жидкостная линия : N[9.53]</v>
      </c>
      <c r="Y256" t="str">
        <f>CONCATENATE(Y$2,": ",Y$3,list1!Y256,"]")</f>
        <v xml:space="preserve"> (Соединительные трубы) Газовая линия : N[15.88]</v>
      </c>
      <c r="Z256" t="str">
        <f>CONCATENATE(Z$2,": ",Z$3,list1!Z256,"]")</f>
        <v xml:space="preserve"> (Соединительные трубы) Максимальная длина трубопровода: N[]</v>
      </c>
      <c r="AA256" t="str">
        <f>CONCATENATE(AA$2,": ",AA$3,list1!AA256,"]")</f>
        <v xml:space="preserve"> (Соединительные трубы) Максимальный перепад высот: S[]</v>
      </c>
      <c r="AB256" t="str">
        <f>CONCATENATE(AB$2,": ",AB$3,list1!AB256,"]")</f>
        <v xml:space="preserve"> (Допустимая темп. наружного воздуха) Охлаждение: S[]</v>
      </c>
      <c r="AC256" t="str">
        <f>CONCATENATE(AC$2,": ",AC$3,list1!AC256,"]")</f>
        <v xml:space="preserve"> (Допустимая темп. наружного воздуха) Обогрев: S[]</v>
      </c>
      <c r="AD256" s="6" t="s">
        <v>5172</v>
      </c>
    </row>
    <row r="257" spans="1:30" x14ac:dyDescent="0.25">
      <c r="A257" t="str">
        <f>CONCATENATE(A$2,": ",A$3,list1!A257,"]")</f>
        <v>Производитель: E[LESSAR]</v>
      </c>
      <c r="B257" t="str">
        <f>CONCATENATE(B$2,": ",B$3,list1!B257,"]")</f>
        <v xml:space="preserve"> Тип: S[Мульти сплит система]</v>
      </c>
      <c r="C257" t="str">
        <f>CONCATENATE(C$2,": ",C$3,list1!C257,"]")</f>
        <v xml:space="preserve"> (Сплит система) Холодопроизводительность: N[4.1]</v>
      </c>
      <c r="D257" t="str">
        <f>CONCATENATE(D$2,": ",D$3,list1!D257,"]")</f>
        <v xml:space="preserve"> (Сплит система) Площадь помещения: N[41]</v>
      </c>
      <c r="E257" t="str">
        <f>CONCATENATE(E$2,": ",E$3,list1!E257,"]")</f>
        <v xml:space="preserve"> (Сплит система) Инвентор: S[да]</v>
      </c>
      <c r="F257" t="str">
        <f>CONCATENATE(F$2,": ",F$3,list1!F257,"]")</f>
        <v xml:space="preserve"> (Сплит система) Теплопроизводительность: N[4.4]</v>
      </c>
      <c r="G257" t="str">
        <f>CONCATENATE(G$2,": ",G$3,list1!G257,"]")</f>
        <v xml:space="preserve"> (Потребляемая мощность) Охлаждение: N[1.27]</v>
      </c>
      <c r="H257" t="str">
        <f>CONCATENATE(H$2,": ",H$3,list1!H257,"]")</f>
        <v xml:space="preserve"> (Потребляемая мощность) Обогрев: S[1.2]</v>
      </c>
      <c r="I257" t="str">
        <f>CONCATENATE(I$2,": ",I$3,list1!I257,"]")</f>
        <v xml:space="preserve"> (Рабочий ток) Охлаждение: S[]</v>
      </c>
      <c r="J257" t="str">
        <f>CONCATENATE(J$2,": ",J$3,list1!J257,"]")</f>
        <v xml:space="preserve"> (Рабочий ток) Обогрев: S[]</v>
      </c>
      <c r="K257" t="str">
        <f>CONCATENATE(K$2,": ",K$3,list1!K257,"]")</f>
        <v xml:space="preserve"> (Рабочий ток) Напряжение / Частота источника питания: S[1 / 220 / 50]</v>
      </c>
      <c r="L257" t="str">
        <f>CONCATENATE(L$2,": ",L$3,list1!L257,"]")</f>
        <v xml:space="preserve"> (Рабочий ток) Хладагент: S[R32]</v>
      </c>
      <c r="M257" t="str">
        <f>CONCATENATE(M$2,": ",M$3,list1!M257,"]")</f>
        <v xml:space="preserve"> (Рабочий ток) Количество хладагента: N[]</v>
      </c>
      <c r="N257" t="str">
        <f>CONCATENATE(N$2,": ",N$3,list1!N257,"]")</f>
        <v xml:space="preserve"> (Рабочий ток) Объем рециркулируемого воздуха внутреннего блока: S[]</v>
      </c>
      <c r="O257" t="str">
        <f>CONCATENATE(O$2,": ",O$3,list1!O257,"]")</f>
        <v xml:space="preserve"> (Внутренний блок) Размеры (Ш x Г x В): S[]</v>
      </c>
      <c r="P257" t="str">
        <f>CONCATENATE(P$2,": ",P$3,list1!P257,"]")</f>
        <v xml:space="preserve"> (Внутренний блок) Упаковка (Ш x Г x В): S[]</v>
      </c>
      <c r="Q257" t="str">
        <f>CONCATENATE(Q$2,": ",Q$3,list1!Q257,"]")</f>
        <v xml:space="preserve"> (Внутренний блок) Масса (нетто / брутто): S[]</v>
      </c>
      <c r="R257" t="str">
        <f>CONCATENATE(R$2,": ",R$3,list1!R257,"]")</f>
        <v xml:space="preserve"> (Внутренний блок) Уровень шума мин. / макс.: S[]</v>
      </c>
      <c r="S257" t="str">
        <f>CONCATENATE(S$2,": ",S$3,list1!S257,"]")</f>
        <v xml:space="preserve"> (Наружный блок) Марка компрессора: S[GMCC]</v>
      </c>
      <c r="T257" t="str">
        <f>CONCATENATE(T$2,": ",T$3,list1!T257,"]")</f>
        <v xml:space="preserve"> (Наружный блок) Размеры (Ш x Г x В): S[]</v>
      </c>
      <c r="U257" t="str">
        <f>CONCATENATE(U$2,": ",U$3,list1!U257,"]")</f>
        <v xml:space="preserve"> (Наружный блок) Упаковка (Ш x Г x В): S[]</v>
      </c>
      <c r="V257" t="str">
        <f>CONCATENATE(V$2,": ",V$3,list1!V257,"]")</f>
        <v xml:space="preserve"> (Наружный блок) Масса (нетто / брутто): S[]</v>
      </c>
      <c r="W257" t="str">
        <f>CONCATENATE(W$2,": ",W$3,list1!W257,"]")</f>
        <v xml:space="preserve"> (Наружный блок) Максимальный уровень шума: N[]</v>
      </c>
      <c r="X257" t="str">
        <f>CONCATENATE(X$2,": ",X$3,list1!X257,"]")</f>
        <v xml:space="preserve"> (Соединительные трубы) Жидкостная линия : N[]</v>
      </c>
      <c r="Y257" t="str">
        <f>CONCATENATE(Y$2,": ",Y$3,list1!Y257,"]")</f>
        <v xml:space="preserve"> (Соединительные трубы) Газовая линия : N[]</v>
      </c>
      <c r="Z257" t="str">
        <f>CONCATENATE(Z$2,": ",Z$3,list1!Z257,"]")</f>
        <v xml:space="preserve"> (Соединительные трубы) Максимальная длина трубопровода: N[40]</v>
      </c>
      <c r="AA257" t="str">
        <f>CONCATENATE(AA$2,": ",AA$3,list1!AA257,"]")</f>
        <v xml:space="preserve"> (Соединительные трубы) Максимальный перепад высот: S[15]</v>
      </c>
      <c r="AB257" t="str">
        <f>CONCATENATE(AB$2,": ",AB$3,list1!AB257,"]")</f>
        <v xml:space="preserve"> (Допустимая темп. наружного воздуха) Охлаждение: S[от -15 до +50]</v>
      </c>
      <c r="AC257" t="str">
        <f>CONCATENATE(AC$2,": ",AC$3,list1!AC257,"]")</f>
        <v xml:space="preserve"> (Допустимая темп. наружного воздуха) Обогрев: S[от -15 до +24]</v>
      </c>
      <c r="AD257" s="6" t="s">
        <v>5173</v>
      </c>
    </row>
    <row r="258" spans="1:30" x14ac:dyDescent="0.25">
      <c r="A258" t="str">
        <f>CONCATENATE(A$2,": ",A$3,list1!A258,"]")</f>
        <v>Производитель: E[LESSAR]</v>
      </c>
      <c r="B258" t="str">
        <f>CONCATENATE(B$2,": ",B$3,list1!B258,"]")</f>
        <v xml:space="preserve"> Тип: S[Мульти сплит система]</v>
      </c>
      <c r="C258" t="str">
        <f>CONCATENATE(C$2,": ",C$3,list1!C258,"]")</f>
        <v xml:space="preserve"> (Сплит система) Холодопроизводительность: N[4.1]</v>
      </c>
      <c r="D258" t="str">
        <f>CONCATENATE(D$2,": ",D$3,list1!D258,"]")</f>
        <v xml:space="preserve"> (Сплит система) Площадь помещения: N[41]</v>
      </c>
      <c r="E258" t="str">
        <f>CONCATENATE(E$2,": ",E$3,list1!E258,"]")</f>
        <v xml:space="preserve"> (Сплит система) Инвентор: S[да]</v>
      </c>
      <c r="F258" t="str">
        <f>CONCATENATE(F$2,": ",F$3,list1!F258,"]")</f>
        <v xml:space="preserve"> (Сплит система) Теплопроизводительность: N[4.4]</v>
      </c>
      <c r="G258" t="str">
        <f>CONCATENATE(G$2,": ",G$3,list1!G258,"]")</f>
        <v xml:space="preserve"> (Потребляемая мощность) Охлаждение: N[1.27]</v>
      </c>
      <c r="H258" t="str">
        <f>CONCATENATE(H$2,": ",H$3,list1!H258,"]")</f>
        <v xml:space="preserve"> (Потребляемая мощность) Обогрев: S[1.185]</v>
      </c>
      <c r="I258" t="str">
        <f>CONCATENATE(I$2,": ",I$3,list1!I258,"]")</f>
        <v xml:space="preserve"> (Рабочий ток) Охлаждение: S[]</v>
      </c>
      <c r="J258" t="str">
        <f>CONCATENATE(J$2,": ",J$3,list1!J258,"]")</f>
        <v xml:space="preserve"> (Рабочий ток) Обогрев: S[]</v>
      </c>
      <c r="K258" t="str">
        <f>CONCATENATE(K$2,": ",K$3,list1!K258,"]")</f>
        <v xml:space="preserve"> (Рабочий ток) Напряжение / Частота источника питания: S[1 / 220 / 50]</v>
      </c>
      <c r="L258" t="str">
        <f>CONCATENATE(L$2,": ",L$3,list1!L258,"]")</f>
        <v xml:space="preserve"> (Рабочий ток) Хладагент: S[R32]</v>
      </c>
      <c r="M258" t="str">
        <f>CONCATENATE(M$2,": ",M$3,list1!M258,"]")</f>
        <v xml:space="preserve"> (Рабочий ток) Количество хладагента: N[]</v>
      </c>
      <c r="N258" t="str">
        <f>CONCATENATE(N$2,": ",N$3,list1!N258,"]")</f>
        <v xml:space="preserve"> (Рабочий ток) Объем рециркулируемого воздуха внутреннего блока: S[]</v>
      </c>
      <c r="O258" t="str">
        <f>CONCATENATE(O$2,": ",O$3,list1!O258,"]")</f>
        <v xml:space="preserve"> (Внутренний блок) Размеры (Ш x Г x В): S[]</v>
      </c>
      <c r="P258" t="str">
        <f>CONCATENATE(P$2,": ",P$3,list1!P258,"]")</f>
        <v xml:space="preserve"> (Внутренний блок) Упаковка (Ш x Г x В): S[]</v>
      </c>
      <c r="Q258" t="str">
        <f>CONCATENATE(Q$2,": ",Q$3,list1!Q258,"]")</f>
        <v xml:space="preserve"> (Внутренний блок) Масса (нетто / брутто): S[]</v>
      </c>
      <c r="R258" t="str">
        <f>CONCATENATE(R$2,": ",R$3,list1!R258,"]")</f>
        <v xml:space="preserve"> (Внутренний блок) Уровень шума мин. / макс.: S[]</v>
      </c>
      <c r="S258" t="str">
        <f>CONCATENATE(S$2,": ",S$3,list1!S258,"]")</f>
        <v xml:space="preserve"> (Наружный блок) Марка компрессора: S[GMCC]</v>
      </c>
      <c r="T258" t="str">
        <f>CONCATENATE(T$2,": ",T$3,list1!T258,"]")</f>
        <v xml:space="preserve"> (Наружный блок) Размеры (Ш x Г x В): S[]</v>
      </c>
      <c r="U258" t="str">
        <f>CONCATENATE(U$2,": ",U$3,list1!U258,"]")</f>
        <v xml:space="preserve"> (Наружный блок) Упаковка (Ш x Г x В): S[]</v>
      </c>
      <c r="V258" t="str">
        <f>CONCATENATE(V$2,": ",V$3,list1!V258,"]")</f>
        <v xml:space="preserve"> (Наружный блок) Масса (нетто / брутто): S[]</v>
      </c>
      <c r="W258" t="str">
        <f>CONCATENATE(W$2,": ",W$3,list1!W258,"]")</f>
        <v xml:space="preserve"> (Наружный блок) Максимальный уровень шума: N[]</v>
      </c>
      <c r="X258" t="str">
        <f>CONCATENATE(X$2,": ",X$3,list1!X258,"]")</f>
        <v xml:space="preserve"> (Соединительные трубы) Жидкостная линия : N[]</v>
      </c>
      <c r="Y258" t="str">
        <f>CONCATENATE(Y$2,": ",Y$3,list1!Y258,"]")</f>
        <v xml:space="preserve"> (Соединительные трубы) Газовая линия : N[]</v>
      </c>
      <c r="Z258" t="str">
        <f>CONCATENATE(Z$2,": ",Z$3,list1!Z258,"]")</f>
        <v xml:space="preserve"> (Соединительные трубы) Максимальная длина трубопровода: N[40]</v>
      </c>
      <c r="AA258" t="str">
        <f>CONCATENATE(AA$2,": ",AA$3,list1!AA258,"]")</f>
        <v xml:space="preserve"> (Соединительные трубы) Максимальный перепад высот: S[15]</v>
      </c>
      <c r="AB258" t="str">
        <f>CONCATENATE(AB$2,": ",AB$3,list1!AB258,"]")</f>
        <v xml:space="preserve"> (Допустимая темп. наружного воздуха) Охлаждение: S[от -15 до +50]</v>
      </c>
      <c r="AC258" t="str">
        <f>CONCATENATE(AC$2,": ",AC$3,list1!AC258,"]")</f>
        <v xml:space="preserve"> (Допустимая темп. наружного воздуха) Обогрев: S[от -15 до +24]</v>
      </c>
      <c r="AD258" s="6" t="s">
        <v>5173</v>
      </c>
    </row>
    <row r="259" spans="1:30" x14ac:dyDescent="0.25">
      <c r="A259" t="str">
        <f>CONCATENATE(A$2,": ",A$3,list1!A259,"]")</f>
        <v>Производитель: E[LESSAR]</v>
      </c>
      <c r="B259" t="str">
        <f>CONCATENATE(B$2,": ",B$3,list1!B259,"]")</f>
        <v xml:space="preserve"> Тип: S[Мульти сплит система]</v>
      </c>
      <c r="C259" t="str">
        <f>CONCATENATE(C$2,": ",C$3,list1!C259,"]")</f>
        <v xml:space="preserve"> (Сплит система) Холодопроизводительность: N[5.28]</v>
      </c>
      <c r="D259" t="str">
        <f>CONCATENATE(D$2,": ",D$3,list1!D259,"]")</f>
        <v xml:space="preserve"> (Сплит система) Площадь помещения: N[52]</v>
      </c>
      <c r="E259" t="str">
        <f>CONCATENATE(E$2,": ",E$3,list1!E259,"]")</f>
        <v xml:space="preserve"> (Сплит система) Инвентор: S[да]</v>
      </c>
      <c r="F259" t="str">
        <f>CONCATENATE(F$2,": ",F$3,list1!F259,"]")</f>
        <v xml:space="preserve"> (Сплит система) Теплопроизводительность: N[5.57]</v>
      </c>
      <c r="G259" t="str">
        <f>CONCATENATE(G$2,": ",G$3,list1!G259,"]")</f>
        <v xml:space="preserve"> (Потребляемая мощность) Охлаждение: N[1.63]</v>
      </c>
      <c r="H259" t="str">
        <f>CONCATENATE(H$2,": ",H$3,list1!H259,"]")</f>
        <v xml:space="preserve"> (Потребляемая мощность) Обогрев: S[1.5]</v>
      </c>
      <c r="I259" t="str">
        <f>CONCATENATE(I$2,": ",I$3,list1!I259,"]")</f>
        <v xml:space="preserve"> (Рабочий ток) Охлаждение: S[]</v>
      </c>
      <c r="J259" t="str">
        <f>CONCATENATE(J$2,": ",J$3,list1!J259,"]")</f>
        <v xml:space="preserve"> (Рабочий ток) Обогрев: S[]</v>
      </c>
      <c r="K259" t="str">
        <f>CONCATENATE(K$2,": ",K$3,list1!K259,"]")</f>
        <v xml:space="preserve"> (Рабочий ток) Напряжение / Частота источника питания: S[1 / 220 / 50]</v>
      </c>
      <c r="L259" t="str">
        <f>CONCATENATE(L$2,": ",L$3,list1!L259,"]")</f>
        <v xml:space="preserve"> (Рабочий ток) Хладагент: S[R32]</v>
      </c>
      <c r="M259" t="str">
        <f>CONCATENATE(M$2,": ",M$3,list1!M259,"]")</f>
        <v xml:space="preserve"> (Рабочий ток) Количество хладагента: N[]</v>
      </c>
      <c r="N259" t="str">
        <f>CONCATENATE(N$2,": ",N$3,list1!N259,"]")</f>
        <v xml:space="preserve"> (Рабочий ток) Объем рециркулируемого воздуха внутреннего блока: S[]</v>
      </c>
      <c r="O259" t="str">
        <f>CONCATENATE(O$2,": ",O$3,list1!O259,"]")</f>
        <v xml:space="preserve"> (Внутренний блок) Размеры (Ш x Г x В): S[]</v>
      </c>
      <c r="P259" t="str">
        <f>CONCATENATE(P$2,": ",P$3,list1!P259,"]")</f>
        <v xml:space="preserve"> (Внутренний блок) Упаковка (Ш x Г x В): S[]</v>
      </c>
      <c r="Q259" t="str">
        <f>CONCATENATE(Q$2,": ",Q$3,list1!Q259,"]")</f>
        <v xml:space="preserve"> (Внутренний блок) Масса (нетто / брутто): S[]</v>
      </c>
      <c r="R259" t="str">
        <f>CONCATENATE(R$2,": ",R$3,list1!R259,"]")</f>
        <v xml:space="preserve"> (Внутренний блок) Уровень шума мин. / макс.: S[]</v>
      </c>
      <c r="S259" t="str">
        <f>CONCATENATE(S$2,": ",S$3,list1!S259,"]")</f>
        <v xml:space="preserve"> (Наружный блок) Марка компрессора: S[GMCC]</v>
      </c>
      <c r="T259" t="str">
        <f>CONCATENATE(T$2,": ",T$3,list1!T259,"]")</f>
        <v xml:space="preserve"> (Наружный блок) Размеры (Ш x Г x В): S[]</v>
      </c>
      <c r="U259" t="str">
        <f>CONCATENATE(U$2,": ",U$3,list1!U259,"]")</f>
        <v xml:space="preserve"> (Наружный блок) Упаковка (Ш x Г x В): S[]</v>
      </c>
      <c r="V259" t="str">
        <f>CONCATENATE(V$2,": ",V$3,list1!V259,"]")</f>
        <v xml:space="preserve"> (Наружный блок) Масса (нетто / брутто): S[]</v>
      </c>
      <c r="W259" t="str">
        <f>CONCATENATE(W$2,": ",W$3,list1!W259,"]")</f>
        <v xml:space="preserve"> (Наружный блок) Максимальный уровень шума: N[]</v>
      </c>
      <c r="X259" t="str">
        <f>CONCATENATE(X$2,": ",X$3,list1!X259,"]")</f>
        <v xml:space="preserve"> (Соединительные трубы) Жидкостная линия : N[]</v>
      </c>
      <c r="Y259" t="str">
        <f>CONCATENATE(Y$2,": ",Y$3,list1!Y259,"]")</f>
        <v xml:space="preserve"> (Соединительные трубы) Газовая линия : N[]</v>
      </c>
      <c r="Z259" t="str">
        <f>CONCATENATE(Z$2,": ",Z$3,list1!Z259,"]")</f>
        <v xml:space="preserve"> (Соединительные трубы) Максимальная длина трубопровода: N[40]</v>
      </c>
      <c r="AA259" t="str">
        <f>CONCATENATE(AA$2,": ",AA$3,list1!AA259,"]")</f>
        <v xml:space="preserve"> (Соединительные трубы) Максимальный перепад высот: S[15]</v>
      </c>
      <c r="AB259" t="str">
        <f>CONCATENATE(AB$2,": ",AB$3,list1!AB259,"]")</f>
        <v xml:space="preserve"> (Допустимая темп. наружного воздуха) Охлаждение: S[от -15 до +50]</v>
      </c>
      <c r="AC259" t="str">
        <f>CONCATENATE(AC$2,": ",AC$3,list1!AC259,"]")</f>
        <v xml:space="preserve"> (Допустимая темп. наружного воздуха) Обогрев: S[от -15 до +24]</v>
      </c>
      <c r="AD259" s="6" t="s">
        <v>5173</v>
      </c>
    </row>
    <row r="260" spans="1:30" x14ac:dyDescent="0.25">
      <c r="A260" t="str">
        <f>CONCATENATE(A$2,": ",A$3,list1!A260,"]")</f>
        <v>Производитель: E[LESSAR]</v>
      </c>
      <c r="B260" t="str">
        <f>CONCATENATE(B$2,": ",B$3,list1!B260,"]")</f>
        <v xml:space="preserve"> Тип: S[Мульти сплит система]</v>
      </c>
      <c r="C260" t="str">
        <f>CONCATENATE(C$2,": ",C$3,list1!C260,"]")</f>
        <v xml:space="preserve"> (Сплит система) Холодопроизводительность: N[5.28]</v>
      </c>
      <c r="D260" t="str">
        <f>CONCATENATE(D$2,": ",D$3,list1!D260,"]")</f>
        <v xml:space="preserve"> (Сплит система) Площадь помещения: N[52]</v>
      </c>
      <c r="E260" t="str">
        <f>CONCATENATE(E$2,": ",E$3,list1!E260,"]")</f>
        <v xml:space="preserve"> (Сплит система) Инвентор: S[да]</v>
      </c>
      <c r="F260" t="str">
        <f>CONCATENATE(F$2,": ",F$3,list1!F260,"]")</f>
        <v xml:space="preserve"> (Сплит система) Теплопроизводительность: N[5.57]</v>
      </c>
      <c r="G260" t="str">
        <f>CONCATENATE(G$2,": ",G$3,list1!G260,"]")</f>
        <v xml:space="preserve"> (Потребляемая мощность) Охлаждение: N[1.635]</v>
      </c>
      <c r="H260" t="str">
        <f>CONCATENATE(H$2,": ",H$3,list1!H260,"]")</f>
        <v xml:space="preserve"> (Потребляемая мощность) Обогрев: S[1.5]</v>
      </c>
      <c r="I260" t="str">
        <f>CONCATENATE(I$2,": ",I$3,list1!I260,"]")</f>
        <v xml:space="preserve"> (Рабочий ток) Охлаждение: S[]</v>
      </c>
      <c r="J260" t="str">
        <f>CONCATENATE(J$2,": ",J$3,list1!J260,"]")</f>
        <v xml:space="preserve"> (Рабочий ток) Обогрев: S[]</v>
      </c>
      <c r="K260" t="str">
        <f>CONCATENATE(K$2,": ",K$3,list1!K260,"]")</f>
        <v xml:space="preserve"> (Рабочий ток) Напряжение / Частота источника питания: S[1 / 220 / 50]</v>
      </c>
      <c r="L260" t="str">
        <f>CONCATENATE(L$2,": ",L$3,list1!L260,"]")</f>
        <v xml:space="preserve"> (Рабочий ток) Хладагент: S[R32]</v>
      </c>
      <c r="M260" t="str">
        <f>CONCATENATE(M$2,": ",M$3,list1!M260,"]")</f>
        <v xml:space="preserve"> (Рабочий ток) Количество хладагента: N[]</v>
      </c>
      <c r="N260" t="str">
        <f>CONCATENATE(N$2,": ",N$3,list1!N260,"]")</f>
        <v xml:space="preserve"> (Рабочий ток) Объем рециркулируемого воздуха внутреннего блока: S[]</v>
      </c>
      <c r="O260" t="str">
        <f>CONCATENATE(O$2,": ",O$3,list1!O260,"]")</f>
        <v xml:space="preserve"> (Внутренний блок) Размеры (Ш x Г x В): S[]</v>
      </c>
      <c r="P260" t="str">
        <f>CONCATENATE(P$2,": ",P$3,list1!P260,"]")</f>
        <v xml:space="preserve"> (Внутренний блок) Упаковка (Ш x Г x В): S[]</v>
      </c>
      <c r="Q260" t="str">
        <f>CONCATENATE(Q$2,": ",Q$3,list1!Q260,"]")</f>
        <v xml:space="preserve"> (Внутренний блок) Масса (нетто / брутто): S[]</v>
      </c>
      <c r="R260" t="str">
        <f>CONCATENATE(R$2,": ",R$3,list1!R260,"]")</f>
        <v xml:space="preserve"> (Внутренний блок) Уровень шума мин. / макс.: S[]</v>
      </c>
      <c r="S260" t="str">
        <f>CONCATENATE(S$2,": ",S$3,list1!S260,"]")</f>
        <v xml:space="preserve"> (Наружный блок) Марка компрессора: S[GMCC]</v>
      </c>
      <c r="T260" t="str">
        <f>CONCATENATE(T$2,": ",T$3,list1!T260,"]")</f>
        <v xml:space="preserve"> (Наружный блок) Размеры (Ш x Г x В): S[]</v>
      </c>
      <c r="U260" t="str">
        <f>CONCATENATE(U$2,": ",U$3,list1!U260,"]")</f>
        <v xml:space="preserve"> (Наружный блок) Упаковка (Ш x Г x В): S[]</v>
      </c>
      <c r="V260" t="str">
        <f>CONCATENATE(V$2,": ",V$3,list1!V260,"]")</f>
        <v xml:space="preserve"> (Наружный блок) Масса (нетто / брутто): S[]</v>
      </c>
      <c r="W260" t="str">
        <f>CONCATENATE(W$2,": ",W$3,list1!W260,"]")</f>
        <v xml:space="preserve"> (Наружный блок) Максимальный уровень шума: N[]</v>
      </c>
      <c r="X260" t="str">
        <f>CONCATENATE(X$2,": ",X$3,list1!X260,"]")</f>
        <v xml:space="preserve"> (Соединительные трубы) Жидкостная линия : N[]</v>
      </c>
      <c r="Y260" t="str">
        <f>CONCATENATE(Y$2,": ",Y$3,list1!Y260,"]")</f>
        <v xml:space="preserve"> (Соединительные трубы) Газовая линия : N[]</v>
      </c>
      <c r="Z260" t="str">
        <f>CONCATENATE(Z$2,": ",Z$3,list1!Z260,"]")</f>
        <v xml:space="preserve"> (Соединительные трубы) Максимальная длина трубопровода: N[40]</v>
      </c>
      <c r="AA260" t="str">
        <f>CONCATENATE(AA$2,": ",AA$3,list1!AA260,"]")</f>
        <v xml:space="preserve"> (Соединительные трубы) Максимальный перепад высот: S[15]</v>
      </c>
      <c r="AB260" t="str">
        <f>CONCATENATE(AB$2,": ",AB$3,list1!AB260,"]")</f>
        <v xml:space="preserve"> (Допустимая темп. наружного воздуха) Охлаждение: S[от -15 до +50]</v>
      </c>
      <c r="AC260" t="str">
        <f>CONCATENATE(AC$2,": ",AC$3,list1!AC260,"]")</f>
        <v xml:space="preserve"> (Допустимая темп. наружного воздуха) Обогрев: S[от -15 до +24]</v>
      </c>
      <c r="AD260" s="6" t="s">
        <v>5173</v>
      </c>
    </row>
    <row r="261" spans="1:30" x14ac:dyDescent="0.25">
      <c r="A261" t="str">
        <f>CONCATENATE(A$2,": ",A$3,list1!A261,"]")</f>
        <v>Производитель: E[LESSAR]</v>
      </c>
      <c r="B261" t="str">
        <f>CONCATENATE(B$2,": ",B$3,list1!B261,"]")</f>
        <v xml:space="preserve"> Тип: S[Мульти сплит система]</v>
      </c>
      <c r="C261" t="str">
        <f>CONCATENATE(C$2,": ",C$3,list1!C261,"]")</f>
        <v xml:space="preserve"> (Сплит система) Холодопроизводительность: N[6.15]</v>
      </c>
      <c r="D261" t="str">
        <f>CONCATENATE(D$2,": ",D$3,list1!D261,"]")</f>
        <v xml:space="preserve"> (Сплит система) Площадь помещения: N[61]</v>
      </c>
      <c r="E261" t="str">
        <f>CONCATENATE(E$2,": ",E$3,list1!E261,"]")</f>
        <v xml:space="preserve"> (Сплит система) Инвентор: S[да]</v>
      </c>
      <c r="F261" t="str">
        <f>CONCATENATE(F$2,": ",F$3,list1!F261,"]")</f>
        <v xml:space="preserve"> (Сплит система) Теплопроизводительность: N[6.59]</v>
      </c>
      <c r="G261" t="str">
        <f>CONCATENATE(G$2,": ",G$3,list1!G261,"]")</f>
        <v xml:space="preserve"> (Потребляемая мощность) Охлаждение: N[1.9]</v>
      </c>
      <c r="H261" t="str">
        <f>CONCATENATE(H$2,": ",H$3,list1!H261,"]")</f>
        <v xml:space="preserve"> (Потребляемая мощность) Обогрев: S[1.77]</v>
      </c>
      <c r="I261" t="str">
        <f>CONCATENATE(I$2,": ",I$3,list1!I261,"]")</f>
        <v xml:space="preserve"> (Рабочий ток) Охлаждение: S[]</v>
      </c>
      <c r="J261" t="str">
        <f>CONCATENATE(J$2,": ",J$3,list1!J261,"]")</f>
        <v xml:space="preserve"> (Рабочий ток) Обогрев: S[]</v>
      </c>
      <c r="K261" t="str">
        <f>CONCATENATE(K$2,": ",K$3,list1!K261,"]")</f>
        <v xml:space="preserve"> (Рабочий ток) Напряжение / Частота источника питания: S[1 / 220 / 50]</v>
      </c>
      <c r="L261" t="str">
        <f>CONCATENATE(L$2,": ",L$3,list1!L261,"]")</f>
        <v xml:space="preserve"> (Рабочий ток) Хладагент: S[R32]</v>
      </c>
      <c r="M261" t="str">
        <f>CONCATENATE(M$2,": ",M$3,list1!M261,"]")</f>
        <v xml:space="preserve"> (Рабочий ток) Количество хладагента: N[]</v>
      </c>
      <c r="N261" t="str">
        <f>CONCATENATE(N$2,": ",N$3,list1!N261,"]")</f>
        <v xml:space="preserve"> (Рабочий ток) Объем рециркулируемого воздуха внутреннего блока: S[]</v>
      </c>
      <c r="O261" t="str">
        <f>CONCATENATE(O$2,": ",O$3,list1!O261,"]")</f>
        <v xml:space="preserve"> (Внутренний блок) Размеры (Ш x Г x В): S[]</v>
      </c>
      <c r="P261" t="str">
        <f>CONCATENATE(P$2,": ",P$3,list1!P261,"]")</f>
        <v xml:space="preserve"> (Внутренний блок) Упаковка (Ш x Г x В): S[]</v>
      </c>
      <c r="Q261" t="str">
        <f>CONCATENATE(Q$2,": ",Q$3,list1!Q261,"]")</f>
        <v xml:space="preserve"> (Внутренний блок) Масса (нетто / брутто): S[]</v>
      </c>
      <c r="R261" t="str">
        <f>CONCATENATE(R$2,": ",R$3,list1!R261,"]")</f>
        <v xml:space="preserve"> (Внутренний блок) Уровень шума мин. / макс.: S[]</v>
      </c>
      <c r="S261" t="str">
        <f>CONCATENATE(S$2,": ",S$3,list1!S261,"]")</f>
        <v xml:space="preserve"> (Наружный блок) Марка компрессора: S[GMCC]</v>
      </c>
      <c r="T261" t="str">
        <f>CONCATENATE(T$2,": ",T$3,list1!T261,"]")</f>
        <v xml:space="preserve"> (Наружный блок) Размеры (Ш x Г x В): S[]</v>
      </c>
      <c r="U261" t="str">
        <f>CONCATENATE(U$2,": ",U$3,list1!U261,"]")</f>
        <v xml:space="preserve"> (Наружный блок) Упаковка (Ш x Г x В): S[]</v>
      </c>
      <c r="V261" t="str">
        <f>CONCATENATE(V$2,": ",V$3,list1!V261,"]")</f>
        <v xml:space="preserve"> (Наружный блок) Масса (нетто / брутто): S[]</v>
      </c>
      <c r="W261" t="str">
        <f>CONCATENATE(W$2,": ",W$3,list1!W261,"]")</f>
        <v xml:space="preserve"> (Наружный блок) Максимальный уровень шума: N[]</v>
      </c>
      <c r="X261" t="str">
        <f>CONCATENATE(X$2,": ",X$3,list1!X261,"]")</f>
        <v xml:space="preserve"> (Соединительные трубы) Жидкостная линия : N[]</v>
      </c>
      <c r="Y261" t="str">
        <f>CONCATENATE(Y$2,": ",Y$3,list1!Y261,"]")</f>
        <v xml:space="preserve"> (Соединительные трубы) Газовая линия : N[]</v>
      </c>
      <c r="Z261" t="str">
        <f>CONCATENATE(Z$2,": ",Z$3,list1!Z261,"]")</f>
        <v xml:space="preserve"> (Соединительные трубы) Максимальная длина трубопровода: N[60]</v>
      </c>
      <c r="AA261" t="str">
        <f>CONCATENATE(AA$2,": ",AA$3,list1!AA261,"]")</f>
        <v xml:space="preserve"> (Соединительные трубы) Максимальный перепад высот: S[15]</v>
      </c>
      <c r="AB261" t="str">
        <f>CONCATENATE(AB$2,": ",AB$3,list1!AB261,"]")</f>
        <v xml:space="preserve"> (Допустимая темп. наружного воздуха) Охлаждение: S[от -15 до +50]</v>
      </c>
      <c r="AC261" t="str">
        <f>CONCATENATE(AC$2,": ",AC$3,list1!AC261,"]")</f>
        <v xml:space="preserve"> (Допустимая темп. наружного воздуха) Обогрев: S[от -15 до +24]</v>
      </c>
      <c r="AD261" s="6" t="s">
        <v>5173</v>
      </c>
    </row>
    <row r="262" spans="1:30" x14ac:dyDescent="0.25">
      <c r="A262" t="str">
        <f>CONCATENATE(A$2,": ",A$3,list1!A262,"]")</f>
        <v>Производитель: E[LESSAR]</v>
      </c>
      <c r="B262" t="str">
        <f>CONCATENATE(B$2,": ",B$3,list1!B262,"]")</f>
        <v xml:space="preserve"> Тип: S[Мульти сплит система]</v>
      </c>
      <c r="C262" t="str">
        <f>CONCATENATE(C$2,": ",C$3,list1!C262,"]")</f>
        <v xml:space="preserve"> (Сплит система) Холодопроизводительность: N[6.15]</v>
      </c>
      <c r="D262" t="str">
        <f>CONCATENATE(D$2,": ",D$3,list1!D262,"]")</f>
        <v xml:space="preserve"> (Сплит система) Площадь помещения: N[61]</v>
      </c>
      <c r="E262" t="str">
        <f>CONCATENATE(E$2,": ",E$3,list1!E262,"]")</f>
        <v xml:space="preserve"> (Сплит система) Инвентор: S[да]</v>
      </c>
      <c r="F262" t="str">
        <f>CONCATENATE(F$2,": ",F$3,list1!F262,"]")</f>
        <v xml:space="preserve"> (Сплит система) Теплопроизводительность: N[6.45]</v>
      </c>
      <c r="G262" t="str">
        <f>CONCATENATE(G$2,": ",G$3,list1!G262,"]")</f>
        <v xml:space="preserve"> (Потребляемая мощность) Охлаждение: N[1.905]</v>
      </c>
      <c r="H262" t="str">
        <f>CONCATENATE(H$2,": ",H$3,list1!H262,"]")</f>
        <v xml:space="preserve"> (Потребляемая мощность) Обогрев: S[1.738]</v>
      </c>
      <c r="I262" t="str">
        <f>CONCATENATE(I$2,": ",I$3,list1!I262,"]")</f>
        <v xml:space="preserve"> (Рабочий ток) Охлаждение: S[]</v>
      </c>
      <c r="J262" t="str">
        <f>CONCATENATE(J$2,": ",J$3,list1!J262,"]")</f>
        <v xml:space="preserve"> (Рабочий ток) Обогрев: S[]</v>
      </c>
      <c r="K262" t="str">
        <f>CONCATENATE(K$2,": ",K$3,list1!K262,"]")</f>
        <v xml:space="preserve"> (Рабочий ток) Напряжение / Частота источника питания: S[1 / 220 / 50]</v>
      </c>
      <c r="L262" t="str">
        <f>CONCATENATE(L$2,": ",L$3,list1!L262,"]")</f>
        <v xml:space="preserve"> (Рабочий ток) Хладагент: S[R32]</v>
      </c>
      <c r="M262" t="str">
        <f>CONCATENATE(M$2,": ",M$3,list1!M262,"]")</f>
        <v xml:space="preserve"> (Рабочий ток) Количество хладагента: N[]</v>
      </c>
      <c r="N262" t="str">
        <f>CONCATENATE(N$2,": ",N$3,list1!N262,"]")</f>
        <v xml:space="preserve"> (Рабочий ток) Объем рециркулируемого воздуха внутреннего блока: S[]</v>
      </c>
      <c r="O262" t="str">
        <f>CONCATENATE(O$2,": ",O$3,list1!O262,"]")</f>
        <v xml:space="preserve"> (Внутренний блок) Размеры (Ш x Г x В): S[]</v>
      </c>
      <c r="P262" t="str">
        <f>CONCATENATE(P$2,": ",P$3,list1!P262,"]")</f>
        <v xml:space="preserve"> (Внутренний блок) Упаковка (Ш x Г x В): S[]</v>
      </c>
      <c r="Q262" t="str">
        <f>CONCATENATE(Q$2,": ",Q$3,list1!Q262,"]")</f>
        <v xml:space="preserve"> (Внутренний блок) Масса (нетто / брутто): S[]</v>
      </c>
      <c r="R262" t="str">
        <f>CONCATENATE(R$2,": ",R$3,list1!R262,"]")</f>
        <v xml:space="preserve"> (Внутренний блок) Уровень шума мин. / макс.: S[]</v>
      </c>
      <c r="S262" t="str">
        <f>CONCATENATE(S$2,": ",S$3,list1!S262,"]")</f>
        <v xml:space="preserve"> (Наружный блок) Марка компрессора: S[GMCC]</v>
      </c>
      <c r="T262" t="str">
        <f>CONCATENATE(T$2,": ",T$3,list1!T262,"]")</f>
        <v xml:space="preserve"> (Наружный блок) Размеры (Ш x Г x В): S[]</v>
      </c>
      <c r="U262" t="str">
        <f>CONCATENATE(U$2,": ",U$3,list1!U262,"]")</f>
        <v xml:space="preserve"> (Наружный блок) Упаковка (Ш x Г x В): S[]</v>
      </c>
      <c r="V262" t="str">
        <f>CONCATENATE(V$2,": ",V$3,list1!V262,"]")</f>
        <v xml:space="preserve"> (Наружный блок) Масса (нетто / брутто): S[]</v>
      </c>
      <c r="W262" t="str">
        <f>CONCATENATE(W$2,": ",W$3,list1!W262,"]")</f>
        <v xml:space="preserve"> (Наружный блок) Максимальный уровень шума: N[]</v>
      </c>
      <c r="X262" t="str">
        <f>CONCATENATE(X$2,": ",X$3,list1!X262,"]")</f>
        <v xml:space="preserve"> (Соединительные трубы) Жидкостная линия : N[]</v>
      </c>
      <c r="Y262" t="str">
        <f>CONCATENATE(Y$2,": ",Y$3,list1!Y262,"]")</f>
        <v xml:space="preserve"> (Соединительные трубы) Газовая линия : N[]</v>
      </c>
      <c r="Z262" t="str">
        <f>CONCATENATE(Z$2,": ",Z$3,list1!Z262,"]")</f>
        <v xml:space="preserve"> (Соединительные трубы) Максимальная длина трубопровода: N[60]</v>
      </c>
      <c r="AA262" t="str">
        <f>CONCATENATE(AA$2,": ",AA$3,list1!AA262,"]")</f>
        <v xml:space="preserve"> (Соединительные трубы) Максимальный перепад высот: S[15]</v>
      </c>
      <c r="AB262" t="str">
        <f>CONCATENATE(AB$2,": ",AB$3,list1!AB262,"]")</f>
        <v xml:space="preserve"> (Допустимая темп. наружного воздуха) Охлаждение: S[от -15 до +50]</v>
      </c>
      <c r="AC262" t="str">
        <f>CONCATENATE(AC$2,": ",AC$3,list1!AC262,"]")</f>
        <v xml:space="preserve"> (Допустимая темп. наружного воздуха) Обогрев: S[от -15 до +24]</v>
      </c>
      <c r="AD262" s="6" t="s">
        <v>5173</v>
      </c>
    </row>
    <row r="263" spans="1:30" x14ac:dyDescent="0.25">
      <c r="A263" t="str">
        <f>CONCATENATE(A$2,": ",A$3,list1!A263,"]")</f>
        <v>Производитель: E[LESSAR]</v>
      </c>
      <c r="B263" t="str">
        <f>CONCATENATE(B$2,": ",B$3,list1!B263,"]")</f>
        <v xml:space="preserve"> Тип: S[Мульти сплит система]</v>
      </c>
      <c r="C263" t="str">
        <f>CONCATENATE(C$2,": ",C$3,list1!C263,"]")</f>
        <v xml:space="preserve"> (Сплит система) Холодопроизводительность: N[7.91]</v>
      </c>
      <c r="D263" t="str">
        <f>CONCATENATE(D$2,": ",D$3,list1!D263,"]")</f>
        <v xml:space="preserve"> (Сплит система) Площадь помещения: N[79]</v>
      </c>
      <c r="E263" t="str">
        <f>CONCATENATE(E$2,": ",E$3,list1!E263,"]")</f>
        <v xml:space="preserve"> (Сплит система) Инвентор: S[да]</v>
      </c>
      <c r="F263" t="str">
        <f>CONCATENATE(F$2,": ",F$3,list1!F263,"]")</f>
        <v xml:space="preserve"> (Сплит система) Теплопроизводительность: N[8.21]</v>
      </c>
      <c r="G263" t="str">
        <f>CONCATENATE(G$2,": ",G$3,list1!G263,"]")</f>
        <v xml:space="preserve"> (Потребляемая мощность) Охлаждение: N[2.45]</v>
      </c>
      <c r="H263" t="str">
        <f>CONCATENATE(H$2,": ",H$3,list1!H263,"]")</f>
        <v xml:space="preserve"> (Потребляемая мощность) Обогрев: S[2.2]</v>
      </c>
      <c r="I263" t="str">
        <f>CONCATENATE(I$2,": ",I$3,list1!I263,"]")</f>
        <v xml:space="preserve"> (Рабочий ток) Охлаждение: S[]</v>
      </c>
      <c r="J263" t="str">
        <f>CONCATENATE(J$2,": ",J$3,list1!J263,"]")</f>
        <v xml:space="preserve"> (Рабочий ток) Обогрев: S[]</v>
      </c>
      <c r="K263" t="str">
        <f>CONCATENATE(K$2,": ",K$3,list1!K263,"]")</f>
        <v xml:space="preserve"> (Рабочий ток) Напряжение / Частота источника питания: S[1 / 220 / 50]</v>
      </c>
      <c r="L263" t="str">
        <f>CONCATENATE(L$2,": ",L$3,list1!L263,"]")</f>
        <v xml:space="preserve"> (Рабочий ток) Хладагент: S[R32]</v>
      </c>
      <c r="M263" t="str">
        <f>CONCATENATE(M$2,": ",M$3,list1!M263,"]")</f>
        <v xml:space="preserve"> (Рабочий ток) Количество хладагента: N[]</v>
      </c>
      <c r="N263" t="str">
        <f>CONCATENATE(N$2,": ",N$3,list1!N263,"]")</f>
        <v xml:space="preserve"> (Рабочий ток) Объем рециркулируемого воздуха внутреннего блока: S[]</v>
      </c>
      <c r="O263" t="str">
        <f>CONCATENATE(O$2,": ",O$3,list1!O263,"]")</f>
        <v xml:space="preserve"> (Внутренний блок) Размеры (Ш x Г x В): S[]</v>
      </c>
      <c r="P263" t="str">
        <f>CONCATENATE(P$2,": ",P$3,list1!P263,"]")</f>
        <v xml:space="preserve"> (Внутренний блок) Упаковка (Ш x Г x В): S[]</v>
      </c>
      <c r="Q263" t="str">
        <f>CONCATENATE(Q$2,": ",Q$3,list1!Q263,"]")</f>
        <v xml:space="preserve"> (Внутренний блок) Масса (нетто / брутто): S[]</v>
      </c>
      <c r="R263" t="str">
        <f>CONCATENATE(R$2,": ",R$3,list1!R263,"]")</f>
        <v xml:space="preserve"> (Внутренний блок) Уровень шума мин. / макс.: S[]</v>
      </c>
      <c r="S263" t="str">
        <f>CONCATENATE(S$2,": ",S$3,list1!S263,"]")</f>
        <v xml:space="preserve"> (Наружный блок) Марка компрессора: S[GMCC]</v>
      </c>
      <c r="T263" t="str">
        <f>CONCATENATE(T$2,": ",T$3,list1!T263,"]")</f>
        <v xml:space="preserve"> (Наружный блок) Размеры (Ш x Г x В): S[]</v>
      </c>
      <c r="U263" t="str">
        <f>CONCATENATE(U$2,": ",U$3,list1!U263,"]")</f>
        <v xml:space="preserve"> (Наружный блок) Упаковка (Ш x Г x В): S[]</v>
      </c>
      <c r="V263" t="str">
        <f>CONCATENATE(V$2,": ",V$3,list1!V263,"]")</f>
        <v xml:space="preserve"> (Наружный блок) Масса (нетто / брутто): S[]</v>
      </c>
      <c r="W263" t="str">
        <f>CONCATENATE(W$2,": ",W$3,list1!W263,"]")</f>
        <v xml:space="preserve"> (Наружный блок) Максимальный уровень шума: N[]</v>
      </c>
      <c r="X263" t="str">
        <f>CONCATENATE(X$2,": ",X$3,list1!X263,"]")</f>
        <v xml:space="preserve"> (Соединительные трубы) Жидкостная линия : N[]</v>
      </c>
      <c r="Y263" t="str">
        <f>CONCATENATE(Y$2,": ",Y$3,list1!Y263,"]")</f>
        <v xml:space="preserve"> (Соединительные трубы) Газовая линия : N[]</v>
      </c>
      <c r="Z263" t="str">
        <f>CONCATENATE(Z$2,": ",Z$3,list1!Z263,"]")</f>
        <v xml:space="preserve"> (Соединительные трубы) Максимальная длина трубопровода: N[60]</v>
      </c>
      <c r="AA263" t="str">
        <f>CONCATENATE(AA$2,": ",AA$3,list1!AA263,"]")</f>
        <v xml:space="preserve"> (Соединительные трубы) Максимальный перепад высот: S[15]</v>
      </c>
      <c r="AB263" t="str">
        <f>CONCATENATE(AB$2,": ",AB$3,list1!AB263,"]")</f>
        <v xml:space="preserve"> (Допустимая темп. наружного воздуха) Охлаждение: S[от -15 до +50]</v>
      </c>
      <c r="AC263" t="str">
        <f>CONCATENATE(AC$2,": ",AC$3,list1!AC263,"]")</f>
        <v xml:space="preserve"> (Допустимая темп. наружного воздуха) Обогрев: S[от -15 до +24]</v>
      </c>
      <c r="AD263" s="6" t="s">
        <v>5173</v>
      </c>
    </row>
    <row r="264" spans="1:30" x14ac:dyDescent="0.25">
      <c r="A264" t="str">
        <f>CONCATENATE(A$2,": ",A$3,list1!A264,"]")</f>
        <v>Производитель: E[LESSAR]</v>
      </c>
      <c r="B264" t="str">
        <f>CONCATENATE(B$2,": ",B$3,list1!B264,"]")</f>
        <v xml:space="preserve"> Тип: S[Мульти сплит система]</v>
      </c>
      <c r="C264" t="str">
        <f>CONCATENATE(C$2,": ",C$3,list1!C264,"]")</f>
        <v xml:space="preserve"> (Сплит система) Холодопроизводительность: N[7.91]</v>
      </c>
      <c r="D264" t="str">
        <f>CONCATENATE(D$2,": ",D$3,list1!D264,"]")</f>
        <v xml:space="preserve"> (Сплит система) Площадь помещения: N[79]</v>
      </c>
      <c r="E264" t="str">
        <f>CONCATENATE(E$2,": ",E$3,list1!E264,"]")</f>
        <v xml:space="preserve"> (Сплит система) Инвентор: S[да]</v>
      </c>
      <c r="F264" t="str">
        <f>CONCATENATE(F$2,": ",F$3,list1!F264,"]")</f>
        <v xml:space="preserve"> (Сплит система) Теплопроизводительность: N[7.91]</v>
      </c>
      <c r="G264" t="str">
        <f>CONCATENATE(G$2,": ",G$3,list1!G264,"]")</f>
        <v xml:space="preserve"> (Потребляемая мощность) Охлаждение: N[2.45]</v>
      </c>
      <c r="H264" t="str">
        <f>CONCATENATE(H$2,": ",H$3,list1!H264,"]")</f>
        <v xml:space="preserve"> (Потребляемая мощность) Обогрев: S[2.12]</v>
      </c>
      <c r="I264" t="str">
        <f>CONCATENATE(I$2,": ",I$3,list1!I264,"]")</f>
        <v xml:space="preserve"> (Рабочий ток) Охлаждение: S[]</v>
      </c>
      <c r="J264" t="str">
        <f>CONCATENATE(J$2,": ",J$3,list1!J264,"]")</f>
        <v xml:space="preserve"> (Рабочий ток) Обогрев: S[]</v>
      </c>
      <c r="K264" t="str">
        <f>CONCATENATE(K$2,": ",K$3,list1!K264,"]")</f>
        <v xml:space="preserve"> (Рабочий ток) Напряжение / Частота источника питания: S[1 / 220 / 50]</v>
      </c>
      <c r="L264" t="str">
        <f>CONCATENATE(L$2,": ",L$3,list1!L264,"]")</f>
        <v xml:space="preserve"> (Рабочий ток) Хладагент: S[R32]</v>
      </c>
      <c r="M264" t="str">
        <f>CONCATENATE(M$2,": ",M$3,list1!M264,"]")</f>
        <v xml:space="preserve"> (Рабочий ток) Количество хладагента: N[]</v>
      </c>
      <c r="N264" t="str">
        <f>CONCATENATE(N$2,": ",N$3,list1!N264,"]")</f>
        <v xml:space="preserve"> (Рабочий ток) Объем рециркулируемого воздуха внутреннего блока: S[]</v>
      </c>
      <c r="O264" t="str">
        <f>CONCATENATE(O$2,": ",O$3,list1!O264,"]")</f>
        <v xml:space="preserve"> (Внутренний блок) Размеры (Ш x Г x В): S[]</v>
      </c>
      <c r="P264" t="str">
        <f>CONCATENATE(P$2,": ",P$3,list1!P264,"]")</f>
        <v xml:space="preserve"> (Внутренний блок) Упаковка (Ш x Г x В): S[]</v>
      </c>
      <c r="Q264" t="str">
        <f>CONCATENATE(Q$2,": ",Q$3,list1!Q264,"]")</f>
        <v xml:space="preserve"> (Внутренний блок) Масса (нетто / брутто): S[]</v>
      </c>
      <c r="R264" t="str">
        <f>CONCATENATE(R$2,": ",R$3,list1!R264,"]")</f>
        <v xml:space="preserve"> (Внутренний блок) Уровень шума мин. / макс.: S[]</v>
      </c>
      <c r="S264" t="str">
        <f>CONCATENATE(S$2,": ",S$3,list1!S264,"]")</f>
        <v xml:space="preserve"> (Наружный блок) Марка компрессора: S[GMCC]</v>
      </c>
      <c r="T264" t="str">
        <f>CONCATENATE(T$2,": ",T$3,list1!T264,"]")</f>
        <v xml:space="preserve"> (Наружный блок) Размеры (Ш x Г x В): S[]</v>
      </c>
      <c r="U264" t="str">
        <f>CONCATENATE(U$2,": ",U$3,list1!U264,"]")</f>
        <v xml:space="preserve"> (Наружный блок) Упаковка (Ш x Г x В): S[]</v>
      </c>
      <c r="V264" t="str">
        <f>CONCATENATE(V$2,": ",V$3,list1!V264,"]")</f>
        <v xml:space="preserve"> (Наружный блок) Масса (нетто / брутто): S[]</v>
      </c>
      <c r="W264" t="str">
        <f>CONCATENATE(W$2,": ",W$3,list1!W264,"]")</f>
        <v xml:space="preserve"> (Наружный блок) Максимальный уровень шума: N[]</v>
      </c>
      <c r="X264" t="str">
        <f>CONCATENATE(X$2,": ",X$3,list1!X264,"]")</f>
        <v xml:space="preserve"> (Соединительные трубы) Жидкостная линия : N[]</v>
      </c>
      <c r="Y264" t="str">
        <f>CONCATENATE(Y$2,": ",Y$3,list1!Y264,"]")</f>
        <v xml:space="preserve"> (Соединительные трубы) Газовая линия : N[]</v>
      </c>
      <c r="Z264" t="str">
        <f>CONCATENATE(Z$2,": ",Z$3,list1!Z264,"]")</f>
        <v xml:space="preserve"> (Соединительные трубы) Максимальная длина трубопровода: N[60]</v>
      </c>
      <c r="AA264" t="str">
        <f>CONCATENATE(AA$2,": ",AA$3,list1!AA264,"]")</f>
        <v xml:space="preserve"> (Соединительные трубы) Максимальный перепад высот: S[15]</v>
      </c>
      <c r="AB264" t="str">
        <f>CONCATENATE(AB$2,": ",AB$3,list1!AB264,"]")</f>
        <v xml:space="preserve"> (Допустимая темп. наружного воздуха) Охлаждение: S[от -15 до +50]</v>
      </c>
      <c r="AC264" t="str">
        <f>CONCATENATE(AC$2,": ",AC$3,list1!AC264,"]")</f>
        <v xml:space="preserve"> (Допустимая темп. наружного воздуха) Обогрев: S[от -15 до +24]</v>
      </c>
      <c r="AD264" s="6" t="s">
        <v>5173</v>
      </c>
    </row>
    <row r="265" spans="1:30" x14ac:dyDescent="0.25">
      <c r="A265" t="str">
        <f>CONCATENATE(A$2,": ",A$3,list1!A265,"]")</f>
        <v>Производитель: E[LESSAR]</v>
      </c>
      <c r="B265" t="str">
        <f>CONCATENATE(B$2,": ",B$3,list1!B265,"]")</f>
        <v xml:space="preserve"> Тип: S[Мульти сплит система]</v>
      </c>
      <c r="C265" t="str">
        <f>CONCATENATE(C$2,": ",C$3,list1!C265,"]")</f>
        <v xml:space="preserve"> (Сплит система) Холодопроизводительность: N[8.21]</v>
      </c>
      <c r="D265" t="str">
        <f>CONCATENATE(D$2,": ",D$3,list1!D265,"]")</f>
        <v xml:space="preserve"> (Сплит система) Площадь помещения: N[82]</v>
      </c>
      <c r="E265" t="str">
        <f>CONCATENATE(E$2,": ",E$3,list1!E265,"]")</f>
        <v xml:space="preserve"> (Сплит система) Инвентор: S[да]</v>
      </c>
      <c r="F265" t="str">
        <f>CONCATENATE(F$2,": ",F$3,list1!F265,"]")</f>
        <v xml:space="preserve"> (Сплит система) Теплопроизводительность: N[8.79]</v>
      </c>
      <c r="G265" t="str">
        <f>CONCATENATE(G$2,": ",G$3,list1!G265,"]")</f>
        <v xml:space="preserve"> (Потребляемая мощность) Охлаждение: N[2.5]</v>
      </c>
      <c r="H265" t="str">
        <f>CONCATENATE(H$2,": ",H$3,list1!H265,"]")</f>
        <v xml:space="preserve"> (Потребляемая мощность) Обогрев: S[2.4]</v>
      </c>
      <c r="I265" t="str">
        <f>CONCATENATE(I$2,": ",I$3,list1!I265,"]")</f>
        <v xml:space="preserve"> (Рабочий ток) Охлаждение: S[]</v>
      </c>
      <c r="J265" t="str">
        <f>CONCATENATE(J$2,": ",J$3,list1!J265,"]")</f>
        <v xml:space="preserve"> (Рабочий ток) Обогрев: S[]</v>
      </c>
      <c r="K265" t="str">
        <f>CONCATENATE(K$2,": ",K$3,list1!K265,"]")</f>
        <v xml:space="preserve"> (Рабочий ток) Напряжение / Частота источника питания: S[1 / 220 / 50]</v>
      </c>
      <c r="L265" t="str">
        <f>CONCATENATE(L$2,": ",L$3,list1!L265,"]")</f>
        <v xml:space="preserve"> (Рабочий ток) Хладагент: S[R32]</v>
      </c>
      <c r="M265" t="str">
        <f>CONCATENATE(M$2,": ",M$3,list1!M265,"]")</f>
        <v xml:space="preserve"> (Рабочий ток) Количество хладагента: N[]</v>
      </c>
      <c r="N265" t="str">
        <f>CONCATENATE(N$2,": ",N$3,list1!N265,"]")</f>
        <v xml:space="preserve"> (Рабочий ток) Объем рециркулируемого воздуха внутреннего блока: S[]</v>
      </c>
      <c r="O265" t="str">
        <f>CONCATENATE(O$2,": ",O$3,list1!O265,"]")</f>
        <v xml:space="preserve"> (Внутренний блок) Размеры (Ш x Г x В): S[]</v>
      </c>
      <c r="P265" t="str">
        <f>CONCATENATE(P$2,": ",P$3,list1!P265,"]")</f>
        <v xml:space="preserve"> (Внутренний блок) Упаковка (Ш x Г x В): S[]</v>
      </c>
      <c r="Q265" t="str">
        <f>CONCATENATE(Q$2,": ",Q$3,list1!Q265,"]")</f>
        <v xml:space="preserve"> (Внутренний блок) Масса (нетто / брутто): S[]</v>
      </c>
      <c r="R265" t="str">
        <f>CONCATENATE(R$2,": ",R$3,list1!R265,"]")</f>
        <v xml:space="preserve"> (Внутренний блок) Уровень шума мин. / макс.: S[]</v>
      </c>
      <c r="S265" t="str">
        <f>CONCATENATE(S$2,": ",S$3,list1!S265,"]")</f>
        <v xml:space="preserve"> (Наружный блок) Марка компрессора: S[GMCC]</v>
      </c>
      <c r="T265" t="str">
        <f>CONCATENATE(T$2,": ",T$3,list1!T265,"]")</f>
        <v xml:space="preserve"> (Наружный блок) Размеры (Ш x Г x В): S[]</v>
      </c>
      <c r="U265" t="str">
        <f>CONCATENATE(U$2,": ",U$3,list1!U265,"]")</f>
        <v xml:space="preserve"> (Наружный блок) Упаковка (Ш x Г x В): S[]</v>
      </c>
      <c r="V265" t="str">
        <f>CONCATENATE(V$2,": ",V$3,list1!V265,"]")</f>
        <v xml:space="preserve"> (Наружный блок) Масса (нетто / брутто): S[]</v>
      </c>
      <c r="W265" t="str">
        <f>CONCATENATE(W$2,": ",W$3,list1!W265,"]")</f>
        <v xml:space="preserve"> (Наружный блок) Максимальный уровень шума: N[]</v>
      </c>
      <c r="X265" t="str">
        <f>CONCATENATE(X$2,": ",X$3,list1!X265,"]")</f>
        <v xml:space="preserve"> (Соединительные трубы) Жидкостная линия : N[]</v>
      </c>
      <c r="Y265" t="str">
        <f>CONCATENATE(Y$2,": ",Y$3,list1!Y265,"]")</f>
        <v xml:space="preserve"> (Соединительные трубы) Газовая линия : N[]</v>
      </c>
      <c r="Z265" t="str">
        <f>CONCATENATE(Z$2,": ",Z$3,list1!Z265,"]")</f>
        <v xml:space="preserve"> (Соединительные трубы) Максимальная длина трубопровода: N[80]</v>
      </c>
      <c r="AA265" t="str">
        <f>CONCATENATE(AA$2,": ",AA$3,list1!AA265,"]")</f>
        <v xml:space="preserve"> (Соединительные трубы) Максимальный перепад высот: S[15]</v>
      </c>
      <c r="AB265" t="str">
        <f>CONCATENATE(AB$2,": ",AB$3,list1!AB265,"]")</f>
        <v xml:space="preserve"> (Допустимая темп. наружного воздуха) Охлаждение: S[от -15 до +50]</v>
      </c>
      <c r="AC265" t="str">
        <f>CONCATENATE(AC$2,": ",AC$3,list1!AC265,"]")</f>
        <v xml:space="preserve"> (Допустимая темп. наружного воздуха) Обогрев: S[от -15 до +24]</v>
      </c>
      <c r="AD265" s="6" t="s">
        <v>5173</v>
      </c>
    </row>
    <row r="266" spans="1:30" x14ac:dyDescent="0.25">
      <c r="A266" t="str">
        <f>CONCATENATE(A$2,": ",A$3,list1!A266,"]")</f>
        <v>Производитель: E[LESSAR]</v>
      </c>
      <c r="B266" t="str">
        <f>CONCATENATE(B$2,": ",B$3,list1!B266,"]")</f>
        <v xml:space="preserve"> Тип: S[Мульти сплит система]</v>
      </c>
      <c r="C266" t="str">
        <f>CONCATENATE(C$2,": ",C$3,list1!C266,"]")</f>
        <v xml:space="preserve"> (Сплит система) Холодопроизводительность: N[10.55]</v>
      </c>
      <c r="D266" t="str">
        <f>CONCATENATE(D$2,": ",D$3,list1!D266,"]")</f>
        <v xml:space="preserve"> (Сплит система) Площадь помещения: N[100]</v>
      </c>
      <c r="E266" t="str">
        <f>CONCATENATE(E$2,": ",E$3,list1!E266,"]")</f>
        <v xml:space="preserve"> (Сплит система) Инвентор: S[да]</v>
      </c>
      <c r="F266" t="str">
        <f>CONCATENATE(F$2,": ",F$3,list1!F266,"]")</f>
        <v xml:space="preserve"> (Сплит система) Теплопроизводительность: N[10.55]</v>
      </c>
      <c r="G266" t="str">
        <f>CONCATENATE(G$2,": ",G$3,list1!G266,"]")</f>
        <v xml:space="preserve"> (Потребляемая мощность) Охлаждение: N[3.517]</v>
      </c>
      <c r="H266" t="str">
        <f>CONCATENATE(H$2,": ",H$3,list1!H266,"]")</f>
        <v xml:space="preserve"> (Потребляемая мощность) Обогрев: S[2.88]</v>
      </c>
      <c r="I266" t="str">
        <f>CONCATENATE(I$2,": ",I$3,list1!I266,"]")</f>
        <v xml:space="preserve"> (Рабочий ток) Охлаждение: S[]</v>
      </c>
      <c r="J266" t="str">
        <f>CONCATENATE(J$2,": ",J$3,list1!J266,"]")</f>
        <v xml:space="preserve"> (Рабочий ток) Обогрев: S[]</v>
      </c>
      <c r="K266" t="str">
        <f>CONCATENATE(K$2,": ",K$3,list1!K266,"]")</f>
        <v xml:space="preserve"> (Рабочий ток) Напряжение / Частота источника питания: S[1 / 220 / 50]</v>
      </c>
      <c r="L266" t="str">
        <f>CONCATENATE(L$2,": ",L$3,list1!L266,"]")</f>
        <v xml:space="preserve"> (Рабочий ток) Хладагент: S[R32]</v>
      </c>
      <c r="M266" t="str">
        <f>CONCATENATE(M$2,": ",M$3,list1!M266,"]")</f>
        <v xml:space="preserve"> (Рабочий ток) Количество хладагента: N[]</v>
      </c>
      <c r="N266" t="str">
        <f>CONCATENATE(N$2,": ",N$3,list1!N266,"]")</f>
        <v xml:space="preserve"> (Рабочий ток) Объем рециркулируемого воздуха внутреннего блока: S[]</v>
      </c>
      <c r="O266" t="str">
        <f>CONCATENATE(O$2,": ",O$3,list1!O266,"]")</f>
        <v xml:space="preserve"> (Внутренний блок) Размеры (Ш x Г x В): S[]</v>
      </c>
      <c r="P266" t="str">
        <f>CONCATENATE(P$2,": ",P$3,list1!P266,"]")</f>
        <v xml:space="preserve"> (Внутренний блок) Упаковка (Ш x Г x В): S[]</v>
      </c>
      <c r="Q266" t="str">
        <f>CONCATENATE(Q$2,": ",Q$3,list1!Q266,"]")</f>
        <v xml:space="preserve"> (Внутренний блок) Масса (нетто / брутто): S[]</v>
      </c>
      <c r="R266" t="str">
        <f>CONCATENATE(R$2,": ",R$3,list1!R266,"]")</f>
        <v xml:space="preserve"> (Внутренний блок) Уровень шума мин. / макс.: S[]</v>
      </c>
      <c r="S266" t="str">
        <f>CONCATENATE(S$2,": ",S$3,list1!S266,"]")</f>
        <v xml:space="preserve"> (Наружный блок) Марка компрессора: S[GMCC]</v>
      </c>
      <c r="T266" t="str">
        <f>CONCATENATE(T$2,": ",T$3,list1!T266,"]")</f>
        <v xml:space="preserve"> (Наружный блок) Размеры (Ш x Г x В): S[]</v>
      </c>
      <c r="U266" t="str">
        <f>CONCATENATE(U$2,": ",U$3,list1!U266,"]")</f>
        <v xml:space="preserve"> (Наружный блок) Упаковка (Ш x Г x В): S[]</v>
      </c>
      <c r="V266" t="str">
        <f>CONCATENATE(V$2,": ",V$3,list1!V266,"]")</f>
        <v xml:space="preserve"> (Наружный блок) Масса (нетто / брутто): S[]</v>
      </c>
      <c r="W266" t="str">
        <f>CONCATENATE(W$2,": ",W$3,list1!W266,"]")</f>
        <v xml:space="preserve"> (Наружный блок) Максимальный уровень шума: N[]</v>
      </c>
      <c r="X266" t="str">
        <f>CONCATENATE(X$2,": ",X$3,list1!X266,"]")</f>
        <v xml:space="preserve"> (Соединительные трубы) Жидкостная линия : N[]</v>
      </c>
      <c r="Y266" t="str">
        <f>CONCATENATE(Y$2,": ",Y$3,list1!Y266,"]")</f>
        <v xml:space="preserve"> (Соединительные трубы) Газовая линия : N[]</v>
      </c>
      <c r="Z266" t="str">
        <f>CONCATENATE(Z$2,": ",Z$3,list1!Z266,"]")</f>
        <v xml:space="preserve"> (Соединительные трубы) Максимальная длина трубопровода: N[80]</v>
      </c>
      <c r="AA266" t="str">
        <f>CONCATENATE(AA$2,": ",AA$3,list1!AA266,"]")</f>
        <v xml:space="preserve"> (Соединительные трубы) Максимальный перепад высот: S[15]</v>
      </c>
      <c r="AB266" t="str">
        <f>CONCATENATE(AB$2,": ",AB$3,list1!AB266,"]")</f>
        <v xml:space="preserve"> (Допустимая темп. наружного воздуха) Охлаждение: S[от -15 до +50]</v>
      </c>
      <c r="AC266" t="str">
        <f>CONCATENATE(AC$2,": ",AC$3,list1!AC266,"]")</f>
        <v xml:space="preserve"> (Допустимая темп. наружного воздуха) Обогрев: S[от -15 до +24]</v>
      </c>
      <c r="AD266" s="6" t="s">
        <v>5173</v>
      </c>
    </row>
    <row r="267" spans="1:30" x14ac:dyDescent="0.25">
      <c r="A267" t="str">
        <f>CONCATENATE(A$2,": ",A$3,list1!A267,"]")</f>
        <v>Производитель: E[LESSAR]</v>
      </c>
      <c r="B267" t="str">
        <f>CONCATENATE(B$2,": ",B$3,list1!B267,"]")</f>
        <v xml:space="preserve"> Тип: S[Мульти сплит система]</v>
      </c>
      <c r="C267" t="str">
        <f>CONCATENATE(C$2,": ",C$3,list1!C267,"]")</f>
        <v xml:space="preserve"> (Сплит система) Холодопроизводительность: N[12.31]</v>
      </c>
      <c r="D267" t="str">
        <f>CONCATENATE(D$2,": ",D$3,list1!D267,"]")</f>
        <v xml:space="preserve"> (Сплит система) Площадь помещения: N[120]</v>
      </c>
      <c r="E267" t="str">
        <f>CONCATENATE(E$2,": ",E$3,list1!E267,"]")</f>
        <v xml:space="preserve"> (Сплит система) Инвентор: S[да]</v>
      </c>
      <c r="F267" t="str">
        <f>CONCATENATE(F$2,": ",F$3,list1!F267,"]")</f>
        <v xml:space="preserve"> (Сплит система) Теплопроизводительность: N[12.31]</v>
      </c>
      <c r="G267" t="str">
        <f>CONCATENATE(G$2,": ",G$3,list1!G267,"]")</f>
        <v xml:space="preserve"> (Потребляемая мощность) Охлаждение: N[3.8]</v>
      </c>
      <c r="H267" t="str">
        <f>CONCATENATE(H$2,": ",H$3,list1!H267,"]")</f>
        <v xml:space="preserve"> (Потребляемая мощность) Обогрев: S[3.3]</v>
      </c>
      <c r="I267" t="str">
        <f>CONCATENATE(I$2,": ",I$3,list1!I267,"]")</f>
        <v xml:space="preserve"> (Рабочий ток) Охлаждение: S[]</v>
      </c>
      <c r="J267" t="str">
        <f>CONCATENATE(J$2,": ",J$3,list1!J267,"]")</f>
        <v xml:space="preserve"> (Рабочий ток) Обогрев: S[]</v>
      </c>
      <c r="K267" t="str">
        <f>CONCATENATE(K$2,": ",K$3,list1!K267,"]")</f>
        <v xml:space="preserve"> (Рабочий ток) Напряжение / Частота источника питания: S[1 / 220 / 50]</v>
      </c>
      <c r="L267" t="str">
        <f>CONCATENATE(L$2,": ",L$3,list1!L267,"]")</f>
        <v xml:space="preserve"> (Рабочий ток) Хладагент: S[R32]</v>
      </c>
      <c r="M267" t="str">
        <f>CONCATENATE(M$2,": ",M$3,list1!M267,"]")</f>
        <v xml:space="preserve"> (Рабочий ток) Количество хладагента: N[]</v>
      </c>
      <c r="N267" t="str">
        <f>CONCATENATE(N$2,": ",N$3,list1!N267,"]")</f>
        <v xml:space="preserve"> (Рабочий ток) Объем рециркулируемого воздуха внутреннего блока: S[]</v>
      </c>
      <c r="O267" t="str">
        <f>CONCATENATE(O$2,": ",O$3,list1!O267,"]")</f>
        <v xml:space="preserve"> (Внутренний блок) Размеры (Ш x Г x В): S[]</v>
      </c>
      <c r="P267" t="str">
        <f>CONCATENATE(P$2,": ",P$3,list1!P267,"]")</f>
        <v xml:space="preserve"> (Внутренний блок) Упаковка (Ш x Г x В): S[]</v>
      </c>
      <c r="Q267" t="str">
        <f>CONCATENATE(Q$2,": ",Q$3,list1!Q267,"]")</f>
        <v xml:space="preserve"> (Внутренний блок) Масса (нетто / брутто): S[]</v>
      </c>
      <c r="R267" t="str">
        <f>CONCATENATE(R$2,": ",R$3,list1!R267,"]")</f>
        <v xml:space="preserve"> (Внутренний блок) Уровень шума мин. / макс.: S[]</v>
      </c>
      <c r="S267" t="str">
        <f>CONCATENATE(S$2,": ",S$3,list1!S267,"]")</f>
        <v xml:space="preserve"> (Наружный блок) Марка компрессора: S[GMCC]</v>
      </c>
      <c r="T267" t="str">
        <f>CONCATENATE(T$2,": ",T$3,list1!T267,"]")</f>
        <v xml:space="preserve"> (Наружный блок) Размеры (Ш x Г x В): S[]</v>
      </c>
      <c r="U267" t="str">
        <f>CONCATENATE(U$2,": ",U$3,list1!U267,"]")</f>
        <v xml:space="preserve"> (Наружный блок) Упаковка (Ш x Г x В): S[]</v>
      </c>
      <c r="V267" t="str">
        <f>CONCATENATE(V$2,": ",V$3,list1!V267,"]")</f>
        <v xml:space="preserve"> (Наружный блок) Масса (нетто / брутто): S[]</v>
      </c>
      <c r="W267" t="str">
        <f>CONCATENATE(W$2,": ",W$3,list1!W267,"]")</f>
        <v xml:space="preserve"> (Наружный блок) Максимальный уровень шума: N[]</v>
      </c>
      <c r="X267" t="str">
        <f>CONCATENATE(X$2,": ",X$3,list1!X267,"]")</f>
        <v xml:space="preserve"> (Соединительные трубы) Жидкостная линия : N[]</v>
      </c>
      <c r="Y267" t="str">
        <f>CONCATENATE(Y$2,": ",Y$3,list1!Y267,"]")</f>
        <v xml:space="preserve"> (Соединительные трубы) Газовая линия : N[]</v>
      </c>
      <c r="Z267" t="str">
        <f>CONCATENATE(Z$2,": ",Z$3,list1!Z267,"]")</f>
        <v xml:space="preserve"> (Соединительные трубы) Максимальная длина трубопровода: N[80]</v>
      </c>
      <c r="AA267" t="str">
        <f>CONCATENATE(AA$2,": ",AA$3,list1!AA267,"]")</f>
        <v xml:space="preserve"> (Соединительные трубы) Максимальный перепад высот: S[15]</v>
      </c>
      <c r="AB267" t="str">
        <f>CONCATENATE(AB$2,": ",AB$3,list1!AB267,"]")</f>
        <v xml:space="preserve"> (Допустимая темп. наружного воздуха) Охлаждение: S[от -15 до +50]</v>
      </c>
      <c r="AC267" t="str">
        <f>CONCATENATE(AC$2,": ",AC$3,list1!AC267,"]")</f>
        <v xml:space="preserve"> (Допустимая темп. наружного воздуха) Обогрев: S[от -15 до +24]</v>
      </c>
      <c r="AD267" s="6" t="s">
        <v>5173</v>
      </c>
    </row>
    <row r="268" spans="1:30" x14ac:dyDescent="0.25">
      <c r="A268" t="str">
        <f>CONCATENATE(A$2,": ",A$3,list1!A268,"]")</f>
        <v>Производитель: E[QUATTROCLIMA]</v>
      </c>
      <c r="B268" t="str">
        <f>CONCATENATE(B$2,": ",B$3,list1!B268,"]")</f>
        <v xml:space="preserve"> Тип: S[Сплит система]</v>
      </c>
      <c r="C268" t="str">
        <f>CONCATENATE(C$2,": ",C$3,list1!C268,"]")</f>
        <v xml:space="preserve"> (Сплит система) Холодопроизводительность: N[2.05]</v>
      </c>
      <c r="D268" t="str">
        <f>CONCATENATE(D$2,": ",D$3,list1!D268,"]")</f>
        <v xml:space="preserve"> (Сплит система) Площадь помещения: N[21]</v>
      </c>
      <c r="E268" t="str">
        <f>CONCATENATE(E$2,": ",E$3,list1!E268,"]")</f>
        <v xml:space="preserve"> (Сплит система) Инвентор: S[нет]</v>
      </c>
      <c r="F268" t="str">
        <f>CONCATENATE(F$2,": ",F$3,list1!F268,"]")</f>
        <v xml:space="preserve"> (Сплит система) Теплопроизводительность: N[2.2]</v>
      </c>
      <c r="G268" t="str">
        <f>CONCATENATE(G$2,": ",G$3,list1!G268,"]")</f>
        <v xml:space="preserve"> (Потребляемая мощность) Охлаждение: N[0.64]</v>
      </c>
      <c r="H268" t="str">
        <f>CONCATENATE(H$2,": ",H$3,list1!H268,"]")</f>
        <v xml:space="preserve"> (Потребляемая мощность) Обогрев: S[0.61]</v>
      </c>
      <c r="I268" t="str">
        <f>CONCATENATE(I$2,": ",I$3,list1!I268,"]")</f>
        <v xml:space="preserve"> (Рабочий ток) Охлаждение: S[]</v>
      </c>
      <c r="J268" t="str">
        <f>CONCATENATE(J$2,": ",J$3,list1!J268,"]")</f>
        <v xml:space="preserve"> (Рабочий ток) Обогрев: S[]</v>
      </c>
      <c r="K268" t="str">
        <f>CONCATENATE(K$2,": ",K$3,list1!K268,"]")</f>
        <v xml:space="preserve"> (Рабочий ток) Напряжение / Частота источника питания: S[1 / 220 / 50]</v>
      </c>
      <c r="L268" t="str">
        <f>CONCATENATE(L$2,": ",L$3,list1!L268,"]")</f>
        <v xml:space="preserve"> (Рабочий ток) Хладагент: S[R410A]</v>
      </c>
      <c r="M268" t="str">
        <f>CONCATENATE(M$2,": ",M$3,list1!M268,"]")</f>
        <v xml:space="preserve"> (Рабочий ток) Количество хладагента: N[]</v>
      </c>
      <c r="N268" t="str">
        <f>CONCATENATE(N$2,": ",N$3,list1!N268,"]")</f>
        <v xml:space="preserve"> (Рабочий ток) Объем рециркулируемого воздуха внутреннего блока: S[]</v>
      </c>
      <c r="O268" t="str">
        <f>CONCATENATE(O$2,": ",O$3,list1!O268,"]")</f>
        <v xml:space="preserve"> (Внутренний блок) Размеры (Ш x Г x В): S[698 х 255 х 190]</v>
      </c>
      <c r="P268" t="str">
        <f>CONCATENATE(P$2,": ",P$3,list1!P268,"]")</f>
        <v xml:space="preserve"> (Внутренний блок) Упаковка (Ш x Г x В): S[764 х 257 х 325]</v>
      </c>
      <c r="Q268" t="str">
        <f>CONCATENATE(Q$2,": ",Q$3,list1!Q268,"]")</f>
        <v xml:space="preserve"> (Внутренний блок) Масса (нетто / брутто): S[7 / 8.5]</v>
      </c>
      <c r="R268" t="str">
        <f>CONCATENATE(R$2,": ",R$3,list1!R268,"]")</f>
        <v xml:space="preserve"> (Внутренний блок) Уровень шума мин. / макс.: S[24/26/28/31/34]</v>
      </c>
      <c r="S268" t="str">
        <f>CONCATENATE(S$2,": ",S$3,list1!S268,"]")</f>
        <v xml:space="preserve"> (Наружный блок) Марка компрессора: S[GMCC]</v>
      </c>
      <c r="T268" t="str">
        <f>CONCATENATE(T$2,": ",T$3,list1!T268,"]")</f>
        <v xml:space="preserve"> (Наружный блок) Размеры (Ш x Г x В): S[777 х 290 х 498]</v>
      </c>
      <c r="U268" t="str">
        <f>CONCATENATE(U$2,": ",U$3,list1!U268,"]")</f>
        <v xml:space="preserve"> (Наружный блок) Упаковка (Ш x Г x В): S[818 х 325 х 520]</v>
      </c>
      <c r="V268" t="str">
        <f>CONCATENATE(V$2,": ",V$3,list1!V268,"]")</f>
        <v xml:space="preserve"> (Наружный блок) Масса (нетто / брутто): S[22/25]</v>
      </c>
      <c r="W268" t="str">
        <f>CONCATENATE(W$2,": ",W$3,list1!W268,"]")</f>
        <v xml:space="preserve"> (Наружный блок) Максимальный уровень шума: N[]</v>
      </c>
      <c r="X268" t="str">
        <f>CONCATENATE(X$2,": ",X$3,list1!X268,"]")</f>
        <v xml:space="preserve"> (Соединительные трубы) Жидкостная линия : N[6.35]</v>
      </c>
      <c r="Y268" t="str">
        <f>CONCATENATE(Y$2,": ",Y$3,list1!Y268,"]")</f>
        <v xml:space="preserve"> (Соединительные трубы) Газовая линия : N[9.52]</v>
      </c>
      <c r="Z268" t="str">
        <f>CONCATENATE(Z$2,": ",Z$3,list1!Z268,"]")</f>
        <v xml:space="preserve"> (Соединительные трубы) Максимальная длина трубопровода: N[15]</v>
      </c>
      <c r="AA268" t="str">
        <f>CONCATENATE(AA$2,": ",AA$3,list1!AA268,"]")</f>
        <v xml:space="preserve"> (Соединительные трубы) Максимальный перепад высот: S[5]</v>
      </c>
      <c r="AB268" t="str">
        <f>CONCATENATE(AB$2,": ",AB$3,list1!AB268,"]")</f>
        <v xml:space="preserve"> (Допустимая темп. наружного воздуха) Охлаждение: S[от 15 до +43]</v>
      </c>
      <c r="AC268" t="str">
        <f>CONCATENATE(AC$2,": ",AC$3,list1!AC268,"]")</f>
        <v xml:space="preserve"> (Допустимая темп. наружного воздуха) Обогрев: S[от -7 до +24]</v>
      </c>
      <c r="AD268" s="6" t="s">
        <v>5245</v>
      </c>
    </row>
    <row r="269" spans="1:30" x14ac:dyDescent="0.25">
      <c r="A269" t="str">
        <f>CONCATENATE(A$2,": ",A$3,list1!A269,"]")</f>
        <v>Производитель: E[QUATTROCLIMA]</v>
      </c>
      <c r="B269" t="str">
        <f>CONCATENATE(B$2,": ",B$3,list1!B269,"]")</f>
        <v xml:space="preserve"> Тип: S[Сплит система]</v>
      </c>
      <c r="C269" t="str">
        <f>CONCATENATE(C$2,": ",C$3,list1!C269,"]")</f>
        <v xml:space="preserve"> (Сплит система) Холодопроизводительность: N[2.2]</v>
      </c>
      <c r="D269" t="str">
        <f>CONCATENATE(D$2,": ",D$3,list1!D269,"]")</f>
        <v xml:space="preserve"> (Сплит система) Площадь помещения: N[22]</v>
      </c>
      <c r="E269" t="str">
        <f>CONCATENATE(E$2,": ",E$3,list1!E269,"]")</f>
        <v xml:space="preserve"> (Сплит система) Инвентор: S[нет]</v>
      </c>
      <c r="F269" t="str">
        <f>CONCATENATE(F$2,": ",F$3,list1!F269,"]")</f>
        <v xml:space="preserve"> (Сплит система) Теплопроизводительность: N[2.2]</v>
      </c>
      <c r="G269" t="str">
        <f>CONCATENATE(G$2,": ",G$3,list1!G269,"]")</f>
        <v xml:space="preserve"> (Потребляемая мощность) Охлаждение: N[0.685]</v>
      </c>
      <c r="H269" t="str">
        <f>CONCATENATE(H$2,": ",H$3,list1!H269,"]")</f>
        <v xml:space="preserve"> (Потребляемая мощность) Обогрев: S[0.609]</v>
      </c>
      <c r="I269" t="str">
        <f>CONCATENATE(I$2,": ",I$3,list1!I269,"]")</f>
        <v xml:space="preserve"> (Рабочий ток) Охлаждение: S[]</v>
      </c>
      <c r="J269" t="str">
        <f>CONCATENATE(J$2,": ",J$3,list1!J269,"]")</f>
        <v xml:space="preserve"> (Рабочий ток) Обогрев: S[]</v>
      </c>
      <c r="K269" t="str">
        <f>CONCATENATE(K$2,": ",K$3,list1!K269,"]")</f>
        <v xml:space="preserve"> (Рабочий ток) Напряжение / Частота источника питания: S[1 / 220 / 50]</v>
      </c>
      <c r="L269" t="str">
        <f>CONCATENATE(L$2,": ",L$3,list1!L269,"]")</f>
        <v xml:space="preserve"> (Рабочий ток) Хладагент: S[R410A]</v>
      </c>
      <c r="M269" t="str">
        <f>CONCATENATE(M$2,": ",M$3,list1!M269,"]")</f>
        <v xml:space="preserve"> (Рабочий ток) Количество хладагента: N[]</v>
      </c>
      <c r="N269" t="str">
        <f>CONCATENATE(N$2,": ",N$3,list1!N269,"]")</f>
        <v xml:space="preserve"> (Рабочий ток) Объем рециркулируемого воздуха внутреннего блока: S[]</v>
      </c>
      <c r="O269" t="str">
        <f>CONCATENATE(O$2,": ",O$3,list1!O269,"]")</f>
        <v xml:space="preserve"> (Внутренний блок) Размеры (Ш x Г x В): S[777 х 250 х 201]</v>
      </c>
      <c r="P269" t="str">
        <f>CONCATENATE(P$2,": ",P$3,list1!P269,"]")</f>
        <v xml:space="preserve"> (Внутренний блок) Упаковка (Ш x Г x В): S[850 х 275 х 320]</v>
      </c>
      <c r="Q269" t="str">
        <f>CONCATENATE(Q$2,": ",Q$3,list1!Q269,"]")</f>
        <v xml:space="preserve"> (Внутренний блок) Масса (нетто / брутто): S[7.5 / 9.5]</v>
      </c>
      <c r="R269" t="str">
        <f>CONCATENATE(R$2,": ",R$3,list1!R269,"]")</f>
        <v xml:space="preserve"> (Внутренний блок) Уровень шума мин. / макс.: S[28/31/34/37/40]</v>
      </c>
      <c r="S269" t="str">
        <f>CONCATENATE(S$2,": ",S$3,list1!S269,"]")</f>
        <v xml:space="preserve"> (Наружный блок) Марка компрессора: S[GMCC]</v>
      </c>
      <c r="T269" t="str">
        <f>CONCATENATE(T$2,": ",T$3,list1!T269,"]")</f>
        <v xml:space="preserve"> (Наружный блок) Размеры (Ш x Г x В): S[712 х 276 х 459]</v>
      </c>
      <c r="U269" t="str">
        <f>CONCATENATE(U$2,": ",U$3,list1!U269,"]")</f>
        <v xml:space="preserve"> (Наружный блок) Упаковка (Ш x Г x В): S[765 х 310 х 481]</v>
      </c>
      <c r="V269" t="str">
        <f>CONCATENATE(V$2,": ",V$3,list1!V269,"]")</f>
        <v xml:space="preserve"> (Наружный блок) Масса (нетто / брутто): S[20/23]</v>
      </c>
      <c r="W269" t="str">
        <f>CONCATENATE(W$2,": ",W$3,list1!W269,"]")</f>
        <v xml:space="preserve"> (Наружный блок) Максимальный уровень шума: N[]</v>
      </c>
      <c r="X269" t="str">
        <f>CONCATENATE(X$2,": ",X$3,list1!X269,"]")</f>
        <v xml:space="preserve"> (Соединительные трубы) Жидкостная линия : N[6.35]</v>
      </c>
      <c r="Y269" t="str">
        <f>CONCATENATE(Y$2,": ",Y$3,list1!Y269,"]")</f>
        <v xml:space="preserve"> (Соединительные трубы) Газовая линия : N[9.52]</v>
      </c>
      <c r="Z269" t="str">
        <f>CONCATENATE(Z$2,": ",Z$3,list1!Z269,"]")</f>
        <v xml:space="preserve"> (Соединительные трубы) Максимальная длина трубопровода: N[15]</v>
      </c>
      <c r="AA269" t="str">
        <f>CONCATENATE(AA$2,": ",AA$3,list1!AA269,"]")</f>
        <v xml:space="preserve"> (Соединительные трубы) Максимальный перепад высот: S[5]</v>
      </c>
      <c r="AB269" t="str">
        <f>CONCATENATE(AB$2,": ",AB$3,list1!AB269,"]")</f>
        <v xml:space="preserve"> (Допустимая темп. наружного воздуха) Охлаждение: S[от 15 до +43]</v>
      </c>
      <c r="AC269" t="str">
        <f>CONCATENATE(AC$2,": ",AC$3,list1!AC269,"]")</f>
        <v xml:space="preserve"> (Допустимая темп. наружного воздуха) Обогрев: S[от -7 до +24]</v>
      </c>
      <c r="AD269" s="6" t="s">
        <v>5245</v>
      </c>
    </row>
    <row r="270" spans="1:30" x14ac:dyDescent="0.25">
      <c r="A270" t="str">
        <f>CONCATENATE(A$2,": ",A$3,list1!A270,"]")</f>
        <v>Производитель: E[QUATTROCLIMA]</v>
      </c>
      <c r="B270" t="str">
        <f>CONCATENATE(B$2,": ",B$3,list1!B270,"]")</f>
        <v xml:space="preserve"> Тип: S[Сплит система]</v>
      </c>
      <c r="C270" t="str">
        <f>CONCATENATE(C$2,": ",C$3,list1!C270,"]")</f>
        <v xml:space="preserve"> (Сплит система) Холодопроизводительность: N[2.64]</v>
      </c>
      <c r="D270" t="str">
        <f>CONCATENATE(D$2,": ",D$3,list1!D270,"]")</f>
        <v xml:space="preserve"> (Сплит система) Площадь помещения: N[26]</v>
      </c>
      <c r="E270" t="str">
        <f>CONCATENATE(E$2,": ",E$3,list1!E270,"]")</f>
        <v xml:space="preserve"> (Сплит система) Инвентор: S[нет]</v>
      </c>
      <c r="F270" t="str">
        <f>CONCATENATE(F$2,": ",F$3,list1!F270,"]")</f>
        <v xml:space="preserve"> (Сплит система) Теплопроизводительность: N[2.8]</v>
      </c>
      <c r="G270" t="str">
        <f>CONCATENATE(G$2,": ",G$3,list1!G270,"]")</f>
        <v xml:space="preserve"> (Потребляемая мощность) Охлаждение: N[0.82]</v>
      </c>
      <c r="H270" t="str">
        <f>CONCATENATE(H$2,": ",H$3,list1!H270,"]")</f>
        <v xml:space="preserve"> (Потребляемая мощность) Обогрев: S[0.775]</v>
      </c>
      <c r="I270" t="str">
        <f>CONCATENATE(I$2,": ",I$3,list1!I270,"]")</f>
        <v xml:space="preserve"> (Рабочий ток) Охлаждение: S[]</v>
      </c>
      <c r="J270" t="str">
        <f>CONCATENATE(J$2,": ",J$3,list1!J270,"]")</f>
        <v xml:space="preserve"> (Рабочий ток) Обогрев: S[]</v>
      </c>
      <c r="K270" t="str">
        <f>CONCATENATE(K$2,": ",K$3,list1!K270,"]")</f>
        <v xml:space="preserve"> (Рабочий ток) Напряжение / Частота источника питания: S[1 / 220 / 50]</v>
      </c>
      <c r="L270" t="str">
        <f>CONCATENATE(L$2,": ",L$3,list1!L270,"]")</f>
        <v xml:space="preserve"> (Рабочий ток) Хладагент: S[R410A]</v>
      </c>
      <c r="M270" t="str">
        <f>CONCATENATE(M$2,": ",M$3,list1!M270,"]")</f>
        <v xml:space="preserve"> (Рабочий ток) Количество хладагента: N[]</v>
      </c>
      <c r="N270" t="str">
        <f>CONCATENATE(N$2,": ",N$3,list1!N270,"]")</f>
        <v xml:space="preserve"> (Рабочий ток) Объем рециркулируемого воздуха внутреннего блока: S[]</v>
      </c>
      <c r="O270" t="str">
        <f>CONCATENATE(O$2,": ",O$3,list1!O270,"]")</f>
        <v xml:space="preserve"> (Внутренний блок) Размеры (Ш x Г x В): S[698 х 255 х 190]</v>
      </c>
      <c r="P270" t="str">
        <f>CONCATENATE(P$2,": ",P$3,list1!P270,"]")</f>
        <v xml:space="preserve"> (Внутренний блок) Упаковка (Ш x Г x В): S[764 х 257 х 325]</v>
      </c>
      <c r="Q270" t="str">
        <f>CONCATENATE(Q$2,": ",Q$3,list1!Q270,"]")</f>
        <v xml:space="preserve"> (Внутренний блок) Масса (нетто / брутто): S[7 / 8.5]</v>
      </c>
      <c r="R270" t="str">
        <f>CONCATENATE(R$2,": ",R$3,list1!R270,"]")</f>
        <v xml:space="preserve"> (Внутренний блок) Уровень шума мин. / макс.: S[25/26/28/32/35]</v>
      </c>
      <c r="S270" t="str">
        <f>CONCATENATE(S$2,": ",S$3,list1!S270,"]")</f>
        <v xml:space="preserve"> (Наружный блок) Марка компрессора: S[RECHI]</v>
      </c>
      <c r="T270" t="str">
        <f>CONCATENATE(T$2,": ",T$3,list1!T270,"]")</f>
        <v xml:space="preserve"> (Наружный блок) Размеры (Ш x Г x В): S[777 х 290 х 498]</v>
      </c>
      <c r="U270" t="str">
        <f>CONCATENATE(U$2,": ",U$3,list1!U270,"]")</f>
        <v xml:space="preserve"> (Наружный блок) Упаковка (Ш x Г x В): S[818 х 325 х 520]</v>
      </c>
      <c r="V270" t="str">
        <f>CONCATENATE(V$2,": ",V$3,list1!V270,"]")</f>
        <v xml:space="preserve"> (Наружный блок) Масса (нетто / брутто): S[24/27]</v>
      </c>
      <c r="W270" t="str">
        <f>CONCATENATE(W$2,": ",W$3,list1!W270,"]")</f>
        <v xml:space="preserve"> (Наружный блок) Максимальный уровень шума: N[]</v>
      </c>
      <c r="X270" t="str">
        <f>CONCATENATE(X$2,": ",X$3,list1!X270,"]")</f>
        <v xml:space="preserve"> (Соединительные трубы) Жидкостная линия : N[6.35]</v>
      </c>
      <c r="Y270" t="str">
        <f>CONCATENATE(Y$2,": ",Y$3,list1!Y270,"]")</f>
        <v xml:space="preserve"> (Соединительные трубы) Газовая линия : N[9.52]</v>
      </c>
      <c r="Z270" t="str">
        <f>CONCATENATE(Z$2,": ",Z$3,list1!Z270,"]")</f>
        <v xml:space="preserve"> (Соединительные трубы) Максимальная длина трубопровода: N[15]</v>
      </c>
      <c r="AA270" t="str">
        <f>CONCATENATE(AA$2,": ",AA$3,list1!AA270,"]")</f>
        <v xml:space="preserve"> (Соединительные трубы) Максимальный перепад высот: S[5]</v>
      </c>
      <c r="AB270" t="str">
        <f>CONCATENATE(AB$2,": ",AB$3,list1!AB270,"]")</f>
        <v xml:space="preserve"> (Допустимая темп. наружного воздуха) Охлаждение: S[от 15 до +43]</v>
      </c>
      <c r="AC270" t="str">
        <f>CONCATENATE(AC$2,": ",AC$3,list1!AC270,"]")</f>
        <v xml:space="preserve"> (Допустимая темп. наружного воздуха) Обогрев: S[от -7 до +24]</v>
      </c>
      <c r="AD270" s="6" t="s">
        <v>5245</v>
      </c>
    </row>
    <row r="271" spans="1:30" x14ac:dyDescent="0.25">
      <c r="A271" t="str">
        <f>CONCATENATE(A$2,": ",A$3,list1!A271,"]")</f>
        <v>Производитель: E[QUATTROCLIMA]</v>
      </c>
      <c r="B271" t="str">
        <f>CONCATENATE(B$2,": ",B$3,list1!B271,"]")</f>
        <v xml:space="preserve"> Тип: S[Сплит система]</v>
      </c>
      <c r="C271" t="str">
        <f>CONCATENATE(C$2,": ",C$3,list1!C271,"]")</f>
        <v xml:space="preserve"> (Сплит система) Холодопроизводительность: N[2.64]</v>
      </c>
      <c r="D271" t="str">
        <f>CONCATENATE(D$2,": ",D$3,list1!D271,"]")</f>
        <v xml:space="preserve"> (Сплит система) Площадь помещения: N[26]</v>
      </c>
      <c r="E271" t="str">
        <f>CONCATENATE(E$2,": ",E$3,list1!E271,"]")</f>
        <v xml:space="preserve"> (Сплит система) Инвентор: S[нет]</v>
      </c>
      <c r="F271" t="str">
        <f>CONCATENATE(F$2,": ",F$3,list1!F271,"]")</f>
        <v xml:space="preserve"> (Сплит система) Теплопроизводительность: N[2.78]</v>
      </c>
      <c r="G271" t="str">
        <f>CONCATENATE(G$2,": ",G$3,list1!G271,"]")</f>
        <v xml:space="preserve"> (Потребляемая мощность) Охлаждение: N[0.822]</v>
      </c>
      <c r="H271" t="str">
        <f>CONCATENATE(H$2,": ",H$3,list1!H271,"]")</f>
        <v xml:space="preserve"> (Потребляемая мощность) Обогрев: S[0.77]</v>
      </c>
      <c r="I271" t="str">
        <f>CONCATENATE(I$2,": ",I$3,list1!I271,"]")</f>
        <v xml:space="preserve"> (Рабочий ток) Охлаждение: S[]</v>
      </c>
      <c r="J271" t="str">
        <f>CONCATENATE(J$2,": ",J$3,list1!J271,"]")</f>
        <v xml:space="preserve"> (Рабочий ток) Обогрев: S[]</v>
      </c>
      <c r="K271" t="str">
        <f>CONCATENATE(K$2,": ",K$3,list1!K271,"]")</f>
        <v xml:space="preserve"> (Рабочий ток) Напряжение / Частота источника питания: S[1 / 220 / 50]</v>
      </c>
      <c r="L271" t="str">
        <f>CONCATENATE(L$2,": ",L$3,list1!L271,"]")</f>
        <v xml:space="preserve"> (Рабочий ток) Хладагент: S[R410A]</v>
      </c>
      <c r="M271" t="str">
        <f>CONCATENATE(M$2,": ",M$3,list1!M271,"]")</f>
        <v xml:space="preserve"> (Рабочий ток) Количество хладагента: N[]</v>
      </c>
      <c r="N271" t="str">
        <f>CONCATENATE(N$2,": ",N$3,list1!N271,"]")</f>
        <v xml:space="preserve"> (Рабочий ток) Объем рециркулируемого воздуха внутреннего блока: S[]</v>
      </c>
      <c r="O271" t="str">
        <f>CONCATENATE(O$2,": ",O$3,list1!O271,"]")</f>
        <v xml:space="preserve"> (Внутренний блок) Размеры (Ш x Г x В): S[777 х 250 х 201]</v>
      </c>
      <c r="P271" t="str">
        <f>CONCATENATE(P$2,": ",P$3,list1!P271,"]")</f>
        <v xml:space="preserve"> (Внутренний блок) Упаковка (Ш x Г x В): S[850 х 275 х 320]</v>
      </c>
      <c r="Q271" t="str">
        <f>CONCATENATE(Q$2,": ",Q$3,list1!Q271,"]")</f>
        <v xml:space="preserve"> (Внутренний блок) Масса (нетто / брутто): S[7.5 / 9.5]</v>
      </c>
      <c r="R271" t="str">
        <f>CONCATENATE(R$2,": ",R$3,list1!R271,"]")</f>
        <v xml:space="preserve"> (Внутренний блок) Уровень шума мин. / макс.: S[28/31/34/37/40]</v>
      </c>
      <c r="S271" t="str">
        <f>CONCATENATE(S$2,": ",S$3,list1!S271,"]")</f>
        <v xml:space="preserve"> (Наружный блок) Марка компрессора: S[GMCC]</v>
      </c>
      <c r="T271" t="str">
        <f>CONCATENATE(T$2,": ",T$3,list1!T271,"]")</f>
        <v xml:space="preserve"> (Наружный блок) Размеры (Ш x Г x В): S[712 х 276 х 459]</v>
      </c>
      <c r="U271" t="str">
        <f>CONCATENATE(U$2,": ",U$3,list1!U271,"]")</f>
        <v xml:space="preserve"> (Наружный блок) Упаковка (Ш x Г x В): S[765 х 310 х 481]</v>
      </c>
      <c r="V271" t="str">
        <f>CONCATENATE(V$2,": ",V$3,list1!V271,"]")</f>
        <v xml:space="preserve"> (Наружный блок) Масса (нетто / брутто): S[22/25]</v>
      </c>
      <c r="W271" t="str">
        <f>CONCATENATE(W$2,": ",W$3,list1!W271,"]")</f>
        <v xml:space="preserve"> (Наружный блок) Максимальный уровень шума: N[]</v>
      </c>
      <c r="X271" t="str">
        <f>CONCATENATE(X$2,": ",X$3,list1!X271,"]")</f>
        <v xml:space="preserve"> (Соединительные трубы) Жидкостная линия : N[6.35]</v>
      </c>
      <c r="Y271" t="str">
        <f>CONCATENATE(Y$2,": ",Y$3,list1!Y271,"]")</f>
        <v xml:space="preserve"> (Соединительные трубы) Газовая линия : N[9.52]</v>
      </c>
      <c r="Z271" t="str">
        <f>CONCATENATE(Z$2,": ",Z$3,list1!Z271,"]")</f>
        <v xml:space="preserve"> (Соединительные трубы) Максимальная длина трубопровода: N[15]</v>
      </c>
      <c r="AA271" t="str">
        <f>CONCATENATE(AA$2,": ",AA$3,list1!AA271,"]")</f>
        <v xml:space="preserve"> (Соединительные трубы) Максимальный перепад высот: S[5]</v>
      </c>
      <c r="AB271" t="str">
        <f>CONCATENATE(AB$2,": ",AB$3,list1!AB271,"]")</f>
        <v xml:space="preserve"> (Допустимая темп. наружного воздуха) Охлаждение: S[от 15 до +43]</v>
      </c>
      <c r="AC271" t="str">
        <f>CONCATENATE(AC$2,": ",AC$3,list1!AC271,"]")</f>
        <v xml:space="preserve"> (Допустимая темп. наружного воздуха) Обогрев: S[от -7 до +24]</v>
      </c>
      <c r="AD271" s="6" t="s">
        <v>5245</v>
      </c>
    </row>
    <row r="272" spans="1:30" x14ac:dyDescent="0.25">
      <c r="A272" t="str">
        <f>CONCATENATE(A$2,": ",A$3,list1!A272,"]")</f>
        <v>Производитель: E[QUATTROCLIMA]</v>
      </c>
      <c r="B272" t="str">
        <f>CONCATENATE(B$2,": ",B$3,list1!B272,"]")</f>
        <v xml:space="preserve"> Тип: S[Сплит система]</v>
      </c>
      <c r="C272" t="str">
        <f>CONCATENATE(C$2,": ",C$3,list1!C272,"]")</f>
        <v xml:space="preserve"> (Сплит система) Холодопроизводительность: N[3.52]</v>
      </c>
      <c r="D272" t="str">
        <f>CONCATENATE(D$2,": ",D$3,list1!D272,"]")</f>
        <v xml:space="preserve"> (Сплит система) Площадь помещения: N[35]</v>
      </c>
      <c r="E272" t="str">
        <f>CONCATENATE(E$2,": ",E$3,list1!E272,"]")</f>
        <v xml:space="preserve"> (Сплит система) Инвентор: S[нет]</v>
      </c>
      <c r="F272" t="str">
        <f>CONCATENATE(F$2,": ",F$3,list1!F272,"]")</f>
        <v xml:space="preserve"> (Сплит система) Теплопроизводительность: N[3.7]</v>
      </c>
      <c r="G272" t="str">
        <f>CONCATENATE(G$2,": ",G$3,list1!G272,"]")</f>
        <v xml:space="preserve"> (Потребляемая мощность) Охлаждение: N[1.1]</v>
      </c>
      <c r="H272" t="str">
        <f>CONCATENATE(H$2,": ",H$3,list1!H272,"]")</f>
        <v xml:space="preserve"> (Потребляемая мощность) Обогрев: S[1.02]</v>
      </c>
      <c r="I272" t="str">
        <f>CONCATENATE(I$2,": ",I$3,list1!I272,"]")</f>
        <v xml:space="preserve"> (Рабочий ток) Охлаждение: S[]</v>
      </c>
      <c r="J272" t="str">
        <f>CONCATENATE(J$2,": ",J$3,list1!J272,"]")</f>
        <v xml:space="preserve"> (Рабочий ток) Обогрев: S[]</v>
      </c>
      <c r="K272" t="str">
        <f>CONCATENATE(K$2,": ",K$3,list1!K272,"]")</f>
        <v xml:space="preserve"> (Рабочий ток) Напряжение / Частота источника питания: S[1 / 220 / 50]</v>
      </c>
      <c r="L272" t="str">
        <f>CONCATENATE(L$2,": ",L$3,list1!L272,"]")</f>
        <v xml:space="preserve"> (Рабочий ток) Хладагент: S[R410A]</v>
      </c>
      <c r="M272" t="str">
        <f>CONCATENATE(M$2,": ",M$3,list1!M272,"]")</f>
        <v xml:space="preserve"> (Рабочий ток) Количество хладагента: N[]</v>
      </c>
      <c r="N272" t="str">
        <f>CONCATENATE(N$2,": ",N$3,list1!N272,"]")</f>
        <v xml:space="preserve"> (Рабочий ток) Объем рециркулируемого воздуха внутреннего блока: S[]</v>
      </c>
      <c r="O272" t="str">
        <f>CONCATENATE(O$2,": ",O$3,list1!O272,"]")</f>
        <v xml:space="preserve"> (Внутренний блок) Размеры (Ш x Г x В): S[777 х 250 х 201]</v>
      </c>
      <c r="P272" t="str">
        <f>CONCATENATE(P$2,": ",P$3,list1!P272,"]")</f>
        <v xml:space="preserve"> (Внутренний блок) Упаковка (Ш x Г x В): S[840 х 260 х 315]</v>
      </c>
      <c r="Q272" t="str">
        <f>CONCATENATE(Q$2,": ",Q$3,list1!Q272,"]")</f>
        <v xml:space="preserve"> (Внутренний блок) Масса (нетто / брутто): S[7.5 / 10]</v>
      </c>
      <c r="R272" t="str">
        <f>CONCATENATE(R$2,": ",R$3,list1!R272,"]")</f>
        <v xml:space="preserve"> (Внутренний блок) Уровень шума мин. / макс.: S[29/33/35/38/38]</v>
      </c>
      <c r="S272" t="str">
        <f>CONCATENATE(S$2,": ",S$3,list1!S272,"]")</f>
        <v xml:space="preserve"> (Наружный блок) Марка компрессора: S[GMCC]</v>
      </c>
      <c r="T272" t="str">
        <f>CONCATENATE(T$2,": ",T$3,list1!T272,"]")</f>
        <v xml:space="preserve"> (Наружный блок) Размеры (Ш x Г x В): S[777 х 290 х 498]</v>
      </c>
      <c r="U272" t="str">
        <f>CONCATENATE(U$2,": ",U$3,list1!U272,"]")</f>
        <v xml:space="preserve"> (Наружный блок) Упаковка (Ш x Г x В): S[818 х 325 х 520]</v>
      </c>
      <c r="V272" t="str">
        <f>CONCATENATE(V$2,": ",V$3,list1!V272,"]")</f>
        <v xml:space="preserve"> (Наружный блок) Масса (нетто / брутто): S[25/28]</v>
      </c>
      <c r="W272" t="str">
        <f>CONCATENATE(W$2,": ",W$3,list1!W272,"]")</f>
        <v xml:space="preserve"> (Наружный блок) Максимальный уровень шума: N[]</v>
      </c>
      <c r="X272" t="str">
        <f>CONCATENATE(X$2,": ",X$3,list1!X272,"]")</f>
        <v xml:space="preserve"> (Соединительные трубы) Жидкостная линия : N[6.35]</v>
      </c>
      <c r="Y272" t="str">
        <f>CONCATENATE(Y$2,": ",Y$3,list1!Y272,"]")</f>
        <v xml:space="preserve"> (Соединительные трубы) Газовая линия : N[9.52]</v>
      </c>
      <c r="Z272" t="str">
        <f>CONCATENATE(Z$2,": ",Z$3,list1!Z272,"]")</f>
        <v xml:space="preserve"> (Соединительные трубы) Максимальная длина трубопровода: N[15]</v>
      </c>
      <c r="AA272" t="str">
        <f>CONCATENATE(AA$2,": ",AA$3,list1!AA272,"]")</f>
        <v xml:space="preserve"> (Соединительные трубы) Максимальный перепад высот: S[5]</v>
      </c>
      <c r="AB272" t="str">
        <f>CONCATENATE(AB$2,": ",AB$3,list1!AB272,"]")</f>
        <v xml:space="preserve"> (Допустимая темп. наружного воздуха) Охлаждение: S[от 15 до +43]</v>
      </c>
      <c r="AC272" t="str">
        <f>CONCATENATE(AC$2,": ",AC$3,list1!AC272,"]")</f>
        <v xml:space="preserve"> (Допустимая темп. наружного воздуха) Обогрев: S[от -7 до +24]</v>
      </c>
      <c r="AD272" s="6" t="s">
        <v>5245</v>
      </c>
    </row>
    <row r="273" spans="1:30" x14ac:dyDescent="0.25">
      <c r="A273" t="str">
        <f>CONCATENATE(A$2,": ",A$3,list1!A273,"]")</f>
        <v>Производитель: E[QUATTROCLIMA]</v>
      </c>
      <c r="B273" t="str">
        <f>CONCATENATE(B$2,": ",B$3,list1!B273,"]")</f>
        <v xml:space="preserve"> Тип: S[Сплит система]</v>
      </c>
      <c r="C273" t="str">
        <f>CONCATENATE(C$2,": ",C$3,list1!C273,"]")</f>
        <v xml:space="preserve"> (Сплит система) Холодопроизводительность: N[3.52]</v>
      </c>
      <c r="D273" t="str">
        <f>CONCATENATE(D$2,": ",D$3,list1!D273,"]")</f>
        <v xml:space="preserve"> (Сплит система) Площадь помещения: N[35]</v>
      </c>
      <c r="E273" t="str">
        <f>CONCATENATE(E$2,": ",E$3,list1!E273,"]")</f>
        <v xml:space="preserve"> (Сплит система) Инвентор: S[нет]</v>
      </c>
      <c r="F273" t="str">
        <f>CONCATENATE(F$2,": ",F$3,list1!F273,"]")</f>
        <v xml:space="preserve"> (Сплит система) Теплопроизводительность: N[3.66]</v>
      </c>
      <c r="G273" t="str">
        <f>CONCATENATE(G$2,": ",G$3,list1!G273,"]")</f>
        <v xml:space="preserve"> (Потребляемая мощность) Охлаждение: N[1.095]</v>
      </c>
      <c r="H273" t="str">
        <f>CONCATENATE(H$2,": ",H$3,list1!H273,"]")</f>
        <v xml:space="preserve"> (Потребляемая мощность) Обогрев: S[1.013]</v>
      </c>
      <c r="I273" t="str">
        <f>CONCATENATE(I$2,": ",I$3,list1!I273,"]")</f>
        <v xml:space="preserve"> (Рабочий ток) Охлаждение: S[]</v>
      </c>
      <c r="J273" t="str">
        <f>CONCATENATE(J$2,": ",J$3,list1!J273,"]")</f>
        <v xml:space="preserve"> (Рабочий ток) Обогрев: S[]</v>
      </c>
      <c r="K273" t="str">
        <f>CONCATENATE(K$2,": ",K$3,list1!K273,"]")</f>
        <v xml:space="preserve"> (Рабочий ток) Напряжение / Частота источника питания: S[1 / 220 / 50]</v>
      </c>
      <c r="L273" t="str">
        <f>CONCATENATE(L$2,": ",L$3,list1!L273,"]")</f>
        <v xml:space="preserve"> (Рабочий ток) Хладагент: S[R410A]</v>
      </c>
      <c r="M273" t="str">
        <f>CONCATENATE(M$2,": ",M$3,list1!M273,"]")</f>
        <v xml:space="preserve"> (Рабочий ток) Количество хладагента: N[]</v>
      </c>
      <c r="N273" t="str">
        <f>CONCATENATE(N$2,": ",N$3,list1!N273,"]")</f>
        <v xml:space="preserve"> (Рабочий ток) Объем рециркулируемого воздуха внутреннего блока: S[]</v>
      </c>
      <c r="O273" t="str">
        <f>CONCATENATE(O$2,": ",O$3,list1!O273,"]")</f>
        <v xml:space="preserve"> (Внутренний блок) Размеры (Ш x Г x В): S[777 х 250 х 201]</v>
      </c>
      <c r="P273" t="str">
        <f>CONCATENATE(P$2,": ",P$3,list1!P273,"]")</f>
        <v xml:space="preserve"> (Внутренний блок) Упаковка (Ш x Г x В): S[850 х 275 х 320]</v>
      </c>
      <c r="Q273" t="str">
        <f>CONCATENATE(Q$2,": ",Q$3,list1!Q273,"]")</f>
        <v xml:space="preserve"> (Внутренний блок) Масса (нетто / брутто): S[8 / 10]</v>
      </c>
      <c r="R273" t="str">
        <f>CONCATENATE(R$2,": ",R$3,list1!R273,"]")</f>
        <v xml:space="preserve"> (Внутренний блок) Уровень шума мин. / макс.: S[28/31/34/37/40]</v>
      </c>
      <c r="S273" t="str">
        <f>CONCATENATE(S$2,": ",S$3,list1!S273,"]")</f>
        <v xml:space="preserve"> (Наружный блок) Марка компрессора: S[GMCC]</v>
      </c>
      <c r="T273" t="str">
        <f>CONCATENATE(T$2,": ",T$3,list1!T273,"]")</f>
        <v xml:space="preserve"> (Наружный блок) Размеры (Ш x Г x В): S[777 х 290 х 498]</v>
      </c>
      <c r="U273" t="str">
        <f>CONCATENATE(U$2,": ",U$3,list1!U273,"]")</f>
        <v xml:space="preserve"> (Наружный блок) Упаковка (Ш x Г x В): S[818 х 325 х 520]</v>
      </c>
      <c r="V273" t="str">
        <f>CONCATENATE(V$2,": ",V$3,list1!V273,"]")</f>
        <v xml:space="preserve"> (Наружный блок) Масса (нетто / брутто): S[24/27]</v>
      </c>
      <c r="W273" t="str">
        <f>CONCATENATE(W$2,": ",W$3,list1!W273,"]")</f>
        <v xml:space="preserve"> (Наружный блок) Максимальный уровень шума: N[]</v>
      </c>
      <c r="X273" t="str">
        <f>CONCATENATE(X$2,": ",X$3,list1!X273,"]")</f>
        <v xml:space="preserve"> (Соединительные трубы) Жидкостная линия : N[6.35]</v>
      </c>
      <c r="Y273" t="str">
        <f>CONCATENATE(Y$2,": ",Y$3,list1!Y273,"]")</f>
        <v xml:space="preserve"> (Соединительные трубы) Газовая линия : N[9.52]</v>
      </c>
      <c r="Z273" t="str">
        <f>CONCATENATE(Z$2,": ",Z$3,list1!Z273,"]")</f>
        <v xml:space="preserve"> (Соединительные трубы) Максимальная длина трубопровода: N[15]</v>
      </c>
      <c r="AA273" t="str">
        <f>CONCATENATE(AA$2,": ",AA$3,list1!AA273,"]")</f>
        <v xml:space="preserve"> (Соединительные трубы) Максимальный перепад высот: S[5]</v>
      </c>
      <c r="AB273" t="str">
        <f>CONCATENATE(AB$2,": ",AB$3,list1!AB273,"]")</f>
        <v xml:space="preserve"> (Допустимая темп. наружного воздуха) Охлаждение: S[от 15 до +43]</v>
      </c>
      <c r="AC273" t="str">
        <f>CONCATENATE(AC$2,": ",AC$3,list1!AC273,"]")</f>
        <v xml:space="preserve"> (Допустимая темп. наружного воздуха) Обогрев: S[от -7 до +24]</v>
      </c>
      <c r="AD273" s="6" t="s">
        <v>5245</v>
      </c>
    </row>
    <row r="274" spans="1:30" x14ac:dyDescent="0.25">
      <c r="A274" t="str">
        <f>CONCATENATE(A$2,": ",A$3,list1!A274,"]")</f>
        <v>Производитель: E[QUATTROCLIMA]</v>
      </c>
      <c r="B274" t="str">
        <f>CONCATENATE(B$2,": ",B$3,list1!B274,"]")</f>
        <v xml:space="preserve"> Тип: S[Сплит система]</v>
      </c>
      <c r="C274" t="str">
        <f>CONCATENATE(C$2,": ",C$3,list1!C274,"]")</f>
        <v xml:space="preserve"> (Сплит система) Холодопроизводительность: N[5.28]</v>
      </c>
      <c r="D274" t="str">
        <f>CONCATENATE(D$2,": ",D$3,list1!D274,"]")</f>
        <v xml:space="preserve"> (Сплит система) Площадь помещения: N[53]</v>
      </c>
      <c r="E274" t="str">
        <f>CONCATENATE(E$2,": ",E$3,list1!E274,"]")</f>
        <v xml:space="preserve"> (Сплит система) Инвентор: S[нет]</v>
      </c>
      <c r="F274" t="str">
        <f>CONCATENATE(F$2,": ",F$3,list1!F274,"]")</f>
        <v xml:space="preserve"> (Сплит система) Теплопроизводительность: N[5.42]</v>
      </c>
      <c r="G274" t="str">
        <f>CONCATENATE(G$2,": ",G$3,list1!G274,"]")</f>
        <v xml:space="preserve"> (Потребляемая мощность) Охлаждение: N[1.64]</v>
      </c>
      <c r="H274" t="str">
        <f>CONCATENATE(H$2,": ",H$3,list1!H274,"]")</f>
        <v xml:space="preserve"> (Потребляемая мощность) Обогрев: S[1.5]</v>
      </c>
      <c r="I274" t="str">
        <f>CONCATENATE(I$2,": ",I$3,list1!I274,"]")</f>
        <v xml:space="preserve"> (Рабочий ток) Охлаждение: S[]</v>
      </c>
      <c r="J274" t="str">
        <f>CONCATENATE(J$2,": ",J$3,list1!J274,"]")</f>
        <v xml:space="preserve"> (Рабочий ток) Обогрев: S[]</v>
      </c>
      <c r="K274" t="str">
        <f>CONCATENATE(K$2,": ",K$3,list1!K274,"]")</f>
        <v xml:space="preserve"> (Рабочий ток) Напряжение / Частота источника питания: S[1 / 220 / 50]</v>
      </c>
      <c r="L274" t="str">
        <f>CONCATENATE(L$2,": ",L$3,list1!L274,"]")</f>
        <v xml:space="preserve"> (Рабочий ток) Хладагент: S[R410A]</v>
      </c>
      <c r="M274" t="str">
        <f>CONCATENATE(M$2,": ",M$3,list1!M274,"]")</f>
        <v xml:space="preserve"> (Рабочий ток) Количество хладагента: N[]</v>
      </c>
      <c r="N274" t="str">
        <f>CONCATENATE(N$2,": ",N$3,list1!N274,"]")</f>
        <v xml:space="preserve"> (Рабочий ток) Объем рециркулируемого воздуха внутреннего блока: S[]</v>
      </c>
      <c r="O274" t="str">
        <f>CONCATENATE(O$2,": ",O$3,list1!O274,"]")</f>
        <v xml:space="preserve"> (Внутренний блок) Размеры (Ш x Г x В): S[910 х 294 х 206]</v>
      </c>
      <c r="P274" t="str">
        <f>CONCATENATE(P$2,": ",P$3,list1!P274,"]")</f>
        <v xml:space="preserve"> (Внутренний блок) Упаковка (Ш x Г x В): S[979 х 277 х 372]</v>
      </c>
      <c r="Q274" t="str">
        <f>CONCATENATE(Q$2,": ",Q$3,list1!Q274,"]")</f>
        <v xml:space="preserve"> (Внутренний блок) Масса (нетто / брутто): S[10 / 13]</v>
      </c>
      <c r="R274" t="str">
        <f>CONCATENATE(R$2,": ",R$3,list1!R274,"]")</f>
        <v xml:space="preserve"> (Внутренний блок) Уровень шума мин. / макс.: S[32/34/36/38/40]</v>
      </c>
      <c r="S274" t="str">
        <f>CONCATENATE(S$2,": ",S$3,list1!S274,"]")</f>
        <v xml:space="preserve"> (Наружный блок) Марка компрессора: S[HIGHLY]</v>
      </c>
      <c r="T274" t="str">
        <f>CONCATENATE(T$2,": ",T$3,list1!T274,"]")</f>
        <v xml:space="preserve"> (Наружный блок) Размеры (Ш x Г x В): S[853 х 349 х 602]</v>
      </c>
      <c r="U274" t="str">
        <f>CONCATENATE(U$2,": ",U$3,list1!U274,"]")</f>
        <v xml:space="preserve"> (Наружный блок) Упаковка (Ш x Г x В): S[890 х 385 х 628]</v>
      </c>
      <c r="V274" t="str">
        <f>CONCATENATE(V$2,": ",V$3,list1!V274,"]")</f>
        <v xml:space="preserve"> (Наружный блок) Масса (нетто / брутто): S[38/42]</v>
      </c>
      <c r="W274" t="str">
        <f>CONCATENATE(W$2,": ",W$3,list1!W274,"]")</f>
        <v xml:space="preserve"> (Наружный блок) Максимальный уровень шума: N[]</v>
      </c>
      <c r="X274" t="str">
        <f>CONCATENATE(X$2,": ",X$3,list1!X274,"]")</f>
        <v xml:space="preserve"> (Соединительные трубы) Жидкостная линия : N[6.35]</v>
      </c>
      <c r="Y274" t="str">
        <f>CONCATENATE(Y$2,": ",Y$3,list1!Y274,"]")</f>
        <v xml:space="preserve"> (Соединительные трубы) Газовая линия : N[12.7]</v>
      </c>
      <c r="Z274" t="str">
        <f>CONCATENATE(Z$2,": ",Z$3,list1!Z274,"]")</f>
        <v xml:space="preserve"> (Соединительные трубы) Максимальная длина трубопровода: N[15]</v>
      </c>
      <c r="AA274" t="str">
        <f>CONCATENATE(AA$2,": ",AA$3,list1!AA274,"]")</f>
        <v xml:space="preserve"> (Соединительные трубы) Максимальный перепад высот: S[5]</v>
      </c>
      <c r="AB274" t="str">
        <f>CONCATENATE(AB$2,": ",AB$3,list1!AB274,"]")</f>
        <v xml:space="preserve"> (Допустимая темп. наружного воздуха) Охлаждение: S[от 15 до +43]</v>
      </c>
      <c r="AC274" t="str">
        <f>CONCATENATE(AC$2,": ",AC$3,list1!AC274,"]")</f>
        <v xml:space="preserve"> (Допустимая темп. наружного воздуха) Обогрев: S[от -7 до +24]</v>
      </c>
      <c r="AD274" s="6" t="s">
        <v>5245</v>
      </c>
    </row>
    <row r="275" spans="1:30" x14ac:dyDescent="0.25">
      <c r="A275" t="str">
        <f>CONCATENATE(A$2,": ",A$3,list1!A275,"]")</f>
        <v>Производитель: E[QUATTROCLIMA]</v>
      </c>
      <c r="B275" t="str">
        <f>CONCATENATE(B$2,": ",B$3,list1!B275,"]")</f>
        <v xml:space="preserve"> Тип: S[Сплит система]</v>
      </c>
      <c r="C275" t="str">
        <f>CONCATENATE(C$2,": ",C$3,list1!C275,"]")</f>
        <v xml:space="preserve"> (Сплит система) Холодопроизводительность: N[5.28]</v>
      </c>
      <c r="D275" t="str">
        <f>CONCATENATE(D$2,": ",D$3,list1!D275,"]")</f>
        <v xml:space="preserve"> (Сплит система) Площадь помещения: N[53]</v>
      </c>
      <c r="E275" t="str">
        <f>CONCATENATE(E$2,": ",E$3,list1!E275,"]")</f>
        <v xml:space="preserve"> (Сплит система) Инвентор: S[нет]</v>
      </c>
      <c r="F275" t="str">
        <f>CONCATENATE(F$2,": ",F$3,list1!F275,"]")</f>
        <v xml:space="preserve"> (Сплит система) Теплопроизводительность: N[5.42]</v>
      </c>
      <c r="G275" t="str">
        <f>CONCATENATE(G$2,": ",G$3,list1!G275,"]")</f>
        <v xml:space="preserve"> (Потребляемая мощность) Охлаждение: N[1.645]</v>
      </c>
      <c r="H275" t="str">
        <f>CONCATENATE(H$2,": ",H$3,list1!H275,"]")</f>
        <v xml:space="preserve"> (Потребляемая мощность) Обогрев: S[1.5]</v>
      </c>
      <c r="I275" t="str">
        <f>CONCATENATE(I$2,": ",I$3,list1!I275,"]")</f>
        <v xml:space="preserve"> (Рабочий ток) Охлаждение: S[]</v>
      </c>
      <c r="J275" t="str">
        <f>CONCATENATE(J$2,": ",J$3,list1!J275,"]")</f>
        <v xml:space="preserve"> (Рабочий ток) Обогрев: S[]</v>
      </c>
      <c r="K275" t="str">
        <f>CONCATENATE(K$2,": ",K$3,list1!K275,"]")</f>
        <v xml:space="preserve"> (Рабочий ток) Напряжение / Частота источника питания: S[1 / 220 / 50]</v>
      </c>
      <c r="L275" t="str">
        <f>CONCATENATE(L$2,": ",L$3,list1!L275,"]")</f>
        <v xml:space="preserve"> (Рабочий ток) Хладагент: S[R410A]</v>
      </c>
      <c r="M275" t="str">
        <f>CONCATENATE(M$2,": ",M$3,list1!M275,"]")</f>
        <v xml:space="preserve"> (Рабочий ток) Количество хладагента: N[]</v>
      </c>
      <c r="N275" t="str">
        <f>CONCATENATE(N$2,": ",N$3,list1!N275,"]")</f>
        <v xml:space="preserve"> (Рабочий ток) Объем рециркулируемого воздуха внутреннего блока: S[]</v>
      </c>
      <c r="O275" t="str">
        <f>CONCATENATE(O$2,": ",O$3,list1!O275,"]")</f>
        <v xml:space="preserve"> (Внутренний блок) Размеры (Ш x Г x В): S[910 х 294 х 206]</v>
      </c>
      <c r="P275" t="str">
        <f>CONCATENATE(P$2,": ",P$3,list1!P275,"]")</f>
        <v xml:space="preserve"> (Внутренний блок) Упаковка (Ш x Г x В): S[979 х 277 х 372]</v>
      </c>
      <c r="Q275" t="str">
        <f>CONCATENATE(Q$2,": ",Q$3,list1!Q275,"]")</f>
        <v xml:space="preserve"> (Внутренний блок) Масса (нетто / брутто): S[10.5 / 12.5]</v>
      </c>
      <c r="R275" t="str">
        <f>CONCATENATE(R$2,": ",R$3,list1!R275,"]")</f>
        <v xml:space="preserve"> (Внутренний блок) Уровень шума мин. / макс.: S[34/36/40/43/44]</v>
      </c>
      <c r="S275" t="str">
        <f>CONCATENATE(S$2,": ",S$3,list1!S275,"]")</f>
        <v xml:space="preserve"> (Наружный блок) Марка компрессора: S[HIGHLY]</v>
      </c>
      <c r="T275" t="str">
        <f>CONCATENATE(T$2,": ",T$3,list1!T275,"]")</f>
        <v xml:space="preserve"> (Наружный блок) Размеры (Ш x Г x В): S[853 х 349 х 602]</v>
      </c>
      <c r="U275" t="str">
        <f>CONCATENATE(U$2,": ",U$3,list1!U275,"]")</f>
        <v xml:space="preserve"> (Наружный блок) Упаковка (Ш x Г x В): S[890 х 385 х 628]</v>
      </c>
      <c r="V275" t="str">
        <f>CONCATENATE(V$2,": ",V$3,list1!V275,"]")</f>
        <v xml:space="preserve"> (Наружный блок) Масса (нетто / брутто): S[38/41]</v>
      </c>
      <c r="W275" t="str">
        <f>CONCATENATE(W$2,": ",W$3,list1!W275,"]")</f>
        <v xml:space="preserve"> (Наружный блок) Максимальный уровень шума: N[]</v>
      </c>
      <c r="X275" t="str">
        <f>CONCATENATE(X$2,": ",X$3,list1!X275,"]")</f>
        <v xml:space="preserve"> (Соединительные трубы) Жидкостная линия : N[6.35]</v>
      </c>
      <c r="Y275" t="str">
        <f>CONCATENATE(Y$2,": ",Y$3,list1!Y275,"]")</f>
        <v xml:space="preserve"> (Соединительные трубы) Газовая линия : N[12.7]</v>
      </c>
      <c r="Z275" t="str">
        <f>CONCATENATE(Z$2,": ",Z$3,list1!Z275,"]")</f>
        <v xml:space="preserve"> (Соединительные трубы) Максимальная длина трубопровода: N[15]</v>
      </c>
      <c r="AA275" t="str">
        <f>CONCATENATE(AA$2,": ",AA$3,list1!AA275,"]")</f>
        <v xml:space="preserve"> (Соединительные трубы) Максимальный перепад высот: S[5]</v>
      </c>
      <c r="AB275" t="str">
        <f>CONCATENATE(AB$2,": ",AB$3,list1!AB275,"]")</f>
        <v xml:space="preserve"> (Допустимая темп. наружного воздуха) Охлаждение: S[от 15 до +43]</v>
      </c>
      <c r="AC275" t="str">
        <f>CONCATENATE(AC$2,": ",AC$3,list1!AC275,"]")</f>
        <v xml:space="preserve"> (Допустимая темп. наружного воздуха) Обогрев: S[от -7 до +24]</v>
      </c>
      <c r="AD275" s="6" t="s">
        <v>5245</v>
      </c>
    </row>
    <row r="276" spans="1:30" x14ac:dyDescent="0.25">
      <c r="A276" t="str">
        <f>CONCATENATE(A$2,": ",A$3,list1!A276,"]")</f>
        <v>Производитель: E[QUATTROCLIMA]</v>
      </c>
      <c r="B276" t="str">
        <f>CONCATENATE(B$2,": ",B$3,list1!B276,"]")</f>
        <v xml:space="preserve"> Тип: S[Сплит система]</v>
      </c>
      <c r="C276" t="str">
        <f>CONCATENATE(C$2,": ",C$3,list1!C276,"]")</f>
        <v xml:space="preserve"> (Сплит система) Холодопроизводительность: N[7.03]</v>
      </c>
      <c r="D276" t="str">
        <f>CONCATENATE(D$2,": ",D$3,list1!D276,"]")</f>
        <v xml:space="preserve"> (Сплит система) Площадь помещения: N[70]</v>
      </c>
      <c r="E276" t="str">
        <f>CONCATENATE(E$2,": ",E$3,list1!E276,"]")</f>
        <v xml:space="preserve"> (Сплит система) Инвентор: S[нет]</v>
      </c>
      <c r="F276" t="str">
        <f>CONCATENATE(F$2,": ",F$3,list1!F276,"]")</f>
        <v xml:space="preserve"> (Сплит система) Теплопроизводительность: N[7.18]</v>
      </c>
      <c r="G276" t="str">
        <f>CONCATENATE(G$2,": ",G$3,list1!G276,"]")</f>
        <v xml:space="preserve"> (Потребляемая мощность) Охлаждение: N[2.18]</v>
      </c>
      <c r="H276" t="str">
        <f>CONCATENATE(H$2,": ",H$3,list1!H276,"]")</f>
        <v xml:space="preserve"> (Потребляемая мощность) Обогрев: S[1.98]</v>
      </c>
      <c r="I276" t="str">
        <f>CONCATENATE(I$2,": ",I$3,list1!I276,"]")</f>
        <v xml:space="preserve"> (Рабочий ток) Охлаждение: S[]</v>
      </c>
      <c r="J276" t="str">
        <f>CONCATENATE(J$2,": ",J$3,list1!J276,"]")</f>
        <v xml:space="preserve"> (Рабочий ток) Обогрев: S[]</v>
      </c>
      <c r="K276" t="str">
        <f>CONCATENATE(K$2,": ",K$3,list1!K276,"]")</f>
        <v xml:space="preserve"> (Рабочий ток) Напряжение / Частота источника питания: S[1 / 220 / 50]</v>
      </c>
      <c r="L276" t="str">
        <f>CONCATENATE(L$2,": ",L$3,list1!L276,"]")</f>
        <v xml:space="preserve"> (Рабочий ток) Хладагент: S[R410A]</v>
      </c>
      <c r="M276" t="str">
        <f>CONCATENATE(M$2,": ",M$3,list1!M276,"]")</f>
        <v xml:space="preserve"> (Рабочий ток) Количество хладагента: N[]</v>
      </c>
      <c r="N276" t="str">
        <f>CONCATENATE(N$2,": ",N$3,list1!N276,"]")</f>
        <v xml:space="preserve"> (Рабочий ток) Объем рециркулируемого воздуха внутреннего блока: S[]</v>
      </c>
      <c r="O276" t="str">
        <f>CONCATENATE(O$2,": ",O$3,list1!O276,"]")</f>
        <v xml:space="preserve"> (Внутренний блок) Размеры (Ш x Г x В): S[1010 х 315 х 220]</v>
      </c>
      <c r="P276" t="str">
        <f>CONCATENATE(P$2,": ",P$3,list1!P276,"]")</f>
        <v xml:space="preserve"> (Внутренний блок) Упаковка (Ш x Г x В): S[1096 х 297 х 390]</v>
      </c>
      <c r="Q276" t="str">
        <f>CONCATENATE(Q$2,": ",Q$3,list1!Q276,"]")</f>
        <v xml:space="preserve"> (Внутренний блок) Масса (нетто / брутто): S[13 / 16]</v>
      </c>
      <c r="R276" t="str">
        <f>CONCATENATE(R$2,": ",R$3,list1!R276,"]")</f>
        <v xml:space="preserve"> (Внутренний блок) Уровень шума мин. / макс.: S[35/39/43/47/49]</v>
      </c>
      <c r="S276" t="str">
        <f>CONCATENATE(S$2,": ",S$3,list1!S276,"]")</f>
        <v xml:space="preserve"> (Наружный блок) Марка компрессора: S[GMCC]</v>
      </c>
      <c r="T276" t="str">
        <f>CONCATENATE(T$2,": ",T$3,list1!T276,"]")</f>
        <v xml:space="preserve"> (Наружный блок) Размеры (Ш x Г x В): S[968 х 375 х 655]</v>
      </c>
      <c r="U276" t="str">
        <f>CONCATENATE(U$2,": ",U$3,list1!U276,"]")</f>
        <v xml:space="preserve"> (Наружный блок) Упаковка (Ш x Г x В): S[1015 х 425 х 715]</v>
      </c>
      <c r="V276" t="str">
        <f>CONCATENATE(V$2,": ",V$3,list1!V276,"]")</f>
        <v xml:space="preserve"> (Наружный блок) Масса (нетто / брутто): S[50/54]</v>
      </c>
      <c r="W276" t="str">
        <f>CONCATENATE(W$2,": ",W$3,list1!W276,"]")</f>
        <v xml:space="preserve"> (Наружный блок) Максимальный уровень шума: N[]</v>
      </c>
      <c r="X276" t="str">
        <f>CONCATENATE(X$2,": ",X$3,list1!X276,"]")</f>
        <v xml:space="preserve"> (Соединительные трубы) Жидкостная линия : N[6.35]</v>
      </c>
      <c r="Y276" t="str">
        <f>CONCATENATE(Y$2,": ",Y$3,list1!Y276,"]")</f>
        <v xml:space="preserve"> (Соединительные трубы) Газовая линия : N[15.88]</v>
      </c>
      <c r="Z276" t="str">
        <f>CONCATENATE(Z$2,": ",Z$3,list1!Z276,"]")</f>
        <v xml:space="preserve"> (Соединительные трубы) Максимальная длина трубопровода: N[15]</v>
      </c>
      <c r="AA276" t="str">
        <f>CONCATENATE(AA$2,": ",AA$3,list1!AA276,"]")</f>
        <v xml:space="preserve"> (Соединительные трубы) Максимальный перепад высот: S[5]</v>
      </c>
      <c r="AB276" t="str">
        <f>CONCATENATE(AB$2,": ",AB$3,list1!AB276,"]")</f>
        <v xml:space="preserve"> (Допустимая темп. наружного воздуха) Охлаждение: S[от 15 до +43]</v>
      </c>
      <c r="AC276" t="str">
        <f>CONCATENATE(AC$2,": ",AC$3,list1!AC276,"]")</f>
        <v xml:space="preserve"> (Допустимая темп. наружного воздуха) Обогрев: S[от -7 до +24]</v>
      </c>
      <c r="AD276" s="6" t="s">
        <v>5245</v>
      </c>
    </row>
    <row r="277" spans="1:30" x14ac:dyDescent="0.25">
      <c r="A277" t="str">
        <f>CONCATENATE(A$2,": ",A$3,list1!A277,"]")</f>
        <v>Производитель: E[QUATTROCLIMA]</v>
      </c>
      <c r="B277" t="str">
        <f>CONCATENATE(B$2,": ",B$3,list1!B277,"]")</f>
        <v xml:space="preserve"> Тип: S[Сплит система]</v>
      </c>
      <c r="C277" t="str">
        <f>CONCATENATE(C$2,": ",C$3,list1!C277,"]")</f>
        <v xml:space="preserve"> (Сплит система) Холодопроизводительность: N[7.03]</v>
      </c>
      <c r="D277" t="str">
        <f>CONCATENATE(D$2,": ",D$3,list1!D277,"]")</f>
        <v xml:space="preserve"> (Сплит система) Площадь помещения: N[70]</v>
      </c>
      <c r="E277" t="str">
        <f>CONCATENATE(E$2,": ",E$3,list1!E277,"]")</f>
        <v xml:space="preserve"> (Сплит система) Инвентор: S[нет]</v>
      </c>
      <c r="F277" t="str">
        <f>CONCATENATE(F$2,": ",F$3,list1!F277,"]")</f>
        <v xml:space="preserve"> (Сплит система) Теплопроизводительность: N[7.18]</v>
      </c>
      <c r="G277" t="str">
        <f>CONCATENATE(G$2,": ",G$3,list1!G277,"]")</f>
        <v xml:space="preserve"> (Потребляемая мощность) Охлаждение: N[2.19]</v>
      </c>
      <c r="H277" t="str">
        <f>CONCATENATE(H$2,": ",H$3,list1!H277,"]")</f>
        <v xml:space="preserve"> (Потребляемая мощность) Обогрев: S[1.985]</v>
      </c>
      <c r="I277" t="str">
        <f>CONCATENATE(I$2,": ",I$3,list1!I277,"]")</f>
        <v xml:space="preserve"> (Рабочий ток) Охлаждение: S[]</v>
      </c>
      <c r="J277" t="str">
        <f>CONCATENATE(J$2,": ",J$3,list1!J277,"]")</f>
        <v xml:space="preserve"> (Рабочий ток) Обогрев: S[]</v>
      </c>
      <c r="K277" t="str">
        <f>CONCATENATE(K$2,": ",K$3,list1!K277,"]")</f>
        <v xml:space="preserve"> (Рабочий ток) Напряжение / Частота источника питания: S[1 / 220 / 50]</v>
      </c>
      <c r="L277" t="str">
        <f>CONCATENATE(L$2,": ",L$3,list1!L277,"]")</f>
        <v xml:space="preserve"> (Рабочий ток) Хладагент: S[R410A]</v>
      </c>
      <c r="M277" t="str">
        <f>CONCATENATE(M$2,": ",M$3,list1!M277,"]")</f>
        <v xml:space="preserve"> (Рабочий ток) Количество хладагента: N[]</v>
      </c>
      <c r="N277" t="str">
        <f>CONCATENATE(N$2,": ",N$3,list1!N277,"]")</f>
        <v xml:space="preserve"> (Рабочий ток) Объем рециркулируемого воздуха внутреннего блока: S[]</v>
      </c>
      <c r="O277" t="str">
        <f>CONCATENATE(O$2,": ",O$3,list1!O277,"]")</f>
        <v xml:space="preserve"> (Внутренний блок) Размеры (Ш x Г x В): S[1010 х 315 х 220]</v>
      </c>
      <c r="P277" t="str">
        <f>CONCATENATE(P$2,": ",P$3,list1!P277,"]")</f>
        <v xml:space="preserve"> (Внутренний блок) Упаковка (Ш x Г x В): S[1096 х 297 х 390]</v>
      </c>
      <c r="Q277" t="str">
        <f>CONCATENATE(Q$2,": ",Q$3,list1!Q277,"]")</f>
        <v xml:space="preserve"> (Внутренний блок) Масса (нетто / брутто): S[13 / 16]</v>
      </c>
      <c r="R277" t="str">
        <f>CONCATENATE(R$2,": ",R$3,list1!R277,"]")</f>
        <v xml:space="preserve"> (Внутренний блок) Уровень шума мин. / макс.: S[35/38/42/45/49]</v>
      </c>
      <c r="S277" t="str">
        <f>CONCATENATE(S$2,": ",S$3,list1!S277,"]")</f>
        <v xml:space="preserve"> (Наружный блок) Марка компрессора: S[HIGHLY]</v>
      </c>
      <c r="T277" t="str">
        <f>CONCATENATE(T$2,": ",T$3,list1!T277,"]")</f>
        <v xml:space="preserve"> (Наружный блок) Размеры (Ш x Г x В): S[886 х 357 х 605]</v>
      </c>
      <c r="U277" t="str">
        <f>CONCATENATE(U$2,": ",U$3,list1!U277,"]")</f>
        <v xml:space="preserve"> (Наружный блок) Упаковка (Ш x Г x В): S[930 х 380 х 635]</v>
      </c>
      <c r="V277" t="str">
        <f>CONCATENATE(V$2,": ",V$3,list1!V277,"]")</f>
        <v xml:space="preserve"> (Наружный блок) Масса (нетто / брутто): S[43/46]</v>
      </c>
      <c r="W277" t="str">
        <f>CONCATENATE(W$2,": ",W$3,list1!W277,"]")</f>
        <v xml:space="preserve"> (Наружный блок) Максимальный уровень шума: N[]</v>
      </c>
      <c r="X277" t="str">
        <f>CONCATENATE(X$2,": ",X$3,list1!X277,"]")</f>
        <v xml:space="preserve"> (Соединительные трубы) Жидкостная линия : N[6.35]</v>
      </c>
      <c r="Y277" t="str">
        <f>CONCATENATE(Y$2,": ",Y$3,list1!Y277,"]")</f>
        <v xml:space="preserve"> (Соединительные трубы) Газовая линия : N[15.88]</v>
      </c>
      <c r="Z277" t="str">
        <f>CONCATENATE(Z$2,": ",Z$3,list1!Z277,"]")</f>
        <v xml:space="preserve"> (Соединительные трубы) Максимальная длина трубопровода: N[15]</v>
      </c>
      <c r="AA277" t="str">
        <f>CONCATENATE(AA$2,": ",AA$3,list1!AA277,"]")</f>
        <v xml:space="preserve"> (Соединительные трубы) Максимальный перепад высот: S[5]</v>
      </c>
      <c r="AB277" t="str">
        <f>CONCATENATE(AB$2,": ",AB$3,list1!AB277,"]")</f>
        <v xml:space="preserve"> (Допустимая темп. наружного воздуха) Охлаждение: S[от 15 до +43]</v>
      </c>
      <c r="AC277" t="str">
        <f>CONCATENATE(AC$2,": ",AC$3,list1!AC277,"]")</f>
        <v xml:space="preserve"> (Допустимая темп. наружного воздуха) Обогрев: S[от -7 до +24]</v>
      </c>
      <c r="AD277" s="6" t="s">
        <v>5245</v>
      </c>
    </row>
    <row r="278" spans="1:30" x14ac:dyDescent="0.25">
      <c r="A278" t="str">
        <f>CONCATENATE(A$2,": ",A$3,list1!A278,"]")</f>
        <v>Производитель: E[QUATTROCLIMA]</v>
      </c>
      <c r="B278" t="str">
        <f>CONCATENATE(B$2,": ",B$3,list1!B278,"]")</f>
        <v xml:space="preserve"> Тип: S[Сплит система]</v>
      </c>
      <c r="C278" t="str">
        <f>CONCATENATE(C$2,": ",C$3,list1!C278,"]")</f>
        <v xml:space="preserve"> (Сплит система) Холодопроизводительность: N[8.21]</v>
      </c>
      <c r="D278" t="str">
        <f>CONCATENATE(D$2,": ",D$3,list1!D278,"]")</f>
        <v xml:space="preserve"> (Сплит система) Площадь помещения: N[82]</v>
      </c>
      <c r="E278" t="str">
        <f>CONCATENATE(E$2,": ",E$3,list1!E278,"]")</f>
        <v xml:space="preserve"> (Сплит система) Инвентор: S[нет]</v>
      </c>
      <c r="F278" t="str">
        <f>CONCATENATE(F$2,": ",F$3,list1!F278,"]")</f>
        <v xml:space="preserve"> (Сплит система) Теплопроизводительность: N[8.35]</v>
      </c>
      <c r="G278" t="str">
        <f>CONCATENATE(G$2,": ",G$3,list1!G278,"]")</f>
        <v xml:space="preserve"> (Потребляемая мощность) Охлаждение: N[2.55]</v>
      </c>
      <c r="H278" t="str">
        <f>CONCATENATE(H$2,": ",H$3,list1!H278,"]")</f>
        <v xml:space="preserve"> (Потребляемая мощность) Обогрев: S[2.31]</v>
      </c>
      <c r="I278" t="str">
        <f>CONCATENATE(I$2,": ",I$3,list1!I278,"]")</f>
        <v xml:space="preserve"> (Рабочий ток) Охлаждение: S[]</v>
      </c>
      <c r="J278" t="str">
        <f>CONCATENATE(J$2,": ",J$3,list1!J278,"]")</f>
        <v xml:space="preserve"> (Рабочий ток) Обогрев: S[]</v>
      </c>
      <c r="K278" t="str">
        <f>CONCATENATE(K$2,": ",K$3,list1!K278,"]")</f>
        <v xml:space="preserve"> (Рабочий ток) Напряжение / Частота источника питания: S[1 / 220 / 50]</v>
      </c>
      <c r="L278" t="str">
        <f>CONCATENATE(L$2,": ",L$3,list1!L278,"]")</f>
        <v xml:space="preserve"> (Рабочий ток) Хладагент: S[R410A]</v>
      </c>
      <c r="M278" t="str">
        <f>CONCATENATE(M$2,": ",M$3,list1!M278,"]")</f>
        <v xml:space="preserve"> (Рабочий ток) Количество хладагента: N[]</v>
      </c>
      <c r="N278" t="str">
        <f>CONCATENATE(N$2,": ",N$3,list1!N278,"]")</f>
        <v xml:space="preserve"> (Рабочий ток) Объем рециркулируемого воздуха внутреннего блока: S[]</v>
      </c>
      <c r="O278" t="str">
        <f>CONCATENATE(O$2,": ",O$3,list1!O278,"]")</f>
        <v xml:space="preserve"> (Внутренний блок) Размеры (Ш x Г x В): S[1186 х 340 х 258]</v>
      </c>
      <c r="P278" t="str">
        <f>CONCATENATE(P$2,": ",P$3,list1!P278,"]")</f>
        <v xml:space="preserve"> (Внутренний блок) Упаковка (Ш x Г x В): S[1262 х 337 х 420]</v>
      </c>
      <c r="Q278" t="str">
        <f>CONCATENATE(Q$2,": ",Q$3,list1!Q278,"]")</f>
        <v xml:space="preserve"> (Внутренний блок) Масса (нетто / брутто): S[18 / 22]</v>
      </c>
      <c r="R278" t="str">
        <f>CONCATENATE(R$2,": ",R$3,list1!R278,"]")</f>
        <v xml:space="preserve"> (Внутренний блок) Уровень шума мин. / макс.: S[/41/45/49/51]</v>
      </c>
      <c r="S278" t="str">
        <f>CONCATENATE(S$2,": ",S$3,list1!S278,"]")</f>
        <v xml:space="preserve"> (Наружный блок) Марка компрессора: S[HIGHLY]</v>
      </c>
      <c r="T278" t="str">
        <f>CONCATENATE(T$2,": ",T$3,list1!T278,"]")</f>
        <v xml:space="preserve"> (Наружный блок) Размеры (Ш x Г x В): S[953 х 433 х 808]</v>
      </c>
      <c r="U278" t="str">
        <f>CONCATENATE(U$2,": ",U$3,list1!U278,"]")</f>
        <v xml:space="preserve"> (Наружный блок) Упаковка (Ш x Г x В): S[1020 х 475 х 845]</v>
      </c>
      <c r="V278" t="str">
        <f>CONCATENATE(V$2,": ",V$3,list1!V278,"]")</f>
        <v xml:space="preserve"> (Наружный блок) Масса (нетто / брутто): S[68/74]</v>
      </c>
      <c r="W278" t="str">
        <f>CONCATENATE(W$2,": ",W$3,list1!W278,"]")</f>
        <v xml:space="preserve"> (Наружный блок) Максимальный уровень шума: N[]</v>
      </c>
      <c r="X278" t="str">
        <f>CONCATENATE(X$2,": ",X$3,list1!X278,"]")</f>
        <v xml:space="preserve"> (Соединительные трубы) Жидкостная линия : N[9.52]</v>
      </c>
      <c r="Y278" t="str">
        <f>CONCATENATE(Y$2,": ",Y$3,list1!Y278,"]")</f>
        <v xml:space="preserve"> (Соединительные трубы) Газовая линия : N[15.88]</v>
      </c>
      <c r="Z278" t="str">
        <f>CONCATENATE(Z$2,": ",Z$3,list1!Z278,"]")</f>
        <v xml:space="preserve"> (Соединительные трубы) Максимальная длина трубопровода: N[15]</v>
      </c>
      <c r="AA278" t="str">
        <f>CONCATENATE(AA$2,": ",AA$3,list1!AA278,"]")</f>
        <v xml:space="preserve"> (Соединительные трубы) Максимальный перепад высот: S[5]</v>
      </c>
      <c r="AB278" t="str">
        <f>CONCATENATE(AB$2,": ",AB$3,list1!AB278,"]")</f>
        <v xml:space="preserve"> (Допустимая темп. наружного воздуха) Охлаждение: S[от 15 до +43]</v>
      </c>
      <c r="AC278" t="str">
        <f>CONCATENATE(AC$2,": ",AC$3,list1!AC278,"]")</f>
        <v xml:space="preserve"> (Допустимая темп. наружного воздуха) Обогрев: S[от -7 до +24]</v>
      </c>
      <c r="AD278" s="6" t="s">
        <v>5245</v>
      </c>
    </row>
    <row r="279" spans="1:30" x14ac:dyDescent="0.25">
      <c r="A279" t="str">
        <f>CONCATENATE(A$2,": ",A$3,list1!A279,"]")</f>
        <v>Производитель: E[QUATTROCLIMA]</v>
      </c>
      <c r="B279" t="str">
        <f>CONCATENATE(B$2,": ",B$3,list1!B279,"]")</f>
        <v xml:space="preserve"> Тип: S[Сплит система]</v>
      </c>
      <c r="C279" t="str">
        <f>CONCATENATE(C$2,": ",C$3,list1!C279,"]")</f>
        <v xml:space="preserve"> (Сплит система) Холодопроизводительность: N[2.6]</v>
      </c>
      <c r="D279" t="str">
        <f>CONCATENATE(D$2,": ",D$3,list1!D279,"]")</f>
        <v xml:space="preserve"> (Сплит система) Площадь помещения: N[26]</v>
      </c>
      <c r="E279" t="str">
        <f>CONCATENATE(E$2,": ",E$3,list1!E279,"]")</f>
        <v xml:space="preserve"> (Сплит система) Инвентор: S[да]</v>
      </c>
      <c r="F279" t="str">
        <f>CONCATENATE(F$2,": ",F$3,list1!F279,"]")</f>
        <v xml:space="preserve"> (Сплит система) Теплопроизводительность: N[2.61]</v>
      </c>
      <c r="G279" t="str">
        <f>CONCATENATE(G$2,": ",G$3,list1!G279,"]")</f>
        <v xml:space="preserve"> (Потребляемая мощность) Охлаждение: N[0.75]</v>
      </c>
      <c r="H279" t="str">
        <f>CONCATENATE(H$2,": ",H$3,list1!H279,"]")</f>
        <v xml:space="preserve"> (Потребляемая мощность) Обогрев: S[0.752]</v>
      </c>
      <c r="I279" t="str">
        <f>CONCATENATE(I$2,": ",I$3,list1!I279,"]")</f>
        <v xml:space="preserve"> (Рабочий ток) Охлаждение: S[]</v>
      </c>
      <c r="J279" t="str">
        <f>CONCATENATE(J$2,": ",J$3,list1!J279,"]")</f>
        <v xml:space="preserve"> (Рабочий ток) Обогрев: S[]</v>
      </c>
      <c r="K279" t="str">
        <f>CONCATENATE(K$2,": ",K$3,list1!K279,"]")</f>
        <v xml:space="preserve"> (Рабочий ток) Напряжение / Частота источника питания: S[1 / 220 / 50]</v>
      </c>
      <c r="L279" t="str">
        <f>CONCATENATE(L$2,": ",L$3,list1!L279,"]")</f>
        <v xml:space="preserve"> (Рабочий ток) Хладагент: S[R32]</v>
      </c>
      <c r="M279" t="str">
        <f>CONCATENATE(M$2,": ",M$3,list1!M279,"]")</f>
        <v xml:space="preserve"> (Рабочий ток) Количество хладагента: N[]</v>
      </c>
      <c r="N279" t="str">
        <f>CONCATENATE(N$2,": ",N$3,list1!N279,"]")</f>
        <v xml:space="preserve"> (Рабочий ток) Объем рециркулируемого воздуха внутреннего блока: S[]</v>
      </c>
      <c r="O279" t="str">
        <f>CONCATENATE(O$2,": ",O$3,list1!O279,"]")</f>
        <v xml:space="preserve"> (Внутренний блок) Размеры (Ш x Г x В): S[698 х 255 х 190]</v>
      </c>
      <c r="P279" t="str">
        <f>CONCATENATE(P$2,": ",P$3,list1!P279,"]")</f>
        <v xml:space="preserve"> (Внутренний блок) Упаковка (Ш x Г x В): S[764 х 267 х 325]</v>
      </c>
      <c r="Q279" t="str">
        <f>CONCATENATE(Q$2,": ",Q$3,list1!Q279,"]")</f>
        <v xml:space="preserve"> (Внутренний блок) Масса (нетто / брутто): S[7 / 9]</v>
      </c>
      <c r="R279" t="str">
        <f>CONCATENATE(R$2,": ",R$3,list1!R279,"]")</f>
        <v xml:space="preserve"> (Внутренний блок) Уровень шума мин. / макс.: S[22/25/33/40]</v>
      </c>
      <c r="S279" t="str">
        <f>CONCATENATE(S$2,": ",S$3,list1!S279,"]")</f>
        <v xml:space="preserve"> (Наружный блок) Марка компрессора: S[GMCC]</v>
      </c>
      <c r="T279" t="str">
        <f>CONCATENATE(T$2,": ",T$3,list1!T279,"]")</f>
        <v xml:space="preserve"> (Наружный блок) Размеры (Ш x Г x В): S[777 х 290 х 498]</v>
      </c>
      <c r="U279" t="str">
        <f>CONCATENATE(U$2,": ",U$3,list1!U279,"]")</f>
        <v xml:space="preserve"> (Наружный блок) Упаковка (Ш x Г x В): S[818 х 325 х 520]</v>
      </c>
      <c r="V279" t="str">
        <f>CONCATENATE(V$2,": ",V$3,list1!V279,"]")</f>
        <v xml:space="preserve"> (Наружный блок) Масса (нетто / брутто): S[22/25]</v>
      </c>
      <c r="W279" t="str">
        <f>CONCATENATE(W$2,": ",W$3,list1!W279,"]")</f>
        <v xml:space="preserve"> (Наружный блок) Максимальный уровень шума: N[]</v>
      </c>
      <c r="X279" t="str">
        <f>CONCATENATE(X$2,": ",X$3,list1!X279,"]")</f>
        <v xml:space="preserve"> (Соединительные трубы) Жидкостная линия : N[6.35]</v>
      </c>
      <c r="Y279" t="str">
        <f>CONCATENATE(Y$2,": ",Y$3,list1!Y279,"]")</f>
        <v xml:space="preserve"> (Соединительные трубы) Газовая линия : N[9.52]</v>
      </c>
      <c r="Z279" t="str">
        <f>CONCATENATE(Z$2,": ",Z$3,list1!Z279,"]")</f>
        <v xml:space="preserve"> (Соединительные трубы) Максимальная длина трубопровода: N[15]</v>
      </c>
      <c r="AA279" t="str">
        <f>CONCATENATE(AA$2,": ",AA$3,list1!AA279,"]")</f>
        <v xml:space="preserve"> (Соединительные трубы) Максимальный перепад высот: S[5]</v>
      </c>
      <c r="AB279" t="str">
        <f>CONCATENATE(AB$2,": ",AB$3,list1!AB279,"]")</f>
        <v xml:space="preserve"> (Допустимая темп. наружного воздуха) Охлаждение: S[]</v>
      </c>
      <c r="AC279" t="str">
        <f>CONCATENATE(AC$2,": ",AC$3,list1!AC279,"]")</f>
        <v xml:space="preserve"> (Допустимая темп. наружного воздуха) Обогрев: S[от -20 до +30]</v>
      </c>
      <c r="AD279" s="6" t="s">
        <v>5245</v>
      </c>
    </row>
    <row r="280" spans="1:30" x14ac:dyDescent="0.25">
      <c r="A280" t="str">
        <f>CONCATENATE(A$2,": ",A$3,list1!A280,"]")</f>
        <v>Производитель: E[QUATTROCLIMA]</v>
      </c>
      <c r="B280" t="str">
        <f>CONCATENATE(B$2,": ",B$3,list1!B280,"]")</f>
        <v xml:space="preserve"> Тип: S[Сплит система]</v>
      </c>
      <c r="C280" t="str">
        <f>CONCATENATE(C$2,": ",C$3,list1!C280,"]")</f>
        <v xml:space="preserve"> (Сплит система) Холодопроизводительность: N[2.6]</v>
      </c>
      <c r="D280" t="str">
        <f>CONCATENATE(D$2,": ",D$3,list1!D280,"]")</f>
        <v xml:space="preserve"> (Сплит система) Площадь помещения: N[26]</v>
      </c>
      <c r="E280" t="str">
        <f>CONCATENATE(E$2,": ",E$3,list1!E280,"]")</f>
        <v xml:space="preserve"> (Сплит система) Инвентор: S[да]</v>
      </c>
      <c r="F280" t="str">
        <f>CONCATENATE(F$2,": ",F$3,list1!F280,"]")</f>
        <v xml:space="preserve"> (Сплит система) Теплопроизводительность: N[2.61]</v>
      </c>
      <c r="G280" t="str">
        <f>CONCATENATE(G$2,": ",G$3,list1!G280,"]")</f>
        <v xml:space="preserve"> (Потребляемая мощность) Охлаждение: N[0.8]</v>
      </c>
      <c r="H280" t="str">
        <f>CONCATENATE(H$2,": ",H$3,list1!H280,"]")</f>
        <v xml:space="preserve"> (Потребляемая мощность) Обогрев: S[0.699]</v>
      </c>
      <c r="I280" t="str">
        <f>CONCATENATE(I$2,": ",I$3,list1!I280,"]")</f>
        <v xml:space="preserve"> (Рабочий ток) Охлаждение: S[]</v>
      </c>
      <c r="J280" t="str">
        <f>CONCATENATE(J$2,": ",J$3,list1!J280,"]")</f>
        <v xml:space="preserve"> (Рабочий ток) Обогрев: S[]</v>
      </c>
      <c r="K280" t="str">
        <f>CONCATENATE(K$2,": ",K$3,list1!K280,"]")</f>
        <v xml:space="preserve"> (Рабочий ток) Напряжение / Частота источника питания: S[1 / 220 / 50]</v>
      </c>
      <c r="L280" t="str">
        <f>CONCATENATE(L$2,": ",L$3,list1!L280,"]")</f>
        <v xml:space="preserve"> (Рабочий ток) Хладагент: S[R32]</v>
      </c>
      <c r="M280" t="str">
        <f>CONCATENATE(M$2,": ",M$3,list1!M280,"]")</f>
        <v xml:space="preserve"> (Рабочий ток) Количество хладагента: N[]</v>
      </c>
      <c r="N280" t="str">
        <f>CONCATENATE(N$2,": ",N$3,list1!N280,"]")</f>
        <v xml:space="preserve"> (Рабочий ток) Объем рециркулируемого воздуха внутреннего блока: S[]</v>
      </c>
      <c r="O280" t="str">
        <f>CONCATENATE(O$2,": ",O$3,list1!O280,"]")</f>
        <v xml:space="preserve"> (Внутренний блок) Размеры (Ш x Г x В): S[698 х 255 х 190]</v>
      </c>
      <c r="P280" t="str">
        <f>CONCATENATE(P$2,": ",P$3,list1!P280,"]")</f>
        <v xml:space="preserve"> (Внутренний блок) Упаковка (Ш x Г x В): S[764 х 267 х 325]</v>
      </c>
      <c r="Q280" t="str">
        <f>CONCATENATE(Q$2,": ",Q$3,list1!Q280,"]")</f>
        <v xml:space="preserve"> (Внутренний блок) Масса (нетто / брутто): S[7 / 9]</v>
      </c>
      <c r="R280" t="str">
        <f>CONCATENATE(R$2,": ",R$3,list1!R280,"]")</f>
        <v xml:space="preserve"> (Внутренний блок) Уровень шума мин. / макс.: S[22/25/33/37/40]</v>
      </c>
      <c r="S280" t="str">
        <f>CONCATENATE(S$2,": ",S$3,list1!S280,"]")</f>
        <v xml:space="preserve"> (Наружный блок) Марка компрессора: S[RECHI]</v>
      </c>
      <c r="T280" t="str">
        <f>CONCATENATE(T$2,": ",T$3,list1!T280,"]")</f>
        <v xml:space="preserve"> (Наружный блок) Размеры (Ш x Г x В): S[777 х 290 х 498]</v>
      </c>
      <c r="U280" t="str">
        <f>CONCATENATE(U$2,": ",U$3,list1!U280,"]")</f>
        <v xml:space="preserve"> (Наружный блок) Упаковка (Ш x Г x В): S[818 х 325 х 520]</v>
      </c>
      <c r="V280" t="str">
        <f>CONCATENATE(V$2,": ",V$3,list1!V280,"]")</f>
        <v xml:space="preserve"> (Наружный блок) Масса (нетто / брутто): S[22/25]</v>
      </c>
      <c r="W280" t="str">
        <f>CONCATENATE(W$2,": ",W$3,list1!W280,"]")</f>
        <v xml:space="preserve"> (Наружный блок) Максимальный уровень шума: N[]</v>
      </c>
      <c r="X280" t="str">
        <f>CONCATENATE(X$2,": ",X$3,list1!X280,"]")</f>
        <v xml:space="preserve"> (Соединительные трубы) Жидкостная линия : N[6.35]</v>
      </c>
      <c r="Y280" t="str">
        <f>CONCATENATE(Y$2,": ",Y$3,list1!Y280,"]")</f>
        <v xml:space="preserve"> (Соединительные трубы) Газовая линия : N[9.52]</v>
      </c>
      <c r="Z280" t="str">
        <f>CONCATENATE(Z$2,": ",Z$3,list1!Z280,"]")</f>
        <v xml:space="preserve"> (Соединительные трубы) Максимальная длина трубопровода: N[25]</v>
      </c>
      <c r="AA280" t="str">
        <f>CONCATENATE(AA$2,": ",AA$3,list1!AA280,"]")</f>
        <v xml:space="preserve"> (Соединительные трубы) Максимальный перепад высот: S[10]</v>
      </c>
      <c r="AB280" t="str">
        <f>CONCATENATE(AB$2,": ",AB$3,list1!AB280,"]")</f>
        <v xml:space="preserve"> (Допустимая темп. наружного воздуха) Охлаждение: S[от -15 до +53]</v>
      </c>
      <c r="AC280" t="str">
        <f>CONCATENATE(AC$2,": ",AC$3,list1!AC280,"]")</f>
        <v xml:space="preserve"> (Допустимая темп. наружного воздуха) Обогрев: S[от -20 до +30]</v>
      </c>
      <c r="AD280" s="6" t="s">
        <v>5245</v>
      </c>
    </row>
    <row r="281" spans="1:30" x14ac:dyDescent="0.25">
      <c r="A281" t="str">
        <f>CONCATENATE(A$2,": ",A$3,list1!A281,"]")</f>
        <v>Производитель: E[QUATTROCLIMA]</v>
      </c>
      <c r="B281" t="str">
        <f>CONCATENATE(B$2,": ",B$3,list1!B281,"]")</f>
        <v xml:space="preserve"> Тип: S[Сплит система]</v>
      </c>
      <c r="C281" t="str">
        <f>CONCATENATE(C$2,": ",C$3,list1!C281,"]")</f>
        <v xml:space="preserve"> (Сплит система) Холодопроизводительность: N[3.4]</v>
      </c>
      <c r="D281" t="str">
        <f>CONCATENATE(D$2,": ",D$3,list1!D281,"]")</f>
        <v xml:space="preserve"> (Сплит система) Площадь помещения: N[34]</v>
      </c>
      <c r="E281" t="str">
        <f>CONCATENATE(E$2,": ",E$3,list1!E281,"]")</f>
        <v xml:space="preserve"> (Сплит система) Инвентор: S[да]</v>
      </c>
      <c r="F281" t="str">
        <f>CONCATENATE(F$2,": ",F$3,list1!F281,"]")</f>
        <v xml:space="preserve"> (Сплит система) Теплопроизводительность: N[3.42]</v>
      </c>
      <c r="G281" t="str">
        <f>CONCATENATE(G$2,": ",G$3,list1!G281,"]")</f>
        <v xml:space="preserve"> (Потребляемая мощность) Охлаждение: N[1.01]</v>
      </c>
      <c r="H281" t="str">
        <f>CONCATENATE(H$2,": ",H$3,list1!H281,"]")</f>
        <v xml:space="preserve"> (Потребляемая мощность) Обогрев: S[0.948]</v>
      </c>
      <c r="I281" t="str">
        <f>CONCATENATE(I$2,": ",I$3,list1!I281,"]")</f>
        <v xml:space="preserve"> (Рабочий ток) Охлаждение: S[]</v>
      </c>
      <c r="J281" t="str">
        <f>CONCATENATE(J$2,": ",J$3,list1!J281,"]")</f>
        <v xml:space="preserve"> (Рабочий ток) Обогрев: S[]</v>
      </c>
      <c r="K281" t="str">
        <f>CONCATENATE(K$2,": ",K$3,list1!K281,"]")</f>
        <v xml:space="preserve"> (Рабочий ток) Напряжение / Частота источника питания: S[1 / 220 / 50]</v>
      </c>
      <c r="L281" t="str">
        <f>CONCATENATE(L$2,": ",L$3,list1!L281,"]")</f>
        <v xml:space="preserve"> (Рабочий ток) Хладагент: S[R32]</v>
      </c>
      <c r="M281" t="str">
        <f>CONCATENATE(M$2,": ",M$3,list1!M281,"]")</f>
        <v xml:space="preserve"> (Рабочий ток) Количество хладагента: N[]</v>
      </c>
      <c r="N281" t="str">
        <f>CONCATENATE(N$2,": ",N$3,list1!N281,"]")</f>
        <v xml:space="preserve"> (Рабочий ток) Объем рециркулируемого воздуха внутреннего блока: S[]</v>
      </c>
      <c r="O281" t="str">
        <f>CONCATENATE(O$2,": ",O$3,list1!O281,"]")</f>
        <v xml:space="preserve"> (Внутренний блок) Размеры (Ш x Г x В): S[777 х 250 х 201]</v>
      </c>
      <c r="P281" t="str">
        <f>CONCATENATE(P$2,": ",P$3,list1!P281,"]")</f>
        <v xml:space="preserve"> (Внутренний блок) Упаковка (Ш x Г x В): S[840 х 260 х 315]</v>
      </c>
      <c r="Q281" t="str">
        <f>CONCATENATE(Q$2,": ",Q$3,list1!Q281,"]")</f>
        <v xml:space="preserve"> (Внутренний блок) Масса (нетто / брутто): S[9 / 11]</v>
      </c>
      <c r="R281" t="str">
        <f>CONCATENATE(R$2,": ",R$3,list1!R281,"]")</f>
        <v xml:space="preserve"> (Внутренний блок) Уровень шума мин. / макс.: S[22/25/33/40]</v>
      </c>
      <c r="S281" t="str">
        <f>CONCATENATE(S$2,": ",S$3,list1!S281,"]")</f>
        <v xml:space="preserve"> (Наружный блок) Марка компрессора: S[GMCC]</v>
      </c>
      <c r="T281" t="str">
        <f>CONCATENATE(T$2,": ",T$3,list1!T281,"]")</f>
        <v xml:space="preserve"> (Наружный блок) Размеры (Ш x Г x В): S[777 х 290 х 498]</v>
      </c>
      <c r="U281" t="str">
        <f>CONCATENATE(U$2,": ",U$3,list1!U281,"]")</f>
        <v xml:space="preserve"> (Наружный блок) Упаковка (Ш x Г x В): S[818 х 325 х 520]</v>
      </c>
      <c r="V281" t="str">
        <f>CONCATENATE(V$2,": ",V$3,list1!V281,"]")</f>
        <v xml:space="preserve"> (Наружный блок) Масса (нетто / брутто): S[22/25]</v>
      </c>
      <c r="W281" t="str">
        <f>CONCATENATE(W$2,": ",W$3,list1!W281,"]")</f>
        <v xml:space="preserve"> (Наружный блок) Максимальный уровень шума: N[]</v>
      </c>
      <c r="X281" t="str">
        <f>CONCATENATE(X$2,": ",X$3,list1!X281,"]")</f>
        <v xml:space="preserve"> (Соединительные трубы) Жидкостная линия : N[6.35]</v>
      </c>
      <c r="Y281" t="str">
        <f>CONCATENATE(Y$2,": ",Y$3,list1!Y281,"]")</f>
        <v xml:space="preserve"> (Соединительные трубы) Газовая линия : N[9.52]</v>
      </c>
      <c r="Z281" t="str">
        <f>CONCATENATE(Z$2,": ",Z$3,list1!Z281,"]")</f>
        <v xml:space="preserve"> (Соединительные трубы) Максимальная длина трубопровода: N[15]</v>
      </c>
      <c r="AA281" t="str">
        <f>CONCATENATE(AA$2,": ",AA$3,list1!AA281,"]")</f>
        <v xml:space="preserve"> (Соединительные трубы) Максимальный перепад высот: S[5]</v>
      </c>
      <c r="AB281" t="str">
        <f>CONCATENATE(AB$2,": ",AB$3,list1!AB281,"]")</f>
        <v xml:space="preserve"> (Допустимая темп. наружного воздуха) Охлаждение: S[]</v>
      </c>
      <c r="AC281" t="str">
        <f>CONCATENATE(AC$2,": ",AC$3,list1!AC281,"]")</f>
        <v xml:space="preserve"> (Допустимая темп. наружного воздуха) Обогрев: S[от -20 до +30]</v>
      </c>
      <c r="AD281" s="6" t="s">
        <v>5245</v>
      </c>
    </row>
    <row r="282" spans="1:30" x14ac:dyDescent="0.25">
      <c r="A282" t="str">
        <f>CONCATENATE(A$2,": ",A$3,list1!A282,"]")</f>
        <v>Производитель: E[QUATTROCLIMA]</v>
      </c>
      <c r="B282" t="str">
        <f>CONCATENATE(B$2,": ",B$3,list1!B282,"]")</f>
        <v xml:space="preserve"> Тип: S[Сплит система]</v>
      </c>
      <c r="C282" t="str">
        <f>CONCATENATE(C$2,": ",C$3,list1!C282,"]")</f>
        <v xml:space="preserve"> (Сплит система) Холодопроизводительность: N[3.4]</v>
      </c>
      <c r="D282" t="str">
        <f>CONCATENATE(D$2,": ",D$3,list1!D282,"]")</f>
        <v xml:space="preserve"> (Сплит система) Площадь помещения: N[34]</v>
      </c>
      <c r="E282" t="str">
        <f>CONCATENATE(E$2,": ",E$3,list1!E282,"]")</f>
        <v xml:space="preserve"> (Сплит система) Инвентор: S[да]</v>
      </c>
      <c r="F282" t="str">
        <f>CONCATENATE(F$2,": ",F$3,list1!F282,"]")</f>
        <v xml:space="preserve"> (Сплит система) Теплопроизводительность: N[3.42]</v>
      </c>
      <c r="G282" t="str">
        <f>CONCATENATE(G$2,": ",G$3,list1!G282,"]")</f>
        <v xml:space="preserve"> (Потребляемая мощность) Охлаждение: N[1.13]</v>
      </c>
      <c r="H282" t="str">
        <f>CONCATENATE(H$2,": ",H$3,list1!H282,"]")</f>
        <v xml:space="preserve"> (Потребляемая мощность) Обогрев: S[0.922]</v>
      </c>
      <c r="I282" t="str">
        <f>CONCATENATE(I$2,": ",I$3,list1!I282,"]")</f>
        <v xml:space="preserve"> (Рабочий ток) Охлаждение: S[]</v>
      </c>
      <c r="J282" t="str">
        <f>CONCATENATE(J$2,": ",J$3,list1!J282,"]")</f>
        <v xml:space="preserve"> (Рабочий ток) Обогрев: S[]</v>
      </c>
      <c r="K282" t="str">
        <f>CONCATENATE(K$2,": ",K$3,list1!K282,"]")</f>
        <v xml:space="preserve"> (Рабочий ток) Напряжение / Частота источника питания: S[1 / 220 / 50]</v>
      </c>
      <c r="L282" t="str">
        <f>CONCATENATE(L$2,": ",L$3,list1!L282,"]")</f>
        <v xml:space="preserve"> (Рабочий ток) Хладагент: S[R32]</v>
      </c>
      <c r="M282" t="str">
        <f>CONCATENATE(M$2,": ",M$3,list1!M282,"]")</f>
        <v xml:space="preserve"> (Рабочий ток) Количество хладагента: N[]</v>
      </c>
      <c r="N282" t="str">
        <f>CONCATENATE(N$2,": ",N$3,list1!N282,"]")</f>
        <v xml:space="preserve"> (Рабочий ток) Объем рециркулируемого воздуха внутреннего блока: S[]</v>
      </c>
      <c r="O282" t="str">
        <f>CONCATENATE(O$2,": ",O$3,list1!O282,"]")</f>
        <v xml:space="preserve"> (Внутренний блок) Размеры (Ш x Г x В): S[777 х 250 х 201]</v>
      </c>
      <c r="P282" t="str">
        <f>CONCATENATE(P$2,": ",P$3,list1!P282,"]")</f>
        <v xml:space="preserve"> (Внутренний блок) Упаковка (Ш x Г x В): S[840 х 260 х 315]</v>
      </c>
      <c r="Q282" t="str">
        <f>CONCATENATE(Q$2,": ",Q$3,list1!Q282,"]")</f>
        <v xml:space="preserve"> (Внутренний блок) Масса (нетто / брутто): S[9 / 11]</v>
      </c>
      <c r="R282" t="str">
        <f>CONCATENATE(R$2,": ",R$3,list1!R282,"]")</f>
        <v xml:space="preserve"> (Внутренний блок) Уровень шума мин. / макс.: S[22/25/33/37/40]</v>
      </c>
      <c r="S282" t="str">
        <f>CONCATENATE(S$2,": ",S$3,list1!S282,"]")</f>
        <v xml:space="preserve"> (Наружный блок) Марка компрессора: S[GMCC]</v>
      </c>
      <c r="T282" t="str">
        <f>CONCATENATE(T$2,": ",T$3,list1!T282,"]")</f>
        <v xml:space="preserve"> (Наружный блок) Размеры (Ш x Г x В): S[777 х 290 х 498]</v>
      </c>
      <c r="U282" t="str">
        <f>CONCATENATE(U$2,": ",U$3,list1!U282,"]")</f>
        <v xml:space="preserve"> (Наружный блок) Упаковка (Ш x Г x В): S[818 х 325 х 520]</v>
      </c>
      <c r="V282" t="str">
        <f>CONCATENATE(V$2,": ",V$3,list1!V282,"]")</f>
        <v xml:space="preserve"> (Наружный блок) Масса (нетто / брутто): S[22/25]</v>
      </c>
      <c r="W282" t="str">
        <f>CONCATENATE(W$2,": ",W$3,list1!W282,"]")</f>
        <v xml:space="preserve"> (Наружный блок) Максимальный уровень шума: N[]</v>
      </c>
      <c r="X282" t="str">
        <f>CONCATENATE(X$2,": ",X$3,list1!X282,"]")</f>
        <v xml:space="preserve"> (Соединительные трубы) Жидкостная линия : N[6.35]</v>
      </c>
      <c r="Y282" t="str">
        <f>CONCATENATE(Y$2,": ",Y$3,list1!Y282,"]")</f>
        <v xml:space="preserve"> (Соединительные трубы) Газовая линия : N[9.52]</v>
      </c>
      <c r="Z282" t="str">
        <f>CONCATENATE(Z$2,": ",Z$3,list1!Z282,"]")</f>
        <v xml:space="preserve"> (Соединительные трубы) Максимальная длина трубопровода: N[25]</v>
      </c>
      <c r="AA282" t="str">
        <f>CONCATENATE(AA$2,": ",AA$3,list1!AA282,"]")</f>
        <v xml:space="preserve"> (Соединительные трубы) Максимальный перепад высот: S[10]</v>
      </c>
      <c r="AB282" t="str">
        <f>CONCATENATE(AB$2,": ",AB$3,list1!AB282,"]")</f>
        <v xml:space="preserve"> (Допустимая темп. наружного воздуха) Охлаждение: S[от -15 до +53]</v>
      </c>
      <c r="AC282" t="str">
        <f>CONCATENATE(AC$2,": ",AC$3,list1!AC282,"]")</f>
        <v xml:space="preserve"> (Допустимая темп. наружного воздуха) Обогрев: S[от -20 до +30]</v>
      </c>
      <c r="AD282" s="6" t="s">
        <v>5245</v>
      </c>
    </row>
    <row r="283" spans="1:30" x14ac:dyDescent="0.25">
      <c r="A283" t="str">
        <f>CONCATENATE(A$2,": ",A$3,list1!A283,"]")</f>
        <v>Производитель: E[QUATTROCLIMA]</v>
      </c>
      <c r="B283" t="str">
        <f>CONCATENATE(B$2,": ",B$3,list1!B283,"]")</f>
        <v xml:space="preserve"> Тип: S[Сплит система]</v>
      </c>
      <c r="C283" t="str">
        <f>CONCATENATE(C$2,": ",C$3,list1!C283,"]")</f>
        <v xml:space="preserve"> (Сплит система) Холодопроизводительность: N[2.64]</v>
      </c>
      <c r="D283" t="str">
        <f>CONCATENATE(D$2,": ",D$3,list1!D283,"]")</f>
        <v xml:space="preserve"> (Сплит система) Площадь помещения: N[26]</v>
      </c>
      <c r="E283" t="str">
        <f>CONCATENATE(E$2,": ",E$3,list1!E283,"]")</f>
        <v xml:space="preserve"> (Сплит система) Инвентор: S[да]</v>
      </c>
      <c r="F283" t="str">
        <f>CONCATENATE(F$2,": ",F$3,list1!F283,"]")</f>
        <v xml:space="preserve"> (Сплит система) Теплопроизводительность: N[2.78]</v>
      </c>
      <c r="G283" t="str">
        <f>CONCATENATE(G$2,": ",G$3,list1!G283,"]")</f>
        <v xml:space="preserve"> (Потребляемая мощность) Охлаждение: N[0.82]</v>
      </c>
      <c r="H283" t="str">
        <f>CONCATENATE(H$2,": ",H$3,list1!H283,"]")</f>
        <v xml:space="preserve"> (Потребляемая мощность) Обогрев: S[0.77]</v>
      </c>
      <c r="I283" t="str">
        <f>CONCATENATE(I$2,": ",I$3,list1!I283,"]")</f>
        <v xml:space="preserve"> (Рабочий ток) Охлаждение: S[]</v>
      </c>
      <c r="J283" t="str">
        <f>CONCATENATE(J$2,": ",J$3,list1!J283,"]")</f>
        <v xml:space="preserve"> (Рабочий ток) Обогрев: S[]</v>
      </c>
      <c r="K283" t="str">
        <f>CONCATENATE(K$2,": ",K$3,list1!K283,"]")</f>
        <v xml:space="preserve"> (Рабочий ток) Напряжение / Частота источника питания: S[1 / 220 / 50]</v>
      </c>
      <c r="L283" t="str">
        <f>CONCATENATE(L$2,": ",L$3,list1!L283,"]")</f>
        <v xml:space="preserve"> (Рабочий ток) Хладагент: S[R410A]</v>
      </c>
      <c r="M283" t="str">
        <f>CONCATENATE(M$2,": ",M$3,list1!M283,"]")</f>
        <v xml:space="preserve"> (Рабочий ток) Количество хладагента: N[]</v>
      </c>
      <c r="N283" t="str">
        <f>CONCATENATE(N$2,": ",N$3,list1!N283,"]")</f>
        <v xml:space="preserve"> (Рабочий ток) Объем рециркулируемого воздуха внутреннего блока: S[]</v>
      </c>
      <c r="O283" t="str">
        <f>CONCATENATE(O$2,": ",O$3,list1!O283,"]")</f>
        <v xml:space="preserve"> (Внутренний блок) Размеры (Ш x Г x В): S[698 х 255 х 190]</v>
      </c>
      <c r="P283" t="str">
        <f>CONCATENATE(P$2,": ",P$3,list1!P283,"]")</f>
        <v xml:space="preserve"> (Внутренний блок) Упаковка (Ш x Г x В): S[764 х 257 х 325]</v>
      </c>
      <c r="Q283" t="str">
        <f>CONCATENATE(Q$2,": ",Q$3,list1!Q283,"]")</f>
        <v xml:space="preserve"> (Внутренний блок) Масса (нетто / брутто): S[6.5 / 8.5]</v>
      </c>
      <c r="R283" t="str">
        <f>CONCATENATE(R$2,": ",R$3,list1!R283,"]")</f>
        <v xml:space="preserve"> (Внутренний блок) Уровень шума мин. / макс.: S[25/27/32/35/38]</v>
      </c>
      <c r="S283" t="str">
        <f>CONCATENATE(S$2,": ",S$3,list1!S283,"]")</f>
        <v xml:space="preserve"> (Наружный блок) Марка компрессора: S[GMCC]</v>
      </c>
      <c r="T283" t="str">
        <f>CONCATENATE(T$2,": ",T$3,list1!T283,"]")</f>
        <v xml:space="preserve"> (Наружный блок) Размеры (Ш x Г x В): S[712 х 276 х 459]</v>
      </c>
      <c r="U283" t="str">
        <f>CONCATENATE(U$2,": ",U$3,list1!U283,"]")</f>
        <v xml:space="preserve"> (Наружный блок) Упаковка (Ш x Г x В): S[765 х 310 х 481]</v>
      </c>
      <c r="V283" t="str">
        <f>CONCATENATE(V$2,": ",V$3,list1!V283,"]")</f>
        <v xml:space="preserve"> (Наружный блок) Масса (нетто / брутто): S[24/26]</v>
      </c>
      <c r="W283" t="str">
        <f>CONCATENATE(W$2,": ",W$3,list1!W283,"]")</f>
        <v xml:space="preserve"> (Наружный блок) Максимальный уровень шума: N[]</v>
      </c>
      <c r="X283" t="str">
        <f>CONCATENATE(X$2,": ",X$3,list1!X283,"]")</f>
        <v xml:space="preserve"> (Соединительные трубы) Жидкостная линия : N[6.35]</v>
      </c>
      <c r="Y283" t="str">
        <f>CONCATENATE(Y$2,": ",Y$3,list1!Y283,"]")</f>
        <v xml:space="preserve"> (Соединительные трубы) Газовая линия : N[9.52]</v>
      </c>
      <c r="Z283" t="str">
        <f>CONCATENATE(Z$2,": ",Z$3,list1!Z283,"]")</f>
        <v xml:space="preserve"> (Соединительные трубы) Максимальная длина трубопровода: N[15]</v>
      </c>
      <c r="AA283" t="str">
        <f>CONCATENATE(AA$2,": ",AA$3,list1!AA283,"]")</f>
        <v xml:space="preserve"> (Соединительные трубы) Максимальный перепад высот: S[5]</v>
      </c>
      <c r="AB283" t="str">
        <f>CONCATENATE(AB$2,": ",AB$3,list1!AB283,"]")</f>
        <v xml:space="preserve"> (Допустимая темп. наружного воздуха) Охлаждение: S[]</v>
      </c>
      <c r="AC283" t="str">
        <f>CONCATENATE(AC$2,": ",AC$3,list1!AC283,"]")</f>
        <v xml:space="preserve"> (Допустимая темп. наружного воздуха) Обогрев: S[от -15 до +30]</v>
      </c>
      <c r="AD283" s="6" t="s">
        <v>5245</v>
      </c>
    </row>
    <row r="284" spans="1:30" x14ac:dyDescent="0.25">
      <c r="A284" t="str">
        <f>CONCATENATE(A$2,": ",A$3,list1!A284,"]")</f>
        <v>Производитель: E[QUATTROCLIMA]</v>
      </c>
      <c r="B284" t="str">
        <f>CONCATENATE(B$2,": ",B$3,list1!B284,"]")</f>
        <v xml:space="preserve"> Тип: S[Сплит система]</v>
      </c>
      <c r="C284" t="str">
        <f>CONCATENATE(C$2,": ",C$3,list1!C284,"]")</f>
        <v xml:space="preserve"> (Сплит система) Холодопроизводительность: N[3.52]</v>
      </c>
      <c r="D284" t="str">
        <f>CONCATENATE(D$2,": ",D$3,list1!D284,"]")</f>
        <v xml:space="preserve"> (Сплит система) Площадь помещения: N[35]</v>
      </c>
      <c r="E284" t="str">
        <f>CONCATENATE(E$2,": ",E$3,list1!E284,"]")</f>
        <v xml:space="preserve"> (Сплит система) Инвентор: S[да]</v>
      </c>
      <c r="F284" t="str">
        <f>CONCATENATE(F$2,": ",F$3,list1!F284,"]")</f>
        <v xml:space="preserve"> (Сплит система) Теплопроизводительность: N[3.66]</v>
      </c>
      <c r="G284" t="str">
        <f>CONCATENATE(G$2,": ",G$3,list1!G284,"]")</f>
        <v xml:space="preserve"> (Потребляемая мощность) Охлаждение: N[1.095]</v>
      </c>
      <c r="H284" t="str">
        <f>CONCATENATE(H$2,": ",H$3,list1!H284,"]")</f>
        <v xml:space="preserve"> (Потребляемая мощность) Обогрев: S[1.013]</v>
      </c>
      <c r="I284" t="str">
        <f>CONCATENATE(I$2,": ",I$3,list1!I284,"]")</f>
        <v xml:space="preserve"> (Рабочий ток) Охлаждение: S[]</v>
      </c>
      <c r="J284" t="str">
        <f>CONCATENATE(J$2,": ",J$3,list1!J284,"]")</f>
        <v xml:space="preserve"> (Рабочий ток) Обогрев: S[]</v>
      </c>
      <c r="K284" t="str">
        <f>CONCATENATE(K$2,": ",K$3,list1!K284,"]")</f>
        <v xml:space="preserve"> (Рабочий ток) Напряжение / Частота источника питания: S[1 / 220 / 50]</v>
      </c>
      <c r="L284" t="str">
        <f>CONCATENATE(L$2,": ",L$3,list1!L284,"]")</f>
        <v xml:space="preserve"> (Рабочий ток) Хладагент: S[R410A]</v>
      </c>
      <c r="M284" t="str">
        <f>CONCATENATE(M$2,": ",M$3,list1!M284,"]")</f>
        <v xml:space="preserve"> (Рабочий ток) Количество хладагента: N[]</v>
      </c>
      <c r="N284" t="str">
        <f>CONCATENATE(N$2,": ",N$3,list1!N284,"]")</f>
        <v xml:space="preserve"> (Рабочий ток) Объем рециркулируемого воздуха внутреннего блока: S[]</v>
      </c>
      <c r="O284" t="str">
        <f>CONCATENATE(O$2,": ",O$3,list1!O284,"]")</f>
        <v xml:space="preserve"> (Внутренний блок) Размеры (Ш x Г x В): S[777 х 250 х 201]</v>
      </c>
      <c r="P284" t="str">
        <f>CONCATENATE(P$2,": ",P$3,list1!P284,"]")</f>
        <v xml:space="preserve"> (Внутренний блок) Упаковка (Ш x Г x В): S[850 х 275 х 320]</v>
      </c>
      <c r="Q284" t="str">
        <f>CONCATENATE(Q$2,": ",Q$3,list1!Q284,"]")</f>
        <v xml:space="preserve"> (Внутренний блок) Масса (нетто / брутто): S[8 / 10]</v>
      </c>
      <c r="R284" t="str">
        <f>CONCATENATE(R$2,": ",R$3,list1!R284,"]")</f>
        <v xml:space="preserve"> (Внутренний блок) Уровень шума мин. / макс.: S[26/30/34/37/39]</v>
      </c>
      <c r="S284" t="str">
        <f>CONCATENATE(S$2,": ",S$3,list1!S284,"]")</f>
        <v xml:space="preserve"> (Наружный блок) Марка компрессора: S[GMCC]</v>
      </c>
      <c r="T284" t="str">
        <f>CONCATENATE(T$2,": ",T$3,list1!T284,"]")</f>
        <v xml:space="preserve"> (Наружный блок) Размеры (Ш x Г x В): S[712 х 276 х 459]</v>
      </c>
      <c r="U284" t="str">
        <f>CONCATENATE(U$2,": ",U$3,list1!U284,"]")</f>
        <v xml:space="preserve"> (Наружный блок) Упаковка (Ш x Г x В): S[765 х 310 х 481]</v>
      </c>
      <c r="V284" t="str">
        <f>CONCATENATE(V$2,": ",V$3,list1!V284,"]")</f>
        <v xml:space="preserve"> (Наружный блок) Масса (нетто / брутто): S[26/28]</v>
      </c>
      <c r="W284" t="str">
        <f>CONCATENATE(W$2,": ",W$3,list1!W284,"]")</f>
        <v xml:space="preserve"> (Наружный блок) Максимальный уровень шума: N[]</v>
      </c>
      <c r="X284" t="str">
        <f>CONCATENATE(X$2,": ",X$3,list1!X284,"]")</f>
        <v xml:space="preserve"> (Соединительные трубы) Жидкостная линия : N[6.35]</v>
      </c>
      <c r="Y284" t="str">
        <f>CONCATENATE(Y$2,": ",Y$3,list1!Y284,"]")</f>
        <v xml:space="preserve"> (Соединительные трубы) Газовая линия : N[9.52]</v>
      </c>
      <c r="Z284" t="str">
        <f>CONCATENATE(Z$2,": ",Z$3,list1!Z284,"]")</f>
        <v xml:space="preserve"> (Соединительные трубы) Максимальная длина трубопровода: N[15]</v>
      </c>
      <c r="AA284" t="str">
        <f>CONCATENATE(AA$2,": ",AA$3,list1!AA284,"]")</f>
        <v xml:space="preserve"> (Соединительные трубы) Максимальный перепад высот: S[5]</v>
      </c>
      <c r="AB284" t="str">
        <f>CONCATENATE(AB$2,": ",AB$3,list1!AB284,"]")</f>
        <v xml:space="preserve"> (Допустимая темп. наружного воздуха) Охлаждение: S[]</v>
      </c>
      <c r="AC284" t="str">
        <f>CONCATENATE(AC$2,": ",AC$3,list1!AC284,"]")</f>
        <v xml:space="preserve"> (Допустимая темп. наружного воздуха) Обогрев: S[от -15 до +30]</v>
      </c>
      <c r="AD284" s="6" t="s">
        <v>5245</v>
      </c>
    </row>
    <row r="285" spans="1:30" x14ac:dyDescent="0.25">
      <c r="A285" t="str">
        <f>CONCATENATE(A$2,": ",A$3,list1!A285,"]")</f>
        <v>Производитель: E[QUATTROCLIMA]</v>
      </c>
      <c r="B285" t="str">
        <f>CONCATENATE(B$2,": ",B$3,list1!B285,"]")</f>
        <v xml:space="preserve"> Тип: S[Сплит система]</v>
      </c>
      <c r="C285" t="str">
        <f>CONCATENATE(C$2,": ",C$3,list1!C285,"]")</f>
        <v xml:space="preserve"> (Сплит система) Холодопроизводительность: N[5.28]</v>
      </c>
      <c r="D285" t="str">
        <f>CONCATENATE(D$2,": ",D$3,list1!D285,"]")</f>
        <v xml:space="preserve"> (Сплит система) Площадь помещения: N[52]</v>
      </c>
      <c r="E285" t="str">
        <f>CONCATENATE(E$2,": ",E$3,list1!E285,"]")</f>
        <v xml:space="preserve"> (Сплит система) Инвентор: S[да]</v>
      </c>
      <c r="F285" t="str">
        <f>CONCATENATE(F$2,": ",F$3,list1!F285,"]")</f>
        <v xml:space="preserve"> (Сплит система) Теплопроизводительность: N[5.42]</v>
      </c>
      <c r="G285" t="str">
        <f>CONCATENATE(G$2,": ",G$3,list1!G285,"]")</f>
        <v xml:space="preserve"> (Потребляемая мощность) Охлаждение: N[1.645]</v>
      </c>
      <c r="H285" t="str">
        <f>CONCATENATE(H$2,": ",H$3,list1!H285,"]")</f>
        <v xml:space="preserve"> (Потребляемая мощность) Обогрев: S[1.5]</v>
      </c>
      <c r="I285" t="str">
        <f>CONCATENATE(I$2,": ",I$3,list1!I285,"]")</f>
        <v xml:space="preserve"> (Рабочий ток) Охлаждение: S[]</v>
      </c>
      <c r="J285" t="str">
        <f>CONCATENATE(J$2,": ",J$3,list1!J285,"]")</f>
        <v xml:space="preserve"> (Рабочий ток) Обогрев: S[]</v>
      </c>
      <c r="K285" t="str">
        <f>CONCATENATE(K$2,": ",K$3,list1!K285,"]")</f>
        <v xml:space="preserve"> (Рабочий ток) Напряжение / Частота источника питания: S[1 / 220 / 50]</v>
      </c>
      <c r="L285" t="str">
        <f>CONCATENATE(L$2,": ",L$3,list1!L285,"]")</f>
        <v xml:space="preserve"> (Рабочий ток) Хладагент: S[R410A]</v>
      </c>
      <c r="M285" t="str">
        <f>CONCATENATE(M$2,": ",M$3,list1!M285,"]")</f>
        <v xml:space="preserve"> (Рабочий ток) Количество хладагента: N[]</v>
      </c>
      <c r="N285" t="str">
        <f>CONCATENATE(N$2,": ",N$3,list1!N285,"]")</f>
        <v xml:space="preserve"> (Рабочий ток) Объем рециркулируемого воздуха внутреннего блока: S[]</v>
      </c>
      <c r="O285" t="str">
        <f>CONCATENATE(O$2,": ",O$3,list1!O285,"]")</f>
        <v xml:space="preserve"> (Внутренний блок) Размеры (Ш x Г x В): S[910 х 294 х 206]</v>
      </c>
      <c r="P285" t="str">
        <f>CONCATENATE(P$2,": ",P$3,list1!P285,"]")</f>
        <v xml:space="preserve"> (Внутренний блок) Упаковка (Ш x Г x В): S[979 х 277 х 372]</v>
      </c>
      <c r="Q285" t="str">
        <f>CONCATENATE(Q$2,": ",Q$3,list1!Q285,"]")</f>
        <v xml:space="preserve"> (Внутренний блок) Масса (нетто / брутто): S[10 / 13]</v>
      </c>
      <c r="R285" t="str">
        <f>CONCATENATE(R$2,": ",R$3,list1!R285,"]")</f>
        <v xml:space="preserve"> (Внутренний блок) Уровень шума мин. / макс.: S[30/33/36/43/44]</v>
      </c>
      <c r="S285" t="str">
        <f>CONCATENATE(S$2,": ",S$3,list1!S285,"]")</f>
        <v xml:space="preserve"> (Наружный блок) Марка компрессора: S[GMCC]</v>
      </c>
      <c r="T285" t="str">
        <f>CONCATENATE(T$2,": ",T$3,list1!T285,"]")</f>
        <v xml:space="preserve"> (Наружный блок) Размеры (Ш x Г x В): S[853 х 349 х 602]</v>
      </c>
      <c r="U285" t="str">
        <f>CONCATENATE(U$2,": ",U$3,list1!U285,"]")</f>
        <v xml:space="preserve"> (Наружный блок) Упаковка (Ш x Г x В): S[890 х 385 х 628]</v>
      </c>
      <c r="V285" t="str">
        <f>CONCATENATE(V$2,": ",V$3,list1!V285,"]")</f>
        <v xml:space="preserve"> (Наружный блок) Масса (нетто / брутто): S[31/34]</v>
      </c>
      <c r="W285" t="str">
        <f>CONCATENATE(W$2,": ",W$3,list1!W285,"]")</f>
        <v xml:space="preserve"> (Наружный блок) Максимальный уровень шума: N[]</v>
      </c>
      <c r="X285" t="str">
        <f>CONCATENATE(X$2,": ",X$3,list1!X285,"]")</f>
        <v xml:space="preserve"> (Соединительные трубы) Жидкостная линия : N[6.35]</v>
      </c>
      <c r="Y285" t="str">
        <f>CONCATENATE(Y$2,": ",Y$3,list1!Y285,"]")</f>
        <v xml:space="preserve"> (Соединительные трубы) Газовая линия : N[9.52]</v>
      </c>
      <c r="Z285" t="str">
        <f>CONCATENATE(Z$2,": ",Z$3,list1!Z285,"]")</f>
        <v xml:space="preserve"> (Соединительные трубы) Максимальная длина трубопровода: N[15]</v>
      </c>
      <c r="AA285" t="str">
        <f>CONCATENATE(AA$2,": ",AA$3,list1!AA285,"]")</f>
        <v xml:space="preserve"> (Соединительные трубы) Максимальный перепад высот: S[5]</v>
      </c>
      <c r="AB285" t="str">
        <f>CONCATENATE(AB$2,": ",AB$3,list1!AB285,"]")</f>
        <v xml:space="preserve"> (Допустимая темп. наружного воздуха) Охлаждение: S[]</v>
      </c>
      <c r="AC285" t="str">
        <f>CONCATENATE(AC$2,": ",AC$3,list1!AC285,"]")</f>
        <v xml:space="preserve"> (Допустимая темп. наружного воздуха) Обогрев: S[от -15 до +30]</v>
      </c>
      <c r="AD285" s="6" t="s">
        <v>5245</v>
      </c>
    </row>
    <row r="286" spans="1:30" x14ac:dyDescent="0.25">
      <c r="A286" t="str">
        <f>CONCATENATE(A$2,": ",A$3,list1!A286,"]")</f>
        <v>Производитель: E[QUATTROCLIMA]</v>
      </c>
      <c r="B286" t="str">
        <f>CONCATENATE(B$2,": ",B$3,list1!B286,"]")</f>
        <v xml:space="preserve"> Тип: S[Сплит система]</v>
      </c>
      <c r="C286" t="str">
        <f>CONCATENATE(C$2,": ",C$3,list1!C286,"]")</f>
        <v xml:space="preserve"> (Сплит система) Холодопроизводительность: N[7.03]</v>
      </c>
      <c r="D286" t="str">
        <f>CONCATENATE(D$2,": ",D$3,list1!D286,"]")</f>
        <v xml:space="preserve"> (Сплит система) Площадь помещения: N[70]</v>
      </c>
      <c r="E286" t="str">
        <f>CONCATENATE(E$2,": ",E$3,list1!E286,"]")</f>
        <v xml:space="preserve"> (Сплит система) Инвентор: S[да]</v>
      </c>
      <c r="F286" t="str">
        <f>CONCATENATE(F$2,": ",F$3,list1!F286,"]")</f>
        <v xml:space="preserve"> (Сплит система) Теплопроизводительность: N[7.18]</v>
      </c>
      <c r="G286" t="str">
        <f>CONCATENATE(G$2,": ",G$3,list1!G286,"]")</f>
        <v xml:space="preserve"> (Потребляемая мощность) Охлаждение: N[2.19]</v>
      </c>
      <c r="H286" t="str">
        <f>CONCATENATE(H$2,": ",H$3,list1!H286,"]")</f>
        <v xml:space="preserve"> (Потребляемая мощность) Обогрев: S[1.985]</v>
      </c>
      <c r="I286" t="str">
        <f>CONCATENATE(I$2,": ",I$3,list1!I286,"]")</f>
        <v xml:space="preserve"> (Рабочий ток) Охлаждение: S[]</v>
      </c>
      <c r="J286" t="str">
        <f>CONCATENATE(J$2,": ",J$3,list1!J286,"]")</f>
        <v xml:space="preserve"> (Рабочий ток) Обогрев: S[]</v>
      </c>
      <c r="K286" t="str">
        <f>CONCATENATE(K$2,": ",K$3,list1!K286,"]")</f>
        <v xml:space="preserve"> (Рабочий ток) Напряжение / Частота источника питания: S[1 / 220 / 50]</v>
      </c>
      <c r="L286" t="str">
        <f>CONCATENATE(L$2,": ",L$3,list1!L286,"]")</f>
        <v xml:space="preserve"> (Рабочий ток) Хладагент: S[R410A]</v>
      </c>
      <c r="M286" t="str">
        <f>CONCATENATE(M$2,": ",M$3,list1!M286,"]")</f>
        <v xml:space="preserve"> (Рабочий ток) Количество хладагента: N[]</v>
      </c>
      <c r="N286" t="str">
        <f>CONCATENATE(N$2,": ",N$3,list1!N286,"]")</f>
        <v xml:space="preserve"> (Рабочий ток) Объем рециркулируемого воздуха внутреннего блока: S[]</v>
      </c>
      <c r="O286" t="str">
        <f>CONCATENATE(O$2,": ",O$3,list1!O286,"]")</f>
        <v xml:space="preserve"> (Внутренний блок) Размеры (Ш x Г x В): S[1010 х 315 х 220]</v>
      </c>
      <c r="P286" t="str">
        <f>CONCATENATE(P$2,": ",P$3,list1!P286,"]")</f>
        <v xml:space="preserve"> (Внутренний блок) Упаковка (Ш x Г x В): S[1096 х 297 х 390]</v>
      </c>
      <c r="Q286" t="str">
        <f>CONCATENATE(Q$2,": ",Q$3,list1!Q286,"]")</f>
        <v xml:space="preserve"> (Внутренний блок) Масса (нетто / брутто): S[13 / 16]</v>
      </c>
      <c r="R286" t="str">
        <f>CONCATENATE(R$2,": ",R$3,list1!R286,"]")</f>
        <v xml:space="preserve"> (Внутренний блок) Уровень шума мин. / макс.: S[32/37/42/46/48]</v>
      </c>
      <c r="S286" t="str">
        <f>CONCATENATE(S$2,": ",S$3,list1!S286,"]")</f>
        <v xml:space="preserve"> (Наружный блок) Марка компрессора: S[SANYO]</v>
      </c>
      <c r="T286" t="str">
        <f>CONCATENATE(T$2,": ",T$3,list1!T286,"]")</f>
        <v xml:space="preserve"> (Наружный блок) Размеры (Ш x Г x В): S[853 х 349 х 602]</v>
      </c>
      <c r="U286" t="str">
        <f>CONCATENATE(U$2,": ",U$3,list1!U286,"]")</f>
        <v xml:space="preserve"> (Наружный блок) Упаковка (Ш x Г x В): S[890 х 385 х 628]</v>
      </c>
      <c r="V286" t="str">
        <f>CONCATENATE(V$2,": ",V$3,list1!V286,"]")</f>
        <v xml:space="preserve"> (Наружный блок) Масса (нетто / брутто): S[33/36]</v>
      </c>
      <c r="W286" t="str">
        <f>CONCATENATE(W$2,": ",W$3,list1!W286,"]")</f>
        <v xml:space="preserve"> (Наружный блок) Максимальный уровень шума: N[]</v>
      </c>
      <c r="X286" t="str">
        <f>CONCATENATE(X$2,": ",X$3,list1!X286,"]")</f>
        <v xml:space="preserve"> (Соединительные трубы) Жидкостная линия : N[6.35]</v>
      </c>
      <c r="Y286" t="str">
        <f>CONCATENATE(Y$2,": ",Y$3,list1!Y286,"]")</f>
        <v xml:space="preserve"> (Соединительные трубы) Газовая линия : N[12.7]</v>
      </c>
      <c r="Z286" t="str">
        <f>CONCATENATE(Z$2,": ",Z$3,list1!Z286,"]")</f>
        <v xml:space="preserve"> (Соединительные трубы) Максимальная длина трубопровода: N[15]</v>
      </c>
      <c r="AA286" t="str">
        <f>CONCATENATE(AA$2,": ",AA$3,list1!AA286,"]")</f>
        <v xml:space="preserve"> (Соединительные трубы) Максимальный перепад высот: S[5]</v>
      </c>
      <c r="AB286" t="str">
        <f>CONCATENATE(AB$2,": ",AB$3,list1!AB286,"]")</f>
        <v xml:space="preserve"> (Допустимая темп. наружного воздуха) Охлаждение: S[]</v>
      </c>
      <c r="AC286" t="str">
        <f>CONCATENATE(AC$2,": ",AC$3,list1!AC286,"]")</f>
        <v xml:space="preserve"> (Допустимая темп. наружного воздуха) Обогрев: S[от -15 до +30]</v>
      </c>
      <c r="AD286" s="6" t="s">
        <v>5245</v>
      </c>
    </row>
    <row r="287" spans="1:30" x14ac:dyDescent="0.25">
      <c r="A287" t="str">
        <f>CONCATENATE(A$2,": ",A$3,list1!A287,"]")</f>
        <v>Производитель: E[QUATTROCLIMA]</v>
      </c>
      <c r="B287" t="str">
        <f>CONCATENATE(B$2,": ",B$3,list1!B287,"]")</f>
        <v xml:space="preserve"> Тип: S[Сплит система]</v>
      </c>
      <c r="C287" t="str">
        <f>CONCATENATE(C$2,": ",C$3,list1!C287,"]")</f>
        <v xml:space="preserve"> (Сплит система) Холодопроизводительность: N[2.05]</v>
      </c>
      <c r="D287" t="str">
        <f>CONCATENATE(D$2,": ",D$3,list1!D287,"]")</f>
        <v xml:space="preserve"> (Сплит система) Площадь помещения: N[21]</v>
      </c>
      <c r="E287" t="str">
        <f>CONCATENATE(E$2,": ",E$3,list1!E287,"]")</f>
        <v xml:space="preserve"> (Сплит система) Инвентор: S[нет]</v>
      </c>
      <c r="F287" t="str">
        <f>CONCATENATE(F$2,": ",F$3,list1!F287,"]")</f>
        <v xml:space="preserve"> (Сплит система) Теплопроизводительность: N[2.2]</v>
      </c>
      <c r="G287" t="str">
        <f>CONCATENATE(G$2,": ",G$3,list1!G287,"]")</f>
        <v xml:space="preserve"> (Потребляемая мощность) Охлаждение: N[0.639]</v>
      </c>
      <c r="H287" t="str">
        <f>CONCATENATE(H$2,": ",H$3,list1!H287,"]")</f>
        <v xml:space="preserve"> (Потребляемая мощность) Обогрев: S[0.609]</v>
      </c>
      <c r="I287" t="str">
        <f>CONCATENATE(I$2,": ",I$3,list1!I287,"]")</f>
        <v xml:space="preserve"> (Рабочий ток) Охлаждение: S[]</v>
      </c>
      <c r="J287" t="str">
        <f>CONCATENATE(J$2,": ",J$3,list1!J287,"]")</f>
        <v xml:space="preserve"> (Рабочий ток) Обогрев: S[]</v>
      </c>
      <c r="K287" t="str">
        <f>CONCATENATE(K$2,": ",K$3,list1!K287,"]")</f>
        <v xml:space="preserve"> (Рабочий ток) Напряжение / Частота источника питания: S[1 / 220 / 50]</v>
      </c>
      <c r="L287" t="str">
        <f>CONCATENATE(L$2,": ",L$3,list1!L287,"]")</f>
        <v xml:space="preserve"> (Рабочий ток) Хладагент: S[R410A]</v>
      </c>
      <c r="M287" t="str">
        <f>CONCATENATE(M$2,": ",M$3,list1!M287,"]")</f>
        <v xml:space="preserve"> (Рабочий ток) Количество хладагента: N[]</v>
      </c>
      <c r="N287" t="str">
        <f>CONCATENATE(N$2,": ",N$3,list1!N287,"]")</f>
        <v xml:space="preserve"> (Рабочий ток) Объем рециркулируемого воздуха внутреннего блока: S[]</v>
      </c>
      <c r="O287" t="str">
        <f>CONCATENATE(O$2,": ",O$3,list1!O287,"]")</f>
        <v xml:space="preserve"> (Внутренний блок) Размеры (Ш x Г x В): S[698 х 255 х 190]</v>
      </c>
      <c r="P287" t="str">
        <f>CONCATENATE(P$2,": ",P$3,list1!P287,"]")</f>
        <v xml:space="preserve"> (Внутренний блок) Упаковка (Ш x Г x В): S[764 х 257 х 325]</v>
      </c>
      <c r="Q287" t="str">
        <f>CONCATENATE(Q$2,": ",Q$3,list1!Q287,"]")</f>
        <v xml:space="preserve"> (Внутренний блок) Масса (нетто / брутто): S[6.5 / 8.5]</v>
      </c>
      <c r="R287" t="str">
        <f>CONCATENATE(R$2,": ",R$3,list1!R287,"]")</f>
        <v xml:space="preserve"> (Внутренний блок) Уровень шума мин. / макс.: S[25/27/29/32/34]</v>
      </c>
      <c r="S287" t="str">
        <f>CONCATENATE(S$2,": ",S$3,list1!S287,"]")</f>
        <v xml:space="preserve"> (Наружный блок) Марка компрессора: S[GMCC]</v>
      </c>
      <c r="T287" t="str">
        <f>CONCATENATE(T$2,": ",T$3,list1!T287,"]")</f>
        <v xml:space="preserve"> (Наружный блок) Размеры (Ш x Г x В): S[712 х 276 х 459]</v>
      </c>
      <c r="U287" t="str">
        <f>CONCATENATE(U$2,": ",U$3,list1!U287,"]")</f>
        <v xml:space="preserve"> (Наружный блок) Упаковка (Ш x Г x В): S[765 х 310 х 481]</v>
      </c>
      <c r="V287" t="str">
        <f>CONCATENATE(V$2,": ",V$3,list1!V287,"]")</f>
        <v xml:space="preserve"> (Наружный блок) Масса (нетто / брутто): S[20/22]</v>
      </c>
      <c r="W287" t="str">
        <f>CONCATENATE(W$2,": ",W$3,list1!W287,"]")</f>
        <v xml:space="preserve"> (Наружный блок) Максимальный уровень шума: N[]</v>
      </c>
      <c r="X287" t="str">
        <f>CONCATENATE(X$2,": ",X$3,list1!X287,"]")</f>
        <v xml:space="preserve"> (Соединительные трубы) Жидкостная линия : N[6.35]</v>
      </c>
      <c r="Y287" t="str">
        <f>CONCATENATE(Y$2,": ",Y$3,list1!Y287,"]")</f>
        <v xml:space="preserve"> (Соединительные трубы) Газовая линия : N[9.52]</v>
      </c>
      <c r="Z287" t="str">
        <f>CONCATENATE(Z$2,": ",Z$3,list1!Z287,"]")</f>
        <v xml:space="preserve"> (Соединительные трубы) Максимальная длина трубопровода: N[15]</v>
      </c>
      <c r="AA287" t="str">
        <f>CONCATENATE(AA$2,": ",AA$3,list1!AA287,"]")</f>
        <v xml:space="preserve"> (Соединительные трубы) Максимальный перепад высот: S[5]</v>
      </c>
      <c r="AB287" t="str">
        <f>CONCATENATE(AB$2,": ",AB$3,list1!AB287,"]")</f>
        <v xml:space="preserve"> (Допустимая темп. наружного воздуха) Охлаждение: S[от 15 до +43]</v>
      </c>
      <c r="AC287" t="str">
        <f>CONCATENATE(AC$2,": ",AC$3,list1!AC287,"]")</f>
        <v xml:space="preserve"> (Допустимая темп. наружного воздуха) Обогрев: S[от -7 до +24]</v>
      </c>
      <c r="AD287" s="6" t="s">
        <v>5245</v>
      </c>
    </row>
    <row r="288" spans="1:30" x14ac:dyDescent="0.25">
      <c r="A288" t="str">
        <f>CONCATENATE(A$2,": ",A$3,list1!A288,"]")</f>
        <v>Производитель: E[QUATTROCLIMA]</v>
      </c>
      <c r="B288" t="str">
        <f>CONCATENATE(B$2,": ",B$3,list1!B288,"]")</f>
        <v xml:space="preserve"> Тип: S[Сплит система]</v>
      </c>
      <c r="C288" t="str">
        <f>CONCATENATE(C$2,": ",C$3,list1!C288,"]")</f>
        <v xml:space="preserve"> (Сплит система) Холодопроизводительность: N[2.55]</v>
      </c>
      <c r="D288" t="str">
        <f>CONCATENATE(D$2,": ",D$3,list1!D288,"]")</f>
        <v xml:space="preserve"> (Сплит система) Площадь помещения: N[26]</v>
      </c>
      <c r="E288" t="str">
        <f>CONCATENATE(E$2,": ",E$3,list1!E288,"]")</f>
        <v xml:space="preserve"> (Сплит система) Инвентор: S[нет]</v>
      </c>
      <c r="F288" t="str">
        <f>CONCATENATE(F$2,": ",F$3,list1!F288,"]")</f>
        <v xml:space="preserve"> (Сплит система) Теплопроизводительность: N[2.73]</v>
      </c>
      <c r="G288" t="str">
        <f>CONCATENATE(G$2,": ",G$3,list1!G288,"]")</f>
        <v xml:space="preserve"> (Потребляемая мощность) Охлаждение: N[0.794]</v>
      </c>
      <c r="H288" t="str">
        <f>CONCATENATE(H$2,": ",H$3,list1!H288,"]")</f>
        <v xml:space="preserve"> (Потребляемая мощность) Обогрев: S[0.755]</v>
      </c>
      <c r="I288" t="str">
        <f>CONCATENATE(I$2,": ",I$3,list1!I288,"]")</f>
        <v xml:space="preserve"> (Рабочий ток) Охлаждение: S[]</v>
      </c>
      <c r="J288" t="str">
        <f>CONCATENATE(J$2,": ",J$3,list1!J288,"]")</f>
        <v xml:space="preserve"> (Рабочий ток) Обогрев: S[]</v>
      </c>
      <c r="K288" t="str">
        <f>CONCATENATE(K$2,": ",K$3,list1!K288,"]")</f>
        <v xml:space="preserve"> (Рабочий ток) Напряжение / Частота источника питания: S[1 / 220 / 50]</v>
      </c>
      <c r="L288" t="str">
        <f>CONCATENATE(L$2,": ",L$3,list1!L288,"]")</f>
        <v xml:space="preserve"> (Рабочий ток) Хладагент: S[R410A]</v>
      </c>
      <c r="M288" t="str">
        <f>CONCATENATE(M$2,": ",M$3,list1!M288,"]")</f>
        <v xml:space="preserve"> (Рабочий ток) Количество хладагента: N[]</v>
      </c>
      <c r="N288" t="str">
        <f>CONCATENATE(N$2,": ",N$3,list1!N288,"]")</f>
        <v xml:space="preserve"> (Рабочий ток) Объем рециркулируемого воздуха внутреннего блока: S[]</v>
      </c>
      <c r="O288" t="str">
        <f>CONCATENATE(O$2,": ",O$3,list1!O288,"]")</f>
        <v xml:space="preserve"> (Внутренний блок) Размеры (Ш x Г x В): S[698 х 255 х 190]</v>
      </c>
      <c r="P288" t="str">
        <f>CONCATENATE(P$2,": ",P$3,list1!P288,"]")</f>
        <v xml:space="preserve"> (Внутренний блок) Упаковка (Ш x Г x В): S[764 х 257 х 325]</v>
      </c>
      <c r="Q288" t="str">
        <f>CONCATENATE(Q$2,": ",Q$3,list1!Q288,"]")</f>
        <v xml:space="preserve"> (Внутренний блок) Масса (нетто / брутто): S[6.5 / 8.5]</v>
      </c>
      <c r="R288" t="str">
        <f>CONCATENATE(R$2,": ",R$3,list1!R288,"]")</f>
        <v xml:space="preserve"> (Внутренний блок) Уровень шума мин. / макс.: S[25/27/29/33/35]</v>
      </c>
      <c r="S288" t="str">
        <f>CONCATENATE(S$2,": ",S$3,list1!S288,"]")</f>
        <v xml:space="preserve"> (Наружный блок) Марка компрессора: S[GMCC]</v>
      </c>
      <c r="T288" t="str">
        <f>CONCATENATE(T$2,": ",T$3,list1!T288,"]")</f>
        <v xml:space="preserve"> (Наружный блок) Размеры (Ш x Г x В): S[712 х 276 х 459]</v>
      </c>
      <c r="U288" t="str">
        <f>CONCATENATE(U$2,": ",U$3,list1!U288,"]")</f>
        <v xml:space="preserve"> (Наружный блок) Упаковка (Ш x Г x В): S[765 х 310 х 481]</v>
      </c>
      <c r="V288" t="str">
        <f>CONCATENATE(V$2,": ",V$3,list1!V288,"]")</f>
        <v xml:space="preserve"> (Наружный блок) Масса (нетто / брутто): S[23/25]</v>
      </c>
      <c r="W288" t="str">
        <f>CONCATENATE(W$2,": ",W$3,list1!W288,"]")</f>
        <v xml:space="preserve"> (Наружный блок) Максимальный уровень шума: N[]</v>
      </c>
      <c r="X288" t="str">
        <f>CONCATENATE(X$2,": ",X$3,list1!X288,"]")</f>
        <v xml:space="preserve"> (Соединительные трубы) Жидкостная линия : N[6.35]</v>
      </c>
      <c r="Y288" t="str">
        <f>CONCATENATE(Y$2,": ",Y$3,list1!Y288,"]")</f>
        <v xml:space="preserve"> (Соединительные трубы) Газовая линия : N[9.52]</v>
      </c>
      <c r="Z288" t="str">
        <f>CONCATENATE(Z$2,": ",Z$3,list1!Z288,"]")</f>
        <v xml:space="preserve"> (Соединительные трубы) Максимальная длина трубопровода: N[15]</v>
      </c>
      <c r="AA288" t="str">
        <f>CONCATENATE(AA$2,": ",AA$3,list1!AA288,"]")</f>
        <v xml:space="preserve"> (Соединительные трубы) Максимальный перепад высот: S[5]</v>
      </c>
      <c r="AB288" t="str">
        <f>CONCATENATE(AB$2,": ",AB$3,list1!AB288,"]")</f>
        <v xml:space="preserve"> (Допустимая темп. наружного воздуха) Охлаждение: S[от 15 до +43]</v>
      </c>
      <c r="AC288" t="str">
        <f>CONCATENATE(AC$2,": ",AC$3,list1!AC288,"]")</f>
        <v xml:space="preserve"> (Допустимая темп. наружного воздуха) Обогрев: S[от -7 до +24]</v>
      </c>
      <c r="AD288" s="6" t="s">
        <v>5245</v>
      </c>
    </row>
    <row r="289" spans="1:30" x14ac:dyDescent="0.25">
      <c r="A289" t="str">
        <f>CONCATENATE(A$2,": ",A$3,list1!A289,"]")</f>
        <v>Производитель: E[QUATTROCLIMA]</v>
      </c>
      <c r="B289" t="str">
        <f>CONCATENATE(B$2,": ",B$3,list1!B289,"]")</f>
        <v xml:space="preserve"> Тип: S[Сплит система]</v>
      </c>
      <c r="C289" t="str">
        <f>CONCATENATE(C$2,": ",C$3,list1!C289,"]")</f>
        <v xml:space="preserve"> (Сплит система) Холодопроизводительность: N[3.37]</v>
      </c>
      <c r="D289" t="str">
        <f>CONCATENATE(D$2,": ",D$3,list1!D289,"]")</f>
        <v xml:space="preserve"> (Сплит система) Площадь помещения: N[34]</v>
      </c>
      <c r="E289" t="str">
        <f>CONCATENATE(E$2,": ",E$3,list1!E289,"]")</f>
        <v xml:space="preserve"> (Сплит система) Инвентор: S[нет]</v>
      </c>
      <c r="F289" t="str">
        <f>CONCATENATE(F$2,": ",F$3,list1!F289,"]")</f>
        <v xml:space="preserve"> (Сплит система) Теплопроизводительность: N[3.52]</v>
      </c>
      <c r="G289" t="str">
        <f>CONCATENATE(G$2,": ",G$3,list1!G289,"]")</f>
        <v xml:space="preserve"> (Потребляемая мощность) Охлаждение: N[1.05]</v>
      </c>
      <c r="H289" t="str">
        <f>CONCATENATE(H$2,": ",H$3,list1!H289,"]")</f>
        <v xml:space="preserve"> (Потребляемая мощность) Обогрев: S[0.975]</v>
      </c>
      <c r="I289" t="str">
        <f>CONCATENATE(I$2,": ",I$3,list1!I289,"]")</f>
        <v xml:space="preserve"> (Рабочий ток) Охлаждение: S[]</v>
      </c>
      <c r="J289" t="str">
        <f>CONCATENATE(J$2,": ",J$3,list1!J289,"]")</f>
        <v xml:space="preserve"> (Рабочий ток) Обогрев: S[]</v>
      </c>
      <c r="K289" t="str">
        <f>CONCATENATE(K$2,": ",K$3,list1!K289,"]")</f>
        <v xml:space="preserve"> (Рабочий ток) Напряжение / Частота источника питания: S[1 / 220 / 50]</v>
      </c>
      <c r="L289" t="str">
        <f>CONCATENATE(L$2,": ",L$3,list1!L289,"]")</f>
        <v xml:space="preserve"> (Рабочий ток) Хладагент: S[R410A]</v>
      </c>
      <c r="M289" t="str">
        <f>CONCATENATE(M$2,": ",M$3,list1!M289,"]")</f>
        <v xml:space="preserve"> (Рабочий ток) Количество хладагента: N[]</v>
      </c>
      <c r="N289" t="str">
        <f>CONCATENATE(N$2,": ",N$3,list1!N289,"]")</f>
        <v xml:space="preserve"> (Рабочий ток) Объем рециркулируемого воздуха внутреннего блока: S[]</v>
      </c>
      <c r="O289" t="str">
        <f>CONCATENATE(O$2,": ",O$3,list1!O289,"]")</f>
        <v xml:space="preserve"> (Внутренний блок) Размеры (Ш x Г x В): S[777 х 250 х 201]</v>
      </c>
      <c r="P289" t="str">
        <f>CONCATENATE(P$2,": ",P$3,list1!P289,"]")</f>
        <v xml:space="preserve"> (Внутренний блок) Упаковка (Ш x Г x В): S[850 х 275 х 320]</v>
      </c>
      <c r="Q289" t="str">
        <f>CONCATENATE(Q$2,": ",Q$3,list1!Q289,"]")</f>
        <v xml:space="preserve"> (Внутренний блок) Масса (нетто / брутто): S[8 / 10]</v>
      </c>
      <c r="R289" t="str">
        <f>CONCATENATE(R$2,": ",R$3,list1!R289,"]")</f>
        <v xml:space="preserve"> (Внутренний блок) Уровень шума мин. / макс.: S[31/34/37/40/42]</v>
      </c>
      <c r="S289" t="str">
        <f>CONCATENATE(S$2,": ",S$3,list1!S289,"]")</f>
        <v xml:space="preserve"> (Наружный блок) Марка компрессора: S[GMCC]</v>
      </c>
      <c r="T289" t="str">
        <f>CONCATENATE(T$2,": ",T$3,list1!T289,"]")</f>
        <v xml:space="preserve"> (Наружный блок) Размеры (Ш x Г x В): S[777 х 290 х 498]</v>
      </c>
      <c r="U289" t="str">
        <f>CONCATENATE(U$2,": ",U$3,list1!U289,"]")</f>
        <v xml:space="preserve"> (Наружный блок) Упаковка (Ш x Г x В): S[818 х 325 х 520]</v>
      </c>
      <c r="V289" t="str">
        <f>CONCATENATE(V$2,": ",V$3,list1!V289,"]")</f>
        <v xml:space="preserve"> (Наружный блок) Масса (нетто / брутто): S[25/28]</v>
      </c>
      <c r="W289" t="str">
        <f>CONCATENATE(W$2,": ",W$3,list1!W289,"]")</f>
        <v xml:space="preserve"> (Наружный блок) Максимальный уровень шума: N[]</v>
      </c>
      <c r="X289" t="str">
        <f>CONCATENATE(X$2,": ",X$3,list1!X289,"]")</f>
        <v xml:space="preserve"> (Соединительные трубы) Жидкостная линия : N[6.35]</v>
      </c>
      <c r="Y289" t="str">
        <f>CONCATENATE(Y$2,": ",Y$3,list1!Y289,"]")</f>
        <v xml:space="preserve"> (Соединительные трубы) Газовая линия : N[9.52]</v>
      </c>
      <c r="Z289" t="str">
        <f>CONCATENATE(Z$2,": ",Z$3,list1!Z289,"]")</f>
        <v xml:space="preserve"> (Соединительные трубы) Максимальная длина трубопровода: N[15]</v>
      </c>
      <c r="AA289" t="str">
        <f>CONCATENATE(AA$2,": ",AA$3,list1!AA289,"]")</f>
        <v xml:space="preserve"> (Соединительные трубы) Максимальный перепад высот: S[5]</v>
      </c>
      <c r="AB289" t="str">
        <f>CONCATENATE(AB$2,": ",AB$3,list1!AB289,"]")</f>
        <v xml:space="preserve"> (Допустимая темп. наружного воздуха) Охлаждение: S[от 15 до +43]</v>
      </c>
      <c r="AC289" t="str">
        <f>CONCATENATE(AC$2,": ",AC$3,list1!AC289,"]")</f>
        <v xml:space="preserve"> (Допустимая темп. наружного воздуха) Обогрев: S[от -7 до +24]</v>
      </c>
      <c r="AD289" s="6" t="s">
        <v>5245</v>
      </c>
    </row>
    <row r="290" spans="1:30" x14ac:dyDescent="0.25">
      <c r="A290" t="str">
        <f>CONCATENATE(A$2,": ",A$3,list1!A290,"]")</f>
        <v>Производитель: E[QUATTROCLIMA]</v>
      </c>
      <c r="B290" t="str">
        <f>CONCATENATE(B$2,": ",B$3,list1!B290,"]")</f>
        <v xml:space="preserve"> Тип: S[Сплит система]</v>
      </c>
      <c r="C290" t="str">
        <f>CONCATENATE(C$2,": ",C$3,list1!C290,"]")</f>
        <v xml:space="preserve"> (Сплит система) Холодопроизводительность: N[5.13]</v>
      </c>
      <c r="D290" t="str">
        <f>CONCATENATE(D$2,": ",D$3,list1!D290,"]")</f>
        <v xml:space="preserve"> (Сплит система) Площадь помещения: N[51]</v>
      </c>
      <c r="E290" t="str">
        <f>CONCATENATE(E$2,": ",E$3,list1!E290,"]")</f>
        <v xml:space="preserve"> (Сплит система) Инвентор: S[нет]</v>
      </c>
      <c r="F290" t="str">
        <f>CONCATENATE(F$2,": ",F$3,list1!F290,"]")</f>
        <v xml:space="preserve"> (Сплит система) Теплопроизводительность: N[5.28]</v>
      </c>
      <c r="G290" t="str">
        <f>CONCATENATE(G$2,": ",G$3,list1!G290,"]")</f>
        <v xml:space="preserve"> (Потребляемая мощность) Охлаждение: N[1.598]</v>
      </c>
      <c r="H290" t="str">
        <f>CONCATENATE(H$2,": ",H$3,list1!H290,"]")</f>
        <v xml:space="preserve"> (Потребляемая мощность) Обогрев: S[1.462]</v>
      </c>
      <c r="I290" t="str">
        <f>CONCATENATE(I$2,": ",I$3,list1!I290,"]")</f>
        <v xml:space="preserve"> (Рабочий ток) Охлаждение: S[]</v>
      </c>
      <c r="J290" t="str">
        <f>CONCATENATE(J$2,": ",J$3,list1!J290,"]")</f>
        <v xml:space="preserve"> (Рабочий ток) Обогрев: S[]</v>
      </c>
      <c r="K290" t="str">
        <f>CONCATENATE(K$2,": ",K$3,list1!K290,"]")</f>
        <v xml:space="preserve"> (Рабочий ток) Напряжение / Частота источника питания: S[1 / 220 / 50]</v>
      </c>
      <c r="L290" t="str">
        <f>CONCATENATE(L$2,": ",L$3,list1!L290,"]")</f>
        <v xml:space="preserve"> (Рабочий ток) Хладагент: S[R410A]</v>
      </c>
      <c r="M290" t="str">
        <f>CONCATENATE(M$2,": ",M$3,list1!M290,"]")</f>
        <v xml:space="preserve"> (Рабочий ток) Количество хладагента: N[]</v>
      </c>
      <c r="N290" t="str">
        <f>CONCATENATE(N$2,": ",N$3,list1!N290,"]")</f>
        <v xml:space="preserve"> (Рабочий ток) Объем рециркулируемого воздуха внутреннего блока: S[]</v>
      </c>
      <c r="O290" t="str">
        <f>CONCATENATE(O$2,": ",O$3,list1!O290,"]")</f>
        <v xml:space="preserve"> (Внутренний блок) Размеры (Ш x Г x В): S[910 х 294 х 206]</v>
      </c>
      <c r="P290" t="str">
        <f>CONCATENATE(P$2,": ",P$3,list1!P290,"]")</f>
        <v xml:space="preserve"> (Внутренний блок) Упаковка (Ш x Г x В): S[979 х 277 х 372]</v>
      </c>
      <c r="Q290" t="str">
        <f>CONCATENATE(Q$2,": ",Q$3,list1!Q290,"]")</f>
        <v xml:space="preserve"> (Внутренний блок) Масса (нетто / брутто): S[10.5 / 12.5]</v>
      </c>
      <c r="R290" t="str">
        <f>CONCATENATE(R$2,": ",R$3,list1!R290,"]")</f>
        <v xml:space="preserve"> (Внутренний блок) Уровень шума мин. / макс.: S[34/35/38/40/43]</v>
      </c>
      <c r="S290" t="str">
        <f>CONCATENATE(S$2,": ",S$3,list1!S290,"]")</f>
        <v xml:space="preserve"> (Наружный блок) Марка компрессора: S[RECHI]</v>
      </c>
      <c r="T290" t="str">
        <f>CONCATENATE(T$2,": ",T$3,list1!T290,"]")</f>
        <v xml:space="preserve"> (Наружный блок) Размеры (Ш x Г x В): S[817 х 300 х 553]</v>
      </c>
      <c r="U290" t="str">
        <f>CONCATENATE(U$2,": ",U$3,list1!U290,"]")</f>
        <v xml:space="preserve"> (Наружный блок) Упаковка (Ш x Г x В): S[858 х 321 х 585]</v>
      </c>
      <c r="V290" t="str">
        <f>CONCATENATE(V$2,": ",V$3,list1!V290,"]")</f>
        <v xml:space="preserve"> (Наружный блок) Масса (нетто / брутто): S[32.5/35]</v>
      </c>
      <c r="W290" t="str">
        <f>CONCATENATE(W$2,": ",W$3,list1!W290,"]")</f>
        <v xml:space="preserve"> (Наружный блок) Максимальный уровень шума: N[]</v>
      </c>
      <c r="X290" t="str">
        <f>CONCATENATE(X$2,": ",X$3,list1!X290,"]")</f>
        <v xml:space="preserve"> (Соединительные трубы) Жидкостная линия : N[6.35]</v>
      </c>
      <c r="Y290" t="str">
        <f>CONCATENATE(Y$2,": ",Y$3,list1!Y290,"]")</f>
        <v xml:space="preserve"> (Соединительные трубы) Газовая линия : N[12.7]</v>
      </c>
      <c r="Z290" t="str">
        <f>CONCATENATE(Z$2,": ",Z$3,list1!Z290,"]")</f>
        <v xml:space="preserve"> (Соединительные трубы) Максимальная длина трубопровода: N[15]</v>
      </c>
      <c r="AA290" t="str">
        <f>CONCATENATE(AA$2,": ",AA$3,list1!AA290,"]")</f>
        <v xml:space="preserve"> (Соединительные трубы) Максимальный перепад высот: S[5]</v>
      </c>
      <c r="AB290" t="str">
        <f>CONCATENATE(AB$2,": ",AB$3,list1!AB290,"]")</f>
        <v xml:space="preserve"> (Допустимая темп. наружного воздуха) Охлаждение: S[от 15 до +43]</v>
      </c>
      <c r="AC290" t="str">
        <f>CONCATENATE(AC$2,": ",AC$3,list1!AC290,"]")</f>
        <v xml:space="preserve"> (Допустимая темп. наружного воздуха) Обогрев: S[от -7 до +24]</v>
      </c>
      <c r="AD290" s="6" t="s">
        <v>5245</v>
      </c>
    </row>
    <row r="291" spans="1:30" x14ac:dyDescent="0.25">
      <c r="A291" t="str">
        <f>CONCATENATE(A$2,": ",A$3,list1!A291,"]")</f>
        <v>Производитель: E[QUATTROCLIMA]</v>
      </c>
      <c r="B291" t="str">
        <f>CONCATENATE(B$2,": ",B$3,list1!B291,"]")</f>
        <v xml:space="preserve"> Тип: S[Сплит система]</v>
      </c>
      <c r="C291" t="str">
        <f>CONCATENATE(C$2,": ",C$3,list1!C291,"]")</f>
        <v xml:space="preserve"> (Сплит система) Холодопроизводительность: N[6.74]</v>
      </c>
      <c r="D291" t="str">
        <f>CONCATENATE(D$2,": ",D$3,list1!D291,"]")</f>
        <v xml:space="preserve"> (Сплит система) Площадь помещения: N[67]</v>
      </c>
      <c r="E291" t="str">
        <f>CONCATENATE(E$2,": ",E$3,list1!E291,"]")</f>
        <v xml:space="preserve"> (Сплит система) Инвентор: S[нет]</v>
      </c>
      <c r="F291" t="str">
        <f>CONCATENATE(F$2,": ",F$3,list1!F291,"]")</f>
        <v xml:space="preserve"> (Сплит система) Теплопроизводительность: N[7.03]</v>
      </c>
      <c r="G291" t="str">
        <f>CONCATENATE(G$2,": ",G$3,list1!G291,"]")</f>
        <v xml:space="preserve"> (Потребляемая мощность) Охлаждение: N[2.1]</v>
      </c>
      <c r="H291" t="str">
        <f>CONCATENATE(H$2,": ",H$3,list1!H291,"]")</f>
        <v xml:space="preserve"> (Потребляемая мощность) Обогрев: S[1.945]</v>
      </c>
      <c r="I291" t="str">
        <f>CONCATENATE(I$2,": ",I$3,list1!I291,"]")</f>
        <v xml:space="preserve"> (Рабочий ток) Охлаждение: S[]</v>
      </c>
      <c r="J291" t="str">
        <f>CONCATENATE(J$2,": ",J$3,list1!J291,"]")</f>
        <v xml:space="preserve"> (Рабочий ток) Обогрев: S[]</v>
      </c>
      <c r="K291" t="str">
        <f>CONCATENATE(K$2,": ",K$3,list1!K291,"]")</f>
        <v xml:space="preserve"> (Рабочий ток) Напряжение / Частота источника питания: S[1 / 220 / 50]</v>
      </c>
      <c r="L291" t="str">
        <f>CONCATENATE(L$2,": ",L$3,list1!L291,"]")</f>
        <v xml:space="preserve"> (Рабочий ток) Хладагент: S[R410A]</v>
      </c>
      <c r="M291" t="str">
        <f>CONCATENATE(M$2,": ",M$3,list1!M291,"]")</f>
        <v xml:space="preserve"> (Рабочий ток) Количество хладагента: N[]</v>
      </c>
      <c r="N291" t="str">
        <f>CONCATENATE(N$2,": ",N$3,list1!N291,"]")</f>
        <v xml:space="preserve"> (Рабочий ток) Объем рециркулируемого воздуха внутреннего блока: S[]</v>
      </c>
      <c r="O291" t="str">
        <f>CONCATENATE(O$2,": ",O$3,list1!O291,"]")</f>
        <v xml:space="preserve"> (Внутренний блок) Размеры (Ш x Г x В): S[910 х 294 х 206]</v>
      </c>
      <c r="P291" t="str">
        <f>CONCATENATE(P$2,": ",P$3,list1!P291,"]")</f>
        <v xml:space="preserve"> (Внутренний блок) Упаковка (Ш x Г x В): S[979 х 277 х 372]</v>
      </c>
      <c r="Q291" t="str">
        <f>CONCATENATE(Q$2,": ",Q$3,list1!Q291,"]")</f>
        <v xml:space="preserve"> (Внутренний блок) Масса (нетто / брутто): S[10.5 / 12.5]</v>
      </c>
      <c r="R291" t="str">
        <f>CONCATENATE(R$2,": ",R$3,list1!R291,"]")</f>
        <v xml:space="preserve"> (Внутренний блок) Уровень шума мин. / макс.: S[35/37/38/41/43]</v>
      </c>
      <c r="S291" t="str">
        <f>CONCATENATE(S$2,": ",S$3,list1!S291,"]")</f>
        <v xml:space="preserve"> (Наружный блок) Марка компрессора: S[HIGHLY]</v>
      </c>
      <c r="T291" t="str">
        <f>CONCATENATE(T$2,": ",T$3,list1!T291,"]")</f>
        <v xml:space="preserve"> (Наружный блок) Размеры (Ш x Г x В): S[886 х 357 х 605]</v>
      </c>
      <c r="U291" t="str">
        <f>CONCATENATE(U$2,": ",U$3,list1!U291,"]")</f>
        <v xml:space="preserve"> (Наружный блок) Упаковка (Ш x Г x В): S[930 х 380 х 635]</v>
      </c>
      <c r="V291" t="str">
        <f>CONCATENATE(V$2,": ",V$3,list1!V291,"]")</f>
        <v xml:space="preserve"> (Наружный блок) Масса (нетто / брутто): S[43/46]</v>
      </c>
      <c r="W291" t="str">
        <f>CONCATENATE(W$2,": ",W$3,list1!W291,"]")</f>
        <v xml:space="preserve"> (Наружный блок) Максимальный уровень шума: N[]</v>
      </c>
      <c r="X291" t="str">
        <f>CONCATENATE(X$2,": ",X$3,list1!X291,"]")</f>
        <v xml:space="preserve"> (Соединительные трубы) Жидкостная линия : N[6.35]</v>
      </c>
      <c r="Y291" t="str">
        <f>CONCATENATE(Y$2,": ",Y$3,list1!Y291,"]")</f>
        <v xml:space="preserve"> (Соединительные трубы) Газовая линия : N[15.88]</v>
      </c>
      <c r="Z291" t="str">
        <f>CONCATENATE(Z$2,": ",Z$3,list1!Z291,"]")</f>
        <v xml:space="preserve"> (Соединительные трубы) Максимальная длина трубопровода: N[15]</v>
      </c>
      <c r="AA291" t="str">
        <f>CONCATENATE(AA$2,": ",AA$3,list1!AA291,"]")</f>
        <v xml:space="preserve"> (Соединительные трубы) Максимальный перепад высот: S[5]</v>
      </c>
      <c r="AB291" t="str">
        <f>CONCATENATE(AB$2,": ",AB$3,list1!AB291,"]")</f>
        <v xml:space="preserve"> (Допустимая темп. наружного воздуха) Охлаждение: S[от 15 до +43]</v>
      </c>
      <c r="AC291" t="str">
        <f>CONCATENATE(AC$2,": ",AC$3,list1!AC291,"]")</f>
        <v xml:space="preserve"> (Допустимая темп. наружного воздуха) Обогрев: S[от -7 до +24]</v>
      </c>
      <c r="AD291" s="6" t="s">
        <v>5245</v>
      </c>
    </row>
    <row r="292" spans="1:30" x14ac:dyDescent="0.25">
      <c r="A292" t="str">
        <f>CONCATENATE(A$2,": ",A$3,list1!A292,"]")</f>
        <v>Производитель: E[QUATTROCLIMA]</v>
      </c>
      <c r="B292" t="str">
        <f>CONCATENATE(B$2,": ",B$3,list1!B292,"]")</f>
        <v xml:space="preserve"> Тип: S[Сплит система]</v>
      </c>
      <c r="C292" t="str">
        <f>CONCATENATE(C$2,": ",C$3,list1!C292,"]")</f>
        <v xml:space="preserve"> (Сплит система) Холодопроизводительность: N[8.21]</v>
      </c>
      <c r="D292" t="str">
        <f>CONCATENATE(D$2,": ",D$3,list1!D292,"]")</f>
        <v xml:space="preserve"> (Сплит система) Площадь помещения: N[82]</v>
      </c>
      <c r="E292" t="str">
        <f>CONCATENATE(E$2,": ",E$3,list1!E292,"]")</f>
        <v xml:space="preserve"> (Сплит система) Инвентор: S[нет]</v>
      </c>
      <c r="F292" t="str">
        <f>CONCATENATE(F$2,": ",F$3,list1!F292,"]")</f>
        <v xml:space="preserve"> (Сплит система) Теплопроизводительность: N[8.35]</v>
      </c>
      <c r="G292" t="str">
        <f>CONCATENATE(G$2,": ",G$3,list1!G292,"]")</f>
        <v xml:space="preserve"> (Потребляемая мощность) Охлаждение: N[2.55]</v>
      </c>
      <c r="H292" t="str">
        <f>CONCATENATE(H$2,": ",H$3,list1!H292,"]")</f>
        <v xml:space="preserve"> (Потребляемая мощность) Обогрев: S[2.305]</v>
      </c>
      <c r="I292" t="str">
        <f>CONCATENATE(I$2,": ",I$3,list1!I292,"]")</f>
        <v xml:space="preserve"> (Рабочий ток) Охлаждение: S[]</v>
      </c>
      <c r="J292" t="str">
        <f>CONCATENATE(J$2,": ",J$3,list1!J292,"]")</f>
        <v xml:space="preserve"> (Рабочий ток) Обогрев: S[]</v>
      </c>
      <c r="K292" t="str">
        <f>CONCATENATE(K$2,": ",K$3,list1!K292,"]")</f>
        <v xml:space="preserve"> (Рабочий ток) Напряжение / Частота источника питания: S[1 / 220 / 50]</v>
      </c>
      <c r="L292" t="str">
        <f>CONCATENATE(L$2,": ",L$3,list1!L292,"]")</f>
        <v xml:space="preserve"> (Рабочий ток) Хладагент: S[R410A]</v>
      </c>
      <c r="M292" t="str">
        <f>CONCATENATE(M$2,": ",M$3,list1!M292,"]")</f>
        <v xml:space="preserve"> (Рабочий ток) Количество хладагента: N[]</v>
      </c>
      <c r="N292" t="str">
        <f>CONCATENATE(N$2,": ",N$3,list1!N292,"]")</f>
        <v xml:space="preserve"> (Рабочий ток) Объем рециркулируемого воздуха внутреннего блока: S[]</v>
      </c>
      <c r="O292" t="str">
        <f>CONCATENATE(O$2,": ",O$3,list1!O292,"]")</f>
        <v xml:space="preserve"> (Внутренний блок) Размеры (Ш x Г x В): S[1010 х 315 х 220]</v>
      </c>
      <c r="P292" t="str">
        <f>CONCATENATE(P$2,": ",P$3,list1!P292,"]")</f>
        <v xml:space="preserve"> (Внутренний блок) Упаковка (Ш x Г x В): S[1096 х 297 х 390]</v>
      </c>
      <c r="Q292" t="str">
        <f>CONCATENATE(Q$2,": ",Q$3,list1!Q292,"]")</f>
        <v xml:space="preserve"> (Внутренний блок) Масса (нетто / брутто): S[13 / 16]</v>
      </c>
      <c r="R292" t="str">
        <f>CONCATENATE(R$2,": ",R$3,list1!R292,"]")</f>
        <v xml:space="preserve"> (Внутренний блок) Уровень шума мин. / макс.: S[37/41/45/49/51]</v>
      </c>
      <c r="S292" t="str">
        <f>CONCATENATE(S$2,": ",S$3,list1!S292,"]")</f>
        <v xml:space="preserve"> (Наружный блок) Марка компрессора: S[GMCC]</v>
      </c>
      <c r="T292" t="str">
        <f>CONCATENATE(T$2,": ",T$3,list1!T292,"]")</f>
        <v xml:space="preserve"> (Наружный блок) Размеры (Ш x Г x В): S[968 х 400 х 655]</v>
      </c>
      <c r="U292" t="str">
        <f>CONCATENATE(U$2,": ",U$3,list1!U292,"]")</f>
        <v xml:space="preserve"> (Наружный блок) Упаковка (Ш x Г x В): S[1023 х 430 х 698]</v>
      </c>
      <c r="V292" t="str">
        <f>CONCATENATE(V$2,": ",V$3,list1!V292,"]")</f>
        <v xml:space="preserve"> (Наружный блок) Масса (нетто / брутто): S[50/54]</v>
      </c>
      <c r="W292" t="str">
        <f>CONCATENATE(W$2,": ",W$3,list1!W292,"]")</f>
        <v xml:space="preserve"> (Наружный блок) Максимальный уровень шума: N[]</v>
      </c>
      <c r="X292" t="str">
        <f>CONCATENATE(X$2,": ",X$3,list1!X292,"]")</f>
        <v xml:space="preserve"> (Соединительные трубы) Жидкостная линия : N[6.35]</v>
      </c>
      <c r="Y292" t="str">
        <f>CONCATENATE(Y$2,": ",Y$3,list1!Y292,"]")</f>
        <v xml:space="preserve"> (Соединительные трубы) Газовая линия : N[15.88]</v>
      </c>
      <c r="Z292" t="str">
        <f>CONCATENATE(Z$2,": ",Z$3,list1!Z292,"]")</f>
        <v xml:space="preserve"> (Соединительные трубы) Максимальная длина трубопровода: N[15]</v>
      </c>
      <c r="AA292" t="str">
        <f>CONCATENATE(AA$2,": ",AA$3,list1!AA292,"]")</f>
        <v xml:space="preserve"> (Соединительные трубы) Максимальный перепад высот: S[5]</v>
      </c>
      <c r="AB292" t="str">
        <f>CONCATENATE(AB$2,": ",AB$3,list1!AB292,"]")</f>
        <v xml:space="preserve"> (Допустимая темп. наружного воздуха) Охлаждение: S[от 15 до +43]</v>
      </c>
      <c r="AC292" t="str">
        <f>CONCATENATE(AC$2,": ",AC$3,list1!AC292,"]")</f>
        <v xml:space="preserve"> (Допустимая темп. наружного воздуха) Обогрев: S[от -7 до +24]</v>
      </c>
      <c r="AD292" s="6" t="s">
        <v>5245</v>
      </c>
    </row>
    <row r="293" spans="1:30" x14ac:dyDescent="0.25">
      <c r="A293" t="str">
        <f>CONCATENATE(A$2,": ",A$3,list1!A293,"]")</f>
        <v>Производитель: E[QUATTROCLIMA]</v>
      </c>
      <c r="B293" t="str">
        <f>CONCATENATE(B$2,": ",B$3,list1!B293,"]")</f>
        <v xml:space="preserve"> Тип: S[Сплит система]</v>
      </c>
      <c r="C293" t="str">
        <f>CONCATENATE(C$2,": ",C$3,list1!C293,"]")</f>
        <v xml:space="preserve"> (Сплит система) Холодопроизводительность: N[2.6]</v>
      </c>
      <c r="D293" t="str">
        <f>CONCATENATE(D$2,": ",D$3,list1!D293,"]")</f>
        <v xml:space="preserve"> (Сплит система) Площадь помещения: N[26]</v>
      </c>
      <c r="E293" t="str">
        <f>CONCATENATE(E$2,": ",E$3,list1!E293,"]")</f>
        <v xml:space="preserve"> (Сплит система) Инвентор: S[да]</v>
      </c>
      <c r="F293" t="str">
        <f>CONCATENATE(F$2,": ",F$3,list1!F293,"]")</f>
        <v xml:space="preserve"> (Сплит система) Теплопроизводительность: N[2.61]</v>
      </c>
      <c r="G293" t="str">
        <f>CONCATENATE(G$2,": ",G$3,list1!G293,"]")</f>
        <v xml:space="preserve"> (Потребляемая мощность) Охлаждение: N[0.75]</v>
      </c>
      <c r="H293" t="str">
        <f>CONCATENATE(H$2,": ",H$3,list1!H293,"]")</f>
        <v xml:space="preserve"> (Потребляемая мощность) Обогрев: S[0.752]</v>
      </c>
      <c r="I293" t="str">
        <f>CONCATENATE(I$2,": ",I$3,list1!I293,"]")</f>
        <v xml:space="preserve"> (Рабочий ток) Охлаждение: S[]</v>
      </c>
      <c r="J293" t="str">
        <f>CONCATENATE(J$2,": ",J$3,list1!J293,"]")</f>
        <v xml:space="preserve"> (Рабочий ток) Обогрев: S[]</v>
      </c>
      <c r="K293" t="str">
        <f>CONCATENATE(K$2,": ",K$3,list1!K293,"]")</f>
        <v xml:space="preserve"> (Рабочий ток) Напряжение / Частота источника питания: S[1 / 220 / 50]</v>
      </c>
      <c r="L293" t="str">
        <f>CONCATENATE(L$2,": ",L$3,list1!L293,"]")</f>
        <v xml:space="preserve"> (Рабочий ток) Хладагент: S[R32]</v>
      </c>
      <c r="M293" t="str">
        <f>CONCATENATE(M$2,": ",M$3,list1!M293,"]")</f>
        <v xml:space="preserve"> (Рабочий ток) Количество хладагента: N[]</v>
      </c>
      <c r="N293" t="str">
        <f>CONCATENATE(N$2,": ",N$3,list1!N293,"]")</f>
        <v xml:space="preserve"> (Рабочий ток) Объем рециркулируемого воздуха внутреннего блока: S[]</v>
      </c>
      <c r="O293" t="str">
        <f>CONCATENATE(O$2,": ",O$3,list1!O293,"]")</f>
        <v xml:space="preserve"> (Внутренний блок) Размеры (Ш x Г x В): S[698 х 255 х 190]</v>
      </c>
      <c r="P293" t="str">
        <f>CONCATENATE(P$2,": ",P$3,list1!P293,"]")</f>
        <v xml:space="preserve"> (Внутренний блок) Упаковка (Ш x Г x В): S[764 х 257 х 325]</v>
      </c>
      <c r="Q293" t="str">
        <f>CONCATENATE(Q$2,": ",Q$3,list1!Q293,"]")</f>
        <v xml:space="preserve"> (Внутренний блок) Масса (нетто / брутто): S[6.5 / 8.5]</v>
      </c>
      <c r="R293" t="str">
        <f>CONCATENATE(R$2,": ",R$3,list1!R293,"]")</f>
        <v xml:space="preserve"> (Внутренний блок) Уровень шума мин. / макс.: S[22/25/33/40]</v>
      </c>
      <c r="S293" t="str">
        <f>CONCATENATE(S$2,": ",S$3,list1!S293,"]")</f>
        <v xml:space="preserve"> (Наружный блок) Марка компрессора: S[GMCC]</v>
      </c>
      <c r="T293" t="str">
        <f>CONCATENATE(T$2,": ",T$3,list1!T293,"]")</f>
        <v xml:space="preserve"> (Наружный блок) Размеры (Ш x Г x В): S[777 х 290 х 498]</v>
      </c>
      <c r="U293" t="str">
        <f>CONCATENATE(U$2,": ",U$3,list1!U293,"]")</f>
        <v xml:space="preserve"> (Наружный блок) Упаковка (Ш x Г x В): S[818 х 325 х 520]</v>
      </c>
      <c r="V293" t="str">
        <f>CONCATENATE(V$2,": ",V$3,list1!V293,"]")</f>
        <v xml:space="preserve"> (Наружный блок) Масса (нетто / брутто): S[22/25]</v>
      </c>
      <c r="W293" t="str">
        <f>CONCATENATE(W$2,": ",W$3,list1!W293,"]")</f>
        <v xml:space="preserve"> (Наружный блок) Максимальный уровень шума: N[]</v>
      </c>
      <c r="X293" t="str">
        <f>CONCATENATE(X$2,": ",X$3,list1!X293,"]")</f>
        <v xml:space="preserve"> (Соединительные трубы) Жидкостная линия : N[6.35]</v>
      </c>
      <c r="Y293" t="str">
        <f>CONCATENATE(Y$2,": ",Y$3,list1!Y293,"]")</f>
        <v xml:space="preserve"> (Соединительные трубы) Газовая линия : N[9.52]</v>
      </c>
      <c r="Z293" t="str">
        <f>CONCATENATE(Z$2,": ",Z$3,list1!Z293,"]")</f>
        <v xml:space="preserve"> (Соединительные трубы) Максимальная длина трубопровода: N[15]</v>
      </c>
      <c r="AA293" t="str">
        <f>CONCATENATE(AA$2,": ",AA$3,list1!AA293,"]")</f>
        <v xml:space="preserve"> (Соединительные трубы) Максимальный перепад высот: S[5]</v>
      </c>
      <c r="AB293" t="str">
        <f>CONCATENATE(AB$2,": ",AB$3,list1!AB293,"]")</f>
        <v xml:space="preserve"> (Допустимая темп. наружного воздуха) Охлаждение: S[]</v>
      </c>
      <c r="AC293" t="str">
        <f>CONCATENATE(AC$2,": ",AC$3,list1!AC293,"]")</f>
        <v xml:space="preserve"> (Допустимая темп. наружного воздуха) Обогрев: S[от -20 до +30]</v>
      </c>
      <c r="AD293" s="6" t="s">
        <v>5245</v>
      </c>
    </row>
    <row r="294" spans="1:30" x14ac:dyDescent="0.25">
      <c r="A294" t="str">
        <f>CONCATENATE(A$2,": ",A$3,list1!A294,"]")</f>
        <v>Производитель: E[QUATTROCLIMA]</v>
      </c>
      <c r="B294" t="str">
        <f>CONCATENATE(B$2,": ",B$3,list1!B294,"]")</f>
        <v xml:space="preserve"> Тип: S[Сплит система]</v>
      </c>
      <c r="C294" t="str">
        <f>CONCATENATE(C$2,": ",C$3,list1!C294,"]")</f>
        <v xml:space="preserve"> (Сплит система) Холодопроизводительность: N[2.6]</v>
      </c>
      <c r="D294" t="str">
        <f>CONCATENATE(D$2,": ",D$3,list1!D294,"]")</f>
        <v xml:space="preserve"> (Сплит система) Площадь помещения: N[26]</v>
      </c>
      <c r="E294" t="str">
        <f>CONCATENATE(E$2,": ",E$3,list1!E294,"]")</f>
        <v xml:space="preserve"> (Сплит система) Инвентор: S[да]</v>
      </c>
      <c r="F294" t="str">
        <f>CONCATENATE(F$2,": ",F$3,list1!F294,"]")</f>
        <v xml:space="preserve"> (Сплит система) Теплопроизводительность: N[2.61]</v>
      </c>
      <c r="G294" t="str">
        <f>CONCATENATE(G$2,": ",G$3,list1!G294,"]")</f>
        <v xml:space="preserve"> (Потребляемая мощность) Охлаждение: N[0.8]</v>
      </c>
      <c r="H294" t="str">
        <f>CONCATENATE(H$2,": ",H$3,list1!H294,"]")</f>
        <v xml:space="preserve"> (Потребляемая мощность) Обогрев: S[0.699]</v>
      </c>
      <c r="I294" t="str">
        <f>CONCATENATE(I$2,": ",I$3,list1!I294,"]")</f>
        <v xml:space="preserve"> (Рабочий ток) Охлаждение: S[]</v>
      </c>
      <c r="J294" t="str">
        <f>CONCATENATE(J$2,": ",J$3,list1!J294,"]")</f>
        <v xml:space="preserve"> (Рабочий ток) Обогрев: S[]</v>
      </c>
      <c r="K294" t="str">
        <f>CONCATENATE(K$2,": ",K$3,list1!K294,"]")</f>
        <v xml:space="preserve"> (Рабочий ток) Напряжение / Частота источника питания: S[1 / 220 / 50]</v>
      </c>
      <c r="L294" t="str">
        <f>CONCATENATE(L$2,": ",L$3,list1!L294,"]")</f>
        <v xml:space="preserve"> (Рабочий ток) Хладагент: S[R32]</v>
      </c>
      <c r="M294" t="str">
        <f>CONCATENATE(M$2,": ",M$3,list1!M294,"]")</f>
        <v xml:space="preserve"> (Рабочий ток) Количество хладагента: N[]</v>
      </c>
      <c r="N294" t="str">
        <f>CONCATENATE(N$2,": ",N$3,list1!N294,"]")</f>
        <v xml:space="preserve"> (Рабочий ток) Объем рециркулируемого воздуха внутреннего блока: S[]</v>
      </c>
      <c r="O294" t="str">
        <f>CONCATENATE(O$2,": ",O$3,list1!O294,"]")</f>
        <v xml:space="preserve"> (Внутренний блок) Размеры (Ш x Г x В): S[698 х 255 х 190]</v>
      </c>
      <c r="P294" t="str">
        <f>CONCATENATE(P$2,": ",P$3,list1!P294,"]")</f>
        <v xml:space="preserve"> (Внутренний блок) Упаковка (Ш x Г x В): S[764 х 257 х 325]</v>
      </c>
      <c r="Q294" t="str">
        <f>CONCATENATE(Q$2,": ",Q$3,list1!Q294,"]")</f>
        <v xml:space="preserve"> (Внутренний блок) Масса (нетто / брутто): S[6.5 / 8.5]</v>
      </c>
      <c r="R294" t="str">
        <f>CONCATENATE(R$2,": ",R$3,list1!R294,"]")</f>
        <v xml:space="preserve"> (Внутренний блок) Уровень шума мин. / макс.: S[22/25/33/37/40]</v>
      </c>
      <c r="S294" t="str">
        <f>CONCATENATE(S$2,": ",S$3,list1!S294,"]")</f>
        <v xml:space="preserve"> (Наружный блок) Марка компрессора: S[RECHI]</v>
      </c>
      <c r="T294" t="str">
        <f>CONCATENATE(T$2,": ",T$3,list1!T294,"]")</f>
        <v xml:space="preserve"> (Наружный блок) Размеры (Ш x Г x В): S[777 х 290 х 498]</v>
      </c>
      <c r="U294" t="str">
        <f>CONCATENATE(U$2,": ",U$3,list1!U294,"]")</f>
        <v xml:space="preserve"> (Наружный блок) Упаковка (Ш x Г x В): S[818 х 325 х 520]</v>
      </c>
      <c r="V294" t="str">
        <f>CONCATENATE(V$2,": ",V$3,list1!V294,"]")</f>
        <v xml:space="preserve"> (Наружный блок) Масса (нетто / брутто): S[22/25]</v>
      </c>
      <c r="W294" t="str">
        <f>CONCATENATE(W$2,": ",W$3,list1!W294,"]")</f>
        <v xml:space="preserve"> (Наружный блок) Максимальный уровень шума: N[]</v>
      </c>
      <c r="X294" t="str">
        <f>CONCATENATE(X$2,": ",X$3,list1!X294,"]")</f>
        <v xml:space="preserve"> (Соединительные трубы) Жидкостная линия : N[6.35]</v>
      </c>
      <c r="Y294" t="str">
        <f>CONCATENATE(Y$2,": ",Y$3,list1!Y294,"]")</f>
        <v xml:space="preserve"> (Соединительные трубы) Газовая линия : N[9.52]</v>
      </c>
      <c r="Z294" t="str">
        <f>CONCATENATE(Z$2,": ",Z$3,list1!Z294,"]")</f>
        <v xml:space="preserve"> (Соединительные трубы) Максимальная длина трубопровода: N[25]</v>
      </c>
      <c r="AA294" t="str">
        <f>CONCATENATE(AA$2,": ",AA$3,list1!AA294,"]")</f>
        <v xml:space="preserve"> (Соединительные трубы) Максимальный перепад высот: S[10]</v>
      </c>
      <c r="AB294" t="str">
        <f>CONCATENATE(AB$2,": ",AB$3,list1!AB294,"]")</f>
        <v xml:space="preserve"> (Допустимая темп. наружного воздуха) Охлаждение: S[от -15 до +53]</v>
      </c>
      <c r="AC294" t="str">
        <f>CONCATENATE(AC$2,": ",AC$3,list1!AC294,"]")</f>
        <v xml:space="preserve"> (Допустимая темп. наружного воздуха) Обогрев: S[от -20 до +30]</v>
      </c>
      <c r="AD294" s="6" t="s">
        <v>5245</v>
      </c>
    </row>
    <row r="295" spans="1:30" x14ac:dyDescent="0.25">
      <c r="A295" t="str">
        <f>CONCATENATE(A$2,": ",A$3,list1!A295,"]")</f>
        <v>Производитель: E[QUATTROCLIMA]</v>
      </c>
      <c r="B295" t="str">
        <f>CONCATENATE(B$2,": ",B$3,list1!B295,"]")</f>
        <v xml:space="preserve"> Тип: S[Сплит система]</v>
      </c>
      <c r="C295" t="str">
        <f>CONCATENATE(C$2,": ",C$3,list1!C295,"]")</f>
        <v xml:space="preserve"> (Сплит система) Холодопроизводительность: N[3.4]</v>
      </c>
      <c r="D295" t="str">
        <f>CONCATENATE(D$2,": ",D$3,list1!D295,"]")</f>
        <v xml:space="preserve"> (Сплит система) Площадь помещения: N[34]</v>
      </c>
      <c r="E295" t="str">
        <f>CONCATENATE(E$2,": ",E$3,list1!E295,"]")</f>
        <v xml:space="preserve"> (Сплит система) Инвентор: S[да]</v>
      </c>
      <c r="F295" t="str">
        <f>CONCATENATE(F$2,": ",F$3,list1!F295,"]")</f>
        <v xml:space="preserve"> (Сплит система) Теплопроизводительность: N[3.42]</v>
      </c>
      <c r="G295" t="str">
        <f>CONCATENATE(G$2,": ",G$3,list1!G295,"]")</f>
        <v xml:space="preserve"> (Потребляемая мощность) Охлаждение: N[1.01]</v>
      </c>
      <c r="H295" t="str">
        <f>CONCATENATE(H$2,": ",H$3,list1!H295,"]")</f>
        <v xml:space="preserve"> (Потребляемая мощность) Обогрев: S[0.948]</v>
      </c>
      <c r="I295" t="str">
        <f>CONCATENATE(I$2,": ",I$3,list1!I295,"]")</f>
        <v xml:space="preserve"> (Рабочий ток) Охлаждение: S[]</v>
      </c>
      <c r="J295" t="str">
        <f>CONCATENATE(J$2,": ",J$3,list1!J295,"]")</f>
        <v xml:space="preserve"> (Рабочий ток) Обогрев: S[]</v>
      </c>
      <c r="K295" t="str">
        <f>CONCATENATE(K$2,": ",K$3,list1!K295,"]")</f>
        <v xml:space="preserve"> (Рабочий ток) Напряжение / Частота источника питания: S[1 / 220 / 50]</v>
      </c>
      <c r="L295" t="str">
        <f>CONCATENATE(L$2,": ",L$3,list1!L295,"]")</f>
        <v xml:space="preserve"> (Рабочий ток) Хладагент: S[R32]</v>
      </c>
      <c r="M295" t="str">
        <f>CONCATENATE(M$2,": ",M$3,list1!M295,"]")</f>
        <v xml:space="preserve"> (Рабочий ток) Количество хладагента: N[]</v>
      </c>
      <c r="N295" t="str">
        <f>CONCATENATE(N$2,": ",N$3,list1!N295,"]")</f>
        <v xml:space="preserve"> (Рабочий ток) Объем рециркулируемого воздуха внутреннего блока: S[]</v>
      </c>
      <c r="O295" t="str">
        <f>CONCATENATE(O$2,": ",O$3,list1!O295,"]")</f>
        <v xml:space="preserve"> (Внутренний блок) Размеры (Ш x Г x В): S[777 х 250 х 201]</v>
      </c>
      <c r="P295" t="str">
        <f>CONCATENATE(P$2,": ",P$3,list1!P295,"]")</f>
        <v xml:space="preserve"> (Внутренний блок) Упаковка (Ш x Г x В): S[840 х 260 х 315]</v>
      </c>
      <c r="Q295" t="str">
        <f>CONCATENATE(Q$2,": ",Q$3,list1!Q295,"]")</f>
        <v xml:space="preserve"> (Внутренний блок) Масса (нетто / брутто): S[8.5 / 10.5]</v>
      </c>
      <c r="R295" t="str">
        <f>CONCATENATE(R$2,": ",R$3,list1!R295,"]")</f>
        <v xml:space="preserve"> (Внутренний блок) Уровень шума мин. / макс.: S[22/25/33/40]</v>
      </c>
      <c r="S295" t="str">
        <f>CONCATENATE(S$2,": ",S$3,list1!S295,"]")</f>
        <v xml:space="preserve"> (Наружный блок) Марка компрессора: S[GMCC]</v>
      </c>
      <c r="T295" t="str">
        <f>CONCATENATE(T$2,": ",T$3,list1!T295,"]")</f>
        <v xml:space="preserve"> (Наружный блок) Размеры (Ш x Г x В): S[777 х 290 х 498]</v>
      </c>
      <c r="U295" t="str">
        <f>CONCATENATE(U$2,": ",U$3,list1!U295,"]")</f>
        <v xml:space="preserve"> (Наружный блок) Упаковка (Ш x Г x В): S[818 х 325 х 520]</v>
      </c>
      <c r="V295" t="str">
        <f>CONCATENATE(V$2,": ",V$3,list1!V295,"]")</f>
        <v xml:space="preserve"> (Наружный блок) Масса (нетто / брутто): S[22/25]</v>
      </c>
      <c r="W295" t="str">
        <f>CONCATENATE(W$2,": ",W$3,list1!W295,"]")</f>
        <v xml:space="preserve"> (Наружный блок) Максимальный уровень шума: N[]</v>
      </c>
      <c r="X295" t="str">
        <f>CONCATENATE(X$2,": ",X$3,list1!X295,"]")</f>
        <v xml:space="preserve"> (Соединительные трубы) Жидкостная линия : N[6.35]</v>
      </c>
      <c r="Y295" t="str">
        <f>CONCATENATE(Y$2,": ",Y$3,list1!Y295,"]")</f>
        <v xml:space="preserve"> (Соединительные трубы) Газовая линия : N[9.52]</v>
      </c>
      <c r="Z295" t="str">
        <f>CONCATENATE(Z$2,": ",Z$3,list1!Z295,"]")</f>
        <v xml:space="preserve"> (Соединительные трубы) Максимальная длина трубопровода: N[15]</v>
      </c>
      <c r="AA295" t="str">
        <f>CONCATENATE(AA$2,": ",AA$3,list1!AA295,"]")</f>
        <v xml:space="preserve"> (Соединительные трубы) Максимальный перепад высот: S[5]</v>
      </c>
      <c r="AB295" t="str">
        <f>CONCATENATE(AB$2,": ",AB$3,list1!AB295,"]")</f>
        <v xml:space="preserve"> (Допустимая темп. наружного воздуха) Охлаждение: S[]</v>
      </c>
      <c r="AC295" t="str">
        <f>CONCATENATE(AC$2,": ",AC$3,list1!AC295,"]")</f>
        <v xml:space="preserve"> (Допустимая темп. наружного воздуха) Обогрев: S[от -20 до +30]</v>
      </c>
      <c r="AD295" s="6" t="s">
        <v>5245</v>
      </c>
    </row>
    <row r="296" spans="1:30" x14ac:dyDescent="0.25">
      <c r="A296" t="str">
        <f>CONCATENATE(A$2,": ",A$3,list1!A296,"]")</f>
        <v>Производитель: E[QUATTROCLIMA]</v>
      </c>
      <c r="B296" t="str">
        <f>CONCATENATE(B$2,": ",B$3,list1!B296,"]")</f>
        <v xml:space="preserve"> Тип: S[Сплит система]</v>
      </c>
      <c r="C296" t="str">
        <f>CONCATENATE(C$2,": ",C$3,list1!C296,"]")</f>
        <v xml:space="preserve"> (Сплит система) Холодопроизводительность: N[3.4]</v>
      </c>
      <c r="D296" t="str">
        <f>CONCATENATE(D$2,": ",D$3,list1!D296,"]")</f>
        <v xml:space="preserve"> (Сплит система) Площадь помещения: N[34]</v>
      </c>
      <c r="E296" t="str">
        <f>CONCATENATE(E$2,": ",E$3,list1!E296,"]")</f>
        <v xml:space="preserve"> (Сплит система) Инвентор: S[да]</v>
      </c>
      <c r="F296" t="str">
        <f>CONCATENATE(F$2,": ",F$3,list1!F296,"]")</f>
        <v xml:space="preserve"> (Сплит система) Теплопроизводительность: N[3.42]</v>
      </c>
      <c r="G296" t="str">
        <f>CONCATENATE(G$2,": ",G$3,list1!G296,"]")</f>
        <v xml:space="preserve"> (Потребляемая мощность) Охлаждение: N[1.13]</v>
      </c>
      <c r="H296" t="str">
        <f>CONCATENATE(H$2,": ",H$3,list1!H296,"]")</f>
        <v xml:space="preserve"> (Потребляемая мощность) Обогрев: S[0.922]</v>
      </c>
      <c r="I296" t="str">
        <f>CONCATENATE(I$2,": ",I$3,list1!I296,"]")</f>
        <v xml:space="preserve"> (Рабочий ток) Охлаждение: S[]</v>
      </c>
      <c r="J296" t="str">
        <f>CONCATENATE(J$2,": ",J$3,list1!J296,"]")</f>
        <v xml:space="preserve"> (Рабочий ток) Обогрев: S[]</v>
      </c>
      <c r="K296" t="str">
        <f>CONCATENATE(K$2,": ",K$3,list1!K296,"]")</f>
        <v xml:space="preserve"> (Рабочий ток) Напряжение / Частота источника питания: S[1 / 220 / 50]</v>
      </c>
      <c r="L296" t="str">
        <f>CONCATENATE(L$2,": ",L$3,list1!L296,"]")</f>
        <v xml:space="preserve"> (Рабочий ток) Хладагент: S[R32]</v>
      </c>
      <c r="M296" t="str">
        <f>CONCATENATE(M$2,": ",M$3,list1!M296,"]")</f>
        <v xml:space="preserve"> (Рабочий ток) Количество хладагента: N[]</v>
      </c>
      <c r="N296" t="str">
        <f>CONCATENATE(N$2,": ",N$3,list1!N296,"]")</f>
        <v xml:space="preserve"> (Рабочий ток) Объем рециркулируемого воздуха внутреннего блока: S[]</v>
      </c>
      <c r="O296" t="str">
        <f>CONCATENATE(O$2,": ",O$3,list1!O296,"]")</f>
        <v xml:space="preserve"> (Внутренний блок) Размеры (Ш x Г x В): S[777 х 250 х 201]</v>
      </c>
      <c r="P296" t="str">
        <f>CONCATENATE(P$2,": ",P$3,list1!P296,"]")</f>
        <v xml:space="preserve"> (Внутренний блок) Упаковка (Ш x Г x В): S[840 х 260 х 315]</v>
      </c>
      <c r="Q296" t="str">
        <f>CONCATENATE(Q$2,": ",Q$3,list1!Q296,"]")</f>
        <v xml:space="preserve"> (Внутренний блок) Масса (нетто / брутто): S[8.5 / 10.5]</v>
      </c>
      <c r="R296" t="str">
        <f>CONCATENATE(R$2,": ",R$3,list1!R296,"]")</f>
        <v xml:space="preserve"> (Внутренний блок) Уровень шума мин. / макс.: S[22/25/33/37/40]</v>
      </c>
      <c r="S296" t="str">
        <f>CONCATENATE(S$2,": ",S$3,list1!S296,"]")</f>
        <v xml:space="preserve"> (Наружный блок) Марка компрессора: S[GMCC]</v>
      </c>
      <c r="T296" t="str">
        <f>CONCATENATE(T$2,": ",T$3,list1!T296,"]")</f>
        <v xml:space="preserve"> (Наружный блок) Размеры (Ш x Г x В): S[777 х 290 х 498]</v>
      </c>
      <c r="U296" t="str">
        <f>CONCATENATE(U$2,": ",U$3,list1!U296,"]")</f>
        <v xml:space="preserve"> (Наружный блок) Упаковка (Ш x Г x В): S[818 х 325 х 520]</v>
      </c>
      <c r="V296" t="str">
        <f>CONCATENATE(V$2,": ",V$3,list1!V296,"]")</f>
        <v xml:space="preserve"> (Наружный блок) Масса (нетто / брутто): S[22/25]</v>
      </c>
      <c r="W296" t="str">
        <f>CONCATENATE(W$2,": ",W$3,list1!W296,"]")</f>
        <v xml:space="preserve"> (Наружный блок) Максимальный уровень шума: N[]</v>
      </c>
      <c r="X296" t="str">
        <f>CONCATENATE(X$2,": ",X$3,list1!X296,"]")</f>
        <v xml:space="preserve"> (Соединительные трубы) Жидкостная линия : N[6.35]</v>
      </c>
      <c r="Y296" t="str">
        <f>CONCATENATE(Y$2,": ",Y$3,list1!Y296,"]")</f>
        <v xml:space="preserve"> (Соединительные трубы) Газовая линия : N[9.52]</v>
      </c>
      <c r="Z296" t="str">
        <f>CONCATENATE(Z$2,": ",Z$3,list1!Z296,"]")</f>
        <v xml:space="preserve"> (Соединительные трубы) Максимальная длина трубопровода: N[25]</v>
      </c>
      <c r="AA296" t="str">
        <f>CONCATENATE(AA$2,": ",AA$3,list1!AA296,"]")</f>
        <v xml:space="preserve"> (Соединительные трубы) Максимальный перепад высот: S[10]</v>
      </c>
      <c r="AB296" t="str">
        <f>CONCATENATE(AB$2,": ",AB$3,list1!AB296,"]")</f>
        <v xml:space="preserve"> (Допустимая темп. наружного воздуха) Охлаждение: S[от -15 до +53]</v>
      </c>
      <c r="AC296" t="str">
        <f>CONCATENATE(AC$2,": ",AC$3,list1!AC296,"]")</f>
        <v xml:space="preserve"> (Допустимая темп. наружного воздуха) Обогрев: S[от -20 до +30]</v>
      </c>
      <c r="AD296" s="6" t="s">
        <v>5245</v>
      </c>
    </row>
    <row r="297" spans="1:30" x14ac:dyDescent="0.25">
      <c r="A297" t="str">
        <f>CONCATENATE(A$2,": ",A$3,list1!A297,"]")</f>
        <v>Производитель: E[QUATTROCLIMA]</v>
      </c>
      <c r="B297" t="str">
        <f>CONCATENATE(B$2,": ",B$3,list1!B297,"]")</f>
        <v xml:space="preserve"> Тип: S[Сплит система]</v>
      </c>
      <c r="C297" t="str">
        <f>CONCATENATE(C$2,": ",C$3,list1!C297,"]")</f>
        <v xml:space="preserve"> (Сплит система) Холодопроизводительность: N[5.13]</v>
      </c>
      <c r="D297" t="str">
        <f>CONCATENATE(D$2,": ",D$3,list1!D297,"]")</f>
        <v xml:space="preserve"> (Сплит система) Площадь помещения: N[51]</v>
      </c>
      <c r="E297" t="str">
        <f>CONCATENATE(E$2,": ",E$3,list1!E297,"]")</f>
        <v xml:space="preserve"> (Сплит система) Инвентор: S[да]</v>
      </c>
      <c r="F297" t="str">
        <f>CONCATENATE(F$2,": ",F$3,list1!F297,"]")</f>
        <v xml:space="preserve"> (Сплит система) Теплопроизводительность: N[5.23]</v>
      </c>
      <c r="G297" t="str">
        <f>CONCATENATE(G$2,": ",G$3,list1!G297,"]")</f>
        <v xml:space="preserve"> (Потребляемая мощность) Охлаждение: N[1.53]</v>
      </c>
      <c r="H297" t="str">
        <f>CONCATENATE(H$2,": ",H$3,list1!H297,"]")</f>
        <v xml:space="preserve"> (Потребляемая мощность) Обогрев: S[1550]</v>
      </c>
      <c r="I297" t="str">
        <f>CONCATENATE(I$2,": ",I$3,list1!I297,"]")</f>
        <v xml:space="preserve"> (Рабочий ток) Охлаждение: S[]</v>
      </c>
      <c r="J297" t="str">
        <f>CONCATENATE(J$2,": ",J$3,list1!J297,"]")</f>
        <v xml:space="preserve"> (Рабочий ток) Обогрев: S[]</v>
      </c>
      <c r="K297" t="str">
        <f>CONCATENATE(K$2,": ",K$3,list1!K297,"]")</f>
        <v xml:space="preserve"> (Рабочий ток) Напряжение / Частота источника питания: S[1 / 220 / 50]</v>
      </c>
      <c r="L297" t="str">
        <f>CONCATENATE(L$2,": ",L$3,list1!L297,"]")</f>
        <v xml:space="preserve"> (Рабочий ток) Хладагент: S[R32]</v>
      </c>
      <c r="M297" t="str">
        <f>CONCATENATE(M$2,": ",M$3,list1!M297,"]")</f>
        <v xml:space="preserve"> (Рабочий ток) Количество хладагента: N[]</v>
      </c>
      <c r="N297" t="str">
        <f>CONCATENATE(N$2,": ",N$3,list1!N297,"]")</f>
        <v xml:space="preserve"> (Рабочий ток) Объем рециркулируемого воздуха внутреннего блока: S[]</v>
      </c>
      <c r="O297" t="str">
        <f>CONCATENATE(O$2,": ",O$3,list1!O297,"]")</f>
        <v xml:space="preserve"> (Внутренний блок) Размеры (Ш x Г x В): S[910 х 294 х 206]</v>
      </c>
      <c r="P297" t="str">
        <f>CONCATENATE(P$2,": ",P$3,list1!P297,"]")</f>
        <v xml:space="preserve"> (Внутренний блок) Упаковка (Ш x Г x В): S[979 х 277 х 372]</v>
      </c>
      <c r="Q297" t="str">
        <f>CONCATENATE(Q$2,": ",Q$3,list1!Q297,"]")</f>
        <v xml:space="preserve"> (Внутренний блок) Масса (нетто / брутто): S[10 / 13]</v>
      </c>
      <c r="R297" t="str">
        <f>CONCATENATE(R$2,": ",R$3,list1!R297,"]")</f>
        <v xml:space="preserve"> (Внутренний блок) Уровень шума мин. / макс.: S[27/35/40/43]</v>
      </c>
      <c r="S297" t="str">
        <f>CONCATENATE(S$2,": ",S$3,list1!S297,"]")</f>
        <v xml:space="preserve"> (Наружный блок) Марка компрессора: S[SANYO]</v>
      </c>
      <c r="T297" t="str">
        <f>CONCATENATE(T$2,": ",T$3,list1!T297,"]")</f>
        <v xml:space="preserve"> (Наружный блок) Размеры (Ш x Г x В): S[853 х 349 х 602]</v>
      </c>
      <c r="U297" t="str">
        <f>CONCATENATE(U$2,": ",U$3,list1!U297,"]")</f>
        <v xml:space="preserve"> (Наружный блок) Упаковка (Ш x Г x В): S[890 х 385 х 628]</v>
      </c>
      <c r="V297" t="str">
        <f>CONCATENATE(V$2,": ",V$3,list1!V297,"]")</f>
        <v xml:space="preserve"> (Наружный блок) Масса (нетто / брутто): S[36/40]</v>
      </c>
      <c r="W297" t="str">
        <f>CONCATENATE(W$2,": ",W$3,list1!W297,"]")</f>
        <v xml:space="preserve"> (Наружный блок) Максимальный уровень шума: N[]</v>
      </c>
      <c r="X297" t="str">
        <f>CONCATENATE(X$2,": ",X$3,list1!X297,"]")</f>
        <v xml:space="preserve"> (Соединительные трубы) Жидкостная линия : N[6.35]</v>
      </c>
      <c r="Y297" t="str">
        <f>CONCATENATE(Y$2,": ",Y$3,list1!Y297,"]")</f>
        <v xml:space="preserve"> (Соединительные трубы) Газовая линия : N[9.52]</v>
      </c>
      <c r="Z297" t="str">
        <f>CONCATENATE(Z$2,": ",Z$3,list1!Z297,"]")</f>
        <v xml:space="preserve"> (Соединительные трубы) Максимальная длина трубопровода: N[15]</v>
      </c>
      <c r="AA297" t="str">
        <f>CONCATENATE(AA$2,": ",AA$3,list1!AA297,"]")</f>
        <v xml:space="preserve"> (Соединительные трубы) Максимальный перепад высот: S[5]</v>
      </c>
      <c r="AB297" t="str">
        <f>CONCATENATE(AB$2,": ",AB$3,list1!AB297,"]")</f>
        <v xml:space="preserve"> (Допустимая темп. наружного воздуха) Охлаждение: S[]</v>
      </c>
      <c r="AC297" t="str">
        <f>CONCATENATE(AC$2,": ",AC$3,list1!AC297,"]")</f>
        <v xml:space="preserve"> (Допустимая темп. наружного воздуха) Обогрев: S[от -20 до +30]</v>
      </c>
      <c r="AD297" s="6" t="s">
        <v>5245</v>
      </c>
    </row>
    <row r="298" spans="1:30" x14ac:dyDescent="0.25">
      <c r="A298" t="str">
        <f>CONCATENATE(A$2,": ",A$3,list1!A298,"]")</f>
        <v>Производитель: E[QUATTROCLIMA]</v>
      </c>
      <c r="B298" t="str">
        <f>CONCATENATE(B$2,": ",B$3,list1!B298,"]")</f>
        <v xml:space="preserve"> Тип: S[Сплит система]</v>
      </c>
      <c r="C298" t="str">
        <f>CONCATENATE(C$2,": ",C$3,list1!C298,"]")</f>
        <v xml:space="preserve"> (Сплит система) Холодопроизводительность: N[5.1]</v>
      </c>
      <c r="D298" t="str">
        <f>CONCATENATE(D$2,": ",D$3,list1!D298,"]")</f>
        <v xml:space="preserve"> (Сплит система) Площадь помещения: N[51]</v>
      </c>
      <c r="E298" t="str">
        <f>CONCATENATE(E$2,": ",E$3,list1!E298,"]")</f>
        <v xml:space="preserve"> (Сплит система) Инвентор: S[да]</v>
      </c>
      <c r="F298" t="str">
        <f>CONCATENATE(F$2,": ",F$3,list1!F298,"]")</f>
        <v xml:space="preserve"> (Сплит система) Теплопроизводительность: N[5.1]</v>
      </c>
      <c r="G298" t="str">
        <f>CONCATENATE(G$2,": ",G$3,list1!G298,"]")</f>
        <v xml:space="preserve"> (Потребляемая мощность) Охлаждение: N[1.58]</v>
      </c>
      <c r="H298" t="str">
        <f>CONCATENATE(H$2,": ",H$3,list1!H298,"]")</f>
        <v xml:space="preserve"> (Потребляемая мощность) Обогрев: S[1.374]</v>
      </c>
      <c r="I298" t="str">
        <f>CONCATENATE(I$2,": ",I$3,list1!I298,"]")</f>
        <v xml:space="preserve"> (Рабочий ток) Охлаждение: S[]</v>
      </c>
      <c r="J298" t="str">
        <f>CONCATENATE(J$2,": ",J$3,list1!J298,"]")</f>
        <v xml:space="preserve"> (Рабочий ток) Обогрев: S[]</v>
      </c>
      <c r="K298" t="str">
        <f>CONCATENATE(K$2,": ",K$3,list1!K298,"]")</f>
        <v xml:space="preserve"> (Рабочий ток) Напряжение / Частота источника питания: S[1 / 220 / 50]</v>
      </c>
      <c r="L298" t="str">
        <f>CONCATENATE(L$2,": ",L$3,list1!L298,"]")</f>
        <v xml:space="preserve"> (Рабочий ток) Хладагент: S[R32]</v>
      </c>
      <c r="M298" t="str">
        <f>CONCATENATE(M$2,": ",M$3,list1!M298,"]")</f>
        <v xml:space="preserve"> (Рабочий ток) Количество хладагента: N[]</v>
      </c>
      <c r="N298" t="str">
        <f>CONCATENATE(N$2,": ",N$3,list1!N298,"]")</f>
        <v xml:space="preserve"> (Рабочий ток) Объем рециркулируемого воздуха внутреннего блока: S[]</v>
      </c>
      <c r="O298" t="str">
        <f>CONCATENATE(O$2,": ",O$3,list1!O298,"]")</f>
        <v xml:space="preserve"> (Внутренний блок) Размеры (Ш x Г x В): S[910 х 294 х 206]</v>
      </c>
      <c r="P298" t="str">
        <f>CONCATENATE(P$2,": ",P$3,list1!P298,"]")</f>
        <v xml:space="preserve"> (Внутренний блок) Упаковка (Ш x Г x В): S[979 х 277 х 372]</v>
      </c>
      <c r="Q298" t="str">
        <f>CONCATENATE(Q$2,": ",Q$3,list1!Q298,"]")</f>
        <v xml:space="preserve"> (Внутренний блок) Масса (нетто / брутто): S[10 / 13]</v>
      </c>
      <c r="R298" t="str">
        <f>CONCATENATE(R$2,": ",R$3,list1!R298,"]")</f>
        <v xml:space="preserve"> (Внутренний блок) Уровень шума мин. / макс.: S[27/35/38/41/43]</v>
      </c>
      <c r="S298" t="str">
        <f>CONCATENATE(S$2,": ",S$3,list1!S298,"]")</f>
        <v xml:space="preserve"> (Наружный блок) Марка компрессора: S[SANYO]</v>
      </c>
      <c r="T298" t="str">
        <f>CONCATENATE(T$2,": ",T$3,list1!T298,"]")</f>
        <v xml:space="preserve"> (Наружный блок) Размеры (Ш x Г x В): S[853 х 349 х 602]</v>
      </c>
      <c r="U298" t="str">
        <f>CONCATENATE(U$2,": ",U$3,list1!U298,"]")</f>
        <v xml:space="preserve"> (Наружный блок) Упаковка (Ш x Г x В): S[890 х 385 х 628]</v>
      </c>
      <c r="V298" t="str">
        <f>CONCATENATE(V$2,": ",V$3,list1!V298,"]")</f>
        <v xml:space="preserve"> (Наружный блок) Масса (нетто / брутто): S[36/40]</v>
      </c>
      <c r="W298" t="str">
        <f>CONCATENATE(W$2,": ",W$3,list1!W298,"]")</f>
        <v xml:space="preserve"> (Наружный блок) Максимальный уровень шума: N[]</v>
      </c>
      <c r="X298" t="str">
        <f>CONCATENATE(X$2,": ",X$3,list1!X298,"]")</f>
        <v xml:space="preserve"> (Соединительные трубы) Жидкостная линия : N[6.35]</v>
      </c>
      <c r="Y298" t="str">
        <f>CONCATENATE(Y$2,": ",Y$3,list1!Y298,"]")</f>
        <v xml:space="preserve"> (Соединительные трубы) Газовая линия : N[9.52]</v>
      </c>
      <c r="Z298" t="str">
        <f>CONCATENATE(Z$2,": ",Z$3,list1!Z298,"]")</f>
        <v xml:space="preserve"> (Соединительные трубы) Максимальная длина трубопровода: N[25]</v>
      </c>
      <c r="AA298" t="str">
        <f>CONCATENATE(AA$2,": ",AA$3,list1!AA298,"]")</f>
        <v xml:space="preserve"> (Соединительные трубы) Максимальный перепад высот: S[10]</v>
      </c>
      <c r="AB298" t="str">
        <f>CONCATENATE(AB$2,": ",AB$3,list1!AB298,"]")</f>
        <v xml:space="preserve"> (Допустимая темп. наружного воздуха) Охлаждение: S[от -15 до +53]</v>
      </c>
      <c r="AC298" t="str">
        <f>CONCATENATE(AC$2,": ",AC$3,list1!AC298,"]")</f>
        <v xml:space="preserve"> (Допустимая темп. наружного воздуха) Обогрев: S[от -20 до +30]</v>
      </c>
      <c r="AD298" s="6" t="s">
        <v>5245</v>
      </c>
    </row>
    <row r="299" spans="1:30" x14ac:dyDescent="0.25">
      <c r="A299" t="str">
        <f>CONCATENATE(A$2,": ",A$3,list1!A299,"]")</f>
        <v>Производитель: E[QUATTROCLIMA]</v>
      </c>
      <c r="B299" t="str">
        <f>CONCATENATE(B$2,": ",B$3,list1!B299,"]")</f>
        <v xml:space="preserve"> Тип: S[Сплит система]</v>
      </c>
      <c r="C299" t="str">
        <f>CONCATENATE(C$2,": ",C$3,list1!C299,"]")</f>
        <v xml:space="preserve"> (Сплит система) Холодопроизводительность: N[6.81]</v>
      </c>
      <c r="D299" t="str">
        <f>CONCATENATE(D$2,": ",D$3,list1!D299,"]")</f>
        <v xml:space="preserve"> (Сплит система) Площадь помещения: N[68]</v>
      </c>
      <c r="E299" t="str">
        <f>CONCATENATE(E$2,": ",E$3,list1!E299,"]")</f>
        <v xml:space="preserve"> (Сплит система) Инвентор: S[да]</v>
      </c>
      <c r="F299" t="str">
        <f>CONCATENATE(F$2,": ",F$3,list1!F299,"]")</f>
        <v xml:space="preserve"> (Сплит система) Теплопроизводительность: N[6.87]</v>
      </c>
      <c r="G299" t="str">
        <f>CONCATENATE(G$2,": ",G$3,list1!G299,"]")</f>
        <v xml:space="preserve"> (Потребляемая мощность) Охлаждение: N[1.95]</v>
      </c>
      <c r="H299" t="str">
        <f>CONCATENATE(H$2,": ",H$3,list1!H299,"]")</f>
        <v xml:space="preserve"> (Потребляемая мощность) Обогрев: S[2.05]</v>
      </c>
      <c r="I299" t="str">
        <f>CONCATENATE(I$2,": ",I$3,list1!I299,"]")</f>
        <v xml:space="preserve"> (Рабочий ток) Охлаждение: S[]</v>
      </c>
      <c r="J299" t="str">
        <f>CONCATENATE(J$2,": ",J$3,list1!J299,"]")</f>
        <v xml:space="preserve"> (Рабочий ток) Обогрев: S[]</v>
      </c>
      <c r="K299" t="str">
        <f>CONCATENATE(K$2,": ",K$3,list1!K299,"]")</f>
        <v xml:space="preserve"> (Рабочий ток) Напряжение / Частота источника питания: S[1 / 220 / 50]</v>
      </c>
      <c r="L299" t="str">
        <f>CONCATENATE(L$2,": ",L$3,list1!L299,"]")</f>
        <v xml:space="preserve"> (Рабочий ток) Хладагент: S[R32]</v>
      </c>
      <c r="M299" t="str">
        <f>CONCATENATE(M$2,": ",M$3,list1!M299,"]")</f>
        <v xml:space="preserve"> (Рабочий ток) Количество хладагента: N[]</v>
      </c>
      <c r="N299" t="str">
        <f>CONCATENATE(N$2,": ",N$3,list1!N299,"]")</f>
        <v xml:space="preserve"> (Рабочий ток) Объем рециркулируемого воздуха внутреннего блока: S[]</v>
      </c>
      <c r="O299" t="str">
        <f>CONCATENATE(O$2,": ",O$3,list1!O299,"]")</f>
        <v xml:space="preserve"> (Внутренний блок) Размеры (Ш x Г x В): S[1010 х 315 х 220]</v>
      </c>
      <c r="P299" t="str">
        <f>CONCATENATE(P$2,": ",P$3,list1!P299,"]")</f>
        <v xml:space="preserve"> (Внутренний блок) Упаковка (Ш x Г x В): S[1096 х 297 х 390]</v>
      </c>
      <c r="Q299" t="str">
        <f>CONCATENATE(Q$2,": ",Q$3,list1!Q299,"]")</f>
        <v xml:space="preserve"> (Внутренний блок) Масса (нетто / брутто): S[13 / 16]</v>
      </c>
      <c r="R299" t="str">
        <f>CONCATENATE(R$2,": ",R$3,list1!R299,"]")</f>
        <v xml:space="preserve"> (Внутренний блок) Уровень шума мин. / макс.: S[30/38/41/44]</v>
      </c>
      <c r="S299" t="str">
        <f>CONCATENATE(S$2,": ",S$3,list1!S299,"]")</f>
        <v xml:space="preserve"> (Наружный блок) Марка компрессора: S[SANYO]</v>
      </c>
      <c r="T299" t="str">
        <f>CONCATENATE(T$2,": ",T$3,list1!T299,"]")</f>
        <v xml:space="preserve"> (Наружный блок) Размеры (Ш x Г x В): S[920 х 380 х 699]</v>
      </c>
      <c r="U299" t="str">
        <f>CONCATENATE(U$2,": ",U$3,list1!U299,"]")</f>
        <v xml:space="preserve"> (Наружный блок) Упаковка (Ш x Г x В): S[960 х 400 х 732]</v>
      </c>
      <c r="V299" t="str">
        <f>CONCATENATE(V$2,": ",V$3,list1!V299,"]")</f>
        <v xml:space="preserve"> (Наружный блок) Масса (нетто / брутто): S[46/52]</v>
      </c>
      <c r="W299" t="str">
        <f>CONCATENATE(W$2,": ",W$3,list1!W299,"]")</f>
        <v xml:space="preserve"> (Наружный блок) Максимальный уровень шума: N[]</v>
      </c>
      <c r="X299" t="str">
        <f>CONCATENATE(X$2,": ",X$3,list1!X299,"]")</f>
        <v xml:space="preserve"> (Соединительные трубы) Жидкостная линия : N[6.35]</v>
      </c>
      <c r="Y299" t="str">
        <f>CONCATENATE(Y$2,": ",Y$3,list1!Y299,"]")</f>
        <v xml:space="preserve"> (Соединительные трубы) Газовая линия : N[12.7]</v>
      </c>
      <c r="Z299" t="str">
        <f>CONCATENATE(Z$2,": ",Z$3,list1!Z299,"]")</f>
        <v xml:space="preserve"> (Соединительные трубы) Максимальная длина трубопровода: N[15]</v>
      </c>
      <c r="AA299" t="str">
        <f>CONCATENATE(AA$2,": ",AA$3,list1!AA299,"]")</f>
        <v xml:space="preserve"> (Соединительные трубы) Максимальный перепад высот: S[5]</v>
      </c>
      <c r="AB299" t="str">
        <f>CONCATENATE(AB$2,": ",AB$3,list1!AB299,"]")</f>
        <v xml:space="preserve"> (Допустимая темп. наружного воздуха) Охлаждение: S[]</v>
      </c>
      <c r="AC299" t="str">
        <f>CONCATENATE(AC$2,": ",AC$3,list1!AC299,"]")</f>
        <v xml:space="preserve"> (Допустимая темп. наружного воздуха) Обогрев: S[от -20 до +30]</v>
      </c>
      <c r="AD299" s="6" t="s">
        <v>5245</v>
      </c>
    </row>
    <row r="300" spans="1:30" x14ac:dyDescent="0.25">
      <c r="A300" t="str">
        <f>CONCATENATE(A$2,": ",A$3,list1!A300,"]")</f>
        <v>Производитель: E[QUATTROCLIMA]</v>
      </c>
      <c r="B300" t="str">
        <f>CONCATENATE(B$2,": ",B$3,list1!B300,"]")</f>
        <v xml:space="preserve"> Тип: S[Сплит система]</v>
      </c>
      <c r="C300" t="str">
        <f>CONCATENATE(C$2,": ",C$3,list1!C300,"]")</f>
        <v xml:space="preserve"> (Сплит система) Холодопроизводительность: N[6.81]</v>
      </c>
      <c r="D300" t="str">
        <f>CONCATENATE(D$2,": ",D$3,list1!D300,"]")</f>
        <v xml:space="preserve"> (Сплит система) Площадь помещения: N[68]</v>
      </c>
      <c r="E300" t="str">
        <f>CONCATENATE(E$2,": ",E$3,list1!E300,"]")</f>
        <v xml:space="preserve"> (Сплит система) Инвентор: S[да]</v>
      </c>
      <c r="F300" t="str">
        <f>CONCATENATE(F$2,": ",F$3,list1!F300,"]")</f>
        <v xml:space="preserve"> (Сплит система) Теплопроизводительность: N[6.87]</v>
      </c>
      <c r="G300" t="str">
        <f>CONCATENATE(G$2,": ",G$3,list1!G300,"]")</f>
        <v xml:space="preserve"> (Потребляемая мощность) Охлаждение: N[2.257]</v>
      </c>
      <c r="H300" t="str">
        <f>CONCATENATE(H$2,": ",H$3,list1!H300,"]")</f>
        <v xml:space="preserve"> (Потребляемая мощность) Обогрев: S[2.063]</v>
      </c>
      <c r="I300" t="str">
        <f>CONCATENATE(I$2,": ",I$3,list1!I300,"]")</f>
        <v xml:space="preserve"> (Рабочий ток) Охлаждение: S[]</v>
      </c>
      <c r="J300" t="str">
        <f>CONCATENATE(J$2,": ",J$3,list1!J300,"]")</f>
        <v xml:space="preserve"> (Рабочий ток) Обогрев: S[]</v>
      </c>
      <c r="K300" t="str">
        <f>CONCATENATE(K$2,": ",K$3,list1!K300,"]")</f>
        <v xml:space="preserve"> (Рабочий ток) Напряжение / Частота источника питания: S[1 / 220 / 50]</v>
      </c>
      <c r="L300" t="str">
        <f>CONCATENATE(L$2,": ",L$3,list1!L300,"]")</f>
        <v xml:space="preserve"> (Рабочий ток) Хладагент: S[R32]</v>
      </c>
      <c r="M300" t="str">
        <f>CONCATENATE(M$2,": ",M$3,list1!M300,"]")</f>
        <v xml:space="preserve"> (Рабочий ток) Количество хладагента: N[]</v>
      </c>
      <c r="N300" t="str">
        <f>CONCATENATE(N$2,": ",N$3,list1!N300,"]")</f>
        <v xml:space="preserve"> (Рабочий ток) Объем рециркулируемого воздуха внутреннего блока: S[]</v>
      </c>
      <c r="O300" t="str">
        <f>CONCATENATE(O$2,": ",O$3,list1!O300,"]")</f>
        <v xml:space="preserve"> (Внутренний блок) Размеры (Ш x Г x В): S[1010 х 315 х 220]</v>
      </c>
      <c r="P300" t="str">
        <f>CONCATENATE(P$2,": ",P$3,list1!P300,"]")</f>
        <v xml:space="preserve"> (Внутренний блок) Упаковка (Ш x Г x В): S[1096 х 297 х 390]</v>
      </c>
      <c r="Q300" t="str">
        <f>CONCATENATE(Q$2,": ",Q$3,list1!Q300,"]")</f>
        <v xml:space="preserve"> (Внутренний блок) Масса (нетто / брутто): S[13 / 16]</v>
      </c>
      <c r="R300" t="str">
        <f>CONCATENATE(R$2,": ",R$3,list1!R300,"]")</f>
        <v xml:space="preserve"> (Внутренний блок) Уровень шума мин. / макс.: S[30/34/38/41/44]</v>
      </c>
      <c r="S300" t="str">
        <f>CONCATENATE(S$2,": ",S$3,list1!S300,"]")</f>
        <v xml:space="preserve"> (Наружный блок) Марка компрессора: S[SANYO]</v>
      </c>
      <c r="T300" t="str">
        <f>CONCATENATE(T$2,": ",T$3,list1!T300,"]")</f>
        <v xml:space="preserve"> (Наружный блок) Размеры (Ш x Г x В): S[920 х 380 х 699]</v>
      </c>
      <c r="U300" t="str">
        <f>CONCATENATE(U$2,": ",U$3,list1!U300,"]")</f>
        <v xml:space="preserve"> (Наружный блок) Упаковка (Ш x Г x В): S[960 х 400 х 732]</v>
      </c>
      <c r="V300" t="str">
        <f>CONCATENATE(V$2,": ",V$3,list1!V300,"]")</f>
        <v xml:space="preserve"> (Наружный блок) Масса (нетто / брутто): S[46/52]</v>
      </c>
      <c r="W300" t="str">
        <f>CONCATENATE(W$2,": ",W$3,list1!W300,"]")</f>
        <v xml:space="preserve"> (Наружный блок) Максимальный уровень шума: N[]</v>
      </c>
      <c r="X300" t="str">
        <f>CONCATENATE(X$2,": ",X$3,list1!X300,"]")</f>
        <v xml:space="preserve"> (Соединительные трубы) Жидкостная линия : N[6.35]</v>
      </c>
      <c r="Y300" t="str">
        <f>CONCATENATE(Y$2,": ",Y$3,list1!Y300,"]")</f>
        <v xml:space="preserve"> (Соединительные трубы) Газовая линия : N[12.7]</v>
      </c>
      <c r="Z300" t="str">
        <f>CONCATENATE(Z$2,": ",Z$3,list1!Z300,"]")</f>
        <v xml:space="preserve"> (Соединительные трубы) Максимальная длина трубопровода: N[25]</v>
      </c>
      <c r="AA300" t="str">
        <f>CONCATENATE(AA$2,": ",AA$3,list1!AA300,"]")</f>
        <v xml:space="preserve"> (Соединительные трубы) Максимальный перепад высот: S[10]</v>
      </c>
      <c r="AB300" t="str">
        <f>CONCATENATE(AB$2,": ",AB$3,list1!AB300,"]")</f>
        <v xml:space="preserve"> (Допустимая темп. наружного воздуха) Охлаждение: S[от -15 до +53]</v>
      </c>
      <c r="AC300" t="str">
        <f>CONCATENATE(AC$2,": ",AC$3,list1!AC300,"]")</f>
        <v xml:space="preserve"> (Допустимая темп. наружного воздуха) Обогрев: S[от -20 до +30]</v>
      </c>
      <c r="AD300" s="6" t="s">
        <v>5245</v>
      </c>
    </row>
    <row r="301" spans="1:30" x14ac:dyDescent="0.25">
      <c r="A301" t="str">
        <f>CONCATENATE(A$2,": ",A$3,list1!A301,"]")</f>
        <v>Производитель: E[QUATTROCLIMA]</v>
      </c>
      <c r="B301" t="str">
        <f>CONCATENATE(B$2,": ",B$3,list1!B301,"]")</f>
        <v xml:space="preserve"> Тип: S[Канальные]</v>
      </c>
      <c r="C301" t="str">
        <f>CONCATENATE(C$2,": ",C$3,list1!C301,"]")</f>
        <v xml:space="preserve"> (Сплит система) Холодопроизводительность: N[5.28]</v>
      </c>
      <c r="D301" t="str">
        <f>CONCATENATE(D$2,": ",D$3,list1!D301,"]")</f>
        <v xml:space="preserve"> (Сплит система) Площадь помещения: N[53]</v>
      </c>
      <c r="E301" t="str">
        <f>CONCATENATE(E$2,": ",E$3,list1!E301,"]")</f>
        <v xml:space="preserve"> (Сплит система) Инвентор: S[нет]</v>
      </c>
      <c r="F301" t="str">
        <f>CONCATENATE(F$2,": ",F$3,list1!F301,"]")</f>
        <v xml:space="preserve"> (Сплит система) Теплопроизводительность: N[5.6]</v>
      </c>
      <c r="G301" t="str">
        <f>CONCATENATE(G$2,": ",G$3,list1!G301,"]")</f>
        <v xml:space="preserve"> (Потребляемая мощность) Охлаждение: N[1.7]</v>
      </c>
      <c r="H301" t="str">
        <f>CONCATENATE(H$2,": ",H$3,list1!H301,"]")</f>
        <v xml:space="preserve"> (Потребляемая мощность) Обогрев: S[1.55]</v>
      </c>
      <c r="I301" t="str">
        <f>CONCATENATE(I$2,": ",I$3,list1!I301,"]")</f>
        <v xml:space="preserve"> (Рабочий ток) Охлаждение: S[]</v>
      </c>
      <c r="J301" t="str">
        <f>CONCATENATE(J$2,": ",J$3,list1!J301,"]")</f>
        <v xml:space="preserve"> (Рабочий ток) Обогрев: S[]</v>
      </c>
      <c r="K301" t="str">
        <f>CONCATENATE(K$2,": ",K$3,list1!K301,"]")</f>
        <v xml:space="preserve"> (Рабочий ток) Напряжение / Частота источника питания: S[1 / 220 / 50]</v>
      </c>
      <c r="L301" t="str">
        <f>CONCATENATE(L$2,": ",L$3,list1!L301,"]")</f>
        <v xml:space="preserve"> (Рабочий ток) Хладагент: S[R410A]</v>
      </c>
      <c r="M301" t="str">
        <f>CONCATENATE(M$2,": ",M$3,list1!M301,"]")</f>
        <v xml:space="preserve"> (Рабочий ток) Количество хладагента: N[]</v>
      </c>
      <c r="N301" t="str">
        <f>CONCATENATE(N$2,": ",N$3,list1!N301,"]")</f>
        <v xml:space="preserve"> (Рабочий ток) Объем рециркулируемого воздуха внутреннего блока: S[]</v>
      </c>
      <c r="O301" t="str">
        <f>CONCATENATE(O$2,": ",O$3,list1!O301,"]")</f>
        <v xml:space="preserve"> (Внутренний блок) Размеры (Ш x Г x В): S[890 х 290 х 735]</v>
      </c>
      <c r="P301" t="str">
        <f>CONCATENATE(P$2,": ",P$3,list1!P301,"]")</f>
        <v xml:space="preserve"> (Внутренний блок) Упаковка (Ш x Г x В): S[1070 х 800 х 360]</v>
      </c>
      <c r="Q301" t="str">
        <f>CONCATENATE(Q$2,": ",Q$3,list1!Q301,"]")</f>
        <v xml:space="preserve"> (Внутренний блок) Масса (нетто / брутто): S[32 / 37]</v>
      </c>
      <c r="R301" t="str">
        <f>CONCATENATE(R$2,": ",R$3,list1!R301,"]")</f>
        <v xml:space="preserve"> (Внутренний блок) Уровень шума мин. / макс.: S[32/35/38]</v>
      </c>
      <c r="S301" t="str">
        <f>CONCATENATE(S$2,": ",S$3,list1!S301,"]")</f>
        <v xml:space="preserve"> (Наружный блок) Марка компрессора: S[HIGHLY]</v>
      </c>
      <c r="T301" t="str">
        <f>CONCATENATE(T$2,": ",T$3,list1!T301,"]")</f>
        <v xml:space="preserve"> (Наружный блок) Размеры (Ш x Г x В): S[800 х 315 х 545]</v>
      </c>
      <c r="U301" t="str">
        <f>CONCATENATE(U$2,": ",U$3,list1!U301,"]")</f>
        <v xml:space="preserve"> (Наружный блок) Упаковка (Ш x Г x В): S[920 х 400 х 620]</v>
      </c>
      <c r="V301" t="str">
        <f>CONCATENATE(V$2,": ",V$3,list1!V301,"]")</f>
        <v xml:space="preserve"> (Наружный блок) Масса (нетто / брутто): S[42/45]</v>
      </c>
      <c r="W301" t="str">
        <f>CONCATENATE(W$2,": ",W$3,list1!W301,"]")</f>
        <v xml:space="preserve"> (Наружный блок) Максимальный уровень шума: N[]</v>
      </c>
      <c r="X301" t="str">
        <f>CONCATENATE(X$2,": ",X$3,list1!X301,"]")</f>
        <v xml:space="preserve"> (Соединительные трубы) Жидкостная линия : N[6.35]</v>
      </c>
      <c r="Y301" t="str">
        <f>CONCATENATE(Y$2,": ",Y$3,list1!Y301,"]")</f>
        <v xml:space="preserve"> (Соединительные трубы) Газовая линия : N[12.7]</v>
      </c>
      <c r="Z301" t="str">
        <f>CONCATENATE(Z$2,": ",Z$3,list1!Z301,"]")</f>
        <v xml:space="preserve"> (Соединительные трубы) Максимальная длина трубопровода: N[20]</v>
      </c>
      <c r="AA301" t="str">
        <f>CONCATENATE(AA$2,": ",AA$3,list1!AA301,"]")</f>
        <v xml:space="preserve"> (Соединительные трубы) Максимальный перепад высот: S[15]</v>
      </c>
      <c r="AB301" t="str">
        <f>CONCATENATE(AB$2,": ",AB$3,list1!AB301,"]")</f>
        <v xml:space="preserve"> (Допустимая темп. наружного воздуха) Охлаждение: S[от -15 до +49]</v>
      </c>
      <c r="AC301" t="str">
        <f>CONCATENATE(AC$2,": ",AC$3,list1!AC301,"]")</f>
        <v xml:space="preserve"> (Допустимая темп. наружного воздуха) Обогрев: S[от -15 до +24]</v>
      </c>
      <c r="AD301" s="6" t="s">
        <v>5245</v>
      </c>
    </row>
    <row r="302" spans="1:30" x14ac:dyDescent="0.25">
      <c r="A302" t="str">
        <f>CONCATENATE(A$2,": ",A$3,list1!A302,"]")</f>
        <v>Производитель: E[QUATTROCLIMA]</v>
      </c>
      <c r="B302" t="str">
        <f>CONCATENATE(B$2,": ",B$3,list1!B302,"]")</f>
        <v xml:space="preserve"> Тип: S[Канальные]</v>
      </c>
      <c r="C302" t="str">
        <f>CONCATENATE(C$2,": ",C$3,list1!C302,"]")</f>
        <v xml:space="preserve"> (Сплит система) Холодопроизводительность: N[7.03]</v>
      </c>
      <c r="D302" t="str">
        <f>CONCATENATE(D$2,": ",D$3,list1!D302,"]")</f>
        <v xml:space="preserve"> (Сплит система) Площадь помещения: N[70]</v>
      </c>
      <c r="E302" t="str">
        <f>CONCATENATE(E$2,": ",E$3,list1!E302,"]")</f>
        <v xml:space="preserve"> (Сплит система) Инвентор: S[нет]</v>
      </c>
      <c r="F302" t="str">
        <f>CONCATENATE(F$2,": ",F$3,list1!F302,"]")</f>
        <v xml:space="preserve"> (Сплит система) Теплопроизводительность: N[7.88]</v>
      </c>
      <c r="G302" t="str">
        <f>CONCATENATE(G$2,": ",G$3,list1!G302,"]")</f>
        <v xml:space="preserve"> (Потребляемая мощность) Охлаждение: N[2.26]</v>
      </c>
      <c r="H302" t="str">
        <f>CONCATENATE(H$2,": ",H$3,list1!H302,"]")</f>
        <v xml:space="preserve"> (Потребляемая мощность) Обогрев: S[2.18]</v>
      </c>
      <c r="I302" t="str">
        <f>CONCATENATE(I$2,": ",I$3,list1!I302,"]")</f>
        <v xml:space="preserve"> (Рабочий ток) Охлаждение: S[]</v>
      </c>
      <c r="J302" t="str">
        <f>CONCATENATE(J$2,": ",J$3,list1!J302,"]")</f>
        <v xml:space="preserve"> (Рабочий ток) Обогрев: S[]</v>
      </c>
      <c r="K302" t="str">
        <f>CONCATENATE(K$2,": ",K$3,list1!K302,"]")</f>
        <v xml:space="preserve"> (Рабочий ток) Напряжение / Частота источника питания: S[1 / 220 / 50]</v>
      </c>
      <c r="L302" t="str">
        <f>CONCATENATE(L$2,": ",L$3,list1!L302,"]")</f>
        <v xml:space="preserve"> (Рабочий ток) Хладагент: S[R410A]</v>
      </c>
      <c r="M302" t="str">
        <f>CONCATENATE(M$2,": ",M$3,list1!M302,"]")</f>
        <v xml:space="preserve"> (Рабочий ток) Количество хладагента: N[]</v>
      </c>
      <c r="N302" t="str">
        <f>CONCATENATE(N$2,": ",N$3,list1!N302,"]")</f>
        <v xml:space="preserve"> (Рабочий ток) Объем рециркулируемого воздуха внутреннего блока: S[]</v>
      </c>
      <c r="O302" t="str">
        <f>CONCATENATE(O$2,": ",O$3,list1!O302,"]")</f>
        <v xml:space="preserve"> (Внутренний блок) Размеры (Ш x Г x В): S[890 х 290 х 735]</v>
      </c>
      <c r="P302" t="str">
        <f>CONCATENATE(P$2,": ",P$3,list1!P302,"]")</f>
        <v xml:space="preserve"> (Внутренний блок) Упаковка (Ш x Г x В): S[1070 х 800 х 360]</v>
      </c>
      <c r="Q302" t="str">
        <f>CONCATENATE(Q$2,": ",Q$3,list1!Q302,"]")</f>
        <v xml:space="preserve"> (Внутренний блок) Масса (нетто / брутто): S[33 / 38]</v>
      </c>
      <c r="R302" t="str">
        <f>CONCATENATE(R$2,": ",R$3,list1!R302,"]")</f>
        <v xml:space="preserve"> (Внутренний блок) Уровень шума мин. / макс.: S[42/44/46]</v>
      </c>
      <c r="S302" t="str">
        <f>CONCATENATE(S$2,": ",S$3,list1!S302,"]")</f>
        <v xml:space="preserve"> (Наружный блок) Марка компрессора: S[HIGHLY]</v>
      </c>
      <c r="T302" t="str">
        <f>CONCATENATE(T$2,": ",T$3,list1!T302,"]")</f>
        <v xml:space="preserve"> (Наружный блок) Размеры (Ш x Г x В): S[825 х 310 х 655]</v>
      </c>
      <c r="U302" t="str">
        <f>CONCATENATE(U$2,": ",U$3,list1!U302,"]")</f>
        <v xml:space="preserve"> (Наружный блок) Упаковка (Ш x Г x В): S[945 х 435 х 725]</v>
      </c>
      <c r="V302" t="str">
        <f>CONCATENATE(V$2,": ",V$3,list1!V302,"]")</f>
        <v xml:space="preserve"> (Наружный блок) Масса (нетто / брутто): S[53/56]</v>
      </c>
      <c r="W302" t="str">
        <f>CONCATENATE(W$2,": ",W$3,list1!W302,"]")</f>
        <v xml:space="preserve"> (Наружный блок) Максимальный уровень шума: N[]</v>
      </c>
      <c r="X302" t="str">
        <f>CONCATENATE(X$2,": ",X$3,list1!X302,"]")</f>
        <v xml:space="preserve"> (Соединительные трубы) Жидкостная линия : N[9.52]</v>
      </c>
      <c r="Y302" t="str">
        <f>CONCATENATE(Y$2,": ",Y$3,list1!Y302,"]")</f>
        <v xml:space="preserve"> (Соединительные трубы) Газовая линия : N[15.88]</v>
      </c>
      <c r="Z302" t="str">
        <f>CONCATENATE(Z$2,": ",Z$3,list1!Z302,"]")</f>
        <v xml:space="preserve"> (Соединительные трубы) Максимальная длина трубопровода: N[20]</v>
      </c>
      <c r="AA302" t="str">
        <f>CONCATENATE(AA$2,": ",AA$3,list1!AA302,"]")</f>
        <v xml:space="preserve"> (Соединительные трубы) Максимальный перепад высот: S[15]</v>
      </c>
      <c r="AB302" t="str">
        <f>CONCATENATE(AB$2,": ",AB$3,list1!AB302,"]")</f>
        <v xml:space="preserve"> (Допустимая темп. наружного воздуха) Охлаждение: S[от -15 до +49]</v>
      </c>
      <c r="AC302" t="str">
        <f>CONCATENATE(AC$2,": ",AC$3,list1!AC302,"]")</f>
        <v xml:space="preserve"> (Допустимая темп. наружного воздуха) Обогрев: S[от -15 до +24]</v>
      </c>
      <c r="AD302" s="6" t="s">
        <v>5245</v>
      </c>
    </row>
    <row r="303" spans="1:30" x14ac:dyDescent="0.25">
      <c r="A303" t="str">
        <f>CONCATENATE(A$2,": ",A$3,list1!A303,"]")</f>
        <v>Производитель: E[QUATTROCLIMA]</v>
      </c>
      <c r="B303" t="str">
        <f>CONCATENATE(B$2,": ",B$3,list1!B303,"]")</f>
        <v xml:space="preserve"> Тип: S[Канальные]</v>
      </c>
      <c r="C303" t="str">
        <f>CONCATENATE(C$2,": ",C$3,list1!C303,"]")</f>
        <v xml:space="preserve"> (Сплит система) Холодопроизводительность: N[10.6]</v>
      </c>
      <c r="D303" t="str">
        <f>CONCATENATE(D$2,": ",D$3,list1!D303,"]")</f>
        <v xml:space="preserve"> (Сплит система) Площадь помещения: N[106]</v>
      </c>
      <c r="E303" t="str">
        <f>CONCATENATE(E$2,": ",E$3,list1!E303,"]")</f>
        <v xml:space="preserve"> (Сплит система) Инвентор: S[нет]</v>
      </c>
      <c r="F303" t="str">
        <f>CONCATENATE(F$2,": ",F$3,list1!F303,"]")</f>
        <v xml:space="preserve"> (Сплит система) Теплопроизводительность: N[11.7]</v>
      </c>
      <c r="G303" t="str">
        <f>CONCATENATE(G$2,": ",G$3,list1!G303,"]")</f>
        <v xml:space="preserve"> (Потребляемая мощность) Охлаждение: N[3.73]</v>
      </c>
      <c r="H303" t="str">
        <f>CONCATENATE(H$2,": ",H$3,list1!H303,"]")</f>
        <v xml:space="preserve"> (Потребляемая мощность) Обогрев: S[3.5]</v>
      </c>
      <c r="I303" t="str">
        <f>CONCATENATE(I$2,": ",I$3,list1!I303,"]")</f>
        <v xml:space="preserve"> (Рабочий ток) Охлаждение: S[]</v>
      </c>
      <c r="J303" t="str">
        <f>CONCATENATE(J$2,": ",J$3,list1!J303,"]")</f>
        <v xml:space="preserve"> (Рабочий ток) Обогрев: S[]</v>
      </c>
      <c r="K303" t="str">
        <f>CONCATENATE(K$2,": ",K$3,list1!K303,"]")</f>
        <v xml:space="preserve"> (Рабочий ток) Напряжение / Частота источника питания: S[3 / 380 / 50]</v>
      </c>
      <c r="L303" t="str">
        <f>CONCATENATE(L$2,": ",L$3,list1!L303,"]")</f>
        <v xml:space="preserve"> (Рабочий ток) Хладагент: S[R410A]</v>
      </c>
      <c r="M303" t="str">
        <f>CONCATENATE(M$2,": ",M$3,list1!M303,"]")</f>
        <v xml:space="preserve"> (Рабочий ток) Количество хладагента: N[]</v>
      </c>
      <c r="N303" t="str">
        <f>CONCATENATE(N$2,": ",N$3,list1!N303,"]")</f>
        <v xml:space="preserve"> (Рабочий ток) Объем рециркулируемого воздуха внутреннего блока: S[]</v>
      </c>
      <c r="O303" t="str">
        <f>CONCATENATE(O$2,": ",O$3,list1!O303,"]")</f>
        <v xml:space="preserve"> (Внутренний блок) Размеры (Ш x Г x В): S[890 х 290 х 735]</v>
      </c>
      <c r="P303" t="str">
        <f>CONCATENATE(P$2,": ",P$3,list1!P303,"]")</f>
        <v xml:space="preserve"> (Внутренний блок) Упаковка (Ш x Г x В): S[1070 х 800 х 360]</v>
      </c>
      <c r="Q303" t="str">
        <f>CONCATENATE(Q$2,": ",Q$3,list1!Q303,"]")</f>
        <v xml:space="preserve"> (Внутренний блок) Масса (нетто / брутто): S[35 / 39]</v>
      </c>
      <c r="R303" t="str">
        <f>CONCATENATE(R$2,": ",R$3,list1!R303,"]")</f>
        <v xml:space="preserve"> (Внутренний блок) Уровень шума мин. / макс.: S[41/47/50]</v>
      </c>
      <c r="S303" t="str">
        <f>CONCATENATE(S$2,": ",S$3,list1!S303,"]")</f>
        <v xml:space="preserve"> (Наружный блок) Марка компрессора: S[HIGHLY]</v>
      </c>
      <c r="T303" t="str">
        <f>CONCATENATE(T$2,": ",T$3,list1!T303,"]")</f>
        <v xml:space="preserve"> (Наружный блок) Размеры (Ш x Г x В): S[970 х 395 х 805]</v>
      </c>
      <c r="U303" t="str">
        <f>CONCATENATE(U$2,": ",U$3,list1!U303,"]")</f>
        <v xml:space="preserve"> (Наружный блок) Упаковка (Ш x Г x В): S[1105 х 495 х 895]</v>
      </c>
      <c r="V303" t="str">
        <f>CONCATENATE(V$2,": ",V$3,list1!V303,"]")</f>
        <v xml:space="preserve"> (Наружный блок) Масса (нетто / брутто): S[65/75]</v>
      </c>
      <c r="W303" t="str">
        <f>CONCATENATE(W$2,": ",W$3,list1!W303,"]")</f>
        <v xml:space="preserve"> (Наружный блок) Максимальный уровень шума: N[]</v>
      </c>
      <c r="X303" t="str">
        <f>CONCATENATE(X$2,": ",X$3,list1!X303,"]")</f>
        <v xml:space="preserve"> (Соединительные трубы) Жидкостная линия : N[9.52]</v>
      </c>
      <c r="Y303" t="str">
        <f>CONCATENATE(Y$2,": ",Y$3,list1!Y303,"]")</f>
        <v xml:space="preserve"> (Соединительные трубы) Газовая линия : N[15.88]</v>
      </c>
      <c r="Z303" t="str">
        <f>CONCATENATE(Z$2,": ",Z$3,list1!Z303,"]")</f>
        <v xml:space="preserve"> (Соединительные трубы) Максимальная длина трубопровода: N[30]</v>
      </c>
      <c r="AA303" t="str">
        <f>CONCATENATE(AA$2,": ",AA$3,list1!AA303,"]")</f>
        <v xml:space="preserve"> (Соединительные трубы) Максимальный перепад высот: S[20]</v>
      </c>
      <c r="AB303" t="str">
        <f>CONCATENATE(AB$2,": ",AB$3,list1!AB303,"]")</f>
        <v xml:space="preserve"> (Допустимая темп. наружного воздуха) Охлаждение: S[от -15 до +49]</v>
      </c>
      <c r="AC303" t="str">
        <f>CONCATENATE(AC$2,": ",AC$3,list1!AC303,"]")</f>
        <v xml:space="preserve"> (Допустимая темп. наружного воздуха) Обогрев: S[от -15 до +24]</v>
      </c>
      <c r="AD303" s="6" t="s">
        <v>5245</v>
      </c>
    </row>
    <row r="304" spans="1:30" x14ac:dyDescent="0.25">
      <c r="A304" t="str">
        <f>CONCATENATE(A$2,": ",A$3,list1!A304,"]")</f>
        <v>Производитель: E[QUATTROCLIMA]</v>
      </c>
      <c r="B304" t="str">
        <f>CONCATENATE(B$2,": ",B$3,list1!B304,"]")</f>
        <v xml:space="preserve"> Тип: S[Канальные]</v>
      </c>
      <c r="C304" t="str">
        <f>CONCATENATE(C$2,": ",C$3,list1!C304,"]")</f>
        <v xml:space="preserve"> (Сплит система) Холодопроизводительность: N[14.07]</v>
      </c>
      <c r="D304" t="str">
        <f>CONCATENATE(D$2,": ",D$3,list1!D304,"]")</f>
        <v xml:space="preserve"> (Сплит система) Площадь помещения: N[141]</v>
      </c>
      <c r="E304" t="str">
        <f>CONCATENATE(E$2,": ",E$3,list1!E304,"]")</f>
        <v xml:space="preserve"> (Сплит система) Инвентор: S[нет]</v>
      </c>
      <c r="F304" t="str">
        <f>CONCATENATE(F$2,": ",F$3,list1!F304,"]")</f>
        <v xml:space="preserve"> (Сплит система) Теплопроизводительность: N[15.55]</v>
      </c>
      <c r="G304" t="str">
        <f>CONCATENATE(G$2,": ",G$3,list1!G304,"]")</f>
        <v xml:space="preserve"> (Потребляемая мощность) Охлаждение: N[4.85]</v>
      </c>
      <c r="H304" t="str">
        <f>CONCATENATE(H$2,": ",H$3,list1!H304,"]")</f>
        <v xml:space="preserve"> (Потребляемая мощность) Обогрев: S[4.8]</v>
      </c>
      <c r="I304" t="str">
        <f>CONCATENATE(I$2,": ",I$3,list1!I304,"]")</f>
        <v xml:space="preserve"> (Рабочий ток) Охлаждение: S[]</v>
      </c>
      <c r="J304" t="str">
        <f>CONCATENATE(J$2,": ",J$3,list1!J304,"]")</f>
        <v xml:space="preserve"> (Рабочий ток) Обогрев: S[]</v>
      </c>
      <c r="K304" t="str">
        <f>CONCATENATE(K$2,": ",K$3,list1!K304,"]")</f>
        <v xml:space="preserve"> (Рабочий ток) Напряжение / Частота источника питания: S[3 / 380 / 50]</v>
      </c>
      <c r="L304" t="str">
        <f>CONCATENATE(L$2,": ",L$3,list1!L304,"]")</f>
        <v xml:space="preserve"> (Рабочий ток) Хладагент: S[R410A]</v>
      </c>
      <c r="M304" t="str">
        <f>CONCATENATE(M$2,": ",M$3,list1!M304,"]")</f>
        <v xml:space="preserve"> (Рабочий ток) Количество хладагента: N[]</v>
      </c>
      <c r="N304" t="str">
        <f>CONCATENATE(N$2,": ",N$3,list1!N304,"]")</f>
        <v xml:space="preserve"> (Рабочий ток) Объем рециркулируемого воздуха внутреннего блока: S[]</v>
      </c>
      <c r="O304" t="str">
        <f>CONCATENATE(O$2,": ",O$3,list1!O304,"]")</f>
        <v xml:space="preserve"> (Внутренний блок) Размеры (Ш x Г x В): S[1250 х 290 х 735]</v>
      </c>
      <c r="P304" t="str">
        <f>CONCATENATE(P$2,": ",P$3,list1!P304,"]")</f>
        <v xml:space="preserve"> (Внутренний блок) Упаковка (Ш x Г x В): S[1430 х 800 х 360]</v>
      </c>
      <c r="Q304" t="str">
        <f>CONCATENATE(Q$2,": ",Q$3,list1!Q304,"]")</f>
        <v xml:space="preserve"> (Внутренний блок) Масса (нетто / брутто): S[45 / 51]</v>
      </c>
      <c r="R304" t="str">
        <f>CONCATENATE(R$2,": ",R$3,list1!R304,"]")</f>
        <v xml:space="preserve"> (Внутренний блок) Уровень шума мин. / макс.: S[44/46/50]</v>
      </c>
      <c r="S304" t="str">
        <f>CONCATENATE(S$2,": ",S$3,list1!S304,"]")</f>
        <v xml:space="preserve"> (Наружный блок) Марка компрессора: S[HIGHLY]</v>
      </c>
      <c r="T304" t="str">
        <f>CONCATENATE(T$2,": ",T$3,list1!T304,"]")</f>
        <v xml:space="preserve"> (Наружный блок) Размеры (Ш x Г x В): S[940 х 370 х 1325]</v>
      </c>
      <c r="U304" t="str">
        <f>CONCATENATE(U$2,": ",U$3,list1!U304,"]")</f>
        <v xml:space="preserve"> (Наружный блок) Упаковка (Ш x Г x В): S[1080 х 430 х 1440]</v>
      </c>
      <c r="V304" t="str">
        <f>CONCATENATE(V$2,": ",V$3,list1!V304,"]")</f>
        <v xml:space="preserve"> (Наружный блок) Масса (нетто / брутто): S[95/105]</v>
      </c>
      <c r="W304" t="str">
        <f>CONCATENATE(W$2,": ",W$3,list1!W304,"]")</f>
        <v xml:space="preserve"> (Наружный блок) Максимальный уровень шума: N[]</v>
      </c>
      <c r="X304" t="str">
        <f>CONCATENATE(X$2,": ",X$3,list1!X304,"]")</f>
        <v xml:space="preserve"> (Соединительные трубы) Жидкостная линия : N[9.52]</v>
      </c>
      <c r="Y304" t="str">
        <f>CONCATENATE(Y$2,": ",Y$3,list1!Y304,"]")</f>
        <v xml:space="preserve"> (Соединительные трубы) Газовая линия : N[19.05]</v>
      </c>
      <c r="Z304" t="str">
        <f>CONCATENATE(Z$2,": ",Z$3,list1!Z304,"]")</f>
        <v xml:space="preserve"> (Соединительные трубы) Максимальная длина трубопровода: N[50]</v>
      </c>
      <c r="AA304" t="str">
        <f>CONCATENATE(AA$2,": ",AA$3,list1!AA304,"]")</f>
        <v xml:space="preserve"> (Соединительные трубы) Максимальный перепад высот: S[30]</v>
      </c>
      <c r="AB304" t="str">
        <f>CONCATENATE(AB$2,": ",AB$3,list1!AB304,"]")</f>
        <v xml:space="preserve"> (Допустимая темп. наружного воздуха) Охлаждение: S[от -15 до +49]</v>
      </c>
      <c r="AC304" t="str">
        <f>CONCATENATE(AC$2,": ",AC$3,list1!AC304,"]")</f>
        <v xml:space="preserve"> (Допустимая темп. наружного воздуха) Обогрев: S[от -15 до +24]</v>
      </c>
      <c r="AD304" s="6" t="s">
        <v>5245</v>
      </c>
    </row>
    <row r="305" spans="1:30" x14ac:dyDescent="0.25">
      <c r="A305" t="str">
        <f>CONCATENATE(A$2,": ",A$3,list1!A305,"]")</f>
        <v>Производитель: E[QUATTROCLIMA]</v>
      </c>
      <c r="B305" t="str">
        <f>CONCATENATE(B$2,": ",B$3,list1!B305,"]")</f>
        <v xml:space="preserve"> Тип: S[Канальные]</v>
      </c>
      <c r="C305" t="str">
        <f>CONCATENATE(C$2,": ",C$3,list1!C305,"]")</f>
        <v xml:space="preserve"> (Сплит система) Холодопроизводительность: N[17.6]</v>
      </c>
      <c r="D305" t="str">
        <f>CONCATENATE(D$2,": ",D$3,list1!D305,"]")</f>
        <v xml:space="preserve"> (Сплит система) Площадь помещения: N[176]</v>
      </c>
      <c r="E305" t="str">
        <f>CONCATENATE(E$2,": ",E$3,list1!E305,"]")</f>
        <v xml:space="preserve"> (Сплит система) Инвентор: S[нет]</v>
      </c>
      <c r="F305" t="str">
        <f>CONCATENATE(F$2,": ",F$3,list1!F305,"]")</f>
        <v xml:space="preserve"> (Сплит система) Теплопроизводительность: N[18.5]</v>
      </c>
      <c r="G305" t="str">
        <f>CONCATENATE(G$2,": ",G$3,list1!G305,"]")</f>
        <v xml:space="preserve"> (Потребляемая мощность) Охлаждение: N[6.77]</v>
      </c>
      <c r="H305" t="str">
        <f>CONCATENATE(H$2,": ",H$3,list1!H305,"]")</f>
        <v xml:space="preserve"> (Потребляемая мощность) Обогрев: S[5.78]</v>
      </c>
      <c r="I305" t="str">
        <f>CONCATENATE(I$2,": ",I$3,list1!I305,"]")</f>
        <v xml:space="preserve"> (Рабочий ток) Охлаждение: S[]</v>
      </c>
      <c r="J305" t="str">
        <f>CONCATENATE(J$2,": ",J$3,list1!J305,"]")</f>
        <v xml:space="preserve"> (Рабочий ток) Обогрев: S[]</v>
      </c>
      <c r="K305" t="str">
        <f>CONCATENATE(K$2,": ",K$3,list1!K305,"]")</f>
        <v xml:space="preserve"> (Рабочий ток) Напряжение / Частота источника питания: S[3 / 380 / 50]</v>
      </c>
      <c r="L305" t="str">
        <f>CONCATENATE(L$2,": ",L$3,list1!L305,"]")</f>
        <v xml:space="preserve"> (Рабочий ток) Хладагент: S[R410A]</v>
      </c>
      <c r="M305" t="str">
        <f>CONCATENATE(M$2,": ",M$3,list1!M305,"]")</f>
        <v xml:space="preserve"> (Рабочий ток) Количество хладагента: N[]</v>
      </c>
      <c r="N305" t="str">
        <f>CONCATENATE(N$2,": ",N$3,list1!N305,"]")</f>
        <v xml:space="preserve"> (Рабочий ток) Объем рециркулируемого воздуха внутреннего блока: S[]</v>
      </c>
      <c r="O305" t="str">
        <f>CONCATENATE(O$2,": ",O$3,list1!O305,"]")</f>
        <v xml:space="preserve"> (Внутренний блок) Размеры (Ш x Г x В): S[1250 х 290 х 735]</v>
      </c>
      <c r="P305" t="str">
        <f>CONCATENATE(P$2,": ",P$3,list1!P305,"]")</f>
        <v xml:space="preserve"> (Внутренний блок) Упаковка (Ш x Г x В): S[1430 х 800 х 360]</v>
      </c>
      <c r="Q305" t="str">
        <f>CONCATENATE(Q$2,": ",Q$3,list1!Q305,"]")</f>
        <v xml:space="preserve"> (Внутренний блок) Масса (нетто / брутто): S[50 / 56]</v>
      </c>
      <c r="R305" t="str">
        <f>CONCATENATE(R$2,": ",R$3,list1!R305,"]")</f>
        <v xml:space="preserve"> (Внутренний блок) Уровень шума мин. / макс.: S[45/47/50]</v>
      </c>
      <c r="S305" t="str">
        <f>CONCATENATE(S$2,": ",S$3,list1!S305,"]")</f>
        <v xml:space="preserve"> (Наружный блок) Марка компрессора: S[HIGHLY]</v>
      </c>
      <c r="T305" t="str">
        <f>CONCATENATE(T$2,": ",T$3,list1!T305,"]")</f>
        <v xml:space="preserve"> (Наружный блок) Размеры (Ш x Г x В): S[940 х 370 х 1325]</v>
      </c>
      <c r="U305" t="str">
        <f>CONCATENATE(U$2,": ",U$3,list1!U305,"]")</f>
        <v xml:space="preserve"> (Наружный блок) Упаковка (Ш x Г x В): S[1080 х 430 х 1440]</v>
      </c>
      <c r="V305" t="str">
        <f>CONCATENATE(V$2,": ",V$3,list1!V305,"]")</f>
        <v xml:space="preserve"> (Наружный блок) Масса (нетто / брутто): S[99/109]</v>
      </c>
      <c r="W305" t="str">
        <f>CONCATENATE(W$2,": ",W$3,list1!W305,"]")</f>
        <v xml:space="preserve"> (Наружный блок) Максимальный уровень шума: N[]</v>
      </c>
      <c r="X305" t="str">
        <f>CONCATENATE(X$2,": ",X$3,list1!X305,"]")</f>
        <v xml:space="preserve"> (Соединительные трубы) Жидкостная линия : N[9.52]</v>
      </c>
      <c r="Y305" t="str">
        <f>CONCATENATE(Y$2,": ",Y$3,list1!Y305,"]")</f>
        <v xml:space="preserve"> (Соединительные трубы) Газовая линия : N[19.05]</v>
      </c>
      <c r="Z305" t="str">
        <f>CONCATENATE(Z$2,": ",Z$3,list1!Z305,"]")</f>
        <v xml:space="preserve"> (Соединительные трубы) Максимальная длина трубопровода: N[50]</v>
      </c>
      <c r="AA305" t="str">
        <f>CONCATENATE(AA$2,": ",AA$3,list1!AA305,"]")</f>
        <v xml:space="preserve"> (Соединительные трубы) Максимальный перепад высот: S[30]</v>
      </c>
      <c r="AB305" t="str">
        <f>CONCATENATE(AB$2,": ",AB$3,list1!AB305,"]")</f>
        <v xml:space="preserve"> (Допустимая темп. наружного воздуха) Охлаждение: S[от -15 до +49]</v>
      </c>
      <c r="AC305" t="str">
        <f>CONCATENATE(AC$2,": ",AC$3,list1!AC305,"]")</f>
        <v xml:space="preserve"> (Допустимая темп. наружного воздуха) Обогрев: S[от -15 до +24]</v>
      </c>
      <c r="AD305" s="6" t="s">
        <v>5245</v>
      </c>
    </row>
    <row r="306" spans="1:30" x14ac:dyDescent="0.25">
      <c r="A306" t="str">
        <f>CONCATENATE(A$2,": ",A$3,list1!A306,"]")</f>
        <v>Производитель: E[QUATTROCLIMA]</v>
      </c>
      <c r="B306" t="str">
        <f>CONCATENATE(B$2,": ",B$3,list1!B306,"]")</f>
        <v xml:space="preserve"> Тип: S[Канальные]</v>
      </c>
      <c r="C306" t="str">
        <f>CONCATENATE(C$2,": ",C$3,list1!C306,"]")</f>
        <v xml:space="preserve"> (Сплит система) Холодопроизводительность: N[5.3]</v>
      </c>
      <c r="D306" t="str">
        <f>CONCATENATE(D$2,": ",D$3,list1!D306,"]")</f>
        <v xml:space="preserve"> (Сплит система) Площадь помещения: N[53]</v>
      </c>
      <c r="E306" t="str">
        <f>CONCATENATE(E$2,": ",E$3,list1!E306,"]")</f>
        <v xml:space="preserve"> (Сплит система) Инвентор: S[нет]</v>
      </c>
      <c r="F306" t="str">
        <f>CONCATENATE(F$2,": ",F$3,list1!F306,"]")</f>
        <v xml:space="preserve"> (Сплит система) Теплопроизводительность: N[5.9]</v>
      </c>
      <c r="G306" t="str">
        <f>CONCATENATE(G$2,": ",G$3,list1!G306,"]")</f>
        <v xml:space="preserve"> (Потребляемая мощность) Охлаждение: N[1.761]</v>
      </c>
      <c r="H306" t="str">
        <f>CONCATENATE(H$2,": ",H$3,list1!H306,"]")</f>
        <v xml:space="preserve"> (Потребляемая мощность) Обогрев: S[1.513]</v>
      </c>
      <c r="I306" t="str">
        <f>CONCATENATE(I$2,": ",I$3,list1!I306,"]")</f>
        <v xml:space="preserve"> (Рабочий ток) Охлаждение: S[]</v>
      </c>
      <c r="J306" t="str">
        <f>CONCATENATE(J$2,": ",J$3,list1!J306,"]")</f>
        <v xml:space="preserve"> (Рабочий ток) Обогрев: S[]</v>
      </c>
      <c r="K306" t="str">
        <f>CONCATENATE(K$2,": ",K$3,list1!K306,"]")</f>
        <v xml:space="preserve"> (Рабочий ток) Напряжение / Частота источника питания: S[1 / 220 / 50]</v>
      </c>
      <c r="L306" t="str">
        <f>CONCATENATE(L$2,": ",L$3,list1!L306,"]")</f>
        <v xml:space="preserve"> (Рабочий ток) Хладагент: S[R410A]</v>
      </c>
      <c r="M306" t="str">
        <f>CONCATENATE(M$2,": ",M$3,list1!M306,"]")</f>
        <v xml:space="preserve"> (Рабочий ток) Количество хладагента: N[]</v>
      </c>
      <c r="N306" t="str">
        <f>CONCATENATE(N$2,": ",N$3,list1!N306,"]")</f>
        <v xml:space="preserve"> (Рабочий ток) Объем рециркулируемого воздуха внутреннего блока: S[]</v>
      </c>
      <c r="O306" t="str">
        <f>CONCATENATE(O$2,": ",O$3,list1!O306,"]")</f>
        <v xml:space="preserve"> (Внутренний блок) Размеры (Ш x Г x В): S[920 х 210 х 605]</v>
      </c>
      <c r="P306" t="str">
        <f>CONCATENATE(P$2,": ",P$3,list1!P306,"]")</f>
        <v xml:space="preserve"> (Внутренний блок) Упаковка (Ш x Г x В): S[1115 х 690 х 280]</v>
      </c>
      <c r="Q306" t="str">
        <f>CONCATENATE(Q$2,": ",Q$3,list1!Q306,"]")</f>
        <v xml:space="preserve"> (Внутренний блок) Масса (нетто / брутто): S[23 / 28]</v>
      </c>
      <c r="R306" t="str">
        <f>CONCATENATE(R$2,": ",R$3,list1!R306,"]")</f>
        <v xml:space="preserve"> (Внутренний блок) Уровень шума мин. / макс.: S[32/35/43]</v>
      </c>
      <c r="S306" t="str">
        <f>CONCATENATE(S$2,": ",S$3,list1!S306,"]")</f>
        <v xml:space="preserve"> (Наружный блок) Марка компрессора: S[GMCC]</v>
      </c>
      <c r="T306" t="str">
        <f>CONCATENATE(T$2,": ",T$3,list1!T306,"]")</f>
        <v xml:space="preserve"> (Наружный блок) Размеры (Ш x Г x В): S[780 х 290 х 605]</v>
      </c>
      <c r="U306" t="str">
        <f>CONCATENATE(U$2,": ",U$3,list1!U306,"]")</f>
        <v xml:space="preserve"> (Наружный блок) Упаковка (Ш x Г x В): S[883 х 412 х 653]</v>
      </c>
      <c r="V306" t="str">
        <f>CONCATENATE(V$2,": ",V$3,list1!V306,"]")</f>
        <v xml:space="preserve"> (Наружный блок) Масса (нетто / брутто): S[38/42]</v>
      </c>
      <c r="W306" t="str">
        <f>CONCATENATE(W$2,": ",W$3,list1!W306,"]")</f>
        <v xml:space="preserve"> (Наружный блок) Максимальный уровень шума: N[]</v>
      </c>
      <c r="X306" t="str">
        <f>CONCATENATE(X$2,": ",X$3,list1!X306,"]")</f>
        <v xml:space="preserve"> (Соединительные трубы) Жидкостная линия : N[6.35]</v>
      </c>
      <c r="Y306" t="str">
        <f>CONCATENATE(Y$2,": ",Y$3,list1!Y306,"]")</f>
        <v xml:space="preserve"> (Соединительные трубы) Газовая линия : N[12.7]</v>
      </c>
      <c r="Z306" t="str">
        <f>CONCATENATE(Z$2,": ",Z$3,list1!Z306,"]")</f>
        <v xml:space="preserve"> (Соединительные трубы) Максимальная длина трубопровода: N[25]</v>
      </c>
      <c r="AA306" t="str">
        <f>CONCATENATE(AA$2,": ",AA$3,list1!AA306,"]")</f>
        <v xml:space="preserve"> (Соединительные трубы) Максимальный перепад высот: S[15]</v>
      </c>
      <c r="AB306" t="str">
        <f>CONCATENATE(AB$2,": ",AB$3,list1!AB306,"]")</f>
        <v xml:space="preserve"> (Допустимая темп. наружного воздуха) Охлаждение: S[от 17 до +43]</v>
      </c>
      <c r="AC306" t="str">
        <f>CONCATENATE(AC$2,": ",AC$3,list1!AC306,"]")</f>
        <v xml:space="preserve"> (Допустимая темп. наружного воздуха) Обогрев: S[от -7 до +24]</v>
      </c>
      <c r="AD306" s="6" t="s">
        <v>5245</v>
      </c>
    </row>
    <row r="307" spans="1:30" x14ac:dyDescent="0.25">
      <c r="A307" t="str">
        <f>CONCATENATE(A$2,": ",A$3,list1!A307,"]")</f>
        <v>Производитель: E[QUATTROCLIMA]</v>
      </c>
      <c r="B307" t="str">
        <f>CONCATENATE(B$2,": ",B$3,list1!B307,"]")</f>
        <v xml:space="preserve"> Тип: S[Канальные]</v>
      </c>
      <c r="C307" t="str">
        <f>CONCATENATE(C$2,": ",C$3,list1!C307,"]")</f>
        <v xml:space="preserve"> (Сплит система) Холодопроизводительность: N[7.2]</v>
      </c>
      <c r="D307" t="str">
        <f>CONCATENATE(D$2,": ",D$3,list1!D307,"]")</f>
        <v xml:space="preserve"> (Сплит система) Площадь помещения: N[72]</v>
      </c>
      <c r="E307" t="str">
        <f>CONCATENATE(E$2,": ",E$3,list1!E307,"]")</f>
        <v xml:space="preserve"> (Сплит система) Инвентор: S[нет]</v>
      </c>
      <c r="F307" t="str">
        <f>CONCATENATE(F$2,": ",F$3,list1!F307,"]")</f>
        <v xml:space="preserve"> (Сплит система) Теплопроизводительность: N[7.9]</v>
      </c>
      <c r="G307" t="str">
        <f>CONCATENATE(G$2,": ",G$3,list1!G307,"]")</f>
        <v xml:space="preserve"> (Потребляемая мощность) Охлаждение: N[2.351]</v>
      </c>
      <c r="H307" t="str">
        <f>CONCATENATE(H$2,": ",H$3,list1!H307,"]")</f>
        <v xml:space="preserve"> (Потребляемая мощность) Обогрев: S[2.388]</v>
      </c>
      <c r="I307" t="str">
        <f>CONCATENATE(I$2,": ",I$3,list1!I307,"]")</f>
        <v xml:space="preserve"> (Рабочий ток) Охлаждение: S[]</v>
      </c>
      <c r="J307" t="str">
        <f>CONCATENATE(J$2,": ",J$3,list1!J307,"]")</f>
        <v xml:space="preserve"> (Рабочий ток) Обогрев: S[]</v>
      </c>
      <c r="K307" t="str">
        <f>CONCATENATE(K$2,": ",K$3,list1!K307,"]")</f>
        <v xml:space="preserve"> (Рабочий ток) Напряжение / Частота источника питания: S[1 / 220 / 50]</v>
      </c>
      <c r="L307" t="str">
        <f>CONCATENATE(L$2,": ",L$3,list1!L307,"]")</f>
        <v xml:space="preserve"> (Рабочий ток) Хладагент: S[R410A]</v>
      </c>
      <c r="M307" t="str">
        <f>CONCATENATE(M$2,": ",M$3,list1!M307,"]")</f>
        <v xml:space="preserve"> (Рабочий ток) Количество хладагента: N[]</v>
      </c>
      <c r="N307" t="str">
        <f>CONCATENATE(N$2,": ",N$3,list1!N307,"]")</f>
        <v xml:space="preserve"> (Рабочий ток) Объем рециркулируемого воздуха внутреннего блока: S[]</v>
      </c>
      <c r="O307" t="str">
        <f>CONCATENATE(O$2,": ",O$3,list1!O307,"]")</f>
        <v xml:space="preserve"> (Внутренний блок) Размеры (Ш x Г x В): S[920 х 270 х 605]</v>
      </c>
      <c r="P307" t="str">
        <f>CONCATENATE(P$2,": ",P$3,list1!P307,"]")</f>
        <v xml:space="preserve"> (Внутренний блок) Упаковка (Ш x Г x В): S[1115 х 690 х 340]</v>
      </c>
      <c r="Q307" t="str">
        <f>CONCATENATE(Q$2,": ",Q$3,list1!Q307,"]")</f>
        <v xml:space="preserve"> (Внутренний блок) Масса (нетто / брутто): S[28 / 32]</v>
      </c>
      <c r="R307" t="str">
        <f>CONCATENATE(R$2,": ",R$3,list1!R307,"]")</f>
        <v xml:space="preserve"> (Внутренний блок) Уровень шума мин. / макс.: S[41/43/46]</v>
      </c>
      <c r="S307" t="str">
        <f>CONCATENATE(S$2,": ",S$3,list1!S307,"]")</f>
        <v xml:space="preserve"> (Наружный блок) Марка компрессора: S[GMCC]</v>
      </c>
      <c r="T307" t="str">
        <f>CONCATENATE(T$2,": ",T$3,list1!T307,"]")</f>
        <v xml:space="preserve"> (Наружный блок) Размеры (Ш x Г x В): S[900 х 310 х 650]</v>
      </c>
      <c r="U307" t="str">
        <f>CONCATENATE(U$2,": ",U$3,list1!U307,"]")</f>
        <v xml:space="preserve"> (Наружный блок) Упаковка (Ш x Г x В): S[1015 х 425 х 720]</v>
      </c>
      <c r="V307" t="str">
        <f>CONCATENATE(V$2,": ",V$3,list1!V307,"]")</f>
        <v xml:space="preserve"> (Наружный блок) Масса (нетто / брутто): S[51/54]</v>
      </c>
      <c r="W307" t="str">
        <f>CONCATENATE(W$2,": ",W$3,list1!W307,"]")</f>
        <v xml:space="preserve"> (Наружный блок) Максимальный уровень шума: N[]</v>
      </c>
      <c r="X307" t="str">
        <f>CONCATENATE(X$2,": ",X$3,list1!X307,"]")</f>
        <v xml:space="preserve"> (Соединительные трубы) Жидкостная линия : N[9.52]</v>
      </c>
      <c r="Y307" t="str">
        <f>CONCATENATE(Y$2,": ",Y$3,list1!Y307,"]")</f>
        <v xml:space="preserve"> (Соединительные трубы) Газовая линия : N[15.88]</v>
      </c>
      <c r="Z307" t="str">
        <f>CONCATENATE(Z$2,": ",Z$3,list1!Z307,"]")</f>
        <v xml:space="preserve"> (Соединительные трубы) Максимальная длина трубопровода: N[30]</v>
      </c>
      <c r="AA307" t="str">
        <f>CONCATENATE(AA$2,": ",AA$3,list1!AA307,"]")</f>
        <v xml:space="preserve"> (Соединительные трубы) Максимальный перепад высот: S[15]</v>
      </c>
      <c r="AB307" t="str">
        <f>CONCATENATE(AB$2,": ",AB$3,list1!AB307,"]")</f>
        <v xml:space="preserve"> (Допустимая темп. наружного воздуха) Охлаждение: S[от 17 до +43]</v>
      </c>
      <c r="AC307" t="str">
        <f>CONCATENATE(AC$2,": ",AC$3,list1!AC307,"]")</f>
        <v xml:space="preserve"> (Допустимая темп. наружного воздуха) Обогрев: S[от -7 до +24]</v>
      </c>
      <c r="AD307" s="6" t="s">
        <v>5245</v>
      </c>
    </row>
    <row r="308" spans="1:30" x14ac:dyDescent="0.25">
      <c r="A308" t="str">
        <f>CONCATENATE(A$2,": ",A$3,list1!A308,"]")</f>
        <v>Производитель: E[QUATTROCLIMA]</v>
      </c>
      <c r="B308" t="str">
        <f>CONCATENATE(B$2,": ",B$3,list1!B308,"]")</f>
        <v xml:space="preserve"> Тип: S[Канальные]</v>
      </c>
      <c r="C308" t="str">
        <f>CONCATENATE(C$2,": ",C$3,list1!C308,"]")</f>
        <v xml:space="preserve"> (Сплит система) Холодопроизводительность: N[10.55]</v>
      </c>
      <c r="D308" t="str">
        <f>CONCATENATE(D$2,": ",D$3,list1!D308,"]")</f>
        <v xml:space="preserve"> (Сплит система) Площадь помещения: N[106]</v>
      </c>
      <c r="E308" t="str">
        <f>CONCATENATE(E$2,": ",E$3,list1!E308,"]")</f>
        <v xml:space="preserve"> (Сплит система) Инвентор: S[нет]</v>
      </c>
      <c r="F308" t="str">
        <f>CONCATENATE(F$2,": ",F$3,list1!F308,"]")</f>
        <v xml:space="preserve"> (Сплит система) Теплопроизводительность: N[12]</v>
      </c>
      <c r="G308" t="str">
        <f>CONCATENATE(G$2,": ",G$3,list1!G308,"]")</f>
        <v xml:space="preserve"> (Потребляемая мощность) Охлаждение: N[3.584]</v>
      </c>
      <c r="H308" t="str">
        <f>CONCATENATE(H$2,": ",H$3,list1!H308,"]")</f>
        <v xml:space="preserve"> (Потребляемая мощность) Обогрев: S[3.468]</v>
      </c>
      <c r="I308" t="str">
        <f>CONCATENATE(I$2,": ",I$3,list1!I308,"]")</f>
        <v xml:space="preserve"> (Рабочий ток) Охлаждение: S[]</v>
      </c>
      <c r="J308" t="str">
        <f>CONCATENATE(J$2,": ",J$3,list1!J308,"]")</f>
        <v xml:space="preserve"> (Рабочий ток) Обогрев: S[]</v>
      </c>
      <c r="K308" t="str">
        <f>CONCATENATE(K$2,": ",K$3,list1!K308,"]")</f>
        <v xml:space="preserve"> (Рабочий ток) Напряжение / Частота источника питания: S[3 / 380 / 50]</v>
      </c>
      <c r="L308" t="str">
        <f>CONCATENATE(L$2,": ",L$3,list1!L308,"]")</f>
        <v xml:space="preserve"> (Рабочий ток) Хладагент: S[R410A]</v>
      </c>
      <c r="M308" t="str">
        <f>CONCATENATE(M$2,": ",M$3,list1!M308,"]")</f>
        <v xml:space="preserve"> (Рабочий ток) Количество хладагента: N[]</v>
      </c>
      <c r="N308" t="str">
        <f>CONCATENATE(N$2,": ",N$3,list1!N308,"]")</f>
        <v xml:space="preserve"> (Рабочий ток) Объем рециркулируемого воздуха внутреннего блока: S[]</v>
      </c>
      <c r="O308" t="str">
        <f>CONCATENATE(O$2,": ",O$3,list1!O308,"]")</f>
        <v xml:space="preserve"> (Внутренний блок) Размеры (Ш x Г x В): S[1140 х 270 х 745]</v>
      </c>
      <c r="P308" t="str">
        <f>CONCATENATE(P$2,": ",P$3,list1!P308,"]")</f>
        <v xml:space="preserve"> (Внутренний блок) Упаковка (Ш x Г x В): S[1345 х 830 х 345]</v>
      </c>
      <c r="Q308" t="str">
        <f>CONCATENATE(Q$2,": ",Q$3,list1!Q308,"]")</f>
        <v xml:space="preserve"> (Внутренний блок) Масса (нетто / брутто): S[36 / 43]</v>
      </c>
      <c r="R308" t="str">
        <f>CONCATENATE(R$2,": ",R$3,list1!R308,"]")</f>
        <v xml:space="preserve"> (Внутренний блок) Уровень шума мин. / макс.: S[42/44/46]</v>
      </c>
      <c r="S308" t="str">
        <f>CONCATENATE(S$2,": ",S$3,list1!S308,"]")</f>
        <v xml:space="preserve"> (Наружный блок) Марка компрессора: S[HIGHLY]</v>
      </c>
      <c r="T308" t="str">
        <f>CONCATENATE(T$2,": ",T$3,list1!T308,"]")</f>
        <v xml:space="preserve"> (Наружный блок) Размеры (Ш x Г x В): S[900 х 360 х 805]</v>
      </c>
      <c r="U308" t="str">
        <f>CONCATENATE(U$2,": ",U$3,list1!U308,"]")</f>
        <v xml:space="preserve"> (Наружный блок) Упаковка (Ш x Г x В): S[1020 х 475 х 860]</v>
      </c>
      <c r="V308" t="str">
        <f>CONCATENATE(V$2,": ",V$3,list1!V308,"]")</f>
        <v xml:space="preserve"> (Наружный блок) Масса (нетто / брутто): S[64/69]</v>
      </c>
      <c r="W308" t="str">
        <f>CONCATENATE(W$2,": ",W$3,list1!W308,"]")</f>
        <v xml:space="preserve"> (Наружный блок) Максимальный уровень шума: N[]</v>
      </c>
      <c r="X308" t="str">
        <f>CONCATENATE(X$2,": ",X$3,list1!X308,"]")</f>
        <v xml:space="preserve"> (Соединительные трубы) Жидкостная линия : N[9.52]</v>
      </c>
      <c r="Y308" t="str">
        <f>CONCATENATE(Y$2,": ",Y$3,list1!Y308,"]")</f>
        <v xml:space="preserve"> (Соединительные трубы) Газовая линия : N[19.05]</v>
      </c>
      <c r="Z308" t="str">
        <f>CONCATENATE(Z$2,": ",Z$3,list1!Z308,"]")</f>
        <v xml:space="preserve"> (Соединительные трубы) Максимальная длина трубопровода: N[30]</v>
      </c>
      <c r="AA308" t="str">
        <f>CONCATENATE(AA$2,": ",AA$3,list1!AA308,"]")</f>
        <v xml:space="preserve"> (Соединительные трубы) Максимальный перепад высот: S[20]</v>
      </c>
      <c r="AB308" t="str">
        <f>CONCATENATE(AB$2,": ",AB$3,list1!AB308,"]")</f>
        <v xml:space="preserve"> (Допустимая темп. наружного воздуха) Охлаждение: S[от 17 до +43]</v>
      </c>
      <c r="AC308" t="str">
        <f>CONCATENATE(AC$2,": ",AC$3,list1!AC308,"]")</f>
        <v xml:space="preserve"> (Допустимая темп. наружного воздуха) Обогрев: S[от -7 до +24]</v>
      </c>
      <c r="AD308" s="6" t="s">
        <v>5245</v>
      </c>
    </row>
    <row r="309" spans="1:30" x14ac:dyDescent="0.25">
      <c r="A309" t="str">
        <f>CONCATENATE(A$2,": ",A$3,list1!A309,"]")</f>
        <v>Производитель: E[QUATTROCLIMA]</v>
      </c>
      <c r="B309" t="str">
        <f>CONCATENATE(B$2,": ",B$3,list1!B309,"]")</f>
        <v xml:space="preserve"> Тип: S[Канальные]</v>
      </c>
      <c r="C309" t="str">
        <f>CONCATENATE(C$2,": ",C$3,list1!C309,"]")</f>
        <v xml:space="preserve"> (Сплит система) Холодопроизводительность: N[14]</v>
      </c>
      <c r="D309" t="str">
        <f>CONCATENATE(D$2,": ",D$3,list1!D309,"]")</f>
        <v xml:space="preserve"> (Сплит система) Площадь помещения: N[140]</v>
      </c>
      <c r="E309" t="str">
        <f>CONCATENATE(E$2,": ",E$3,list1!E309,"]")</f>
        <v xml:space="preserve"> (Сплит система) Инвентор: S[нет]</v>
      </c>
      <c r="F309" t="str">
        <f>CONCATENATE(F$2,": ",F$3,list1!F309,"]")</f>
        <v xml:space="preserve"> (Сплит система) Теплопроизводительность: N[14.65]</v>
      </c>
      <c r="G309" t="str">
        <f>CONCATENATE(G$2,": ",G$3,list1!G309,"]")</f>
        <v xml:space="preserve"> (Потребляемая мощность) Охлаждение: N[4.56]</v>
      </c>
      <c r="H309" t="str">
        <f>CONCATENATE(H$2,": ",H$3,list1!H309,"]")</f>
        <v xml:space="preserve"> (Потребляемая мощность) Обогрев: S[4.446]</v>
      </c>
      <c r="I309" t="str">
        <f>CONCATENATE(I$2,": ",I$3,list1!I309,"]")</f>
        <v xml:space="preserve"> (Рабочий ток) Охлаждение: S[]</v>
      </c>
      <c r="J309" t="str">
        <f>CONCATENATE(J$2,": ",J$3,list1!J309,"]")</f>
        <v xml:space="preserve"> (Рабочий ток) Обогрев: S[]</v>
      </c>
      <c r="K309" t="str">
        <f>CONCATENATE(K$2,": ",K$3,list1!K309,"]")</f>
        <v xml:space="preserve"> (Рабочий ток) Напряжение / Частота источника питания: S[3 / 380 / 50]</v>
      </c>
      <c r="L309" t="str">
        <f>CONCATENATE(L$2,": ",L$3,list1!L309,"]")</f>
        <v xml:space="preserve"> (Рабочий ток) Хладагент: S[R410A]</v>
      </c>
      <c r="M309" t="str">
        <f>CONCATENATE(M$2,": ",M$3,list1!M309,"]")</f>
        <v xml:space="preserve"> (Рабочий ток) Количество хладагента: N[]</v>
      </c>
      <c r="N309" t="str">
        <f>CONCATENATE(N$2,": ",N$3,list1!N309,"]")</f>
        <v xml:space="preserve"> (Рабочий ток) Объем рециркулируемого воздуха внутреннего блока: S[]</v>
      </c>
      <c r="O309" t="str">
        <f>CONCATENATE(O$2,": ",O$3,list1!O309,"]")</f>
        <v xml:space="preserve"> (Внутренний блок) Размеры (Ш x Г x В): S[1200 х 300 х 835]</v>
      </c>
      <c r="P309" t="str">
        <f>CONCATENATE(P$2,": ",P$3,list1!P309,"]")</f>
        <v xml:space="preserve"> (Внутренний блок) Упаковка (Ш x Г x В): S[1405 х 925 х 375]</v>
      </c>
      <c r="Q309" t="str">
        <f>CONCATENATE(Q$2,": ",Q$3,list1!Q309,"]")</f>
        <v xml:space="preserve"> (Внутренний блок) Масса (нетто / брутто): S[45 / 52]</v>
      </c>
      <c r="R309" t="str">
        <f>CONCATENATE(R$2,": ",R$3,list1!R309,"]")</f>
        <v xml:space="preserve"> (Внутренний блок) Уровень шума мин. / макс.: S[42/44/47]</v>
      </c>
      <c r="S309" t="str">
        <f>CONCATENATE(S$2,": ",S$3,list1!S309,"]")</f>
        <v xml:space="preserve"> (Наружный блок) Марка компрессора: S[HIGHLY]</v>
      </c>
      <c r="T309" t="str">
        <f>CONCATENATE(T$2,": ",T$3,list1!T309,"]")</f>
        <v xml:space="preserve"> (Наружный блок) Размеры (Ш x Г x В): S[940 х 340 х 1250]</v>
      </c>
      <c r="U309" t="str">
        <f>CONCATENATE(U$2,": ",U$3,list1!U309,"]")</f>
        <v xml:space="preserve"> (Наружный блок) Упаковка (Ш x Г x В): S[1030 х 430 х 1365]</v>
      </c>
      <c r="V309" t="str">
        <f>CONCATENATE(V$2,": ",V$3,list1!V309,"]")</f>
        <v xml:space="preserve"> (Наружный блок) Масса (нетто / брутто): S[93/103]</v>
      </c>
      <c r="W309" t="str">
        <f>CONCATENATE(W$2,": ",W$3,list1!W309,"]")</f>
        <v xml:space="preserve"> (Наружный блок) Максимальный уровень шума: N[]</v>
      </c>
      <c r="X309" t="str">
        <f>CONCATENATE(X$2,": ",X$3,list1!X309,"]")</f>
        <v xml:space="preserve"> (Соединительные трубы) Жидкостная линия : N[9.52]</v>
      </c>
      <c r="Y309" t="str">
        <f>CONCATENATE(Y$2,": ",Y$3,list1!Y309,"]")</f>
        <v xml:space="preserve"> (Соединительные трубы) Газовая линия : N[19.05]</v>
      </c>
      <c r="Z309" t="str">
        <f>CONCATENATE(Z$2,": ",Z$3,list1!Z309,"]")</f>
        <v xml:space="preserve"> (Соединительные трубы) Максимальная длина трубопровода: N[50]</v>
      </c>
      <c r="AA309" t="str">
        <f>CONCATENATE(AA$2,": ",AA$3,list1!AA309,"]")</f>
        <v xml:space="preserve"> (Соединительные трубы) Максимальный перепад высот: S[30]</v>
      </c>
      <c r="AB309" t="str">
        <f>CONCATENATE(AB$2,": ",AB$3,list1!AB309,"]")</f>
        <v xml:space="preserve"> (Допустимая темп. наружного воздуха) Охлаждение: S[от 17 до +43]</v>
      </c>
      <c r="AC309" t="str">
        <f>CONCATENATE(AC$2,": ",AC$3,list1!AC309,"]")</f>
        <v xml:space="preserve"> (Допустимая темп. наружного воздуха) Обогрев: S[от -7 до +24]</v>
      </c>
      <c r="AD309" s="6" t="s">
        <v>5245</v>
      </c>
    </row>
    <row r="310" spans="1:30" x14ac:dyDescent="0.25">
      <c r="A310" t="str">
        <f>CONCATENATE(A$2,": ",A$3,list1!A310,"]")</f>
        <v>Производитель: E[QUATTROCLIMA]</v>
      </c>
      <c r="B310" t="str">
        <f>CONCATENATE(B$2,": ",B$3,list1!B310,"]")</f>
        <v xml:space="preserve"> Тип: S[Канальные]</v>
      </c>
      <c r="C310" t="str">
        <f>CONCATENATE(C$2,": ",C$3,list1!C310,"]")</f>
        <v xml:space="preserve"> (Сплит система) Холодопроизводительность: N[16.12]</v>
      </c>
      <c r="D310" t="str">
        <f>CONCATENATE(D$2,": ",D$3,list1!D310,"]")</f>
        <v xml:space="preserve"> (Сплит система) Площадь помещения: N[161]</v>
      </c>
      <c r="E310" t="str">
        <f>CONCATENATE(E$2,": ",E$3,list1!E310,"]")</f>
        <v xml:space="preserve"> (Сплит система) Инвентор: S[нет]</v>
      </c>
      <c r="F310" t="str">
        <f>CONCATENATE(F$2,": ",F$3,list1!F310,"]")</f>
        <v xml:space="preserve"> (Сплит система) Теплопроизводительность: N[17.73]</v>
      </c>
      <c r="G310" t="str">
        <f>CONCATENATE(G$2,": ",G$3,list1!G310,"]")</f>
        <v xml:space="preserve"> (Потребляемая мощность) Охлаждение: N[5.694]</v>
      </c>
      <c r="H310" t="str">
        <f>CONCATENATE(H$2,": ",H$3,list1!H310,"]")</f>
        <v xml:space="preserve"> (Потребляемая мощность) Обогрев: S[4.845]</v>
      </c>
      <c r="I310" t="str">
        <f>CONCATENATE(I$2,": ",I$3,list1!I310,"]")</f>
        <v xml:space="preserve"> (Рабочий ток) Охлаждение: S[]</v>
      </c>
      <c r="J310" t="str">
        <f>CONCATENATE(J$2,": ",J$3,list1!J310,"]")</f>
        <v xml:space="preserve"> (Рабочий ток) Обогрев: S[]</v>
      </c>
      <c r="K310" t="str">
        <f>CONCATENATE(K$2,": ",K$3,list1!K310,"]")</f>
        <v xml:space="preserve"> (Рабочий ток) Напряжение / Частота источника питания: S[3 / 380 / 50]</v>
      </c>
      <c r="L310" t="str">
        <f>CONCATENATE(L$2,": ",L$3,list1!L310,"]")</f>
        <v xml:space="preserve"> (Рабочий ток) Хладагент: S[R410A]</v>
      </c>
      <c r="M310" t="str">
        <f>CONCATENATE(M$2,": ",M$3,list1!M310,"]")</f>
        <v xml:space="preserve"> (Рабочий ток) Количество хладагента: N[]</v>
      </c>
      <c r="N310" t="str">
        <f>CONCATENATE(N$2,": ",N$3,list1!N310,"]")</f>
        <v xml:space="preserve"> (Рабочий ток) Объем рециркулируемого воздуха внутреннего блока: S[]</v>
      </c>
      <c r="O310" t="str">
        <f>CONCATENATE(O$2,": ",O$3,list1!O310,"]")</f>
        <v xml:space="preserve"> (Внутренний блок) Размеры (Ш x Г x В): S[1200 х 300 х 835]</v>
      </c>
      <c r="P310" t="str">
        <f>CONCATENATE(P$2,": ",P$3,list1!P310,"]")</f>
        <v xml:space="preserve"> (Внутренний блок) Упаковка (Ш x Г x В): S[1405 х 925 х 375]</v>
      </c>
      <c r="Q310" t="str">
        <f>CONCATENATE(Q$2,": ",Q$3,list1!Q310,"]")</f>
        <v xml:space="preserve"> (Внутренний блок) Масса (нетто / брутто): S[46 / 53]</v>
      </c>
      <c r="R310" t="str">
        <f>CONCATENATE(R$2,": ",R$3,list1!R310,"]")</f>
        <v xml:space="preserve"> (Внутренний блок) Уровень шума мин. / макс.: S[43/45/47]</v>
      </c>
      <c r="S310" t="str">
        <f>CONCATENATE(S$2,": ",S$3,list1!S310,"]")</f>
        <v xml:space="preserve"> (Наружный блок) Марка компрессора: S[HIGHLY]</v>
      </c>
      <c r="T310" t="str">
        <f>CONCATENATE(T$2,": ",T$3,list1!T310,"]")</f>
        <v xml:space="preserve"> (Наружный блок) Размеры (Ш x Г x В): S[940 х 340 х 1250]</v>
      </c>
      <c r="U310" t="str">
        <f>CONCATENATE(U$2,": ",U$3,list1!U310,"]")</f>
        <v xml:space="preserve"> (Наружный блок) Упаковка (Ш x Г x В): S[1030 х 430 х 1365]</v>
      </c>
      <c r="V310" t="str">
        <f>CONCATENATE(V$2,": ",V$3,list1!V310,"]")</f>
        <v xml:space="preserve"> (Наружный блок) Масса (нетто / брутто): S[101/111]</v>
      </c>
      <c r="W310" t="str">
        <f>CONCATENATE(W$2,": ",W$3,list1!W310,"]")</f>
        <v xml:space="preserve"> (Наружный блок) Максимальный уровень шума: N[]</v>
      </c>
      <c r="X310" t="str">
        <f>CONCATENATE(X$2,": ",X$3,list1!X310,"]")</f>
        <v xml:space="preserve"> (Соединительные трубы) Жидкостная линия : N[9.52]</v>
      </c>
      <c r="Y310" t="str">
        <f>CONCATENATE(Y$2,": ",Y$3,list1!Y310,"]")</f>
        <v xml:space="preserve"> (Соединительные трубы) Газовая линия : N[19.05]</v>
      </c>
      <c r="Z310" t="str">
        <f>CONCATENATE(Z$2,": ",Z$3,list1!Z310,"]")</f>
        <v xml:space="preserve"> (Соединительные трубы) Максимальная длина трубопровода: N[50]</v>
      </c>
      <c r="AA310" t="str">
        <f>CONCATENATE(AA$2,": ",AA$3,list1!AA310,"]")</f>
        <v xml:space="preserve"> (Соединительные трубы) Максимальный перепад высот: S[30]</v>
      </c>
      <c r="AB310" t="str">
        <f>CONCATENATE(AB$2,": ",AB$3,list1!AB310,"]")</f>
        <v xml:space="preserve"> (Допустимая темп. наружного воздуха) Охлаждение: S[от 17 до +43]</v>
      </c>
      <c r="AC310" t="str">
        <f>CONCATENATE(AC$2,": ",AC$3,list1!AC310,"]")</f>
        <v xml:space="preserve"> (Допустимая темп. наружного воздуха) Обогрев: S[от -7 до +24]</v>
      </c>
      <c r="AD310" s="6" t="s">
        <v>5245</v>
      </c>
    </row>
    <row r="311" spans="1:30" x14ac:dyDescent="0.25">
      <c r="A311" t="str">
        <f>CONCATENATE(A$2,": ",A$3,list1!A311,"]")</f>
        <v>Производитель: E[QUATTROCLIMA]</v>
      </c>
      <c r="B311" t="str">
        <f>CONCATENATE(B$2,": ",B$3,list1!B311,"]")</f>
        <v xml:space="preserve"> Тип: S[Канальные]</v>
      </c>
      <c r="C311" t="str">
        <f>CONCATENATE(C$2,": ",C$3,list1!C311,"]")</f>
        <v xml:space="preserve"> (Сплит система) Холодопроизводительность: N[5.28]</v>
      </c>
      <c r="D311" t="str">
        <f>CONCATENATE(D$2,": ",D$3,list1!D311,"]")</f>
        <v xml:space="preserve"> (Сплит система) Площадь помещения: N[53]</v>
      </c>
      <c r="E311" t="str">
        <f>CONCATENATE(E$2,": ",E$3,list1!E311,"]")</f>
        <v xml:space="preserve"> (Сплит система) Инвентор: S[нет]</v>
      </c>
      <c r="F311" t="str">
        <f>CONCATENATE(F$2,": ",F$3,list1!F311,"]")</f>
        <v xml:space="preserve"> (Сплит система) Теплопроизводительность: N[5.6]</v>
      </c>
      <c r="G311" t="str">
        <f>CONCATENATE(G$2,": ",G$3,list1!G311,"]")</f>
        <v xml:space="preserve"> (Потребляемая мощность) Охлаждение: N[1.73]</v>
      </c>
      <c r="H311" t="str">
        <f>CONCATENATE(H$2,": ",H$3,list1!H311,"]")</f>
        <v xml:space="preserve"> (Потребляемая мощность) Обогрев: S[1.55]</v>
      </c>
      <c r="I311" t="str">
        <f>CONCATENATE(I$2,": ",I$3,list1!I311,"]")</f>
        <v xml:space="preserve"> (Рабочий ток) Охлаждение: S[]</v>
      </c>
      <c r="J311" t="str">
        <f>CONCATENATE(J$2,": ",J$3,list1!J311,"]")</f>
        <v xml:space="preserve"> (Рабочий ток) Обогрев: S[]</v>
      </c>
      <c r="K311" t="str">
        <f>CONCATENATE(K$2,": ",K$3,list1!K311,"]")</f>
        <v xml:space="preserve"> (Рабочий ток) Напряжение / Частота источника питания: S[1 / 220 / 50]</v>
      </c>
      <c r="L311" t="str">
        <f>CONCATENATE(L$2,": ",L$3,list1!L311,"]")</f>
        <v xml:space="preserve"> (Рабочий ток) Хладагент: S[R410A]</v>
      </c>
      <c r="M311" t="str">
        <f>CONCATENATE(M$2,": ",M$3,list1!M311,"]")</f>
        <v xml:space="preserve"> (Рабочий ток) Количество хладагента: N[]</v>
      </c>
      <c r="N311" t="str">
        <f>CONCATENATE(N$2,": ",N$3,list1!N311,"]")</f>
        <v xml:space="preserve"> (Рабочий ток) Объем рециркулируемого воздуха внутреннего блока: S[]</v>
      </c>
      <c r="O311" t="str">
        <f>CONCATENATE(O$2,": ",O$3,list1!O311,"]")</f>
        <v xml:space="preserve"> (Внутренний блок) Размеры (Ш x Г x В): S[1000 х 450 х 200]</v>
      </c>
      <c r="P311" t="str">
        <f>CONCATENATE(P$2,": ",P$3,list1!P311,"]")</f>
        <v xml:space="preserve"> (Внутренний блок) Упаковка (Ш x Г x В): S[1300 х 275 х 555]</v>
      </c>
      <c r="Q311" t="str">
        <f>CONCATENATE(Q$2,": ",Q$3,list1!Q311,"]")</f>
        <v xml:space="preserve"> (Внутренний блок) Масса (нетто / брутто): S[20 / 24]</v>
      </c>
      <c r="R311" t="str">
        <f>CONCATENATE(R$2,": ",R$3,list1!R311,"]")</f>
        <v xml:space="preserve"> (Внутренний блок) Уровень шума мин. / макс.: S[28/31/35/39]</v>
      </c>
      <c r="S311" t="str">
        <f>CONCATENATE(S$2,": ",S$3,list1!S311,"]")</f>
        <v xml:space="preserve"> (Наружный блок) Марка компрессора: S[HIGHLY]</v>
      </c>
      <c r="T311" t="str">
        <f>CONCATENATE(T$2,": ",T$3,list1!T311,"]")</f>
        <v xml:space="preserve"> (Наружный блок) Размеры (Ш x Г x В): S[800 х 315 х 545]</v>
      </c>
      <c r="U311" t="str">
        <f>CONCATENATE(U$2,": ",U$3,list1!U311,"]")</f>
        <v xml:space="preserve"> (Наружный блок) Упаковка (Ш x Г x В): S[920 х 400 х 620]</v>
      </c>
      <c r="V311" t="str">
        <f>CONCATENATE(V$2,": ",V$3,list1!V311,"]")</f>
        <v xml:space="preserve"> (Наружный блок) Масса (нетто / брутто): S[36/39]</v>
      </c>
      <c r="W311" t="str">
        <f>CONCATENATE(W$2,": ",W$3,list1!W311,"]")</f>
        <v xml:space="preserve"> (Наружный блок) Максимальный уровень шума: N[]</v>
      </c>
      <c r="X311" t="str">
        <f>CONCATENATE(X$2,": ",X$3,list1!X311,"]")</f>
        <v xml:space="preserve"> (Соединительные трубы) Жидкостная линия : N[6.35]</v>
      </c>
      <c r="Y311" t="str">
        <f>CONCATENATE(Y$2,": ",Y$3,list1!Y311,"]")</f>
        <v xml:space="preserve"> (Соединительные трубы) Газовая линия : N[12.7]</v>
      </c>
      <c r="Z311" t="str">
        <f>CONCATENATE(Z$2,": ",Z$3,list1!Z311,"]")</f>
        <v xml:space="preserve"> (Соединительные трубы) Максимальная длина трубопровода: N[20]</v>
      </c>
      <c r="AA311" t="str">
        <f>CONCATENATE(AA$2,": ",AA$3,list1!AA311,"]")</f>
        <v xml:space="preserve"> (Соединительные трубы) Максимальный перепад высот: S[15]</v>
      </c>
      <c r="AB311" t="str">
        <f>CONCATENATE(AB$2,": ",AB$3,list1!AB311,"]")</f>
        <v xml:space="preserve"> (Допустимая темп. наружного воздуха) Охлаждение: S[от -15 до +49]</v>
      </c>
      <c r="AC311" t="str">
        <f>CONCATENATE(AC$2,": ",AC$3,list1!AC311,"]")</f>
        <v xml:space="preserve"> (Допустимая темп. наружного воздуха) Обогрев: S[от -15 до +24]</v>
      </c>
      <c r="AD311" s="6" t="s">
        <v>5245</v>
      </c>
    </row>
    <row r="312" spans="1:30" x14ac:dyDescent="0.25">
      <c r="A312" t="str">
        <f>CONCATENATE(A$2,": ",A$3,list1!A312,"]")</f>
        <v>Производитель: E[QUATTROCLIMA]</v>
      </c>
      <c r="B312" t="str">
        <f>CONCATENATE(B$2,": ",B$3,list1!B312,"]")</f>
        <v xml:space="preserve"> Тип: S[Канальные]</v>
      </c>
      <c r="C312" t="str">
        <f>CONCATENATE(C$2,": ",C$3,list1!C312,"]")</f>
        <v xml:space="preserve"> (Сплит система) Холодопроизводительность: N[7.03]</v>
      </c>
      <c r="D312" t="str">
        <f>CONCATENATE(D$2,": ",D$3,list1!D312,"]")</f>
        <v xml:space="preserve"> (Сплит система) Площадь помещения: N[70]</v>
      </c>
      <c r="E312" t="str">
        <f>CONCATENATE(E$2,": ",E$3,list1!E312,"]")</f>
        <v xml:space="preserve"> (Сплит система) Инвентор: S[нет]</v>
      </c>
      <c r="F312" t="str">
        <f>CONCATENATE(F$2,": ",F$3,list1!F312,"]")</f>
        <v xml:space="preserve"> (Сплит система) Теплопроизводительность: N[7.4]</v>
      </c>
      <c r="G312" t="str">
        <f>CONCATENATE(G$2,": ",G$3,list1!G312,"]")</f>
        <v xml:space="preserve"> (Потребляемая мощность) Охлаждение: N[2.15]</v>
      </c>
      <c r="H312" t="str">
        <f>CONCATENATE(H$2,": ",H$3,list1!H312,"]")</f>
        <v xml:space="preserve"> (Потребляемая мощность) Обогрев: S[1.88]</v>
      </c>
      <c r="I312" t="str">
        <f>CONCATENATE(I$2,": ",I$3,list1!I312,"]")</f>
        <v xml:space="preserve"> (Рабочий ток) Охлаждение: S[]</v>
      </c>
      <c r="J312" t="str">
        <f>CONCATENATE(J$2,": ",J$3,list1!J312,"]")</f>
        <v xml:space="preserve"> (Рабочий ток) Обогрев: S[]</v>
      </c>
      <c r="K312" t="str">
        <f>CONCATENATE(K$2,": ",K$3,list1!K312,"]")</f>
        <v xml:space="preserve"> (Рабочий ток) Напряжение / Частота источника питания: S[1 / 220 / 50]</v>
      </c>
      <c r="L312" t="str">
        <f>CONCATENATE(L$2,": ",L$3,list1!L312,"]")</f>
        <v xml:space="preserve"> (Рабочий ток) Хладагент: S[R410A]</v>
      </c>
      <c r="M312" t="str">
        <f>CONCATENATE(M$2,": ",M$3,list1!M312,"]")</f>
        <v xml:space="preserve"> (Рабочий ток) Количество хладагента: N[]</v>
      </c>
      <c r="N312" t="str">
        <f>CONCATENATE(N$2,": ",N$3,list1!N312,"]")</f>
        <v xml:space="preserve"> (Рабочий ток) Объем рециркулируемого воздуха внутреннего блока: S[]</v>
      </c>
      <c r="O312" t="str">
        <f>CONCATENATE(O$2,": ",O$3,list1!O312,"]")</f>
        <v xml:space="preserve"> (Внутренний блок) Размеры (Ш x Г x В): S[1000 х 700 х 245]</v>
      </c>
      <c r="P312" t="str">
        <f>CONCATENATE(P$2,": ",P$3,list1!P312,"]")</f>
        <v xml:space="preserve"> (Внутренний блок) Упаковка (Ш x Г x В): S[1230 х 300 х 830]</v>
      </c>
      <c r="Q312" t="str">
        <f>CONCATENATE(Q$2,": ",Q$3,list1!Q312,"]")</f>
        <v xml:space="preserve"> (Внутренний блок) Масса (нетто / брутто): S[32 / 37]</v>
      </c>
      <c r="R312" t="str">
        <f>CONCATENATE(R$2,": ",R$3,list1!R312,"]")</f>
        <v xml:space="preserve"> (Внутренний блок) Уровень шума мин. / макс.: S[38/40/43/46]</v>
      </c>
      <c r="S312" t="str">
        <f>CONCATENATE(S$2,": ",S$3,list1!S312,"]")</f>
        <v xml:space="preserve"> (Наружный блок) Марка компрессора: S[HIGHLY]</v>
      </c>
      <c r="T312" t="str">
        <f>CONCATENATE(T$2,": ",T$3,list1!T312,"]")</f>
        <v xml:space="preserve"> (Наружный блок) Размеры (Ш x Г x В): S[825 х 310 х 655]</v>
      </c>
      <c r="U312" t="str">
        <f>CONCATENATE(U$2,": ",U$3,list1!U312,"]")</f>
        <v xml:space="preserve"> (Наружный блок) Упаковка (Ш x Г x В): S[945 х 435 х 725]</v>
      </c>
      <c r="V312" t="str">
        <f>CONCATENATE(V$2,": ",V$3,list1!V312,"]")</f>
        <v xml:space="preserve"> (Наружный блок) Масса (нетто / брутто): S[46/49]</v>
      </c>
      <c r="W312" t="str">
        <f>CONCATENATE(W$2,": ",W$3,list1!W312,"]")</f>
        <v xml:space="preserve"> (Наружный блок) Максимальный уровень шума: N[]</v>
      </c>
      <c r="X312" t="str">
        <f>CONCATENATE(X$2,": ",X$3,list1!X312,"]")</f>
        <v xml:space="preserve"> (Соединительные трубы) Жидкостная линия : N[9.52]</v>
      </c>
      <c r="Y312" t="str">
        <f>CONCATENATE(Y$2,": ",Y$3,list1!Y312,"]")</f>
        <v xml:space="preserve"> (Соединительные трубы) Газовая линия : N[15.88]</v>
      </c>
      <c r="Z312" t="str">
        <f>CONCATENATE(Z$2,": ",Z$3,list1!Z312,"]")</f>
        <v xml:space="preserve"> (Соединительные трубы) Максимальная длина трубопровода: N[20]</v>
      </c>
      <c r="AA312" t="str">
        <f>CONCATENATE(AA$2,": ",AA$3,list1!AA312,"]")</f>
        <v xml:space="preserve"> (Соединительные трубы) Максимальный перепад высот: S[15]</v>
      </c>
      <c r="AB312" t="str">
        <f>CONCATENATE(AB$2,": ",AB$3,list1!AB312,"]")</f>
        <v xml:space="preserve"> (Допустимая темп. наружного воздуха) Охлаждение: S[от -15 до +49]</v>
      </c>
      <c r="AC312" t="str">
        <f>CONCATENATE(AC$2,": ",AC$3,list1!AC312,"]")</f>
        <v xml:space="preserve"> (Допустимая темп. наружного воздуха) Обогрев: S[от -15 до +24]</v>
      </c>
      <c r="AD312" s="6" t="s">
        <v>5245</v>
      </c>
    </row>
    <row r="313" spans="1:30" x14ac:dyDescent="0.25">
      <c r="A313" t="str">
        <f>CONCATENATE(A$2,": ",A$3,list1!A313,"]")</f>
        <v>Производитель: E[QUATTROCLIMA]</v>
      </c>
      <c r="B313" t="str">
        <f>CONCATENATE(B$2,": ",B$3,list1!B313,"]")</f>
        <v xml:space="preserve"> Тип: S[Канальные]</v>
      </c>
      <c r="C313" t="str">
        <f>CONCATENATE(C$2,": ",C$3,list1!C313,"]")</f>
        <v xml:space="preserve"> (Сплит система) Холодопроизводительность: N[10.55]</v>
      </c>
      <c r="D313" t="str">
        <f>CONCATENATE(D$2,": ",D$3,list1!D313,"]")</f>
        <v xml:space="preserve"> (Сплит система) Площадь помещения: N[106]</v>
      </c>
      <c r="E313" t="str">
        <f>CONCATENATE(E$2,": ",E$3,list1!E313,"]")</f>
        <v xml:space="preserve"> (Сплит система) Инвентор: S[нет]</v>
      </c>
      <c r="F313" t="str">
        <f>CONCATENATE(F$2,": ",F$3,list1!F313,"]")</f>
        <v xml:space="preserve"> (Сплит система) Теплопроизводительность: N[11.7]</v>
      </c>
      <c r="G313" t="str">
        <f>CONCATENATE(G$2,": ",G$3,list1!G313,"]")</f>
        <v xml:space="preserve"> (Потребляемая мощность) Охлаждение: N[3.5]</v>
      </c>
      <c r="H313" t="str">
        <f>CONCATENATE(H$2,": ",H$3,list1!H313,"]")</f>
        <v xml:space="preserve"> (Потребляемая мощность) Обогрев: S[3.43]</v>
      </c>
      <c r="I313" t="str">
        <f>CONCATENATE(I$2,": ",I$3,list1!I313,"]")</f>
        <v xml:space="preserve"> (Рабочий ток) Охлаждение: S[]</v>
      </c>
      <c r="J313" t="str">
        <f>CONCATENATE(J$2,": ",J$3,list1!J313,"]")</f>
        <v xml:space="preserve"> (Рабочий ток) Обогрев: S[]</v>
      </c>
      <c r="K313" t="str">
        <f>CONCATENATE(K$2,": ",K$3,list1!K313,"]")</f>
        <v xml:space="preserve"> (Рабочий ток) Напряжение / Частота источника питания: S[3 / 380 / 50]</v>
      </c>
      <c r="L313" t="str">
        <f>CONCATENATE(L$2,": ",L$3,list1!L313,"]")</f>
        <v xml:space="preserve"> (Рабочий ток) Хладагент: S[R410A]</v>
      </c>
      <c r="M313" t="str">
        <f>CONCATENATE(M$2,": ",M$3,list1!M313,"]")</f>
        <v xml:space="preserve"> (Рабочий ток) Количество хладагента: N[]</v>
      </c>
      <c r="N313" t="str">
        <f>CONCATENATE(N$2,": ",N$3,list1!N313,"]")</f>
        <v xml:space="preserve"> (Рабочий ток) Объем рециркулируемого воздуха внутреннего блока: S[]</v>
      </c>
      <c r="O313" t="str">
        <f>CONCATENATE(O$2,": ",O$3,list1!O313,"]")</f>
        <v xml:space="preserve"> (Внутренний блок) Размеры (Ш x Г x В): S[1000 х 245 х 700]</v>
      </c>
      <c r="P313" t="str">
        <f>CONCATENATE(P$2,": ",P$3,list1!P313,"]")</f>
        <v xml:space="preserve"> (Внутренний блок) Упаковка (Ш x Г x В): S[1230 х 830 х 300]</v>
      </c>
      <c r="Q313" t="str">
        <f>CONCATENATE(Q$2,": ",Q$3,list1!Q313,"]")</f>
        <v xml:space="preserve"> (Внутренний блок) Масса (нетто / брутто): S[32 / 37]</v>
      </c>
      <c r="R313" t="str">
        <f>CONCATENATE(R$2,": ",R$3,list1!R313,"]")</f>
        <v xml:space="preserve"> (Внутренний блок) Уровень шума мин. / макс.: S[37/40/45/48]</v>
      </c>
      <c r="S313" t="str">
        <f>CONCATENATE(S$2,": ",S$3,list1!S313,"]")</f>
        <v xml:space="preserve"> (Наружный блок) Марка компрессора: S[Gree]</v>
      </c>
      <c r="T313" t="str">
        <f>CONCATENATE(T$2,": ",T$3,list1!T313,"]")</f>
        <v xml:space="preserve"> (Наружный блок) Размеры (Ш x Г x В): S[970 х 395 х 805]</v>
      </c>
      <c r="U313" t="str">
        <f>CONCATENATE(U$2,": ",U$3,list1!U313,"]")</f>
        <v xml:space="preserve"> (Наружный блок) Упаковка (Ш x Г x В): S[1105 х 495 х 890]</v>
      </c>
      <c r="V313" t="str">
        <f>CONCATENATE(V$2,": ",V$3,list1!V313,"]")</f>
        <v xml:space="preserve"> (Наружный блок) Масса (нетто / брутто): S[64/68]</v>
      </c>
      <c r="W313" t="str">
        <f>CONCATENATE(W$2,": ",W$3,list1!W313,"]")</f>
        <v xml:space="preserve"> (Наружный блок) Максимальный уровень шума: N[]</v>
      </c>
      <c r="X313" t="str">
        <f>CONCATENATE(X$2,": ",X$3,list1!X313,"]")</f>
        <v xml:space="preserve"> (Соединительные трубы) Жидкостная линия : N[9.52]</v>
      </c>
      <c r="Y313" t="str">
        <f>CONCATENATE(Y$2,": ",Y$3,list1!Y313,"]")</f>
        <v xml:space="preserve"> (Соединительные трубы) Газовая линия : N[15.88]</v>
      </c>
      <c r="Z313" t="str">
        <f>CONCATENATE(Z$2,": ",Z$3,list1!Z313,"]")</f>
        <v xml:space="preserve"> (Соединительные трубы) Максимальная длина трубопровода: N[30]</v>
      </c>
      <c r="AA313" t="str">
        <f>CONCATENATE(AA$2,": ",AA$3,list1!AA313,"]")</f>
        <v xml:space="preserve"> (Соединительные трубы) Максимальный перепад высот: S[20]</v>
      </c>
      <c r="AB313" t="str">
        <f>CONCATENATE(AB$2,": ",AB$3,list1!AB313,"]")</f>
        <v xml:space="preserve"> (Допустимая темп. наружного воздуха) Охлаждение: S[от -15 до +49]</v>
      </c>
      <c r="AC313" t="str">
        <f>CONCATENATE(AC$2,": ",AC$3,list1!AC313,"]")</f>
        <v xml:space="preserve"> (Допустимая темп. наружного воздуха) Обогрев: S[от -15 до +24]</v>
      </c>
      <c r="AD313" s="6" t="s">
        <v>5245</v>
      </c>
    </row>
    <row r="314" spans="1:30" x14ac:dyDescent="0.25">
      <c r="A314" t="str">
        <f>CONCATENATE(A$2,": ",A$3,list1!A314,"]")</f>
        <v>Производитель: E[QUATTROCLIMA]</v>
      </c>
      <c r="B314" t="str">
        <f>CONCATENATE(B$2,": ",B$3,list1!B314,"]")</f>
        <v xml:space="preserve"> Тип: S[Канальные]</v>
      </c>
      <c r="C314" t="str">
        <f>CONCATENATE(C$2,": ",C$3,list1!C314,"]")</f>
        <v xml:space="preserve"> (Сплит система) Холодопроизводительность: N[14.07]</v>
      </c>
      <c r="D314" t="str">
        <f>CONCATENATE(D$2,": ",D$3,list1!D314,"]")</f>
        <v xml:space="preserve"> (Сплит система) Площадь помещения: N[141]</v>
      </c>
      <c r="E314" t="str">
        <f>CONCATENATE(E$2,": ",E$3,list1!E314,"]")</f>
        <v xml:space="preserve"> (Сплит система) Инвентор: S[нет]</v>
      </c>
      <c r="F314" t="str">
        <f>CONCATENATE(F$2,": ",F$3,list1!F314,"]")</f>
        <v xml:space="preserve"> (Сплит система) Теплопроизводительность: N[15.24]</v>
      </c>
      <c r="G314" t="str">
        <f>CONCATENATE(G$2,": ",G$3,list1!G314,"]")</f>
        <v xml:space="preserve"> (Потребляемая мощность) Охлаждение: N[4.68]</v>
      </c>
      <c r="H314" t="str">
        <f>CONCATENATE(H$2,": ",H$3,list1!H314,"]")</f>
        <v xml:space="preserve"> (Потребляемая мощность) Обогрев: S[4.42]</v>
      </c>
      <c r="I314" t="str">
        <f>CONCATENATE(I$2,": ",I$3,list1!I314,"]")</f>
        <v xml:space="preserve"> (Рабочий ток) Охлаждение: S[]</v>
      </c>
      <c r="J314" t="str">
        <f>CONCATENATE(J$2,": ",J$3,list1!J314,"]")</f>
        <v xml:space="preserve"> (Рабочий ток) Обогрев: S[]</v>
      </c>
      <c r="K314" t="str">
        <f>CONCATENATE(K$2,": ",K$3,list1!K314,"]")</f>
        <v xml:space="preserve"> (Рабочий ток) Напряжение / Частота источника питания: S[3 / 380 / 50]</v>
      </c>
      <c r="L314" t="str">
        <f>CONCATENATE(L$2,": ",L$3,list1!L314,"]")</f>
        <v xml:space="preserve"> (Рабочий ток) Хладагент: S[R410A]</v>
      </c>
      <c r="M314" t="str">
        <f>CONCATENATE(M$2,": ",M$3,list1!M314,"]")</f>
        <v xml:space="preserve"> (Рабочий ток) Количество хладагента: N[]</v>
      </c>
      <c r="N314" t="str">
        <f>CONCATENATE(N$2,": ",N$3,list1!N314,"]")</f>
        <v xml:space="preserve"> (Рабочий ток) Объем рециркулируемого воздуха внутреннего блока: S[]</v>
      </c>
      <c r="O314" t="str">
        <f>CONCATENATE(O$2,": ",O$3,list1!O314,"]")</f>
        <v xml:space="preserve"> (Внутренний блок) Размеры (Ш x Г x В): S[1400 х 700 х 245]</v>
      </c>
      <c r="P314" t="str">
        <f>CONCATENATE(P$2,": ",P$3,list1!P314,"]")</f>
        <v xml:space="preserve"> (Внутренний блок) Упаковка (Ш x Г x В): S[1630 х 300 х 830]</v>
      </c>
      <c r="Q314" t="str">
        <f>CONCATENATE(Q$2,": ",Q$3,list1!Q314,"]")</f>
        <v xml:space="preserve"> (Внутренний блок) Масса (нетто / брутто): S[42 / 48]</v>
      </c>
      <c r="R314" t="str">
        <f>CONCATENATE(R$2,": ",R$3,list1!R314,"]")</f>
        <v xml:space="preserve"> (Внутренний блок) Уровень шума мин. / макс.: S[41/44/47/50]</v>
      </c>
      <c r="S314" t="str">
        <f>CONCATENATE(S$2,": ",S$3,list1!S314,"]")</f>
        <v xml:space="preserve"> (Наружный блок) Марка компрессора: S[GMCC]</v>
      </c>
      <c r="T314" t="str">
        <f>CONCATENATE(T$2,": ",T$3,list1!T314,"]")</f>
        <v xml:space="preserve"> (Наружный блок) Размеры (Ш x Г x В): S[940 х 340 х 1320]</v>
      </c>
      <c r="U314" t="str">
        <f>CONCATENATE(U$2,": ",U$3,list1!U314,"]")</f>
        <v xml:space="preserve"> (Наружный блок) Упаковка (Ш x Г x В): S[1080 х 430 х 1440]</v>
      </c>
      <c r="V314" t="str">
        <f>CONCATENATE(V$2,": ",V$3,list1!V314,"]")</f>
        <v xml:space="preserve"> (Наружный блок) Масса (нетто / брутто): S[85/94]</v>
      </c>
      <c r="W314" t="str">
        <f>CONCATENATE(W$2,": ",W$3,list1!W314,"]")</f>
        <v xml:space="preserve"> (Наружный блок) Максимальный уровень шума: N[]</v>
      </c>
      <c r="X314" t="str">
        <f>CONCATENATE(X$2,": ",X$3,list1!X314,"]")</f>
        <v xml:space="preserve"> (Соединительные трубы) Жидкостная линия : N[9.52]</v>
      </c>
      <c r="Y314" t="str">
        <f>CONCATENATE(Y$2,": ",Y$3,list1!Y314,"]")</f>
        <v xml:space="preserve"> (Соединительные трубы) Газовая линия : N[19.05]</v>
      </c>
      <c r="Z314" t="str">
        <f>CONCATENATE(Z$2,": ",Z$3,list1!Z314,"]")</f>
        <v xml:space="preserve"> (Соединительные трубы) Максимальная длина трубопровода: N[50]</v>
      </c>
      <c r="AA314" t="str">
        <f>CONCATENATE(AA$2,": ",AA$3,list1!AA314,"]")</f>
        <v xml:space="preserve"> (Соединительные трубы) Максимальный перепад высот: S[30]</v>
      </c>
      <c r="AB314" t="str">
        <f>CONCATENATE(AB$2,": ",AB$3,list1!AB314,"]")</f>
        <v xml:space="preserve"> (Допустимая темп. наружного воздуха) Охлаждение: S[от -15 до +49]</v>
      </c>
      <c r="AC314" t="str">
        <f>CONCATENATE(AC$2,": ",AC$3,list1!AC314,"]")</f>
        <v xml:space="preserve"> (Допустимая темп. наружного воздуха) Обогрев: S[от -15 до +24]</v>
      </c>
      <c r="AD314" s="6" t="s">
        <v>5245</v>
      </c>
    </row>
    <row r="315" spans="1:30" x14ac:dyDescent="0.25">
      <c r="A315" t="str">
        <f>CONCATENATE(A$2,": ",A$3,list1!A315,"]")</f>
        <v>Производитель: E[QUATTROCLIMA]</v>
      </c>
      <c r="B315" t="str">
        <f>CONCATENATE(B$2,": ",B$3,list1!B315,"]")</f>
        <v xml:space="preserve"> Тип: S[Канальные]</v>
      </c>
      <c r="C315" t="str">
        <f>CONCATENATE(C$2,": ",C$3,list1!C315,"]")</f>
        <v xml:space="preserve"> (Сплит система) Холодопроизводительность: N[16.12]</v>
      </c>
      <c r="D315" t="str">
        <f>CONCATENATE(D$2,": ",D$3,list1!D315,"]")</f>
        <v xml:space="preserve"> (Сплит система) Площадь помещения: N[161]</v>
      </c>
      <c r="E315" t="str">
        <f>CONCATENATE(E$2,": ",E$3,list1!E315,"]")</f>
        <v xml:space="preserve"> (Сплит система) Инвентор: S[нет]</v>
      </c>
      <c r="F315" t="str">
        <f>CONCATENATE(F$2,": ",F$3,list1!F315,"]")</f>
        <v xml:space="preserve"> (Сплит система) Теплопроизводительность: N[17.6]</v>
      </c>
      <c r="G315" t="str">
        <f>CONCATENATE(G$2,": ",G$3,list1!G315,"]")</f>
        <v xml:space="preserve"> (Потребляемая мощность) Охлаждение: N[5.55]</v>
      </c>
      <c r="H315" t="str">
        <f>CONCATENATE(H$2,": ",H$3,list1!H315,"]")</f>
        <v xml:space="preserve"> (Потребляемая мощность) Обогрев: S[5.01]</v>
      </c>
      <c r="I315" t="str">
        <f>CONCATENATE(I$2,": ",I$3,list1!I315,"]")</f>
        <v xml:space="preserve"> (Рабочий ток) Охлаждение: S[]</v>
      </c>
      <c r="J315" t="str">
        <f>CONCATENATE(J$2,": ",J$3,list1!J315,"]")</f>
        <v xml:space="preserve"> (Рабочий ток) Обогрев: S[]</v>
      </c>
      <c r="K315" t="str">
        <f>CONCATENATE(K$2,": ",K$3,list1!K315,"]")</f>
        <v xml:space="preserve"> (Рабочий ток) Напряжение / Частота источника питания: S[3 / 380 / 50]</v>
      </c>
      <c r="L315" t="str">
        <f>CONCATENATE(L$2,": ",L$3,list1!L315,"]")</f>
        <v xml:space="preserve"> (Рабочий ток) Хладагент: S[R410A]</v>
      </c>
      <c r="M315" t="str">
        <f>CONCATENATE(M$2,": ",M$3,list1!M315,"]")</f>
        <v xml:space="preserve"> (Рабочий ток) Количество хладагента: N[]</v>
      </c>
      <c r="N315" t="str">
        <f>CONCATENATE(N$2,": ",N$3,list1!N315,"]")</f>
        <v xml:space="preserve"> (Рабочий ток) Объем рециркулируемого воздуха внутреннего блока: S[]</v>
      </c>
      <c r="O315" t="str">
        <f>CONCATENATE(O$2,": ",O$3,list1!O315,"]")</f>
        <v xml:space="preserve"> (Внутренний блок) Размеры (Ш x Г x В): S[1400 х 700 х 245]</v>
      </c>
      <c r="P315" t="str">
        <f>CONCATENATE(P$2,": ",P$3,list1!P315,"]")</f>
        <v xml:space="preserve"> (Внутренний блок) Упаковка (Ш x Г x В): S[1630 х 300 х 830]</v>
      </c>
      <c r="Q315" t="str">
        <f>CONCATENATE(Q$2,": ",Q$3,list1!Q315,"]")</f>
        <v xml:space="preserve"> (Внутренний блок) Масса (нетто / брутто): S[42 / 48]</v>
      </c>
      <c r="R315" t="str">
        <f>CONCATENATE(R$2,": ",R$3,list1!R315,"]")</f>
        <v xml:space="preserve"> (Внутренний блок) Уровень шума мин. / макс.: S[41/44/47/50]</v>
      </c>
      <c r="S315" t="str">
        <f>CONCATENATE(S$2,": ",S$3,list1!S315,"]")</f>
        <v xml:space="preserve"> (Наружный блок) Марка компрессора: S[GMCC]</v>
      </c>
      <c r="T315" t="str">
        <f>CONCATENATE(T$2,": ",T$3,list1!T315,"]")</f>
        <v xml:space="preserve"> (Наружный блок) Размеры (Ш x Г x В): S[940 х 340 х 1320]</v>
      </c>
      <c r="U315" t="str">
        <f>CONCATENATE(U$2,": ",U$3,list1!U315,"]")</f>
        <v xml:space="preserve"> (Наружный блок) Упаковка (Ш x Г x В): S[1080 х 430 х 1440]</v>
      </c>
      <c r="V315" t="str">
        <f>CONCATENATE(V$2,": ",V$3,list1!V315,"]")</f>
        <v xml:space="preserve"> (Наружный блок) Масса (нетто / брутто): S[91/100]</v>
      </c>
      <c r="W315" t="str">
        <f>CONCATENATE(W$2,": ",W$3,list1!W315,"]")</f>
        <v xml:space="preserve"> (Наружный блок) Максимальный уровень шума: N[]</v>
      </c>
      <c r="X315" t="str">
        <f>CONCATENATE(X$2,": ",X$3,list1!X315,"]")</f>
        <v xml:space="preserve"> (Соединительные трубы) Жидкостная линия : N[9.52]</v>
      </c>
      <c r="Y315" t="str">
        <f>CONCATENATE(Y$2,": ",Y$3,list1!Y315,"]")</f>
        <v xml:space="preserve"> (Соединительные трубы) Газовая линия : N[19.05]</v>
      </c>
      <c r="Z315" t="str">
        <f>CONCATENATE(Z$2,": ",Z$3,list1!Z315,"]")</f>
        <v xml:space="preserve"> (Соединительные трубы) Максимальная длина трубопровода: N[50]</v>
      </c>
      <c r="AA315" t="str">
        <f>CONCATENATE(AA$2,": ",AA$3,list1!AA315,"]")</f>
        <v xml:space="preserve"> (Соединительные трубы) Максимальный перепад высот: S[30]</v>
      </c>
      <c r="AB315" t="str">
        <f>CONCATENATE(AB$2,": ",AB$3,list1!AB315,"]")</f>
        <v xml:space="preserve"> (Допустимая темп. наружного воздуха) Охлаждение: S[от -15 до +49]</v>
      </c>
      <c r="AC315" t="str">
        <f>CONCATENATE(AC$2,": ",AC$3,list1!AC315,"]")</f>
        <v xml:space="preserve"> (Допустимая темп. наружного воздуха) Обогрев: S[от -15 до +24]</v>
      </c>
      <c r="AD315" s="6" t="s">
        <v>5245</v>
      </c>
    </row>
    <row r="316" spans="1:30" x14ac:dyDescent="0.25">
      <c r="A316" t="str">
        <f>CONCATENATE(A$2,": ",A$3,list1!A316,"]")</f>
        <v>Производитель: E[QUATTROCLIMA]</v>
      </c>
      <c r="B316" t="str">
        <f>CONCATENATE(B$2,": ",B$3,list1!B316,"]")</f>
        <v xml:space="preserve"> Тип: S[Кассетные]</v>
      </c>
      <c r="C316" t="str">
        <f>CONCATENATE(C$2,": ",C$3,list1!C316,"]")</f>
        <v xml:space="preserve"> (Сплит система) Холодопроизводительность: N[3.52]</v>
      </c>
      <c r="D316" t="str">
        <f>CONCATENATE(D$2,": ",D$3,list1!D316,"]")</f>
        <v xml:space="preserve"> (Сплит система) Площадь помещения: N[35]</v>
      </c>
      <c r="E316" t="str">
        <f>CONCATENATE(E$2,": ",E$3,list1!E316,"]")</f>
        <v xml:space="preserve"> (Сплит система) Инвентор: S[нет]</v>
      </c>
      <c r="F316" t="str">
        <f>CONCATENATE(F$2,": ",F$3,list1!F316,"]")</f>
        <v xml:space="preserve"> (Сплит система) Теплопроизводительность: N[3.96]</v>
      </c>
      <c r="G316" t="str">
        <f>CONCATENATE(G$2,": ",G$3,list1!G316,"]")</f>
        <v xml:space="preserve"> (Потребляемая мощность) Охлаждение: N[1.16]</v>
      </c>
      <c r="H316" t="str">
        <f>CONCATENATE(H$2,": ",H$3,list1!H316,"]")</f>
        <v xml:space="preserve"> (Потребляемая мощность) Обогрев: S[1.22]</v>
      </c>
      <c r="I316" t="str">
        <f>CONCATENATE(I$2,": ",I$3,list1!I316,"]")</f>
        <v xml:space="preserve"> (Рабочий ток) Охлаждение: S[]</v>
      </c>
      <c r="J316" t="str">
        <f>CONCATENATE(J$2,": ",J$3,list1!J316,"]")</f>
        <v xml:space="preserve"> (Рабочий ток) Обогрев: S[]</v>
      </c>
      <c r="K316" t="str">
        <f>CONCATENATE(K$2,": ",K$3,list1!K316,"]")</f>
        <v xml:space="preserve"> (Рабочий ток) Напряжение / Частота источника питания: S[1 / 220 / 50]</v>
      </c>
      <c r="L316" t="str">
        <f>CONCATENATE(L$2,": ",L$3,list1!L316,"]")</f>
        <v xml:space="preserve"> (Рабочий ток) Хладагент: S[R410A]</v>
      </c>
      <c r="M316" t="str">
        <f>CONCATENATE(M$2,": ",M$3,list1!M316,"]")</f>
        <v xml:space="preserve"> (Рабочий ток) Количество хладагента: N[]</v>
      </c>
      <c r="N316" t="str">
        <f>CONCATENATE(N$2,": ",N$3,list1!N316,"]")</f>
        <v xml:space="preserve"> (Рабочий ток) Объем рециркулируемого воздуха внутреннего блока: S[]</v>
      </c>
      <c r="O316" t="str">
        <f>CONCATENATE(O$2,": ",O$3,list1!O316,"]")</f>
        <v xml:space="preserve"> (Внутренний блок) Размеры (Ш x Г x В): S[650 х 55 х 650]</v>
      </c>
      <c r="P316" t="str">
        <f>CONCATENATE(P$2,": ",P$3,list1!P316,"]")</f>
        <v xml:space="preserve"> (Внутренний блок) Упаковка (Ш x Г x В): S[710 х 710 х 80]</v>
      </c>
      <c r="Q316" t="str">
        <f>CONCATENATE(Q$2,": ",Q$3,list1!Q316,"]")</f>
        <v xml:space="preserve"> (Внутренний блок) Масса (нетто / брутто): S[2.2 / 3.7]</v>
      </c>
      <c r="R316" t="str">
        <f>CONCATENATE(R$2,": ",R$3,list1!R316,"]")</f>
        <v xml:space="preserve"> (Внутренний блок) Уровень шума мин. / макс.: S[39/41/46]</v>
      </c>
      <c r="S316" t="str">
        <f>CONCATENATE(S$2,": ",S$3,list1!S316,"]")</f>
        <v xml:space="preserve"> (Наружный блок) Марка компрессора: S[Gree]</v>
      </c>
      <c r="T316" t="str">
        <f>CONCATENATE(T$2,": ",T$3,list1!T316,"]")</f>
        <v xml:space="preserve"> (Наружный блок) Размеры (Ш x Г x В): S[730 х 285 х 545]</v>
      </c>
      <c r="U316" t="str">
        <f>CONCATENATE(U$2,": ",U$3,list1!U316,"]")</f>
        <v xml:space="preserve"> (Наружный блок) Упаковка (Ш x Г x В): S[845 х 370 х 620]</v>
      </c>
      <c r="V316" t="str">
        <f>CONCATENATE(V$2,": ",V$3,list1!V316,"]")</f>
        <v xml:space="preserve"> (Наружный блок) Масса (нетто / брутто): S[28/31.5]</v>
      </c>
      <c r="W316" t="str">
        <f>CONCATENATE(W$2,": ",W$3,list1!W316,"]")</f>
        <v xml:space="preserve"> (Наружный блок) Максимальный уровень шума: N[]</v>
      </c>
      <c r="X316" t="str">
        <f>CONCATENATE(X$2,": ",X$3,list1!X316,"]")</f>
        <v xml:space="preserve"> (Соединительные трубы) Жидкостная линия : N[6.35]</v>
      </c>
      <c r="Y316" t="str">
        <f>CONCATENATE(Y$2,": ",Y$3,list1!Y316,"]")</f>
        <v xml:space="preserve"> (Соединительные трубы) Газовая линия : N[12.7]</v>
      </c>
      <c r="Z316" t="str">
        <f>CONCATENATE(Z$2,": ",Z$3,list1!Z316,"]")</f>
        <v xml:space="preserve"> (Соединительные трубы) Максимальная длина трубопровода: N[15]</v>
      </c>
      <c r="AA316" t="str">
        <f>CONCATENATE(AA$2,": ",AA$3,list1!AA316,"]")</f>
        <v xml:space="preserve"> (Соединительные трубы) Максимальный перепад высот: S[10]</v>
      </c>
      <c r="AB316" t="str">
        <f>CONCATENATE(AB$2,": ",AB$3,list1!AB316,"]")</f>
        <v xml:space="preserve"> (Допустимая темп. наружного воздуха) Охлаждение: S[от -15 до +49]</v>
      </c>
      <c r="AC316" t="str">
        <f>CONCATENATE(AC$2,": ",AC$3,list1!AC316,"]")</f>
        <v xml:space="preserve"> (Допустимая темп. наружного воздуха) Обогрев: S[от -15 до +24]</v>
      </c>
      <c r="AD316" s="6" t="s">
        <v>5245</v>
      </c>
    </row>
    <row r="317" spans="1:30" x14ac:dyDescent="0.25">
      <c r="A317" t="str">
        <f>CONCATENATE(A$2,": ",A$3,list1!A317,"]")</f>
        <v>Производитель: E[QUATTROCLIMA]</v>
      </c>
      <c r="B317" t="str">
        <f>CONCATENATE(B$2,": ",B$3,list1!B317,"]")</f>
        <v xml:space="preserve"> Тип: S[Кассетные]</v>
      </c>
      <c r="C317" t="str">
        <f>CONCATENATE(C$2,": ",C$3,list1!C317,"]")</f>
        <v xml:space="preserve"> (Сплит система) Холодопроизводительность: N[5.28]</v>
      </c>
      <c r="D317" t="str">
        <f>CONCATENATE(D$2,": ",D$3,list1!D317,"]")</f>
        <v xml:space="preserve"> (Сплит система) Площадь помещения: N[53]</v>
      </c>
      <c r="E317" t="str">
        <f>CONCATENATE(E$2,": ",E$3,list1!E317,"]")</f>
        <v xml:space="preserve"> (Сплит система) Инвентор: S[нет]</v>
      </c>
      <c r="F317" t="str">
        <f>CONCATENATE(F$2,": ",F$3,list1!F317,"]")</f>
        <v xml:space="preserve"> (Сплит система) Теплопроизводительность: N[5.6]</v>
      </c>
      <c r="G317" t="str">
        <f>CONCATENATE(G$2,": ",G$3,list1!G317,"]")</f>
        <v xml:space="preserve"> (Потребляемая мощность) Охлаждение: N[1.7]</v>
      </c>
      <c r="H317" t="str">
        <f>CONCATENATE(H$2,": ",H$3,list1!H317,"]")</f>
        <v xml:space="preserve"> (Потребляемая мощность) Обогрев: S[1.64]</v>
      </c>
      <c r="I317" t="str">
        <f>CONCATENATE(I$2,": ",I$3,list1!I317,"]")</f>
        <v xml:space="preserve"> (Рабочий ток) Охлаждение: S[]</v>
      </c>
      <c r="J317" t="str">
        <f>CONCATENATE(J$2,": ",J$3,list1!J317,"]")</f>
        <v xml:space="preserve"> (Рабочий ток) Обогрев: S[]</v>
      </c>
      <c r="K317" t="str">
        <f>CONCATENATE(K$2,": ",K$3,list1!K317,"]")</f>
        <v xml:space="preserve"> (Рабочий ток) Напряжение / Частота источника питания: S[1 / 220 / 50]</v>
      </c>
      <c r="L317" t="str">
        <f>CONCATENATE(L$2,": ",L$3,list1!L317,"]")</f>
        <v xml:space="preserve"> (Рабочий ток) Хладагент: S[R410A]</v>
      </c>
      <c r="M317" t="str">
        <f>CONCATENATE(M$2,": ",M$3,list1!M317,"]")</f>
        <v xml:space="preserve"> (Рабочий ток) Количество хладагента: N[]</v>
      </c>
      <c r="N317" t="str">
        <f>CONCATENATE(N$2,": ",N$3,list1!N317,"]")</f>
        <v xml:space="preserve"> (Рабочий ток) Объем рециркулируемого воздуха внутреннего блока: S[]</v>
      </c>
      <c r="O317" t="str">
        <f>CONCATENATE(O$2,": ",O$3,list1!O317,"]")</f>
        <v xml:space="preserve"> (Внутренний блок) Размеры (Ш x Г x В): S[650 х 55 х 650]</v>
      </c>
      <c r="P317" t="str">
        <f>CONCATENATE(P$2,": ",P$3,list1!P317,"]")</f>
        <v xml:space="preserve"> (Внутренний блок) Упаковка (Ш x Г x В): S[710 х 710 х 80]</v>
      </c>
      <c r="Q317" t="str">
        <f>CONCATENATE(Q$2,": ",Q$3,list1!Q317,"]")</f>
        <v xml:space="preserve"> (Внутренний блок) Масса (нетто / брутто): S[2.2 / 3.7]</v>
      </c>
      <c r="R317" t="str">
        <f>CONCATENATE(R$2,": ",R$3,list1!R317,"]")</f>
        <v xml:space="preserve"> (Внутренний блок) Уровень шума мин. / макс.: S[32/40/45]</v>
      </c>
      <c r="S317" t="str">
        <f>CONCATENATE(S$2,": ",S$3,list1!S317,"]")</f>
        <v xml:space="preserve"> (Наружный блок) Марка компрессора: S[HIGHLY]</v>
      </c>
      <c r="T317" t="str">
        <f>CONCATENATE(T$2,": ",T$3,list1!T317,"]")</f>
        <v xml:space="preserve"> (Наружный блок) Размеры (Ш x Г x В): S[800 х 315 х 545]</v>
      </c>
      <c r="U317" t="str">
        <f>CONCATENATE(U$2,": ",U$3,list1!U317,"]")</f>
        <v xml:space="preserve"> (Наружный блок) Упаковка (Ш x Г x В): S[920 х 400 х 620]</v>
      </c>
      <c r="V317" t="str">
        <f>CONCATENATE(V$2,": ",V$3,list1!V317,"]")</f>
        <v xml:space="preserve"> (Наружный блок) Масса (нетто / брутто): S[42/45]</v>
      </c>
      <c r="W317" t="str">
        <f>CONCATENATE(W$2,": ",W$3,list1!W317,"]")</f>
        <v xml:space="preserve"> (Наружный блок) Максимальный уровень шума: N[]</v>
      </c>
      <c r="X317" t="str">
        <f>CONCATENATE(X$2,": ",X$3,list1!X317,"]")</f>
        <v xml:space="preserve"> (Соединительные трубы) Жидкостная линия : N[6.35]</v>
      </c>
      <c r="Y317" t="str">
        <f>CONCATENATE(Y$2,": ",Y$3,list1!Y317,"]")</f>
        <v xml:space="preserve"> (Соединительные трубы) Газовая линия : N[12.7]</v>
      </c>
      <c r="Z317" t="str">
        <f>CONCATENATE(Z$2,": ",Z$3,list1!Z317,"]")</f>
        <v xml:space="preserve"> (Соединительные трубы) Максимальная длина трубопровода: N[20]</v>
      </c>
      <c r="AA317" t="str">
        <f>CONCATENATE(AA$2,": ",AA$3,list1!AA317,"]")</f>
        <v xml:space="preserve"> (Соединительные трубы) Максимальный перепад высот: S[15]</v>
      </c>
      <c r="AB317" t="str">
        <f>CONCATENATE(AB$2,": ",AB$3,list1!AB317,"]")</f>
        <v xml:space="preserve"> (Допустимая темп. наружного воздуха) Охлаждение: S[от -15 до +49]</v>
      </c>
      <c r="AC317" t="str">
        <f>CONCATENATE(AC$2,": ",AC$3,list1!AC317,"]")</f>
        <v xml:space="preserve"> (Допустимая темп. наружного воздуха) Обогрев: S[от -15 до +24]</v>
      </c>
      <c r="AD317" s="6" t="s">
        <v>5245</v>
      </c>
    </row>
    <row r="318" spans="1:30" x14ac:dyDescent="0.25">
      <c r="A318" t="str">
        <f>CONCATENATE(A$2,": ",A$3,list1!A318,"]")</f>
        <v>Производитель: E[QUATTROCLIMA]</v>
      </c>
      <c r="B318" t="str">
        <f>CONCATENATE(B$2,": ",B$3,list1!B318,"]")</f>
        <v xml:space="preserve"> Тип: S[Кассетные]</v>
      </c>
      <c r="C318" t="str">
        <f>CONCATENATE(C$2,": ",C$3,list1!C318,"]")</f>
        <v xml:space="preserve"> (Сплит система) Холодопроизводительность: N[7.03]</v>
      </c>
      <c r="D318" t="str">
        <f>CONCATENATE(D$2,": ",D$3,list1!D318,"]")</f>
        <v xml:space="preserve"> (Сплит система) Площадь помещения: N[70]</v>
      </c>
      <c r="E318" t="str">
        <f>CONCATENATE(E$2,": ",E$3,list1!E318,"]")</f>
        <v xml:space="preserve"> (Сплит система) Инвентор: S[нет]</v>
      </c>
      <c r="F318" t="str">
        <f>CONCATENATE(F$2,": ",F$3,list1!F318,"]")</f>
        <v xml:space="preserve"> (Сплит система) Теплопроизводительность: N[7.88]</v>
      </c>
      <c r="G318" t="str">
        <f>CONCATENATE(G$2,": ",G$3,list1!G318,"]")</f>
        <v xml:space="preserve"> (Потребляемая мощность) Охлаждение: N[2.26]</v>
      </c>
      <c r="H318" t="str">
        <f>CONCATENATE(H$2,": ",H$3,list1!H318,"]")</f>
        <v xml:space="preserve"> (Потребляемая мощность) Обогрев: S[2.31]</v>
      </c>
      <c r="I318" t="str">
        <f>CONCATENATE(I$2,": ",I$3,list1!I318,"]")</f>
        <v xml:space="preserve"> (Рабочий ток) Охлаждение: S[]</v>
      </c>
      <c r="J318" t="str">
        <f>CONCATENATE(J$2,": ",J$3,list1!J318,"]")</f>
        <v xml:space="preserve"> (Рабочий ток) Обогрев: S[]</v>
      </c>
      <c r="K318" t="str">
        <f>CONCATENATE(K$2,": ",K$3,list1!K318,"]")</f>
        <v xml:space="preserve"> (Рабочий ток) Напряжение / Частота источника питания: S[1 / 220 / 50]</v>
      </c>
      <c r="L318" t="str">
        <f>CONCATENATE(L$2,": ",L$3,list1!L318,"]")</f>
        <v xml:space="preserve"> (Рабочий ток) Хладагент: S[R410A]</v>
      </c>
      <c r="M318" t="str">
        <f>CONCATENATE(M$2,": ",M$3,list1!M318,"]")</f>
        <v xml:space="preserve"> (Рабочий ток) Количество хладагента: N[]</v>
      </c>
      <c r="N318" t="str">
        <f>CONCATENATE(N$2,": ",N$3,list1!N318,"]")</f>
        <v xml:space="preserve"> (Рабочий ток) Объем рециркулируемого воздуха внутреннего блока: S[]</v>
      </c>
      <c r="O318" t="str">
        <f>CONCATENATE(O$2,": ",O$3,list1!O318,"]")</f>
        <v xml:space="preserve"> (Внутренний блок) Размеры (Ш x Г x В): S[]</v>
      </c>
      <c r="P318" t="str">
        <f>CONCATENATE(P$2,": ",P$3,list1!P318,"]")</f>
        <v xml:space="preserve"> (Внутренний блок) Упаковка (Ш x Г x В): S[]</v>
      </c>
      <c r="Q318" t="str">
        <f>CONCATENATE(Q$2,": ",Q$3,list1!Q318,"]")</f>
        <v xml:space="preserve"> (Внутренний блок) Масса (нетто / брутто): S[]</v>
      </c>
      <c r="R318" t="str">
        <f>CONCATENATE(R$2,": ",R$3,list1!R318,"]")</f>
        <v xml:space="preserve"> (Внутренний блок) Уровень шума мин. / макс.: S[36/42/45]</v>
      </c>
      <c r="S318" t="str">
        <f>CONCATENATE(S$2,": ",S$3,list1!S318,"]")</f>
        <v xml:space="preserve"> (Наружный блок) Марка компрессора: S[HIGHLY]</v>
      </c>
      <c r="T318" t="str">
        <f>CONCATENATE(T$2,": ",T$3,list1!T318,"]")</f>
        <v xml:space="preserve"> (Наружный блок) Размеры (Ш x Г x В): S[825 х 310 х 655]</v>
      </c>
      <c r="U318" t="str">
        <f>CONCATENATE(U$2,": ",U$3,list1!U318,"]")</f>
        <v xml:space="preserve"> (Наружный блок) Упаковка (Ш x Г x В): S[945 х 435 х 725]</v>
      </c>
      <c r="V318" t="str">
        <f>CONCATENATE(V$2,": ",V$3,list1!V318,"]")</f>
        <v xml:space="preserve"> (Наружный блок) Масса (нетто / брутто): S[53/56]</v>
      </c>
      <c r="W318" t="str">
        <f>CONCATENATE(W$2,": ",W$3,list1!W318,"]")</f>
        <v xml:space="preserve"> (Наружный блок) Максимальный уровень шума: N[]</v>
      </c>
      <c r="X318" t="str">
        <f>CONCATENATE(X$2,": ",X$3,list1!X318,"]")</f>
        <v xml:space="preserve"> (Соединительные трубы) Жидкостная линия : N[9.52]</v>
      </c>
      <c r="Y318" t="str">
        <f>CONCATENATE(Y$2,": ",Y$3,list1!Y318,"]")</f>
        <v xml:space="preserve"> (Соединительные трубы) Газовая линия : N[15.88]</v>
      </c>
      <c r="Z318" t="str">
        <f>CONCATENATE(Z$2,": ",Z$3,list1!Z318,"]")</f>
        <v xml:space="preserve"> (Соединительные трубы) Максимальная длина трубопровода: N[20]</v>
      </c>
      <c r="AA318" t="str">
        <f>CONCATENATE(AA$2,": ",AA$3,list1!AA318,"]")</f>
        <v xml:space="preserve"> (Соединительные трубы) Максимальный перепад высот: S[15]</v>
      </c>
      <c r="AB318" t="str">
        <f>CONCATENATE(AB$2,": ",AB$3,list1!AB318,"]")</f>
        <v xml:space="preserve"> (Допустимая темп. наружного воздуха) Охлаждение: S[от -15 до +49]</v>
      </c>
      <c r="AC318" t="str">
        <f>CONCATENATE(AC$2,": ",AC$3,list1!AC318,"]")</f>
        <v xml:space="preserve"> (Допустимая темп. наружного воздуха) Обогрев: S[от -15 до +24]</v>
      </c>
      <c r="AD318" s="6" t="s">
        <v>5245</v>
      </c>
    </row>
    <row r="319" spans="1:30" x14ac:dyDescent="0.25">
      <c r="A319" t="str">
        <f>CONCATENATE(A$2,": ",A$3,list1!A319,"]")</f>
        <v>Производитель: E[QUATTROCLIMA]</v>
      </c>
      <c r="B319" t="str">
        <f>CONCATENATE(B$2,": ",B$3,list1!B319,"]")</f>
        <v xml:space="preserve"> Тип: S[Кассетные]</v>
      </c>
      <c r="C319" t="str">
        <f>CONCATENATE(C$2,": ",C$3,list1!C319,"]")</f>
        <v xml:space="preserve"> (Сплит система) Холодопроизводительность: N[10.6]</v>
      </c>
      <c r="D319" t="str">
        <f>CONCATENATE(D$2,": ",D$3,list1!D319,"]")</f>
        <v xml:space="preserve"> (Сплит система) Площадь помещения: N[106]</v>
      </c>
      <c r="E319" t="str">
        <f>CONCATENATE(E$2,": ",E$3,list1!E319,"]")</f>
        <v xml:space="preserve"> (Сплит система) Инвентор: S[нет]</v>
      </c>
      <c r="F319" t="str">
        <f>CONCATENATE(F$2,": ",F$3,list1!F319,"]")</f>
        <v xml:space="preserve"> (Сплит система) Теплопроизводительность: N[11.7]</v>
      </c>
      <c r="G319" t="str">
        <f>CONCATENATE(G$2,": ",G$3,list1!G319,"]")</f>
        <v xml:space="preserve"> (Потребляемая мощность) Охлаждение: N[3.77]</v>
      </c>
      <c r="H319" t="str">
        <f>CONCATENATE(H$2,": ",H$3,list1!H319,"]")</f>
        <v xml:space="preserve"> (Потребляемая мощность) Обогрев: S[3.5]</v>
      </c>
      <c r="I319" t="str">
        <f>CONCATENATE(I$2,": ",I$3,list1!I319,"]")</f>
        <v xml:space="preserve"> (Рабочий ток) Охлаждение: S[]</v>
      </c>
      <c r="J319" t="str">
        <f>CONCATENATE(J$2,": ",J$3,list1!J319,"]")</f>
        <v xml:space="preserve"> (Рабочий ток) Обогрев: S[]</v>
      </c>
      <c r="K319" t="str">
        <f>CONCATENATE(K$2,": ",K$3,list1!K319,"]")</f>
        <v xml:space="preserve"> (Рабочий ток) Напряжение / Частота источника питания: S[3 / 380 / 50]</v>
      </c>
      <c r="L319" t="str">
        <f>CONCATENATE(L$2,": ",L$3,list1!L319,"]")</f>
        <v xml:space="preserve"> (Рабочий ток) Хладагент: S[R410A]</v>
      </c>
      <c r="M319" t="str">
        <f>CONCATENATE(M$2,": ",M$3,list1!M319,"]")</f>
        <v xml:space="preserve"> (Рабочий ток) Количество хладагента: N[]</v>
      </c>
      <c r="N319" t="str">
        <f>CONCATENATE(N$2,": ",N$3,list1!N319,"]")</f>
        <v xml:space="preserve"> (Рабочий ток) Объем рециркулируемого воздуха внутреннего блока: S[]</v>
      </c>
      <c r="O319" t="str">
        <f>CONCATENATE(O$2,": ",O$3,list1!O319,"]")</f>
        <v xml:space="preserve"> (Внутренний блок) Размеры (Ш x Г x В): S[]</v>
      </c>
      <c r="P319" t="str">
        <f>CONCATENATE(P$2,": ",P$3,list1!P319,"]")</f>
        <v xml:space="preserve"> (Внутренний блок) Упаковка (Ш x Г x В): S[]</v>
      </c>
      <c r="Q319" t="str">
        <f>CONCATENATE(Q$2,": ",Q$3,list1!Q319,"]")</f>
        <v xml:space="preserve"> (Внутренний блок) Масса (нетто / брутто): S[]</v>
      </c>
      <c r="R319" t="str">
        <f>CONCATENATE(R$2,": ",R$3,list1!R319,"]")</f>
        <v xml:space="preserve"> (Внутренний блок) Уровень шума мин. / макс.: S[39/45/48]</v>
      </c>
      <c r="S319" t="str">
        <f>CONCATENATE(S$2,": ",S$3,list1!S319,"]")</f>
        <v xml:space="preserve"> (Наружный блок) Марка компрессора: S[HIGHLY]</v>
      </c>
      <c r="T319" t="str">
        <f>CONCATENATE(T$2,": ",T$3,list1!T319,"]")</f>
        <v xml:space="preserve"> (Наружный блок) Размеры (Ш x Г x В): S[970 х 395 х 805]</v>
      </c>
      <c r="U319" t="str">
        <f>CONCATENATE(U$2,": ",U$3,list1!U319,"]")</f>
        <v xml:space="preserve"> (Наружный блок) Упаковка (Ш x Г x В): S[1105 х 495 х 895]</v>
      </c>
      <c r="V319" t="str">
        <f>CONCATENATE(V$2,": ",V$3,list1!V319,"]")</f>
        <v xml:space="preserve"> (Наружный блок) Масса (нетто / брутто): S[65/75]</v>
      </c>
      <c r="W319" t="str">
        <f>CONCATENATE(W$2,": ",W$3,list1!W319,"]")</f>
        <v xml:space="preserve"> (Наружный блок) Максимальный уровень шума: N[]</v>
      </c>
      <c r="X319" t="str">
        <f>CONCATENATE(X$2,": ",X$3,list1!X319,"]")</f>
        <v xml:space="preserve"> (Соединительные трубы) Жидкостная линия : N[9.52]</v>
      </c>
      <c r="Y319" t="str">
        <f>CONCATENATE(Y$2,": ",Y$3,list1!Y319,"]")</f>
        <v xml:space="preserve"> (Соединительные трубы) Газовая линия : N[15.88]</v>
      </c>
      <c r="Z319" t="str">
        <f>CONCATENATE(Z$2,": ",Z$3,list1!Z319,"]")</f>
        <v xml:space="preserve"> (Соединительные трубы) Максимальная длина трубопровода: N[30]</v>
      </c>
      <c r="AA319" t="str">
        <f>CONCATENATE(AA$2,": ",AA$3,list1!AA319,"]")</f>
        <v xml:space="preserve"> (Соединительные трубы) Максимальный перепад высот: S[20]</v>
      </c>
      <c r="AB319" t="str">
        <f>CONCATENATE(AB$2,": ",AB$3,list1!AB319,"]")</f>
        <v xml:space="preserve"> (Допустимая темп. наружного воздуха) Охлаждение: S[от -15 до +49]</v>
      </c>
      <c r="AC319" t="str">
        <f>CONCATENATE(AC$2,": ",AC$3,list1!AC319,"]")</f>
        <v xml:space="preserve"> (Допустимая темп. наружного воздуха) Обогрев: S[от -15 до +24]</v>
      </c>
      <c r="AD319" s="6" t="s">
        <v>5245</v>
      </c>
    </row>
    <row r="320" spans="1:30" x14ac:dyDescent="0.25">
      <c r="A320" t="str">
        <f>CONCATENATE(A$2,": ",A$3,list1!A320,"]")</f>
        <v>Производитель: E[QUATTROCLIMA]</v>
      </c>
      <c r="B320" t="str">
        <f>CONCATENATE(B$2,": ",B$3,list1!B320,"]")</f>
        <v xml:space="preserve"> Тип: S[Кассетные]</v>
      </c>
      <c r="C320" t="str">
        <f>CONCATENATE(C$2,": ",C$3,list1!C320,"]")</f>
        <v xml:space="preserve"> (Сплит система) Холодопроизводительность: N[14.07]</v>
      </c>
      <c r="D320" t="str">
        <f>CONCATENATE(D$2,": ",D$3,list1!D320,"]")</f>
        <v xml:space="preserve"> (Сплит система) Площадь помещения: N[141]</v>
      </c>
      <c r="E320" t="str">
        <f>CONCATENATE(E$2,": ",E$3,list1!E320,"]")</f>
        <v xml:space="preserve"> (Сплит система) Инвентор: S[нет]</v>
      </c>
      <c r="F320" t="str">
        <f>CONCATENATE(F$2,": ",F$3,list1!F320,"]")</f>
        <v xml:space="preserve"> (Сплит система) Теплопроизводительность: N[15.55]</v>
      </c>
      <c r="G320" t="str">
        <f>CONCATENATE(G$2,": ",G$3,list1!G320,"]")</f>
        <v xml:space="preserve"> (Потребляемая мощность) Охлаждение: N[4.85]</v>
      </c>
      <c r="H320" t="str">
        <f>CONCATENATE(H$2,": ",H$3,list1!H320,"]")</f>
        <v xml:space="preserve"> (Потребляемая мощность) Обогрев: S[4.8]</v>
      </c>
      <c r="I320" t="str">
        <f>CONCATENATE(I$2,": ",I$3,list1!I320,"]")</f>
        <v xml:space="preserve"> (Рабочий ток) Охлаждение: S[]</v>
      </c>
      <c r="J320" t="str">
        <f>CONCATENATE(J$2,": ",J$3,list1!J320,"]")</f>
        <v xml:space="preserve"> (Рабочий ток) Обогрев: S[]</v>
      </c>
      <c r="K320" t="str">
        <f>CONCATENATE(K$2,": ",K$3,list1!K320,"]")</f>
        <v xml:space="preserve"> (Рабочий ток) Напряжение / Частота источника питания: S[3 / 380 / 50]</v>
      </c>
      <c r="L320" t="str">
        <f>CONCATENATE(L$2,": ",L$3,list1!L320,"]")</f>
        <v xml:space="preserve"> (Рабочий ток) Хладагент: S[R410A]</v>
      </c>
      <c r="M320" t="str">
        <f>CONCATENATE(M$2,": ",M$3,list1!M320,"]")</f>
        <v xml:space="preserve"> (Рабочий ток) Количество хладагента: N[]</v>
      </c>
      <c r="N320" t="str">
        <f>CONCATENATE(N$2,": ",N$3,list1!N320,"]")</f>
        <v xml:space="preserve"> (Рабочий ток) Объем рециркулируемого воздуха внутреннего блока: S[]</v>
      </c>
      <c r="O320" t="str">
        <f>CONCATENATE(O$2,": ",O$3,list1!O320,"]")</f>
        <v xml:space="preserve"> (Внутренний блок) Размеры (Ш x Г x В): S[]</v>
      </c>
      <c r="P320" t="str">
        <f>CONCATENATE(P$2,": ",P$3,list1!P320,"]")</f>
        <v xml:space="preserve"> (Внутренний блок) Упаковка (Ш x Г x В): S[]</v>
      </c>
      <c r="Q320" t="str">
        <f>CONCATENATE(Q$2,": ",Q$3,list1!Q320,"]")</f>
        <v xml:space="preserve"> (Внутренний блок) Масса (нетто / брутто): S[]</v>
      </c>
      <c r="R320" t="str">
        <f>CONCATENATE(R$2,": ",R$3,list1!R320,"]")</f>
        <v xml:space="preserve"> (Внутренний блок) Уровень шума мин. / макс.: S[47/51/53]</v>
      </c>
      <c r="S320" t="str">
        <f>CONCATENATE(S$2,": ",S$3,list1!S320,"]")</f>
        <v xml:space="preserve"> (Наружный блок) Марка компрессора: S[HIGHLY]</v>
      </c>
      <c r="T320" t="str">
        <f>CONCATENATE(T$2,": ",T$3,list1!T320,"]")</f>
        <v xml:space="preserve"> (Наружный блок) Размеры (Ш x Г x В): S[940 х 370 х 1325]</v>
      </c>
      <c r="U320" t="str">
        <f>CONCATENATE(U$2,": ",U$3,list1!U320,"]")</f>
        <v xml:space="preserve"> (Наружный блок) Упаковка (Ш x Г x В): S[1080 х 430 х 1440]</v>
      </c>
      <c r="V320" t="str">
        <f>CONCATENATE(V$2,": ",V$3,list1!V320,"]")</f>
        <v xml:space="preserve"> (Наружный блок) Масса (нетто / брутто): S[95/105]</v>
      </c>
      <c r="W320" t="str">
        <f>CONCATENATE(W$2,": ",W$3,list1!W320,"]")</f>
        <v xml:space="preserve"> (Наружный блок) Максимальный уровень шума: N[]</v>
      </c>
      <c r="X320" t="str">
        <f>CONCATENATE(X$2,": ",X$3,list1!X320,"]")</f>
        <v xml:space="preserve"> (Соединительные трубы) Жидкостная линия : N[9.52]</v>
      </c>
      <c r="Y320" t="str">
        <f>CONCATENATE(Y$2,": ",Y$3,list1!Y320,"]")</f>
        <v xml:space="preserve"> (Соединительные трубы) Газовая линия : N[19.05]</v>
      </c>
      <c r="Z320" t="str">
        <f>CONCATENATE(Z$2,": ",Z$3,list1!Z320,"]")</f>
        <v xml:space="preserve"> (Соединительные трубы) Максимальная длина трубопровода: N[50]</v>
      </c>
      <c r="AA320" t="str">
        <f>CONCATENATE(AA$2,": ",AA$3,list1!AA320,"]")</f>
        <v xml:space="preserve"> (Соединительные трубы) Максимальный перепад высот: S[30]</v>
      </c>
      <c r="AB320" t="str">
        <f>CONCATENATE(AB$2,": ",AB$3,list1!AB320,"]")</f>
        <v xml:space="preserve"> (Допустимая темп. наружного воздуха) Охлаждение: S[от -15 до +49]</v>
      </c>
      <c r="AC320" t="str">
        <f>CONCATENATE(AC$2,": ",AC$3,list1!AC320,"]")</f>
        <v xml:space="preserve"> (Допустимая темп. наружного воздуха) Обогрев: S[от -15 до +24]</v>
      </c>
      <c r="AD320" s="6" t="s">
        <v>5245</v>
      </c>
    </row>
    <row r="321" spans="1:30" x14ac:dyDescent="0.25">
      <c r="A321" t="str">
        <f>CONCATENATE(A$2,": ",A$3,list1!A321,"]")</f>
        <v>Производитель: E[QUATTROCLIMA]</v>
      </c>
      <c r="B321" t="str">
        <f>CONCATENATE(B$2,": ",B$3,list1!B321,"]")</f>
        <v xml:space="preserve"> Тип: S[Кассетные]</v>
      </c>
      <c r="C321" t="str">
        <f>CONCATENATE(C$2,": ",C$3,list1!C321,"]")</f>
        <v xml:space="preserve"> (Сплит система) Холодопроизводительность: N[17.6]</v>
      </c>
      <c r="D321" t="str">
        <f>CONCATENATE(D$2,": ",D$3,list1!D321,"]")</f>
        <v xml:space="preserve"> (Сплит система) Площадь помещения: N[176]</v>
      </c>
      <c r="E321" t="str">
        <f>CONCATENATE(E$2,": ",E$3,list1!E321,"]")</f>
        <v xml:space="preserve"> (Сплит система) Инвентор: S[нет]</v>
      </c>
      <c r="F321" t="str">
        <f>CONCATENATE(F$2,": ",F$3,list1!F321,"]")</f>
        <v xml:space="preserve"> (Сплит система) Теплопроизводительность: N[18.5]</v>
      </c>
      <c r="G321" t="str">
        <f>CONCATENATE(G$2,": ",G$3,list1!G321,"]")</f>
        <v xml:space="preserve"> (Потребляемая мощность) Охлаждение: N[6.77]</v>
      </c>
      <c r="H321" t="str">
        <f>CONCATENATE(H$2,": ",H$3,list1!H321,"]")</f>
        <v xml:space="preserve"> (Потребляемая мощность) Обогрев: S[5.78]</v>
      </c>
      <c r="I321" t="str">
        <f>CONCATENATE(I$2,": ",I$3,list1!I321,"]")</f>
        <v xml:space="preserve"> (Рабочий ток) Охлаждение: S[]</v>
      </c>
      <c r="J321" t="str">
        <f>CONCATENATE(J$2,": ",J$3,list1!J321,"]")</f>
        <v xml:space="preserve"> (Рабочий ток) Обогрев: S[]</v>
      </c>
      <c r="K321" t="str">
        <f>CONCATENATE(K$2,": ",K$3,list1!K321,"]")</f>
        <v xml:space="preserve"> (Рабочий ток) Напряжение / Частота источника питания: S[3 / 380 / 50]</v>
      </c>
      <c r="L321" t="str">
        <f>CONCATENATE(L$2,": ",L$3,list1!L321,"]")</f>
        <v xml:space="preserve"> (Рабочий ток) Хладагент: S[R410A]</v>
      </c>
      <c r="M321" t="str">
        <f>CONCATENATE(M$2,": ",M$3,list1!M321,"]")</f>
        <v xml:space="preserve"> (Рабочий ток) Количество хладагента: N[]</v>
      </c>
      <c r="N321" t="str">
        <f>CONCATENATE(N$2,": ",N$3,list1!N321,"]")</f>
        <v xml:space="preserve"> (Рабочий ток) Объем рециркулируемого воздуха внутреннего блока: S[]</v>
      </c>
      <c r="O321" t="str">
        <f>CONCATENATE(O$2,": ",O$3,list1!O321,"]")</f>
        <v xml:space="preserve"> (Внутренний блок) Размеры (Ш x Г x В): S[]</v>
      </c>
      <c r="P321" t="str">
        <f>CONCATENATE(P$2,": ",P$3,list1!P321,"]")</f>
        <v xml:space="preserve"> (Внутренний блок) Упаковка (Ш x Г x В): S[]</v>
      </c>
      <c r="Q321" t="str">
        <f>CONCATENATE(Q$2,": ",Q$3,list1!Q321,"]")</f>
        <v xml:space="preserve"> (Внутренний блок) Масса (нетто / брутто): S[]</v>
      </c>
      <c r="R321" t="str">
        <f>CONCATENATE(R$2,": ",R$3,list1!R321,"]")</f>
        <v xml:space="preserve"> (Внутренний блок) Уровень шума мин. / макс.: S[47/51/53]</v>
      </c>
      <c r="S321" t="str">
        <f>CONCATENATE(S$2,": ",S$3,list1!S321,"]")</f>
        <v xml:space="preserve"> (Наружный блок) Марка компрессора: S[HIGHLY]</v>
      </c>
      <c r="T321" t="str">
        <f>CONCATENATE(T$2,": ",T$3,list1!T321,"]")</f>
        <v xml:space="preserve"> (Наружный блок) Размеры (Ш x Г x В): S[940 х 370 х 1325]</v>
      </c>
      <c r="U321" t="str">
        <f>CONCATENATE(U$2,": ",U$3,list1!U321,"]")</f>
        <v xml:space="preserve"> (Наружный блок) Упаковка (Ш x Г x В): S[1080 х 430 х 1440]</v>
      </c>
      <c r="V321" t="str">
        <f>CONCATENATE(V$2,": ",V$3,list1!V321,"]")</f>
        <v xml:space="preserve"> (Наружный блок) Масса (нетто / брутто): S[99/109]</v>
      </c>
      <c r="W321" t="str">
        <f>CONCATENATE(W$2,": ",W$3,list1!W321,"]")</f>
        <v xml:space="preserve"> (Наружный блок) Максимальный уровень шума: N[]</v>
      </c>
      <c r="X321" t="str">
        <f>CONCATENATE(X$2,": ",X$3,list1!X321,"]")</f>
        <v xml:space="preserve"> (Соединительные трубы) Жидкостная линия : N[9.52]</v>
      </c>
      <c r="Y321" t="str">
        <f>CONCATENATE(Y$2,": ",Y$3,list1!Y321,"]")</f>
        <v xml:space="preserve"> (Соединительные трубы) Газовая линия : N[19.05]</v>
      </c>
      <c r="Z321" t="str">
        <f>CONCATENATE(Z$2,": ",Z$3,list1!Z321,"]")</f>
        <v xml:space="preserve"> (Соединительные трубы) Максимальная длина трубопровода: N[50]</v>
      </c>
      <c r="AA321" t="str">
        <f>CONCATENATE(AA$2,": ",AA$3,list1!AA321,"]")</f>
        <v xml:space="preserve"> (Соединительные трубы) Максимальный перепад высот: S[30]</v>
      </c>
      <c r="AB321" t="str">
        <f>CONCATENATE(AB$2,": ",AB$3,list1!AB321,"]")</f>
        <v xml:space="preserve"> (Допустимая темп. наружного воздуха) Охлаждение: S[от -15 до +49]</v>
      </c>
      <c r="AC321" t="str">
        <f>CONCATENATE(AC$2,": ",AC$3,list1!AC321,"]")</f>
        <v xml:space="preserve"> (Допустимая темп. наружного воздуха) Обогрев: S[от -15 до +24]</v>
      </c>
      <c r="AD321" s="6" t="s">
        <v>5245</v>
      </c>
    </row>
    <row r="322" spans="1:30" x14ac:dyDescent="0.25">
      <c r="A322" t="str">
        <f>CONCATENATE(A$2,": ",A$3,list1!A322,"]")</f>
        <v>Производитель: E[QUATTROCLIMA]</v>
      </c>
      <c r="B322" t="str">
        <f>CONCATENATE(B$2,": ",B$3,list1!B322,"]")</f>
        <v xml:space="preserve"> Тип: S[Кассетные]</v>
      </c>
      <c r="C322" t="str">
        <f>CONCATENATE(C$2,": ",C$3,list1!C322,"]")</f>
        <v xml:space="preserve"> (Сплит система) Холодопроизводительность: N[3.52]</v>
      </c>
      <c r="D322" t="str">
        <f>CONCATENATE(D$2,": ",D$3,list1!D322,"]")</f>
        <v xml:space="preserve"> (Сплит система) Площадь помещения: N[35]</v>
      </c>
      <c r="E322" t="str">
        <f>CONCATENATE(E$2,": ",E$3,list1!E322,"]")</f>
        <v xml:space="preserve"> (Сплит система) Инвентор: S[нет]</v>
      </c>
      <c r="F322" t="str">
        <f>CONCATENATE(F$2,": ",F$3,list1!F322,"]")</f>
        <v xml:space="preserve"> (Сплит система) Теплопроизводительность: N[3.52]</v>
      </c>
      <c r="G322" t="str">
        <f>CONCATENATE(G$2,": ",G$3,list1!G322,"]")</f>
        <v xml:space="preserve"> (Потребляемая мощность) Охлаждение: N[1.15]</v>
      </c>
      <c r="H322" t="str">
        <f>CONCATENATE(H$2,": ",H$3,list1!H322,"]")</f>
        <v xml:space="preserve"> (Потребляемая мощность) Обогрев: S[1.17]</v>
      </c>
      <c r="I322" t="str">
        <f>CONCATENATE(I$2,": ",I$3,list1!I322,"]")</f>
        <v xml:space="preserve"> (Рабочий ток) Охлаждение: S[]</v>
      </c>
      <c r="J322" t="str">
        <f>CONCATENATE(J$2,": ",J$3,list1!J322,"]")</f>
        <v xml:space="preserve"> (Рабочий ток) Обогрев: S[]</v>
      </c>
      <c r="K322" t="str">
        <f>CONCATENATE(K$2,": ",K$3,list1!K322,"]")</f>
        <v xml:space="preserve"> (Рабочий ток) Напряжение / Частота источника питания: S[1 / 220 / 50]</v>
      </c>
      <c r="L322" t="str">
        <f>CONCATENATE(L$2,": ",L$3,list1!L322,"]")</f>
        <v xml:space="preserve"> (Рабочий ток) Хладагент: S[R410A]</v>
      </c>
      <c r="M322" t="str">
        <f>CONCATENATE(M$2,": ",M$3,list1!M322,"]")</f>
        <v xml:space="preserve"> (Рабочий ток) Количество хладагента: N[]</v>
      </c>
      <c r="N322" t="str">
        <f>CONCATENATE(N$2,": ",N$3,list1!N322,"]")</f>
        <v xml:space="preserve"> (Рабочий ток) Объем рециркулируемого воздуха внутреннего блока: S[]</v>
      </c>
      <c r="O322" t="str">
        <f>CONCATENATE(O$2,": ",O$3,list1!O322,"]")</f>
        <v xml:space="preserve"> (Внутренний блок) Размеры (Ш x Г x В): S[650 х 30 х 650]</v>
      </c>
      <c r="P322" t="str">
        <f>CONCATENATE(P$2,": ",P$3,list1!P322,"]")</f>
        <v xml:space="preserve"> (Внутренний блок) Упаковка (Ш x Г x В): S[690 х 690 х 65]</v>
      </c>
      <c r="Q322" t="str">
        <f>CONCATENATE(Q$2,": ",Q$3,list1!Q322,"]")</f>
        <v xml:space="preserve"> (Внутренний блок) Масса (нетто / брутто): S[2.5 / 4.5]</v>
      </c>
      <c r="R322" t="str">
        <f>CONCATENATE(R$2,": ",R$3,list1!R322,"]")</f>
        <v xml:space="preserve"> (Внутренний блок) Уровень шума мин. / макс.: S[34/38/41]</v>
      </c>
      <c r="S322" t="str">
        <f>CONCATENATE(S$2,": ",S$3,list1!S322,"]")</f>
        <v xml:space="preserve"> (Наружный блок) Марка компрессора: S[GMCC]</v>
      </c>
      <c r="T322" t="str">
        <f>CONCATENATE(T$2,": ",T$3,list1!T322,"]")</f>
        <v xml:space="preserve"> (Наружный блок) Размеры (Ш x Г x В): S[760 х 250 х 550]</v>
      </c>
      <c r="U322" t="str">
        <f>CONCATENATE(U$2,": ",U$3,list1!U322,"]")</f>
        <v xml:space="preserve"> (Наружный блок) Упаковка (Ш x Г x В): S[863 х 361 х 590]</v>
      </c>
      <c r="V322" t="str">
        <f>CONCATENATE(V$2,": ",V$3,list1!V322,"]")</f>
        <v xml:space="preserve"> (Наружный блок) Масса (нетто / брутто): S[30/33]</v>
      </c>
      <c r="W322" t="str">
        <f>CONCATENATE(W$2,": ",W$3,list1!W322,"]")</f>
        <v xml:space="preserve"> (Наружный блок) Максимальный уровень шума: N[]</v>
      </c>
      <c r="X322" t="str">
        <f>CONCATENATE(X$2,": ",X$3,list1!X322,"]")</f>
        <v xml:space="preserve"> (Соединительные трубы) Жидкостная линия : N[6.35]</v>
      </c>
      <c r="Y322" t="str">
        <f>CONCATENATE(Y$2,": ",Y$3,list1!Y322,"]")</f>
        <v xml:space="preserve"> (Соединительные трубы) Газовая линия : N[12.7]</v>
      </c>
      <c r="Z322" t="str">
        <f>CONCATENATE(Z$2,": ",Z$3,list1!Z322,"]")</f>
        <v xml:space="preserve"> (Соединительные трубы) Максимальная длина трубопровода: N[25]</v>
      </c>
      <c r="AA322" t="str">
        <f>CONCATENATE(AA$2,": ",AA$3,list1!AA322,"]")</f>
        <v xml:space="preserve"> (Соединительные трубы) Максимальный перепад высот: S[15]</v>
      </c>
      <c r="AB322" t="str">
        <f>CONCATENATE(AB$2,": ",AB$3,list1!AB322,"]")</f>
        <v xml:space="preserve"> (Допустимая темп. наружного воздуха) Охлаждение: S[от 17 до +43]</v>
      </c>
      <c r="AC322" t="str">
        <f>CONCATENATE(AC$2,": ",AC$3,list1!AC322,"]")</f>
        <v xml:space="preserve"> (Допустимая темп. наружного воздуха) Обогрев: S[от -7 до +24]</v>
      </c>
      <c r="AD322" s="6" t="s">
        <v>5245</v>
      </c>
    </row>
    <row r="323" spans="1:30" x14ac:dyDescent="0.25">
      <c r="A323" t="str">
        <f>CONCATENATE(A$2,": ",A$3,list1!A323,"]")</f>
        <v>Производитель: E[QUATTROCLIMA]</v>
      </c>
      <c r="B323" t="str">
        <f>CONCATENATE(B$2,": ",B$3,list1!B323,"]")</f>
        <v xml:space="preserve"> Тип: S[Кассетные]</v>
      </c>
      <c r="C323" t="str">
        <f>CONCATENATE(C$2,": ",C$3,list1!C323,"]")</f>
        <v xml:space="preserve"> (Сплит система) Холодопроизводительность: N[5.18]</v>
      </c>
      <c r="D323" t="str">
        <f>CONCATENATE(D$2,": ",D$3,list1!D323,"]")</f>
        <v xml:space="preserve"> (Сплит система) Площадь помещения: N[52]</v>
      </c>
      <c r="E323" t="str">
        <f>CONCATENATE(E$2,": ",E$3,list1!E323,"]")</f>
        <v xml:space="preserve"> (Сплит система) Инвентор: S[нет]</v>
      </c>
      <c r="F323" t="str">
        <f>CONCATENATE(F$2,": ",F$3,list1!F323,"]")</f>
        <v xml:space="preserve"> (Сплит система) Теплопроизводительность: N[5.6]</v>
      </c>
      <c r="G323" t="str">
        <f>CONCATENATE(G$2,": ",G$3,list1!G323,"]")</f>
        <v xml:space="preserve"> (Потребляемая мощность) Охлаждение: N[1.683]</v>
      </c>
      <c r="H323" t="str">
        <f>CONCATENATE(H$2,": ",H$3,list1!H323,"]")</f>
        <v xml:space="preserve"> (Потребляемая мощность) Обогрев: S[1.761]</v>
      </c>
      <c r="I323" t="str">
        <f>CONCATENATE(I$2,": ",I$3,list1!I323,"]")</f>
        <v xml:space="preserve"> (Рабочий ток) Охлаждение: S[]</v>
      </c>
      <c r="J323" t="str">
        <f>CONCATENATE(J$2,": ",J$3,list1!J323,"]")</f>
        <v xml:space="preserve"> (Рабочий ток) Обогрев: S[]</v>
      </c>
      <c r="K323" t="str">
        <f>CONCATENATE(K$2,": ",K$3,list1!K323,"]")</f>
        <v xml:space="preserve"> (Рабочий ток) Напряжение / Частота источника питания: S[1 / 220 / 50]</v>
      </c>
      <c r="L323" t="str">
        <f>CONCATENATE(L$2,": ",L$3,list1!L323,"]")</f>
        <v xml:space="preserve"> (Рабочий ток) Хладагент: S[R410A]</v>
      </c>
      <c r="M323" t="str">
        <f>CONCATENATE(M$2,": ",M$3,list1!M323,"]")</f>
        <v xml:space="preserve"> (Рабочий ток) Количество хладагента: N[]</v>
      </c>
      <c r="N323" t="str">
        <f>CONCATENATE(N$2,": ",N$3,list1!N323,"]")</f>
        <v xml:space="preserve"> (Рабочий ток) Объем рециркулируемого воздуха внутреннего блока: S[]</v>
      </c>
      <c r="O323" t="str">
        <f>CONCATENATE(O$2,": ",O$3,list1!O323,"]")</f>
        <v xml:space="preserve"> (Внутренний блок) Размеры (Ш x Г x В): S[650 х 30 х 650]</v>
      </c>
      <c r="P323" t="str">
        <f>CONCATENATE(P$2,": ",P$3,list1!P323,"]")</f>
        <v xml:space="preserve"> (Внутренний блок) Упаковка (Ш x Г x В): S[690 х 690 х 65]</v>
      </c>
      <c r="Q323" t="str">
        <f>CONCATENATE(Q$2,": ",Q$3,list1!Q323,"]")</f>
        <v xml:space="preserve"> (Внутренний блок) Масса (нетто / брутто): S[2.5 / 4.5]</v>
      </c>
      <c r="R323" t="str">
        <f>CONCATENATE(R$2,": ",R$3,list1!R323,"]")</f>
        <v xml:space="preserve"> (Внутренний блок) Уровень шума мин. / макс.: S[34/38/41]</v>
      </c>
      <c r="S323" t="str">
        <f>CONCATENATE(S$2,": ",S$3,list1!S323,"]")</f>
        <v xml:space="preserve"> (Наружный блок) Марка компрессора: S[GMCC]</v>
      </c>
      <c r="T323" t="str">
        <f>CONCATENATE(T$2,": ",T$3,list1!T323,"]")</f>
        <v xml:space="preserve"> (Наружный блок) Размеры (Ш x Г x В): S[780 х 290 х 605]</v>
      </c>
      <c r="U323" t="str">
        <f>CONCATENATE(U$2,": ",U$3,list1!U323,"]")</f>
        <v xml:space="preserve"> (Наружный блок) Упаковка (Ш x Г x В): S[883 х 412 х 653]</v>
      </c>
      <c r="V323" t="str">
        <f>CONCATENATE(V$2,": ",V$3,list1!V323,"]")</f>
        <v xml:space="preserve"> (Наружный блок) Масса (нетто / брутто): S[38/42]</v>
      </c>
      <c r="W323" t="str">
        <f>CONCATENATE(W$2,": ",W$3,list1!W323,"]")</f>
        <v xml:space="preserve"> (Наружный блок) Максимальный уровень шума: N[]</v>
      </c>
      <c r="X323" t="str">
        <f>CONCATENATE(X$2,": ",X$3,list1!X323,"]")</f>
        <v xml:space="preserve"> (Соединительные трубы) Жидкостная линия : N[6.35]</v>
      </c>
      <c r="Y323" t="str">
        <f>CONCATENATE(Y$2,": ",Y$3,list1!Y323,"]")</f>
        <v xml:space="preserve"> (Соединительные трубы) Газовая линия : N[12.7]</v>
      </c>
      <c r="Z323" t="str">
        <f>CONCATENATE(Z$2,": ",Z$3,list1!Z323,"]")</f>
        <v xml:space="preserve"> (Соединительные трубы) Максимальная длина трубопровода: N[25]</v>
      </c>
      <c r="AA323" t="str">
        <f>CONCATENATE(AA$2,": ",AA$3,list1!AA323,"]")</f>
        <v xml:space="preserve"> (Соединительные трубы) Максимальный перепад высот: S[15]</v>
      </c>
      <c r="AB323" t="str">
        <f>CONCATENATE(AB$2,": ",AB$3,list1!AB323,"]")</f>
        <v xml:space="preserve"> (Допустимая темп. наружного воздуха) Охлаждение: S[от 17 до +43]</v>
      </c>
      <c r="AC323" t="str">
        <f>CONCATENATE(AC$2,": ",AC$3,list1!AC323,"]")</f>
        <v xml:space="preserve"> (Допустимая темп. наружного воздуха) Обогрев: S[от -7 до +24]</v>
      </c>
      <c r="AD323" s="6" t="s">
        <v>5245</v>
      </c>
    </row>
    <row r="324" spans="1:30" x14ac:dyDescent="0.25">
      <c r="A324" t="str">
        <f>CONCATENATE(A$2,": ",A$3,list1!A324,"]")</f>
        <v>Производитель: E[QUATTROCLIMA]</v>
      </c>
      <c r="B324" t="str">
        <f>CONCATENATE(B$2,": ",B$3,list1!B324,"]")</f>
        <v xml:space="preserve"> Тип: S[Кассетные]</v>
      </c>
      <c r="C324" t="str">
        <f>CONCATENATE(C$2,": ",C$3,list1!C324,"]")</f>
        <v xml:space="preserve"> (Сплит система) Холодопроизводительность: N[7.2]</v>
      </c>
      <c r="D324" t="str">
        <f>CONCATENATE(D$2,": ",D$3,list1!D324,"]")</f>
        <v xml:space="preserve"> (Сплит система) Площадь помещения: N[72]</v>
      </c>
      <c r="E324" t="str">
        <f>CONCATENATE(E$2,": ",E$3,list1!E324,"]")</f>
        <v xml:space="preserve"> (Сплит система) Инвентор: S[нет]</v>
      </c>
      <c r="F324" t="str">
        <f>CONCATENATE(F$2,": ",F$3,list1!F324,"]")</f>
        <v xml:space="preserve"> (Сплит система) Теплопроизводительность: N[7.9]</v>
      </c>
      <c r="G324" t="str">
        <f>CONCATENATE(G$2,": ",G$3,list1!G324,"]")</f>
        <v xml:space="preserve"> (Потребляемая мощность) Охлаждение: N[2.432]</v>
      </c>
      <c r="H324" t="str">
        <f>CONCATENATE(H$2,": ",H$3,list1!H324,"]")</f>
        <v xml:space="preserve"> (Потребляемая мощность) Обогрев: S[2.192]</v>
      </c>
      <c r="I324" t="str">
        <f>CONCATENATE(I$2,": ",I$3,list1!I324,"]")</f>
        <v xml:space="preserve"> (Рабочий ток) Охлаждение: S[]</v>
      </c>
      <c r="J324" t="str">
        <f>CONCATENATE(J$2,": ",J$3,list1!J324,"]")</f>
        <v xml:space="preserve"> (Рабочий ток) Обогрев: S[]</v>
      </c>
      <c r="K324" t="str">
        <f>CONCATENATE(K$2,": ",K$3,list1!K324,"]")</f>
        <v xml:space="preserve"> (Рабочий ток) Напряжение / Частота источника питания: S[1 / 220 / 50]</v>
      </c>
      <c r="L324" t="str">
        <f>CONCATENATE(L$2,": ",L$3,list1!L324,"]")</f>
        <v xml:space="preserve"> (Рабочий ток) Хладагент: S[R410A]</v>
      </c>
      <c r="M324" t="str">
        <f>CONCATENATE(M$2,": ",M$3,list1!M324,"]")</f>
        <v xml:space="preserve"> (Рабочий ток) Количество хладагента: N[]</v>
      </c>
      <c r="N324" t="str">
        <f>CONCATENATE(N$2,": ",N$3,list1!N324,"]")</f>
        <v xml:space="preserve"> (Рабочий ток) Объем рециркулируемого воздуха внутреннего блока: S[]</v>
      </c>
      <c r="O324" t="str">
        <f>CONCATENATE(O$2,": ",O$3,list1!O324,"]")</f>
        <v xml:space="preserve"> (Внутренний блок) Размеры (Ш x Г x В): S[950 х 45 х 950]</v>
      </c>
      <c r="P324" t="str">
        <f>CONCATENATE(P$2,": ",P$3,list1!P324,"]")</f>
        <v xml:space="preserve"> (Внутренний блок) Упаковка (Ш x Г x В): S[1035 х 1035 х 80]</v>
      </c>
      <c r="Q324" t="str">
        <f>CONCATENATE(Q$2,": ",Q$3,list1!Q324,"]")</f>
        <v xml:space="preserve"> (Внутренний блок) Масса (нетто / брутто): S[6 / 9]</v>
      </c>
      <c r="R324" t="str">
        <f>CONCATENATE(R$2,": ",R$3,list1!R324,"]")</f>
        <v xml:space="preserve"> (Внутренний блок) Уровень шума мин. / макс.: S[37/41/43]</v>
      </c>
      <c r="S324" t="str">
        <f>CONCATENATE(S$2,": ",S$3,list1!S324,"]")</f>
        <v xml:space="preserve"> (Наружный блок) Марка компрессора: S[GMCC]</v>
      </c>
      <c r="T324" t="str">
        <f>CONCATENATE(T$2,": ",T$3,list1!T324,"]")</f>
        <v xml:space="preserve"> (Наружный блок) Размеры (Ш x Г x В): S[900 х 310 х 650]</v>
      </c>
      <c r="U324" t="str">
        <f>CONCATENATE(U$2,": ",U$3,list1!U324,"]")</f>
        <v xml:space="preserve"> (Наружный блок) Упаковка (Ш x Г x В): S[1015 х 425 х 720]</v>
      </c>
      <c r="V324" t="str">
        <f>CONCATENATE(V$2,": ",V$3,list1!V324,"]")</f>
        <v xml:space="preserve"> (Наружный блок) Масса (нетто / брутто): S[51/54]</v>
      </c>
      <c r="W324" t="str">
        <f>CONCATENATE(W$2,": ",W$3,list1!W324,"]")</f>
        <v xml:space="preserve"> (Наружный блок) Максимальный уровень шума: N[]</v>
      </c>
      <c r="X324" t="str">
        <f>CONCATENATE(X$2,": ",X$3,list1!X324,"]")</f>
        <v xml:space="preserve"> (Соединительные трубы) Жидкостная линия : N[9.52]</v>
      </c>
      <c r="Y324" t="str">
        <f>CONCATENATE(Y$2,": ",Y$3,list1!Y324,"]")</f>
        <v xml:space="preserve"> (Соединительные трубы) Газовая линия : N[15.88]</v>
      </c>
      <c r="Z324" t="str">
        <f>CONCATENATE(Z$2,": ",Z$3,list1!Z324,"]")</f>
        <v xml:space="preserve"> (Соединительные трубы) Максимальная длина трубопровода: N[30]</v>
      </c>
      <c r="AA324" t="str">
        <f>CONCATENATE(AA$2,": ",AA$3,list1!AA324,"]")</f>
        <v xml:space="preserve"> (Соединительные трубы) Максимальный перепад высот: S[15]</v>
      </c>
      <c r="AB324" t="str">
        <f>CONCATENATE(AB$2,": ",AB$3,list1!AB324,"]")</f>
        <v xml:space="preserve"> (Допустимая темп. наружного воздуха) Охлаждение: S[от 17 до +43]</v>
      </c>
      <c r="AC324" t="str">
        <f>CONCATENATE(AC$2,": ",AC$3,list1!AC324,"]")</f>
        <v xml:space="preserve"> (Допустимая темп. наружного воздуха) Обогрев: S[от -7 до +24]</v>
      </c>
      <c r="AD324" s="6" t="s">
        <v>5245</v>
      </c>
    </row>
    <row r="325" spans="1:30" x14ac:dyDescent="0.25">
      <c r="A325" t="str">
        <f>CONCATENATE(A$2,": ",A$3,list1!A325,"]")</f>
        <v>Производитель: E[QUATTROCLIMA]</v>
      </c>
      <c r="B325" t="str">
        <f>CONCATENATE(B$2,": ",B$3,list1!B325,"]")</f>
        <v xml:space="preserve"> Тип: S[Кассетные]</v>
      </c>
      <c r="C325" t="str">
        <f>CONCATENATE(C$2,": ",C$3,list1!C325,"]")</f>
        <v xml:space="preserve"> (Сплит система) Холодопроизводительность: N[7.2]</v>
      </c>
      <c r="D325" t="str">
        <f>CONCATENATE(D$2,": ",D$3,list1!D325,"]")</f>
        <v xml:space="preserve"> (Сплит система) Площадь помещения: N[72]</v>
      </c>
      <c r="E325" t="str">
        <f>CONCATENATE(E$2,": ",E$3,list1!E325,"]")</f>
        <v xml:space="preserve"> (Сплит система) Инвентор: S[нет]</v>
      </c>
      <c r="F325" t="str">
        <f>CONCATENATE(F$2,": ",F$3,list1!F325,"]")</f>
        <v xml:space="preserve"> (Сплит система) Теплопроизводительность: N[7.9]</v>
      </c>
      <c r="G325" t="str">
        <f>CONCATENATE(G$2,": ",G$3,list1!G325,"]")</f>
        <v xml:space="preserve"> (Потребляемая мощность) Охлаждение: N[2.432]</v>
      </c>
      <c r="H325" t="str">
        <f>CONCATENATE(H$2,": ",H$3,list1!H325,"]")</f>
        <v xml:space="preserve"> (Потребляемая мощность) Обогрев: S[2.192]</v>
      </c>
      <c r="I325" t="str">
        <f>CONCATENATE(I$2,": ",I$3,list1!I325,"]")</f>
        <v xml:space="preserve"> (Рабочий ток) Охлаждение: S[]</v>
      </c>
      <c r="J325" t="str">
        <f>CONCATENATE(J$2,": ",J$3,list1!J325,"]")</f>
        <v xml:space="preserve"> (Рабочий ток) Обогрев: S[]</v>
      </c>
      <c r="K325" t="str">
        <f>CONCATENATE(K$2,": ",K$3,list1!K325,"]")</f>
        <v xml:space="preserve"> (Рабочий ток) Напряжение / Частота источника питания: S[1 / 220 / 50]</v>
      </c>
      <c r="L325" t="str">
        <f>CONCATENATE(L$2,": ",L$3,list1!L325,"]")</f>
        <v xml:space="preserve"> (Рабочий ток) Хладагент: S[R410A]</v>
      </c>
      <c r="M325" t="str">
        <f>CONCATENATE(M$2,": ",M$3,list1!M325,"]")</f>
        <v xml:space="preserve"> (Рабочий ток) Количество хладагента: N[]</v>
      </c>
      <c r="N325" t="str">
        <f>CONCATENATE(N$2,": ",N$3,list1!N325,"]")</f>
        <v xml:space="preserve"> (Рабочий ток) Объем рециркулируемого воздуха внутреннего блока: S[]</v>
      </c>
      <c r="O325" t="str">
        <f>CONCATENATE(O$2,": ",O$3,list1!O325,"]")</f>
        <v xml:space="preserve"> (Внутренний блок) Размеры (Ш x Г x В): S[950 х 45 х 950]</v>
      </c>
      <c r="P325" t="str">
        <f>CONCATENATE(P$2,": ",P$3,list1!P325,"]")</f>
        <v xml:space="preserve"> (Внутренний блок) Упаковка (Ш x Г x В): S[1035 х 1035 х 80]</v>
      </c>
      <c r="Q325" t="str">
        <f>CONCATENATE(Q$2,": ",Q$3,list1!Q325,"]")</f>
        <v xml:space="preserve"> (Внутренний блок) Масса (нетто / брутто): S[6 / 9]</v>
      </c>
      <c r="R325" t="str">
        <f>CONCATENATE(R$2,": ",R$3,list1!R325,"]")</f>
        <v xml:space="preserve"> (Внутренний блок) Уровень шума мин. / макс.: S[37/41/43]</v>
      </c>
      <c r="S325" t="str">
        <f>CONCATENATE(S$2,": ",S$3,list1!S325,"]")</f>
        <v xml:space="preserve"> (Наружный блок) Марка компрессора: S[GMCC]</v>
      </c>
      <c r="T325" t="str">
        <f>CONCATENATE(T$2,": ",T$3,list1!T325,"]")</f>
        <v xml:space="preserve"> (Наружный блок) Размеры (Ш x Г x В): S[900 х 310 х 650]</v>
      </c>
      <c r="U325" t="str">
        <f>CONCATENATE(U$2,": ",U$3,list1!U325,"]")</f>
        <v xml:space="preserve"> (Наружный блок) Упаковка (Ш x Г x В): S[1015 х 425 х 720]</v>
      </c>
      <c r="V325" t="str">
        <f>CONCATENATE(V$2,": ",V$3,list1!V325,"]")</f>
        <v xml:space="preserve"> (Наружный блок) Масса (нетто / брутто): S[51/54]</v>
      </c>
      <c r="W325" t="str">
        <f>CONCATENATE(W$2,": ",W$3,list1!W325,"]")</f>
        <v xml:space="preserve"> (Наружный блок) Максимальный уровень шума: N[]</v>
      </c>
      <c r="X325" t="str">
        <f>CONCATENATE(X$2,": ",X$3,list1!X325,"]")</f>
        <v xml:space="preserve"> (Соединительные трубы) Жидкостная линия : N[9.52]</v>
      </c>
      <c r="Y325" t="str">
        <f>CONCATENATE(Y$2,": ",Y$3,list1!Y325,"]")</f>
        <v xml:space="preserve"> (Соединительные трубы) Газовая линия : N[15.88]</v>
      </c>
      <c r="Z325" t="str">
        <f>CONCATENATE(Z$2,": ",Z$3,list1!Z325,"]")</f>
        <v xml:space="preserve"> (Соединительные трубы) Максимальная длина трубопровода: N[30]</v>
      </c>
      <c r="AA325" t="str">
        <f>CONCATENATE(AA$2,": ",AA$3,list1!AA325,"]")</f>
        <v xml:space="preserve"> (Соединительные трубы) Максимальный перепад высот: S[15]</v>
      </c>
      <c r="AB325" t="str">
        <f>CONCATENATE(AB$2,": ",AB$3,list1!AB325,"]")</f>
        <v xml:space="preserve"> (Допустимая темп. наружного воздуха) Охлаждение: S[от 17 до +43]</v>
      </c>
      <c r="AC325" t="str">
        <f>CONCATENATE(AC$2,": ",AC$3,list1!AC325,"]")</f>
        <v xml:space="preserve"> (Допустимая темп. наружного воздуха) Обогрев: S[от -7 до +24]</v>
      </c>
      <c r="AD325" s="6" t="s">
        <v>5245</v>
      </c>
    </row>
    <row r="326" spans="1:30" x14ac:dyDescent="0.25">
      <c r="A326" t="str">
        <f>CONCATENATE(A$2,": ",A$3,list1!A326,"]")</f>
        <v>Производитель: E[QUATTROCLIMA]</v>
      </c>
      <c r="B326" t="str">
        <f>CONCATENATE(B$2,": ",B$3,list1!B326,"]")</f>
        <v xml:space="preserve"> Тип: S[Кассетные]</v>
      </c>
      <c r="C326" t="str">
        <f>CONCATENATE(C$2,": ",C$3,list1!C326,"]")</f>
        <v xml:space="preserve"> (Сплит система) Холодопроизводительность: N[10.5]</v>
      </c>
      <c r="D326" t="str">
        <f>CONCATENATE(D$2,": ",D$3,list1!D326,"]")</f>
        <v xml:space="preserve"> (Сплит система) Площадь помещения: N[105]</v>
      </c>
      <c r="E326" t="str">
        <f>CONCATENATE(E$2,": ",E$3,list1!E326,"]")</f>
        <v xml:space="preserve"> (Сплит система) Инвентор: S[нет]</v>
      </c>
      <c r="F326" t="str">
        <f>CONCATENATE(F$2,": ",F$3,list1!F326,"]")</f>
        <v xml:space="preserve"> (Сплит система) Теплопроизводительность: N[12]</v>
      </c>
      <c r="G326" t="str">
        <f>CONCATENATE(G$2,": ",G$3,list1!G326,"]")</f>
        <v xml:space="preserve"> (Потребляемая мощность) Охлаждение: N[3.723]</v>
      </c>
      <c r="H326" t="str">
        <f>CONCATENATE(H$2,": ",H$3,list1!H326,"]")</f>
        <v xml:space="preserve"> (Потребляемая мощность) Обогрев: S[3.409]</v>
      </c>
      <c r="I326" t="str">
        <f>CONCATENATE(I$2,": ",I$3,list1!I326,"]")</f>
        <v xml:space="preserve"> (Рабочий ток) Охлаждение: S[]</v>
      </c>
      <c r="J326" t="str">
        <f>CONCATENATE(J$2,": ",J$3,list1!J326,"]")</f>
        <v xml:space="preserve"> (Рабочий ток) Обогрев: S[]</v>
      </c>
      <c r="K326" t="str">
        <f>CONCATENATE(K$2,": ",K$3,list1!K326,"]")</f>
        <v xml:space="preserve"> (Рабочий ток) Напряжение / Частота источника питания: S[3 / 380 / 50]</v>
      </c>
      <c r="L326" t="str">
        <f>CONCATENATE(L$2,": ",L$3,list1!L326,"]")</f>
        <v xml:space="preserve"> (Рабочий ток) Хладагент: S[R410A]</v>
      </c>
      <c r="M326" t="str">
        <f>CONCATENATE(M$2,": ",M$3,list1!M326,"]")</f>
        <v xml:space="preserve"> (Рабочий ток) Количество хладагента: N[]</v>
      </c>
      <c r="N326" t="str">
        <f>CONCATENATE(N$2,": ",N$3,list1!N326,"]")</f>
        <v xml:space="preserve"> (Рабочий ток) Объем рециркулируемого воздуха внутреннего блока: S[]</v>
      </c>
      <c r="O326" t="str">
        <f>CONCATENATE(O$2,": ",O$3,list1!O326,"]")</f>
        <v xml:space="preserve"> (Внутренний блок) Размеры (Ш x Г x В): S[950 х 45 х 950]</v>
      </c>
      <c r="P326" t="str">
        <f>CONCATENATE(P$2,": ",P$3,list1!P326,"]")</f>
        <v xml:space="preserve"> (Внутренний блок) Упаковка (Ш x Г x В): S[1035 х 1035 х 80]</v>
      </c>
      <c r="Q326" t="str">
        <f>CONCATENATE(Q$2,": ",Q$3,list1!Q326,"]")</f>
        <v xml:space="preserve"> (Внутренний блок) Масса (нетто / брутто): S[6 / 9]</v>
      </c>
      <c r="R326" t="str">
        <f>CONCATENATE(R$2,": ",R$3,list1!R326,"]")</f>
        <v xml:space="preserve"> (Внутренний блок) Уровень шума мин. / макс.: S[41/43/45]</v>
      </c>
      <c r="S326" t="str">
        <f>CONCATENATE(S$2,": ",S$3,list1!S326,"]")</f>
        <v xml:space="preserve"> (Наружный блок) Марка компрессора: S[HIGHLY]</v>
      </c>
      <c r="T326" t="str">
        <f>CONCATENATE(T$2,": ",T$3,list1!T326,"]")</f>
        <v xml:space="preserve"> (Наружный блок) Размеры (Ш x Г x В): S[900 х 360 х 805]</v>
      </c>
      <c r="U326" t="str">
        <f>CONCATENATE(U$2,": ",U$3,list1!U326,"]")</f>
        <v xml:space="preserve"> (Наружный блок) Упаковка (Ш x Г x В): S[1020 х 475 х 860]</v>
      </c>
      <c r="V326" t="str">
        <f>CONCATENATE(V$2,": ",V$3,list1!V326,"]")</f>
        <v xml:space="preserve"> (Наружный блок) Масса (нетто / брутто): S[64/69]</v>
      </c>
      <c r="W326" t="str">
        <f>CONCATENATE(W$2,": ",W$3,list1!W326,"]")</f>
        <v xml:space="preserve"> (Наружный блок) Максимальный уровень шума: N[]</v>
      </c>
      <c r="X326" t="str">
        <f>CONCATENATE(X$2,": ",X$3,list1!X326,"]")</f>
        <v xml:space="preserve"> (Соединительные трубы) Жидкостная линия : N[9.52]</v>
      </c>
      <c r="Y326" t="str">
        <f>CONCATENATE(Y$2,": ",Y$3,list1!Y326,"]")</f>
        <v xml:space="preserve"> (Соединительные трубы) Газовая линия : N[19.05]</v>
      </c>
      <c r="Z326" t="str">
        <f>CONCATENATE(Z$2,": ",Z$3,list1!Z326,"]")</f>
        <v xml:space="preserve"> (Соединительные трубы) Максимальная длина трубопровода: N[30]</v>
      </c>
      <c r="AA326" t="str">
        <f>CONCATENATE(AA$2,": ",AA$3,list1!AA326,"]")</f>
        <v xml:space="preserve"> (Соединительные трубы) Максимальный перепад высот: S[20]</v>
      </c>
      <c r="AB326" t="str">
        <f>CONCATENATE(AB$2,": ",AB$3,list1!AB326,"]")</f>
        <v xml:space="preserve"> (Допустимая темп. наружного воздуха) Охлаждение: S[от 17 до +43]</v>
      </c>
      <c r="AC326" t="str">
        <f>CONCATENATE(AC$2,": ",AC$3,list1!AC326,"]")</f>
        <v xml:space="preserve"> (Допустимая темп. наружного воздуха) Обогрев: S[от -7 до +24]</v>
      </c>
      <c r="AD326" s="6" t="s">
        <v>5245</v>
      </c>
    </row>
    <row r="327" spans="1:30" x14ac:dyDescent="0.25">
      <c r="A327" t="str">
        <f>CONCATENATE(A$2,": ",A$3,list1!A327,"]")</f>
        <v>Производитель: E[QUATTROCLIMA]</v>
      </c>
      <c r="B327" t="str">
        <f>CONCATENATE(B$2,": ",B$3,list1!B327,"]")</f>
        <v xml:space="preserve"> Тип: S[Кассетные]</v>
      </c>
      <c r="C327" t="str">
        <f>CONCATENATE(C$2,": ",C$3,list1!C327,"]")</f>
        <v xml:space="preserve"> (Сплит система) Холодопроизводительность: N[10.5]</v>
      </c>
      <c r="D327" t="str">
        <f>CONCATENATE(D$2,": ",D$3,list1!D327,"]")</f>
        <v xml:space="preserve"> (Сплит система) Площадь помещения: N[105]</v>
      </c>
      <c r="E327" t="str">
        <f>CONCATENATE(E$2,": ",E$3,list1!E327,"]")</f>
        <v xml:space="preserve"> (Сплит система) Инвентор: S[нет]</v>
      </c>
      <c r="F327" t="str">
        <f>CONCATENATE(F$2,": ",F$3,list1!F327,"]")</f>
        <v xml:space="preserve"> (Сплит система) Теплопроизводительность: N[12]</v>
      </c>
      <c r="G327" t="str">
        <f>CONCATENATE(G$2,": ",G$3,list1!G327,"]")</f>
        <v xml:space="preserve"> (Потребляемая мощность) Охлаждение: N[3.723]</v>
      </c>
      <c r="H327" t="str">
        <f>CONCATENATE(H$2,": ",H$3,list1!H327,"]")</f>
        <v xml:space="preserve"> (Потребляемая мощность) Обогрев: S[3.409]</v>
      </c>
      <c r="I327" t="str">
        <f>CONCATENATE(I$2,": ",I$3,list1!I327,"]")</f>
        <v xml:space="preserve"> (Рабочий ток) Охлаждение: S[]</v>
      </c>
      <c r="J327" t="str">
        <f>CONCATENATE(J$2,": ",J$3,list1!J327,"]")</f>
        <v xml:space="preserve"> (Рабочий ток) Обогрев: S[]</v>
      </c>
      <c r="K327" t="str">
        <f>CONCATENATE(K$2,": ",K$3,list1!K327,"]")</f>
        <v xml:space="preserve"> (Рабочий ток) Напряжение / Частота источника питания: S[3 / 380 / 50]</v>
      </c>
      <c r="L327" t="str">
        <f>CONCATENATE(L$2,": ",L$3,list1!L327,"]")</f>
        <v xml:space="preserve"> (Рабочий ток) Хладагент: S[R410A]</v>
      </c>
      <c r="M327" t="str">
        <f>CONCATENATE(M$2,": ",M$3,list1!M327,"]")</f>
        <v xml:space="preserve"> (Рабочий ток) Количество хладагента: N[]</v>
      </c>
      <c r="N327" t="str">
        <f>CONCATENATE(N$2,": ",N$3,list1!N327,"]")</f>
        <v xml:space="preserve"> (Рабочий ток) Объем рециркулируемого воздуха внутреннего блока: S[]</v>
      </c>
      <c r="O327" t="str">
        <f>CONCATENATE(O$2,": ",O$3,list1!O327,"]")</f>
        <v xml:space="preserve"> (Внутренний блок) Размеры (Ш x Г x В): S[950 х 45 х 950]</v>
      </c>
      <c r="P327" t="str">
        <f>CONCATENATE(P$2,": ",P$3,list1!P327,"]")</f>
        <v xml:space="preserve"> (Внутренний блок) Упаковка (Ш x Г x В): S[1035 х 1035 х 80]</v>
      </c>
      <c r="Q327" t="str">
        <f>CONCATENATE(Q$2,": ",Q$3,list1!Q327,"]")</f>
        <v xml:space="preserve"> (Внутренний блок) Масса (нетто / брутто): S[6 / 9]</v>
      </c>
      <c r="R327" t="str">
        <f>CONCATENATE(R$2,": ",R$3,list1!R327,"]")</f>
        <v xml:space="preserve"> (Внутренний блок) Уровень шума мин. / макс.: S[41/43/45]</v>
      </c>
      <c r="S327" t="str">
        <f>CONCATENATE(S$2,": ",S$3,list1!S327,"]")</f>
        <v xml:space="preserve"> (Наружный блок) Марка компрессора: S[HIGHLY]</v>
      </c>
      <c r="T327" t="str">
        <f>CONCATENATE(T$2,": ",T$3,list1!T327,"]")</f>
        <v xml:space="preserve"> (Наружный блок) Размеры (Ш x Г x В): S[900 х 360 х 805]</v>
      </c>
      <c r="U327" t="str">
        <f>CONCATENATE(U$2,": ",U$3,list1!U327,"]")</f>
        <v xml:space="preserve"> (Наружный блок) Упаковка (Ш x Г x В): S[1020 х 475 х 860]</v>
      </c>
      <c r="V327" t="str">
        <f>CONCATENATE(V$2,": ",V$3,list1!V327,"]")</f>
        <v xml:space="preserve"> (Наружный блок) Масса (нетто / брутто): S[64/69]</v>
      </c>
      <c r="W327" t="str">
        <f>CONCATENATE(W$2,": ",W$3,list1!W327,"]")</f>
        <v xml:space="preserve"> (Наружный блок) Максимальный уровень шума: N[]</v>
      </c>
      <c r="X327" t="str">
        <f>CONCATENATE(X$2,": ",X$3,list1!X327,"]")</f>
        <v xml:space="preserve"> (Соединительные трубы) Жидкостная линия : N[9.52]</v>
      </c>
      <c r="Y327" t="str">
        <f>CONCATENATE(Y$2,": ",Y$3,list1!Y327,"]")</f>
        <v xml:space="preserve"> (Соединительные трубы) Газовая линия : N[19.05]</v>
      </c>
      <c r="Z327" t="str">
        <f>CONCATENATE(Z$2,": ",Z$3,list1!Z327,"]")</f>
        <v xml:space="preserve"> (Соединительные трубы) Максимальная длина трубопровода: N[30]</v>
      </c>
      <c r="AA327" t="str">
        <f>CONCATENATE(AA$2,": ",AA$3,list1!AA327,"]")</f>
        <v xml:space="preserve"> (Соединительные трубы) Максимальный перепад высот: S[20]</v>
      </c>
      <c r="AB327" t="str">
        <f>CONCATENATE(AB$2,": ",AB$3,list1!AB327,"]")</f>
        <v xml:space="preserve"> (Допустимая темп. наружного воздуха) Охлаждение: S[от 17 до +43]</v>
      </c>
      <c r="AC327" t="str">
        <f>CONCATENATE(AC$2,": ",AC$3,list1!AC327,"]")</f>
        <v xml:space="preserve"> (Допустимая темп. наружного воздуха) Обогрев: S[от -7 до +24]</v>
      </c>
      <c r="AD327" s="6" t="s">
        <v>5245</v>
      </c>
    </row>
    <row r="328" spans="1:30" x14ac:dyDescent="0.25">
      <c r="A328" t="str">
        <f>CONCATENATE(A$2,": ",A$3,list1!A328,"]")</f>
        <v>Производитель: E[QUATTROCLIMA]</v>
      </c>
      <c r="B328" t="str">
        <f>CONCATENATE(B$2,": ",B$3,list1!B328,"]")</f>
        <v xml:space="preserve"> Тип: S[Кассетные]</v>
      </c>
      <c r="C328" t="str">
        <f>CONCATENATE(C$2,": ",C$3,list1!C328,"]")</f>
        <v xml:space="preserve"> (Сплит система) Холодопроизводительность: N[14]</v>
      </c>
      <c r="D328" t="str">
        <f>CONCATENATE(D$2,": ",D$3,list1!D328,"]")</f>
        <v xml:space="preserve"> (Сплит система) Площадь помещения: N[140]</v>
      </c>
      <c r="E328" t="str">
        <f>CONCATENATE(E$2,": ",E$3,list1!E328,"]")</f>
        <v xml:space="preserve"> (Сплит система) Инвентор: S[нет]</v>
      </c>
      <c r="F328" t="str">
        <f>CONCATENATE(F$2,": ",F$3,list1!F328,"]")</f>
        <v xml:space="preserve"> (Сплит система) Теплопроизводительность: N[14.65]</v>
      </c>
      <c r="G328" t="str">
        <f>CONCATENATE(G$2,": ",G$3,list1!G328,"]")</f>
        <v xml:space="preserve"> (Потребляемая мощность) Охлаждение: N[4.636]</v>
      </c>
      <c r="H328" t="str">
        <f>CONCATENATE(H$2,": ",H$3,list1!H328,"]")</f>
        <v xml:space="preserve"> (Потребляемая мощность) Обогрев: S[5.079]</v>
      </c>
      <c r="I328" t="str">
        <f>CONCATENATE(I$2,": ",I$3,list1!I328,"]")</f>
        <v xml:space="preserve"> (Рабочий ток) Охлаждение: S[]</v>
      </c>
      <c r="J328" t="str">
        <f>CONCATENATE(J$2,": ",J$3,list1!J328,"]")</f>
        <v xml:space="preserve"> (Рабочий ток) Обогрев: S[]</v>
      </c>
      <c r="K328" t="str">
        <f>CONCATENATE(K$2,": ",K$3,list1!K328,"]")</f>
        <v xml:space="preserve"> (Рабочий ток) Напряжение / Частота источника питания: S[3 / 380 / 50]</v>
      </c>
      <c r="L328" t="str">
        <f>CONCATENATE(L$2,": ",L$3,list1!L328,"]")</f>
        <v xml:space="preserve"> (Рабочий ток) Хладагент: S[R410A]</v>
      </c>
      <c r="M328" t="str">
        <f>CONCATENATE(M$2,": ",M$3,list1!M328,"]")</f>
        <v xml:space="preserve"> (Рабочий ток) Количество хладагента: N[]</v>
      </c>
      <c r="N328" t="str">
        <f>CONCATENATE(N$2,": ",N$3,list1!N328,"]")</f>
        <v xml:space="preserve"> (Рабочий ток) Объем рециркулируемого воздуха внутреннего блока: S[]</v>
      </c>
      <c r="O328" t="str">
        <f>CONCATENATE(O$2,": ",O$3,list1!O328,"]")</f>
        <v xml:space="preserve"> (Внутренний блок) Размеры (Ш x Г x В): S[950 х 45 х 950]</v>
      </c>
      <c r="P328" t="str">
        <f>CONCATENATE(P$2,": ",P$3,list1!P328,"]")</f>
        <v xml:space="preserve"> (Внутренний блок) Упаковка (Ш x Г x В): S[1035 х 1035 х 80]</v>
      </c>
      <c r="Q328" t="str">
        <f>CONCATENATE(Q$2,": ",Q$3,list1!Q328,"]")</f>
        <v xml:space="preserve"> (Внутренний блок) Масса (нетто / брутто): S[6 / 9]</v>
      </c>
      <c r="R328" t="str">
        <f>CONCATENATE(R$2,": ",R$3,list1!R328,"]")</f>
        <v xml:space="preserve"> (Внутренний блок) Уровень шума мин. / макс.: S[41/43/45]</v>
      </c>
      <c r="S328" t="str">
        <f>CONCATENATE(S$2,": ",S$3,list1!S328,"]")</f>
        <v xml:space="preserve"> (Наружный блок) Марка компрессора: S[HIGHLY]</v>
      </c>
      <c r="T328" t="str">
        <f>CONCATENATE(T$2,": ",T$3,list1!T328,"]")</f>
        <v xml:space="preserve"> (Наружный блок) Размеры (Ш x Г x В): S[940 х 340 х 1250]</v>
      </c>
      <c r="U328" t="str">
        <f>CONCATENATE(U$2,": ",U$3,list1!U328,"]")</f>
        <v xml:space="preserve"> (Наружный блок) Упаковка (Ш x Г x В): S[1030 х 430 х 1365]</v>
      </c>
      <c r="V328" t="str">
        <f>CONCATENATE(V$2,": ",V$3,list1!V328,"]")</f>
        <v xml:space="preserve"> (Наружный блок) Масса (нетто / брутто): S[93/103]</v>
      </c>
      <c r="W328" t="str">
        <f>CONCATENATE(W$2,": ",W$3,list1!W328,"]")</f>
        <v xml:space="preserve"> (Наружный блок) Максимальный уровень шума: N[]</v>
      </c>
      <c r="X328" t="str">
        <f>CONCATENATE(X$2,": ",X$3,list1!X328,"]")</f>
        <v xml:space="preserve"> (Соединительные трубы) Жидкостная линия : N[9.52]</v>
      </c>
      <c r="Y328" t="str">
        <f>CONCATENATE(Y$2,": ",Y$3,list1!Y328,"]")</f>
        <v xml:space="preserve"> (Соединительные трубы) Газовая линия : N[19.05]</v>
      </c>
      <c r="Z328" t="str">
        <f>CONCATENATE(Z$2,": ",Z$3,list1!Z328,"]")</f>
        <v xml:space="preserve"> (Соединительные трубы) Максимальная длина трубопровода: N[50]</v>
      </c>
      <c r="AA328" t="str">
        <f>CONCATENATE(AA$2,": ",AA$3,list1!AA328,"]")</f>
        <v xml:space="preserve"> (Соединительные трубы) Максимальный перепад высот: S[30]</v>
      </c>
      <c r="AB328" t="str">
        <f>CONCATENATE(AB$2,": ",AB$3,list1!AB328,"]")</f>
        <v xml:space="preserve"> (Допустимая темп. наружного воздуха) Охлаждение: S[от 17 до +43]</v>
      </c>
      <c r="AC328" t="str">
        <f>CONCATENATE(AC$2,": ",AC$3,list1!AC328,"]")</f>
        <v xml:space="preserve"> (Допустимая темп. наружного воздуха) Обогрев: S[от -7 до +24]</v>
      </c>
      <c r="AD328" s="6" t="s">
        <v>5245</v>
      </c>
    </row>
    <row r="329" spans="1:30" x14ac:dyDescent="0.25">
      <c r="A329" t="str">
        <f>CONCATENATE(A$2,": ",A$3,list1!A329,"]")</f>
        <v>Производитель: E[QUATTROCLIMA]</v>
      </c>
      <c r="B329" t="str">
        <f>CONCATENATE(B$2,": ",B$3,list1!B329,"]")</f>
        <v xml:space="preserve"> Тип: S[Кассетные]</v>
      </c>
      <c r="C329" t="str">
        <f>CONCATENATE(C$2,": ",C$3,list1!C329,"]")</f>
        <v xml:space="preserve"> (Сплит система) Холодопроизводительность: N[14]</v>
      </c>
      <c r="D329" t="str">
        <f>CONCATENATE(D$2,": ",D$3,list1!D329,"]")</f>
        <v xml:space="preserve"> (Сплит система) Площадь помещения: N[140]</v>
      </c>
      <c r="E329" t="str">
        <f>CONCATENATE(E$2,": ",E$3,list1!E329,"]")</f>
        <v xml:space="preserve"> (Сплит система) Инвентор: S[нет]</v>
      </c>
      <c r="F329" t="str">
        <f>CONCATENATE(F$2,": ",F$3,list1!F329,"]")</f>
        <v xml:space="preserve"> (Сплит система) Теплопроизводительность: N[14.65]</v>
      </c>
      <c r="G329" t="str">
        <f>CONCATENATE(G$2,": ",G$3,list1!G329,"]")</f>
        <v xml:space="preserve"> (Потребляемая мощность) Охлаждение: N[4.636]</v>
      </c>
      <c r="H329" t="str">
        <f>CONCATENATE(H$2,": ",H$3,list1!H329,"]")</f>
        <v xml:space="preserve"> (Потребляемая мощность) Обогрев: S[5.079]</v>
      </c>
      <c r="I329" t="str">
        <f>CONCATENATE(I$2,": ",I$3,list1!I329,"]")</f>
        <v xml:space="preserve"> (Рабочий ток) Охлаждение: S[]</v>
      </c>
      <c r="J329" t="str">
        <f>CONCATENATE(J$2,": ",J$3,list1!J329,"]")</f>
        <v xml:space="preserve"> (Рабочий ток) Обогрев: S[]</v>
      </c>
      <c r="K329" t="str">
        <f>CONCATENATE(K$2,": ",K$3,list1!K329,"]")</f>
        <v xml:space="preserve"> (Рабочий ток) Напряжение / Частота источника питания: S[3 / 380 / 50]</v>
      </c>
      <c r="L329" t="str">
        <f>CONCATENATE(L$2,": ",L$3,list1!L329,"]")</f>
        <v xml:space="preserve"> (Рабочий ток) Хладагент: S[R410A]</v>
      </c>
      <c r="M329" t="str">
        <f>CONCATENATE(M$2,": ",M$3,list1!M329,"]")</f>
        <v xml:space="preserve"> (Рабочий ток) Количество хладагента: N[]</v>
      </c>
      <c r="N329" t="str">
        <f>CONCATENATE(N$2,": ",N$3,list1!N329,"]")</f>
        <v xml:space="preserve"> (Рабочий ток) Объем рециркулируемого воздуха внутреннего блока: S[]</v>
      </c>
      <c r="O329" t="str">
        <f>CONCATENATE(O$2,": ",O$3,list1!O329,"]")</f>
        <v xml:space="preserve"> (Внутренний блок) Размеры (Ш x Г x В): S[950 х 45 х 950]</v>
      </c>
      <c r="P329" t="str">
        <f>CONCATENATE(P$2,": ",P$3,list1!P329,"]")</f>
        <v xml:space="preserve"> (Внутренний блок) Упаковка (Ш x Г x В): S[1035 х 1035 х 80]</v>
      </c>
      <c r="Q329" t="str">
        <f>CONCATENATE(Q$2,": ",Q$3,list1!Q329,"]")</f>
        <v xml:space="preserve"> (Внутренний блок) Масса (нетто / брутто): S[6 / 9]</v>
      </c>
      <c r="R329" t="str">
        <f>CONCATENATE(R$2,": ",R$3,list1!R329,"]")</f>
        <v xml:space="preserve"> (Внутренний блок) Уровень шума мин. / макс.: S[41/43/45]</v>
      </c>
      <c r="S329" t="str">
        <f>CONCATENATE(S$2,": ",S$3,list1!S329,"]")</f>
        <v xml:space="preserve"> (Наружный блок) Марка компрессора: S[HIGHLY]</v>
      </c>
      <c r="T329" t="str">
        <f>CONCATENATE(T$2,": ",T$3,list1!T329,"]")</f>
        <v xml:space="preserve"> (Наружный блок) Размеры (Ш x Г x В): S[940 х 340 х 1250]</v>
      </c>
      <c r="U329" t="str">
        <f>CONCATENATE(U$2,": ",U$3,list1!U329,"]")</f>
        <v xml:space="preserve"> (Наружный блок) Упаковка (Ш x Г x В): S[1030 х 430 х 1365]</v>
      </c>
      <c r="V329" t="str">
        <f>CONCATENATE(V$2,": ",V$3,list1!V329,"]")</f>
        <v xml:space="preserve"> (Наружный блок) Масса (нетто / брутто): S[93/103]</v>
      </c>
      <c r="W329" t="str">
        <f>CONCATENATE(W$2,": ",W$3,list1!W329,"]")</f>
        <v xml:space="preserve"> (Наружный блок) Максимальный уровень шума: N[]</v>
      </c>
      <c r="X329" t="str">
        <f>CONCATENATE(X$2,": ",X$3,list1!X329,"]")</f>
        <v xml:space="preserve"> (Соединительные трубы) Жидкостная линия : N[9.52]</v>
      </c>
      <c r="Y329" t="str">
        <f>CONCATENATE(Y$2,": ",Y$3,list1!Y329,"]")</f>
        <v xml:space="preserve"> (Соединительные трубы) Газовая линия : N[19.05]</v>
      </c>
      <c r="Z329" t="str">
        <f>CONCATENATE(Z$2,": ",Z$3,list1!Z329,"]")</f>
        <v xml:space="preserve"> (Соединительные трубы) Максимальная длина трубопровода: N[50]</v>
      </c>
      <c r="AA329" t="str">
        <f>CONCATENATE(AA$2,": ",AA$3,list1!AA329,"]")</f>
        <v xml:space="preserve"> (Соединительные трубы) Максимальный перепад высот: S[30]</v>
      </c>
      <c r="AB329" t="str">
        <f>CONCATENATE(AB$2,": ",AB$3,list1!AB329,"]")</f>
        <v xml:space="preserve"> (Допустимая темп. наружного воздуха) Охлаждение: S[от 17 до +43]</v>
      </c>
      <c r="AC329" t="str">
        <f>CONCATENATE(AC$2,": ",AC$3,list1!AC329,"]")</f>
        <v xml:space="preserve"> (Допустимая темп. наружного воздуха) Обогрев: S[от -7 до +24]</v>
      </c>
      <c r="AD329" s="6" t="s">
        <v>5245</v>
      </c>
    </row>
    <row r="330" spans="1:30" x14ac:dyDescent="0.25">
      <c r="A330" t="str">
        <f>CONCATENATE(A$2,": ",A$3,list1!A330,"]")</f>
        <v>Производитель: E[QUATTROCLIMA]</v>
      </c>
      <c r="B330" t="str">
        <f>CONCATENATE(B$2,": ",B$3,list1!B330,"]")</f>
        <v xml:space="preserve"> Тип: S[Кассетные]</v>
      </c>
      <c r="C330" t="str">
        <f>CONCATENATE(C$2,": ",C$3,list1!C330,"]")</f>
        <v xml:space="preserve"> (Сплит система) Холодопроизводительность: N[16.12]</v>
      </c>
      <c r="D330" t="str">
        <f>CONCATENATE(D$2,": ",D$3,list1!D330,"]")</f>
        <v xml:space="preserve"> (Сплит система) Площадь помещения: N[161]</v>
      </c>
      <c r="E330" t="str">
        <f>CONCATENATE(E$2,": ",E$3,list1!E330,"]")</f>
        <v xml:space="preserve"> (Сплит система) Инвентор: S[нет]</v>
      </c>
      <c r="F330" t="str">
        <f>CONCATENATE(F$2,": ",F$3,list1!F330,"]")</f>
        <v xml:space="preserve"> (Сплит система) Теплопроизводительность: N[17.73]</v>
      </c>
      <c r="G330" t="str">
        <f>CONCATENATE(G$2,": ",G$3,list1!G330,"]")</f>
        <v xml:space="preserve"> (Потребляемая мощность) Охлаждение: N[5.694]</v>
      </c>
      <c r="H330" t="str">
        <f>CONCATENATE(H$2,": ",H$3,list1!H330,"]")</f>
        <v xml:space="preserve"> (Потребляемая мощность) Обогрев: S[5.7]</v>
      </c>
      <c r="I330" t="str">
        <f>CONCATENATE(I$2,": ",I$3,list1!I330,"]")</f>
        <v xml:space="preserve"> (Рабочий ток) Охлаждение: S[]</v>
      </c>
      <c r="J330" t="str">
        <f>CONCATENATE(J$2,": ",J$3,list1!J330,"]")</f>
        <v xml:space="preserve"> (Рабочий ток) Обогрев: S[]</v>
      </c>
      <c r="K330" t="str">
        <f>CONCATENATE(K$2,": ",K$3,list1!K330,"]")</f>
        <v xml:space="preserve"> (Рабочий ток) Напряжение / Частота источника питания: S[3 / 380 / 50]</v>
      </c>
      <c r="L330" t="str">
        <f>CONCATENATE(L$2,": ",L$3,list1!L330,"]")</f>
        <v xml:space="preserve"> (Рабочий ток) Хладагент: S[R410A]</v>
      </c>
      <c r="M330" t="str">
        <f>CONCATENATE(M$2,": ",M$3,list1!M330,"]")</f>
        <v xml:space="preserve"> (Рабочий ток) Количество хладагента: N[]</v>
      </c>
      <c r="N330" t="str">
        <f>CONCATENATE(N$2,": ",N$3,list1!N330,"]")</f>
        <v xml:space="preserve"> (Рабочий ток) Объем рециркулируемого воздуха внутреннего блока: S[]</v>
      </c>
      <c r="O330" t="str">
        <f>CONCATENATE(O$2,": ",O$3,list1!O330,"]")</f>
        <v xml:space="preserve"> (Внутренний блок) Размеры (Ш x Г x В): S[950 х 45 х 950]</v>
      </c>
      <c r="P330" t="str">
        <f>CONCATENATE(P$2,": ",P$3,list1!P330,"]")</f>
        <v xml:space="preserve"> (Внутренний блок) Упаковка (Ш x Г x В): S[1035 х 1035 х 80]</v>
      </c>
      <c r="Q330" t="str">
        <f>CONCATENATE(Q$2,": ",Q$3,list1!Q330,"]")</f>
        <v xml:space="preserve"> (Внутренний блок) Масса (нетто / брутто): S[6 / 9]</v>
      </c>
      <c r="R330" t="str">
        <f>CONCATENATE(R$2,": ",R$3,list1!R330,"]")</f>
        <v xml:space="preserve"> (Внутренний блок) Уровень шума мин. / макс.: S[43/44/47]</v>
      </c>
      <c r="S330" t="str">
        <f>CONCATENATE(S$2,": ",S$3,list1!S330,"]")</f>
        <v xml:space="preserve"> (Наружный блок) Марка компрессора: S[HIGHLY]</v>
      </c>
      <c r="T330" t="str">
        <f>CONCATENATE(T$2,": ",T$3,list1!T330,"]")</f>
        <v xml:space="preserve"> (Наружный блок) Размеры (Ш x Г x В): S[940 х 340 х 1250]</v>
      </c>
      <c r="U330" t="str">
        <f>CONCATENATE(U$2,": ",U$3,list1!U330,"]")</f>
        <v xml:space="preserve"> (Наружный блок) Упаковка (Ш x Г x В): S[1030 х 430 х 1365]</v>
      </c>
      <c r="V330" t="str">
        <f>CONCATENATE(V$2,": ",V$3,list1!V330,"]")</f>
        <v xml:space="preserve"> (Наружный блок) Масса (нетто / брутто): S[101/111]</v>
      </c>
      <c r="W330" t="str">
        <f>CONCATENATE(W$2,": ",W$3,list1!W330,"]")</f>
        <v xml:space="preserve"> (Наружный блок) Максимальный уровень шума: N[]</v>
      </c>
      <c r="X330" t="str">
        <f>CONCATENATE(X$2,": ",X$3,list1!X330,"]")</f>
        <v xml:space="preserve"> (Соединительные трубы) Жидкостная линия : N[9.52]</v>
      </c>
      <c r="Y330" t="str">
        <f>CONCATENATE(Y$2,": ",Y$3,list1!Y330,"]")</f>
        <v xml:space="preserve"> (Соединительные трубы) Газовая линия : N[19.05]</v>
      </c>
      <c r="Z330" t="str">
        <f>CONCATENATE(Z$2,": ",Z$3,list1!Z330,"]")</f>
        <v xml:space="preserve"> (Соединительные трубы) Максимальная длина трубопровода: N[50]</v>
      </c>
      <c r="AA330" t="str">
        <f>CONCATENATE(AA$2,": ",AA$3,list1!AA330,"]")</f>
        <v xml:space="preserve"> (Соединительные трубы) Максимальный перепад высот: S[30]</v>
      </c>
      <c r="AB330" t="str">
        <f>CONCATENATE(AB$2,": ",AB$3,list1!AB330,"]")</f>
        <v xml:space="preserve"> (Допустимая темп. наружного воздуха) Охлаждение: S[от 17 до +43]</v>
      </c>
      <c r="AC330" t="str">
        <f>CONCATENATE(AC$2,": ",AC$3,list1!AC330,"]")</f>
        <v xml:space="preserve"> (Допустимая темп. наружного воздуха) Обогрев: S[от -7 до +24]</v>
      </c>
      <c r="AD330" s="6" t="s">
        <v>5245</v>
      </c>
    </row>
    <row r="331" spans="1:30" x14ac:dyDescent="0.25">
      <c r="A331" t="str">
        <f>CONCATENATE(A$2,": ",A$3,list1!A331,"]")</f>
        <v>Производитель: E[QUATTROCLIMA]</v>
      </c>
      <c r="B331" t="str">
        <f>CONCATENATE(B$2,": ",B$3,list1!B331,"]")</f>
        <v xml:space="preserve"> Тип: S[Кассетные]</v>
      </c>
      <c r="C331" t="str">
        <f>CONCATENATE(C$2,": ",C$3,list1!C331,"]")</f>
        <v xml:space="preserve"> (Сплит система) Холодопроизводительность: N[16.12]</v>
      </c>
      <c r="D331" t="str">
        <f>CONCATENATE(D$2,": ",D$3,list1!D331,"]")</f>
        <v xml:space="preserve"> (Сплит система) Площадь помещения: N[161]</v>
      </c>
      <c r="E331" t="str">
        <f>CONCATENATE(E$2,": ",E$3,list1!E331,"]")</f>
        <v xml:space="preserve"> (Сплит система) Инвентор: S[нет]</v>
      </c>
      <c r="F331" t="str">
        <f>CONCATENATE(F$2,": ",F$3,list1!F331,"]")</f>
        <v xml:space="preserve"> (Сплит система) Теплопроизводительность: N[17.73]</v>
      </c>
      <c r="G331" t="str">
        <f>CONCATENATE(G$2,": ",G$3,list1!G331,"]")</f>
        <v xml:space="preserve"> (Потребляемая мощность) Охлаждение: N[5.694]</v>
      </c>
      <c r="H331" t="str">
        <f>CONCATENATE(H$2,": ",H$3,list1!H331,"]")</f>
        <v xml:space="preserve"> (Потребляемая мощность) Обогрев: S[5.7]</v>
      </c>
      <c r="I331" t="str">
        <f>CONCATENATE(I$2,": ",I$3,list1!I331,"]")</f>
        <v xml:space="preserve"> (Рабочий ток) Охлаждение: S[]</v>
      </c>
      <c r="J331" t="str">
        <f>CONCATENATE(J$2,": ",J$3,list1!J331,"]")</f>
        <v xml:space="preserve"> (Рабочий ток) Обогрев: S[]</v>
      </c>
      <c r="K331" t="str">
        <f>CONCATENATE(K$2,": ",K$3,list1!K331,"]")</f>
        <v xml:space="preserve"> (Рабочий ток) Напряжение / Частота источника питания: S[3 / 380 / 50]</v>
      </c>
      <c r="L331" t="str">
        <f>CONCATENATE(L$2,": ",L$3,list1!L331,"]")</f>
        <v xml:space="preserve"> (Рабочий ток) Хладагент: S[R410A]</v>
      </c>
      <c r="M331" t="str">
        <f>CONCATENATE(M$2,": ",M$3,list1!M331,"]")</f>
        <v xml:space="preserve"> (Рабочий ток) Количество хладагента: N[]</v>
      </c>
      <c r="N331" t="str">
        <f>CONCATENATE(N$2,": ",N$3,list1!N331,"]")</f>
        <v xml:space="preserve"> (Рабочий ток) Объем рециркулируемого воздуха внутреннего блока: S[]</v>
      </c>
      <c r="O331" t="str">
        <f>CONCATENATE(O$2,": ",O$3,list1!O331,"]")</f>
        <v xml:space="preserve"> (Внутренний блок) Размеры (Ш x Г x В): S[950 х 45 х 950]</v>
      </c>
      <c r="P331" t="str">
        <f>CONCATENATE(P$2,": ",P$3,list1!P331,"]")</f>
        <v xml:space="preserve"> (Внутренний блок) Упаковка (Ш x Г x В): S[1035 х 1035 х 80]</v>
      </c>
      <c r="Q331" t="str">
        <f>CONCATENATE(Q$2,": ",Q$3,list1!Q331,"]")</f>
        <v xml:space="preserve"> (Внутренний блок) Масса (нетто / брутто): S[6 / 9]</v>
      </c>
      <c r="R331" t="str">
        <f>CONCATENATE(R$2,": ",R$3,list1!R331,"]")</f>
        <v xml:space="preserve"> (Внутренний блок) Уровень шума мин. / макс.: S[43/44/47]</v>
      </c>
      <c r="S331" t="str">
        <f>CONCATENATE(S$2,": ",S$3,list1!S331,"]")</f>
        <v xml:space="preserve"> (Наружный блок) Марка компрессора: S[HIGHLY]</v>
      </c>
      <c r="T331" t="str">
        <f>CONCATENATE(T$2,": ",T$3,list1!T331,"]")</f>
        <v xml:space="preserve"> (Наружный блок) Размеры (Ш x Г x В): S[940 х 340 х 1250]</v>
      </c>
      <c r="U331" t="str">
        <f>CONCATENATE(U$2,": ",U$3,list1!U331,"]")</f>
        <v xml:space="preserve"> (Наружный блок) Упаковка (Ш x Г x В): S[1030 х 430 х 1365]</v>
      </c>
      <c r="V331" t="str">
        <f>CONCATENATE(V$2,": ",V$3,list1!V331,"]")</f>
        <v xml:space="preserve"> (Наружный блок) Масса (нетто / брутто): S[101/111]</v>
      </c>
      <c r="W331" t="str">
        <f>CONCATENATE(W$2,": ",W$3,list1!W331,"]")</f>
        <v xml:space="preserve"> (Наружный блок) Максимальный уровень шума: N[]</v>
      </c>
      <c r="X331" t="str">
        <f>CONCATENATE(X$2,": ",X$3,list1!X331,"]")</f>
        <v xml:space="preserve"> (Соединительные трубы) Жидкостная линия : N[9.52]</v>
      </c>
      <c r="Y331" t="str">
        <f>CONCATENATE(Y$2,": ",Y$3,list1!Y331,"]")</f>
        <v xml:space="preserve"> (Соединительные трубы) Газовая линия : N[19.05]</v>
      </c>
      <c r="Z331" t="str">
        <f>CONCATENATE(Z$2,": ",Z$3,list1!Z331,"]")</f>
        <v xml:space="preserve"> (Соединительные трубы) Максимальная длина трубопровода: N[50]</v>
      </c>
      <c r="AA331" t="str">
        <f>CONCATENATE(AA$2,": ",AA$3,list1!AA331,"]")</f>
        <v xml:space="preserve"> (Соединительные трубы) Максимальный перепад высот: S[30]</v>
      </c>
      <c r="AB331" t="str">
        <f>CONCATENATE(AB$2,": ",AB$3,list1!AB331,"]")</f>
        <v xml:space="preserve"> (Допустимая темп. наружного воздуха) Охлаждение: S[от 17 до +43]</v>
      </c>
      <c r="AC331" t="str">
        <f>CONCATENATE(AC$2,": ",AC$3,list1!AC331,"]")</f>
        <v xml:space="preserve"> (Допустимая темп. наружного воздуха) Обогрев: S[от -7 до +24]</v>
      </c>
      <c r="AD331" s="6" t="s">
        <v>5245</v>
      </c>
    </row>
    <row r="332" spans="1:30" x14ac:dyDescent="0.25">
      <c r="A332" t="str">
        <f>CONCATENATE(A$2,": ",A$3,list1!A332,"]")</f>
        <v>Производитель: E[QUATTROCLIMA]</v>
      </c>
      <c r="B332" t="str">
        <f>CONCATENATE(B$2,": ",B$3,list1!B332,"]")</f>
        <v xml:space="preserve"> Тип: S[Кассетные]</v>
      </c>
      <c r="C332" t="str">
        <f>CONCATENATE(C$2,": ",C$3,list1!C332,"]")</f>
        <v xml:space="preserve"> (Сплит система) Холодопроизводительность: N[3.52]</v>
      </c>
      <c r="D332" t="str">
        <f>CONCATENATE(D$2,": ",D$3,list1!D332,"]")</f>
        <v xml:space="preserve"> (Сплит система) Площадь помещения: N[35]</v>
      </c>
      <c r="E332" t="str">
        <f>CONCATENATE(E$2,": ",E$3,list1!E332,"]")</f>
        <v xml:space="preserve"> (Сплит система) Инвентор: S[нет]</v>
      </c>
      <c r="F332" t="str">
        <f>CONCATENATE(F$2,": ",F$3,list1!F332,"]")</f>
        <v xml:space="preserve"> (Сплит система) Теплопроизводительность: N[3.96]</v>
      </c>
      <c r="G332" t="str">
        <f>CONCATENATE(G$2,": ",G$3,list1!G332,"]")</f>
        <v xml:space="preserve"> (Потребляемая мощность) Охлаждение: N[1.3]</v>
      </c>
      <c r="H332" t="str">
        <f>CONCATENATE(H$2,": ",H$3,list1!H332,"]")</f>
        <v xml:space="preserve"> (Потребляемая мощность) Обогрев: S[1.28]</v>
      </c>
      <c r="I332" t="str">
        <f>CONCATENATE(I$2,": ",I$3,list1!I332,"]")</f>
        <v xml:space="preserve"> (Рабочий ток) Охлаждение: S[]</v>
      </c>
      <c r="J332" t="str">
        <f>CONCATENATE(J$2,": ",J$3,list1!J332,"]")</f>
        <v xml:space="preserve"> (Рабочий ток) Обогрев: S[]</v>
      </c>
      <c r="K332" t="str">
        <f>CONCATENATE(K$2,": ",K$3,list1!K332,"]")</f>
        <v xml:space="preserve"> (Рабочий ток) Напряжение / Частота источника питания: S[1 / 220 / 50]</v>
      </c>
      <c r="L332" t="str">
        <f>CONCATENATE(L$2,": ",L$3,list1!L332,"]")</f>
        <v xml:space="preserve"> (Рабочий ток) Хладагент: S[R410A]</v>
      </c>
      <c r="M332" t="str">
        <f>CONCATENATE(M$2,": ",M$3,list1!M332,"]")</f>
        <v xml:space="preserve"> (Рабочий ток) Количество хладагента: N[]</v>
      </c>
      <c r="N332" t="str">
        <f>CONCATENATE(N$2,": ",N$3,list1!N332,"]")</f>
        <v xml:space="preserve"> (Рабочий ток) Объем рециркулируемого воздуха внутреннего блока: S[]</v>
      </c>
      <c r="O332" t="str">
        <f>CONCATENATE(O$2,": ",O$3,list1!O332,"]")</f>
        <v xml:space="preserve"> (Внутренний блок) Размеры (Ш x Г x В): S[650 х 55 х 650]</v>
      </c>
      <c r="P332" t="str">
        <f>CONCATENATE(P$2,": ",P$3,list1!P332,"]")</f>
        <v xml:space="preserve"> (Внутренний блок) Упаковка (Ш x Г x В): S[710 х 710 х 80]</v>
      </c>
      <c r="Q332" t="str">
        <f>CONCATENATE(Q$2,": ",Q$3,list1!Q332,"]")</f>
        <v xml:space="preserve"> (Внутренний блок) Масса (нетто / брутто): S[2.2 / 3.7]</v>
      </c>
      <c r="R332" t="str">
        <f>CONCATENATE(R$2,": ",R$3,list1!R332,"]")</f>
        <v xml:space="preserve"> (Внутренний блок) Уровень шума мин. / макс.: S[39/42/45]</v>
      </c>
      <c r="S332" t="str">
        <f>CONCATENATE(S$2,": ",S$3,list1!S332,"]")</f>
        <v xml:space="preserve"> (Наружный блок) Марка компрессора: S[Gree]</v>
      </c>
      <c r="T332" t="str">
        <f>CONCATENATE(T$2,": ",T$3,list1!T332,"]")</f>
        <v xml:space="preserve"> (Наружный блок) Размеры (Ш x Г x В): S[730 х 285 х 545]</v>
      </c>
      <c r="U332" t="str">
        <f>CONCATENATE(U$2,": ",U$3,list1!U332,"]")</f>
        <v xml:space="preserve"> (Наружный блок) Упаковка (Ш x Г x В): S[850 х 370 х 620]</v>
      </c>
      <c r="V332" t="str">
        <f>CONCATENATE(V$2,": ",V$3,list1!V332,"]")</f>
        <v xml:space="preserve"> (Наружный блок) Масса (нетто / брутто): S[28/32]</v>
      </c>
      <c r="W332" t="str">
        <f>CONCATENATE(W$2,": ",W$3,list1!W332,"]")</f>
        <v xml:space="preserve"> (Наружный блок) Максимальный уровень шума: N[]</v>
      </c>
      <c r="X332" t="str">
        <f>CONCATENATE(X$2,": ",X$3,list1!X332,"]")</f>
        <v xml:space="preserve"> (Соединительные трубы) Жидкостная линия : N[6.35]</v>
      </c>
      <c r="Y332" t="str">
        <f>CONCATENATE(Y$2,": ",Y$3,list1!Y332,"]")</f>
        <v xml:space="preserve"> (Соединительные трубы) Газовая линия : N[12.7]</v>
      </c>
      <c r="Z332" t="str">
        <f>CONCATENATE(Z$2,": ",Z$3,list1!Z332,"]")</f>
        <v xml:space="preserve"> (Соединительные трубы) Максимальная длина трубопровода: N[20]</v>
      </c>
      <c r="AA332" t="str">
        <f>CONCATENATE(AA$2,": ",AA$3,list1!AA332,"]")</f>
        <v xml:space="preserve"> (Соединительные трубы) Максимальный перепад высот: S[15]</v>
      </c>
      <c r="AB332" t="str">
        <f>CONCATENATE(AB$2,": ",AB$3,list1!AB332,"]")</f>
        <v xml:space="preserve"> (Допустимая темп. наружного воздуха) Охлаждение: S[от -15 до +49]</v>
      </c>
      <c r="AC332" t="str">
        <f>CONCATENATE(AC$2,": ",AC$3,list1!AC332,"]")</f>
        <v xml:space="preserve"> (Допустимая темп. наружного воздуха) Обогрев: S[от -15 до +24]</v>
      </c>
      <c r="AD332" s="6" t="s">
        <v>5245</v>
      </c>
    </row>
    <row r="333" spans="1:30" x14ac:dyDescent="0.25">
      <c r="A333" t="str">
        <f>CONCATENATE(A$2,": ",A$3,list1!A333,"]")</f>
        <v>Производитель: E[QUATTROCLIMA]</v>
      </c>
      <c r="B333" t="str">
        <f>CONCATENATE(B$2,": ",B$3,list1!B333,"]")</f>
        <v xml:space="preserve"> Тип: S[Кассетные]</v>
      </c>
      <c r="C333" t="str">
        <f>CONCATENATE(C$2,": ",C$3,list1!C333,"]")</f>
        <v xml:space="preserve"> (Сплит система) Холодопроизводительность: N[5.28]</v>
      </c>
      <c r="D333" t="str">
        <f>CONCATENATE(D$2,": ",D$3,list1!D333,"]")</f>
        <v xml:space="preserve"> (Сплит система) Площадь помещения: N[53]</v>
      </c>
      <c r="E333" t="str">
        <f>CONCATENATE(E$2,": ",E$3,list1!E333,"]")</f>
        <v xml:space="preserve"> (Сплит система) Инвентор: S[нет]</v>
      </c>
      <c r="F333" t="str">
        <f>CONCATENATE(F$2,": ",F$3,list1!F333,"]")</f>
        <v xml:space="preserve"> (Сплит система) Теплопроизводительность: N[5.6]</v>
      </c>
      <c r="G333" t="str">
        <f>CONCATENATE(G$2,": ",G$3,list1!G333,"]")</f>
        <v xml:space="preserve"> (Потребляемая мощность) Охлаждение: N[1.7]</v>
      </c>
      <c r="H333" t="str">
        <f>CONCATENATE(H$2,": ",H$3,list1!H333,"]")</f>
        <v xml:space="preserve"> (Потребляемая мощность) Обогрев: S[1.55]</v>
      </c>
      <c r="I333" t="str">
        <f>CONCATENATE(I$2,": ",I$3,list1!I333,"]")</f>
        <v xml:space="preserve"> (Рабочий ток) Охлаждение: S[]</v>
      </c>
      <c r="J333" t="str">
        <f>CONCATENATE(J$2,": ",J$3,list1!J333,"]")</f>
        <v xml:space="preserve"> (Рабочий ток) Обогрев: S[]</v>
      </c>
      <c r="K333" t="str">
        <f>CONCATENATE(K$2,": ",K$3,list1!K333,"]")</f>
        <v xml:space="preserve"> (Рабочий ток) Напряжение / Частота источника питания: S[1 / 220 / 50]</v>
      </c>
      <c r="L333" t="str">
        <f>CONCATENATE(L$2,": ",L$3,list1!L333,"]")</f>
        <v xml:space="preserve"> (Рабочий ток) Хладагент: S[R410A]</v>
      </c>
      <c r="M333" t="str">
        <f>CONCATENATE(M$2,": ",M$3,list1!M333,"]")</f>
        <v xml:space="preserve"> (Рабочий ток) Количество хладагента: N[]</v>
      </c>
      <c r="N333" t="str">
        <f>CONCATENATE(N$2,": ",N$3,list1!N333,"]")</f>
        <v xml:space="preserve"> (Рабочий ток) Объем рециркулируемого воздуха внутреннего блока: S[]</v>
      </c>
      <c r="O333" t="str">
        <f>CONCATENATE(O$2,": ",O$3,list1!O333,"]")</f>
        <v xml:space="preserve"> (Внутренний блок) Размеры (Ш x Г x В): S[650 х 55 х 650]</v>
      </c>
      <c r="P333" t="str">
        <f>CONCATENATE(P$2,": ",P$3,list1!P333,"]")</f>
        <v xml:space="preserve"> (Внутренний блок) Упаковка (Ш x Г x В): S[710 х 710 х 80]</v>
      </c>
      <c r="Q333" t="str">
        <f>CONCATENATE(Q$2,": ",Q$3,list1!Q333,"]")</f>
        <v xml:space="preserve"> (Внутренний блок) Масса (нетто / брутто): S[2.2 / 3.7]</v>
      </c>
      <c r="R333" t="str">
        <f>CONCATENATE(R$2,": ",R$3,list1!R333,"]")</f>
        <v xml:space="preserve"> (Внутренний блок) Уровень шума мин. / макс.: S[39/42/45]</v>
      </c>
      <c r="S333" t="str">
        <f>CONCATENATE(S$2,": ",S$3,list1!S333,"]")</f>
        <v xml:space="preserve"> (Наружный блок) Марка компрессора: S[HIGHLY]</v>
      </c>
      <c r="T333" t="str">
        <f>CONCATENATE(T$2,": ",T$3,list1!T333,"]")</f>
        <v xml:space="preserve"> (Наружный блок) Размеры (Ш x Г x В): S[800 х 315 х 545]</v>
      </c>
      <c r="U333" t="str">
        <f>CONCATENATE(U$2,": ",U$3,list1!U333,"]")</f>
        <v xml:space="preserve"> (Наружный блок) Упаковка (Ш x Г x В): S[920 х 400 х 620]</v>
      </c>
      <c r="V333" t="str">
        <f>CONCATENATE(V$2,": ",V$3,list1!V333,"]")</f>
        <v xml:space="preserve"> (Наружный блок) Масса (нетто / брутто): S[36/39]</v>
      </c>
      <c r="W333" t="str">
        <f>CONCATENATE(W$2,": ",W$3,list1!W333,"]")</f>
        <v xml:space="preserve"> (Наружный блок) Максимальный уровень шума: N[]</v>
      </c>
      <c r="X333" t="str">
        <f>CONCATENATE(X$2,": ",X$3,list1!X333,"]")</f>
        <v xml:space="preserve"> (Соединительные трубы) Жидкостная линия : N[6.35]</v>
      </c>
      <c r="Y333" t="str">
        <f>CONCATENATE(Y$2,": ",Y$3,list1!Y333,"]")</f>
        <v xml:space="preserve"> (Соединительные трубы) Газовая линия : N[12.7]</v>
      </c>
      <c r="Z333" t="str">
        <f>CONCATENATE(Z$2,": ",Z$3,list1!Z333,"]")</f>
        <v xml:space="preserve"> (Соединительные трубы) Максимальная длина трубопровода: N[20]</v>
      </c>
      <c r="AA333" t="str">
        <f>CONCATENATE(AA$2,": ",AA$3,list1!AA333,"]")</f>
        <v xml:space="preserve"> (Соединительные трубы) Максимальный перепад высот: S[15]</v>
      </c>
      <c r="AB333" t="str">
        <f>CONCATENATE(AB$2,": ",AB$3,list1!AB333,"]")</f>
        <v xml:space="preserve"> (Допустимая темп. наружного воздуха) Охлаждение: S[от -15 до +49]</v>
      </c>
      <c r="AC333" t="str">
        <f>CONCATENATE(AC$2,": ",AC$3,list1!AC333,"]")</f>
        <v xml:space="preserve"> (Допустимая темп. наружного воздуха) Обогрев: S[от -15 до +24]</v>
      </c>
      <c r="AD333" s="6" t="s">
        <v>5245</v>
      </c>
    </row>
    <row r="334" spans="1:30" x14ac:dyDescent="0.25">
      <c r="A334" t="str">
        <f>CONCATENATE(A$2,": ",A$3,list1!A334,"]")</f>
        <v>Производитель: E[QUATTROCLIMA]</v>
      </c>
      <c r="B334" t="str">
        <f>CONCATENATE(B$2,": ",B$3,list1!B334,"]")</f>
        <v xml:space="preserve"> Тип: S[Кассетные]</v>
      </c>
      <c r="C334" t="str">
        <f>CONCATENATE(C$2,": ",C$3,list1!C334,"]")</f>
        <v xml:space="preserve"> (Сплит система) Холодопроизводительность: N[7.03]</v>
      </c>
      <c r="D334" t="str">
        <f>CONCATENATE(D$2,": ",D$3,list1!D334,"]")</f>
        <v xml:space="preserve"> (Сплит система) Площадь помещения: N[70]</v>
      </c>
      <c r="E334" t="str">
        <f>CONCATENATE(E$2,": ",E$3,list1!E334,"]")</f>
        <v xml:space="preserve"> (Сплит система) Инвентор: S[нет]</v>
      </c>
      <c r="F334" t="str">
        <f>CONCATENATE(F$2,": ",F$3,list1!F334,"]")</f>
        <v xml:space="preserve"> (Сплит система) Теплопроизводительность: N[7.2]</v>
      </c>
      <c r="G334" t="str">
        <f>CONCATENATE(G$2,": ",G$3,list1!G334,"]")</f>
        <v xml:space="preserve"> (Потребляемая мощность) Охлаждение: N[2.15]</v>
      </c>
      <c r="H334" t="str">
        <f>CONCATENATE(H$2,": ",H$3,list1!H334,"]")</f>
        <v xml:space="preserve"> (Потребляемая мощность) Обогрев: S[1.83]</v>
      </c>
      <c r="I334" t="str">
        <f>CONCATENATE(I$2,": ",I$3,list1!I334,"]")</f>
        <v xml:space="preserve"> (Рабочий ток) Охлаждение: S[]</v>
      </c>
      <c r="J334" t="str">
        <f>CONCATENATE(J$2,": ",J$3,list1!J334,"]")</f>
        <v xml:space="preserve"> (Рабочий ток) Обогрев: S[]</v>
      </c>
      <c r="K334" t="str">
        <f>CONCATENATE(K$2,": ",K$3,list1!K334,"]")</f>
        <v xml:space="preserve"> (Рабочий ток) Напряжение / Частота источника питания: S[1 / 220 / 50]</v>
      </c>
      <c r="L334" t="str">
        <f>CONCATENATE(L$2,": ",L$3,list1!L334,"]")</f>
        <v xml:space="preserve"> (Рабочий ток) Хладагент: S[R410A]</v>
      </c>
      <c r="M334" t="str">
        <f>CONCATENATE(M$2,": ",M$3,list1!M334,"]")</f>
        <v xml:space="preserve"> (Рабочий ток) Количество хладагента: N[]</v>
      </c>
      <c r="N334" t="str">
        <f>CONCATENATE(N$2,": ",N$3,list1!N334,"]")</f>
        <v xml:space="preserve"> (Рабочий ток) Объем рециркулируемого воздуха внутреннего блока: S[]</v>
      </c>
      <c r="O334" t="str">
        <f>CONCATENATE(O$2,": ",O$3,list1!O334,"]")</f>
        <v xml:space="preserve"> (Внутренний блок) Размеры (Ш x Г x В): S[950 х 55 х 950]</v>
      </c>
      <c r="P334" t="str">
        <f>CONCATENATE(P$2,": ",P$3,list1!P334,"]")</f>
        <v xml:space="preserve"> (Внутренний блок) Упаковка (Ш x Г x В): S[1000 х 1000 х 100]</v>
      </c>
      <c r="Q334" t="str">
        <f>CONCATENATE(Q$2,": ",Q$3,list1!Q334,"]")</f>
        <v xml:space="preserve"> (Внутренний блок) Масса (нетто / брутто): S[5.3 / 7.8]</v>
      </c>
      <c r="R334" t="str">
        <f>CONCATENATE(R$2,": ",R$3,list1!R334,"]")</f>
        <v xml:space="preserve"> (Внутренний блок) Уровень шума мин. / макс.: S[39/42/46]</v>
      </c>
      <c r="S334" t="str">
        <f>CONCATENATE(S$2,": ",S$3,list1!S334,"]")</f>
        <v xml:space="preserve"> (Наружный блок) Марка компрессора: S[HIGHLY]</v>
      </c>
      <c r="T334" t="str">
        <f>CONCATENATE(T$2,": ",T$3,list1!T334,"]")</f>
        <v xml:space="preserve"> (Наружный блок) Размеры (Ш x Г x В): S[825 х 310 х 655]</v>
      </c>
      <c r="U334" t="str">
        <f>CONCATENATE(U$2,": ",U$3,list1!U334,"]")</f>
        <v xml:space="preserve"> (Наружный блок) Упаковка (Ш x Г x В): S[945 х 435 х 725]</v>
      </c>
      <c r="V334" t="str">
        <f>CONCATENATE(V$2,": ",V$3,list1!V334,"]")</f>
        <v xml:space="preserve"> (Наружный блок) Масса (нетто / брутто): S[46/49]</v>
      </c>
      <c r="W334" t="str">
        <f>CONCATENATE(W$2,": ",W$3,list1!W334,"]")</f>
        <v xml:space="preserve"> (Наружный блок) Максимальный уровень шума: N[]</v>
      </c>
      <c r="X334" t="str">
        <f>CONCATENATE(X$2,": ",X$3,list1!X334,"]")</f>
        <v xml:space="preserve"> (Соединительные трубы) Жидкостная линия : N[9.52]</v>
      </c>
      <c r="Y334" t="str">
        <f>CONCATENATE(Y$2,": ",Y$3,list1!Y334,"]")</f>
        <v xml:space="preserve"> (Соединительные трубы) Газовая линия : N[15.88]</v>
      </c>
      <c r="Z334" t="str">
        <f>CONCATENATE(Z$2,": ",Z$3,list1!Z334,"]")</f>
        <v xml:space="preserve"> (Соединительные трубы) Максимальная длина трубопровода: N[20]</v>
      </c>
      <c r="AA334" t="str">
        <f>CONCATENATE(AA$2,": ",AA$3,list1!AA334,"]")</f>
        <v xml:space="preserve"> (Соединительные трубы) Максимальный перепад высот: S[15]</v>
      </c>
      <c r="AB334" t="str">
        <f>CONCATENATE(AB$2,": ",AB$3,list1!AB334,"]")</f>
        <v xml:space="preserve"> (Допустимая темп. наружного воздуха) Охлаждение: S[от -15 до +49]</v>
      </c>
      <c r="AC334" t="str">
        <f>CONCATENATE(AC$2,": ",AC$3,list1!AC334,"]")</f>
        <v xml:space="preserve"> (Допустимая темп. наружного воздуха) Обогрев: S[от -15 до +24]</v>
      </c>
      <c r="AD334" s="6" t="s">
        <v>5245</v>
      </c>
    </row>
    <row r="335" spans="1:30" x14ac:dyDescent="0.25">
      <c r="A335" t="str">
        <f>CONCATENATE(A$2,": ",A$3,list1!A335,"]")</f>
        <v>Производитель: E[QUATTROCLIMA]</v>
      </c>
      <c r="B335" t="str">
        <f>CONCATENATE(B$2,": ",B$3,list1!B335,"]")</f>
        <v xml:space="preserve"> Тип: S[Кассетные]</v>
      </c>
      <c r="C335" t="str">
        <f>CONCATENATE(C$2,": ",C$3,list1!C335,"]")</f>
        <v xml:space="preserve"> (Сплит система) Холодопроизводительность: N[10.55]</v>
      </c>
      <c r="D335" t="str">
        <f>CONCATENATE(D$2,": ",D$3,list1!D335,"]")</f>
        <v xml:space="preserve"> (Сплит система) Площадь помещения: N[106]</v>
      </c>
      <c r="E335" t="str">
        <f>CONCATENATE(E$2,": ",E$3,list1!E335,"]")</f>
        <v xml:space="preserve"> (Сплит система) Инвентор: S[нет]</v>
      </c>
      <c r="F335" t="str">
        <f>CONCATENATE(F$2,": ",F$3,list1!F335,"]")</f>
        <v xml:space="preserve"> (Сплит система) Теплопроизводительность: N[11.7]</v>
      </c>
      <c r="G335" t="str">
        <f>CONCATENATE(G$2,": ",G$3,list1!G335,"]")</f>
        <v xml:space="preserve"> (Потребляемая мощность) Охлаждение: N[3.5]</v>
      </c>
      <c r="H335" t="str">
        <f>CONCATENATE(H$2,": ",H$3,list1!H335,"]")</f>
        <v xml:space="preserve"> (Потребляемая мощность) Обогрев: S[3.43]</v>
      </c>
      <c r="I335" t="str">
        <f>CONCATENATE(I$2,": ",I$3,list1!I335,"]")</f>
        <v xml:space="preserve"> (Рабочий ток) Охлаждение: S[]</v>
      </c>
      <c r="J335" t="str">
        <f>CONCATENATE(J$2,": ",J$3,list1!J335,"]")</f>
        <v xml:space="preserve"> (Рабочий ток) Обогрев: S[]</v>
      </c>
      <c r="K335" t="str">
        <f>CONCATENATE(K$2,": ",K$3,list1!K335,"]")</f>
        <v xml:space="preserve"> (Рабочий ток) Напряжение / Частота источника питания: S[3 / 380 / 50]</v>
      </c>
      <c r="L335" t="str">
        <f>CONCATENATE(L$2,": ",L$3,list1!L335,"]")</f>
        <v xml:space="preserve"> (Рабочий ток) Хладагент: S[R410A]</v>
      </c>
      <c r="M335" t="str">
        <f>CONCATENATE(M$2,": ",M$3,list1!M335,"]")</f>
        <v xml:space="preserve"> (Рабочий ток) Количество хладагента: N[]</v>
      </c>
      <c r="N335" t="str">
        <f>CONCATENATE(N$2,": ",N$3,list1!N335,"]")</f>
        <v xml:space="preserve"> (Рабочий ток) Объем рециркулируемого воздуха внутреннего блока: S[]</v>
      </c>
      <c r="O335" t="str">
        <f>CONCATENATE(O$2,": ",O$3,list1!O335,"]")</f>
        <v xml:space="preserve"> (Внутренний блок) Размеры (Ш x Г x В): S[950 х 55 х 950]</v>
      </c>
      <c r="P335" t="str">
        <f>CONCATENATE(P$2,": ",P$3,list1!P335,"]")</f>
        <v xml:space="preserve"> (Внутренний блок) Упаковка (Ш x Г x В): S[1000 х 1000 х 100]</v>
      </c>
      <c r="Q335" t="str">
        <f>CONCATENATE(Q$2,": ",Q$3,list1!Q335,"]")</f>
        <v xml:space="preserve"> (Внутренний блок) Масса (нетто / брутто): S[5.3 / 7.8]</v>
      </c>
      <c r="R335" t="str">
        <f>CONCATENATE(R$2,": ",R$3,list1!R335,"]")</f>
        <v xml:space="preserve"> (Внутренний блок) Уровень шума мин. / макс.: S[43/47/52]</v>
      </c>
      <c r="S335" t="str">
        <f>CONCATENATE(S$2,": ",S$3,list1!S335,"]")</f>
        <v xml:space="preserve"> (Наружный блок) Марка компрессора: S[Gree]</v>
      </c>
      <c r="T335" t="str">
        <f>CONCATENATE(T$2,": ",T$3,list1!T335,"]")</f>
        <v xml:space="preserve"> (Наружный блок) Размеры (Ш x Г x В): S[970 х 395 х 805]</v>
      </c>
      <c r="U335" t="str">
        <f>CONCATENATE(U$2,": ",U$3,list1!U335,"]")</f>
        <v xml:space="preserve"> (Наружный блок) Упаковка (Ш x Г x В): S[1105 х 495 х 890]</v>
      </c>
      <c r="V335" t="str">
        <f>CONCATENATE(V$2,": ",V$3,list1!V335,"]")</f>
        <v xml:space="preserve"> (Наружный блок) Масса (нетто / брутто): S[64/68]</v>
      </c>
      <c r="W335" t="str">
        <f>CONCATENATE(W$2,": ",W$3,list1!W335,"]")</f>
        <v xml:space="preserve"> (Наружный блок) Максимальный уровень шума: N[]</v>
      </c>
      <c r="X335" t="str">
        <f>CONCATENATE(X$2,": ",X$3,list1!X335,"]")</f>
        <v xml:space="preserve"> (Соединительные трубы) Жидкостная линия : N[9.52]</v>
      </c>
      <c r="Y335" t="str">
        <f>CONCATENATE(Y$2,": ",Y$3,list1!Y335,"]")</f>
        <v xml:space="preserve"> (Соединительные трубы) Газовая линия : N[15.88]</v>
      </c>
      <c r="Z335" t="str">
        <f>CONCATENATE(Z$2,": ",Z$3,list1!Z335,"]")</f>
        <v xml:space="preserve"> (Соединительные трубы) Максимальная длина трубопровода: N[30]</v>
      </c>
      <c r="AA335" t="str">
        <f>CONCATENATE(AA$2,": ",AA$3,list1!AA335,"]")</f>
        <v xml:space="preserve"> (Соединительные трубы) Максимальный перепад высот: S[20]</v>
      </c>
      <c r="AB335" t="str">
        <f>CONCATENATE(AB$2,": ",AB$3,list1!AB335,"]")</f>
        <v xml:space="preserve"> (Допустимая темп. наружного воздуха) Охлаждение: S[от -15 до +49]</v>
      </c>
      <c r="AC335" t="str">
        <f>CONCATENATE(AC$2,": ",AC$3,list1!AC335,"]")</f>
        <v xml:space="preserve"> (Допустимая темп. наружного воздуха) Обогрев: S[от -15 до +24]</v>
      </c>
      <c r="AD335" s="6" t="s">
        <v>5245</v>
      </c>
    </row>
    <row r="336" spans="1:30" x14ac:dyDescent="0.25">
      <c r="A336" t="str">
        <f>CONCATENATE(A$2,": ",A$3,list1!A336,"]")</f>
        <v>Производитель: E[QUATTROCLIMA]</v>
      </c>
      <c r="B336" t="str">
        <f>CONCATENATE(B$2,": ",B$3,list1!B336,"]")</f>
        <v xml:space="preserve"> Тип: S[Кассетные]</v>
      </c>
      <c r="C336" t="str">
        <f>CONCATENATE(C$2,": ",C$3,list1!C336,"]")</f>
        <v xml:space="preserve"> (Сплит система) Холодопроизводительность: N[14.07]</v>
      </c>
      <c r="D336" t="str">
        <f>CONCATENATE(D$2,": ",D$3,list1!D336,"]")</f>
        <v xml:space="preserve"> (Сплит система) Площадь помещения: N[141]</v>
      </c>
      <c r="E336" t="str">
        <f>CONCATENATE(E$2,": ",E$3,list1!E336,"]")</f>
        <v xml:space="preserve"> (Сплит система) Инвентор: S[нет]</v>
      </c>
      <c r="F336" t="str">
        <f>CONCATENATE(F$2,": ",F$3,list1!F336,"]")</f>
        <v xml:space="preserve"> (Сплит система) Теплопроизводительность: N[15.24]</v>
      </c>
      <c r="G336" t="str">
        <f>CONCATENATE(G$2,": ",G$3,list1!G336,"]")</f>
        <v xml:space="preserve"> (Потребляемая мощность) Охлаждение: N[4.68]</v>
      </c>
      <c r="H336" t="str">
        <f>CONCATENATE(H$2,": ",H$3,list1!H336,"]")</f>
        <v xml:space="preserve"> (Потребляемая мощность) Обогрев: S[4.6]</v>
      </c>
      <c r="I336" t="str">
        <f>CONCATENATE(I$2,": ",I$3,list1!I336,"]")</f>
        <v xml:space="preserve"> (Рабочий ток) Охлаждение: S[]</v>
      </c>
      <c r="J336" t="str">
        <f>CONCATENATE(J$2,": ",J$3,list1!J336,"]")</f>
        <v xml:space="preserve"> (Рабочий ток) Обогрев: S[]</v>
      </c>
      <c r="K336" t="str">
        <f>CONCATENATE(K$2,": ",K$3,list1!K336,"]")</f>
        <v xml:space="preserve"> (Рабочий ток) Напряжение / Частота источника питания: S[3 / 380 / 50]</v>
      </c>
      <c r="L336" t="str">
        <f>CONCATENATE(L$2,": ",L$3,list1!L336,"]")</f>
        <v xml:space="preserve"> (Рабочий ток) Хладагент: S[R410A]</v>
      </c>
      <c r="M336" t="str">
        <f>CONCATENATE(M$2,": ",M$3,list1!M336,"]")</f>
        <v xml:space="preserve"> (Рабочий ток) Количество хладагента: N[]</v>
      </c>
      <c r="N336" t="str">
        <f>CONCATENATE(N$2,": ",N$3,list1!N336,"]")</f>
        <v xml:space="preserve"> (Рабочий ток) Объем рециркулируемого воздуха внутреннего блока: S[]</v>
      </c>
      <c r="O336" t="str">
        <f>CONCATENATE(O$2,": ",O$3,list1!O336,"]")</f>
        <v xml:space="preserve"> (Внутренний блок) Размеры (Ш x Г x В): S[950 х 55 х 950]</v>
      </c>
      <c r="P336" t="str">
        <f>CONCATENATE(P$2,": ",P$3,list1!P336,"]")</f>
        <v xml:space="preserve"> (Внутренний блок) Упаковка (Ш x Г x В): S[1000 х 1000 х 100]</v>
      </c>
      <c r="Q336" t="str">
        <f>CONCATENATE(Q$2,": ",Q$3,list1!Q336,"]")</f>
        <v xml:space="preserve"> (Внутренний блок) Масса (нетто / брутто): S[5.3 / 7.8]</v>
      </c>
      <c r="R336" t="str">
        <f>CONCATENATE(R$2,": ",R$3,list1!R336,"]")</f>
        <v xml:space="preserve"> (Внутренний блок) Уровень шума мин. / макс.: S[43/47/52]</v>
      </c>
      <c r="S336" t="str">
        <f>CONCATENATE(S$2,": ",S$3,list1!S336,"]")</f>
        <v xml:space="preserve"> (Наружный блок) Марка компрессора: S[GMCC]</v>
      </c>
      <c r="T336" t="str">
        <f>CONCATENATE(T$2,": ",T$3,list1!T336,"]")</f>
        <v xml:space="preserve"> (Наружный блок) Размеры (Ш x Г x В): S[940 х 340 х 1320]</v>
      </c>
      <c r="U336" t="str">
        <f>CONCATENATE(U$2,": ",U$3,list1!U336,"]")</f>
        <v xml:space="preserve"> (Наружный блок) Упаковка (Ш x Г x В): S[1080 х 430 х 1440]</v>
      </c>
      <c r="V336" t="str">
        <f>CONCATENATE(V$2,": ",V$3,list1!V336,"]")</f>
        <v xml:space="preserve"> (Наружный блок) Масса (нетто / брутто): S[85/94]</v>
      </c>
      <c r="W336" t="str">
        <f>CONCATENATE(W$2,": ",W$3,list1!W336,"]")</f>
        <v xml:space="preserve"> (Наружный блок) Максимальный уровень шума: N[]</v>
      </c>
      <c r="X336" t="str">
        <f>CONCATENATE(X$2,": ",X$3,list1!X336,"]")</f>
        <v xml:space="preserve"> (Соединительные трубы) Жидкостная линия : N[9.52]</v>
      </c>
      <c r="Y336" t="str">
        <f>CONCATENATE(Y$2,": ",Y$3,list1!Y336,"]")</f>
        <v xml:space="preserve"> (Соединительные трубы) Газовая линия : N[19.05]</v>
      </c>
      <c r="Z336" t="str">
        <f>CONCATENATE(Z$2,": ",Z$3,list1!Z336,"]")</f>
        <v xml:space="preserve"> (Соединительные трубы) Максимальная длина трубопровода: N[50]</v>
      </c>
      <c r="AA336" t="str">
        <f>CONCATENATE(AA$2,": ",AA$3,list1!AA336,"]")</f>
        <v xml:space="preserve"> (Соединительные трубы) Максимальный перепад высот: S[30]</v>
      </c>
      <c r="AB336" t="str">
        <f>CONCATENATE(AB$2,": ",AB$3,list1!AB336,"]")</f>
        <v xml:space="preserve"> (Допустимая темп. наружного воздуха) Охлаждение: S[от -15 до +49]</v>
      </c>
      <c r="AC336" t="str">
        <f>CONCATENATE(AC$2,": ",AC$3,list1!AC336,"]")</f>
        <v xml:space="preserve"> (Допустимая темп. наружного воздуха) Обогрев: S[от -15 до +24]</v>
      </c>
      <c r="AD336" s="6" t="s">
        <v>5245</v>
      </c>
    </row>
    <row r="337" spans="1:30" x14ac:dyDescent="0.25">
      <c r="A337" t="str">
        <f>CONCATENATE(A$2,": ",A$3,list1!A337,"]")</f>
        <v>Производитель: E[QUATTROCLIMA]</v>
      </c>
      <c r="B337" t="str">
        <f>CONCATENATE(B$2,": ",B$3,list1!B337,"]")</f>
        <v xml:space="preserve"> Тип: S[Кассетные]</v>
      </c>
      <c r="C337" t="str">
        <f>CONCATENATE(C$2,": ",C$3,list1!C337,"]")</f>
        <v xml:space="preserve"> (Сплит система) Холодопроизводительность: N[16.12]</v>
      </c>
      <c r="D337" t="str">
        <f>CONCATENATE(D$2,": ",D$3,list1!D337,"]")</f>
        <v xml:space="preserve"> (Сплит система) Площадь помещения: N[161]</v>
      </c>
      <c r="E337" t="str">
        <f>CONCATENATE(E$2,": ",E$3,list1!E337,"]")</f>
        <v xml:space="preserve"> (Сплит система) Инвентор: S[нет]</v>
      </c>
      <c r="F337" t="str">
        <f>CONCATENATE(F$2,": ",F$3,list1!F337,"]")</f>
        <v xml:space="preserve"> (Сплит система) Теплопроизводительность: N[17.6]</v>
      </c>
      <c r="G337" t="str">
        <f>CONCATENATE(G$2,": ",G$3,list1!G337,"]")</f>
        <v xml:space="preserve"> (Потребляемая мощность) Охлаждение: N[5.55]</v>
      </c>
      <c r="H337" t="str">
        <f>CONCATENATE(H$2,": ",H$3,list1!H337,"]")</f>
        <v xml:space="preserve"> (Потребляемая мощность) Обогрев: S[5.57]</v>
      </c>
      <c r="I337" t="str">
        <f>CONCATENATE(I$2,": ",I$3,list1!I337,"]")</f>
        <v xml:space="preserve"> (Рабочий ток) Охлаждение: S[]</v>
      </c>
      <c r="J337" t="str">
        <f>CONCATENATE(J$2,": ",J$3,list1!J337,"]")</f>
        <v xml:space="preserve"> (Рабочий ток) Обогрев: S[]</v>
      </c>
      <c r="K337" t="str">
        <f>CONCATENATE(K$2,": ",K$3,list1!K337,"]")</f>
        <v xml:space="preserve"> (Рабочий ток) Напряжение / Частота источника питания: S[3 / 380 / 50]</v>
      </c>
      <c r="L337" t="str">
        <f>CONCATENATE(L$2,": ",L$3,list1!L337,"]")</f>
        <v xml:space="preserve"> (Рабочий ток) Хладагент: S[R410A]</v>
      </c>
      <c r="M337" t="str">
        <f>CONCATENATE(M$2,": ",M$3,list1!M337,"]")</f>
        <v xml:space="preserve"> (Рабочий ток) Количество хладагента: N[]</v>
      </c>
      <c r="N337" t="str">
        <f>CONCATENATE(N$2,": ",N$3,list1!N337,"]")</f>
        <v xml:space="preserve"> (Рабочий ток) Объем рециркулируемого воздуха внутреннего блока: S[]</v>
      </c>
      <c r="O337" t="str">
        <f>CONCATENATE(O$2,": ",O$3,list1!O337,"]")</f>
        <v xml:space="preserve"> (Внутренний блок) Размеры (Ш x Г x В): S[950 х 55 х 950]</v>
      </c>
      <c r="P337" t="str">
        <f>CONCATENATE(P$2,": ",P$3,list1!P337,"]")</f>
        <v xml:space="preserve"> (Внутренний блок) Упаковка (Ш x Г x В): S[1000 х 1000 х 100]</v>
      </c>
      <c r="Q337" t="str">
        <f>CONCATENATE(Q$2,": ",Q$3,list1!Q337,"]")</f>
        <v xml:space="preserve"> (Внутренний блок) Масса (нетто / брутто): S[5.3 / 7.8]</v>
      </c>
      <c r="R337" t="str">
        <f>CONCATENATE(R$2,": ",R$3,list1!R337,"]")</f>
        <v xml:space="preserve"> (Внутренний блок) Уровень шума мин. / макс.: S[43/47/52]</v>
      </c>
      <c r="S337" t="str">
        <f>CONCATENATE(S$2,": ",S$3,list1!S337,"]")</f>
        <v xml:space="preserve"> (Наружный блок) Марка компрессора: S[GMCC]</v>
      </c>
      <c r="T337" t="str">
        <f>CONCATENATE(T$2,": ",T$3,list1!T337,"]")</f>
        <v xml:space="preserve"> (Наружный блок) Размеры (Ш x Г x В): S[940 х 340 х 1320]</v>
      </c>
      <c r="U337" t="str">
        <f>CONCATENATE(U$2,": ",U$3,list1!U337,"]")</f>
        <v xml:space="preserve"> (Наружный блок) Упаковка (Ш x Г x В): S[1080 х 430 х 1440]</v>
      </c>
      <c r="V337" t="str">
        <f>CONCATENATE(V$2,": ",V$3,list1!V337,"]")</f>
        <v xml:space="preserve"> (Наружный блок) Масса (нетто / брутто): S[91/100]</v>
      </c>
      <c r="W337" t="str">
        <f>CONCATENATE(W$2,": ",W$3,list1!W337,"]")</f>
        <v xml:space="preserve"> (Наружный блок) Максимальный уровень шума: N[]</v>
      </c>
      <c r="X337" t="str">
        <f>CONCATENATE(X$2,": ",X$3,list1!X337,"]")</f>
        <v xml:space="preserve"> (Соединительные трубы) Жидкостная линия : N[9.52]</v>
      </c>
      <c r="Y337" t="str">
        <f>CONCATENATE(Y$2,": ",Y$3,list1!Y337,"]")</f>
        <v xml:space="preserve"> (Соединительные трубы) Газовая линия : N[19.05]</v>
      </c>
      <c r="Z337" t="str">
        <f>CONCATENATE(Z$2,": ",Z$3,list1!Z337,"]")</f>
        <v xml:space="preserve"> (Соединительные трубы) Максимальная длина трубопровода: N[50]</v>
      </c>
      <c r="AA337" t="str">
        <f>CONCATENATE(AA$2,": ",AA$3,list1!AA337,"]")</f>
        <v xml:space="preserve"> (Соединительные трубы) Максимальный перепад высот: S[30]</v>
      </c>
      <c r="AB337" t="str">
        <f>CONCATENATE(AB$2,": ",AB$3,list1!AB337,"]")</f>
        <v xml:space="preserve"> (Допустимая темп. наружного воздуха) Охлаждение: S[от -15 до +49]</v>
      </c>
      <c r="AC337" t="str">
        <f>CONCATENATE(AC$2,": ",AC$3,list1!AC337,"]")</f>
        <v xml:space="preserve"> (Допустимая темп. наружного воздуха) Обогрев: S[от -15 до +24]</v>
      </c>
      <c r="AD337" s="6" t="s">
        <v>5245</v>
      </c>
    </row>
    <row r="338" spans="1:30" x14ac:dyDescent="0.25">
      <c r="A338" t="str">
        <f>CONCATENATE(A$2,": ",A$3,list1!A338,"]")</f>
        <v>Производитель: E[QUATTROCLIMA]</v>
      </c>
      <c r="B338" t="str">
        <f>CONCATENATE(B$2,": ",B$3,list1!B338,"]")</f>
        <v xml:space="preserve"> Тип: S[Напольно-потолочные]</v>
      </c>
      <c r="C338" t="str">
        <f>CONCATENATE(C$2,": ",C$3,list1!C338,"]")</f>
        <v xml:space="preserve"> (Сплит система) Холодопроизводительность: N[5.4]</v>
      </c>
      <c r="D338" t="str">
        <f>CONCATENATE(D$2,": ",D$3,list1!D338,"]")</f>
        <v xml:space="preserve"> (Сплит система) Площадь помещения: N[54]</v>
      </c>
      <c r="E338" t="str">
        <f>CONCATENATE(E$2,": ",E$3,list1!E338,"]")</f>
        <v xml:space="preserve"> (Сплит система) Инвентор: S[нет]</v>
      </c>
      <c r="F338" t="str">
        <f>CONCATENATE(F$2,": ",F$3,list1!F338,"]")</f>
        <v xml:space="preserve"> (Сплит система) Теплопроизводительность: N[5.8]</v>
      </c>
      <c r="G338" t="str">
        <f>CONCATENATE(G$2,": ",G$3,list1!G338,"]")</f>
        <v xml:space="preserve"> (Потребляемая мощность) Охлаждение: N[1.65]</v>
      </c>
      <c r="H338" t="str">
        <f>CONCATENATE(H$2,": ",H$3,list1!H338,"]")</f>
        <v xml:space="preserve"> (Потребляемая мощность) Обогрев: S[1.5]</v>
      </c>
      <c r="I338" t="str">
        <f>CONCATENATE(I$2,": ",I$3,list1!I338,"]")</f>
        <v xml:space="preserve"> (Рабочий ток) Охлаждение: S[]</v>
      </c>
      <c r="J338" t="str">
        <f>CONCATENATE(J$2,": ",J$3,list1!J338,"]")</f>
        <v xml:space="preserve"> (Рабочий ток) Обогрев: S[]</v>
      </c>
      <c r="K338" t="str">
        <f>CONCATENATE(K$2,": ",K$3,list1!K338,"]")</f>
        <v xml:space="preserve"> (Рабочий ток) Напряжение / Частота источника питания: S[1 / 220 / 50]</v>
      </c>
      <c r="L338" t="str">
        <f>CONCATENATE(L$2,": ",L$3,list1!L338,"]")</f>
        <v xml:space="preserve"> (Рабочий ток) Хладагент: S[R410A]</v>
      </c>
      <c r="M338" t="str">
        <f>CONCATENATE(M$2,": ",M$3,list1!M338,"]")</f>
        <v xml:space="preserve"> (Рабочий ток) Количество хладагента: N[]</v>
      </c>
      <c r="N338" t="str">
        <f>CONCATENATE(N$2,": ",N$3,list1!N338,"]")</f>
        <v xml:space="preserve"> (Рабочий ток) Объем рециркулируемого воздуха внутреннего блока: S[]</v>
      </c>
      <c r="O338" t="str">
        <f>CONCATENATE(O$2,": ",O$3,list1!O338,"]")</f>
        <v xml:space="preserve"> (Внутренний блок) Размеры (Ш x Г x В): S[1000 х 690 х 235]</v>
      </c>
      <c r="P338" t="str">
        <f>CONCATENATE(P$2,": ",P$3,list1!P338,"]")</f>
        <v xml:space="preserve"> (Внутренний блок) Упаковка (Ш x Г x В): S[1080 х 325 х 770]</v>
      </c>
      <c r="Q338" t="str">
        <f>CONCATENATE(Q$2,": ",Q$3,list1!Q338,"]")</f>
        <v xml:space="preserve"> (Внутренний блок) Масса (нетто / брутто): S[29 / 33]</v>
      </c>
      <c r="R338" t="str">
        <f>CONCATENATE(R$2,": ",R$3,list1!R338,"]")</f>
        <v xml:space="preserve"> (Внутренний блок) Уровень шума мин. / макс.: S[32/35/43]</v>
      </c>
      <c r="S338" t="str">
        <f>CONCATENATE(S$2,": ",S$3,list1!S338,"]")</f>
        <v xml:space="preserve"> (Наружный блок) Марка компрессора: S[HIGHLY]</v>
      </c>
      <c r="T338" t="str">
        <f>CONCATENATE(T$2,": ",T$3,list1!T338,"]")</f>
        <v xml:space="preserve"> (Наружный блок) Размеры (Ш x Г x В): S[800 х 315 х 545]</v>
      </c>
      <c r="U338" t="str">
        <f>CONCATENATE(U$2,": ",U$3,list1!U338,"]")</f>
        <v xml:space="preserve"> (Наружный блок) Упаковка (Ш x Г x В): S[920 х 400 х 620]</v>
      </c>
      <c r="V338" t="str">
        <f>CONCATENATE(V$2,": ",V$3,list1!V338,"]")</f>
        <v xml:space="preserve"> (Наружный блок) Масса (нетто / брутто): S[42/45]</v>
      </c>
      <c r="W338" t="str">
        <f>CONCATENATE(W$2,": ",W$3,list1!W338,"]")</f>
        <v xml:space="preserve"> (Наружный блок) Максимальный уровень шума: N[]</v>
      </c>
      <c r="X338" t="str">
        <f>CONCATENATE(X$2,": ",X$3,list1!X338,"]")</f>
        <v xml:space="preserve"> (Соединительные трубы) Жидкостная линия : N[6.35]</v>
      </c>
      <c r="Y338" t="str">
        <f>CONCATENATE(Y$2,": ",Y$3,list1!Y338,"]")</f>
        <v xml:space="preserve"> (Соединительные трубы) Газовая линия : N[12.7]</v>
      </c>
      <c r="Z338" t="str">
        <f>CONCATENATE(Z$2,": ",Z$3,list1!Z338,"]")</f>
        <v xml:space="preserve"> (Соединительные трубы) Максимальная длина трубопровода: N[20]</v>
      </c>
      <c r="AA338" t="str">
        <f>CONCATENATE(AA$2,": ",AA$3,list1!AA338,"]")</f>
        <v xml:space="preserve"> (Соединительные трубы) Максимальный перепад высот: S[15]</v>
      </c>
      <c r="AB338" t="str">
        <f>CONCATENATE(AB$2,": ",AB$3,list1!AB338,"]")</f>
        <v xml:space="preserve"> (Допустимая темп. наружного воздуха) Охлаждение: S[от -15 до +49]</v>
      </c>
      <c r="AC338" t="str">
        <f>CONCATENATE(AC$2,": ",AC$3,list1!AC338,"]")</f>
        <v xml:space="preserve"> (Допустимая темп. наружного воздуха) Обогрев: S[от -15 до +24]</v>
      </c>
      <c r="AD338" s="6" t="s">
        <v>5245</v>
      </c>
    </row>
    <row r="339" spans="1:30" x14ac:dyDescent="0.25">
      <c r="A339" t="str">
        <f>CONCATENATE(A$2,": ",A$3,list1!A339,"]")</f>
        <v>Производитель: E[QUATTROCLIMA]</v>
      </c>
      <c r="B339" t="str">
        <f>CONCATENATE(B$2,": ",B$3,list1!B339,"]")</f>
        <v xml:space="preserve"> Тип: S[Напольно-потолочные]</v>
      </c>
      <c r="C339" t="str">
        <f>CONCATENATE(C$2,": ",C$3,list1!C339,"]")</f>
        <v xml:space="preserve"> (Сплит система) Холодопроизводительность: N[7.2]</v>
      </c>
      <c r="D339" t="str">
        <f>CONCATENATE(D$2,": ",D$3,list1!D339,"]")</f>
        <v xml:space="preserve"> (Сплит система) Площадь помещения: N[72]</v>
      </c>
      <c r="E339" t="str">
        <f>CONCATENATE(E$2,": ",E$3,list1!E339,"]")</f>
        <v xml:space="preserve"> (Сплит система) Инвентор: S[нет]</v>
      </c>
      <c r="F339" t="str">
        <f>CONCATENATE(F$2,": ",F$3,list1!F339,"]")</f>
        <v xml:space="preserve"> (Сплит система) Теплопроизводительность: N[7.6]</v>
      </c>
      <c r="G339" t="str">
        <f>CONCATENATE(G$2,": ",G$3,list1!G339,"]")</f>
        <v xml:space="preserve"> (Потребляемая мощность) Охлаждение: N[2.24]</v>
      </c>
      <c r="H339" t="str">
        <f>CONCATENATE(H$2,": ",H$3,list1!H339,"]")</f>
        <v xml:space="preserve"> (Потребляемая мощность) Обогрев: S[2.1]</v>
      </c>
      <c r="I339" t="str">
        <f>CONCATENATE(I$2,": ",I$3,list1!I339,"]")</f>
        <v xml:space="preserve"> (Рабочий ток) Охлаждение: S[]</v>
      </c>
      <c r="J339" t="str">
        <f>CONCATENATE(J$2,": ",J$3,list1!J339,"]")</f>
        <v xml:space="preserve"> (Рабочий ток) Обогрев: S[]</v>
      </c>
      <c r="K339" t="str">
        <f>CONCATENATE(K$2,": ",K$3,list1!K339,"]")</f>
        <v xml:space="preserve"> (Рабочий ток) Напряжение / Частота источника питания: S[1 / 220 / 50]</v>
      </c>
      <c r="L339" t="str">
        <f>CONCATENATE(L$2,": ",L$3,list1!L339,"]")</f>
        <v xml:space="preserve"> (Рабочий ток) Хладагент: S[R410A]</v>
      </c>
      <c r="M339" t="str">
        <f>CONCATENATE(M$2,": ",M$3,list1!M339,"]")</f>
        <v xml:space="preserve"> (Рабочий ток) Количество хладагента: N[]</v>
      </c>
      <c r="N339" t="str">
        <f>CONCATENATE(N$2,": ",N$3,list1!N339,"]")</f>
        <v xml:space="preserve"> (Рабочий ток) Объем рециркулируемого воздуха внутреннего блока: S[]</v>
      </c>
      <c r="O339" t="str">
        <f>CONCATENATE(O$2,": ",O$3,list1!O339,"]")</f>
        <v xml:space="preserve"> (Внутренний блок) Размеры (Ш x Г x В): S[1280 х 690 х 235]</v>
      </c>
      <c r="P339" t="str">
        <f>CONCATENATE(P$2,": ",P$3,list1!P339,"]")</f>
        <v xml:space="preserve"> (Внутренний блок) Упаковка (Ш x Г x В): S[1360 х 325 х 770]</v>
      </c>
      <c r="Q339" t="str">
        <f>CONCATENATE(Q$2,": ",Q$3,list1!Q339,"]")</f>
        <v xml:space="preserve"> (Внутренний блок) Масса (нетто / брутто): S[36 / 42]</v>
      </c>
      <c r="R339" t="str">
        <f>CONCATENATE(R$2,": ",R$3,list1!R339,"]")</f>
        <v xml:space="preserve"> (Внутренний блок) Уровень шума мин. / макс.: S[42/46/50]</v>
      </c>
      <c r="S339" t="str">
        <f>CONCATENATE(S$2,": ",S$3,list1!S339,"]")</f>
        <v xml:space="preserve"> (Наружный блок) Марка компрессора: S[HIGHLY]</v>
      </c>
      <c r="T339" t="str">
        <f>CONCATENATE(T$2,": ",T$3,list1!T339,"]")</f>
        <v xml:space="preserve"> (Наружный блок) Размеры (Ш x Г x В): S[825 х 310 х 655]</v>
      </c>
      <c r="U339" t="str">
        <f>CONCATENATE(U$2,": ",U$3,list1!U339,"]")</f>
        <v xml:space="preserve"> (Наружный блок) Упаковка (Ш x Г x В): S[945 х 435 х 725]</v>
      </c>
      <c r="V339" t="str">
        <f>CONCATENATE(V$2,": ",V$3,list1!V339,"]")</f>
        <v xml:space="preserve"> (Наружный блок) Масса (нетто / брутто): S[53/56]</v>
      </c>
      <c r="W339" t="str">
        <f>CONCATENATE(W$2,": ",W$3,list1!W339,"]")</f>
        <v xml:space="preserve"> (Наружный блок) Максимальный уровень шума: N[]</v>
      </c>
      <c r="X339" t="str">
        <f>CONCATENATE(X$2,": ",X$3,list1!X339,"]")</f>
        <v xml:space="preserve"> (Соединительные трубы) Жидкостная линия : N[9.52]</v>
      </c>
      <c r="Y339" t="str">
        <f>CONCATENATE(Y$2,": ",Y$3,list1!Y339,"]")</f>
        <v xml:space="preserve"> (Соединительные трубы) Газовая линия : N[15.88]</v>
      </c>
      <c r="Z339" t="str">
        <f>CONCATENATE(Z$2,": ",Z$3,list1!Z339,"]")</f>
        <v xml:space="preserve"> (Соединительные трубы) Максимальная длина трубопровода: N[20]</v>
      </c>
      <c r="AA339" t="str">
        <f>CONCATENATE(AA$2,": ",AA$3,list1!AA339,"]")</f>
        <v xml:space="preserve"> (Соединительные трубы) Максимальный перепад высот: S[15]</v>
      </c>
      <c r="AB339" t="str">
        <f>CONCATENATE(AB$2,": ",AB$3,list1!AB339,"]")</f>
        <v xml:space="preserve"> (Допустимая темп. наружного воздуха) Охлаждение: S[от -15 до +49]</v>
      </c>
      <c r="AC339" t="str">
        <f>CONCATENATE(AC$2,": ",AC$3,list1!AC339,"]")</f>
        <v xml:space="preserve"> (Допустимая темп. наружного воздуха) Обогрев: S[от -15 до +24]</v>
      </c>
      <c r="AD339" s="6" t="s">
        <v>5245</v>
      </c>
    </row>
    <row r="340" spans="1:30" x14ac:dyDescent="0.25">
      <c r="A340" t="str">
        <f>CONCATENATE(A$2,": ",A$3,list1!A340,"]")</f>
        <v>Производитель: E[QUATTROCLIMA]</v>
      </c>
      <c r="B340" t="str">
        <f>CONCATENATE(B$2,": ",B$3,list1!B340,"]")</f>
        <v xml:space="preserve"> Тип: S[Напольно-потолочные]</v>
      </c>
      <c r="C340" t="str">
        <f>CONCATENATE(C$2,": ",C$3,list1!C340,"]")</f>
        <v xml:space="preserve"> (Сплит система) Холодопроизводительность: N[10.6]</v>
      </c>
      <c r="D340" t="str">
        <f>CONCATENATE(D$2,": ",D$3,list1!D340,"]")</f>
        <v xml:space="preserve"> (Сплит система) Площадь помещения: N[106]</v>
      </c>
      <c r="E340" t="str">
        <f>CONCATENATE(E$2,": ",E$3,list1!E340,"]")</f>
        <v xml:space="preserve"> (Сплит система) Инвентор: S[нет]</v>
      </c>
      <c r="F340" t="str">
        <f>CONCATENATE(F$2,": ",F$3,list1!F340,"]")</f>
        <v xml:space="preserve"> (Сплит система) Теплопроизводительность: N[11.7]</v>
      </c>
      <c r="G340" t="str">
        <f>CONCATENATE(G$2,": ",G$3,list1!G340,"]")</f>
        <v xml:space="preserve"> (Потребляемая мощность) Охлаждение: N[3.5]</v>
      </c>
      <c r="H340" t="str">
        <f>CONCATENATE(H$2,": ",H$3,list1!H340,"]")</f>
        <v xml:space="preserve"> (Потребляемая мощность) Обогрев: S[3.45]</v>
      </c>
      <c r="I340" t="str">
        <f>CONCATENATE(I$2,": ",I$3,list1!I340,"]")</f>
        <v xml:space="preserve"> (Рабочий ток) Охлаждение: S[]</v>
      </c>
      <c r="J340" t="str">
        <f>CONCATENATE(J$2,": ",J$3,list1!J340,"]")</f>
        <v xml:space="preserve"> (Рабочий ток) Обогрев: S[]</v>
      </c>
      <c r="K340" t="str">
        <f>CONCATENATE(K$2,": ",K$3,list1!K340,"]")</f>
        <v xml:space="preserve"> (Рабочий ток) Напряжение / Частота источника питания: S[3 / 380 / 50]</v>
      </c>
      <c r="L340" t="str">
        <f>CONCATENATE(L$2,": ",L$3,list1!L340,"]")</f>
        <v xml:space="preserve"> (Рабочий ток) Хладагент: S[R410A]</v>
      </c>
      <c r="M340" t="str">
        <f>CONCATENATE(M$2,": ",M$3,list1!M340,"]")</f>
        <v xml:space="preserve"> (Рабочий ток) Количество хладагента: N[]</v>
      </c>
      <c r="N340" t="str">
        <f>CONCATENATE(N$2,": ",N$3,list1!N340,"]")</f>
        <v xml:space="preserve"> (Рабочий ток) Объем рециркулируемого воздуха внутреннего блока: S[]</v>
      </c>
      <c r="O340" t="str">
        <f>CONCATENATE(O$2,": ",O$3,list1!O340,"]")</f>
        <v xml:space="preserve"> (Внутренний блок) Размеры (Ш x Г x В): S[1280 х 690 х 235]</v>
      </c>
      <c r="P340" t="str">
        <f>CONCATENATE(P$2,": ",P$3,list1!P340,"]")</f>
        <v xml:space="preserve"> (Внутренний блок) Упаковка (Ш x Г x В): S[1360 х 325 х 770]</v>
      </c>
      <c r="Q340" t="str">
        <f>CONCATENATE(Q$2,": ",Q$3,list1!Q340,"]")</f>
        <v xml:space="preserve"> (Внутренний блок) Масса (нетто / брутто): S[36 / 42]</v>
      </c>
      <c r="R340" t="str">
        <f>CONCATENATE(R$2,": ",R$3,list1!R340,"]")</f>
        <v xml:space="preserve"> (Внутренний блок) Уровень шума мин. / макс.: S[42/46/50]</v>
      </c>
      <c r="S340" t="str">
        <f>CONCATENATE(S$2,": ",S$3,list1!S340,"]")</f>
        <v xml:space="preserve"> (Наружный блок) Марка компрессора: S[HIGHLY]</v>
      </c>
      <c r="T340" t="str">
        <f>CONCATENATE(T$2,": ",T$3,list1!T340,"]")</f>
        <v xml:space="preserve"> (Наружный блок) Размеры (Ш x Г x В): S[970 х 395 х 805]</v>
      </c>
      <c r="U340" t="str">
        <f>CONCATENATE(U$2,": ",U$3,list1!U340,"]")</f>
        <v xml:space="preserve"> (Наружный блок) Упаковка (Ш x Г x В): S[1105 х 495 х 895]</v>
      </c>
      <c r="V340" t="str">
        <f>CONCATENATE(V$2,": ",V$3,list1!V340,"]")</f>
        <v xml:space="preserve"> (Наружный блок) Масса (нетто / брутто): S[65/75]</v>
      </c>
      <c r="W340" t="str">
        <f>CONCATENATE(W$2,": ",W$3,list1!W340,"]")</f>
        <v xml:space="preserve"> (Наружный блок) Максимальный уровень шума: N[]</v>
      </c>
      <c r="X340" t="str">
        <f>CONCATENATE(X$2,": ",X$3,list1!X340,"]")</f>
        <v xml:space="preserve"> (Соединительные трубы) Жидкостная линия : N[9.52]</v>
      </c>
      <c r="Y340" t="str">
        <f>CONCATENATE(Y$2,": ",Y$3,list1!Y340,"]")</f>
        <v xml:space="preserve"> (Соединительные трубы) Газовая линия : N[15.88]</v>
      </c>
      <c r="Z340" t="str">
        <f>CONCATENATE(Z$2,": ",Z$3,list1!Z340,"]")</f>
        <v xml:space="preserve"> (Соединительные трубы) Максимальная длина трубопровода: N[30]</v>
      </c>
      <c r="AA340" t="str">
        <f>CONCATENATE(AA$2,": ",AA$3,list1!AA340,"]")</f>
        <v xml:space="preserve"> (Соединительные трубы) Максимальный перепад высот: S[20]</v>
      </c>
      <c r="AB340" t="str">
        <f>CONCATENATE(AB$2,": ",AB$3,list1!AB340,"]")</f>
        <v xml:space="preserve"> (Допустимая темп. наружного воздуха) Охлаждение: S[от -15 до +49]</v>
      </c>
      <c r="AC340" t="str">
        <f>CONCATENATE(AC$2,": ",AC$3,list1!AC340,"]")</f>
        <v xml:space="preserve"> (Допустимая темп. наружного воздуха) Обогрев: S[от -15 до +24]</v>
      </c>
      <c r="AD340" s="6" t="s">
        <v>5245</v>
      </c>
    </row>
    <row r="341" spans="1:30" x14ac:dyDescent="0.25">
      <c r="A341" t="str">
        <f>CONCATENATE(A$2,": ",A$3,list1!A341,"]")</f>
        <v>Производитель: E[QUATTROCLIMA]</v>
      </c>
      <c r="B341" t="str">
        <f>CONCATENATE(B$2,": ",B$3,list1!B341,"]")</f>
        <v xml:space="preserve"> Тип: S[Напольно-потолочные]</v>
      </c>
      <c r="C341" t="str">
        <f>CONCATENATE(C$2,": ",C$3,list1!C341,"]")</f>
        <v xml:space="preserve"> (Сплит система) Холодопроизводительность: N[14.07]</v>
      </c>
      <c r="D341" t="str">
        <f>CONCATENATE(D$2,": ",D$3,list1!D341,"]")</f>
        <v xml:space="preserve"> (Сплит система) Площадь помещения: N[141]</v>
      </c>
      <c r="E341" t="str">
        <f>CONCATENATE(E$2,": ",E$3,list1!E341,"]")</f>
        <v xml:space="preserve"> (Сплит система) Инвентор: S[нет]</v>
      </c>
      <c r="F341" t="str">
        <f>CONCATENATE(F$2,": ",F$3,list1!F341,"]")</f>
        <v xml:space="preserve"> (Сплит система) Теплопроизводительность: N[15.55]</v>
      </c>
      <c r="G341" t="str">
        <f>CONCATENATE(G$2,": ",G$3,list1!G341,"]")</f>
        <v xml:space="preserve"> (Потребляемая мощность) Охлаждение: N[4.85]</v>
      </c>
      <c r="H341" t="str">
        <f>CONCATENATE(H$2,": ",H$3,list1!H341,"]")</f>
        <v xml:space="preserve"> (Потребляемая мощность) Обогрев: S[4.8]</v>
      </c>
      <c r="I341" t="str">
        <f>CONCATENATE(I$2,": ",I$3,list1!I341,"]")</f>
        <v xml:space="preserve"> (Рабочий ток) Охлаждение: S[]</v>
      </c>
      <c r="J341" t="str">
        <f>CONCATENATE(J$2,": ",J$3,list1!J341,"]")</f>
        <v xml:space="preserve"> (Рабочий ток) Обогрев: S[]</v>
      </c>
      <c r="K341" t="str">
        <f>CONCATENATE(K$2,": ",K$3,list1!K341,"]")</f>
        <v xml:space="preserve"> (Рабочий ток) Напряжение / Частота источника питания: S[3 / 380 / 50]</v>
      </c>
      <c r="L341" t="str">
        <f>CONCATENATE(L$2,": ",L$3,list1!L341,"]")</f>
        <v xml:space="preserve"> (Рабочий ток) Хладагент: S[R410A]</v>
      </c>
      <c r="M341" t="str">
        <f>CONCATENATE(M$2,": ",M$3,list1!M341,"]")</f>
        <v xml:space="preserve"> (Рабочий ток) Количество хладагента: N[]</v>
      </c>
      <c r="N341" t="str">
        <f>CONCATENATE(N$2,": ",N$3,list1!N341,"]")</f>
        <v xml:space="preserve"> (Рабочий ток) Объем рециркулируемого воздуха внутреннего блока: S[]</v>
      </c>
      <c r="O341" t="str">
        <f>CONCATENATE(O$2,": ",O$3,list1!O341,"]")</f>
        <v xml:space="preserve"> (Внутренний блок) Размеры (Ш x Г x В): S[1600 х 690 х 235]</v>
      </c>
      <c r="P341" t="str">
        <f>CONCATENATE(P$2,": ",P$3,list1!P341,"]")</f>
        <v xml:space="preserve"> (Внутренний блок) Упаковка (Ш x Г x В): S[1680 х 325 х 770]</v>
      </c>
      <c r="Q341" t="str">
        <f>CONCATENATE(Q$2,": ",Q$3,list1!Q341,"]")</f>
        <v xml:space="preserve"> (Внутренний блок) Масса (нетто / брутто): S[44 / 50.5]</v>
      </c>
      <c r="R341" t="str">
        <f>CONCATENATE(R$2,": ",R$3,list1!R341,"]")</f>
        <v xml:space="preserve"> (Внутренний блок) Уровень шума мин. / макс.: S[43/47/51]</v>
      </c>
      <c r="S341" t="str">
        <f>CONCATENATE(S$2,": ",S$3,list1!S341,"]")</f>
        <v xml:space="preserve"> (Наружный блок) Марка компрессора: S[HIGHLY]</v>
      </c>
      <c r="T341" t="str">
        <f>CONCATENATE(T$2,": ",T$3,list1!T341,"]")</f>
        <v xml:space="preserve"> (Наружный блок) Размеры (Ш x Г x В): S[940 х 370 х 1325]</v>
      </c>
      <c r="U341" t="str">
        <f>CONCATENATE(U$2,": ",U$3,list1!U341,"]")</f>
        <v xml:space="preserve"> (Наружный блок) Упаковка (Ш x Г x В): S[1080 х 430 х 1440]</v>
      </c>
      <c r="V341" t="str">
        <f>CONCATENATE(V$2,": ",V$3,list1!V341,"]")</f>
        <v xml:space="preserve"> (Наружный блок) Масса (нетто / брутто): S[95/105]</v>
      </c>
      <c r="W341" t="str">
        <f>CONCATENATE(W$2,": ",W$3,list1!W341,"]")</f>
        <v xml:space="preserve"> (Наружный блок) Максимальный уровень шума: N[]</v>
      </c>
      <c r="X341" t="str">
        <f>CONCATENATE(X$2,": ",X$3,list1!X341,"]")</f>
        <v xml:space="preserve"> (Соединительные трубы) Жидкостная линия : N[9.52]</v>
      </c>
      <c r="Y341" t="str">
        <f>CONCATENATE(Y$2,": ",Y$3,list1!Y341,"]")</f>
        <v xml:space="preserve"> (Соединительные трубы) Газовая линия : N[19.05]</v>
      </c>
      <c r="Z341" t="str">
        <f>CONCATENATE(Z$2,": ",Z$3,list1!Z341,"]")</f>
        <v xml:space="preserve"> (Соединительные трубы) Максимальная длина трубопровода: N[50]</v>
      </c>
      <c r="AA341" t="str">
        <f>CONCATENATE(AA$2,": ",AA$3,list1!AA341,"]")</f>
        <v xml:space="preserve"> (Соединительные трубы) Максимальный перепад высот: S[30]</v>
      </c>
      <c r="AB341" t="str">
        <f>CONCATENATE(AB$2,": ",AB$3,list1!AB341,"]")</f>
        <v xml:space="preserve"> (Допустимая темп. наружного воздуха) Охлаждение: S[от -15 до +49]</v>
      </c>
      <c r="AC341" t="str">
        <f>CONCATENATE(AC$2,": ",AC$3,list1!AC341,"]")</f>
        <v xml:space="preserve"> (Допустимая темп. наружного воздуха) Обогрев: S[от -15 до +24]</v>
      </c>
      <c r="AD341" s="6" t="s">
        <v>5245</v>
      </c>
    </row>
    <row r="342" spans="1:30" x14ac:dyDescent="0.25">
      <c r="A342" t="str">
        <f>CONCATENATE(A$2,": ",A$3,list1!A342,"]")</f>
        <v>Производитель: E[QUATTROCLIMA]</v>
      </c>
      <c r="B342" t="str">
        <f>CONCATENATE(B$2,": ",B$3,list1!B342,"]")</f>
        <v xml:space="preserve"> Тип: S[Напольно-потолочные]</v>
      </c>
      <c r="C342" t="str">
        <f>CONCATENATE(C$2,": ",C$3,list1!C342,"]")</f>
        <v xml:space="preserve"> (Сплит система) Холодопроизводительность: N[16.12]</v>
      </c>
      <c r="D342" t="str">
        <f>CONCATENATE(D$2,": ",D$3,list1!D342,"]")</f>
        <v xml:space="preserve"> (Сплит система) Площадь помещения: N[161]</v>
      </c>
      <c r="E342" t="str">
        <f>CONCATENATE(E$2,": ",E$3,list1!E342,"]")</f>
        <v xml:space="preserve"> (Сплит система) Инвентор: S[нет]</v>
      </c>
      <c r="F342" t="str">
        <f>CONCATENATE(F$2,": ",F$3,list1!F342,"]")</f>
        <v xml:space="preserve"> (Сплит система) Теплопроизводительность: N[17.58]</v>
      </c>
      <c r="G342" t="str">
        <f>CONCATENATE(G$2,": ",G$3,list1!G342,"]")</f>
        <v xml:space="preserve"> (Потребляемая мощность) Охлаждение: N[5.2]</v>
      </c>
      <c r="H342" t="str">
        <f>CONCATENATE(H$2,": ",H$3,list1!H342,"]")</f>
        <v xml:space="preserve"> (Потребляемая мощность) Обогрев: S[5.1]</v>
      </c>
      <c r="I342" t="str">
        <f>CONCATENATE(I$2,": ",I$3,list1!I342,"]")</f>
        <v xml:space="preserve"> (Рабочий ток) Охлаждение: S[]</v>
      </c>
      <c r="J342" t="str">
        <f>CONCATENATE(J$2,": ",J$3,list1!J342,"]")</f>
        <v xml:space="preserve"> (Рабочий ток) Обогрев: S[]</v>
      </c>
      <c r="K342" t="str">
        <f>CONCATENATE(K$2,": ",K$3,list1!K342,"]")</f>
        <v xml:space="preserve"> (Рабочий ток) Напряжение / Частота источника питания: S[3 / 380 / 50]</v>
      </c>
      <c r="L342" t="str">
        <f>CONCATENATE(L$2,": ",L$3,list1!L342,"]")</f>
        <v xml:space="preserve"> (Рабочий ток) Хладагент: S[R410A]</v>
      </c>
      <c r="M342" t="str">
        <f>CONCATENATE(M$2,": ",M$3,list1!M342,"]")</f>
        <v xml:space="preserve"> (Рабочий ток) Количество хладагента: N[]</v>
      </c>
      <c r="N342" t="str">
        <f>CONCATENATE(N$2,": ",N$3,list1!N342,"]")</f>
        <v xml:space="preserve"> (Рабочий ток) Объем рециркулируемого воздуха внутреннего блока: S[]</v>
      </c>
      <c r="O342" t="str">
        <f>CONCATENATE(O$2,": ",O$3,list1!O342,"]")</f>
        <v xml:space="preserve"> (Внутренний блок) Размеры (Ш x Г x В): S[1600 х 690 х 235]</v>
      </c>
      <c r="P342" t="str">
        <f>CONCATENATE(P$2,": ",P$3,list1!P342,"]")</f>
        <v xml:space="preserve"> (Внутренний блок) Упаковка (Ш x Г x В): S[1680 х 325 х 770]</v>
      </c>
      <c r="Q342" t="str">
        <f>CONCATENATE(Q$2,": ",Q$3,list1!Q342,"]")</f>
        <v xml:space="preserve"> (Внутренний блок) Масса (нетто / брутто): S[44 / 50.5]</v>
      </c>
      <c r="R342" t="str">
        <f>CONCATENATE(R$2,": ",R$3,list1!R342,"]")</f>
        <v xml:space="preserve"> (Внутренний блок) Уровень шума мин. / макс.: S[43/47/51]</v>
      </c>
      <c r="S342" t="str">
        <f>CONCATENATE(S$2,": ",S$3,list1!S342,"]")</f>
        <v xml:space="preserve"> (Наружный блок) Марка компрессора: S[HIGHLY]</v>
      </c>
      <c r="T342" t="str">
        <f>CONCATENATE(T$2,": ",T$3,list1!T342,"]")</f>
        <v xml:space="preserve"> (Наружный блок) Размеры (Ш x Г x В): S[940 х 370 х 1325]</v>
      </c>
      <c r="U342" t="str">
        <f>CONCATENATE(U$2,": ",U$3,list1!U342,"]")</f>
        <v xml:space="preserve"> (Наружный блок) Упаковка (Ш x Г x В): S[1080 х 430 х 1440]</v>
      </c>
      <c r="V342" t="str">
        <f>CONCATENATE(V$2,": ",V$3,list1!V342,"]")</f>
        <v xml:space="preserve"> (Наружный блок) Масса (нетто / брутто): S[99/109]</v>
      </c>
      <c r="W342" t="str">
        <f>CONCATENATE(W$2,": ",W$3,list1!W342,"]")</f>
        <v xml:space="preserve"> (Наружный блок) Максимальный уровень шума: N[]</v>
      </c>
      <c r="X342" t="str">
        <f>CONCATENATE(X$2,": ",X$3,list1!X342,"]")</f>
        <v xml:space="preserve"> (Соединительные трубы) Жидкостная линия : N[9.52]</v>
      </c>
      <c r="Y342" t="str">
        <f>CONCATENATE(Y$2,": ",Y$3,list1!Y342,"]")</f>
        <v xml:space="preserve"> (Соединительные трубы) Газовая линия : N[19.05]</v>
      </c>
      <c r="Z342" t="str">
        <f>CONCATENATE(Z$2,": ",Z$3,list1!Z342,"]")</f>
        <v xml:space="preserve"> (Соединительные трубы) Максимальная длина трубопровода: N[50]</v>
      </c>
      <c r="AA342" t="str">
        <f>CONCATENATE(AA$2,": ",AA$3,list1!AA342,"]")</f>
        <v xml:space="preserve"> (Соединительные трубы) Максимальный перепад высот: S[30]</v>
      </c>
      <c r="AB342" t="str">
        <f>CONCATENATE(AB$2,": ",AB$3,list1!AB342,"]")</f>
        <v xml:space="preserve"> (Допустимая темп. наружного воздуха) Охлаждение: S[от -15 до +49]</v>
      </c>
      <c r="AC342" t="str">
        <f>CONCATENATE(AC$2,": ",AC$3,list1!AC342,"]")</f>
        <v xml:space="preserve"> (Допустимая темп. наружного воздуха) Обогрев: S[от -15 до +24]</v>
      </c>
      <c r="AD342" s="6" t="s">
        <v>5245</v>
      </c>
    </row>
    <row r="343" spans="1:30" x14ac:dyDescent="0.25">
      <c r="A343" t="str">
        <f>CONCATENATE(A$2,": ",A$3,list1!A343,"]")</f>
        <v>Производитель: E[QUATTROCLIMA]</v>
      </c>
      <c r="B343" t="str">
        <f>CONCATENATE(B$2,": ",B$3,list1!B343,"]")</f>
        <v xml:space="preserve"> Тип: S[Напольно-потолочные]</v>
      </c>
      <c r="C343" t="str">
        <f>CONCATENATE(C$2,": ",C$3,list1!C343,"]")</f>
        <v xml:space="preserve"> (Сплит система) Холодопроизводительность: N[5.3]</v>
      </c>
      <c r="D343" t="str">
        <f>CONCATENATE(D$2,": ",D$3,list1!D343,"]")</f>
        <v xml:space="preserve"> (Сплит система) Площадь помещения: N[53]</v>
      </c>
      <c r="E343" t="str">
        <f>CONCATENATE(E$2,": ",E$3,list1!E343,"]")</f>
        <v xml:space="preserve"> (Сплит система) Инвентор: S[нет]</v>
      </c>
      <c r="F343" t="str">
        <f>CONCATENATE(F$2,": ",F$3,list1!F343,"]")</f>
        <v xml:space="preserve"> (Сплит система) Теплопроизводительность: N[5.9]</v>
      </c>
      <c r="G343" t="str">
        <f>CONCATENATE(G$2,": ",G$3,list1!G343,"]")</f>
        <v xml:space="preserve"> (Потребляемая мощность) Охлаждение: N[1.712]</v>
      </c>
      <c r="H343" t="str">
        <f>CONCATENATE(H$2,": ",H$3,list1!H343,"]")</f>
        <v xml:space="preserve"> (Потребляемая мощность) Обогрев: S[1.782]</v>
      </c>
      <c r="I343" t="str">
        <f>CONCATENATE(I$2,": ",I$3,list1!I343,"]")</f>
        <v xml:space="preserve"> (Рабочий ток) Охлаждение: S[]</v>
      </c>
      <c r="J343" t="str">
        <f>CONCATENATE(J$2,": ",J$3,list1!J343,"]")</f>
        <v xml:space="preserve"> (Рабочий ток) Обогрев: S[]</v>
      </c>
      <c r="K343" t="str">
        <f>CONCATENATE(K$2,": ",K$3,list1!K343,"]")</f>
        <v xml:space="preserve"> (Рабочий ток) Напряжение / Частота источника питания: S[1 / 220 / 50]</v>
      </c>
      <c r="L343" t="str">
        <f>CONCATENATE(L$2,": ",L$3,list1!L343,"]")</f>
        <v xml:space="preserve"> (Рабочий ток) Хладагент: S[R410A]</v>
      </c>
      <c r="M343" t="str">
        <f>CONCATENATE(M$2,": ",M$3,list1!M343,"]")</f>
        <v xml:space="preserve"> (Рабочий ток) Количество хладагента: N[]</v>
      </c>
      <c r="N343" t="str">
        <f>CONCATENATE(N$2,": ",N$3,list1!N343,"]")</f>
        <v xml:space="preserve"> (Рабочий ток) Объем рециркулируемого воздуха внутреннего блока: S[]</v>
      </c>
      <c r="O343" t="str">
        <f>CONCATENATE(O$2,": ",O$3,list1!O343,"]")</f>
        <v xml:space="preserve"> (Внутренний блок) Размеры (Ш x Г x В): S[1055 х 235 х 675]</v>
      </c>
      <c r="P343" t="str">
        <f>CONCATENATE(P$2,": ",P$3,list1!P343,"]")</f>
        <v xml:space="preserve"> (Внутренний блок) Упаковка (Ш x Г x В): S[1130 х 748 х 305]</v>
      </c>
      <c r="Q343" t="str">
        <f>CONCATENATE(Q$2,": ",Q$3,list1!Q343,"]")</f>
        <v xml:space="preserve"> (Внутренний блок) Масса (нетто / брутто): S[24 / 29]</v>
      </c>
      <c r="R343" t="str">
        <f>CONCATENATE(R$2,": ",R$3,list1!R343,"]")</f>
        <v xml:space="preserve"> (Внутренний блок) Уровень шума мин. / макс.: S[38/41/43]</v>
      </c>
      <c r="S343" t="str">
        <f>CONCATENATE(S$2,": ",S$3,list1!S343,"]")</f>
        <v xml:space="preserve"> (Наружный блок) Марка компрессора: S[GMCC]</v>
      </c>
      <c r="T343" t="str">
        <f>CONCATENATE(T$2,": ",T$3,list1!T343,"]")</f>
        <v xml:space="preserve"> (Наружный блок) Размеры (Ш x Г x В): S[780 х 290 х 605]</v>
      </c>
      <c r="U343" t="str">
        <f>CONCATENATE(U$2,": ",U$3,list1!U343,"]")</f>
        <v xml:space="preserve"> (Наружный блок) Упаковка (Ш x Г x В): S[883 х 412 х 653]</v>
      </c>
      <c r="V343" t="str">
        <f>CONCATENATE(V$2,": ",V$3,list1!V343,"]")</f>
        <v xml:space="preserve"> (Наружный блок) Масса (нетто / брутто): S[38/42]</v>
      </c>
      <c r="W343" t="str">
        <f>CONCATENATE(W$2,": ",W$3,list1!W343,"]")</f>
        <v xml:space="preserve"> (Наружный блок) Максимальный уровень шума: N[]</v>
      </c>
      <c r="X343" t="str">
        <f>CONCATENATE(X$2,": ",X$3,list1!X343,"]")</f>
        <v xml:space="preserve"> (Соединительные трубы) Жидкостная линия : N[6.35]</v>
      </c>
      <c r="Y343" t="str">
        <f>CONCATENATE(Y$2,": ",Y$3,list1!Y343,"]")</f>
        <v xml:space="preserve"> (Соединительные трубы) Газовая линия : N[12.7]</v>
      </c>
      <c r="Z343" t="str">
        <f>CONCATENATE(Z$2,": ",Z$3,list1!Z343,"]")</f>
        <v xml:space="preserve"> (Соединительные трубы) Максимальная длина трубопровода: N[25]</v>
      </c>
      <c r="AA343" t="str">
        <f>CONCATENATE(AA$2,": ",AA$3,list1!AA343,"]")</f>
        <v xml:space="preserve"> (Соединительные трубы) Максимальный перепад высот: S[15]</v>
      </c>
      <c r="AB343" t="str">
        <f>CONCATENATE(AB$2,": ",AB$3,list1!AB343,"]")</f>
        <v xml:space="preserve"> (Допустимая темп. наружного воздуха) Охлаждение: S[от 17 до +43]</v>
      </c>
      <c r="AC343" t="str">
        <f>CONCATENATE(AC$2,": ",AC$3,list1!AC343,"]")</f>
        <v xml:space="preserve"> (Допустимая темп. наружного воздуха) Обогрев: S[от -7 до +24]</v>
      </c>
      <c r="AD343" s="6" t="s">
        <v>5245</v>
      </c>
    </row>
    <row r="344" spans="1:30" x14ac:dyDescent="0.25">
      <c r="A344" t="str">
        <f>CONCATENATE(A$2,": ",A$3,list1!A344,"]")</f>
        <v>Производитель: E[QUATTROCLIMA]</v>
      </c>
      <c r="B344" t="str">
        <f>CONCATENATE(B$2,": ",B$3,list1!B344,"]")</f>
        <v xml:space="preserve"> Тип: S[Напольно-потолочные]</v>
      </c>
      <c r="C344" t="str">
        <f>CONCATENATE(C$2,": ",C$3,list1!C344,"]")</f>
        <v xml:space="preserve"> (Сплит система) Холодопроизводительность: N[5.3]</v>
      </c>
      <c r="D344" t="str">
        <f>CONCATENATE(D$2,": ",D$3,list1!D344,"]")</f>
        <v xml:space="preserve"> (Сплит система) Площадь помещения: N[53]</v>
      </c>
      <c r="E344" t="str">
        <f>CONCATENATE(E$2,": ",E$3,list1!E344,"]")</f>
        <v xml:space="preserve"> (Сплит система) Инвентор: S[нет]</v>
      </c>
      <c r="F344" t="str">
        <f>CONCATENATE(F$2,": ",F$3,list1!F344,"]")</f>
        <v xml:space="preserve"> (Сплит система) Теплопроизводительность: N[5.9]</v>
      </c>
      <c r="G344" t="str">
        <f>CONCATENATE(G$2,": ",G$3,list1!G344,"]")</f>
        <v xml:space="preserve"> (Потребляемая мощность) Охлаждение: N[1.712]</v>
      </c>
      <c r="H344" t="str">
        <f>CONCATENATE(H$2,": ",H$3,list1!H344,"]")</f>
        <v xml:space="preserve"> (Потребляемая мощность) Обогрев: S[1.782]</v>
      </c>
      <c r="I344" t="str">
        <f>CONCATENATE(I$2,": ",I$3,list1!I344,"]")</f>
        <v xml:space="preserve"> (Рабочий ток) Охлаждение: S[]</v>
      </c>
      <c r="J344" t="str">
        <f>CONCATENATE(J$2,": ",J$3,list1!J344,"]")</f>
        <v xml:space="preserve"> (Рабочий ток) Обогрев: S[]</v>
      </c>
      <c r="K344" t="str">
        <f>CONCATENATE(K$2,": ",K$3,list1!K344,"]")</f>
        <v xml:space="preserve"> (Рабочий ток) Напряжение / Частота источника питания: S[1 / 220 / 50]</v>
      </c>
      <c r="L344" t="str">
        <f>CONCATENATE(L$2,": ",L$3,list1!L344,"]")</f>
        <v xml:space="preserve"> (Рабочий ток) Хладагент: S[R410A]</v>
      </c>
      <c r="M344" t="str">
        <f>CONCATENATE(M$2,": ",M$3,list1!M344,"]")</f>
        <v xml:space="preserve"> (Рабочий ток) Количество хладагента: N[]</v>
      </c>
      <c r="N344" t="str">
        <f>CONCATENATE(N$2,": ",N$3,list1!N344,"]")</f>
        <v xml:space="preserve"> (Рабочий ток) Объем рециркулируемого воздуха внутреннего блока: S[]</v>
      </c>
      <c r="O344" t="str">
        <f>CONCATENATE(O$2,": ",O$3,list1!O344,"]")</f>
        <v xml:space="preserve"> (Внутренний блок) Размеры (Ш x Г x В): S[1055 х 675 х 235]</v>
      </c>
      <c r="P344" t="str">
        <f>CONCATENATE(P$2,": ",P$3,list1!P344,"]")</f>
        <v xml:space="preserve"> (Внутренний блок) Упаковка (Ш x Г x В): S[1130 х 305 х 748]</v>
      </c>
      <c r="Q344" t="str">
        <f>CONCATENATE(Q$2,": ",Q$3,list1!Q344,"]")</f>
        <v xml:space="preserve"> (Внутренний блок) Масса (нетто / брутто): S[24 / 29]</v>
      </c>
      <c r="R344" t="str">
        <f>CONCATENATE(R$2,": ",R$3,list1!R344,"]")</f>
        <v xml:space="preserve"> (Внутренний блок) Уровень шума мин. / макс.: S[38/41/43]</v>
      </c>
      <c r="S344" t="str">
        <f>CONCATENATE(S$2,": ",S$3,list1!S344,"]")</f>
        <v xml:space="preserve"> (Наружный блок) Марка компрессора: S[GMCC]</v>
      </c>
      <c r="T344" t="str">
        <f>CONCATENATE(T$2,": ",T$3,list1!T344,"]")</f>
        <v xml:space="preserve"> (Наружный блок) Размеры (Ш x Г x В): S[780 х 290 х 605]</v>
      </c>
      <c r="U344" t="str">
        <f>CONCATENATE(U$2,": ",U$3,list1!U344,"]")</f>
        <v xml:space="preserve"> (Наружный блок) Упаковка (Ш x Г x В): S[883 х 412 х 653]</v>
      </c>
      <c r="V344" t="str">
        <f>CONCATENATE(V$2,": ",V$3,list1!V344,"]")</f>
        <v xml:space="preserve"> (Наружный блок) Масса (нетто / брутто): S[38/42]</v>
      </c>
      <c r="W344" t="str">
        <f>CONCATENATE(W$2,": ",W$3,list1!W344,"]")</f>
        <v xml:space="preserve"> (Наружный блок) Максимальный уровень шума: N[]</v>
      </c>
      <c r="X344" t="str">
        <f>CONCATENATE(X$2,": ",X$3,list1!X344,"]")</f>
        <v xml:space="preserve"> (Соединительные трубы) Жидкостная линия : N[6.35]</v>
      </c>
      <c r="Y344" t="str">
        <f>CONCATENATE(Y$2,": ",Y$3,list1!Y344,"]")</f>
        <v xml:space="preserve"> (Соединительные трубы) Газовая линия : N[12.7]</v>
      </c>
      <c r="Z344" t="str">
        <f>CONCATENATE(Z$2,": ",Z$3,list1!Z344,"]")</f>
        <v xml:space="preserve"> (Соединительные трубы) Максимальная длина трубопровода: N[25]</v>
      </c>
      <c r="AA344" t="str">
        <f>CONCATENATE(AA$2,": ",AA$3,list1!AA344,"]")</f>
        <v xml:space="preserve"> (Соединительные трубы) Максимальный перепад высот: S[15]</v>
      </c>
      <c r="AB344" t="str">
        <f>CONCATENATE(AB$2,": ",AB$3,list1!AB344,"]")</f>
        <v xml:space="preserve"> (Допустимая темп. наружного воздуха) Охлаждение: S[от 17 до +43]</v>
      </c>
      <c r="AC344" t="str">
        <f>CONCATENATE(AC$2,": ",AC$3,list1!AC344,"]")</f>
        <v xml:space="preserve"> (Допустимая темп. наружного воздуха) Обогрев: S[от 7 до +24]</v>
      </c>
      <c r="AD344" s="6" t="s">
        <v>5245</v>
      </c>
    </row>
    <row r="345" spans="1:30" x14ac:dyDescent="0.25">
      <c r="A345" t="str">
        <f>CONCATENATE(A$2,": ",A$3,list1!A345,"]")</f>
        <v>Производитель: E[QUATTROCLIMA]</v>
      </c>
      <c r="B345" t="str">
        <f>CONCATENATE(B$2,": ",B$3,list1!B345,"]")</f>
        <v xml:space="preserve"> Тип: S[Напольно-потолочные]</v>
      </c>
      <c r="C345" t="str">
        <f>CONCATENATE(C$2,": ",C$3,list1!C345,"]")</f>
        <v xml:space="preserve"> (Сплит система) Холодопроизводительность: N[7.2]</v>
      </c>
      <c r="D345" t="str">
        <f>CONCATENATE(D$2,": ",D$3,list1!D345,"]")</f>
        <v xml:space="preserve"> (Сплит система) Площадь помещения: N[72]</v>
      </c>
      <c r="E345" t="str">
        <f>CONCATENATE(E$2,": ",E$3,list1!E345,"]")</f>
        <v xml:space="preserve"> (Сплит система) Инвентор: S[нет]</v>
      </c>
      <c r="F345" t="str">
        <f>CONCATENATE(F$2,": ",F$3,list1!F345,"]")</f>
        <v xml:space="preserve"> (Сплит система) Теплопроизводительность: N[7.9]</v>
      </c>
      <c r="G345" t="str">
        <f>CONCATENATE(G$2,": ",G$3,list1!G345,"]")</f>
        <v xml:space="preserve"> (Потребляемая мощность) Охлаждение: N[2.23]</v>
      </c>
      <c r="H345" t="str">
        <f>CONCATENATE(H$2,": ",H$3,list1!H345,"]")</f>
        <v xml:space="preserve"> (Потребляемая мощность) Обогрев: S[2.254]</v>
      </c>
      <c r="I345" t="str">
        <f>CONCATENATE(I$2,": ",I$3,list1!I345,"]")</f>
        <v xml:space="preserve"> (Рабочий ток) Охлаждение: S[]</v>
      </c>
      <c r="J345" t="str">
        <f>CONCATENATE(J$2,": ",J$3,list1!J345,"]")</f>
        <v xml:space="preserve"> (Рабочий ток) Обогрев: S[]</v>
      </c>
      <c r="K345" t="str">
        <f>CONCATENATE(K$2,": ",K$3,list1!K345,"]")</f>
        <v xml:space="preserve"> (Рабочий ток) Напряжение / Частота источника питания: S[1 / 220 / 50]</v>
      </c>
      <c r="L345" t="str">
        <f>CONCATENATE(L$2,": ",L$3,list1!L345,"]")</f>
        <v xml:space="preserve"> (Рабочий ток) Хладагент: S[R410A]</v>
      </c>
      <c r="M345" t="str">
        <f>CONCATENATE(M$2,": ",M$3,list1!M345,"]")</f>
        <v xml:space="preserve"> (Рабочий ток) Количество хладагента: N[]</v>
      </c>
      <c r="N345" t="str">
        <f>CONCATENATE(N$2,": ",N$3,list1!N345,"]")</f>
        <v xml:space="preserve"> (Рабочий ток) Объем рециркулируемого воздуха внутреннего блока: S[]</v>
      </c>
      <c r="O345" t="str">
        <f>CONCATENATE(O$2,": ",O$3,list1!O345,"]")</f>
        <v xml:space="preserve"> (Внутренний блок) Размеры (Ш x Г x В): S[1055 х 235 х 675]</v>
      </c>
      <c r="P345" t="str">
        <f>CONCATENATE(P$2,": ",P$3,list1!P345,"]")</f>
        <v xml:space="preserve"> (Внутренний блок) Упаковка (Ш x Г x В): S[1130 х 748 х 305]</v>
      </c>
      <c r="Q345" t="str">
        <f>CONCATENATE(Q$2,": ",Q$3,list1!Q345,"]")</f>
        <v xml:space="preserve"> (Внутренний блок) Масса (нетто / брутто): S[24 / 30]</v>
      </c>
      <c r="R345" t="str">
        <f>CONCATENATE(R$2,": ",R$3,list1!R345,"]")</f>
        <v xml:space="preserve"> (Внутренний блок) Уровень шума мин. / макс.: S[40/43/45]</v>
      </c>
      <c r="S345" t="str">
        <f>CONCATENATE(S$2,": ",S$3,list1!S345,"]")</f>
        <v xml:space="preserve"> (Наружный блок) Марка компрессора: S[GMCC]</v>
      </c>
      <c r="T345" t="str">
        <f>CONCATENATE(T$2,": ",T$3,list1!T345,"]")</f>
        <v xml:space="preserve"> (Наружный блок) Размеры (Ш x Г x В): S[900 х 310 х 650]</v>
      </c>
      <c r="U345" t="str">
        <f>CONCATENATE(U$2,": ",U$3,list1!U345,"]")</f>
        <v xml:space="preserve"> (Наружный блок) Упаковка (Ш x Г x В): S[1015 х 425 х 720]</v>
      </c>
      <c r="V345" t="str">
        <f>CONCATENATE(V$2,": ",V$3,list1!V345,"]")</f>
        <v xml:space="preserve"> (Наружный блок) Масса (нетто / брутто): S[51/54]</v>
      </c>
      <c r="W345" t="str">
        <f>CONCATENATE(W$2,": ",W$3,list1!W345,"]")</f>
        <v xml:space="preserve"> (Наружный блок) Максимальный уровень шума: N[]</v>
      </c>
      <c r="X345" t="str">
        <f>CONCATENATE(X$2,": ",X$3,list1!X345,"]")</f>
        <v xml:space="preserve"> (Соединительные трубы) Жидкостная линия : N[9.52]</v>
      </c>
      <c r="Y345" t="str">
        <f>CONCATENATE(Y$2,": ",Y$3,list1!Y345,"]")</f>
        <v xml:space="preserve"> (Соединительные трубы) Газовая линия : N[15.88]</v>
      </c>
      <c r="Z345" t="str">
        <f>CONCATENATE(Z$2,": ",Z$3,list1!Z345,"]")</f>
        <v xml:space="preserve"> (Соединительные трубы) Максимальная длина трубопровода: N[30]</v>
      </c>
      <c r="AA345" t="str">
        <f>CONCATENATE(AA$2,": ",AA$3,list1!AA345,"]")</f>
        <v xml:space="preserve"> (Соединительные трубы) Максимальный перепад высот: S[15]</v>
      </c>
      <c r="AB345" t="str">
        <f>CONCATENATE(AB$2,": ",AB$3,list1!AB345,"]")</f>
        <v xml:space="preserve"> (Допустимая темп. наружного воздуха) Охлаждение: S[от 17 до +43]</v>
      </c>
      <c r="AC345" t="str">
        <f>CONCATENATE(AC$2,": ",AC$3,list1!AC345,"]")</f>
        <v xml:space="preserve"> (Допустимая темп. наружного воздуха) Обогрев: S[от -7 до +24]</v>
      </c>
      <c r="AD345" s="6" t="s">
        <v>5245</v>
      </c>
    </row>
    <row r="346" spans="1:30" x14ac:dyDescent="0.25">
      <c r="A346" t="str">
        <f>CONCATENATE(A$2,": ",A$3,list1!A346,"]")</f>
        <v>Производитель: E[QUATTROCLIMA]</v>
      </c>
      <c r="B346" t="str">
        <f>CONCATENATE(B$2,": ",B$3,list1!B346,"]")</f>
        <v xml:space="preserve"> Тип: S[Напольно-потолочные]</v>
      </c>
      <c r="C346" t="str">
        <f>CONCATENATE(C$2,": ",C$3,list1!C346,"]")</f>
        <v xml:space="preserve"> (Сплит система) Холодопроизводительность: N[7.2]</v>
      </c>
      <c r="D346" t="str">
        <f>CONCATENATE(D$2,": ",D$3,list1!D346,"]")</f>
        <v xml:space="preserve"> (Сплит система) Площадь помещения: N[72]</v>
      </c>
      <c r="E346" t="str">
        <f>CONCATENATE(E$2,": ",E$3,list1!E346,"]")</f>
        <v xml:space="preserve"> (Сплит система) Инвентор: S[нет]</v>
      </c>
      <c r="F346" t="str">
        <f>CONCATENATE(F$2,": ",F$3,list1!F346,"]")</f>
        <v xml:space="preserve"> (Сплит система) Теплопроизводительность: N[7.9]</v>
      </c>
      <c r="G346" t="str">
        <f>CONCATENATE(G$2,": ",G$3,list1!G346,"]")</f>
        <v xml:space="preserve"> (Потребляемая мощность) Охлаждение: N[2.23]</v>
      </c>
      <c r="H346" t="str">
        <f>CONCATENATE(H$2,": ",H$3,list1!H346,"]")</f>
        <v xml:space="preserve"> (Потребляемая мощность) Обогрев: S[2.254]</v>
      </c>
      <c r="I346" t="str">
        <f>CONCATENATE(I$2,": ",I$3,list1!I346,"]")</f>
        <v xml:space="preserve"> (Рабочий ток) Охлаждение: S[]</v>
      </c>
      <c r="J346" t="str">
        <f>CONCATENATE(J$2,": ",J$3,list1!J346,"]")</f>
        <v xml:space="preserve"> (Рабочий ток) Обогрев: S[]</v>
      </c>
      <c r="K346" t="str">
        <f>CONCATENATE(K$2,": ",K$3,list1!K346,"]")</f>
        <v xml:space="preserve"> (Рабочий ток) Напряжение / Частота источника питания: S[1 / 220 / 50]</v>
      </c>
      <c r="L346" t="str">
        <f>CONCATENATE(L$2,": ",L$3,list1!L346,"]")</f>
        <v xml:space="preserve"> (Рабочий ток) Хладагент: S[R410A]</v>
      </c>
      <c r="M346" t="str">
        <f>CONCATENATE(M$2,": ",M$3,list1!M346,"]")</f>
        <v xml:space="preserve"> (Рабочий ток) Количество хладагента: N[]</v>
      </c>
      <c r="N346" t="str">
        <f>CONCATENATE(N$2,": ",N$3,list1!N346,"]")</f>
        <v xml:space="preserve"> (Рабочий ток) Объем рециркулируемого воздуха внутреннего блока: S[]</v>
      </c>
      <c r="O346" t="str">
        <f>CONCATENATE(O$2,": ",O$3,list1!O346,"]")</f>
        <v xml:space="preserve"> (Внутренний блок) Размеры (Ш x Г x В): S[1055 х 675 х 235]</v>
      </c>
      <c r="P346" t="str">
        <f>CONCATENATE(P$2,": ",P$3,list1!P346,"]")</f>
        <v xml:space="preserve"> (Внутренний блок) Упаковка (Ш x Г x В): S[1130 х 305 х 748]</v>
      </c>
      <c r="Q346" t="str">
        <f>CONCATENATE(Q$2,": ",Q$3,list1!Q346,"]")</f>
        <v xml:space="preserve"> (Внутренний блок) Масса (нетто / брутто): S[24 / 30]</v>
      </c>
      <c r="R346" t="str">
        <f>CONCATENATE(R$2,": ",R$3,list1!R346,"]")</f>
        <v xml:space="preserve"> (Внутренний блок) Уровень шума мин. / макс.: S[40/43/45]</v>
      </c>
      <c r="S346" t="str">
        <f>CONCATENATE(S$2,": ",S$3,list1!S346,"]")</f>
        <v xml:space="preserve"> (Наружный блок) Марка компрессора: S[GMCC]</v>
      </c>
      <c r="T346" t="str">
        <f>CONCATENATE(T$2,": ",T$3,list1!T346,"]")</f>
        <v xml:space="preserve"> (Наружный блок) Размеры (Ш x Г x В): S[900 х 310 х 650]</v>
      </c>
      <c r="U346" t="str">
        <f>CONCATENATE(U$2,": ",U$3,list1!U346,"]")</f>
        <v xml:space="preserve"> (Наружный блок) Упаковка (Ш x Г x В): S[1015 х 425 х 720]</v>
      </c>
      <c r="V346" t="str">
        <f>CONCATENATE(V$2,": ",V$3,list1!V346,"]")</f>
        <v xml:space="preserve"> (Наружный блок) Масса (нетто / брутто): S[51/54]</v>
      </c>
      <c r="W346" t="str">
        <f>CONCATENATE(W$2,": ",W$3,list1!W346,"]")</f>
        <v xml:space="preserve"> (Наружный блок) Максимальный уровень шума: N[]</v>
      </c>
      <c r="X346" t="str">
        <f>CONCATENATE(X$2,": ",X$3,list1!X346,"]")</f>
        <v xml:space="preserve"> (Соединительные трубы) Жидкостная линия : N[9.52]</v>
      </c>
      <c r="Y346" t="str">
        <f>CONCATENATE(Y$2,": ",Y$3,list1!Y346,"]")</f>
        <v xml:space="preserve"> (Соединительные трубы) Газовая линия : N[15.88]</v>
      </c>
      <c r="Z346" t="str">
        <f>CONCATENATE(Z$2,": ",Z$3,list1!Z346,"]")</f>
        <v xml:space="preserve"> (Соединительные трубы) Максимальная длина трубопровода: N[30]</v>
      </c>
      <c r="AA346" t="str">
        <f>CONCATENATE(AA$2,": ",AA$3,list1!AA346,"]")</f>
        <v xml:space="preserve"> (Соединительные трубы) Максимальный перепад высот: S[15]</v>
      </c>
      <c r="AB346" t="str">
        <f>CONCATENATE(AB$2,": ",AB$3,list1!AB346,"]")</f>
        <v xml:space="preserve"> (Допустимая темп. наружного воздуха) Охлаждение: S[от 17 до +43]</v>
      </c>
      <c r="AC346" t="str">
        <f>CONCATENATE(AC$2,": ",AC$3,list1!AC346,"]")</f>
        <v xml:space="preserve"> (Допустимая темп. наружного воздуха) Обогрев: S[от 7 до +24]</v>
      </c>
      <c r="AD346" s="6" t="s">
        <v>5245</v>
      </c>
    </row>
    <row r="347" spans="1:30" x14ac:dyDescent="0.25">
      <c r="A347" t="str">
        <f>CONCATENATE(A$2,": ",A$3,list1!A347,"]")</f>
        <v>Производитель: E[QUATTROCLIMA]</v>
      </c>
      <c r="B347" t="str">
        <f>CONCATENATE(B$2,": ",B$3,list1!B347,"]")</f>
        <v xml:space="preserve"> Тип: S[Напольно-потолочные]</v>
      </c>
      <c r="C347" t="str">
        <f>CONCATENATE(C$2,": ",C$3,list1!C347,"]")</f>
        <v xml:space="preserve"> (Сплит система) Холодопроизводительность: N[10.55]</v>
      </c>
      <c r="D347" t="str">
        <f>CONCATENATE(D$2,": ",D$3,list1!D347,"]")</f>
        <v xml:space="preserve"> (Сплит система) Площадь помещения: N[106]</v>
      </c>
      <c r="E347" t="str">
        <f>CONCATENATE(E$2,": ",E$3,list1!E347,"]")</f>
        <v xml:space="preserve"> (Сплит система) Инвентор: S[нет]</v>
      </c>
      <c r="F347" t="str">
        <f>CONCATENATE(F$2,": ",F$3,list1!F347,"]")</f>
        <v xml:space="preserve"> (Сплит система) Теплопроизводительность: N[12]</v>
      </c>
      <c r="G347" t="str">
        <f>CONCATENATE(G$2,": ",G$3,list1!G347,"]")</f>
        <v xml:space="preserve"> (Потребляемая мощность) Охлаждение: N[3.578]</v>
      </c>
      <c r="H347" t="str">
        <f>CONCATENATE(H$2,": ",H$3,list1!H347,"]")</f>
        <v xml:space="preserve"> (Потребляемая мощность) Обогрев: S[3.468]</v>
      </c>
      <c r="I347" t="str">
        <f>CONCATENATE(I$2,": ",I$3,list1!I347,"]")</f>
        <v xml:space="preserve"> (Рабочий ток) Охлаждение: S[]</v>
      </c>
      <c r="J347" t="str">
        <f>CONCATENATE(J$2,": ",J$3,list1!J347,"]")</f>
        <v xml:space="preserve"> (Рабочий ток) Обогрев: S[]</v>
      </c>
      <c r="K347" t="str">
        <f>CONCATENATE(K$2,": ",K$3,list1!K347,"]")</f>
        <v xml:space="preserve"> (Рабочий ток) Напряжение / Частота источника питания: S[3 / 380 / 50]</v>
      </c>
      <c r="L347" t="str">
        <f>CONCATENATE(L$2,": ",L$3,list1!L347,"]")</f>
        <v xml:space="preserve"> (Рабочий ток) Хладагент: S[R410A]</v>
      </c>
      <c r="M347" t="str">
        <f>CONCATENATE(M$2,": ",M$3,list1!M347,"]")</f>
        <v xml:space="preserve"> (Рабочий ток) Количество хладагента: N[]</v>
      </c>
      <c r="N347" t="str">
        <f>CONCATENATE(N$2,": ",N$3,list1!N347,"]")</f>
        <v xml:space="preserve"> (Рабочий ток) Объем рециркулируемого воздуха внутреннего блока: S[]</v>
      </c>
      <c r="O347" t="str">
        <f>CONCATENATE(O$2,": ",O$3,list1!O347,"]")</f>
        <v xml:space="preserve"> (Внутренний блок) Размеры (Ш x Г x В): S[1275 х 675 х 235]</v>
      </c>
      <c r="P347" t="str">
        <f>CONCATENATE(P$2,": ",P$3,list1!P347,"]")</f>
        <v xml:space="preserve"> (Внутренний блок) Упаковка (Ш x Г x В): S[1350 х 305 х 748]</v>
      </c>
      <c r="Q347" t="str">
        <f>CONCATENATE(Q$2,": ",Q$3,list1!Q347,"]")</f>
        <v xml:space="preserve"> (Внутренний блок) Масса (нетто / брутто): S[29 / 35]</v>
      </c>
      <c r="R347" t="str">
        <f>CONCATENATE(R$2,": ",R$3,list1!R347,"]")</f>
        <v xml:space="preserve"> (Внутренний блок) Уровень шума мин. / макс.: S[40/43/45]</v>
      </c>
      <c r="S347" t="str">
        <f>CONCATENATE(S$2,": ",S$3,list1!S347,"]")</f>
        <v xml:space="preserve"> (Наружный блок) Марка компрессора: S[HIGHLY]</v>
      </c>
      <c r="T347" t="str">
        <f>CONCATENATE(T$2,": ",T$3,list1!T347,"]")</f>
        <v xml:space="preserve"> (Наружный блок) Размеры (Ш x Г x В): S[900 х 360 х 805]</v>
      </c>
      <c r="U347" t="str">
        <f>CONCATENATE(U$2,": ",U$3,list1!U347,"]")</f>
        <v xml:space="preserve"> (Наружный блок) Упаковка (Ш x Г x В): S[1020 х 475 х 860]</v>
      </c>
      <c r="V347" t="str">
        <f>CONCATENATE(V$2,": ",V$3,list1!V347,"]")</f>
        <v xml:space="preserve"> (Наружный блок) Масса (нетто / брутто): S[64/69]</v>
      </c>
      <c r="W347" t="str">
        <f>CONCATENATE(W$2,": ",W$3,list1!W347,"]")</f>
        <v xml:space="preserve"> (Наружный блок) Максимальный уровень шума: N[]</v>
      </c>
      <c r="X347" t="str">
        <f>CONCATENATE(X$2,": ",X$3,list1!X347,"]")</f>
        <v xml:space="preserve"> (Соединительные трубы) Жидкостная линия : N[9.52]</v>
      </c>
      <c r="Y347" t="str">
        <f>CONCATENATE(Y$2,": ",Y$3,list1!Y347,"]")</f>
        <v xml:space="preserve"> (Соединительные трубы) Газовая линия : N[19.05]</v>
      </c>
      <c r="Z347" t="str">
        <f>CONCATENATE(Z$2,": ",Z$3,list1!Z347,"]")</f>
        <v xml:space="preserve"> (Соединительные трубы) Максимальная длина трубопровода: N[30]</v>
      </c>
      <c r="AA347" t="str">
        <f>CONCATENATE(AA$2,": ",AA$3,list1!AA347,"]")</f>
        <v xml:space="preserve"> (Соединительные трубы) Максимальный перепад высот: S[20]</v>
      </c>
      <c r="AB347" t="str">
        <f>CONCATENATE(AB$2,": ",AB$3,list1!AB347,"]")</f>
        <v xml:space="preserve"> (Допустимая темп. наружного воздуха) Охлаждение: S[от 17 до +43]</v>
      </c>
      <c r="AC347" t="str">
        <f>CONCATENATE(AC$2,": ",AC$3,list1!AC347,"]")</f>
        <v xml:space="preserve"> (Допустимая темп. наружного воздуха) Обогрев: S[от 7 до +24]</v>
      </c>
      <c r="AD347" s="6" t="s">
        <v>5245</v>
      </c>
    </row>
    <row r="348" spans="1:30" x14ac:dyDescent="0.25">
      <c r="A348" t="str">
        <f>CONCATENATE(A$2,": ",A$3,list1!A348,"]")</f>
        <v>Производитель: E[QUATTROCLIMA]</v>
      </c>
      <c r="B348" t="str">
        <f>CONCATENATE(B$2,": ",B$3,list1!B348,"]")</f>
        <v xml:space="preserve"> Тип: S[Напольно-потолочные]</v>
      </c>
      <c r="C348" t="str">
        <f>CONCATENATE(C$2,": ",C$3,list1!C348,"]")</f>
        <v xml:space="preserve"> (Сплит система) Холодопроизводительность: N[14]</v>
      </c>
      <c r="D348" t="str">
        <f>CONCATENATE(D$2,": ",D$3,list1!D348,"]")</f>
        <v xml:space="preserve"> (Сплит система) Площадь помещения: N[140]</v>
      </c>
      <c r="E348" t="str">
        <f>CONCATENATE(E$2,": ",E$3,list1!E348,"]")</f>
        <v xml:space="preserve"> (Сплит система) Инвентор: S[нет]</v>
      </c>
      <c r="F348" t="str">
        <f>CONCATENATE(F$2,": ",F$3,list1!F348,"]")</f>
        <v xml:space="preserve"> (Сплит система) Теплопроизводительность: N[14.65]</v>
      </c>
      <c r="G348" t="str">
        <f>CONCATENATE(G$2,": ",G$3,list1!G348,"]")</f>
        <v xml:space="preserve"> (Потребляемая мощность) Охлаждение: N[4.551]</v>
      </c>
      <c r="H348" t="str">
        <f>CONCATENATE(H$2,": ",H$3,list1!H348,"]")</f>
        <v xml:space="preserve"> (Потребляемая мощность) Обогрев: S[4.058]</v>
      </c>
      <c r="I348" t="str">
        <f>CONCATENATE(I$2,": ",I$3,list1!I348,"]")</f>
        <v xml:space="preserve"> (Рабочий ток) Охлаждение: S[]</v>
      </c>
      <c r="J348" t="str">
        <f>CONCATENATE(J$2,": ",J$3,list1!J348,"]")</f>
        <v xml:space="preserve"> (Рабочий ток) Обогрев: S[]</v>
      </c>
      <c r="K348" t="str">
        <f>CONCATENATE(K$2,": ",K$3,list1!K348,"]")</f>
        <v xml:space="preserve"> (Рабочий ток) Напряжение / Частота источника питания: S[3 / 380 / 50]</v>
      </c>
      <c r="L348" t="str">
        <f>CONCATENATE(L$2,": ",L$3,list1!L348,"]")</f>
        <v xml:space="preserve"> (Рабочий ток) Хладагент: S[R410A]</v>
      </c>
      <c r="M348" t="str">
        <f>CONCATENATE(M$2,": ",M$3,list1!M348,"]")</f>
        <v xml:space="preserve"> (Рабочий ток) Количество хладагента: N[]</v>
      </c>
      <c r="N348" t="str">
        <f>CONCATENATE(N$2,": ",N$3,list1!N348,"]")</f>
        <v xml:space="preserve"> (Рабочий ток) Объем рециркулируемого воздуха внутреннего блока: S[]</v>
      </c>
      <c r="O348" t="str">
        <f>CONCATENATE(O$2,": ",O$3,list1!O348,"]")</f>
        <v xml:space="preserve"> (Внутренний блок) Размеры (Ш x Г x В): S[1635 х 235 х 675]</v>
      </c>
      <c r="P348" t="str">
        <f>CONCATENATE(P$2,": ",P$3,list1!P348,"]")</f>
        <v xml:space="preserve"> (Внутренний блок) Упаковка (Ш x Г x В): S[1710 х 748 х 305]</v>
      </c>
      <c r="Q348" t="str">
        <f>CONCATENATE(Q$2,": ",Q$3,list1!Q348,"]")</f>
        <v xml:space="preserve"> (Внутренний блок) Масса (нетто / брутто): S[38 / 46]</v>
      </c>
      <c r="R348" t="str">
        <f>CONCATENATE(R$2,": ",R$3,list1!R348,"]")</f>
        <v xml:space="preserve"> (Внутренний блок) Уровень шума мин. / макс.: S[46/49/52]</v>
      </c>
      <c r="S348" t="str">
        <f>CONCATENATE(S$2,": ",S$3,list1!S348,"]")</f>
        <v xml:space="preserve"> (Наружный блок) Марка компрессора: S[HIGHLY]</v>
      </c>
      <c r="T348" t="str">
        <f>CONCATENATE(T$2,": ",T$3,list1!T348,"]")</f>
        <v xml:space="preserve"> (Наружный блок) Размеры (Ш x Г x В): S[940 х 340 х 1250]</v>
      </c>
      <c r="U348" t="str">
        <f>CONCATENATE(U$2,": ",U$3,list1!U348,"]")</f>
        <v xml:space="preserve"> (Наружный блок) Упаковка (Ш x Г x В): S[1030 х 430 х 1365]</v>
      </c>
      <c r="V348" t="str">
        <f>CONCATENATE(V$2,": ",V$3,list1!V348,"]")</f>
        <v xml:space="preserve"> (Наружный блок) Масса (нетто / брутто): S[93/103]</v>
      </c>
      <c r="W348" t="str">
        <f>CONCATENATE(W$2,": ",W$3,list1!W348,"]")</f>
        <v xml:space="preserve"> (Наружный блок) Максимальный уровень шума: N[]</v>
      </c>
      <c r="X348" t="str">
        <f>CONCATENATE(X$2,": ",X$3,list1!X348,"]")</f>
        <v xml:space="preserve"> (Соединительные трубы) Жидкостная линия : N[9.52]</v>
      </c>
      <c r="Y348" t="str">
        <f>CONCATENATE(Y$2,": ",Y$3,list1!Y348,"]")</f>
        <v xml:space="preserve"> (Соединительные трубы) Газовая линия : N[19.05]</v>
      </c>
      <c r="Z348" t="str">
        <f>CONCATENATE(Z$2,": ",Z$3,list1!Z348,"]")</f>
        <v xml:space="preserve"> (Соединительные трубы) Максимальная длина трубопровода: N[50]</v>
      </c>
      <c r="AA348" t="str">
        <f>CONCATENATE(AA$2,": ",AA$3,list1!AA348,"]")</f>
        <v xml:space="preserve"> (Соединительные трубы) Максимальный перепад высот: S[30]</v>
      </c>
      <c r="AB348" t="str">
        <f>CONCATENATE(AB$2,": ",AB$3,list1!AB348,"]")</f>
        <v xml:space="preserve"> (Допустимая темп. наружного воздуха) Охлаждение: S[от 17 до +43]</v>
      </c>
      <c r="AC348" t="str">
        <f>CONCATENATE(AC$2,": ",AC$3,list1!AC348,"]")</f>
        <v xml:space="preserve"> (Допустимая темп. наружного воздуха) Обогрев: S[от -7 до +24]</v>
      </c>
      <c r="AD348" s="6" t="s">
        <v>5245</v>
      </c>
    </row>
    <row r="349" spans="1:30" x14ac:dyDescent="0.25">
      <c r="A349" t="str">
        <f>CONCATENATE(A$2,": ",A$3,list1!A349,"]")</f>
        <v>Производитель: E[QUATTROCLIMA]</v>
      </c>
      <c r="B349" t="str">
        <f>CONCATENATE(B$2,": ",B$3,list1!B349,"]")</f>
        <v xml:space="preserve"> Тип: S[Напольно-потолочные]</v>
      </c>
      <c r="C349" t="str">
        <f>CONCATENATE(C$2,": ",C$3,list1!C349,"]")</f>
        <v xml:space="preserve"> (Сплит система) Холодопроизводительность: N[14]</v>
      </c>
      <c r="D349" t="str">
        <f>CONCATENATE(D$2,": ",D$3,list1!D349,"]")</f>
        <v xml:space="preserve"> (Сплит система) Площадь помещения: N[140]</v>
      </c>
      <c r="E349" t="str">
        <f>CONCATENATE(E$2,": ",E$3,list1!E349,"]")</f>
        <v xml:space="preserve"> (Сплит система) Инвентор: S[нет]</v>
      </c>
      <c r="F349" t="str">
        <f>CONCATENATE(F$2,": ",F$3,list1!F349,"]")</f>
        <v xml:space="preserve"> (Сплит система) Теплопроизводительность: N[14.65]</v>
      </c>
      <c r="G349" t="str">
        <f>CONCATENATE(G$2,": ",G$3,list1!G349,"]")</f>
        <v xml:space="preserve"> (Потребляемая мощность) Охлаждение: N[4.551]</v>
      </c>
      <c r="H349" t="str">
        <f>CONCATENATE(H$2,": ",H$3,list1!H349,"]")</f>
        <v xml:space="preserve"> (Потребляемая мощность) Обогрев: S[4.058]</v>
      </c>
      <c r="I349" t="str">
        <f>CONCATENATE(I$2,": ",I$3,list1!I349,"]")</f>
        <v xml:space="preserve"> (Рабочий ток) Охлаждение: S[]</v>
      </c>
      <c r="J349" t="str">
        <f>CONCATENATE(J$2,": ",J$3,list1!J349,"]")</f>
        <v xml:space="preserve"> (Рабочий ток) Обогрев: S[]</v>
      </c>
      <c r="K349" t="str">
        <f>CONCATENATE(K$2,": ",K$3,list1!K349,"]")</f>
        <v xml:space="preserve"> (Рабочий ток) Напряжение / Частота источника питания: S[3 / 380 / 50]</v>
      </c>
      <c r="L349" t="str">
        <f>CONCATENATE(L$2,": ",L$3,list1!L349,"]")</f>
        <v xml:space="preserve"> (Рабочий ток) Хладагент: S[R410A]</v>
      </c>
      <c r="M349" t="str">
        <f>CONCATENATE(M$2,": ",M$3,list1!M349,"]")</f>
        <v xml:space="preserve"> (Рабочий ток) Количество хладагента: N[]</v>
      </c>
      <c r="N349" t="str">
        <f>CONCATENATE(N$2,": ",N$3,list1!N349,"]")</f>
        <v xml:space="preserve"> (Рабочий ток) Объем рециркулируемого воздуха внутреннего блока: S[]</v>
      </c>
      <c r="O349" t="str">
        <f>CONCATENATE(O$2,": ",O$3,list1!O349,"]")</f>
        <v xml:space="preserve"> (Внутренний блок) Размеры (Ш x Г x В): S[1635 х 675 х 235]</v>
      </c>
      <c r="P349" t="str">
        <f>CONCATENATE(P$2,": ",P$3,list1!P349,"]")</f>
        <v xml:space="preserve"> (Внутренний блок) Упаковка (Ш x Г x В): S[1710 х 305 х 748]</v>
      </c>
      <c r="Q349" t="str">
        <f>CONCATENATE(Q$2,": ",Q$3,list1!Q349,"]")</f>
        <v xml:space="preserve"> (Внутренний блок) Масса (нетто / брутто): S[38 / 46]</v>
      </c>
      <c r="R349" t="str">
        <f>CONCATENATE(R$2,": ",R$3,list1!R349,"]")</f>
        <v xml:space="preserve"> (Внутренний блок) Уровень шума мин. / макс.: S[46/49/52]</v>
      </c>
      <c r="S349" t="str">
        <f>CONCATENATE(S$2,": ",S$3,list1!S349,"]")</f>
        <v xml:space="preserve"> (Наружный блок) Марка компрессора: S[HIGHLY]</v>
      </c>
      <c r="T349" t="str">
        <f>CONCATENATE(T$2,": ",T$3,list1!T349,"]")</f>
        <v xml:space="preserve"> (Наружный блок) Размеры (Ш x Г x В): S[940 х 340 х 1250]</v>
      </c>
      <c r="U349" t="str">
        <f>CONCATENATE(U$2,": ",U$3,list1!U349,"]")</f>
        <v xml:space="preserve"> (Наружный блок) Упаковка (Ш x Г x В): S[1030 х 430 х 1365]</v>
      </c>
      <c r="V349" t="str">
        <f>CONCATENATE(V$2,": ",V$3,list1!V349,"]")</f>
        <v xml:space="preserve"> (Наружный блок) Масса (нетто / брутто): S[93/103]</v>
      </c>
      <c r="W349" t="str">
        <f>CONCATENATE(W$2,": ",W$3,list1!W349,"]")</f>
        <v xml:space="preserve"> (Наружный блок) Максимальный уровень шума: N[]</v>
      </c>
      <c r="X349" t="str">
        <f>CONCATENATE(X$2,": ",X$3,list1!X349,"]")</f>
        <v xml:space="preserve"> (Соединительные трубы) Жидкостная линия : N[9.52]</v>
      </c>
      <c r="Y349" t="str">
        <f>CONCATENATE(Y$2,": ",Y$3,list1!Y349,"]")</f>
        <v xml:space="preserve"> (Соединительные трубы) Газовая линия : N[19.05]</v>
      </c>
      <c r="Z349" t="str">
        <f>CONCATENATE(Z$2,": ",Z$3,list1!Z349,"]")</f>
        <v xml:space="preserve"> (Соединительные трубы) Максимальная длина трубопровода: N[50]</v>
      </c>
      <c r="AA349" t="str">
        <f>CONCATENATE(AA$2,": ",AA$3,list1!AA349,"]")</f>
        <v xml:space="preserve"> (Соединительные трубы) Максимальный перепад высот: S[30]</v>
      </c>
      <c r="AB349" t="str">
        <f>CONCATENATE(AB$2,": ",AB$3,list1!AB349,"]")</f>
        <v xml:space="preserve"> (Допустимая темп. наружного воздуха) Охлаждение: S[от 17 до +43]</v>
      </c>
      <c r="AC349" t="str">
        <f>CONCATENATE(AC$2,": ",AC$3,list1!AC349,"]")</f>
        <v xml:space="preserve"> (Допустимая темп. наружного воздуха) Обогрев: S[от 7 до +24]</v>
      </c>
      <c r="AD349" s="6" t="s">
        <v>5245</v>
      </c>
    </row>
    <row r="350" spans="1:30" x14ac:dyDescent="0.25">
      <c r="A350" t="str">
        <f>CONCATENATE(A$2,": ",A$3,list1!A350,"]")</f>
        <v>Производитель: E[QUATTROCLIMA]</v>
      </c>
      <c r="B350" t="str">
        <f>CONCATENATE(B$2,": ",B$3,list1!B350,"]")</f>
        <v xml:space="preserve"> Тип: S[Напольно-потолочные]</v>
      </c>
      <c r="C350" t="str">
        <f>CONCATENATE(C$2,": ",C$3,list1!C350,"]")</f>
        <v xml:space="preserve"> (Сплит система) Холодопроизводительность: N[16.12]</v>
      </c>
      <c r="D350" t="str">
        <f>CONCATENATE(D$2,": ",D$3,list1!D350,"]")</f>
        <v xml:space="preserve"> (Сплит система) Площадь помещения: N[161]</v>
      </c>
      <c r="E350" t="str">
        <f>CONCATENATE(E$2,": ",E$3,list1!E350,"]")</f>
        <v xml:space="preserve"> (Сплит система) Инвентор: S[нет]</v>
      </c>
      <c r="F350" t="str">
        <f>CONCATENATE(F$2,": ",F$3,list1!F350,"]")</f>
        <v xml:space="preserve"> (Сплит система) Теплопроизводительность: N[17.73]</v>
      </c>
      <c r="G350" t="str">
        <f>CONCATENATE(G$2,": ",G$3,list1!G350,"]")</f>
        <v xml:space="preserve"> (Потребляемая мощность) Охлаждение: N[5.594]</v>
      </c>
      <c r="H350" t="str">
        <f>CONCATENATE(H$2,": ",H$3,list1!H350,"]")</f>
        <v xml:space="preserve"> (Потребляемая мощность) Обогрев: S[5.147]</v>
      </c>
      <c r="I350" t="str">
        <f>CONCATENATE(I$2,": ",I$3,list1!I350,"]")</f>
        <v xml:space="preserve"> (Рабочий ток) Охлаждение: S[]</v>
      </c>
      <c r="J350" t="str">
        <f>CONCATENATE(J$2,": ",J$3,list1!J350,"]")</f>
        <v xml:space="preserve"> (Рабочий ток) Обогрев: S[]</v>
      </c>
      <c r="K350" t="str">
        <f>CONCATENATE(K$2,": ",K$3,list1!K350,"]")</f>
        <v xml:space="preserve"> (Рабочий ток) Напряжение / Частота источника питания: S[3 / 380 / 50]</v>
      </c>
      <c r="L350" t="str">
        <f>CONCATENATE(L$2,": ",L$3,list1!L350,"]")</f>
        <v xml:space="preserve"> (Рабочий ток) Хладагент: S[R410A]</v>
      </c>
      <c r="M350" t="str">
        <f>CONCATENATE(M$2,": ",M$3,list1!M350,"]")</f>
        <v xml:space="preserve"> (Рабочий ток) Количество хладагента: N[]</v>
      </c>
      <c r="N350" t="str">
        <f>CONCATENATE(N$2,": ",N$3,list1!N350,"]")</f>
        <v xml:space="preserve"> (Рабочий ток) Объем рециркулируемого воздуха внутреннего блока: S[]</v>
      </c>
      <c r="O350" t="str">
        <f>CONCATENATE(O$2,": ",O$3,list1!O350,"]")</f>
        <v xml:space="preserve"> (Внутренний блок) Размеры (Ш x Г x В): S[1635 х 235 х 675]</v>
      </c>
      <c r="P350" t="str">
        <f>CONCATENATE(P$2,": ",P$3,list1!P350,"]")</f>
        <v xml:space="preserve"> (Внутренний блок) Упаковка (Ш x Г x В): S[1710 х 748 х 305]</v>
      </c>
      <c r="Q350" t="str">
        <f>CONCATENATE(Q$2,": ",Q$3,list1!Q350,"]")</f>
        <v xml:space="preserve"> (Внутренний блок) Масса (нетто / брутто): S[41 / 48]</v>
      </c>
      <c r="R350" t="str">
        <f>CONCATENATE(R$2,": ",R$3,list1!R350,"]")</f>
        <v xml:space="preserve"> (Внутренний блок) Уровень шума мин. / макс.: S[46/49/52]</v>
      </c>
      <c r="S350" t="str">
        <f>CONCATENATE(S$2,": ",S$3,list1!S350,"]")</f>
        <v xml:space="preserve"> (Наружный блок) Марка компрессора: S[HIGHLY]</v>
      </c>
      <c r="T350" t="str">
        <f>CONCATENATE(T$2,": ",T$3,list1!T350,"]")</f>
        <v xml:space="preserve"> (Наружный блок) Размеры (Ш x Г x В): S[940 х 340 х 1250]</v>
      </c>
      <c r="U350" t="str">
        <f>CONCATENATE(U$2,": ",U$3,list1!U350,"]")</f>
        <v xml:space="preserve"> (Наружный блок) Упаковка (Ш x Г x В): S[1030 х 430 х 1365]</v>
      </c>
      <c r="V350" t="str">
        <f>CONCATENATE(V$2,": ",V$3,list1!V350,"]")</f>
        <v xml:space="preserve"> (Наружный блок) Масса (нетто / брутто): S[101/111]</v>
      </c>
      <c r="W350" t="str">
        <f>CONCATENATE(W$2,": ",W$3,list1!W350,"]")</f>
        <v xml:space="preserve"> (Наружный блок) Максимальный уровень шума: N[]</v>
      </c>
      <c r="X350" t="str">
        <f>CONCATENATE(X$2,": ",X$3,list1!X350,"]")</f>
        <v xml:space="preserve"> (Соединительные трубы) Жидкостная линия : N[9.52]</v>
      </c>
      <c r="Y350" t="str">
        <f>CONCATENATE(Y$2,": ",Y$3,list1!Y350,"]")</f>
        <v xml:space="preserve"> (Соединительные трубы) Газовая линия : N[19.05]</v>
      </c>
      <c r="Z350" t="str">
        <f>CONCATENATE(Z$2,": ",Z$3,list1!Z350,"]")</f>
        <v xml:space="preserve"> (Соединительные трубы) Максимальная длина трубопровода: N[50]</v>
      </c>
      <c r="AA350" t="str">
        <f>CONCATENATE(AA$2,": ",AA$3,list1!AA350,"]")</f>
        <v xml:space="preserve"> (Соединительные трубы) Максимальный перепад высот: S[30]</v>
      </c>
      <c r="AB350" t="str">
        <f>CONCATENATE(AB$2,": ",AB$3,list1!AB350,"]")</f>
        <v xml:space="preserve"> (Допустимая темп. наружного воздуха) Охлаждение: S[от 17 до +43]</v>
      </c>
      <c r="AC350" t="str">
        <f>CONCATENATE(AC$2,": ",AC$3,list1!AC350,"]")</f>
        <v xml:space="preserve"> (Допустимая темп. наружного воздуха) Обогрев: S[от -7 до +24]</v>
      </c>
      <c r="AD350" s="6" t="s">
        <v>5245</v>
      </c>
    </row>
    <row r="351" spans="1:30" x14ac:dyDescent="0.25">
      <c r="A351" t="str">
        <f>CONCATENATE(A$2,": ",A$3,list1!A351,"]")</f>
        <v>Производитель: E[QUATTROCLIMA]</v>
      </c>
      <c r="B351" t="str">
        <f>CONCATENATE(B$2,": ",B$3,list1!B351,"]")</f>
        <v xml:space="preserve"> Тип: S[Напольно-потолочные]</v>
      </c>
      <c r="C351" t="str">
        <f>CONCATENATE(C$2,": ",C$3,list1!C351,"]")</f>
        <v xml:space="preserve"> (Сплит система) Холодопроизводительность: N[16.12]</v>
      </c>
      <c r="D351" t="str">
        <f>CONCATENATE(D$2,": ",D$3,list1!D351,"]")</f>
        <v xml:space="preserve"> (Сплит система) Площадь помещения: N[161]</v>
      </c>
      <c r="E351" t="str">
        <f>CONCATENATE(E$2,": ",E$3,list1!E351,"]")</f>
        <v xml:space="preserve"> (Сплит система) Инвентор: S[нет]</v>
      </c>
      <c r="F351" t="str">
        <f>CONCATENATE(F$2,": ",F$3,list1!F351,"]")</f>
        <v xml:space="preserve"> (Сплит система) Теплопроизводительность: N[17.73]</v>
      </c>
      <c r="G351" t="str">
        <f>CONCATENATE(G$2,": ",G$3,list1!G351,"]")</f>
        <v xml:space="preserve"> (Потребляемая мощность) Охлаждение: N[5.594]</v>
      </c>
      <c r="H351" t="str">
        <f>CONCATENATE(H$2,": ",H$3,list1!H351,"]")</f>
        <v xml:space="preserve"> (Потребляемая мощность) Обогрев: S[5.147]</v>
      </c>
      <c r="I351" t="str">
        <f>CONCATENATE(I$2,": ",I$3,list1!I351,"]")</f>
        <v xml:space="preserve"> (Рабочий ток) Охлаждение: S[]</v>
      </c>
      <c r="J351" t="str">
        <f>CONCATENATE(J$2,": ",J$3,list1!J351,"]")</f>
        <v xml:space="preserve"> (Рабочий ток) Обогрев: S[]</v>
      </c>
      <c r="K351" t="str">
        <f>CONCATENATE(K$2,": ",K$3,list1!K351,"]")</f>
        <v xml:space="preserve"> (Рабочий ток) Напряжение / Частота источника питания: S[3 / 380 / 50]</v>
      </c>
      <c r="L351" t="str">
        <f>CONCATENATE(L$2,": ",L$3,list1!L351,"]")</f>
        <v xml:space="preserve"> (Рабочий ток) Хладагент: S[R410A]</v>
      </c>
      <c r="M351" t="str">
        <f>CONCATENATE(M$2,": ",M$3,list1!M351,"]")</f>
        <v xml:space="preserve"> (Рабочий ток) Количество хладагента: N[]</v>
      </c>
      <c r="N351" t="str">
        <f>CONCATENATE(N$2,": ",N$3,list1!N351,"]")</f>
        <v xml:space="preserve"> (Рабочий ток) Объем рециркулируемого воздуха внутреннего блока: S[]</v>
      </c>
      <c r="O351" t="str">
        <f>CONCATENATE(O$2,": ",O$3,list1!O351,"]")</f>
        <v xml:space="preserve"> (Внутренний блок) Размеры (Ш x Г x В): S[1635 х 675 х 235]</v>
      </c>
      <c r="P351" t="str">
        <f>CONCATENATE(P$2,": ",P$3,list1!P351,"]")</f>
        <v xml:space="preserve"> (Внутренний блок) Упаковка (Ш x Г x В): S[1710 х 305 х 748]</v>
      </c>
      <c r="Q351" t="str">
        <f>CONCATENATE(Q$2,": ",Q$3,list1!Q351,"]")</f>
        <v xml:space="preserve"> (Внутренний блок) Масса (нетто / брутто): S[41 / 48]</v>
      </c>
      <c r="R351" t="str">
        <f>CONCATENATE(R$2,": ",R$3,list1!R351,"]")</f>
        <v xml:space="preserve"> (Внутренний блок) Уровень шума мин. / макс.: S[46/49/52]</v>
      </c>
      <c r="S351" t="str">
        <f>CONCATENATE(S$2,": ",S$3,list1!S351,"]")</f>
        <v xml:space="preserve"> (Наружный блок) Марка компрессора: S[HIGHLY]</v>
      </c>
      <c r="T351" t="str">
        <f>CONCATENATE(T$2,": ",T$3,list1!T351,"]")</f>
        <v xml:space="preserve"> (Наружный блок) Размеры (Ш x Г x В): S[940 х 340 х 1250]</v>
      </c>
      <c r="U351" t="str">
        <f>CONCATENATE(U$2,": ",U$3,list1!U351,"]")</f>
        <v xml:space="preserve"> (Наружный блок) Упаковка (Ш x Г x В): S[1030 х 430 х 1365]</v>
      </c>
      <c r="V351" t="str">
        <f>CONCATENATE(V$2,": ",V$3,list1!V351,"]")</f>
        <v xml:space="preserve"> (Наружный блок) Масса (нетто / брутто): S[101/111]</v>
      </c>
      <c r="W351" t="str">
        <f>CONCATENATE(W$2,": ",W$3,list1!W351,"]")</f>
        <v xml:space="preserve"> (Наружный блок) Максимальный уровень шума: N[]</v>
      </c>
      <c r="X351" t="str">
        <f>CONCATENATE(X$2,": ",X$3,list1!X351,"]")</f>
        <v xml:space="preserve"> (Соединительные трубы) Жидкостная линия : N[9.52]</v>
      </c>
      <c r="Y351" t="str">
        <f>CONCATENATE(Y$2,": ",Y$3,list1!Y351,"]")</f>
        <v xml:space="preserve"> (Соединительные трубы) Газовая линия : N[19.05]</v>
      </c>
      <c r="Z351" t="str">
        <f>CONCATENATE(Z$2,": ",Z$3,list1!Z351,"]")</f>
        <v xml:space="preserve"> (Соединительные трубы) Максимальная длина трубопровода: N[50]</v>
      </c>
      <c r="AA351" t="str">
        <f>CONCATENATE(AA$2,": ",AA$3,list1!AA351,"]")</f>
        <v xml:space="preserve"> (Соединительные трубы) Максимальный перепад высот: S[30]</v>
      </c>
      <c r="AB351" t="str">
        <f>CONCATENATE(AB$2,": ",AB$3,list1!AB351,"]")</f>
        <v xml:space="preserve"> (Допустимая темп. наружного воздуха) Охлаждение: S[от 17 до +43]</v>
      </c>
      <c r="AC351" t="str">
        <f>CONCATENATE(AC$2,": ",AC$3,list1!AC351,"]")</f>
        <v xml:space="preserve"> (Допустимая темп. наружного воздуха) Обогрев: S[от 7 до +24]</v>
      </c>
      <c r="AD351" s="6" t="s">
        <v>5245</v>
      </c>
    </row>
    <row r="352" spans="1:30" x14ac:dyDescent="0.25">
      <c r="A352" t="str">
        <f>CONCATENATE(A$2,": ",A$3,list1!A352,"]")</f>
        <v>Производитель: E[QUATTROCLIMA]</v>
      </c>
      <c r="B352" t="str">
        <f>CONCATENATE(B$2,": ",B$3,list1!B352,"]")</f>
        <v xml:space="preserve"> Тип: S[Напольно-потолочные]</v>
      </c>
      <c r="C352" t="str">
        <f>CONCATENATE(C$2,": ",C$3,list1!C352,"]")</f>
        <v xml:space="preserve"> (Сплит система) Холодопроизводительность: N[5.28]</v>
      </c>
      <c r="D352" t="str">
        <f>CONCATENATE(D$2,": ",D$3,list1!D352,"]")</f>
        <v xml:space="preserve"> (Сплит система) Площадь помещения: N[53]</v>
      </c>
      <c r="E352" t="str">
        <f>CONCATENATE(E$2,": ",E$3,list1!E352,"]")</f>
        <v xml:space="preserve"> (Сплит система) Инвентор: S[нет]</v>
      </c>
      <c r="F352" t="str">
        <f>CONCATENATE(F$2,": ",F$3,list1!F352,"]")</f>
        <v xml:space="preserve"> (Сплит система) Теплопроизводительность: N[5.6]</v>
      </c>
      <c r="G352" t="str">
        <f>CONCATENATE(G$2,": ",G$3,list1!G352,"]")</f>
        <v xml:space="preserve"> (Потребляемая мощность) Охлаждение: N[1.7]</v>
      </c>
      <c r="H352" t="str">
        <f>CONCATENATE(H$2,": ",H$3,list1!H352,"]")</f>
        <v xml:space="preserve"> (Потребляемая мощность) Обогрев: S[1.55]</v>
      </c>
      <c r="I352" t="str">
        <f>CONCATENATE(I$2,": ",I$3,list1!I352,"]")</f>
        <v xml:space="preserve"> (Рабочий ток) Охлаждение: S[]</v>
      </c>
      <c r="J352" t="str">
        <f>CONCATENATE(J$2,": ",J$3,list1!J352,"]")</f>
        <v xml:space="preserve"> (Рабочий ток) Обогрев: S[]</v>
      </c>
      <c r="K352" t="str">
        <f>CONCATENATE(K$2,": ",K$3,list1!K352,"]")</f>
        <v xml:space="preserve"> (Рабочий ток) Напряжение / Частота источника питания: S[1 / 220 / 50]</v>
      </c>
      <c r="L352" t="str">
        <f>CONCATENATE(L$2,": ",L$3,list1!L352,"]")</f>
        <v xml:space="preserve"> (Рабочий ток) Хладагент: S[R410A]</v>
      </c>
      <c r="M352" t="str">
        <f>CONCATENATE(M$2,": ",M$3,list1!M352,"]")</f>
        <v xml:space="preserve"> (Рабочий ток) Количество хладагента: N[]</v>
      </c>
      <c r="N352" t="str">
        <f>CONCATENATE(N$2,": ",N$3,list1!N352,"]")</f>
        <v xml:space="preserve"> (Рабочий ток) Объем рециркулируемого воздуха внутреннего блока: S[]</v>
      </c>
      <c r="O352" t="str">
        <f>CONCATENATE(O$2,": ",O$3,list1!O352,"]")</f>
        <v xml:space="preserve"> (Внутренний блок) Размеры (Ш x Г x В): S[1000 х 235 х 690]</v>
      </c>
      <c r="P352" t="str">
        <f>CONCATENATE(P$2,": ",P$3,list1!P352,"]")</f>
        <v xml:space="preserve"> (Внутренний блок) Упаковка (Ш x Г x В): S[1080 х 770 х 325]</v>
      </c>
      <c r="Q352" t="str">
        <f>CONCATENATE(Q$2,": ",Q$3,list1!Q352,"]")</f>
        <v xml:space="preserve"> (Внутренний блок) Масса (нетто / брутто): S[28 / 32]</v>
      </c>
      <c r="R352" t="str">
        <f>CONCATENATE(R$2,": ",R$3,list1!R352,"]")</f>
        <v xml:space="preserve"> (Внутренний блок) Уровень шума мин. / макс.: S[32/35/43]</v>
      </c>
      <c r="S352" t="str">
        <f>CONCATENATE(S$2,": ",S$3,list1!S352,"]")</f>
        <v xml:space="preserve"> (Наружный блок) Марка компрессора: S[HIGHLY]</v>
      </c>
      <c r="T352" t="str">
        <f>CONCATENATE(T$2,": ",T$3,list1!T352,"]")</f>
        <v xml:space="preserve"> (Наружный блок) Размеры (Ш x Г x В): S[800 х 315 х 545]</v>
      </c>
      <c r="U352" t="str">
        <f>CONCATENATE(U$2,": ",U$3,list1!U352,"]")</f>
        <v xml:space="preserve"> (Наружный блок) Упаковка (Ш x Г x В): S[920 х 400 х 620]</v>
      </c>
      <c r="V352" t="str">
        <f>CONCATENATE(V$2,": ",V$3,list1!V352,"]")</f>
        <v xml:space="preserve"> (Наружный блок) Масса (нетто / брутто): S[36/39]</v>
      </c>
      <c r="W352" t="str">
        <f>CONCATENATE(W$2,": ",W$3,list1!W352,"]")</f>
        <v xml:space="preserve"> (Наружный блок) Максимальный уровень шума: N[]</v>
      </c>
      <c r="X352" t="str">
        <f>CONCATENATE(X$2,": ",X$3,list1!X352,"]")</f>
        <v xml:space="preserve"> (Соединительные трубы) Жидкостная линия : N[6.35]</v>
      </c>
      <c r="Y352" t="str">
        <f>CONCATENATE(Y$2,": ",Y$3,list1!Y352,"]")</f>
        <v xml:space="preserve"> (Соединительные трубы) Газовая линия : N[12.7]</v>
      </c>
      <c r="Z352" t="str">
        <f>CONCATENATE(Z$2,": ",Z$3,list1!Z352,"]")</f>
        <v xml:space="preserve"> (Соединительные трубы) Максимальная длина трубопровода: N[20]</v>
      </c>
      <c r="AA352" t="str">
        <f>CONCATENATE(AA$2,": ",AA$3,list1!AA352,"]")</f>
        <v xml:space="preserve"> (Соединительные трубы) Максимальный перепад высот: S[15]</v>
      </c>
      <c r="AB352" t="str">
        <f>CONCATENATE(AB$2,": ",AB$3,list1!AB352,"]")</f>
        <v xml:space="preserve"> (Допустимая темп. наружного воздуха) Охлаждение: S[от -15 до +49]</v>
      </c>
      <c r="AC352" t="str">
        <f>CONCATENATE(AC$2,": ",AC$3,list1!AC352,"]")</f>
        <v xml:space="preserve"> (Допустимая темп. наружного воздуха) Обогрев: S[от -15 до +24]</v>
      </c>
      <c r="AD352" s="6" t="s">
        <v>5245</v>
      </c>
    </row>
    <row r="353" spans="1:30" x14ac:dyDescent="0.25">
      <c r="A353" t="str">
        <f>CONCATENATE(A$2,": ",A$3,list1!A353,"]")</f>
        <v>Производитель: E[QUATTROCLIMA]</v>
      </c>
      <c r="B353" t="str">
        <f>CONCATENATE(B$2,": ",B$3,list1!B353,"]")</f>
        <v xml:space="preserve"> Тип: S[Напольно-потолочные]</v>
      </c>
      <c r="C353" t="str">
        <f>CONCATENATE(C$2,": ",C$3,list1!C353,"]")</f>
        <v xml:space="preserve"> (Сплит система) Холодопроизводительность: N[7.03]</v>
      </c>
      <c r="D353" t="str">
        <f>CONCATENATE(D$2,": ",D$3,list1!D353,"]")</f>
        <v xml:space="preserve"> (Сплит система) Площадь помещения: N[70]</v>
      </c>
      <c r="E353" t="str">
        <f>CONCATENATE(E$2,": ",E$3,list1!E353,"]")</f>
        <v xml:space="preserve"> (Сплит система) Инвентор: S[нет]</v>
      </c>
      <c r="F353" t="str">
        <f>CONCATENATE(F$2,": ",F$3,list1!F353,"]")</f>
        <v xml:space="preserve"> (Сплит система) Теплопроизводительность: N[7.4]</v>
      </c>
      <c r="G353" t="str">
        <f>CONCATENATE(G$2,": ",G$3,list1!G353,"]")</f>
        <v xml:space="preserve"> (Потребляемая мощность) Охлаждение: N[2.15]</v>
      </c>
      <c r="H353" t="str">
        <f>CONCATENATE(H$2,": ",H$3,list1!H353,"]")</f>
        <v xml:space="preserve"> (Потребляемая мощность) Обогрев: S[1.95]</v>
      </c>
      <c r="I353" t="str">
        <f>CONCATENATE(I$2,": ",I$3,list1!I353,"]")</f>
        <v xml:space="preserve"> (Рабочий ток) Охлаждение: S[]</v>
      </c>
      <c r="J353" t="str">
        <f>CONCATENATE(J$2,": ",J$3,list1!J353,"]")</f>
        <v xml:space="preserve"> (Рабочий ток) Обогрев: S[]</v>
      </c>
      <c r="K353" t="str">
        <f>CONCATENATE(K$2,": ",K$3,list1!K353,"]")</f>
        <v xml:space="preserve"> (Рабочий ток) Напряжение / Частота источника питания: S[1 / 220 / 50]</v>
      </c>
      <c r="L353" t="str">
        <f>CONCATENATE(L$2,": ",L$3,list1!L353,"]")</f>
        <v xml:space="preserve"> (Рабочий ток) Хладагент: S[R410A]</v>
      </c>
      <c r="M353" t="str">
        <f>CONCATENATE(M$2,": ",M$3,list1!M353,"]")</f>
        <v xml:space="preserve"> (Рабочий ток) Количество хладагента: N[]</v>
      </c>
      <c r="N353" t="str">
        <f>CONCATENATE(N$2,": ",N$3,list1!N353,"]")</f>
        <v xml:space="preserve"> (Рабочий ток) Объем рециркулируемого воздуха внутреннего блока: S[]</v>
      </c>
      <c r="O353" t="str">
        <f>CONCATENATE(O$2,": ",O$3,list1!O353,"]")</f>
        <v xml:space="preserve"> (Внутренний блок) Размеры (Ш x Г x В): S[1000 х 235 х 690]</v>
      </c>
      <c r="P353" t="str">
        <f>CONCATENATE(P$2,": ",P$3,list1!P353,"]")</f>
        <v xml:space="preserve"> (Внутренний блок) Упаковка (Ш x Г x В): S[1080 х 770 х 325]</v>
      </c>
      <c r="Q353" t="str">
        <f>CONCATENATE(Q$2,": ",Q$3,list1!Q353,"]")</f>
        <v xml:space="preserve"> (Внутренний блок) Масса (нетто / брутто): S[29 / 33]</v>
      </c>
      <c r="R353" t="str">
        <f>CONCATENATE(R$2,": ",R$3,list1!R353,"]")</f>
        <v xml:space="preserve"> (Внутренний блок) Уровень шума мин. / макс.: S[35/39/46]</v>
      </c>
      <c r="S353" t="str">
        <f>CONCATENATE(S$2,": ",S$3,list1!S353,"]")</f>
        <v xml:space="preserve"> (Наружный блок) Марка компрессора: S[HIGHLY]</v>
      </c>
      <c r="T353" t="str">
        <f>CONCATENATE(T$2,": ",T$3,list1!T353,"]")</f>
        <v xml:space="preserve"> (Наружный блок) Размеры (Ш x Г x В): S[825 х 310 х 655]</v>
      </c>
      <c r="U353" t="str">
        <f>CONCATENATE(U$2,": ",U$3,list1!U353,"]")</f>
        <v xml:space="preserve"> (Наружный блок) Упаковка (Ш x Г x В): S[945 х 435 х 725]</v>
      </c>
      <c r="V353" t="str">
        <f>CONCATENATE(V$2,": ",V$3,list1!V353,"]")</f>
        <v xml:space="preserve"> (Наружный блок) Масса (нетто / брутто): S[46/49]</v>
      </c>
      <c r="W353" t="str">
        <f>CONCATENATE(W$2,": ",W$3,list1!W353,"]")</f>
        <v xml:space="preserve"> (Наружный блок) Максимальный уровень шума: N[]</v>
      </c>
      <c r="X353" t="str">
        <f>CONCATENATE(X$2,": ",X$3,list1!X353,"]")</f>
        <v xml:space="preserve"> (Соединительные трубы) Жидкостная линия : N[9.52]</v>
      </c>
      <c r="Y353" t="str">
        <f>CONCATENATE(Y$2,": ",Y$3,list1!Y353,"]")</f>
        <v xml:space="preserve"> (Соединительные трубы) Газовая линия : N[15.88]</v>
      </c>
      <c r="Z353" t="str">
        <f>CONCATENATE(Z$2,": ",Z$3,list1!Z353,"]")</f>
        <v xml:space="preserve"> (Соединительные трубы) Максимальная длина трубопровода: N[20]</v>
      </c>
      <c r="AA353" t="str">
        <f>CONCATENATE(AA$2,": ",AA$3,list1!AA353,"]")</f>
        <v xml:space="preserve"> (Соединительные трубы) Максимальный перепад высот: S[15]</v>
      </c>
      <c r="AB353" t="str">
        <f>CONCATENATE(AB$2,": ",AB$3,list1!AB353,"]")</f>
        <v xml:space="preserve"> (Допустимая темп. наружного воздуха) Охлаждение: S[от -15 до +49]</v>
      </c>
      <c r="AC353" t="str">
        <f>CONCATENATE(AC$2,": ",AC$3,list1!AC353,"]")</f>
        <v xml:space="preserve"> (Допустимая темп. наружного воздуха) Обогрев: S[от -15 до +24]</v>
      </c>
      <c r="AD353" s="6" t="s">
        <v>5245</v>
      </c>
    </row>
    <row r="354" spans="1:30" x14ac:dyDescent="0.25">
      <c r="A354" t="str">
        <f>CONCATENATE(A$2,": ",A$3,list1!A354,"]")</f>
        <v>Производитель: E[QUATTROCLIMA]</v>
      </c>
      <c r="B354" t="str">
        <f>CONCATENATE(B$2,": ",B$3,list1!B354,"]")</f>
        <v xml:space="preserve"> Тип: S[Напольно-потолочные]</v>
      </c>
      <c r="C354" t="str">
        <f>CONCATENATE(C$2,": ",C$3,list1!C354,"]")</f>
        <v xml:space="preserve"> (Сплит система) Холодопроизводительность: N[10.55]</v>
      </c>
      <c r="D354" t="str">
        <f>CONCATENATE(D$2,": ",D$3,list1!D354,"]")</f>
        <v xml:space="preserve"> (Сплит система) Площадь помещения: N[106]</v>
      </c>
      <c r="E354" t="str">
        <f>CONCATENATE(E$2,": ",E$3,list1!E354,"]")</f>
        <v xml:space="preserve"> (Сплит система) Инвентор: S[нет]</v>
      </c>
      <c r="F354" t="str">
        <f>CONCATENATE(F$2,": ",F$3,list1!F354,"]")</f>
        <v xml:space="preserve"> (Сплит система) Теплопроизводительность: N[11.7]</v>
      </c>
      <c r="G354" t="str">
        <f>CONCATENATE(G$2,": ",G$3,list1!G354,"]")</f>
        <v xml:space="preserve"> (Потребляемая мощность) Охлаждение: N[3.5]</v>
      </c>
      <c r="H354" t="str">
        <f>CONCATENATE(H$2,": ",H$3,list1!H354,"]")</f>
        <v xml:space="preserve"> (Потребляемая мощность) Обогрев: S[3.24]</v>
      </c>
      <c r="I354" t="str">
        <f>CONCATENATE(I$2,": ",I$3,list1!I354,"]")</f>
        <v xml:space="preserve"> (Рабочий ток) Охлаждение: S[]</v>
      </c>
      <c r="J354" t="str">
        <f>CONCATENATE(J$2,": ",J$3,list1!J354,"]")</f>
        <v xml:space="preserve"> (Рабочий ток) Обогрев: S[]</v>
      </c>
      <c r="K354" t="str">
        <f>CONCATENATE(K$2,": ",K$3,list1!K354,"]")</f>
        <v xml:space="preserve"> (Рабочий ток) Напряжение / Частота источника питания: S[3 / 380 / 50]</v>
      </c>
      <c r="L354" t="str">
        <f>CONCATENATE(L$2,": ",L$3,list1!L354,"]")</f>
        <v xml:space="preserve"> (Рабочий ток) Хладагент: S[R410A]</v>
      </c>
      <c r="M354" t="str">
        <f>CONCATENATE(M$2,": ",M$3,list1!M354,"]")</f>
        <v xml:space="preserve"> (Рабочий ток) Количество хладагента: N[]</v>
      </c>
      <c r="N354" t="str">
        <f>CONCATENATE(N$2,": ",N$3,list1!N354,"]")</f>
        <v xml:space="preserve"> (Рабочий ток) Объем рециркулируемого воздуха внутреннего блока: S[]</v>
      </c>
      <c r="O354" t="str">
        <f>CONCATENATE(O$2,": ",O$3,list1!O354,"]")</f>
        <v xml:space="preserve"> (Внутренний блок) Размеры (Ш x Г x В): S[1280 х 235 х 690]</v>
      </c>
      <c r="P354" t="str">
        <f>CONCATENATE(P$2,": ",P$3,list1!P354,"]")</f>
        <v xml:space="preserve"> (Внутренний блок) Упаковка (Ш x Г x В): S[1360 х 770 х 325]</v>
      </c>
      <c r="Q354" t="str">
        <f>CONCATENATE(Q$2,": ",Q$3,list1!Q354,"]")</f>
        <v xml:space="preserve"> (Внутренний блок) Масса (нетто / брутто): S[36 / 42]</v>
      </c>
      <c r="R354" t="str">
        <f>CONCATENATE(R$2,": ",R$3,list1!R354,"]")</f>
        <v xml:space="preserve"> (Внутренний блок) Уровень шума мин. / макс.: S[40/45/49]</v>
      </c>
      <c r="S354" t="str">
        <f>CONCATENATE(S$2,": ",S$3,list1!S354,"]")</f>
        <v xml:space="preserve"> (Наружный блок) Марка компрессора: S[Gree]</v>
      </c>
      <c r="T354" t="str">
        <f>CONCATENATE(T$2,": ",T$3,list1!T354,"]")</f>
        <v xml:space="preserve"> (Наружный блок) Размеры (Ш x Г x В): S[970 х 395 х 805]</v>
      </c>
      <c r="U354" t="str">
        <f>CONCATENATE(U$2,": ",U$3,list1!U354,"]")</f>
        <v xml:space="preserve"> (Наружный блок) Упаковка (Ш x Г x В): S[1105 х 495 х 890]</v>
      </c>
      <c r="V354" t="str">
        <f>CONCATENATE(V$2,": ",V$3,list1!V354,"]")</f>
        <v xml:space="preserve"> (Наружный блок) Масса (нетто / брутто): S[64/68]</v>
      </c>
      <c r="W354" t="str">
        <f>CONCATENATE(W$2,": ",W$3,list1!W354,"]")</f>
        <v xml:space="preserve"> (Наружный блок) Максимальный уровень шума: N[]</v>
      </c>
      <c r="X354" t="str">
        <f>CONCATENATE(X$2,": ",X$3,list1!X354,"]")</f>
        <v xml:space="preserve"> (Соединительные трубы) Жидкостная линия : N[9.52]</v>
      </c>
      <c r="Y354" t="str">
        <f>CONCATENATE(Y$2,": ",Y$3,list1!Y354,"]")</f>
        <v xml:space="preserve"> (Соединительные трубы) Газовая линия : N[15.88]</v>
      </c>
      <c r="Z354" t="str">
        <f>CONCATENATE(Z$2,": ",Z$3,list1!Z354,"]")</f>
        <v xml:space="preserve"> (Соединительные трубы) Максимальная длина трубопровода: N[30]</v>
      </c>
      <c r="AA354" t="str">
        <f>CONCATENATE(AA$2,": ",AA$3,list1!AA354,"]")</f>
        <v xml:space="preserve"> (Соединительные трубы) Максимальный перепад высот: S[20]</v>
      </c>
      <c r="AB354" t="str">
        <f>CONCATENATE(AB$2,": ",AB$3,list1!AB354,"]")</f>
        <v xml:space="preserve"> (Допустимая темп. наружного воздуха) Охлаждение: S[от -15 до +49]</v>
      </c>
      <c r="AC354" t="str">
        <f>CONCATENATE(AC$2,": ",AC$3,list1!AC354,"]")</f>
        <v xml:space="preserve"> (Допустимая темп. наружного воздуха) Обогрев: S[от -15 до +24]</v>
      </c>
      <c r="AD354" s="6" t="s">
        <v>5245</v>
      </c>
    </row>
    <row r="355" spans="1:30" x14ac:dyDescent="0.25">
      <c r="A355" t="str">
        <f>CONCATENATE(A$2,": ",A$3,list1!A355,"]")</f>
        <v>Производитель: E[QUATTROCLIMA]</v>
      </c>
      <c r="B355" t="str">
        <f>CONCATENATE(B$2,": ",B$3,list1!B355,"]")</f>
        <v xml:space="preserve"> Тип: S[Напольно-потолочные]</v>
      </c>
      <c r="C355" t="str">
        <f>CONCATENATE(C$2,": ",C$3,list1!C355,"]")</f>
        <v xml:space="preserve"> (Сплит система) Холодопроизводительность: N[14.07]</v>
      </c>
      <c r="D355" t="str">
        <f>CONCATENATE(D$2,": ",D$3,list1!D355,"]")</f>
        <v xml:space="preserve"> (Сплит система) Площадь помещения: N[141]</v>
      </c>
      <c r="E355" t="str">
        <f>CONCATENATE(E$2,": ",E$3,list1!E355,"]")</f>
        <v xml:space="preserve"> (Сплит система) Инвентор: S[нет]</v>
      </c>
      <c r="F355" t="str">
        <f>CONCATENATE(F$2,": ",F$3,list1!F355,"]")</f>
        <v xml:space="preserve"> (Сплит система) Теплопроизводительность: N[15.24]</v>
      </c>
      <c r="G355" t="str">
        <f>CONCATENATE(G$2,": ",G$3,list1!G355,"]")</f>
        <v xml:space="preserve"> (Потребляемая мощность) Охлаждение: N[4.68]</v>
      </c>
      <c r="H355" t="str">
        <f>CONCATENATE(H$2,": ",H$3,list1!H355,"]")</f>
        <v xml:space="preserve"> (Потребляемая мощность) Обогрев: S[4.42]</v>
      </c>
      <c r="I355" t="str">
        <f>CONCATENATE(I$2,": ",I$3,list1!I355,"]")</f>
        <v xml:space="preserve"> (Рабочий ток) Охлаждение: S[]</v>
      </c>
      <c r="J355" t="str">
        <f>CONCATENATE(J$2,": ",J$3,list1!J355,"]")</f>
        <v xml:space="preserve"> (Рабочий ток) Обогрев: S[]</v>
      </c>
      <c r="K355" t="str">
        <f>CONCATENATE(K$2,": ",K$3,list1!K355,"]")</f>
        <v xml:space="preserve"> (Рабочий ток) Напряжение / Частота источника питания: S[3 / 380 / 50]</v>
      </c>
      <c r="L355" t="str">
        <f>CONCATENATE(L$2,": ",L$3,list1!L355,"]")</f>
        <v xml:space="preserve"> (Рабочий ток) Хладагент: S[R410A]</v>
      </c>
      <c r="M355" t="str">
        <f>CONCATENATE(M$2,": ",M$3,list1!M355,"]")</f>
        <v xml:space="preserve"> (Рабочий ток) Количество хладагента: N[]</v>
      </c>
      <c r="N355" t="str">
        <f>CONCATENATE(N$2,": ",N$3,list1!N355,"]")</f>
        <v xml:space="preserve"> (Рабочий ток) Объем рециркулируемого воздуха внутреннего блока: S[]</v>
      </c>
      <c r="O355" t="str">
        <f>CONCATENATE(O$2,": ",O$3,list1!O355,"]")</f>
        <v xml:space="preserve"> (Внутренний блок) Размеры (Ш x Г x В): S[1600 х 690 х 235]</v>
      </c>
      <c r="P355" t="str">
        <f>CONCATENATE(P$2,": ",P$3,list1!P355,"]")</f>
        <v xml:space="preserve"> (Внутренний блок) Упаковка (Ш x Г x В): S[1680 х 325 х 770]</v>
      </c>
      <c r="Q355" t="str">
        <f>CONCATENATE(Q$2,": ",Q$3,list1!Q355,"]")</f>
        <v xml:space="preserve"> (Внутренний блок) Масса (нетто / брутто): S[44 / 50.5]</v>
      </c>
      <c r="R355" t="str">
        <f>CONCATENATE(R$2,": ",R$3,list1!R355,"]")</f>
        <v xml:space="preserve"> (Внутренний блок) Уровень шума мин. / макс.: S[42/46/51]</v>
      </c>
      <c r="S355" t="str">
        <f>CONCATENATE(S$2,": ",S$3,list1!S355,"]")</f>
        <v xml:space="preserve"> (Наружный блок) Марка компрессора: S[GMCC]</v>
      </c>
      <c r="T355" t="str">
        <f>CONCATENATE(T$2,": ",T$3,list1!T355,"]")</f>
        <v xml:space="preserve"> (Наружный блок) Размеры (Ш x Г x В): S[940 х 340 х 1320]</v>
      </c>
      <c r="U355" t="str">
        <f>CONCATENATE(U$2,": ",U$3,list1!U355,"]")</f>
        <v xml:space="preserve"> (Наружный блок) Упаковка (Ш x Г x В): S[1080 х 430 х 1440]</v>
      </c>
      <c r="V355" t="str">
        <f>CONCATENATE(V$2,": ",V$3,list1!V355,"]")</f>
        <v xml:space="preserve"> (Наружный блок) Масса (нетто / брутто): S[85/94]</v>
      </c>
      <c r="W355" t="str">
        <f>CONCATENATE(W$2,": ",W$3,list1!W355,"]")</f>
        <v xml:space="preserve"> (Наружный блок) Максимальный уровень шума: N[]</v>
      </c>
      <c r="X355" t="str">
        <f>CONCATENATE(X$2,": ",X$3,list1!X355,"]")</f>
        <v xml:space="preserve"> (Соединительные трубы) Жидкостная линия : N[9.52]</v>
      </c>
      <c r="Y355" t="str">
        <f>CONCATENATE(Y$2,": ",Y$3,list1!Y355,"]")</f>
        <v xml:space="preserve"> (Соединительные трубы) Газовая линия : N[19.05]</v>
      </c>
      <c r="Z355" t="str">
        <f>CONCATENATE(Z$2,": ",Z$3,list1!Z355,"]")</f>
        <v xml:space="preserve"> (Соединительные трубы) Максимальная длина трубопровода: N[50]</v>
      </c>
      <c r="AA355" t="str">
        <f>CONCATENATE(AA$2,": ",AA$3,list1!AA355,"]")</f>
        <v xml:space="preserve"> (Соединительные трубы) Максимальный перепад высот: S[30]</v>
      </c>
      <c r="AB355" t="str">
        <f>CONCATENATE(AB$2,": ",AB$3,list1!AB355,"]")</f>
        <v xml:space="preserve"> (Допустимая темп. наружного воздуха) Охлаждение: S[от -15 до +49]</v>
      </c>
      <c r="AC355" t="str">
        <f>CONCATENATE(AC$2,": ",AC$3,list1!AC355,"]")</f>
        <v xml:space="preserve"> (Допустимая темп. наружного воздуха) Обогрев: S[от -15 до +24]</v>
      </c>
      <c r="AD355" s="6" t="s">
        <v>5245</v>
      </c>
    </row>
    <row r="356" spans="1:30" x14ac:dyDescent="0.25">
      <c r="A356" t="str">
        <f>CONCATENATE(A$2,": ",A$3,list1!A356,"]")</f>
        <v>Производитель: E[QUATTROCLIMA]</v>
      </c>
      <c r="B356" t="str">
        <f>CONCATENATE(B$2,": ",B$3,list1!B356,"]")</f>
        <v xml:space="preserve"> Тип: S[Напольно-потолочные]</v>
      </c>
      <c r="C356" t="str">
        <f>CONCATENATE(C$2,": ",C$3,list1!C356,"]")</f>
        <v xml:space="preserve"> (Сплит система) Холодопроизводительность: N[16.12]</v>
      </c>
      <c r="D356" t="str">
        <f>CONCATENATE(D$2,": ",D$3,list1!D356,"]")</f>
        <v xml:space="preserve"> (Сплит система) Площадь помещения: N[161]</v>
      </c>
      <c r="E356" t="str">
        <f>CONCATENATE(E$2,": ",E$3,list1!E356,"]")</f>
        <v xml:space="preserve"> (Сплит система) Инвентор: S[нет]</v>
      </c>
      <c r="F356" t="str">
        <f>CONCATENATE(F$2,": ",F$3,list1!F356,"]")</f>
        <v xml:space="preserve"> (Сплит система) Теплопроизводительность: N[17.6]</v>
      </c>
      <c r="G356" t="str">
        <f>CONCATENATE(G$2,": ",G$3,list1!G356,"]")</f>
        <v xml:space="preserve"> (Потребляемая мощность) Охлаждение: N[5.55]</v>
      </c>
      <c r="H356" t="str">
        <f>CONCATENATE(H$2,": ",H$3,list1!H356,"]")</f>
        <v xml:space="preserve"> (Потребляемая мощность) Обогрев: S[5.01]</v>
      </c>
      <c r="I356" t="str">
        <f>CONCATENATE(I$2,": ",I$3,list1!I356,"]")</f>
        <v xml:space="preserve"> (Рабочий ток) Охлаждение: S[]</v>
      </c>
      <c r="J356" t="str">
        <f>CONCATENATE(J$2,": ",J$3,list1!J356,"]")</f>
        <v xml:space="preserve"> (Рабочий ток) Обогрев: S[]</v>
      </c>
      <c r="K356" t="str">
        <f>CONCATENATE(K$2,": ",K$3,list1!K356,"]")</f>
        <v xml:space="preserve"> (Рабочий ток) Напряжение / Частота источника питания: S[3 / 380 / 50]</v>
      </c>
      <c r="L356" t="str">
        <f>CONCATENATE(L$2,": ",L$3,list1!L356,"]")</f>
        <v xml:space="preserve"> (Рабочий ток) Хладагент: S[R410A]</v>
      </c>
      <c r="M356" t="str">
        <f>CONCATENATE(M$2,": ",M$3,list1!M356,"]")</f>
        <v xml:space="preserve"> (Рабочий ток) Количество хладагента: N[]</v>
      </c>
      <c r="N356" t="str">
        <f>CONCATENATE(N$2,": ",N$3,list1!N356,"]")</f>
        <v xml:space="preserve"> (Рабочий ток) Объем рециркулируемого воздуха внутреннего блока: S[]</v>
      </c>
      <c r="O356" t="str">
        <f>CONCATENATE(O$2,": ",O$3,list1!O356,"]")</f>
        <v xml:space="preserve"> (Внутренний блок) Размеры (Ш x Г x В): S[1600 х 235 х 690]</v>
      </c>
      <c r="P356" t="str">
        <f>CONCATENATE(P$2,": ",P$3,list1!P356,"]")</f>
        <v xml:space="preserve"> (Внутренний блок) Упаковка (Ш x Г x В): S[1680 х 770 х 325]</v>
      </c>
      <c r="Q356" t="str">
        <f>CONCATENATE(Q$2,": ",Q$3,list1!Q356,"]")</f>
        <v xml:space="preserve"> (Внутренний блок) Масса (нетто / брутто): S[44 / 50.5]</v>
      </c>
      <c r="R356" t="str">
        <f>CONCATENATE(R$2,": ",R$3,list1!R356,"]")</f>
        <v xml:space="preserve"> (Внутренний блок) Уровень шума мин. / макс.: S[42/46/51]</v>
      </c>
      <c r="S356" t="str">
        <f>CONCATENATE(S$2,": ",S$3,list1!S356,"]")</f>
        <v xml:space="preserve"> (Наружный блок) Марка компрессора: S[GMCC]</v>
      </c>
      <c r="T356" t="str">
        <f>CONCATENATE(T$2,": ",T$3,list1!T356,"]")</f>
        <v xml:space="preserve"> (Наружный блок) Размеры (Ш x Г x В): S[940 х 340 х 1320]</v>
      </c>
      <c r="U356" t="str">
        <f>CONCATENATE(U$2,": ",U$3,list1!U356,"]")</f>
        <v xml:space="preserve"> (Наружный блок) Упаковка (Ш x Г x В): S[1080 х 430 х 1440]</v>
      </c>
      <c r="V356" t="str">
        <f>CONCATENATE(V$2,": ",V$3,list1!V356,"]")</f>
        <v xml:space="preserve"> (Наружный блок) Масса (нетто / брутто): S[91/100]</v>
      </c>
      <c r="W356" t="str">
        <f>CONCATENATE(W$2,": ",W$3,list1!W356,"]")</f>
        <v xml:space="preserve"> (Наружный блок) Максимальный уровень шума: N[]</v>
      </c>
      <c r="X356" t="str">
        <f>CONCATENATE(X$2,": ",X$3,list1!X356,"]")</f>
        <v xml:space="preserve"> (Соединительные трубы) Жидкостная линия : N[9.52]</v>
      </c>
      <c r="Y356" t="str">
        <f>CONCATENATE(Y$2,": ",Y$3,list1!Y356,"]")</f>
        <v xml:space="preserve"> (Соединительные трубы) Газовая линия : N[19.05]</v>
      </c>
      <c r="Z356" t="str">
        <f>CONCATENATE(Z$2,": ",Z$3,list1!Z356,"]")</f>
        <v xml:space="preserve"> (Соединительные трубы) Максимальная длина трубопровода: N[50]</v>
      </c>
      <c r="AA356" t="str">
        <f>CONCATENATE(AA$2,": ",AA$3,list1!AA356,"]")</f>
        <v xml:space="preserve"> (Соединительные трубы) Максимальный перепад высот: S[30]</v>
      </c>
      <c r="AB356" t="str">
        <f>CONCATENATE(AB$2,": ",AB$3,list1!AB356,"]")</f>
        <v xml:space="preserve"> (Допустимая темп. наружного воздуха) Охлаждение: S[от -15 до +49]</v>
      </c>
      <c r="AC356" t="str">
        <f>CONCATENATE(AC$2,": ",AC$3,list1!AC356,"]")</f>
        <v xml:space="preserve"> (Допустимая темп. наружного воздуха) Обогрев: S[от -15 до +24]</v>
      </c>
      <c r="AD356" s="6" t="s">
        <v>5245</v>
      </c>
    </row>
    <row r="357" spans="1:30" x14ac:dyDescent="0.25">
      <c r="A357" t="str">
        <f>CONCATENATE(A$2,": ",A$3,list1!A357,"]")</f>
        <v>Производитель: E[QUATTROCLIMA]</v>
      </c>
      <c r="B357" t="str">
        <f>CONCATENATE(B$2,": ",B$3,list1!B357,"]")</f>
        <v xml:space="preserve"> Тип: S[Мульти сплит система]</v>
      </c>
      <c r="C357" t="str">
        <f>CONCATENATE(C$2,": ",C$3,list1!C357,"]")</f>
        <v xml:space="preserve"> (Сплит система) Холодопроизводительность: N[2.05]</v>
      </c>
      <c r="D357" t="str">
        <f>CONCATENATE(D$2,": ",D$3,list1!D357,"]")</f>
        <v xml:space="preserve"> (Сплит система) Площадь помещения: N[21]</v>
      </c>
      <c r="E357" t="str">
        <f>CONCATENATE(E$2,": ",E$3,list1!E357,"]")</f>
        <v xml:space="preserve"> (Сплит система) Инвентор: S[да]</v>
      </c>
      <c r="F357" t="str">
        <f>CONCATENATE(F$2,": ",F$3,list1!F357,"]")</f>
        <v xml:space="preserve"> (Сплит система) Теплопроизводительность: N[2.05]</v>
      </c>
      <c r="G357" t="str">
        <f>CONCATENATE(G$2,": ",G$3,list1!G357,"]")</f>
        <v xml:space="preserve"> (Потребляемая мощность) Охлаждение: N[0.035]</v>
      </c>
      <c r="H357" t="str">
        <f>CONCATENATE(H$2,": ",H$3,list1!H357,"]")</f>
        <v xml:space="preserve"> (Потребляемая мощность) Обогрев: S[0.035]</v>
      </c>
      <c r="I357" t="str">
        <f>CONCATENATE(I$2,": ",I$3,list1!I357,"]")</f>
        <v xml:space="preserve"> (Рабочий ток) Охлаждение: S[]</v>
      </c>
      <c r="J357" t="str">
        <f>CONCATENATE(J$2,": ",J$3,list1!J357,"]")</f>
        <v xml:space="preserve"> (Рабочий ток) Обогрев: S[]</v>
      </c>
      <c r="K357" t="str">
        <f>CONCATENATE(K$2,": ",K$3,list1!K357,"]")</f>
        <v xml:space="preserve"> (Рабочий ток) Напряжение / Частота источника питания: S[1 / 220 / 50]</v>
      </c>
      <c r="L357" t="str">
        <f>CONCATENATE(L$2,": ",L$3,list1!L357,"]")</f>
        <v xml:space="preserve"> (Рабочий ток) Хладагент: S[R32]</v>
      </c>
      <c r="M357" t="str">
        <f>CONCATENATE(M$2,": ",M$3,list1!M357,"]")</f>
        <v xml:space="preserve"> (Рабочий ток) Количество хладагента: N[]</v>
      </c>
      <c r="N357" t="str">
        <f>CONCATENATE(N$2,": ",N$3,list1!N357,"]")</f>
        <v xml:space="preserve"> (Рабочий ток) Объем рециркулируемого воздуха внутреннего блока: S[]</v>
      </c>
      <c r="O357" t="str">
        <f>CONCATENATE(O$2,": ",O$3,list1!O357,"]")</f>
        <v xml:space="preserve"> (Внутренний блок) Размеры (Ш x Г x В): S[777 х 201 х 250]</v>
      </c>
      <c r="P357" t="str">
        <f>CONCATENATE(P$2,": ",P$3,list1!P357,"]")</f>
        <v xml:space="preserve"> (Внутренний блок) Упаковка (Ш x Г x В): S[850 х 275 х 320]</v>
      </c>
      <c r="Q357" t="str">
        <f>CONCATENATE(Q$2,": ",Q$3,list1!Q357,"]")</f>
        <v xml:space="preserve"> (Внутренний блок) Масса (нетто / брутто): S[8 / 10.5]</v>
      </c>
      <c r="R357" t="str">
        <f>CONCATENATE(R$2,": ",R$3,list1!R357,"]")</f>
        <v xml:space="preserve"> (Внутренний блок) Уровень шума мин. / макс.: S[40/37/33/25/22]</v>
      </c>
      <c r="S357" t="str">
        <f>CONCATENATE(S$2,": ",S$3,list1!S357,"]")</f>
        <v xml:space="preserve"> (Наружный блок) Марка компрессора: S[]</v>
      </c>
      <c r="T357" t="str">
        <f>CONCATENATE(T$2,": ",T$3,list1!T357,"]")</f>
        <v xml:space="preserve"> (Наружный блок) Размеры (Ш x Г x В): S[777 х 201 х 250]</v>
      </c>
      <c r="U357" t="str">
        <f>CONCATENATE(U$2,": ",U$3,list1!U357,"]")</f>
        <v xml:space="preserve"> (Наружный блок) Упаковка (Ш x Г x В): S[850 х 275 х 320]</v>
      </c>
      <c r="V357" t="str">
        <f>CONCATENATE(V$2,": ",V$3,list1!V357,"]")</f>
        <v xml:space="preserve"> (Наружный блок) Масса (нетто / брутто): S[8 / 10.5]</v>
      </c>
      <c r="W357" t="str">
        <f>CONCATENATE(W$2,": ",W$3,list1!W357,"]")</f>
        <v xml:space="preserve"> (Наружный блок) Максимальный уровень шума: N[]</v>
      </c>
      <c r="X357" t="str">
        <f>CONCATENATE(X$2,": ",X$3,list1!X357,"]")</f>
        <v xml:space="preserve"> (Соединительные трубы) Жидкостная линия : N[6.35]</v>
      </c>
      <c r="Y357" t="str">
        <f>CONCATENATE(Y$2,": ",Y$3,list1!Y357,"]")</f>
        <v xml:space="preserve"> (Соединительные трубы) Газовая линия : N[9.52]</v>
      </c>
      <c r="Z357" t="str">
        <f>CONCATENATE(Z$2,": ",Z$3,list1!Z357,"]")</f>
        <v xml:space="preserve"> (Соединительные трубы) Максимальная длина трубопровода: N[]</v>
      </c>
      <c r="AA357" t="str">
        <f>CONCATENATE(AA$2,": ",AA$3,list1!AA357,"]")</f>
        <v xml:space="preserve"> (Соединительные трубы) Максимальный перепад высот: S[]</v>
      </c>
      <c r="AB357" t="str">
        <f>CONCATENATE(AB$2,": ",AB$3,list1!AB357,"]")</f>
        <v xml:space="preserve"> (Допустимая темп. наружного воздуха) Охлаждение: S[]</v>
      </c>
      <c r="AC357" t="str">
        <f>CONCATENATE(AC$2,": ",AC$3,list1!AC357,"]")</f>
        <v xml:space="preserve"> (Допустимая темп. наружного воздуха) Обогрев: S[]</v>
      </c>
      <c r="AD357" s="6" t="s">
        <v>5172</v>
      </c>
    </row>
    <row r="358" spans="1:30" x14ac:dyDescent="0.25">
      <c r="A358" t="str">
        <f>CONCATENATE(A$2,": ",A$3,list1!A358,"]")</f>
        <v>Производитель: E[QUATTROCLIMA]</v>
      </c>
      <c r="B358" t="str">
        <f>CONCATENATE(B$2,": ",B$3,list1!B358,"]")</f>
        <v xml:space="preserve"> Тип: S[Мульти сплит система]</v>
      </c>
      <c r="C358" t="str">
        <f>CONCATENATE(C$2,": ",C$3,list1!C358,"]")</f>
        <v xml:space="preserve"> (Сплит система) Холодопроизводительность: N[2.64]</v>
      </c>
      <c r="D358" t="str">
        <f>CONCATENATE(D$2,": ",D$3,list1!D358,"]")</f>
        <v xml:space="preserve"> (Сплит система) Площадь помещения: N[26]</v>
      </c>
      <c r="E358" t="str">
        <f>CONCATENATE(E$2,": ",E$3,list1!E358,"]")</f>
        <v xml:space="preserve"> (Сплит система) Инвентор: S[да]</v>
      </c>
      <c r="F358" t="str">
        <f>CONCATENATE(F$2,": ",F$3,list1!F358,"]")</f>
        <v xml:space="preserve"> (Сплит система) Теплопроизводительность: N[2.64]</v>
      </c>
      <c r="G358" t="str">
        <f>CONCATENATE(G$2,": ",G$3,list1!G358,"]")</f>
        <v xml:space="preserve"> (Потребляемая мощность) Охлаждение: N[0.035]</v>
      </c>
      <c r="H358" t="str">
        <f>CONCATENATE(H$2,": ",H$3,list1!H358,"]")</f>
        <v xml:space="preserve"> (Потребляемая мощность) Обогрев: S[0.035]</v>
      </c>
      <c r="I358" t="str">
        <f>CONCATENATE(I$2,": ",I$3,list1!I358,"]")</f>
        <v xml:space="preserve"> (Рабочий ток) Охлаждение: S[]</v>
      </c>
      <c r="J358" t="str">
        <f>CONCATENATE(J$2,": ",J$3,list1!J358,"]")</f>
        <v xml:space="preserve"> (Рабочий ток) Обогрев: S[]</v>
      </c>
      <c r="K358" t="str">
        <f>CONCATENATE(K$2,": ",K$3,list1!K358,"]")</f>
        <v xml:space="preserve"> (Рабочий ток) Напряжение / Частота источника питания: S[1 / 220 / 50]</v>
      </c>
      <c r="L358" t="str">
        <f>CONCATENATE(L$2,": ",L$3,list1!L358,"]")</f>
        <v xml:space="preserve"> (Рабочий ток) Хладагент: S[R32]</v>
      </c>
      <c r="M358" t="str">
        <f>CONCATENATE(M$2,": ",M$3,list1!M358,"]")</f>
        <v xml:space="preserve"> (Рабочий ток) Количество хладагента: N[]</v>
      </c>
      <c r="N358" t="str">
        <f>CONCATENATE(N$2,": ",N$3,list1!N358,"]")</f>
        <v xml:space="preserve"> (Рабочий ток) Объем рециркулируемого воздуха внутреннего блока: S[]</v>
      </c>
      <c r="O358" t="str">
        <f>CONCATENATE(O$2,": ",O$3,list1!O358,"]")</f>
        <v xml:space="preserve"> (Внутренний блок) Размеры (Ш x Г x В): S[777 х 201 х 250]</v>
      </c>
      <c r="P358" t="str">
        <f>CONCATENATE(P$2,": ",P$3,list1!P358,"]")</f>
        <v xml:space="preserve"> (Внутренний блок) Упаковка (Ш x Г x В): S[850 х 275 х 320]</v>
      </c>
      <c r="Q358" t="str">
        <f>CONCATENATE(Q$2,": ",Q$3,list1!Q358,"]")</f>
        <v xml:space="preserve"> (Внутренний блок) Масса (нетто / брутто): S[8 / 10.5]</v>
      </c>
      <c r="R358" t="str">
        <f>CONCATENATE(R$2,": ",R$3,list1!R358,"]")</f>
        <v xml:space="preserve"> (Внутренний блок) Уровень шума мин. / макс.: S[40/37/33/25/22]</v>
      </c>
      <c r="S358" t="str">
        <f>CONCATENATE(S$2,": ",S$3,list1!S358,"]")</f>
        <v xml:space="preserve"> (Наружный блок) Марка компрессора: S[]</v>
      </c>
      <c r="T358" t="str">
        <f>CONCATENATE(T$2,": ",T$3,list1!T358,"]")</f>
        <v xml:space="preserve"> (Наружный блок) Размеры (Ш x Г x В): S[777 х 201 х 250]</v>
      </c>
      <c r="U358" t="str">
        <f>CONCATENATE(U$2,": ",U$3,list1!U358,"]")</f>
        <v xml:space="preserve"> (Наружный блок) Упаковка (Ш x Г x В): S[850 х 275 х 320]</v>
      </c>
      <c r="V358" t="str">
        <f>CONCATENATE(V$2,": ",V$3,list1!V358,"]")</f>
        <v xml:space="preserve"> (Наружный блок) Масса (нетто / брутто): S[8 / 10.5]</v>
      </c>
      <c r="W358" t="str">
        <f>CONCATENATE(W$2,": ",W$3,list1!W358,"]")</f>
        <v xml:space="preserve"> (Наружный блок) Максимальный уровень шума: N[]</v>
      </c>
      <c r="X358" t="str">
        <f>CONCATENATE(X$2,": ",X$3,list1!X358,"]")</f>
        <v xml:space="preserve"> (Соединительные трубы) Жидкостная линия : N[6.35]</v>
      </c>
      <c r="Y358" t="str">
        <f>CONCATENATE(Y$2,": ",Y$3,list1!Y358,"]")</f>
        <v xml:space="preserve"> (Соединительные трубы) Газовая линия : N[9.52]</v>
      </c>
      <c r="Z358" t="str">
        <f>CONCATENATE(Z$2,": ",Z$3,list1!Z358,"]")</f>
        <v xml:space="preserve"> (Соединительные трубы) Максимальная длина трубопровода: N[]</v>
      </c>
      <c r="AA358" t="str">
        <f>CONCATENATE(AA$2,": ",AA$3,list1!AA358,"]")</f>
        <v xml:space="preserve"> (Соединительные трубы) Максимальный перепад высот: S[]</v>
      </c>
      <c r="AB358" t="str">
        <f>CONCATENATE(AB$2,": ",AB$3,list1!AB358,"]")</f>
        <v xml:space="preserve"> (Допустимая темп. наружного воздуха) Охлаждение: S[]</v>
      </c>
      <c r="AC358" t="str">
        <f>CONCATENATE(AC$2,": ",AC$3,list1!AC358,"]")</f>
        <v xml:space="preserve"> (Допустимая темп. наружного воздуха) Обогрев: S[]</v>
      </c>
      <c r="AD358" s="6" t="s">
        <v>5172</v>
      </c>
    </row>
    <row r="359" spans="1:30" x14ac:dyDescent="0.25">
      <c r="A359" t="str">
        <f>CONCATENATE(A$2,": ",A$3,list1!A359,"]")</f>
        <v>Производитель: E[QUATTROCLIMA]</v>
      </c>
      <c r="B359" t="str">
        <f>CONCATENATE(B$2,": ",B$3,list1!B359,"]")</f>
        <v xml:space="preserve"> Тип: S[Мульти сплит система]</v>
      </c>
      <c r="C359" t="str">
        <f>CONCATENATE(C$2,": ",C$3,list1!C359,"]")</f>
        <v xml:space="preserve"> (Сплит система) Холодопроизводительность: N[3.52]</v>
      </c>
      <c r="D359" t="str">
        <f>CONCATENATE(D$2,": ",D$3,list1!D359,"]")</f>
        <v xml:space="preserve"> (Сплит система) Площадь помещения: N[35]</v>
      </c>
      <c r="E359" t="str">
        <f>CONCATENATE(E$2,": ",E$3,list1!E359,"]")</f>
        <v xml:space="preserve"> (Сплит система) Инвентор: S[да]</v>
      </c>
      <c r="F359" t="str">
        <f>CONCATENATE(F$2,": ",F$3,list1!F359,"]")</f>
        <v xml:space="preserve"> (Сплит система) Теплопроизводительность: N[3.52]</v>
      </c>
      <c r="G359" t="str">
        <f>CONCATENATE(G$2,": ",G$3,list1!G359,"]")</f>
        <v xml:space="preserve"> (Потребляемая мощность) Охлаждение: N[0.035]</v>
      </c>
      <c r="H359" t="str">
        <f>CONCATENATE(H$2,": ",H$3,list1!H359,"]")</f>
        <v xml:space="preserve"> (Потребляемая мощность) Обогрев: S[0.035]</v>
      </c>
      <c r="I359" t="str">
        <f>CONCATENATE(I$2,": ",I$3,list1!I359,"]")</f>
        <v xml:space="preserve"> (Рабочий ток) Охлаждение: S[]</v>
      </c>
      <c r="J359" t="str">
        <f>CONCATENATE(J$2,": ",J$3,list1!J359,"]")</f>
        <v xml:space="preserve"> (Рабочий ток) Обогрев: S[]</v>
      </c>
      <c r="K359" t="str">
        <f>CONCATENATE(K$2,": ",K$3,list1!K359,"]")</f>
        <v xml:space="preserve"> (Рабочий ток) Напряжение / Частота источника питания: S[1 / 220 / 50]</v>
      </c>
      <c r="L359" t="str">
        <f>CONCATENATE(L$2,": ",L$3,list1!L359,"]")</f>
        <v xml:space="preserve"> (Рабочий ток) Хладагент: S[R32]</v>
      </c>
      <c r="M359" t="str">
        <f>CONCATENATE(M$2,": ",M$3,list1!M359,"]")</f>
        <v xml:space="preserve"> (Рабочий ток) Количество хладагента: N[]</v>
      </c>
      <c r="N359" t="str">
        <f>CONCATENATE(N$2,": ",N$3,list1!N359,"]")</f>
        <v xml:space="preserve"> (Рабочий ток) Объем рециркулируемого воздуха внутреннего блока: S[]</v>
      </c>
      <c r="O359" t="str">
        <f>CONCATENATE(O$2,": ",O$3,list1!O359,"]")</f>
        <v xml:space="preserve"> (Внутренний блок) Размеры (Ш x Г x В): S[777 х 201 х 250]</v>
      </c>
      <c r="P359" t="str">
        <f>CONCATENATE(P$2,": ",P$3,list1!P359,"]")</f>
        <v xml:space="preserve"> (Внутренний блок) Упаковка (Ш x Г x В): S[850 х 275 х 320]</v>
      </c>
      <c r="Q359" t="str">
        <f>CONCATENATE(Q$2,": ",Q$3,list1!Q359,"]")</f>
        <v xml:space="preserve"> (Внутренний блок) Масса (нетто / брутто): S[8 / 10.5]</v>
      </c>
      <c r="R359" t="str">
        <f>CONCATENATE(R$2,": ",R$3,list1!R359,"]")</f>
        <v xml:space="preserve"> (Внутренний блок) Уровень шума мин. / макс.: S[40/37/33/25/22]</v>
      </c>
      <c r="S359" t="str">
        <f>CONCATENATE(S$2,": ",S$3,list1!S359,"]")</f>
        <v xml:space="preserve"> (Наружный блок) Марка компрессора: S[]</v>
      </c>
      <c r="T359" t="str">
        <f>CONCATENATE(T$2,": ",T$3,list1!T359,"]")</f>
        <v xml:space="preserve"> (Наружный блок) Размеры (Ш x Г x В): S[777 х 201 х 250]</v>
      </c>
      <c r="U359" t="str">
        <f>CONCATENATE(U$2,": ",U$3,list1!U359,"]")</f>
        <v xml:space="preserve"> (Наружный блок) Упаковка (Ш x Г x В): S[850 х 275 х 320]</v>
      </c>
      <c r="V359" t="str">
        <f>CONCATENATE(V$2,": ",V$3,list1!V359,"]")</f>
        <v xml:space="preserve"> (Наружный блок) Масса (нетто / брутто): S[8 / 10.5]</v>
      </c>
      <c r="W359" t="str">
        <f>CONCATENATE(W$2,": ",W$3,list1!W359,"]")</f>
        <v xml:space="preserve"> (Наружный блок) Максимальный уровень шума: N[]</v>
      </c>
      <c r="X359" t="str">
        <f>CONCATENATE(X$2,": ",X$3,list1!X359,"]")</f>
        <v xml:space="preserve"> (Соединительные трубы) Жидкостная линия : N[6.35]</v>
      </c>
      <c r="Y359" t="str">
        <f>CONCATENATE(Y$2,": ",Y$3,list1!Y359,"]")</f>
        <v xml:space="preserve"> (Соединительные трубы) Газовая линия : N[9.52]</v>
      </c>
      <c r="Z359" t="str">
        <f>CONCATENATE(Z$2,": ",Z$3,list1!Z359,"]")</f>
        <v xml:space="preserve"> (Соединительные трубы) Максимальная длина трубопровода: N[]</v>
      </c>
      <c r="AA359" t="str">
        <f>CONCATENATE(AA$2,": ",AA$3,list1!AA359,"]")</f>
        <v xml:space="preserve"> (Соединительные трубы) Максимальный перепад высот: S[]</v>
      </c>
      <c r="AB359" t="str">
        <f>CONCATENATE(AB$2,": ",AB$3,list1!AB359,"]")</f>
        <v xml:space="preserve"> (Допустимая темп. наружного воздуха) Охлаждение: S[]</v>
      </c>
      <c r="AC359" t="str">
        <f>CONCATENATE(AC$2,": ",AC$3,list1!AC359,"]")</f>
        <v xml:space="preserve"> (Допустимая темп. наружного воздуха) Обогрев: S[]</v>
      </c>
      <c r="AD359" s="6" t="s">
        <v>5172</v>
      </c>
    </row>
    <row r="360" spans="1:30" x14ac:dyDescent="0.25">
      <c r="A360" t="str">
        <f>CONCATENATE(A$2,": ",A$3,list1!A360,"]")</f>
        <v>Производитель: E[QUATTROCLIMA]</v>
      </c>
      <c r="B360" t="str">
        <f>CONCATENATE(B$2,": ",B$3,list1!B360,"]")</f>
        <v xml:space="preserve"> Тип: S[Мульти сплит система]</v>
      </c>
      <c r="C360" t="str">
        <f>CONCATENATE(C$2,": ",C$3,list1!C360,"]")</f>
        <v xml:space="preserve"> (Сплит система) Холодопроизводительность: N[5.13]</v>
      </c>
      <c r="D360" t="str">
        <f>CONCATENATE(D$2,": ",D$3,list1!D360,"]")</f>
        <v xml:space="preserve"> (Сплит система) Площадь помещения: N[51]</v>
      </c>
      <c r="E360" t="str">
        <f>CONCATENATE(E$2,": ",E$3,list1!E360,"]")</f>
        <v xml:space="preserve"> (Сплит система) Инвентор: S[да]</v>
      </c>
      <c r="F360" t="str">
        <f>CONCATENATE(F$2,": ",F$3,list1!F360,"]")</f>
        <v xml:space="preserve"> (Сплит система) Теплопроизводительность: N[5.21]</v>
      </c>
      <c r="G360" t="str">
        <f>CONCATENATE(G$2,": ",G$3,list1!G360,"]")</f>
        <v xml:space="preserve"> (Потребляемая мощность) Охлаждение: N[0.052]</v>
      </c>
      <c r="H360" t="str">
        <f>CONCATENATE(H$2,": ",H$3,list1!H360,"]")</f>
        <v xml:space="preserve"> (Потребляемая мощность) Обогрев: S[0.052]</v>
      </c>
      <c r="I360" t="str">
        <f>CONCATENATE(I$2,": ",I$3,list1!I360,"]")</f>
        <v xml:space="preserve"> (Рабочий ток) Охлаждение: S[]</v>
      </c>
      <c r="J360" t="str">
        <f>CONCATENATE(J$2,": ",J$3,list1!J360,"]")</f>
        <v xml:space="preserve"> (Рабочий ток) Обогрев: S[]</v>
      </c>
      <c r="K360" t="str">
        <f>CONCATENATE(K$2,": ",K$3,list1!K360,"]")</f>
        <v xml:space="preserve"> (Рабочий ток) Напряжение / Частота источника питания: S[1 / 220 / 50]</v>
      </c>
      <c r="L360" t="str">
        <f>CONCATENATE(L$2,": ",L$3,list1!L360,"]")</f>
        <v xml:space="preserve"> (Рабочий ток) Хладагент: S[R32]</v>
      </c>
      <c r="M360" t="str">
        <f>CONCATENATE(M$2,": ",M$3,list1!M360,"]")</f>
        <v xml:space="preserve"> (Рабочий ток) Количество хладагента: N[]</v>
      </c>
      <c r="N360" t="str">
        <f>CONCATENATE(N$2,": ",N$3,list1!N360,"]")</f>
        <v xml:space="preserve"> (Рабочий ток) Объем рециркулируемого воздуха внутреннего блока: S[]</v>
      </c>
      <c r="O360" t="str">
        <f>CONCATENATE(O$2,": ",O$3,list1!O360,"]")</f>
        <v xml:space="preserve"> (Внутренний блок) Размеры (Ш x Г x В): S[910 х 206 х 294]</v>
      </c>
      <c r="P360" t="str">
        <f>CONCATENATE(P$2,": ",P$3,list1!P360,"]")</f>
        <v xml:space="preserve"> (Внутренний блок) Упаковка (Ш x Г x В): S[979 х 277 х 372]</v>
      </c>
      <c r="Q360" t="str">
        <f>CONCATENATE(Q$2,": ",Q$3,list1!Q360,"]")</f>
        <v xml:space="preserve"> (Внутренний блок) Масса (нетто / брутто): S[10 / 13]</v>
      </c>
      <c r="R360" t="str">
        <f>CONCATENATE(R$2,": ",R$3,list1!R360,"]")</f>
        <v xml:space="preserve"> (Внутренний блок) Уровень шума мин. / макс.: S[43/41/38//35/27]</v>
      </c>
      <c r="S360" t="str">
        <f>CONCATENATE(S$2,": ",S$3,list1!S360,"]")</f>
        <v xml:space="preserve"> (Наружный блок) Марка компрессора: S[]</v>
      </c>
      <c r="T360" t="str">
        <f>CONCATENATE(T$2,": ",T$3,list1!T360,"]")</f>
        <v xml:space="preserve"> (Наружный блок) Размеры (Ш x Г x В): S[910 х 206 х 294]</v>
      </c>
      <c r="U360" t="str">
        <f>CONCATENATE(U$2,": ",U$3,list1!U360,"]")</f>
        <v xml:space="preserve"> (Наружный блок) Упаковка (Ш x Г x В): S[979 х 277 х 372]</v>
      </c>
      <c r="V360" t="str">
        <f>CONCATENATE(V$2,": ",V$3,list1!V360,"]")</f>
        <v xml:space="preserve"> (Наружный блок) Масса (нетто / брутто): S[10 / 13]</v>
      </c>
      <c r="W360" t="str">
        <f>CONCATENATE(W$2,": ",W$3,list1!W360,"]")</f>
        <v xml:space="preserve"> (Наружный блок) Максимальный уровень шума: N[]</v>
      </c>
      <c r="X360" t="str">
        <f>CONCATENATE(X$2,": ",X$3,list1!X360,"]")</f>
        <v xml:space="preserve"> (Соединительные трубы) Жидкостная линия : N[6.35]</v>
      </c>
      <c r="Y360" t="str">
        <f>CONCATENATE(Y$2,": ",Y$3,list1!Y360,"]")</f>
        <v xml:space="preserve"> (Соединительные трубы) Газовая линия : N[9.52]</v>
      </c>
      <c r="Z360" t="str">
        <f>CONCATENATE(Z$2,": ",Z$3,list1!Z360,"]")</f>
        <v xml:space="preserve"> (Соединительные трубы) Максимальная длина трубопровода: N[]</v>
      </c>
      <c r="AA360" t="str">
        <f>CONCATENATE(AA$2,": ",AA$3,list1!AA360,"]")</f>
        <v xml:space="preserve"> (Соединительные трубы) Максимальный перепад высот: S[]</v>
      </c>
      <c r="AB360" t="str">
        <f>CONCATENATE(AB$2,": ",AB$3,list1!AB360,"]")</f>
        <v xml:space="preserve"> (Допустимая темп. наружного воздуха) Охлаждение: S[]</v>
      </c>
      <c r="AC360" t="str">
        <f>CONCATENATE(AC$2,": ",AC$3,list1!AC360,"]")</f>
        <v xml:space="preserve"> (Допустимая темп. наружного воздуха) Обогрев: S[]</v>
      </c>
      <c r="AD360" s="6" t="s">
        <v>5172</v>
      </c>
    </row>
    <row r="361" spans="1:30" x14ac:dyDescent="0.25">
      <c r="A361" t="str">
        <f>CONCATENATE(A$2,": ",A$3,list1!A361,"]")</f>
        <v>Производитель: E[QUATTROCLIMA]</v>
      </c>
      <c r="B361" t="str">
        <f>CONCATENATE(B$2,": ",B$3,list1!B361,"]")</f>
        <v xml:space="preserve"> Тип: S[Мульти сплит система]</v>
      </c>
      <c r="C361" t="str">
        <f>CONCATENATE(C$2,": ",C$3,list1!C361,"]")</f>
        <v xml:space="preserve"> (Сплит система) Холодопроизводительность: N[4.1]</v>
      </c>
      <c r="D361" t="str">
        <f>CONCATENATE(D$2,": ",D$3,list1!D361,"]")</f>
        <v xml:space="preserve"> (Сплит система) Площадь помещения: N[41]</v>
      </c>
      <c r="E361" t="str">
        <f>CONCATENATE(E$2,": ",E$3,list1!E361,"]")</f>
        <v xml:space="preserve"> (Сплит система) Инвентор: S[да]</v>
      </c>
      <c r="F361" t="str">
        <f>CONCATENATE(F$2,": ",F$3,list1!F361,"]")</f>
        <v xml:space="preserve"> (Сплит система) Теплопроизводительность: N[4.31]</v>
      </c>
      <c r="G361" t="str">
        <f>CONCATENATE(G$2,": ",G$3,list1!G361,"]")</f>
        <v xml:space="preserve"> (Потребляемая мощность) Охлаждение: N[1.25]</v>
      </c>
      <c r="H361" t="str">
        <f>CONCATENATE(H$2,": ",H$3,list1!H361,"]")</f>
        <v xml:space="preserve"> (Потребляемая мощность) Обогрев: S[1.16]</v>
      </c>
      <c r="I361" t="str">
        <f>CONCATENATE(I$2,": ",I$3,list1!I361,"]")</f>
        <v xml:space="preserve"> (Рабочий ток) Охлаждение: S[]</v>
      </c>
      <c r="J361" t="str">
        <f>CONCATENATE(J$2,": ",J$3,list1!J361,"]")</f>
        <v xml:space="preserve"> (Рабочий ток) Обогрев: S[]</v>
      </c>
      <c r="K361" t="str">
        <f>CONCATENATE(K$2,": ",K$3,list1!K361,"]")</f>
        <v xml:space="preserve"> (Рабочий ток) Напряжение / Частота источника питания: S[1 / 220 / 50]</v>
      </c>
      <c r="L361" t="str">
        <f>CONCATENATE(L$2,": ",L$3,list1!L361,"]")</f>
        <v xml:space="preserve"> (Рабочий ток) Хладагент: S[R32]</v>
      </c>
      <c r="M361" t="str">
        <f>CONCATENATE(M$2,": ",M$3,list1!M361,"]")</f>
        <v xml:space="preserve"> (Рабочий ток) Количество хладагента: N[]</v>
      </c>
      <c r="N361" t="str">
        <f>CONCATENATE(N$2,": ",N$3,list1!N361,"]")</f>
        <v xml:space="preserve"> (Рабочий ток) Объем рециркулируемого воздуха внутреннего блока: S[]</v>
      </c>
      <c r="O361" t="str">
        <f>CONCATENATE(O$2,": ",O$3,list1!O361,"]")</f>
        <v xml:space="preserve"> (Внутренний блок) Размеры (Ш x Г x В): S[]</v>
      </c>
      <c r="P361" t="str">
        <f>CONCATENATE(P$2,": ",P$3,list1!P361,"]")</f>
        <v xml:space="preserve"> (Внутренний блок) Упаковка (Ш x Г x В): S[]</v>
      </c>
      <c r="Q361" t="str">
        <f>CONCATENATE(Q$2,": ",Q$3,list1!Q361,"]")</f>
        <v xml:space="preserve"> (Внутренний блок) Масса (нетто / брутто): S[]</v>
      </c>
      <c r="R361" t="str">
        <f>CONCATENATE(R$2,": ",R$3,list1!R361,"]")</f>
        <v xml:space="preserve"> (Внутренний блок) Уровень шума мин. / макс.: S[]</v>
      </c>
      <c r="S361" t="str">
        <f>CONCATENATE(S$2,": ",S$3,list1!S361,"]")</f>
        <v xml:space="preserve"> (Наружный блок) Марка компрессора: S[RECHI]</v>
      </c>
      <c r="T361" t="str">
        <f>CONCATENATE(T$2,": ",T$3,list1!T361,"]")</f>
        <v xml:space="preserve"> (Наружный блок) Размеры (Ш x Г x В): S[]</v>
      </c>
      <c r="U361" t="str">
        <f>CONCATENATE(U$2,": ",U$3,list1!U361,"]")</f>
        <v xml:space="preserve"> (Наружный блок) Упаковка (Ш x Г x В): S[]</v>
      </c>
      <c r="V361" t="str">
        <f>CONCATENATE(V$2,": ",V$3,list1!V361,"]")</f>
        <v xml:space="preserve"> (Наружный блок) Масса (нетто / брутто): S[]</v>
      </c>
      <c r="W361" t="str">
        <f>CONCATENATE(W$2,": ",W$3,list1!W361,"]")</f>
        <v xml:space="preserve"> (Наружный блок) Максимальный уровень шума: N[]</v>
      </c>
      <c r="X361" t="str">
        <f>CONCATENATE(X$2,": ",X$3,list1!X361,"]")</f>
        <v xml:space="preserve"> (Соединительные трубы) Жидкостная линия : N[]</v>
      </c>
      <c r="Y361" t="str">
        <f>CONCATENATE(Y$2,": ",Y$3,list1!Y361,"]")</f>
        <v xml:space="preserve"> (Соединительные трубы) Газовая линия : N[]</v>
      </c>
      <c r="Z361" t="str">
        <f>CONCATENATE(Z$2,": ",Z$3,list1!Z361,"]")</f>
        <v xml:space="preserve"> (Соединительные трубы) Максимальная длина трубопровода: N[30]</v>
      </c>
      <c r="AA361" t="str">
        <f>CONCATENATE(AA$2,": ",AA$3,list1!AA361,"]")</f>
        <v xml:space="preserve"> (Соединительные трубы) Максимальный перепад высот: S[10]</v>
      </c>
      <c r="AB361" t="str">
        <f>CONCATENATE(AB$2,": ",AB$3,list1!AB361,"]")</f>
        <v xml:space="preserve"> (Допустимая темп. наружного воздуха) Охлаждение: S[от -15 до +53]</v>
      </c>
      <c r="AC361" t="str">
        <f>CONCATENATE(AC$2,": ",AC$3,list1!AC361,"]")</f>
        <v xml:space="preserve"> (Допустимая темп. наружного воздуха) Обогрев: S[от -20 до +30]</v>
      </c>
      <c r="AD361" s="6" t="s">
        <v>5173</v>
      </c>
    </row>
    <row r="362" spans="1:30" x14ac:dyDescent="0.25">
      <c r="A362" t="str">
        <f>CONCATENATE(A$2,": ",A$3,list1!A362,"]")</f>
        <v>Производитель: E[QUATTROCLIMA]</v>
      </c>
      <c r="B362" t="str">
        <f>CONCATENATE(B$2,": ",B$3,list1!B362,"]")</f>
        <v xml:space="preserve"> Тип: S[Мульти сплит система]</v>
      </c>
      <c r="C362" t="str">
        <f>CONCATENATE(C$2,": ",C$3,list1!C362,"]")</f>
        <v xml:space="preserve"> (Сплит система) Холодопроизводительность: N[5.2]</v>
      </c>
      <c r="D362" t="str">
        <f>CONCATENATE(D$2,": ",D$3,list1!D362,"]")</f>
        <v xml:space="preserve"> (Сплит система) Площадь помещения: N[52]</v>
      </c>
      <c r="E362" t="str">
        <f>CONCATENATE(E$2,": ",E$3,list1!E362,"]")</f>
        <v xml:space="preserve"> (Сплит система) Инвентор: S[да]</v>
      </c>
      <c r="F362" t="str">
        <f>CONCATENATE(F$2,": ",F$3,list1!F362,"]")</f>
        <v xml:space="preserve"> (Сплит система) Теплопроизводительность: N[5.29]</v>
      </c>
      <c r="G362" t="str">
        <f>CONCATENATE(G$2,": ",G$3,list1!G362,"]")</f>
        <v xml:space="preserve"> (Потребляемая мощность) Охлаждение: N[1.61]</v>
      </c>
      <c r="H362" t="str">
        <f>CONCATENATE(H$2,": ",H$3,list1!H362,"]")</f>
        <v xml:space="preserve"> (Потребляемая мощность) Обогрев: S[1.42]</v>
      </c>
      <c r="I362" t="str">
        <f>CONCATENATE(I$2,": ",I$3,list1!I362,"]")</f>
        <v xml:space="preserve"> (Рабочий ток) Охлаждение: S[]</v>
      </c>
      <c r="J362" t="str">
        <f>CONCATENATE(J$2,": ",J$3,list1!J362,"]")</f>
        <v xml:space="preserve"> (Рабочий ток) Обогрев: S[]</v>
      </c>
      <c r="K362" t="str">
        <f>CONCATENATE(K$2,": ",K$3,list1!K362,"]")</f>
        <v xml:space="preserve"> (Рабочий ток) Напряжение / Частота источника питания: S[1 / 220 / 50]</v>
      </c>
      <c r="L362" t="str">
        <f>CONCATENATE(L$2,": ",L$3,list1!L362,"]")</f>
        <v xml:space="preserve"> (Рабочий ток) Хладагент: S[R32]</v>
      </c>
      <c r="M362" t="str">
        <f>CONCATENATE(M$2,": ",M$3,list1!M362,"]")</f>
        <v xml:space="preserve"> (Рабочий ток) Количество хладагента: N[]</v>
      </c>
      <c r="N362" t="str">
        <f>CONCATENATE(N$2,": ",N$3,list1!N362,"]")</f>
        <v xml:space="preserve"> (Рабочий ток) Объем рециркулируемого воздуха внутреннего блока: S[]</v>
      </c>
      <c r="O362" t="str">
        <f>CONCATENATE(O$2,": ",O$3,list1!O362,"]")</f>
        <v xml:space="preserve"> (Внутренний блок) Размеры (Ш x Г x В): S[]</v>
      </c>
      <c r="P362" t="str">
        <f>CONCATENATE(P$2,": ",P$3,list1!P362,"]")</f>
        <v xml:space="preserve"> (Внутренний блок) Упаковка (Ш x Г x В): S[]</v>
      </c>
      <c r="Q362" t="str">
        <f>CONCATENATE(Q$2,": ",Q$3,list1!Q362,"]")</f>
        <v xml:space="preserve"> (Внутренний блок) Масса (нетто / брутто): S[]</v>
      </c>
      <c r="R362" t="str">
        <f>CONCATENATE(R$2,": ",R$3,list1!R362,"]")</f>
        <v xml:space="preserve"> (Внутренний блок) Уровень шума мин. / макс.: S[]</v>
      </c>
      <c r="S362" t="str">
        <f>CONCATENATE(S$2,": ",S$3,list1!S362,"]")</f>
        <v xml:space="preserve"> (Наружный блок) Марка компрессора: S[RECHI]</v>
      </c>
      <c r="T362" t="str">
        <f>CONCATENATE(T$2,": ",T$3,list1!T362,"]")</f>
        <v xml:space="preserve"> (Наружный блок) Размеры (Ш x Г x В): S[]</v>
      </c>
      <c r="U362" t="str">
        <f>CONCATENATE(U$2,": ",U$3,list1!U362,"]")</f>
        <v xml:space="preserve"> (Наружный блок) Упаковка (Ш x Г x В): S[]</v>
      </c>
      <c r="V362" t="str">
        <f>CONCATENATE(V$2,": ",V$3,list1!V362,"]")</f>
        <v xml:space="preserve"> (Наружный блок) Масса (нетто / брутто): S[]</v>
      </c>
      <c r="W362" t="str">
        <f>CONCATENATE(W$2,": ",W$3,list1!W362,"]")</f>
        <v xml:space="preserve"> (Наружный блок) Максимальный уровень шума: N[]</v>
      </c>
      <c r="X362" t="str">
        <f>CONCATENATE(X$2,": ",X$3,list1!X362,"]")</f>
        <v xml:space="preserve"> (Соединительные трубы) Жидкостная линия : N[]</v>
      </c>
      <c r="Y362" t="str">
        <f>CONCATENATE(Y$2,": ",Y$3,list1!Y362,"]")</f>
        <v xml:space="preserve"> (Соединительные трубы) Газовая линия : N[]</v>
      </c>
      <c r="Z362" t="str">
        <f>CONCATENATE(Z$2,": ",Z$3,list1!Z362,"]")</f>
        <v xml:space="preserve"> (Соединительные трубы) Максимальная длина трубопровода: N[30]</v>
      </c>
      <c r="AA362" t="str">
        <f>CONCATENATE(AA$2,": ",AA$3,list1!AA362,"]")</f>
        <v xml:space="preserve"> (Соединительные трубы) Максимальный перепад высот: S[10]</v>
      </c>
      <c r="AB362" t="str">
        <f>CONCATENATE(AB$2,": ",AB$3,list1!AB362,"]")</f>
        <v xml:space="preserve"> (Допустимая темп. наружного воздуха) Охлаждение: S[от -15 до +53]</v>
      </c>
      <c r="AC362" t="str">
        <f>CONCATENATE(AC$2,": ",AC$3,list1!AC362,"]")</f>
        <v xml:space="preserve"> (Допустимая темп. наружного воздуха) Обогрев: S[от -20 до +30]</v>
      </c>
      <c r="AD362" s="6" t="s">
        <v>5173</v>
      </c>
    </row>
    <row r="363" spans="1:30" x14ac:dyDescent="0.25">
      <c r="A363" t="str">
        <f>CONCATENATE(A$2,": ",A$3,list1!A363,"]")</f>
        <v>Производитель: E[QUATTROCLIMA]</v>
      </c>
      <c r="B363" t="str">
        <f>CONCATENATE(B$2,": ",B$3,list1!B363,"]")</f>
        <v xml:space="preserve"> Тип: S[Мульти сплит система]</v>
      </c>
      <c r="C363" t="str">
        <f>CONCATENATE(C$2,": ",C$3,list1!C363,"]")</f>
        <v xml:space="preserve"> (Сплит система) Холодопроизводительность: N[6.2]</v>
      </c>
      <c r="D363" t="str">
        <f>CONCATENATE(D$2,": ",D$3,list1!D363,"]")</f>
        <v xml:space="preserve"> (Сплит система) Площадь помещения: N[62]</v>
      </c>
      <c r="E363" t="str">
        <f>CONCATENATE(E$2,": ",E$3,list1!E363,"]")</f>
        <v xml:space="preserve"> (Сплит система) Инвентор: S[да]</v>
      </c>
      <c r="F363" t="str">
        <f>CONCATENATE(F$2,": ",F$3,list1!F363,"]")</f>
        <v xml:space="preserve"> (Сплит система) Теплопроизводительность: N[6.5]</v>
      </c>
      <c r="G363" t="str">
        <f>CONCATENATE(G$2,": ",G$3,list1!G363,"]")</f>
        <v xml:space="preserve"> (Потребляемая мощность) Охлаждение: N[1.92]</v>
      </c>
      <c r="H363" t="str">
        <f>CONCATENATE(H$2,": ",H$3,list1!H363,"]")</f>
        <v xml:space="preserve"> (Потребляемая мощность) Обогрев: S[1.75]</v>
      </c>
      <c r="I363" t="str">
        <f>CONCATENATE(I$2,": ",I$3,list1!I363,"]")</f>
        <v xml:space="preserve"> (Рабочий ток) Охлаждение: S[]</v>
      </c>
      <c r="J363" t="str">
        <f>CONCATENATE(J$2,": ",J$3,list1!J363,"]")</f>
        <v xml:space="preserve"> (Рабочий ток) Обогрев: S[]</v>
      </c>
      <c r="K363" t="str">
        <f>CONCATENATE(K$2,": ",K$3,list1!K363,"]")</f>
        <v xml:space="preserve"> (Рабочий ток) Напряжение / Частота источника питания: S[1 / 220 / 50]</v>
      </c>
      <c r="L363" t="str">
        <f>CONCATENATE(L$2,": ",L$3,list1!L363,"]")</f>
        <v xml:space="preserve"> (Рабочий ток) Хладагент: S[R32]</v>
      </c>
      <c r="M363" t="str">
        <f>CONCATENATE(M$2,": ",M$3,list1!M363,"]")</f>
        <v xml:space="preserve"> (Рабочий ток) Количество хладагента: N[]</v>
      </c>
      <c r="N363" t="str">
        <f>CONCATENATE(N$2,": ",N$3,list1!N363,"]")</f>
        <v xml:space="preserve"> (Рабочий ток) Объем рециркулируемого воздуха внутреннего блока: S[]</v>
      </c>
      <c r="O363" t="str">
        <f>CONCATENATE(O$2,": ",O$3,list1!O363,"]")</f>
        <v xml:space="preserve"> (Внутренний блок) Размеры (Ш x Г x В): S[]</v>
      </c>
      <c r="P363" t="str">
        <f>CONCATENATE(P$2,": ",P$3,list1!P363,"]")</f>
        <v xml:space="preserve"> (Внутренний блок) Упаковка (Ш x Г x В): S[]</v>
      </c>
      <c r="Q363" t="str">
        <f>CONCATENATE(Q$2,": ",Q$3,list1!Q363,"]")</f>
        <v xml:space="preserve"> (Внутренний блок) Масса (нетто / брутто): S[]</v>
      </c>
      <c r="R363" t="str">
        <f>CONCATENATE(R$2,": ",R$3,list1!R363,"]")</f>
        <v xml:space="preserve"> (Внутренний блок) Уровень шума мин. / макс.: S[]</v>
      </c>
      <c r="S363" t="str">
        <f>CONCATENATE(S$2,": ",S$3,list1!S363,"]")</f>
        <v xml:space="preserve"> (Наружный блок) Марка компрессора: S[SANYO]</v>
      </c>
      <c r="T363" t="str">
        <f>CONCATENATE(T$2,": ",T$3,list1!T363,"]")</f>
        <v xml:space="preserve"> (Наружный блок) Размеры (Ш x Г x В): S[]</v>
      </c>
      <c r="U363" t="str">
        <f>CONCATENATE(U$2,": ",U$3,list1!U363,"]")</f>
        <v xml:space="preserve"> (Наружный блок) Упаковка (Ш x Г x В): S[]</v>
      </c>
      <c r="V363" t="str">
        <f>CONCATENATE(V$2,": ",V$3,list1!V363,"]")</f>
        <v xml:space="preserve"> (Наружный блок) Масса (нетто / брутто): S[]</v>
      </c>
      <c r="W363" t="str">
        <f>CONCATENATE(W$2,": ",W$3,list1!W363,"]")</f>
        <v xml:space="preserve"> (Наружный блок) Максимальный уровень шума: N[]</v>
      </c>
      <c r="X363" t="str">
        <f>CONCATENATE(X$2,": ",X$3,list1!X363,"]")</f>
        <v xml:space="preserve"> (Соединительные трубы) Жидкостная линия : N[]</v>
      </c>
      <c r="Y363" t="str">
        <f>CONCATENATE(Y$2,": ",Y$3,list1!Y363,"]")</f>
        <v xml:space="preserve"> (Соединительные трубы) Газовая линия : N[]</v>
      </c>
      <c r="Z363" t="str">
        <f>CONCATENATE(Z$2,": ",Z$3,list1!Z363,"]")</f>
        <v xml:space="preserve"> (Соединительные трубы) Максимальная длина трубопровода: N[45]</v>
      </c>
      <c r="AA363" t="str">
        <f>CONCATENATE(AA$2,": ",AA$3,list1!AA363,"]")</f>
        <v xml:space="preserve"> (Соединительные трубы) Максимальный перепад высот: S[10]</v>
      </c>
      <c r="AB363" t="str">
        <f>CONCATENATE(AB$2,": ",AB$3,list1!AB363,"]")</f>
        <v xml:space="preserve"> (Допустимая темп. наружного воздуха) Охлаждение: S[от -15 до +53]</v>
      </c>
      <c r="AC363" t="str">
        <f>CONCATENATE(AC$2,": ",AC$3,list1!AC363,"]")</f>
        <v xml:space="preserve"> (Допустимая темп. наружного воздуха) Обогрев: S[от -20 до +30]</v>
      </c>
      <c r="AD363" s="6" t="s">
        <v>5173</v>
      </c>
    </row>
    <row r="364" spans="1:30" x14ac:dyDescent="0.25">
      <c r="A364" t="str">
        <f>CONCATENATE(A$2,": ",A$3,list1!A364,"]")</f>
        <v>Производитель: E[QUATTROCLIMA]</v>
      </c>
      <c r="B364" t="str">
        <f>CONCATENATE(B$2,": ",B$3,list1!B364,"]")</f>
        <v xml:space="preserve"> Тип: S[Мульти сплит система]</v>
      </c>
      <c r="C364" t="str">
        <f>CONCATENATE(C$2,": ",C$3,list1!C364,"]")</f>
        <v xml:space="preserve"> (Сплит система) Холодопроизводительность: N[7.9]</v>
      </c>
      <c r="D364" t="str">
        <f>CONCATENATE(D$2,": ",D$3,list1!D364,"]")</f>
        <v xml:space="preserve"> (Сплит система) Площадь помещения: N[79]</v>
      </c>
      <c r="E364" t="str">
        <f>CONCATENATE(E$2,": ",E$3,list1!E364,"]")</f>
        <v xml:space="preserve"> (Сплит система) Инвентор: S[да]</v>
      </c>
      <c r="F364" t="str">
        <f>CONCATENATE(F$2,": ",F$3,list1!F364,"]")</f>
        <v xml:space="preserve"> (Сплит система) Теплопроизводительность: N[7.96]</v>
      </c>
      <c r="G364" t="str">
        <f>CONCATENATE(G$2,": ",G$3,list1!G364,"]")</f>
        <v xml:space="preserve"> (Потребляемая мощность) Охлаждение: N[2.63]</v>
      </c>
      <c r="H364" t="str">
        <f>CONCATENATE(H$2,": ",H$3,list1!H364,"]")</f>
        <v xml:space="preserve"> (Потребляемая мощность) Обогрев: S[2.12]</v>
      </c>
      <c r="I364" t="str">
        <f>CONCATENATE(I$2,": ",I$3,list1!I364,"]")</f>
        <v xml:space="preserve"> (Рабочий ток) Охлаждение: S[]</v>
      </c>
      <c r="J364" t="str">
        <f>CONCATENATE(J$2,": ",J$3,list1!J364,"]")</f>
        <v xml:space="preserve"> (Рабочий ток) Обогрев: S[]</v>
      </c>
      <c r="K364" t="str">
        <f>CONCATENATE(K$2,": ",K$3,list1!K364,"]")</f>
        <v xml:space="preserve"> (Рабочий ток) Напряжение / Частота источника питания: S[1 / 220 / 50]</v>
      </c>
      <c r="L364" t="str">
        <f>CONCATENATE(L$2,": ",L$3,list1!L364,"]")</f>
        <v xml:space="preserve"> (Рабочий ток) Хладагент: S[R32]</v>
      </c>
      <c r="M364" t="str">
        <f>CONCATENATE(M$2,": ",M$3,list1!M364,"]")</f>
        <v xml:space="preserve"> (Рабочий ток) Количество хладагента: N[]</v>
      </c>
      <c r="N364" t="str">
        <f>CONCATENATE(N$2,": ",N$3,list1!N364,"]")</f>
        <v xml:space="preserve"> (Рабочий ток) Объем рециркулируемого воздуха внутреннего блока: S[]</v>
      </c>
      <c r="O364" t="str">
        <f>CONCATENATE(O$2,": ",O$3,list1!O364,"]")</f>
        <v xml:space="preserve"> (Внутренний блок) Размеры (Ш x Г x В): S[]</v>
      </c>
      <c r="P364" t="str">
        <f>CONCATENATE(P$2,": ",P$3,list1!P364,"]")</f>
        <v xml:space="preserve"> (Внутренний блок) Упаковка (Ш x Г x В): S[]</v>
      </c>
      <c r="Q364" t="str">
        <f>CONCATENATE(Q$2,": ",Q$3,list1!Q364,"]")</f>
        <v xml:space="preserve"> (Внутренний блок) Масса (нетто / брутто): S[]</v>
      </c>
      <c r="R364" t="str">
        <f>CONCATENATE(R$2,": ",R$3,list1!R364,"]")</f>
        <v xml:space="preserve"> (Внутренний блок) Уровень шума мин. / макс.: S[]</v>
      </c>
      <c r="S364" t="str">
        <f>CONCATENATE(S$2,": ",S$3,list1!S364,"]")</f>
        <v xml:space="preserve"> (Наружный блок) Марка компрессора: S[SANYO]</v>
      </c>
      <c r="T364" t="str">
        <f>CONCATENATE(T$2,": ",T$3,list1!T364,"]")</f>
        <v xml:space="preserve"> (Наружный блок) Размеры (Ш x Г x В): S[]</v>
      </c>
      <c r="U364" t="str">
        <f>CONCATENATE(U$2,": ",U$3,list1!U364,"]")</f>
        <v xml:space="preserve"> (Наружный блок) Упаковка (Ш x Г x В): S[]</v>
      </c>
      <c r="V364" t="str">
        <f>CONCATENATE(V$2,": ",V$3,list1!V364,"]")</f>
        <v xml:space="preserve"> (Наружный блок) Масса (нетто / брутто): S[]</v>
      </c>
      <c r="W364" t="str">
        <f>CONCATENATE(W$2,": ",W$3,list1!W364,"]")</f>
        <v xml:space="preserve"> (Наружный блок) Максимальный уровень шума: N[]</v>
      </c>
      <c r="X364" t="str">
        <f>CONCATENATE(X$2,": ",X$3,list1!X364,"]")</f>
        <v xml:space="preserve"> (Соединительные трубы) Жидкостная линия : N[]</v>
      </c>
      <c r="Y364" t="str">
        <f>CONCATENATE(Y$2,": ",Y$3,list1!Y364,"]")</f>
        <v xml:space="preserve"> (Соединительные трубы) Газовая линия : N[]</v>
      </c>
      <c r="Z364" t="str">
        <f>CONCATENATE(Z$2,": ",Z$3,list1!Z364,"]")</f>
        <v xml:space="preserve"> (Соединительные трубы) Максимальная длина трубопровода: N[45]</v>
      </c>
      <c r="AA364" t="str">
        <f>CONCATENATE(AA$2,": ",AA$3,list1!AA364,"]")</f>
        <v xml:space="preserve"> (Соединительные трубы) Максимальный перепад высот: S[10]</v>
      </c>
      <c r="AB364" t="str">
        <f>CONCATENATE(AB$2,": ",AB$3,list1!AB364,"]")</f>
        <v xml:space="preserve"> (Допустимая темп. наружного воздуха) Охлаждение: S[от -15 до +53]</v>
      </c>
      <c r="AC364" t="str">
        <f>CONCATENATE(AC$2,": ",AC$3,list1!AC364,"]")</f>
        <v xml:space="preserve"> (Допустимая темп. наружного воздуха) Обогрев: S[от -20 до +30]</v>
      </c>
      <c r="AD364" s="6" t="s">
        <v>5173</v>
      </c>
    </row>
    <row r="365" spans="1:30" x14ac:dyDescent="0.25">
      <c r="A365" t="str">
        <f>CONCATENATE(A$2,": ",A$3,list1!A365,"]")</f>
        <v>Производитель: E[TOSOT]</v>
      </c>
      <c r="B365" t="str">
        <f>CONCATENATE(B$2,": ",B$3,list1!B365,"]")</f>
        <v xml:space="preserve"> Тип: S[Сплит система]</v>
      </c>
      <c r="C365" t="str">
        <f>CONCATENATE(C$2,": ",C$3,list1!C365,"]")</f>
        <v xml:space="preserve"> (Сплит система) Холодопроизводительность: N[2.7]</v>
      </c>
      <c r="D365" t="str">
        <f>CONCATENATE(D$2,": ",D$3,list1!D365,"]")</f>
        <v xml:space="preserve"> (Сплит система) Площадь помещения: N[27]</v>
      </c>
      <c r="E365" t="str">
        <f>CONCATENATE(E$2,": ",E$3,list1!E365,"]")</f>
        <v xml:space="preserve"> (Сплит система) Инвентор: S[да]</v>
      </c>
      <c r="F365" t="str">
        <f>CONCATENATE(F$2,": ",F$3,list1!F365,"]")</f>
        <v xml:space="preserve"> (Сплит система) Теплопроизводительность: N[3.2]</v>
      </c>
      <c r="G365" t="str">
        <f>CONCATENATE(G$2,": ",G$3,list1!G365,"]")</f>
        <v xml:space="preserve"> (Потребляемая мощность) Охлаждение: N[0.6]</v>
      </c>
      <c r="H365" t="str">
        <f>CONCATENATE(H$2,": ",H$3,list1!H365,"]")</f>
        <v xml:space="preserve"> (Потребляемая мощность) Обогрев: S[0.715]</v>
      </c>
      <c r="I365" t="str">
        <f>CONCATENATE(I$2,": ",I$3,list1!I365,"]")</f>
        <v xml:space="preserve"> (Рабочий ток) Охлаждение: S[]</v>
      </c>
      <c r="J365" t="str">
        <f>CONCATENATE(J$2,": ",J$3,list1!J365,"]")</f>
        <v xml:space="preserve"> (Рабочий ток) Обогрев: S[]</v>
      </c>
      <c r="K365" t="str">
        <f>CONCATENATE(K$2,": ",K$3,list1!K365,"]")</f>
        <v xml:space="preserve"> (Рабочий ток) Напряжение / Частота источника питания: S[1 / 220 / 50]</v>
      </c>
      <c r="L365" t="str">
        <f>CONCATENATE(L$2,": ",L$3,list1!L365,"]")</f>
        <v xml:space="preserve"> (Рабочий ток) Хладагент: S[R32]</v>
      </c>
      <c r="M365" t="str">
        <f>CONCATENATE(M$2,": ",M$3,list1!M365,"]")</f>
        <v xml:space="preserve"> (Рабочий ток) Количество хладагента: N[]</v>
      </c>
      <c r="N365" t="str">
        <f>CONCATENATE(N$2,": ",N$3,list1!N365,"]")</f>
        <v xml:space="preserve"> (Рабочий ток) Объем рециркулируемого воздуха внутреннего блока: S[]</v>
      </c>
      <c r="O365" t="str">
        <f>CONCATENATE(O$2,": ",O$3,list1!O365,"]")</f>
        <v xml:space="preserve"> (Внутренний блок) Размеры (Ш x Г x В): S[945 х 293 х 225]</v>
      </c>
      <c r="P365" t="str">
        <f>CONCATENATE(P$2,": ",P$3,list1!P365,"]")</f>
        <v xml:space="preserve"> (Внутренний блок) Упаковка (Ш x Г x В): S[1035 х 325 х 384]</v>
      </c>
      <c r="Q365" t="str">
        <f>CONCATENATE(Q$2,": ",Q$3,list1!Q365,"]")</f>
        <v xml:space="preserve"> (Внутренний блок) Масса (нетто / брутто): S[14 / 17]</v>
      </c>
      <c r="R365" t="str">
        <f>CONCATENATE(R$2,": ",R$3,list1!R365,"]")</f>
        <v xml:space="preserve"> (Внутренний блок) Уровень шума мин. / макс.: S[21/22/28/33/36/39/43]</v>
      </c>
      <c r="S365" t="str">
        <f>CONCATENATE(S$2,": ",S$3,list1!S365,"]")</f>
        <v xml:space="preserve"> (Наружный блок) Марка компрессора: S[Gree]</v>
      </c>
      <c r="T365" t="str">
        <f>CONCATENATE(T$2,": ",T$3,list1!T365,"]")</f>
        <v xml:space="preserve"> (Наружный блок) Размеры (Ш x Г x В): S[848 х 320 х 596]</v>
      </c>
      <c r="U365" t="str">
        <f>CONCATENATE(U$2,": ",U$3,list1!U365,"]")</f>
        <v xml:space="preserve"> (Наружный блок) Упаковка (Ш x Г x В): S[881 х 363 х 645]</v>
      </c>
      <c r="V365" t="str">
        <f>CONCATENATE(V$2,": ",V$3,list1!V365,"]")</f>
        <v xml:space="preserve"> (Наружный блок) Масса (нетто / брутто): S[33.5/36.5]</v>
      </c>
      <c r="W365" t="str">
        <f>CONCATENATE(W$2,": ",W$3,list1!W365,"]")</f>
        <v xml:space="preserve"> (Наружный блок) Максимальный уровень шума: N[]</v>
      </c>
      <c r="X365" t="str">
        <f>CONCATENATE(X$2,": ",X$3,list1!X365,"]")</f>
        <v xml:space="preserve"> (Соединительные трубы) Жидкостная линия : N[6.35]</v>
      </c>
      <c r="Y365" t="str">
        <f>CONCATENATE(Y$2,": ",Y$3,list1!Y365,"]")</f>
        <v xml:space="preserve"> (Соединительные трубы) Газовая линия : N[9.52]</v>
      </c>
      <c r="Z365" t="str">
        <f>CONCATENATE(Z$2,": ",Z$3,list1!Z365,"]")</f>
        <v xml:space="preserve"> (Соединительные трубы) Максимальная длина трубопровода: N[15]</v>
      </c>
      <c r="AA365" t="str">
        <f>CONCATENATE(AA$2,": ",AA$3,list1!AA365,"]")</f>
        <v xml:space="preserve"> (Соединительные трубы) Максимальный перепад высот: S[10]</v>
      </c>
      <c r="AB365" t="str">
        <f>CONCATENATE(AB$2,": ",AB$3,list1!AB365,"]")</f>
        <v xml:space="preserve"> (Допустимая темп. наружного воздуха) Охлаждение: S[от -15 до +43]</v>
      </c>
      <c r="AC365" t="str">
        <f>CONCATENATE(AC$2,": ",AC$3,list1!AC365,"]")</f>
        <v xml:space="preserve"> (Допустимая темп. наружного воздуха) Обогрев: S[от -22 до +24]</v>
      </c>
      <c r="AD365" s="6" t="s">
        <v>5245</v>
      </c>
    </row>
    <row r="366" spans="1:30" x14ac:dyDescent="0.25">
      <c r="A366" t="str">
        <f>CONCATENATE(A$2,": ",A$3,list1!A366,"]")</f>
        <v>Производитель: E[TOSOT]</v>
      </c>
      <c r="B366" t="str">
        <f>CONCATENATE(B$2,": ",B$3,list1!B366,"]")</f>
        <v xml:space="preserve"> Тип: S[Сплит система]</v>
      </c>
      <c r="C366" t="str">
        <f>CONCATENATE(C$2,": ",C$3,list1!C366,"]")</f>
        <v xml:space="preserve"> (Сплит система) Холодопроизводительность: N[3.5]</v>
      </c>
      <c r="D366" t="str">
        <f>CONCATENATE(D$2,": ",D$3,list1!D366,"]")</f>
        <v xml:space="preserve"> (Сплит система) Площадь помещения: N[35]</v>
      </c>
      <c r="E366" t="str">
        <f>CONCATENATE(E$2,": ",E$3,list1!E366,"]")</f>
        <v xml:space="preserve"> (Сплит система) Инвентор: S[да]</v>
      </c>
      <c r="F366" t="str">
        <f>CONCATENATE(F$2,": ",F$3,list1!F366,"]")</f>
        <v xml:space="preserve"> (Сплит система) Теплопроизводительность: N[3.81]</v>
      </c>
      <c r="G366" t="str">
        <f>CONCATENATE(G$2,": ",G$3,list1!G366,"]")</f>
        <v xml:space="preserve"> (Потребляемая мощность) Охлаждение: N[0.875]</v>
      </c>
      <c r="H366" t="str">
        <f>CONCATENATE(H$2,": ",H$3,list1!H366,"]")</f>
        <v xml:space="preserve"> (Потребляемая мощность) Обогрев: S[0.952]</v>
      </c>
      <c r="I366" t="str">
        <f>CONCATENATE(I$2,": ",I$3,list1!I366,"]")</f>
        <v xml:space="preserve"> (Рабочий ток) Охлаждение: S[]</v>
      </c>
      <c r="J366" t="str">
        <f>CONCATENATE(J$2,": ",J$3,list1!J366,"]")</f>
        <v xml:space="preserve"> (Рабочий ток) Обогрев: S[]</v>
      </c>
      <c r="K366" t="str">
        <f>CONCATENATE(K$2,": ",K$3,list1!K366,"]")</f>
        <v xml:space="preserve"> (Рабочий ток) Напряжение / Частота источника питания: S[1 / 220 / 50]</v>
      </c>
      <c r="L366" t="str">
        <f>CONCATENATE(L$2,": ",L$3,list1!L366,"]")</f>
        <v xml:space="preserve"> (Рабочий ток) Хладагент: S[R32]</v>
      </c>
      <c r="M366" t="str">
        <f>CONCATENATE(M$2,": ",M$3,list1!M366,"]")</f>
        <v xml:space="preserve"> (Рабочий ток) Количество хладагента: N[]</v>
      </c>
      <c r="N366" t="str">
        <f>CONCATENATE(N$2,": ",N$3,list1!N366,"]")</f>
        <v xml:space="preserve"> (Рабочий ток) Объем рециркулируемого воздуха внутреннего блока: S[]</v>
      </c>
      <c r="O366" t="str">
        <f>CONCATENATE(O$2,": ",O$3,list1!O366,"]")</f>
        <v xml:space="preserve"> (Внутренний блок) Размеры (Ш x Г x В): S[945 х 293 х 225]</v>
      </c>
      <c r="P366" t="str">
        <f>CONCATENATE(P$2,": ",P$3,list1!P366,"]")</f>
        <v xml:space="preserve"> (Внутренний блок) Упаковка (Ш x Г x В): S[1035 х 325 х 384]</v>
      </c>
      <c r="Q366" t="str">
        <f>CONCATENATE(Q$2,": ",Q$3,list1!Q366,"]")</f>
        <v xml:space="preserve"> (Внутренний блок) Масса (нетто / брутто): S[14 / 17]</v>
      </c>
      <c r="R366" t="str">
        <f>CONCATENATE(R$2,": ",R$3,list1!R366,"]")</f>
        <v xml:space="preserve"> (Внутренний блок) Уровень шума мин. / макс.: S[21/22/28/33/36/39/43]</v>
      </c>
      <c r="S366" t="str">
        <f>CONCATENATE(S$2,": ",S$3,list1!S366,"]")</f>
        <v xml:space="preserve"> (Наружный блок) Марка компрессора: S[Gree]</v>
      </c>
      <c r="T366" t="str">
        <f>CONCATENATE(T$2,": ",T$3,list1!T366,"]")</f>
        <v xml:space="preserve"> (Наружный блок) Размеры (Ш x Г x В): S[848 х 320 х 596]</v>
      </c>
      <c r="U366" t="str">
        <f>CONCATENATE(U$2,": ",U$3,list1!U366,"]")</f>
        <v xml:space="preserve"> (Наружный блок) Упаковка (Ш x Г x В): S[881 х 363 х 645]</v>
      </c>
      <c r="V366" t="str">
        <f>CONCATENATE(V$2,": ",V$3,list1!V366,"]")</f>
        <v xml:space="preserve"> (Наружный блок) Масса (нетто / брутто): S[33.5/36.5]</v>
      </c>
      <c r="W366" t="str">
        <f>CONCATENATE(W$2,": ",W$3,list1!W366,"]")</f>
        <v xml:space="preserve"> (Наружный блок) Максимальный уровень шума: N[]</v>
      </c>
      <c r="X366" t="str">
        <f>CONCATENATE(X$2,": ",X$3,list1!X366,"]")</f>
        <v xml:space="preserve"> (Соединительные трубы) Жидкостная линия : N[6.35]</v>
      </c>
      <c r="Y366" t="str">
        <f>CONCATENATE(Y$2,": ",Y$3,list1!Y366,"]")</f>
        <v xml:space="preserve"> (Соединительные трубы) Газовая линия : N[9.52]</v>
      </c>
      <c r="Z366" t="str">
        <f>CONCATENATE(Z$2,": ",Z$3,list1!Z366,"]")</f>
        <v xml:space="preserve"> (Соединительные трубы) Максимальная длина трубопровода: N[15]</v>
      </c>
      <c r="AA366" t="str">
        <f>CONCATENATE(AA$2,": ",AA$3,list1!AA366,"]")</f>
        <v xml:space="preserve"> (Соединительные трубы) Максимальный перепад высот: S[10]</v>
      </c>
      <c r="AB366" t="str">
        <f>CONCATENATE(AB$2,": ",AB$3,list1!AB366,"]")</f>
        <v xml:space="preserve"> (Допустимая темп. наружного воздуха) Охлаждение: S[от -15 до +43]</v>
      </c>
      <c r="AC366" t="str">
        <f>CONCATENATE(AC$2,": ",AC$3,list1!AC366,"]")</f>
        <v xml:space="preserve"> (Допустимая темп. наружного воздуха) Обогрев: S[от -22 до +24]</v>
      </c>
      <c r="AD366" s="6" t="s">
        <v>5245</v>
      </c>
    </row>
    <row r="367" spans="1:30" x14ac:dyDescent="0.25">
      <c r="A367" t="str">
        <f>CONCATENATE(A$2,": ",A$3,list1!A367,"]")</f>
        <v>Производитель: E[TOSOT]</v>
      </c>
      <c r="B367" t="str">
        <f>CONCATENATE(B$2,": ",B$3,list1!B367,"]")</f>
        <v xml:space="preserve"> Тип: S[Сплит система]</v>
      </c>
      <c r="C367" t="str">
        <f>CONCATENATE(C$2,": ",C$3,list1!C367,"]")</f>
        <v xml:space="preserve"> (Сплит система) Холодопроизводительность: N[2.35]</v>
      </c>
      <c r="D367" t="str">
        <f>CONCATENATE(D$2,": ",D$3,list1!D367,"]")</f>
        <v xml:space="preserve"> (Сплит система) Площадь помещения: N[23]</v>
      </c>
      <c r="E367" t="str">
        <f>CONCATENATE(E$2,": ",E$3,list1!E367,"]")</f>
        <v xml:space="preserve"> (Сплит система) Инвентор: S[да]</v>
      </c>
      <c r="F367" t="str">
        <f>CONCATENATE(F$2,": ",F$3,list1!F367,"]")</f>
        <v xml:space="preserve"> (Сплит система) Теплопроизводительность: N[2.5]</v>
      </c>
      <c r="G367" t="str">
        <f>CONCATENATE(G$2,": ",G$3,list1!G367,"]")</f>
        <v xml:space="preserve"> (Потребляемая мощность) Охлаждение: N[0.681]</v>
      </c>
      <c r="H367" t="str">
        <f>CONCATENATE(H$2,": ",H$3,list1!H367,"]")</f>
        <v xml:space="preserve"> (Потребляемая мощность) Обогрев: S[0.649]</v>
      </c>
      <c r="I367" t="str">
        <f>CONCATENATE(I$2,": ",I$3,list1!I367,"]")</f>
        <v xml:space="preserve"> (Рабочий ток) Охлаждение: S[]</v>
      </c>
      <c r="J367" t="str">
        <f>CONCATENATE(J$2,": ",J$3,list1!J367,"]")</f>
        <v xml:space="preserve"> (Рабочий ток) Обогрев: S[]</v>
      </c>
      <c r="K367" t="str">
        <f>CONCATENATE(K$2,": ",K$3,list1!K367,"]")</f>
        <v xml:space="preserve"> (Рабочий ток) Напряжение / Частота источника питания: S[1 / 220 / 50]</v>
      </c>
      <c r="L367" t="str">
        <f>CONCATENATE(L$2,": ",L$3,list1!L367,"]")</f>
        <v xml:space="preserve"> (Рабочий ток) Хладагент: S[R32]</v>
      </c>
      <c r="M367" t="str">
        <f>CONCATENATE(M$2,": ",M$3,list1!M367,"]")</f>
        <v xml:space="preserve"> (Рабочий ток) Количество хладагента: N[]</v>
      </c>
      <c r="N367" t="str">
        <f>CONCATENATE(N$2,": ",N$3,list1!N367,"]")</f>
        <v xml:space="preserve"> (Рабочий ток) Объем рециркулируемого воздуха внутреннего блока: S[]</v>
      </c>
      <c r="O367" t="str">
        <f>CONCATENATE(O$2,": ",O$3,list1!O367,"]")</f>
        <v xml:space="preserve"> (Внутренний блок) Размеры (Ш x Г x В): S[744 х 256 х 185]</v>
      </c>
      <c r="P367" t="str">
        <f>CONCATENATE(P$2,": ",P$3,list1!P367,"]")</f>
        <v xml:space="preserve"> (Внутренний блок) Упаковка (Ш x Г x В): S[788 х 249 х 315]</v>
      </c>
      <c r="Q367" t="str">
        <f>CONCATENATE(Q$2,": ",Q$3,list1!Q367,"]")</f>
        <v xml:space="preserve"> (Внутренний блок) Масса (нетто / брутто): S[7.5 / 9]</v>
      </c>
      <c r="R367" t="str">
        <f>CONCATENATE(R$2,": ",R$3,list1!R367,"]")</f>
        <v xml:space="preserve"> (Внутренний блок) Уровень шума мин. / макс.: S[24/25/29/33/35/38/40]</v>
      </c>
      <c r="S367" t="str">
        <f>CONCATENATE(S$2,": ",S$3,list1!S367,"]")</f>
        <v xml:space="preserve"> (Наружный блок) Марка компрессора: S[Gree]</v>
      </c>
      <c r="T367" t="str">
        <f>CONCATENATE(T$2,": ",T$3,list1!T367,"]")</f>
        <v xml:space="preserve"> (Наружный блок) Размеры (Ш x Г x В): S[710 х 293 х 450]</v>
      </c>
      <c r="U367" t="str">
        <f>CONCATENATE(U$2,": ",U$3,list1!U367,"]")</f>
        <v xml:space="preserve"> (Наружный блок) Упаковка (Ш x Г x В): S[761 х 327 х 500]</v>
      </c>
      <c r="V367" t="str">
        <f>CONCATENATE(V$2,": ",V$3,list1!V367,"]")</f>
        <v xml:space="preserve"> (Наружный блок) Масса (нетто / брутто): S[20.8/22.8]</v>
      </c>
      <c r="W367" t="str">
        <f>CONCATENATE(W$2,": ",W$3,list1!W367,"]")</f>
        <v xml:space="preserve"> (Наружный блок) Максимальный уровень шума: N[]</v>
      </c>
      <c r="X367" t="str">
        <f>CONCATENATE(X$2,": ",X$3,list1!X367,"]")</f>
        <v xml:space="preserve"> (Соединительные трубы) Жидкостная линия : N[6.35]</v>
      </c>
      <c r="Y367" t="str">
        <f>CONCATENATE(Y$2,": ",Y$3,list1!Y367,"]")</f>
        <v xml:space="preserve"> (Соединительные трубы) Газовая линия : N[9.52]</v>
      </c>
      <c r="Z367" t="str">
        <f>CONCATENATE(Z$2,": ",Z$3,list1!Z367,"]")</f>
        <v xml:space="preserve"> (Соединительные трубы) Максимальная длина трубопровода: N[15]</v>
      </c>
      <c r="AA367" t="str">
        <f>CONCATENATE(AA$2,": ",AA$3,list1!AA367,"]")</f>
        <v xml:space="preserve"> (Соединительные трубы) Максимальный перепад высот: S[10]</v>
      </c>
      <c r="AB367" t="str">
        <f>CONCATENATE(AB$2,": ",AB$3,list1!AB367,"]")</f>
        <v xml:space="preserve"> (Допустимая темп. наружного воздуха) Охлаждение: S[от 18 до +43]</v>
      </c>
      <c r="AC367" t="str">
        <f>CONCATENATE(AC$2,": ",AC$3,list1!AC367,"]")</f>
        <v xml:space="preserve"> (Допустимая темп. наружного воздуха) Обогрев: S[от -15 до +24]</v>
      </c>
      <c r="AD367" s="6" t="s">
        <v>5245</v>
      </c>
    </row>
    <row r="368" spans="1:30" x14ac:dyDescent="0.25">
      <c r="A368" t="str">
        <f>CONCATENATE(A$2,": ",A$3,list1!A368,"]")</f>
        <v>Производитель: E[TOSOT]</v>
      </c>
      <c r="B368" t="str">
        <f>CONCATENATE(B$2,": ",B$3,list1!B368,"]")</f>
        <v xml:space="preserve"> Тип: S[Сплит система]</v>
      </c>
      <c r="C368" t="str">
        <f>CONCATENATE(C$2,": ",C$3,list1!C368,"]")</f>
        <v xml:space="preserve"> (Сплит система) Холодопроизводительность: N[2.35]</v>
      </c>
      <c r="D368" t="str">
        <f>CONCATENATE(D$2,": ",D$3,list1!D368,"]")</f>
        <v xml:space="preserve"> (Сплит система) Площадь помещения: N[23]</v>
      </c>
      <c r="E368" t="str">
        <f>CONCATENATE(E$2,": ",E$3,list1!E368,"]")</f>
        <v xml:space="preserve"> (Сплит система) Инвентор: S[да]</v>
      </c>
      <c r="F368" t="str">
        <f>CONCATENATE(F$2,": ",F$3,list1!F368,"]")</f>
        <v xml:space="preserve"> (Сплит система) Теплопроизводительность: N[2.5]</v>
      </c>
      <c r="G368" t="str">
        <f>CONCATENATE(G$2,": ",G$3,list1!G368,"]")</f>
        <v xml:space="preserve"> (Потребляемая мощность) Охлаждение: N[0.681]</v>
      </c>
      <c r="H368" t="str">
        <f>CONCATENATE(H$2,": ",H$3,list1!H368,"]")</f>
        <v xml:space="preserve"> (Потребляемая мощность) Обогрев: S[0.649]</v>
      </c>
      <c r="I368" t="str">
        <f>CONCATENATE(I$2,": ",I$3,list1!I368,"]")</f>
        <v xml:space="preserve"> (Рабочий ток) Охлаждение: S[]</v>
      </c>
      <c r="J368" t="str">
        <f>CONCATENATE(J$2,": ",J$3,list1!J368,"]")</f>
        <v xml:space="preserve"> (Рабочий ток) Обогрев: S[]</v>
      </c>
      <c r="K368" t="str">
        <f>CONCATENATE(K$2,": ",K$3,list1!K368,"]")</f>
        <v xml:space="preserve"> (Рабочий ток) Напряжение / Частота источника питания: S[1 / 220 / 50]</v>
      </c>
      <c r="L368" t="str">
        <f>CONCATENATE(L$2,": ",L$3,list1!L368,"]")</f>
        <v xml:space="preserve"> (Рабочий ток) Хладагент: S[R32]</v>
      </c>
      <c r="M368" t="str">
        <f>CONCATENATE(M$2,": ",M$3,list1!M368,"]")</f>
        <v xml:space="preserve"> (Рабочий ток) Количество хладагента: N[]</v>
      </c>
      <c r="N368" t="str">
        <f>CONCATENATE(N$2,": ",N$3,list1!N368,"]")</f>
        <v xml:space="preserve"> (Рабочий ток) Объем рециркулируемого воздуха внутреннего блока: S[]</v>
      </c>
      <c r="O368" t="str">
        <f>CONCATENATE(O$2,": ",O$3,list1!O368,"]")</f>
        <v xml:space="preserve"> (Внутренний блок) Размеры (Ш x Г x В): S[744 х 256 х 185]</v>
      </c>
      <c r="P368" t="str">
        <f>CONCATENATE(P$2,": ",P$3,list1!P368,"]")</f>
        <v xml:space="preserve"> (Внутренний блок) Упаковка (Ш x Г x В): S[788 х 249 х 314]</v>
      </c>
      <c r="Q368" t="str">
        <f>CONCATENATE(Q$2,": ",Q$3,list1!Q368,"]")</f>
        <v xml:space="preserve"> (Внутренний блок) Масса (нетто / брутто): S[7.7 / 9.2]</v>
      </c>
      <c r="R368" t="str">
        <f>CONCATENATE(R$2,": ",R$3,list1!R368,"]")</f>
        <v xml:space="preserve"> (Внутренний блок) Уровень шума мин. / макс.: S[25/33/38/40]</v>
      </c>
      <c r="S368" t="str">
        <f>CONCATENATE(S$2,": ",S$3,list1!S368,"]")</f>
        <v xml:space="preserve"> (Наружный блок) Марка компрессора: S[Gree]</v>
      </c>
      <c r="T368" t="str">
        <f>CONCATENATE(T$2,": ",T$3,list1!T368,"]")</f>
        <v xml:space="preserve"> (Наружный блок) Размеры (Ш x Г x В): S[710 х 293 х 450]</v>
      </c>
      <c r="U368" t="str">
        <f>CONCATENATE(U$2,": ",U$3,list1!U368,"]")</f>
        <v xml:space="preserve"> (Наружный блок) Упаковка (Ш x Г x В): S[761 х 327 х 500]</v>
      </c>
      <c r="V368" t="str">
        <f>CONCATENATE(V$2,": ",V$3,list1!V368,"]")</f>
        <v xml:space="preserve"> (Наружный блок) Масса (нетто / брутто): S[20.8/22.8]</v>
      </c>
      <c r="W368" t="str">
        <f>CONCATENATE(W$2,": ",W$3,list1!W368,"]")</f>
        <v xml:space="preserve"> (Наружный блок) Максимальный уровень шума: N[]</v>
      </c>
      <c r="X368" t="str">
        <f>CONCATENATE(X$2,": ",X$3,list1!X368,"]")</f>
        <v xml:space="preserve"> (Соединительные трубы) Жидкостная линия : N[6]</v>
      </c>
      <c r="Y368" t="str">
        <f>CONCATENATE(Y$2,": ",Y$3,list1!Y368,"]")</f>
        <v xml:space="preserve"> (Соединительные трубы) Газовая линия : N[9.52]</v>
      </c>
      <c r="Z368" t="str">
        <f>CONCATENATE(Z$2,": ",Z$3,list1!Z368,"]")</f>
        <v xml:space="preserve"> (Соединительные трубы) Максимальная длина трубопровода: N[15]</v>
      </c>
      <c r="AA368" t="str">
        <f>CONCATENATE(AA$2,": ",AA$3,list1!AA368,"]")</f>
        <v xml:space="preserve"> (Соединительные трубы) Максимальный перепад высот: S[10]</v>
      </c>
      <c r="AB368" t="str">
        <f>CONCATENATE(AB$2,": ",AB$3,list1!AB368,"]")</f>
        <v xml:space="preserve"> (Допустимая темп. наружного воздуха) Охлаждение: S[от -15 до +43]</v>
      </c>
      <c r="AC368" t="str">
        <f>CONCATENATE(AC$2,": ",AC$3,list1!AC368,"]")</f>
        <v xml:space="preserve"> (Допустимая темп. наружного воздуха) Обогрев: S[от -15 до +24]</v>
      </c>
      <c r="AD368" s="6" t="s">
        <v>5245</v>
      </c>
    </row>
    <row r="369" spans="1:30" x14ac:dyDescent="0.25">
      <c r="A369" t="str">
        <f>CONCATENATE(A$2,": ",A$3,list1!A369,"]")</f>
        <v>Производитель: E[TOSOT]</v>
      </c>
      <c r="B369" t="str">
        <f>CONCATENATE(B$2,": ",B$3,list1!B369,"]")</f>
        <v xml:space="preserve"> Тип: S[Сплит система]</v>
      </c>
      <c r="C369" t="str">
        <f>CONCATENATE(C$2,": ",C$3,list1!C369,"]")</f>
        <v xml:space="preserve"> (Сплит система) Холодопроизводительность: N[2.5]</v>
      </c>
      <c r="D369" t="str">
        <f>CONCATENATE(D$2,": ",D$3,list1!D369,"]")</f>
        <v xml:space="preserve"> (Сплит система) Площадь помещения: N[25]</v>
      </c>
      <c r="E369" t="str">
        <f>CONCATENATE(E$2,": ",E$3,list1!E369,"]")</f>
        <v xml:space="preserve"> (Сплит система) Инвентор: S[да]</v>
      </c>
      <c r="F369" t="str">
        <f>CONCATENATE(F$2,": ",F$3,list1!F369,"]")</f>
        <v xml:space="preserve"> (Сплит система) Теплопроизводительность: N[2.8]</v>
      </c>
      <c r="G369" t="str">
        <f>CONCATENATE(G$2,": ",G$3,list1!G369,"]")</f>
        <v xml:space="preserve"> (Потребляемая мощность) Охлаждение: N[0.72]</v>
      </c>
      <c r="H369" t="str">
        <f>CONCATENATE(H$2,": ",H$3,list1!H369,"]")</f>
        <v xml:space="preserve"> (Потребляемая мощность) Обогрев: S[0.75]</v>
      </c>
      <c r="I369" t="str">
        <f>CONCATENATE(I$2,": ",I$3,list1!I369,"]")</f>
        <v xml:space="preserve"> (Рабочий ток) Охлаждение: S[]</v>
      </c>
      <c r="J369" t="str">
        <f>CONCATENATE(J$2,": ",J$3,list1!J369,"]")</f>
        <v xml:space="preserve"> (Рабочий ток) Обогрев: S[]</v>
      </c>
      <c r="K369" t="str">
        <f>CONCATENATE(K$2,": ",K$3,list1!K369,"]")</f>
        <v xml:space="preserve"> (Рабочий ток) Напряжение / Частота источника питания: S[1 / 220 / 50]</v>
      </c>
      <c r="L369" t="str">
        <f>CONCATENATE(L$2,": ",L$3,list1!L369,"]")</f>
        <v xml:space="preserve"> (Рабочий ток) Хладагент: S[R32]</v>
      </c>
      <c r="M369" t="str">
        <f>CONCATENATE(M$2,": ",M$3,list1!M369,"]")</f>
        <v xml:space="preserve"> (Рабочий ток) Количество хладагента: N[]</v>
      </c>
      <c r="N369" t="str">
        <f>CONCATENATE(N$2,": ",N$3,list1!N369,"]")</f>
        <v xml:space="preserve"> (Рабочий ток) Объем рециркулируемого воздуха внутреннего блока: S[]</v>
      </c>
      <c r="O369" t="str">
        <f>CONCATENATE(O$2,": ",O$3,list1!O369,"]")</f>
        <v xml:space="preserve"> (Внутренний блок) Размеры (Ш x Г x В): S[744 х 256 х 185]</v>
      </c>
      <c r="P369" t="str">
        <f>CONCATENATE(P$2,": ",P$3,list1!P369,"]")</f>
        <v xml:space="preserve"> (Внутренний блок) Упаковка (Ш x Г x В): S[788 х 249 х 315]</v>
      </c>
      <c r="Q369" t="str">
        <f>CONCATENATE(Q$2,": ",Q$3,list1!Q369,"]")</f>
        <v xml:space="preserve"> (Внутренний блок) Масса (нетто / брутто): S[7.5 / 9]</v>
      </c>
      <c r="R369" t="str">
        <f>CONCATENATE(R$2,": ",R$3,list1!R369,"]")</f>
        <v xml:space="preserve"> (Внутренний блок) Уровень шума мин. / макс.: S[25/32/36/38]</v>
      </c>
      <c r="S369" t="str">
        <f>CONCATENATE(S$2,": ",S$3,list1!S369,"]")</f>
        <v xml:space="preserve"> (Наружный блок) Марка компрессора: S[Gree]</v>
      </c>
      <c r="T369" t="str">
        <f>CONCATENATE(T$2,": ",T$3,list1!T369,"]")</f>
        <v xml:space="preserve"> (Наружный блок) Размеры (Ш x Г x В): S[732 х 330 х 550]</v>
      </c>
      <c r="U369" t="str">
        <f>CONCATENATE(U$2,": ",U$3,list1!U369,"]")</f>
        <v xml:space="preserve"> (Наружный блок) Упаковка (Ш x Г x В): S[789 х 390 х 600]</v>
      </c>
      <c r="V369" t="str">
        <f>CONCATENATE(V$2,": ",V$3,list1!V369,"]")</f>
        <v xml:space="preserve"> (Наружный блок) Масса (нетто / брутто): S[25/27.5]</v>
      </c>
      <c r="W369" t="str">
        <f>CONCATENATE(W$2,": ",W$3,list1!W369,"]")</f>
        <v xml:space="preserve"> (Наружный блок) Максимальный уровень шума: N[]</v>
      </c>
      <c r="X369" t="str">
        <f>CONCATENATE(X$2,": ",X$3,list1!X369,"]")</f>
        <v xml:space="preserve"> (Соединительные трубы) Жидкостная линия : N[6.35]</v>
      </c>
      <c r="Y369" t="str">
        <f>CONCATENATE(Y$2,": ",Y$3,list1!Y369,"]")</f>
        <v xml:space="preserve"> (Соединительные трубы) Газовая линия : N[9.52]</v>
      </c>
      <c r="Z369" t="str">
        <f>CONCATENATE(Z$2,": ",Z$3,list1!Z369,"]")</f>
        <v xml:space="preserve"> (Соединительные трубы) Максимальная длина трубопровода: N[15]</v>
      </c>
      <c r="AA369" t="str">
        <f>CONCATENATE(AA$2,": ",AA$3,list1!AA369,"]")</f>
        <v xml:space="preserve"> (Соединительные трубы) Максимальный перепад высот: S[10]</v>
      </c>
      <c r="AB369" t="str">
        <f>CONCATENATE(AB$2,": ",AB$3,list1!AB369,"]")</f>
        <v xml:space="preserve"> (Допустимая темп. наружного воздуха) Охлаждение: S[от -15 до +43]</v>
      </c>
      <c r="AC369" t="str">
        <f>CONCATENATE(AC$2,": ",AC$3,list1!AC369,"]")</f>
        <v xml:space="preserve"> (Допустимая темп. наружного воздуха) Обогрев: S[от -15 до +24]</v>
      </c>
      <c r="AD369" s="6" t="s">
        <v>5245</v>
      </c>
    </row>
    <row r="370" spans="1:30" x14ac:dyDescent="0.25">
      <c r="A370" t="str">
        <f>CONCATENATE(A$2,": ",A$3,list1!A370,"]")</f>
        <v>Производитель: E[TOSOT]</v>
      </c>
      <c r="B370" t="str">
        <f>CONCATENATE(B$2,": ",B$3,list1!B370,"]")</f>
        <v xml:space="preserve"> Тип: S[Сплит система]</v>
      </c>
      <c r="C370" t="str">
        <f>CONCATENATE(C$2,": ",C$3,list1!C370,"]")</f>
        <v xml:space="preserve"> (Сплит система) Холодопроизводительность: N[2.65]</v>
      </c>
      <c r="D370" t="str">
        <f>CONCATENATE(D$2,": ",D$3,list1!D370,"]")</f>
        <v xml:space="preserve"> (Сплит система) Площадь помещения: N[26]</v>
      </c>
      <c r="E370" t="str">
        <f>CONCATENATE(E$2,": ",E$3,list1!E370,"]")</f>
        <v xml:space="preserve"> (Сплит система) Инвентор: S[да]</v>
      </c>
      <c r="F370" t="str">
        <f>CONCATENATE(F$2,": ",F$3,list1!F370,"]")</f>
        <v xml:space="preserve"> (Сплит система) Теплопроизводительность: N[2.85]</v>
      </c>
      <c r="G370" t="str">
        <f>CONCATENATE(G$2,": ",G$3,list1!G370,"]")</f>
        <v xml:space="preserve"> (Потребляемая мощность) Охлаждение: N[0.78]</v>
      </c>
      <c r="H370" t="str">
        <f>CONCATENATE(H$2,": ",H$3,list1!H370,"]")</f>
        <v xml:space="preserve"> (Потребляемая мощность) Обогрев: S[0.781]</v>
      </c>
      <c r="I370" t="str">
        <f>CONCATENATE(I$2,": ",I$3,list1!I370,"]")</f>
        <v xml:space="preserve"> (Рабочий ток) Охлаждение: S[]</v>
      </c>
      <c r="J370" t="str">
        <f>CONCATENATE(J$2,": ",J$3,list1!J370,"]")</f>
        <v xml:space="preserve"> (Рабочий ток) Обогрев: S[]</v>
      </c>
      <c r="K370" t="str">
        <f>CONCATENATE(K$2,": ",K$3,list1!K370,"]")</f>
        <v xml:space="preserve"> (Рабочий ток) Напряжение / Частота источника питания: S[1 / 220 / 50]</v>
      </c>
      <c r="L370" t="str">
        <f>CONCATENATE(L$2,": ",L$3,list1!L370,"]")</f>
        <v xml:space="preserve"> (Рабочий ток) Хладагент: S[R32]</v>
      </c>
      <c r="M370" t="str">
        <f>CONCATENATE(M$2,": ",M$3,list1!M370,"]")</f>
        <v xml:space="preserve"> (Рабочий ток) Количество хладагента: N[]</v>
      </c>
      <c r="N370" t="str">
        <f>CONCATENATE(N$2,": ",N$3,list1!N370,"]")</f>
        <v xml:space="preserve"> (Рабочий ток) Объем рециркулируемого воздуха внутреннего блока: S[]</v>
      </c>
      <c r="O370" t="str">
        <f>CONCATENATE(O$2,": ",O$3,list1!O370,"]")</f>
        <v xml:space="preserve"> (Внутренний блок) Размеры (Ш x Г x В): S[744 х 256 х 185]</v>
      </c>
      <c r="P370" t="str">
        <f>CONCATENATE(P$2,": ",P$3,list1!P370,"]")</f>
        <v xml:space="preserve"> (Внутренний блок) Упаковка (Ш x Г x В): S[788 х 249 х 314]</v>
      </c>
      <c r="Q370" t="str">
        <f>CONCATENATE(Q$2,": ",Q$3,list1!Q370,"]")</f>
        <v xml:space="preserve"> (Внутренний блок) Масса (нетто / брутто): S[7.5 / 9]</v>
      </c>
      <c r="R370" t="str">
        <f>CONCATENATE(R$2,": ",R$3,list1!R370,"]")</f>
        <v xml:space="preserve"> (Внутренний блок) Уровень шума мин. / макс.: S[24/25/29/33/35/38/40]</v>
      </c>
      <c r="S370" t="str">
        <f>CONCATENATE(S$2,": ",S$3,list1!S370,"]")</f>
        <v xml:space="preserve"> (Наружный блок) Марка компрессора: S[Gree]</v>
      </c>
      <c r="T370" t="str">
        <f>CONCATENATE(T$2,": ",T$3,list1!T370,"]")</f>
        <v xml:space="preserve"> (Наружный блок) Размеры (Ш x Г x В): S[710 х 293 х 450]</v>
      </c>
      <c r="U370" t="str">
        <f>CONCATENATE(U$2,": ",U$3,list1!U370,"]")</f>
        <v xml:space="preserve"> (Наружный блок) Упаковка (Ш x Г x В): S[761 х 327 х 500]</v>
      </c>
      <c r="V370" t="str">
        <f>CONCATENATE(V$2,": ",V$3,list1!V370,"]")</f>
        <v xml:space="preserve"> (Наружный блок) Масса (нетто / брутто): S[21/23]</v>
      </c>
      <c r="W370" t="str">
        <f>CONCATENATE(W$2,": ",W$3,list1!W370,"]")</f>
        <v xml:space="preserve"> (Наружный блок) Максимальный уровень шума: N[]</v>
      </c>
      <c r="X370" t="str">
        <f>CONCATENATE(X$2,": ",X$3,list1!X370,"]")</f>
        <v xml:space="preserve"> (Соединительные трубы) Жидкостная линия : N[6]</v>
      </c>
      <c r="Y370" t="str">
        <f>CONCATENATE(Y$2,": ",Y$3,list1!Y370,"]")</f>
        <v xml:space="preserve"> (Соединительные трубы) Газовая линия : N[9.52]</v>
      </c>
      <c r="Z370" t="str">
        <f>CONCATENATE(Z$2,": ",Z$3,list1!Z370,"]")</f>
        <v xml:space="preserve"> (Соединительные трубы) Максимальная длина трубопровода: N[15]</v>
      </c>
      <c r="AA370" t="str">
        <f>CONCATENATE(AA$2,": ",AA$3,list1!AA370,"]")</f>
        <v xml:space="preserve"> (Соединительные трубы) Максимальный перепад высот: S[10]</v>
      </c>
      <c r="AB370" t="str">
        <f>CONCATENATE(AB$2,": ",AB$3,list1!AB370,"]")</f>
        <v xml:space="preserve"> (Допустимая темп. наружного воздуха) Охлаждение: S[от -15 до +43]</v>
      </c>
      <c r="AC370" t="str">
        <f>CONCATENATE(AC$2,": ",AC$3,list1!AC370,"]")</f>
        <v xml:space="preserve"> (Допустимая темп. наружного воздуха) Обогрев: S[от -15 до +24]</v>
      </c>
      <c r="AD370" s="6" t="s">
        <v>5245</v>
      </c>
    </row>
    <row r="371" spans="1:30" x14ac:dyDescent="0.25">
      <c r="A371" t="str">
        <f>CONCATENATE(A$2,": ",A$3,list1!A371,"]")</f>
        <v>Производитель: E[TOSOT]</v>
      </c>
      <c r="B371" t="str">
        <f>CONCATENATE(B$2,": ",B$3,list1!B371,"]")</f>
        <v xml:space="preserve"> Тип: S[Сплит система]</v>
      </c>
      <c r="C371" t="str">
        <f>CONCATENATE(C$2,": ",C$3,list1!C371,"]")</f>
        <v xml:space="preserve"> (Сплит система) Холодопроизводительность: N[3.2]</v>
      </c>
      <c r="D371" t="str">
        <f>CONCATENATE(D$2,": ",D$3,list1!D371,"]")</f>
        <v xml:space="preserve"> (Сплит система) Площадь помещения: N[32]</v>
      </c>
      <c r="E371" t="str">
        <f>CONCATENATE(E$2,": ",E$3,list1!E371,"]")</f>
        <v xml:space="preserve"> (Сплит система) Инвентор: S[да]</v>
      </c>
      <c r="F371" t="str">
        <f>CONCATENATE(F$2,": ",F$3,list1!F371,"]")</f>
        <v xml:space="preserve"> (Сплит система) Теплопроизводительность: N[3.4]</v>
      </c>
      <c r="G371" t="str">
        <f>CONCATENATE(G$2,": ",G$3,list1!G371,"]")</f>
        <v xml:space="preserve"> (Потребляемая мощность) Охлаждение: N[0.991]</v>
      </c>
      <c r="H371" t="str">
        <f>CONCATENATE(H$2,": ",H$3,list1!H371,"]")</f>
        <v xml:space="preserve"> (Потребляемая мощность) Обогрев: S[0.916]</v>
      </c>
      <c r="I371" t="str">
        <f>CONCATENATE(I$2,": ",I$3,list1!I371,"]")</f>
        <v xml:space="preserve"> (Рабочий ток) Охлаждение: S[]</v>
      </c>
      <c r="J371" t="str">
        <f>CONCATENATE(J$2,": ",J$3,list1!J371,"]")</f>
        <v xml:space="preserve"> (Рабочий ток) Обогрев: S[]</v>
      </c>
      <c r="K371" t="str">
        <f>CONCATENATE(K$2,": ",K$3,list1!K371,"]")</f>
        <v xml:space="preserve"> (Рабочий ток) Напряжение / Частота источника питания: S[1 / 220 / 50]</v>
      </c>
      <c r="L371" t="str">
        <f>CONCATENATE(L$2,": ",L$3,list1!L371,"]")</f>
        <v xml:space="preserve"> (Рабочий ток) Хладагент: S[R32]</v>
      </c>
      <c r="M371" t="str">
        <f>CONCATENATE(M$2,": ",M$3,list1!M371,"]")</f>
        <v xml:space="preserve"> (Рабочий ток) Количество хладагента: N[]</v>
      </c>
      <c r="N371" t="str">
        <f>CONCATENATE(N$2,": ",N$3,list1!N371,"]")</f>
        <v xml:space="preserve"> (Рабочий ток) Объем рециркулируемого воздуха внутреннего блока: S[]</v>
      </c>
      <c r="O371" t="str">
        <f>CONCATENATE(O$2,": ",O$3,list1!O371,"]")</f>
        <v xml:space="preserve"> (Внутренний блок) Размеры (Ш x Г x В): S[819 х 256 х 185]</v>
      </c>
      <c r="P371" t="str">
        <f>CONCATENATE(P$2,": ",P$3,list1!P371,"]")</f>
        <v xml:space="preserve"> (Внутренний блок) Упаковка (Ш x Г x В): S[863 х 249 х 314]</v>
      </c>
      <c r="Q371" t="str">
        <f>CONCATENATE(Q$2,": ",Q$3,list1!Q371,"]")</f>
        <v xml:space="preserve"> (Внутренний блок) Масса (нетто / брутто): S[8 / 9.5]</v>
      </c>
      <c r="R371" t="str">
        <f>CONCATENATE(R$2,": ",R$3,list1!R371,"]")</f>
        <v xml:space="preserve"> (Внутренний блок) Уровень шума мин. / макс.: S[26/33/37/41]</v>
      </c>
      <c r="S371" t="str">
        <f>CONCATENATE(S$2,": ",S$3,list1!S371,"]")</f>
        <v xml:space="preserve"> (Наружный блок) Марка компрессора: S[Gree]</v>
      </c>
      <c r="T371" t="str">
        <f>CONCATENATE(T$2,": ",T$3,list1!T371,"]")</f>
        <v xml:space="preserve"> (Наружный блок) Размеры (Ш x Г x В): S[732 х 330 х 550]</v>
      </c>
      <c r="U371" t="str">
        <f>CONCATENATE(U$2,": ",U$3,list1!U371,"]")</f>
        <v xml:space="preserve"> (Наружный блок) Упаковка (Ш x Г x В): S[789 х 390 х 600]</v>
      </c>
      <c r="V371" t="str">
        <f>CONCATENATE(V$2,": ",V$3,list1!V371,"]")</f>
        <v xml:space="preserve"> (Наружный блок) Масса (нетто / брутто): S[25/27.5]</v>
      </c>
      <c r="W371" t="str">
        <f>CONCATENATE(W$2,": ",W$3,list1!W371,"]")</f>
        <v xml:space="preserve"> (Наружный блок) Максимальный уровень шума: N[]</v>
      </c>
      <c r="X371" t="str">
        <f>CONCATENATE(X$2,": ",X$3,list1!X371,"]")</f>
        <v xml:space="preserve"> (Соединительные трубы) Жидкостная линия : N[6.35]</v>
      </c>
      <c r="Y371" t="str">
        <f>CONCATENATE(Y$2,": ",Y$3,list1!Y371,"]")</f>
        <v xml:space="preserve"> (Соединительные трубы) Газовая линия : N[9.52]</v>
      </c>
      <c r="Z371" t="str">
        <f>CONCATENATE(Z$2,": ",Z$3,list1!Z371,"]")</f>
        <v xml:space="preserve"> (Соединительные трубы) Максимальная длина трубопровода: N[15]</v>
      </c>
      <c r="AA371" t="str">
        <f>CONCATENATE(AA$2,": ",AA$3,list1!AA371,"]")</f>
        <v xml:space="preserve"> (Соединительные трубы) Максимальный перепад высот: S[10]</v>
      </c>
      <c r="AB371" t="str">
        <f>CONCATENATE(AB$2,": ",AB$3,list1!AB371,"]")</f>
        <v xml:space="preserve"> (Допустимая темп. наружного воздуха) Охлаждение: S[от -15 до +43]</v>
      </c>
      <c r="AC371" t="str">
        <f>CONCATENATE(AC$2,": ",AC$3,list1!AC371,"]")</f>
        <v xml:space="preserve"> (Допустимая темп. наружного воздуха) Обогрев: S[от -15 до +24]</v>
      </c>
      <c r="AD371" s="6" t="s">
        <v>5245</v>
      </c>
    </row>
    <row r="372" spans="1:30" x14ac:dyDescent="0.25">
      <c r="A372" t="str">
        <f>CONCATENATE(A$2,": ",A$3,list1!A372,"]")</f>
        <v>Производитель: E[TOSOT]</v>
      </c>
      <c r="B372" t="str">
        <f>CONCATENATE(B$2,": ",B$3,list1!B372,"]")</f>
        <v xml:space="preserve"> Тип: S[Сплит система]</v>
      </c>
      <c r="C372" t="str">
        <f>CONCATENATE(C$2,": ",C$3,list1!C372,"]")</f>
        <v xml:space="preserve"> (Сплит система) Холодопроизводительность: N[3.5]</v>
      </c>
      <c r="D372" t="str">
        <f>CONCATENATE(D$2,": ",D$3,list1!D372,"]")</f>
        <v xml:space="preserve"> (Сплит система) Площадь помещения: N[35]</v>
      </c>
      <c r="E372" t="str">
        <f>CONCATENATE(E$2,": ",E$3,list1!E372,"]")</f>
        <v xml:space="preserve"> (Сплит система) Инвентор: S[да]</v>
      </c>
      <c r="F372" t="str">
        <f>CONCATENATE(F$2,": ",F$3,list1!F372,"]")</f>
        <v xml:space="preserve"> (Сплит система) Теплопроизводительность: N[3.5]</v>
      </c>
      <c r="G372" t="str">
        <f>CONCATENATE(G$2,": ",G$3,list1!G372,"]")</f>
        <v xml:space="preserve"> (Потребляемая мощность) Охлаждение: N[1.083]</v>
      </c>
      <c r="H372" t="str">
        <f>CONCATENATE(H$2,": ",H$3,list1!H372,"]")</f>
        <v xml:space="preserve"> (Потребляемая мощность) Обогрев: S[0.918]</v>
      </c>
      <c r="I372" t="str">
        <f>CONCATENATE(I$2,": ",I$3,list1!I372,"]")</f>
        <v xml:space="preserve"> (Рабочий ток) Охлаждение: S[]</v>
      </c>
      <c r="J372" t="str">
        <f>CONCATENATE(J$2,": ",J$3,list1!J372,"]")</f>
        <v xml:space="preserve"> (Рабочий ток) Обогрев: S[]</v>
      </c>
      <c r="K372" t="str">
        <f>CONCATENATE(K$2,": ",K$3,list1!K372,"]")</f>
        <v xml:space="preserve"> (Рабочий ток) Напряжение / Частота источника питания: S[1 / 220 / 50]</v>
      </c>
      <c r="L372" t="str">
        <f>CONCATENATE(L$2,": ",L$3,list1!L372,"]")</f>
        <v xml:space="preserve"> (Рабочий ток) Хладагент: S[R32]</v>
      </c>
      <c r="M372" t="str">
        <f>CONCATENATE(M$2,": ",M$3,list1!M372,"]")</f>
        <v xml:space="preserve"> (Рабочий ток) Количество хладагента: N[]</v>
      </c>
      <c r="N372" t="str">
        <f>CONCATENATE(N$2,": ",N$3,list1!N372,"]")</f>
        <v xml:space="preserve"> (Рабочий ток) Объем рециркулируемого воздуха внутреннего блока: S[]</v>
      </c>
      <c r="O372" t="str">
        <f>CONCATENATE(O$2,": ",O$3,list1!O372,"]")</f>
        <v xml:space="preserve"> (Внутренний блок) Размеры (Ш x Г x В): S[819 х 256 х 185]</v>
      </c>
      <c r="P372" t="str">
        <f>CONCATENATE(P$2,": ",P$3,list1!P372,"]")</f>
        <v xml:space="preserve"> (Внутренний блок) Упаковка (Ш x Г x В): S[863 х 249 х 314]</v>
      </c>
      <c r="Q372" t="str">
        <f>CONCATENATE(Q$2,": ",Q$3,list1!Q372,"]")</f>
        <v xml:space="preserve"> (Внутренний блок) Масса (нетто / брутто): S[8.5 / 10]</v>
      </c>
      <c r="R372" t="str">
        <f>CONCATENATE(R$2,": ",R$3,list1!R372,"]")</f>
        <v xml:space="preserve"> (Внутренний блок) Уровень шума мин. / макс.: S[24/26/30/33/35/37/41]</v>
      </c>
      <c r="S372" t="str">
        <f>CONCATENATE(S$2,": ",S$3,list1!S372,"]")</f>
        <v xml:space="preserve"> (Наружный блок) Марка компрессора: S[Gree]</v>
      </c>
      <c r="T372" t="str">
        <f>CONCATENATE(T$2,": ",T$3,list1!T372,"]")</f>
        <v xml:space="preserve"> (Наружный блок) Размеры (Ш x Г x В): S[732 х 330 х 550]</v>
      </c>
      <c r="U372" t="str">
        <f>CONCATENATE(U$2,": ",U$3,list1!U372,"]")</f>
        <v xml:space="preserve"> (Наружный блок) Упаковка (Ш x Г x В): S[789 х 390 х 600]</v>
      </c>
      <c r="V372" t="str">
        <f>CONCATENATE(V$2,": ",V$3,list1!V372,"]")</f>
        <v xml:space="preserve"> (Наружный блок) Масса (нетто / брутто): S[25/27.5]</v>
      </c>
      <c r="W372" t="str">
        <f>CONCATENATE(W$2,": ",W$3,list1!W372,"]")</f>
        <v xml:space="preserve"> (Наружный блок) Максимальный уровень шума: N[]</v>
      </c>
      <c r="X372" t="str">
        <f>CONCATENATE(X$2,": ",X$3,list1!X372,"]")</f>
        <v xml:space="preserve"> (Соединительные трубы) Жидкостная линия : N[6]</v>
      </c>
      <c r="Y372" t="str">
        <f>CONCATENATE(Y$2,": ",Y$3,list1!Y372,"]")</f>
        <v xml:space="preserve"> (Соединительные трубы) Газовая линия : N[9.52]</v>
      </c>
      <c r="Z372" t="str">
        <f>CONCATENATE(Z$2,": ",Z$3,list1!Z372,"]")</f>
        <v xml:space="preserve"> (Соединительные трубы) Максимальная длина трубопровода: N[15]</v>
      </c>
      <c r="AA372" t="str">
        <f>CONCATENATE(AA$2,": ",AA$3,list1!AA372,"]")</f>
        <v xml:space="preserve"> (Соединительные трубы) Максимальный перепад высот: S[10]</v>
      </c>
      <c r="AB372" t="str">
        <f>CONCATENATE(AB$2,": ",AB$3,list1!AB372,"]")</f>
        <v xml:space="preserve"> (Допустимая темп. наружного воздуха) Охлаждение: S[от -15 до +43]</v>
      </c>
      <c r="AC372" t="str">
        <f>CONCATENATE(AC$2,": ",AC$3,list1!AC372,"]")</f>
        <v xml:space="preserve"> (Допустимая темп. наружного воздуха) Обогрев: S[от -15 до +24]</v>
      </c>
      <c r="AD372" s="6" t="s">
        <v>5245</v>
      </c>
    </row>
    <row r="373" spans="1:30" x14ac:dyDescent="0.25">
      <c r="A373" t="str">
        <f>CONCATENATE(A$2,": ",A$3,list1!A373,"]")</f>
        <v>Производитель: E[TOSOT]</v>
      </c>
      <c r="B373" t="str">
        <f>CONCATENATE(B$2,": ",B$3,list1!B373,"]")</f>
        <v xml:space="preserve"> Тип: S[Сплит система]</v>
      </c>
      <c r="C373" t="str">
        <f>CONCATENATE(C$2,": ",C$3,list1!C373,"]")</f>
        <v xml:space="preserve"> (Сплит система) Холодопроизводительность: N[4.6]</v>
      </c>
      <c r="D373" t="str">
        <f>CONCATENATE(D$2,": ",D$3,list1!D373,"]")</f>
        <v xml:space="preserve"> (Сплит система) Площадь помещения: N[46]</v>
      </c>
      <c r="E373" t="str">
        <f>CONCATENATE(E$2,": ",E$3,list1!E373,"]")</f>
        <v xml:space="preserve"> (Сплит система) Инвентор: S[да]</v>
      </c>
      <c r="F373" t="str">
        <f>CONCATENATE(F$2,": ",F$3,list1!F373,"]")</f>
        <v xml:space="preserve"> (Сплит система) Теплопроизводительность: N[5.2]</v>
      </c>
      <c r="G373" t="str">
        <f>CONCATENATE(G$2,": ",G$3,list1!G373,"]")</f>
        <v xml:space="preserve"> (Потребляемая мощность) Охлаждение: N[1.43]</v>
      </c>
      <c r="H373" t="str">
        <f>CONCATENATE(H$2,": ",H$3,list1!H373,"]")</f>
        <v xml:space="preserve"> (Потребляемая мощность) Обогрев: S[1.4]</v>
      </c>
      <c r="I373" t="str">
        <f>CONCATENATE(I$2,": ",I$3,list1!I373,"]")</f>
        <v xml:space="preserve"> (Рабочий ток) Охлаждение: S[]</v>
      </c>
      <c r="J373" t="str">
        <f>CONCATENATE(J$2,": ",J$3,list1!J373,"]")</f>
        <v xml:space="preserve"> (Рабочий ток) Обогрев: S[]</v>
      </c>
      <c r="K373" t="str">
        <f>CONCATENATE(K$2,": ",K$3,list1!K373,"]")</f>
        <v xml:space="preserve"> (Рабочий ток) Напряжение / Частота источника питания: S[1 / 220 / 50]</v>
      </c>
      <c r="L373" t="str">
        <f>CONCATENATE(L$2,": ",L$3,list1!L373,"]")</f>
        <v xml:space="preserve"> (Рабочий ток) Хладагент: S[R32]</v>
      </c>
      <c r="M373" t="str">
        <f>CONCATENATE(M$2,": ",M$3,list1!M373,"]")</f>
        <v xml:space="preserve"> (Рабочий ток) Количество хладагента: N[]</v>
      </c>
      <c r="N373" t="str">
        <f>CONCATENATE(N$2,": ",N$3,list1!N373,"]")</f>
        <v xml:space="preserve"> (Рабочий ток) Объем рециркулируемого воздуха внутреннего блока: S[]</v>
      </c>
      <c r="O373" t="str">
        <f>CONCATENATE(O$2,": ",O$3,list1!O373,"]")</f>
        <v xml:space="preserve"> (Внутренний блок) Размеры (Ш x Г x В): S[1017 х 304 х 221]</v>
      </c>
      <c r="P373" t="str">
        <f>CONCATENATE(P$2,": ",P$3,list1!P373,"]")</f>
        <v xml:space="preserve"> (Внутренний блок) Упаковка (Ш x Г x В): S[1077 х 300 х 375]</v>
      </c>
      <c r="Q373" t="str">
        <f>CONCATENATE(Q$2,": ",Q$3,list1!Q373,"]")</f>
        <v xml:space="preserve"> (Внутренний блок) Масса (нетто / брутто): S[14 / 17]</v>
      </c>
      <c r="R373" t="str">
        <f>CONCATENATE(R$2,": ",R$3,list1!R373,"]")</f>
        <v xml:space="preserve"> (Внутренний блок) Уровень шума мин. / макс.: S[34/39/45/48]</v>
      </c>
      <c r="S373" t="str">
        <f>CONCATENATE(S$2,": ",S$3,list1!S373,"]")</f>
        <v xml:space="preserve"> (Наружный блок) Марка компрессора: S[Gree]</v>
      </c>
      <c r="T373" t="str">
        <f>CONCATENATE(T$2,": ",T$3,list1!T373,"]")</f>
        <v xml:space="preserve"> (Наружный блок) Размеры (Ш x Г x В): S[848 х 320 х 596]</v>
      </c>
      <c r="U373" t="str">
        <f>CONCATENATE(U$2,": ",U$3,list1!U373,"]")</f>
        <v xml:space="preserve"> (Наружный блок) Упаковка (Ш x Г x В): S[878 х 360 х 630]</v>
      </c>
      <c r="V373" t="str">
        <f>CONCATENATE(V$2,": ",V$3,list1!V373,"]")</f>
        <v xml:space="preserve"> (Наружный блок) Масса (нетто / брутто): S[34/37]</v>
      </c>
      <c r="W373" t="str">
        <f>CONCATENATE(W$2,": ",W$3,list1!W373,"]")</f>
        <v xml:space="preserve"> (Наружный блок) Максимальный уровень шума: N[]</v>
      </c>
      <c r="X373" t="str">
        <f>CONCATENATE(X$2,": ",X$3,list1!X373,"]")</f>
        <v xml:space="preserve"> (Соединительные трубы) Жидкостная линия : N[6.35]</v>
      </c>
      <c r="Y373" t="str">
        <f>CONCATENATE(Y$2,": ",Y$3,list1!Y373,"]")</f>
        <v xml:space="preserve"> (Соединительные трубы) Газовая линия : N[9.52]</v>
      </c>
      <c r="Z373" t="str">
        <f>CONCATENATE(Z$2,": ",Z$3,list1!Z373,"]")</f>
        <v xml:space="preserve"> (Соединительные трубы) Максимальная длина трубопровода: N[20]</v>
      </c>
      <c r="AA373" t="str">
        <f>CONCATENATE(AA$2,": ",AA$3,list1!AA373,"]")</f>
        <v xml:space="preserve"> (Соединительные трубы) Максимальный перепад высот: S[10]</v>
      </c>
      <c r="AB373" t="str">
        <f>CONCATENATE(AB$2,": ",AB$3,list1!AB373,"]")</f>
        <v xml:space="preserve"> (Допустимая темп. наружного воздуха) Охлаждение: S[от -15 до +43]</v>
      </c>
      <c r="AC373" t="str">
        <f>CONCATENATE(AC$2,": ",AC$3,list1!AC373,"]")</f>
        <v xml:space="preserve"> (Допустимая темп. наружного воздуха) Обогрев: S[от -15 до +24]</v>
      </c>
      <c r="AD373" s="6" t="s">
        <v>5245</v>
      </c>
    </row>
    <row r="374" spans="1:30" x14ac:dyDescent="0.25">
      <c r="A374" t="str">
        <f>CONCATENATE(A$2,": ",A$3,list1!A374,"]")</f>
        <v>Производитель: E[TOSOT]</v>
      </c>
      <c r="B374" t="str">
        <f>CONCATENATE(B$2,": ",B$3,list1!B374,"]")</f>
        <v xml:space="preserve"> Тип: S[Сплит система]</v>
      </c>
      <c r="C374" t="str">
        <f>CONCATENATE(C$2,": ",C$3,list1!C374,"]")</f>
        <v xml:space="preserve"> (Сплит система) Холодопроизводительность: N[4.6]</v>
      </c>
      <c r="D374" t="str">
        <f>CONCATENATE(D$2,": ",D$3,list1!D374,"]")</f>
        <v xml:space="preserve"> (Сплит система) Площадь помещения: N[46]</v>
      </c>
      <c r="E374" t="str">
        <f>CONCATENATE(E$2,": ",E$3,list1!E374,"]")</f>
        <v xml:space="preserve"> (Сплит система) Инвентор: S[да]</v>
      </c>
      <c r="F374" t="str">
        <f>CONCATENATE(F$2,": ",F$3,list1!F374,"]")</f>
        <v xml:space="preserve"> (Сплит система) Теплопроизводительность: N[5.2]</v>
      </c>
      <c r="G374" t="str">
        <f>CONCATENATE(G$2,": ",G$3,list1!G374,"]")</f>
        <v xml:space="preserve"> (Потребляемая мощность) Охлаждение: N[1.355]</v>
      </c>
      <c r="H374" t="str">
        <f>CONCATENATE(H$2,": ",H$3,list1!H374,"]")</f>
        <v xml:space="preserve"> (Потребляемая мощность) Обогрев: S[1.34]</v>
      </c>
      <c r="I374" t="str">
        <f>CONCATENATE(I$2,": ",I$3,list1!I374,"]")</f>
        <v xml:space="preserve"> (Рабочий ток) Охлаждение: S[]</v>
      </c>
      <c r="J374" t="str">
        <f>CONCATENATE(J$2,": ",J$3,list1!J374,"]")</f>
        <v xml:space="preserve"> (Рабочий ток) Обогрев: S[]</v>
      </c>
      <c r="K374" t="str">
        <f>CONCATENATE(K$2,": ",K$3,list1!K374,"]")</f>
        <v xml:space="preserve"> (Рабочий ток) Напряжение / Частота источника питания: S[1 / 220 / 50]</v>
      </c>
      <c r="L374" t="str">
        <f>CONCATENATE(L$2,": ",L$3,list1!L374,"]")</f>
        <v xml:space="preserve"> (Рабочий ток) Хладагент: S[R32]</v>
      </c>
      <c r="M374" t="str">
        <f>CONCATENATE(M$2,": ",M$3,list1!M374,"]")</f>
        <v xml:space="preserve"> (Рабочий ток) Количество хладагента: N[]</v>
      </c>
      <c r="N374" t="str">
        <f>CONCATENATE(N$2,": ",N$3,list1!N374,"]")</f>
        <v xml:space="preserve"> (Рабочий ток) Объем рециркулируемого воздуха внутреннего блока: S[]</v>
      </c>
      <c r="O374" t="str">
        <f>CONCATENATE(O$2,": ",O$3,list1!O374,"]")</f>
        <v xml:space="preserve"> (Внутренний блок) Размеры (Ш x Г x В): S[1013 х 307 х 221]</v>
      </c>
      <c r="P374" t="str">
        <f>CONCATENATE(P$2,": ",P$3,list1!P374,"]")</f>
        <v xml:space="preserve"> (Внутренний блок) Упаковка (Ш x Г x В): S[1055 х 287 х 366]</v>
      </c>
      <c r="Q374" t="str">
        <f>CONCATENATE(Q$2,": ",Q$3,list1!Q374,"]")</f>
        <v xml:space="preserve"> (Внутренний блок) Масса (нетто / брутто): S[13.5 / 16]</v>
      </c>
      <c r="R374" t="str">
        <f>CONCATENATE(R$2,": ",R$3,list1!R374,"]")</f>
        <v xml:space="preserve"> (Внутренний блок) Уровень шума мин. / макс.: S[34/38/42/44]</v>
      </c>
      <c r="S374" t="str">
        <f>CONCATENATE(S$2,": ",S$3,list1!S374,"]")</f>
        <v xml:space="preserve"> (Наружный блок) Марка компрессора: S[Gree]</v>
      </c>
      <c r="T374" t="str">
        <f>CONCATENATE(T$2,": ",T$3,list1!T374,"]")</f>
        <v xml:space="preserve"> (Наружный блок) Размеры (Ш x Г x В): S[732 х 330 х 555]</v>
      </c>
      <c r="U374" t="str">
        <f>CONCATENATE(U$2,": ",U$3,list1!U374,"]")</f>
        <v xml:space="preserve"> (Наружный блок) Упаковка (Ш x Г x В): S[791 х 373 х 590]</v>
      </c>
      <c r="V374" t="str">
        <f>CONCATENATE(V$2,": ",V$3,list1!V374,"]")</f>
        <v xml:space="preserve"> (Наружный блок) Масса (нетто / брутто): S[26.5/29]</v>
      </c>
      <c r="W374" t="str">
        <f>CONCATENATE(W$2,": ",W$3,list1!W374,"]")</f>
        <v xml:space="preserve"> (Наружный блок) Максимальный уровень шума: N[]</v>
      </c>
      <c r="X374" t="str">
        <f>CONCATENATE(X$2,": ",X$3,list1!X374,"]")</f>
        <v xml:space="preserve"> (Соединительные трубы) Жидкостная линия : N[6]</v>
      </c>
      <c r="Y374" t="str">
        <f>CONCATENATE(Y$2,": ",Y$3,list1!Y374,"]")</f>
        <v xml:space="preserve"> (Соединительные трубы) Газовая линия : N[9.52]</v>
      </c>
      <c r="Z374" t="str">
        <f>CONCATENATE(Z$2,": ",Z$3,list1!Z374,"]")</f>
        <v xml:space="preserve"> (Соединительные трубы) Максимальная длина трубопровода: N[25]</v>
      </c>
      <c r="AA374" t="str">
        <f>CONCATENATE(AA$2,": ",AA$3,list1!AA374,"]")</f>
        <v xml:space="preserve"> (Соединительные трубы) Максимальный перепад высот: S[10]</v>
      </c>
      <c r="AB374" t="str">
        <f>CONCATENATE(AB$2,": ",AB$3,list1!AB374,"]")</f>
        <v xml:space="preserve"> (Допустимая темп. наружного воздуха) Охлаждение: S[от -15 до +43]</v>
      </c>
      <c r="AC374" t="str">
        <f>CONCATENATE(AC$2,": ",AC$3,list1!AC374,"]")</f>
        <v xml:space="preserve"> (Допустимая темп. наружного воздуха) Обогрев: S[от -15 до +24]</v>
      </c>
      <c r="AD374" s="6" t="s">
        <v>5245</v>
      </c>
    </row>
    <row r="375" spans="1:30" x14ac:dyDescent="0.25">
      <c r="A375" t="str">
        <f>CONCATENATE(A$2,": ",A$3,list1!A375,"]")</f>
        <v>Производитель: E[TOSOT]</v>
      </c>
      <c r="B375" t="str">
        <f>CONCATENATE(B$2,": ",B$3,list1!B375,"]")</f>
        <v xml:space="preserve"> Тип: S[Сплит система]</v>
      </c>
      <c r="C375" t="str">
        <f>CONCATENATE(C$2,": ",C$3,list1!C375,"]")</f>
        <v xml:space="preserve"> (Сплит система) Холодопроизводительность: N[6.16]</v>
      </c>
      <c r="D375" t="str">
        <f>CONCATENATE(D$2,": ",D$3,list1!D375,"]")</f>
        <v xml:space="preserve"> (Сплит система) Площадь помещения: N[61]</v>
      </c>
      <c r="E375" t="str">
        <f>CONCATENATE(E$2,": ",E$3,list1!E375,"]")</f>
        <v xml:space="preserve"> (Сплит система) Инвентор: S[да]</v>
      </c>
      <c r="F375" t="str">
        <f>CONCATENATE(F$2,": ",F$3,list1!F375,"]")</f>
        <v xml:space="preserve"> (Сплит система) Теплопроизводительность: N[6.45]</v>
      </c>
      <c r="G375" t="str">
        <f>CONCATENATE(G$2,": ",G$3,list1!G375,"]")</f>
        <v xml:space="preserve"> (Потребляемая мощность) Охлаждение: N[1.76]</v>
      </c>
      <c r="H375" t="str">
        <f>CONCATENATE(H$2,": ",H$3,list1!H375,"]")</f>
        <v xml:space="preserve"> (Потребляемая мощность) Обогрев: S[1.86]</v>
      </c>
      <c r="I375" t="str">
        <f>CONCATENATE(I$2,": ",I$3,list1!I375,"]")</f>
        <v xml:space="preserve"> (Рабочий ток) Охлаждение: S[]</v>
      </c>
      <c r="J375" t="str">
        <f>CONCATENATE(J$2,": ",J$3,list1!J375,"]")</f>
        <v xml:space="preserve"> (Рабочий ток) Обогрев: S[]</v>
      </c>
      <c r="K375" t="str">
        <f>CONCATENATE(K$2,": ",K$3,list1!K375,"]")</f>
        <v xml:space="preserve"> (Рабочий ток) Напряжение / Частота источника питания: S[1 / 220 / 50]</v>
      </c>
      <c r="L375" t="str">
        <f>CONCATENATE(L$2,": ",L$3,list1!L375,"]")</f>
        <v xml:space="preserve"> (Рабочий ток) Хладагент: S[R32]</v>
      </c>
      <c r="M375" t="str">
        <f>CONCATENATE(M$2,": ",M$3,list1!M375,"]")</f>
        <v xml:space="preserve"> (Рабочий ток) Количество хладагента: N[]</v>
      </c>
      <c r="N375" t="str">
        <f>CONCATENATE(N$2,": ",N$3,list1!N375,"]")</f>
        <v xml:space="preserve"> (Рабочий ток) Объем рециркулируемого воздуха внутреннего блока: S[]</v>
      </c>
      <c r="O375" t="str">
        <f>CONCATENATE(O$2,": ",O$3,list1!O375,"]")</f>
        <v xml:space="preserve"> (Внутренний блок) Размеры (Ш x Г x В): S[1017 х 304 х 221]</v>
      </c>
      <c r="P375" t="str">
        <f>CONCATENATE(P$2,": ",P$3,list1!P375,"]")</f>
        <v xml:space="preserve"> (Внутренний блок) Упаковка (Ш x Г x В): S[1077 х 300 х 375]</v>
      </c>
      <c r="Q375" t="str">
        <f>CONCATENATE(Q$2,": ",Q$3,list1!Q375,"]")</f>
        <v xml:space="preserve"> (Внутренний блок) Масса (нетто / брутто): S[14 / 17]</v>
      </c>
      <c r="R375" t="str">
        <f>CONCATENATE(R$2,": ",R$3,list1!R375,"]")</f>
        <v xml:space="preserve"> (Внутренний блок) Уровень шума мин. / макс.: S[34/40/44/48]</v>
      </c>
      <c r="S375" t="str">
        <f>CONCATENATE(S$2,": ",S$3,list1!S375,"]")</f>
        <v xml:space="preserve"> (Наружный блок) Марка компрессора: S[Gree]</v>
      </c>
      <c r="T375" t="str">
        <f>CONCATENATE(T$2,": ",T$3,list1!T375,"]")</f>
        <v xml:space="preserve"> (Наружный блок) Размеры (Ш x Г x В): S[965 х 396 х 700]</v>
      </c>
      <c r="U375" t="str">
        <f>CONCATENATE(U$2,": ",U$3,list1!U375,"]")</f>
        <v xml:space="preserve"> (Наружный блок) Упаковка (Ш x Г x В): S[1026 х 455 х 735]</v>
      </c>
      <c r="V375" t="str">
        <f>CONCATENATE(V$2,": ",V$3,list1!V375,"]")</f>
        <v xml:space="preserve"> (Наружный блок) Масса (нетто / брутто): S[46/50.5]</v>
      </c>
      <c r="W375" t="str">
        <f>CONCATENATE(W$2,": ",W$3,list1!W375,"]")</f>
        <v xml:space="preserve"> (Наружный блок) Максимальный уровень шума: N[]</v>
      </c>
      <c r="X375" t="str">
        <f>CONCATENATE(X$2,": ",X$3,list1!X375,"]")</f>
        <v xml:space="preserve"> (Соединительные трубы) Жидкостная линия : N[6.35]</v>
      </c>
      <c r="Y375" t="str">
        <f>CONCATENATE(Y$2,": ",Y$3,list1!Y375,"]")</f>
        <v xml:space="preserve"> (Соединительные трубы) Газовая линия : N[15.9]</v>
      </c>
      <c r="Z375" t="str">
        <f>CONCATENATE(Z$2,": ",Z$3,list1!Z375,"]")</f>
        <v xml:space="preserve"> (Соединительные трубы) Максимальная длина трубопровода: N[25]</v>
      </c>
      <c r="AA375" t="str">
        <f>CONCATENATE(AA$2,": ",AA$3,list1!AA375,"]")</f>
        <v xml:space="preserve"> (Соединительные трубы) Максимальный перепад высот: S[10]</v>
      </c>
      <c r="AB375" t="str">
        <f>CONCATENATE(AB$2,": ",AB$3,list1!AB375,"]")</f>
        <v xml:space="preserve"> (Допустимая темп. наружного воздуха) Охлаждение: S[от -15 до +43]</v>
      </c>
      <c r="AC375" t="str">
        <f>CONCATENATE(AC$2,": ",AC$3,list1!AC375,"]")</f>
        <v xml:space="preserve"> (Допустимая темп. наружного воздуха) Обогрев: S[от -15 до +24]</v>
      </c>
      <c r="AD375" s="6" t="s">
        <v>5245</v>
      </c>
    </row>
    <row r="376" spans="1:30" x14ac:dyDescent="0.25">
      <c r="A376" t="str">
        <f>CONCATENATE(A$2,": ",A$3,list1!A376,"]")</f>
        <v>Производитель: E[TOSOT]</v>
      </c>
      <c r="B376" t="str">
        <f>CONCATENATE(B$2,": ",B$3,list1!B376,"]")</f>
        <v xml:space="preserve"> Тип: S[Сплит система]</v>
      </c>
      <c r="C376" t="str">
        <f>CONCATENATE(C$2,": ",C$3,list1!C376,"]")</f>
        <v xml:space="preserve"> (Сплит система) Холодопроизводительность: N[6.2]</v>
      </c>
      <c r="D376" t="str">
        <f>CONCATENATE(D$2,": ",D$3,list1!D376,"]")</f>
        <v xml:space="preserve"> (Сплит система) Площадь помещения: N[62]</v>
      </c>
      <c r="E376" t="str">
        <f>CONCATENATE(E$2,": ",E$3,list1!E376,"]")</f>
        <v xml:space="preserve"> (Сплит система) Инвентор: S[да]</v>
      </c>
      <c r="F376" t="str">
        <f>CONCATENATE(F$2,": ",F$3,list1!F376,"]")</f>
        <v xml:space="preserve"> (Сплит система) Теплопроизводительность: N[6.5]</v>
      </c>
      <c r="G376" t="str">
        <f>CONCATENATE(G$2,": ",G$3,list1!G376,"]")</f>
        <v xml:space="preserve"> (Потребляемая мощность) Охлаждение: N[1.827]</v>
      </c>
      <c r="H376" t="str">
        <f>CONCATENATE(H$2,": ",H$3,list1!H376,"]")</f>
        <v xml:space="preserve"> (Потребляемая мощность) Обогрев: S[1.912]</v>
      </c>
      <c r="I376" t="str">
        <f>CONCATENATE(I$2,": ",I$3,list1!I376,"]")</f>
        <v xml:space="preserve"> (Рабочий ток) Охлаждение: S[]</v>
      </c>
      <c r="J376" t="str">
        <f>CONCATENATE(J$2,": ",J$3,list1!J376,"]")</f>
        <v xml:space="preserve"> (Рабочий ток) Обогрев: S[]</v>
      </c>
      <c r="K376" t="str">
        <f>CONCATENATE(K$2,": ",K$3,list1!K376,"]")</f>
        <v xml:space="preserve"> (Рабочий ток) Напряжение / Частота источника питания: S[1 / 220 / 50]</v>
      </c>
      <c r="L376" t="str">
        <f>CONCATENATE(L$2,": ",L$3,list1!L376,"]")</f>
        <v xml:space="preserve"> (Рабочий ток) Хладагент: S[R32]</v>
      </c>
      <c r="M376" t="str">
        <f>CONCATENATE(M$2,": ",M$3,list1!M376,"]")</f>
        <v xml:space="preserve"> (Рабочий ток) Количество хладагента: N[]</v>
      </c>
      <c r="N376" t="str">
        <f>CONCATENATE(N$2,": ",N$3,list1!N376,"]")</f>
        <v xml:space="preserve"> (Рабочий ток) Объем рециркулируемого воздуха внутреннего блока: S[]</v>
      </c>
      <c r="O376" t="str">
        <f>CONCATENATE(O$2,": ",O$3,list1!O376,"]")</f>
        <v xml:space="preserve"> (Внутренний блок) Размеры (Ш x Г x В): S[1013 х 307 х 221]</v>
      </c>
      <c r="P376" t="str">
        <f>CONCATENATE(P$2,": ",P$3,list1!P376,"]")</f>
        <v xml:space="preserve"> (Внутренний блок) Упаковка (Ш x Г x В): S[1077 х 300 х 375]</v>
      </c>
      <c r="Q376" t="str">
        <f>CONCATENATE(Q$2,": ",Q$3,list1!Q376,"]")</f>
        <v xml:space="preserve"> (Внутренний блок) Масса (нетто / брутто): S[14 / 17]</v>
      </c>
      <c r="R376" t="str">
        <f>CONCATENATE(R$2,": ",R$3,list1!R376,"]")</f>
        <v xml:space="preserve"> (Внутренний блок) Уровень шума мин. / макс.: S[26/30/32/37/42/45/48]</v>
      </c>
      <c r="S376" t="str">
        <f>CONCATENATE(S$2,": ",S$3,list1!S376,"]")</f>
        <v xml:space="preserve"> (Наружный блок) Марка компрессора: S[Gree]</v>
      </c>
      <c r="T376" t="str">
        <f>CONCATENATE(T$2,": ",T$3,list1!T376,"]")</f>
        <v xml:space="preserve"> (Наружный блок) Размеры (Ш x Г x В): S[873 х 376 х 555]</v>
      </c>
      <c r="U376" t="str">
        <f>CONCATENATE(U$2,": ",U$3,list1!U376,"]")</f>
        <v xml:space="preserve"> (Наружный блок) Упаковка (Ш x Г x В): S[948 х 428 х 591]</v>
      </c>
      <c r="V376" t="str">
        <f>CONCATENATE(V$2,": ",V$3,list1!V376,"]")</f>
        <v xml:space="preserve"> (Наружный блок) Масса (нетто / брутто): S[36.5/39.5]</v>
      </c>
      <c r="W376" t="str">
        <f>CONCATENATE(W$2,": ",W$3,list1!W376,"]")</f>
        <v xml:space="preserve"> (Наружный блок) Максимальный уровень шума: N[]</v>
      </c>
      <c r="X376" t="str">
        <f>CONCATENATE(X$2,": ",X$3,list1!X376,"]")</f>
        <v xml:space="preserve"> (Соединительные трубы) Жидкостная линия : N[6]</v>
      </c>
      <c r="Y376" t="str">
        <f>CONCATENATE(Y$2,": ",Y$3,list1!Y376,"]")</f>
        <v xml:space="preserve"> (Соединительные трубы) Газовая линия : N[12]</v>
      </c>
      <c r="Z376" t="str">
        <f>CONCATENATE(Z$2,": ",Z$3,list1!Z376,"]")</f>
        <v xml:space="preserve"> (Соединительные трубы) Максимальная длина трубопровода: N[25]</v>
      </c>
      <c r="AA376" t="str">
        <f>CONCATENATE(AA$2,": ",AA$3,list1!AA376,"]")</f>
        <v xml:space="preserve"> (Соединительные трубы) Максимальный перепад высот: S[10]</v>
      </c>
      <c r="AB376" t="str">
        <f>CONCATENATE(AB$2,": ",AB$3,list1!AB376,"]")</f>
        <v xml:space="preserve"> (Допустимая темп. наружного воздуха) Охлаждение: S[от -15 до +43]</v>
      </c>
      <c r="AC376" t="str">
        <f>CONCATENATE(AC$2,": ",AC$3,list1!AC376,"]")</f>
        <v xml:space="preserve"> (Допустимая темп. наружного воздуха) Обогрев: S[от -15 до +24]</v>
      </c>
      <c r="AD376" s="6" t="s">
        <v>5245</v>
      </c>
    </row>
    <row r="377" spans="1:30" x14ac:dyDescent="0.25">
      <c r="A377" t="str">
        <f>CONCATENATE(A$2,": ",A$3,list1!A377,"]")</f>
        <v>Производитель: E[TOSOT]</v>
      </c>
      <c r="B377" t="str">
        <f>CONCATENATE(B$2,": ",B$3,list1!B377,"]")</f>
        <v xml:space="preserve"> Тип: S[Сплит система]</v>
      </c>
      <c r="C377" t="str">
        <f>CONCATENATE(C$2,": ",C$3,list1!C377,"]")</f>
        <v xml:space="preserve"> (Сплит система) Холодопроизводительность: N[2.25]</v>
      </c>
      <c r="D377" t="str">
        <f>CONCATENATE(D$2,": ",D$3,list1!D377,"]")</f>
        <v xml:space="preserve"> (Сплит система) Площадь помещения: N[23]</v>
      </c>
      <c r="E377" t="str">
        <f>CONCATENATE(E$2,": ",E$3,list1!E377,"]")</f>
        <v xml:space="preserve"> (Сплит система) Инвентор: S[нет]</v>
      </c>
      <c r="F377" t="str">
        <f>CONCATENATE(F$2,": ",F$3,list1!F377,"]")</f>
        <v xml:space="preserve"> (Сплит система) Теплопроизводительность: N[2.35]</v>
      </c>
      <c r="G377" t="str">
        <f>CONCATENATE(G$2,": ",G$3,list1!G377,"]")</f>
        <v xml:space="preserve"> (Потребляемая мощность) Охлаждение: N[0.7]</v>
      </c>
      <c r="H377" t="str">
        <f>CONCATENATE(H$2,": ",H$3,list1!H377,"]")</f>
        <v xml:space="preserve"> (Потребляемая мощность) Обогрев: S[0.651]</v>
      </c>
      <c r="I377" t="str">
        <f>CONCATENATE(I$2,": ",I$3,list1!I377,"]")</f>
        <v xml:space="preserve"> (Рабочий ток) Охлаждение: S[]</v>
      </c>
      <c r="J377" t="str">
        <f>CONCATENATE(J$2,": ",J$3,list1!J377,"]")</f>
        <v xml:space="preserve"> (Рабочий ток) Обогрев: S[]</v>
      </c>
      <c r="K377" t="str">
        <f>CONCATENATE(K$2,": ",K$3,list1!K377,"]")</f>
        <v xml:space="preserve"> (Рабочий ток) Напряжение / Частота источника питания: S[1 / 220 / 50]</v>
      </c>
      <c r="L377" t="str">
        <f>CONCATENATE(L$2,": ",L$3,list1!L377,"]")</f>
        <v xml:space="preserve"> (Рабочий ток) Хладагент: S[R410A]</v>
      </c>
      <c r="M377" t="str">
        <f>CONCATENATE(M$2,": ",M$3,list1!M377,"]")</f>
        <v xml:space="preserve"> (Рабочий ток) Количество хладагента: N[]</v>
      </c>
      <c r="N377" t="str">
        <f>CONCATENATE(N$2,": ",N$3,list1!N377,"]")</f>
        <v xml:space="preserve"> (Рабочий ток) Объем рециркулируемого воздуха внутреннего блока: S[]</v>
      </c>
      <c r="O377" t="str">
        <f>CONCATENATE(O$2,": ",O$3,list1!O377,"]")</f>
        <v xml:space="preserve"> (Внутренний блок) Размеры (Ш x Г x В): S[704 х 260 х 185]</v>
      </c>
      <c r="P377" t="str">
        <f>CONCATENATE(P$2,": ",P$3,list1!P377,"]")</f>
        <v xml:space="preserve"> (Внутренний блок) Упаковка (Ш x Г x В): S[748 х 247 х 316]</v>
      </c>
      <c r="Q377" t="str">
        <f>CONCATENATE(Q$2,": ",Q$3,list1!Q377,"]")</f>
        <v xml:space="preserve"> (Внутренний блок) Масса (нетто / брутто): S[7.5 / 8.7]</v>
      </c>
      <c r="R377" t="str">
        <f>CONCATENATE(R$2,": ",R$3,list1!R377,"]")</f>
        <v xml:space="preserve"> (Внутренний блок) Уровень шума мин. / макс.: S[24/27/28/34/35/37/39]</v>
      </c>
      <c r="S377" t="str">
        <f>CONCATENATE(S$2,": ",S$3,list1!S377,"]")</f>
        <v xml:space="preserve"> (Наружный блок) Марка компрессора: S[Gree]</v>
      </c>
      <c r="T377" t="str">
        <f>CONCATENATE(T$2,": ",T$3,list1!T377,"]")</f>
        <v xml:space="preserve"> (Наружный блок) Размеры (Ш x Г x В): S[720 х 310 х 428]</v>
      </c>
      <c r="U377" t="str">
        <f>CONCATENATE(U$2,": ",U$3,list1!U377,"]")</f>
        <v xml:space="preserve"> (Наружный блок) Упаковка (Ш x Г x В): S[765 х 350 х 475]</v>
      </c>
      <c r="V377" t="str">
        <f>CONCATENATE(V$2,": ",V$3,list1!V377,"]")</f>
        <v xml:space="preserve"> (Наружный блок) Масса (нетто / брутто): S[23.4/25.4]</v>
      </c>
      <c r="W377" t="str">
        <f>CONCATENATE(W$2,": ",W$3,list1!W377,"]")</f>
        <v xml:space="preserve"> (Наружный блок) Максимальный уровень шума: N[]</v>
      </c>
      <c r="X377" t="str">
        <f>CONCATENATE(X$2,": ",X$3,list1!X377,"]")</f>
        <v xml:space="preserve"> (Соединительные трубы) Жидкостная линия : N[6.35]</v>
      </c>
      <c r="Y377" t="str">
        <f>CONCATENATE(Y$2,": ",Y$3,list1!Y377,"]")</f>
        <v xml:space="preserve"> (Соединительные трубы) Газовая линия : N[9.52]</v>
      </c>
      <c r="Z377" t="str">
        <f>CONCATENATE(Z$2,": ",Z$3,list1!Z377,"]")</f>
        <v xml:space="preserve"> (Соединительные трубы) Максимальная длина трубопровода: N[15]</v>
      </c>
      <c r="AA377" t="str">
        <f>CONCATENATE(AA$2,": ",AA$3,list1!AA377,"]")</f>
        <v xml:space="preserve"> (Соединительные трубы) Максимальный перепад высот: S[10]</v>
      </c>
      <c r="AB377" t="str">
        <f>CONCATENATE(AB$2,": ",AB$3,list1!AB377,"]")</f>
        <v xml:space="preserve"> (Допустимая темп. наружного воздуха) Охлаждение: S[от 18 до +43]</v>
      </c>
      <c r="AC377" t="str">
        <f>CONCATENATE(AC$2,": ",AC$3,list1!AC377,"]")</f>
        <v xml:space="preserve"> (Допустимая темп. наружного воздуха) Обогрев: S[от -15 до +24]</v>
      </c>
      <c r="AD377" s="6" t="s">
        <v>5245</v>
      </c>
    </row>
    <row r="378" spans="1:30" x14ac:dyDescent="0.25">
      <c r="A378" t="str">
        <f>CONCATENATE(A$2,": ",A$3,list1!A378,"]")</f>
        <v>Производитель: E[TOSOT]</v>
      </c>
      <c r="B378" t="str">
        <f>CONCATENATE(B$2,": ",B$3,list1!B378,"]")</f>
        <v xml:space="preserve"> Тип: S[Сплит система]</v>
      </c>
      <c r="C378" t="str">
        <f>CONCATENATE(C$2,": ",C$3,list1!C378,"]")</f>
        <v xml:space="preserve"> (Сплит система) Холодопроизводительность: N[2.25]</v>
      </c>
      <c r="D378" t="str">
        <f>CONCATENATE(D$2,": ",D$3,list1!D378,"]")</f>
        <v xml:space="preserve"> (Сплит система) Площадь помещения: N[23]</v>
      </c>
      <c r="E378" t="str">
        <f>CONCATENATE(E$2,": ",E$3,list1!E378,"]")</f>
        <v xml:space="preserve"> (Сплит система) Инвентор: S[нет]</v>
      </c>
      <c r="F378" t="str">
        <f>CONCATENATE(F$2,": ",F$3,list1!F378,"]")</f>
        <v xml:space="preserve"> (Сплит система) Теплопроизводительность: N[2.3]</v>
      </c>
      <c r="G378" t="str">
        <f>CONCATENATE(G$2,": ",G$3,list1!G378,"]")</f>
        <v xml:space="preserve"> (Потребляемая мощность) Охлаждение: N[0.7]</v>
      </c>
      <c r="H378" t="str">
        <f>CONCATENATE(H$2,": ",H$3,list1!H378,"]")</f>
        <v xml:space="preserve"> (Потребляемая мощность) Обогрев: S[0.637]</v>
      </c>
      <c r="I378" t="str">
        <f>CONCATENATE(I$2,": ",I$3,list1!I378,"]")</f>
        <v xml:space="preserve"> (Рабочий ток) Охлаждение: S[]</v>
      </c>
      <c r="J378" t="str">
        <f>CONCATENATE(J$2,": ",J$3,list1!J378,"]")</f>
        <v xml:space="preserve"> (Рабочий ток) Обогрев: S[]</v>
      </c>
      <c r="K378" t="str">
        <f>CONCATENATE(K$2,": ",K$3,list1!K378,"]")</f>
        <v xml:space="preserve"> (Рабочий ток) Напряжение / Частота источника питания: S[1 / 220 / 50]</v>
      </c>
      <c r="L378" t="str">
        <f>CONCATENATE(L$2,": ",L$3,list1!L378,"]")</f>
        <v xml:space="preserve"> (Рабочий ток) Хладагент: S[R410A]</v>
      </c>
      <c r="M378" t="str">
        <f>CONCATENATE(M$2,": ",M$3,list1!M378,"]")</f>
        <v xml:space="preserve"> (Рабочий ток) Количество хладагента: N[]</v>
      </c>
      <c r="N378" t="str">
        <f>CONCATENATE(N$2,": ",N$3,list1!N378,"]")</f>
        <v xml:space="preserve"> (Рабочий ток) Объем рециркулируемого воздуха внутреннего блока: S[]</v>
      </c>
      <c r="O378" t="str">
        <f>CONCATENATE(O$2,": ",O$3,list1!O378,"]")</f>
        <v xml:space="preserve"> (Внутренний блок) Размеры (Ш x Г x В): S[704 х 260 х 185]</v>
      </c>
      <c r="P378" t="str">
        <f>CONCATENATE(P$2,": ",P$3,list1!P378,"]")</f>
        <v xml:space="preserve"> (Внутренний блок) Упаковка (Ш x Г x В): S[748 х 247 х 316]</v>
      </c>
      <c r="Q378" t="str">
        <f>CONCATENATE(Q$2,": ",Q$3,list1!Q378,"]")</f>
        <v xml:space="preserve"> (Внутренний блок) Масса (нетто / брутто): S[7.5 / 8.7]</v>
      </c>
      <c r="R378" t="str">
        <f>CONCATENATE(R$2,": ",R$3,list1!R378,"]")</f>
        <v xml:space="preserve"> (Внутренний блок) Уровень шума мин. / макс.: S[25/31/37/40]</v>
      </c>
      <c r="S378" t="str">
        <f>CONCATENATE(S$2,": ",S$3,list1!S378,"]")</f>
        <v xml:space="preserve"> (Наружный блок) Марка компрессора: S[Gree]</v>
      </c>
      <c r="T378" t="str">
        <f>CONCATENATE(T$2,": ",T$3,list1!T378,"]")</f>
        <v xml:space="preserve"> (Наружный блок) Размеры (Ш x Г x В): S[710 х 293 х 450]</v>
      </c>
      <c r="U378" t="str">
        <f>CONCATENATE(U$2,": ",U$3,list1!U378,"]")</f>
        <v xml:space="preserve"> (Наружный блок) Упаковка (Ш x Г x В): S[761 х 327 х 500]</v>
      </c>
      <c r="V378" t="str">
        <f>CONCATENATE(V$2,": ",V$3,list1!V378,"]")</f>
        <v xml:space="preserve"> (Наружный блок) Масса (нетто / брутто): S[22.3/24.3]</v>
      </c>
      <c r="W378" t="str">
        <f>CONCATENATE(W$2,": ",W$3,list1!W378,"]")</f>
        <v xml:space="preserve"> (Наружный блок) Максимальный уровень шума: N[]</v>
      </c>
      <c r="X378" t="str">
        <f>CONCATENATE(X$2,": ",X$3,list1!X378,"]")</f>
        <v xml:space="preserve"> (Соединительные трубы) Жидкостная линия : N[6.35]</v>
      </c>
      <c r="Y378" t="str">
        <f>CONCATENATE(Y$2,": ",Y$3,list1!Y378,"]")</f>
        <v xml:space="preserve"> (Соединительные трубы) Газовая линия : N[9.52]</v>
      </c>
      <c r="Z378" t="str">
        <f>CONCATENATE(Z$2,": ",Z$3,list1!Z378,"]")</f>
        <v xml:space="preserve"> (Соединительные трубы) Максимальная длина трубопровода: N[15]</v>
      </c>
      <c r="AA378" t="str">
        <f>CONCATENATE(AA$2,": ",AA$3,list1!AA378,"]")</f>
        <v xml:space="preserve"> (Соединительные трубы) Максимальный перепад высот: S[10]</v>
      </c>
      <c r="AB378" t="str">
        <f>CONCATENATE(AB$2,": ",AB$3,list1!AB378,"]")</f>
        <v xml:space="preserve"> (Допустимая темп. наружного воздуха) Охлаждение: S[от 18 до +43]</v>
      </c>
      <c r="AC378" t="str">
        <f>CONCATENATE(AC$2,": ",AC$3,list1!AC378,"]")</f>
        <v xml:space="preserve"> (Допустимая темп. наружного воздуха) Обогрев: S[от -15 до +24]</v>
      </c>
      <c r="AD378" s="6" t="s">
        <v>5245</v>
      </c>
    </row>
    <row r="379" spans="1:30" x14ac:dyDescent="0.25">
      <c r="A379" t="str">
        <f>CONCATENATE(A$2,": ",A$3,list1!A379,"]")</f>
        <v>Производитель: E[TOSOT]</v>
      </c>
      <c r="B379" t="str">
        <f>CONCATENATE(B$2,": ",B$3,list1!B379,"]")</f>
        <v xml:space="preserve"> Тип: S[Сплит система]</v>
      </c>
      <c r="C379" t="str">
        <f>CONCATENATE(C$2,": ",C$3,list1!C379,"]")</f>
        <v xml:space="preserve"> (Сплит система) Холодопроизводительность: N[2.55]</v>
      </c>
      <c r="D379" t="str">
        <f>CONCATENATE(D$2,": ",D$3,list1!D379,"]")</f>
        <v xml:space="preserve"> (Сплит система) Площадь помещения: N[26]</v>
      </c>
      <c r="E379" t="str">
        <f>CONCATENATE(E$2,": ",E$3,list1!E379,"]")</f>
        <v xml:space="preserve"> (Сплит система) Инвентор: S[нет]</v>
      </c>
      <c r="F379" t="str">
        <f>CONCATENATE(F$2,": ",F$3,list1!F379,"]")</f>
        <v xml:space="preserve"> (Сплит система) Теплопроизводительность: N[2.65]</v>
      </c>
      <c r="G379" t="str">
        <f>CONCATENATE(G$2,": ",G$3,list1!G379,"]")</f>
        <v xml:space="preserve"> (Потребляемая мощность) Охлаждение: N[0.794]</v>
      </c>
      <c r="H379" t="str">
        <f>CONCATENATE(H$2,": ",H$3,list1!H379,"]")</f>
        <v xml:space="preserve"> (Потребляемая мощность) Обогрев: S[0.734]</v>
      </c>
      <c r="I379" t="str">
        <f>CONCATENATE(I$2,": ",I$3,list1!I379,"]")</f>
        <v xml:space="preserve"> (Рабочий ток) Охлаждение: S[]</v>
      </c>
      <c r="J379" t="str">
        <f>CONCATENATE(J$2,": ",J$3,list1!J379,"]")</f>
        <v xml:space="preserve"> (Рабочий ток) Обогрев: S[]</v>
      </c>
      <c r="K379" t="str">
        <f>CONCATENATE(K$2,": ",K$3,list1!K379,"]")</f>
        <v xml:space="preserve"> (Рабочий ток) Напряжение / Частота источника питания: S[1 / 220 / 50]</v>
      </c>
      <c r="L379" t="str">
        <f>CONCATENATE(L$2,": ",L$3,list1!L379,"]")</f>
        <v xml:space="preserve"> (Рабочий ток) Хладагент: S[R410A]</v>
      </c>
      <c r="M379" t="str">
        <f>CONCATENATE(M$2,": ",M$3,list1!M379,"]")</f>
        <v xml:space="preserve"> (Рабочий ток) Количество хладагента: N[]</v>
      </c>
      <c r="N379" t="str">
        <f>CONCATENATE(N$2,": ",N$3,list1!N379,"]")</f>
        <v xml:space="preserve"> (Рабочий ток) Объем рециркулируемого воздуха внутреннего блока: S[]</v>
      </c>
      <c r="O379" t="str">
        <f>CONCATENATE(O$2,": ",O$3,list1!O379,"]")</f>
        <v xml:space="preserve"> (Внутренний блок) Размеры (Ш x Г x В): S[704 х 260 х 185]</v>
      </c>
      <c r="P379" t="str">
        <f>CONCATENATE(P$2,": ",P$3,list1!P379,"]")</f>
        <v xml:space="preserve"> (Внутренний блок) Упаковка (Ш x Г x В): S[748 х 247 х 316]</v>
      </c>
      <c r="Q379" t="str">
        <f>CONCATENATE(Q$2,": ",Q$3,list1!Q379,"]")</f>
        <v xml:space="preserve"> (Внутренний блок) Масса (нетто / брутто): S[7.5 / 8.7]</v>
      </c>
      <c r="R379" t="str">
        <f>CONCATENATE(R$2,": ",R$3,list1!R379,"]")</f>
        <v xml:space="preserve"> (Внутренний блок) Уровень шума мин. / макс.: S[24/27/29/34/36/37/40]</v>
      </c>
      <c r="S379" t="str">
        <f>CONCATENATE(S$2,": ",S$3,list1!S379,"]")</f>
        <v xml:space="preserve"> (Наружный блок) Марка компрессора: S[Gree]</v>
      </c>
      <c r="T379" t="str">
        <f>CONCATENATE(T$2,": ",T$3,list1!T379,"]")</f>
        <v xml:space="preserve"> (Наружный блок) Размеры (Ш x Г x В): S[720 х 310 х 428]</v>
      </c>
      <c r="U379" t="str">
        <f>CONCATENATE(U$2,": ",U$3,list1!U379,"]")</f>
        <v xml:space="preserve"> (Наружный блок) Упаковка (Ш x Г x В): S[765 х 350 х 475]</v>
      </c>
      <c r="V379" t="str">
        <f>CONCATENATE(V$2,": ",V$3,list1!V379,"]")</f>
        <v xml:space="preserve"> (Наружный блок) Масса (нетто / брутто): S[25/27]</v>
      </c>
      <c r="W379" t="str">
        <f>CONCATENATE(W$2,": ",W$3,list1!W379,"]")</f>
        <v xml:space="preserve"> (Наружный блок) Максимальный уровень шума: N[]</v>
      </c>
      <c r="X379" t="str">
        <f>CONCATENATE(X$2,": ",X$3,list1!X379,"]")</f>
        <v xml:space="preserve"> (Соединительные трубы) Жидкостная линия : N[6.35]</v>
      </c>
      <c r="Y379" t="str">
        <f>CONCATENATE(Y$2,": ",Y$3,list1!Y379,"]")</f>
        <v xml:space="preserve"> (Соединительные трубы) Газовая линия : N[9.52]</v>
      </c>
      <c r="Z379" t="str">
        <f>CONCATENATE(Z$2,": ",Z$3,list1!Z379,"]")</f>
        <v xml:space="preserve"> (Соединительные трубы) Максимальная длина трубопровода: N[15]</v>
      </c>
      <c r="AA379" t="str">
        <f>CONCATENATE(AA$2,": ",AA$3,list1!AA379,"]")</f>
        <v xml:space="preserve"> (Соединительные трубы) Максимальный перепад высот: S[10]</v>
      </c>
      <c r="AB379" t="str">
        <f>CONCATENATE(AB$2,": ",AB$3,list1!AB379,"]")</f>
        <v xml:space="preserve"> (Допустимая темп. наружного воздуха) Охлаждение: S[от 18 до +43]</v>
      </c>
      <c r="AC379" t="str">
        <f>CONCATENATE(AC$2,": ",AC$3,list1!AC379,"]")</f>
        <v xml:space="preserve"> (Допустимая темп. наружного воздуха) Обогрев: S[от -15 до +24]</v>
      </c>
      <c r="AD379" s="6" t="s">
        <v>5245</v>
      </c>
    </row>
    <row r="380" spans="1:30" x14ac:dyDescent="0.25">
      <c r="A380" t="str">
        <f>CONCATENATE(A$2,": ",A$3,list1!A380,"]")</f>
        <v>Производитель: E[TOSOT]</v>
      </c>
      <c r="B380" t="str">
        <f>CONCATENATE(B$2,": ",B$3,list1!B380,"]")</f>
        <v xml:space="preserve"> Тип: S[Сплит система]</v>
      </c>
      <c r="C380" t="str">
        <f>CONCATENATE(C$2,": ",C$3,list1!C380,"]")</f>
        <v xml:space="preserve"> (Сплит система) Холодопроизводительность: N[2.55]</v>
      </c>
      <c r="D380" t="str">
        <f>CONCATENATE(D$2,": ",D$3,list1!D380,"]")</f>
        <v xml:space="preserve"> (Сплит система) Площадь помещения: N[26]</v>
      </c>
      <c r="E380" t="str">
        <f>CONCATENATE(E$2,": ",E$3,list1!E380,"]")</f>
        <v xml:space="preserve"> (Сплит система) Инвентор: S[нет]</v>
      </c>
      <c r="F380" t="str">
        <f>CONCATENATE(F$2,": ",F$3,list1!F380,"]")</f>
        <v xml:space="preserve"> (Сплит система) Теплопроизводительность: N[2.65]</v>
      </c>
      <c r="G380" t="str">
        <f>CONCATENATE(G$2,": ",G$3,list1!G380,"]")</f>
        <v xml:space="preserve"> (Потребляемая мощность) Охлаждение: N[0.794]</v>
      </c>
      <c r="H380" t="str">
        <f>CONCATENATE(H$2,": ",H$3,list1!H380,"]")</f>
        <v xml:space="preserve"> (Потребляемая мощность) Обогрев: S[0.734]</v>
      </c>
      <c r="I380" t="str">
        <f>CONCATENATE(I$2,": ",I$3,list1!I380,"]")</f>
        <v xml:space="preserve"> (Рабочий ток) Охлаждение: S[]</v>
      </c>
      <c r="J380" t="str">
        <f>CONCATENATE(J$2,": ",J$3,list1!J380,"]")</f>
        <v xml:space="preserve"> (Рабочий ток) Обогрев: S[]</v>
      </c>
      <c r="K380" t="str">
        <f>CONCATENATE(K$2,": ",K$3,list1!K380,"]")</f>
        <v xml:space="preserve"> (Рабочий ток) Напряжение / Частота источника питания: S[1 / 220 / 50]</v>
      </c>
      <c r="L380" t="str">
        <f>CONCATENATE(L$2,": ",L$3,list1!L380,"]")</f>
        <v xml:space="preserve"> (Рабочий ток) Хладагент: S[R410A]</v>
      </c>
      <c r="M380" t="str">
        <f>CONCATENATE(M$2,": ",M$3,list1!M380,"]")</f>
        <v xml:space="preserve"> (Рабочий ток) Количество хладагента: N[]</v>
      </c>
      <c r="N380" t="str">
        <f>CONCATENATE(N$2,": ",N$3,list1!N380,"]")</f>
        <v xml:space="preserve"> (Рабочий ток) Объем рециркулируемого воздуха внутреннего блока: S[]</v>
      </c>
      <c r="O380" t="str">
        <f>CONCATENATE(O$2,": ",O$3,list1!O380,"]")</f>
        <v xml:space="preserve"> (Внутренний блок) Размеры (Ш x Г x В): S[704 х 260 х 185]</v>
      </c>
      <c r="P380" t="str">
        <f>CONCATENATE(P$2,": ",P$3,list1!P380,"]")</f>
        <v xml:space="preserve"> (Внутренний блок) Упаковка (Ш x Г x В): S[748 х 247 х 316]</v>
      </c>
      <c r="Q380" t="str">
        <f>CONCATENATE(Q$2,": ",Q$3,list1!Q380,"]")</f>
        <v xml:space="preserve"> (Внутренний блок) Масса (нетто / брутто): S[7.6 / 8.8]</v>
      </c>
      <c r="R380" t="str">
        <f>CONCATENATE(R$2,": ",R$3,list1!R380,"]")</f>
        <v xml:space="preserve"> (Внутренний блок) Уровень шума мин. / макс.: S[25/31/37/40]</v>
      </c>
      <c r="S380" t="str">
        <f>CONCATENATE(S$2,": ",S$3,list1!S380,"]")</f>
        <v xml:space="preserve"> (Наружный блок) Марка компрессора: S[Gree]</v>
      </c>
      <c r="T380" t="str">
        <f>CONCATENATE(T$2,": ",T$3,list1!T380,"]")</f>
        <v xml:space="preserve"> (Наружный блок) Размеры (Ш x Г x В): S[710 х 293 х 450]</v>
      </c>
      <c r="U380" t="str">
        <f>CONCATENATE(U$2,": ",U$3,list1!U380,"]")</f>
        <v xml:space="preserve"> (Наружный блок) Упаковка (Ш x Г x В): S[761 х 327 х 500]</v>
      </c>
      <c r="V380" t="str">
        <f>CONCATENATE(V$2,": ",V$3,list1!V380,"]")</f>
        <v xml:space="preserve"> (Наружный блок) Масса (нетто / брутто): S[24.7/26.7]</v>
      </c>
      <c r="W380" t="str">
        <f>CONCATENATE(W$2,": ",W$3,list1!W380,"]")</f>
        <v xml:space="preserve"> (Наружный блок) Максимальный уровень шума: N[]</v>
      </c>
      <c r="X380" t="str">
        <f>CONCATENATE(X$2,": ",X$3,list1!X380,"]")</f>
        <v xml:space="preserve"> (Соединительные трубы) Жидкостная линия : N[6.35]</v>
      </c>
      <c r="Y380" t="str">
        <f>CONCATENATE(Y$2,": ",Y$3,list1!Y380,"]")</f>
        <v xml:space="preserve"> (Соединительные трубы) Газовая линия : N[9.52]</v>
      </c>
      <c r="Z380" t="str">
        <f>CONCATENATE(Z$2,": ",Z$3,list1!Z380,"]")</f>
        <v xml:space="preserve"> (Соединительные трубы) Максимальная длина трубопровода: N[15]</v>
      </c>
      <c r="AA380" t="str">
        <f>CONCATENATE(AA$2,": ",AA$3,list1!AA380,"]")</f>
        <v xml:space="preserve"> (Соединительные трубы) Максимальный перепад высот: S[10]</v>
      </c>
      <c r="AB380" t="str">
        <f>CONCATENATE(AB$2,": ",AB$3,list1!AB380,"]")</f>
        <v xml:space="preserve"> (Допустимая темп. наружного воздуха) Охлаждение: S[от 18 до +43]</v>
      </c>
      <c r="AC380" t="str">
        <f>CONCATENATE(AC$2,": ",AC$3,list1!AC380,"]")</f>
        <v xml:space="preserve"> (Допустимая темп. наружного воздуха) Обогрев: S[от -15 до +24]</v>
      </c>
      <c r="AD380" s="6" t="s">
        <v>5245</v>
      </c>
    </row>
    <row r="381" spans="1:30" x14ac:dyDescent="0.25">
      <c r="A381" t="str">
        <f>CONCATENATE(A$2,": ",A$3,list1!A381,"]")</f>
        <v>Производитель: E[TOSOT]</v>
      </c>
      <c r="B381" t="str">
        <f>CONCATENATE(B$2,": ",B$3,list1!B381,"]")</f>
        <v xml:space="preserve"> Тип: S[Сплит система]</v>
      </c>
      <c r="C381" t="str">
        <f>CONCATENATE(C$2,": ",C$3,list1!C381,"]")</f>
        <v xml:space="preserve"> (Сплит система) Холодопроизводительность: N[3.25]</v>
      </c>
      <c r="D381" t="str">
        <f>CONCATENATE(D$2,": ",D$3,list1!D381,"]")</f>
        <v xml:space="preserve"> (Сплит система) Площадь помещения: N[33]</v>
      </c>
      <c r="E381" t="str">
        <f>CONCATENATE(E$2,": ",E$3,list1!E381,"]")</f>
        <v xml:space="preserve"> (Сплит система) Инвентор: S[нет]</v>
      </c>
      <c r="F381" t="str">
        <f>CONCATENATE(F$2,": ",F$3,list1!F381,"]")</f>
        <v xml:space="preserve"> (Сплит система) Теплопроизводительность: N[3.4]</v>
      </c>
      <c r="G381" t="str">
        <f>CONCATENATE(G$2,": ",G$3,list1!G381,"]")</f>
        <v xml:space="preserve"> (Потребляемая мощность) Охлаждение: N[0.985]</v>
      </c>
      <c r="H381" t="str">
        <f>CONCATENATE(H$2,": ",H$3,list1!H381,"]")</f>
        <v xml:space="preserve"> (Потребляемая мощность) Обогрев: S[0.941]</v>
      </c>
      <c r="I381" t="str">
        <f>CONCATENATE(I$2,": ",I$3,list1!I381,"]")</f>
        <v xml:space="preserve"> (Рабочий ток) Охлаждение: S[]</v>
      </c>
      <c r="J381" t="str">
        <f>CONCATENATE(J$2,": ",J$3,list1!J381,"]")</f>
        <v xml:space="preserve"> (Рабочий ток) Обогрев: S[]</v>
      </c>
      <c r="K381" t="str">
        <f>CONCATENATE(K$2,": ",K$3,list1!K381,"]")</f>
        <v xml:space="preserve"> (Рабочий ток) Напряжение / Частота источника питания: S[1 / 220 / 50]</v>
      </c>
      <c r="L381" t="str">
        <f>CONCATENATE(L$2,": ",L$3,list1!L381,"]")</f>
        <v xml:space="preserve"> (Рабочий ток) Хладагент: S[R410A]</v>
      </c>
      <c r="M381" t="str">
        <f>CONCATENATE(M$2,": ",M$3,list1!M381,"]")</f>
        <v xml:space="preserve"> (Рабочий ток) Количество хладагента: N[]</v>
      </c>
      <c r="N381" t="str">
        <f>CONCATENATE(N$2,": ",N$3,list1!N381,"]")</f>
        <v xml:space="preserve"> (Рабочий ток) Объем рециркулируемого воздуха внутреннего блока: S[]</v>
      </c>
      <c r="O381" t="str">
        <f>CONCATENATE(O$2,": ",O$3,list1!O381,"]")</f>
        <v xml:space="preserve"> (Внутренний блок) Размеры (Ш x Г x В): S[779 х 260 х 185]</v>
      </c>
      <c r="P381" t="str">
        <f>CONCATENATE(P$2,": ",P$3,list1!P381,"]")</f>
        <v xml:space="preserve"> (Внутренний блок) Упаковка (Ш x Г x В): S[823 х 247 х 316]</v>
      </c>
      <c r="Q381" t="str">
        <f>CONCATENATE(Q$2,": ",Q$3,list1!Q381,"]")</f>
        <v xml:space="preserve"> (Внутренний блок) Масса (нетто / брутто): S[8.2 / 9.7]</v>
      </c>
      <c r="R381" t="str">
        <f>CONCATENATE(R$2,": ",R$3,list1!R381,"]")</f>
        <v xml:space="preserve"> (Внутренний блок) Уровень шума мин. / макс.: S[28/30/33/34/36/37/41]</v>
      </c>
      <c r="S381" t="str">
        <f>CONCATENATE(S$2,": ",S$3,list1!S381,"]")</f>
        <v xml:space="preserve"> (Наружный блок) Марка компрессора: S[Gree]</v>
      </c>
      <c r="T381" t="str">
        <f>CONCATENATE(T$2,": ",T$3,list1!T381,"]")</f>
        <v xml:space="preserve"> (Наружный блок) Размеры (Ш x Г x В): S[782 х 320 х 540]</v>
      </c>
      <c r="U381" t="str">
        <f>CONCATENATE(U$2,": ",U$3,list1!U381,"]")</f>
        <v xml:space="preserve"> (Наружный блок) Упаковка (Ш x Г x В): S[820 х 355 х 580]</v>
      </c>
      <c r="V381" t="str">
        <f>CONCATENATE(V$2,": ",V$3,list1!V381,"]")</f>
        <v xml:space="preserve"> (Наружный блок) Масса (нетто / брутто): S[29.2/31.7]</v>
      </c>
      <c r="W381" t="str">
        <f>CONCATENATE(W$2,": ",W$3,list1!W381,"]")</f>
        <v xml:space="preserve"> (Наружный блок) Максимальный уровень шума: N[]</v>
      </c>
      <c r="X381" t="str">
        <f>CONCATENATE(X$2,": ",X$3,list1!X381,"]")</f>
        <v xml:space="preserve"> (Соединительные трубы) Жидкостная линия : N[6.35]</v>
      </c>
      <c r="Y381" t="str">
        <f>CONCATENATE(Y$2,": ",Y$3,list1!Y381,"]")</f>
        <v xml:space="preserve"> (Соединительные трубы) Газовая линия : N[12.7]</v>
      </c>
      <c r="Z381" t="str">
        <f>CONCATENATE(Z$2,": ",Z$3,list1!Z381,"]")</f>
        <v xml:space="preserve"> (Соединительные трубы) Максимальная длина трубопровода: N[20]</v>
      </c>
      <c r="AA381" t="str">
        <f>CONCATENATE(AA$2,": ",AA$3,list1!AA381,"]")</f>
        <v xml:space="preserve"> (Соединительные трубы) Максимальный перепад высот: S[10]</v>
      </c>
      <c r="AB381" t="str">
        <f>CONCATENATE(AB$2,": ",AB$3,list1!AB381,"]")</f>
        <v xml:space="preserve"> (Допустимая темп. наружного воздуха) Охлаждение: S[от 18 до +43]</v>
      </c>
      <c r="AC381" t="str">
        <f>CONCATENATE(AC$2,": ",AC$3,list1!AC381,"]")</f>
        <v xml:space="preserve"> (Допустимая темп. наружного воздуха) Обогрев: S[от -15 до +24]</v>
      </c>
      <c r="AD381" s="6" t="s">
        <v>5245</v>
      </c>
    </row>
    <row r="382" spans="1:30" x14ac:dyDescent="0.25">
      <c r="A382" t="str">
        <f>CONCATENATE(A$2,": ",A$3,list1!A382,"]")</f>
        <v>Производитель: E[TOSOT]</v>
      </c>
      <c r="B382" t="str">
        <f>CONCATENATE(B$2,": ",B$3,list1!B382,"]")</f>
        <v xml:space="preserve"> Тип: S[Сплит система]</v>
      </c>
      <c r="C382" t="str">
        <f>CONCATENATE(C$2,": ",C$3,list1!C382,"]")</f>
        <v xml:space="preserve"> (Сплит система) Холодопроизводительность: N[3.25]</v>
      </c>
      <c r="D382" t="str">
        <f>CONCATENATE(D$2,": ",D$3,list1!D382,"]")</f>
        <v xml:space="preserve"> (Сплит система) Площадь помещения: N[33]</v>
      </c>
      <c r="E382" t="str">
        <f>CONCATENATE(E$2,": ",E$3,list1!E382,"]")</f>
        <v xml:space="preserve"> (Сплит система) Инвентор: S[нет]</v>
      </c>
      <c r="F382" t="str">
        <f>CONCATENATE(F$2,": ",F$3,list1!F382,"]")</f>
        <v xml:space="preserve"> (Сплит система) Теплопроизводительность: N[3.4]</v>
      </c>
      <c r="G382" t="str">
        <f>CONCATENATE(G$2,": ",G$3,list1!G382,"]")</f>
        <v xml:space="preserve"> (Потребляемая мощность) Охлаждение: N[1.009]</v>
      </c>
      <c r="H382" t="str">
        <f>CONCATENATE(H$2,": ",H$3,list1!H382,"]")</f>
        <v xml:space="preserve"> (Потребляемая мощность) Обогрев: S[0.942]</v>
      </c>
      <c r="I382" t="str">
        <f>CONCATENATE(I$2,": ",I$3,list1!I382,"]")</f>
        <v xml:space="preserve"> (Рабочий ток) Охлаждение: S[]</v>
      </c>
      <c r="J382" t="str">
        <f>CONCATENATE(J$2,": ",J$3,list1!J382,"]")</f>
        <v xml:space="preserve"> (Рабочий ток) Обогрев: S[]</v>
      </c>
      <c r="K382" t="str">
        <f>CONCATENATE(K$2,": ",K$3,list1!K382,"]")</f>
        <v xml:space="preserve"> (Рабочий ток) Напряжение / Частота источника питания: S[1 / 220 / 50]</v>
      </c>
      <c r="L382" t="str">
        <f>CONCATENATE(L$2,": ",L$3,list1!L382,"]")</f>
        <v xml:space="preserve"> (Рабочий ток) Хладагент: S[R410A]</v>
      </c>
      <c r="M382" t="str">
        <f>CONCATENATE(M$2,": ",M$3,list1!M382,"]")</f>
        <v xml:space="preserve"> (Рабочий ток) Количество хладагента: N[]</v>
      </c>
      <c r="N382" t="str">
        <f>CONCATENATE(N$2,": ",N$3,list1!N382,"]")</f>
        <v xml:space="preserve"> (Рабочий ток) Объем рециркулируемого воздуха внутреннего блока: S[]</v>
      </c>
      <c r="O382" t="str">
        <f>CONCATENATE(O$2,": ",O$3,list1!O382,"]")</f>
        <v xml:space="preserve"> (Внутренний блок) Размеры (Ш x Г x В): S[779 х 260 х 185]</v>
      </c>
      <c r="P382" t="str">
        <f>CONCATENATE(P$2,": ",P$3,list1!P382,"]")</f>
        <v xml:space="preserve"> (Внутренний блок) Упаковка (Ш x Г x В): S[823 х 247 х 316]</v>
      </c>
      <c r="Q382" t="str">
        <f>CONCATENATE(Q$2,": ",Q$3,list1!Q382,"]")</f>
        <v xml:space="preserve"> (Внутренний блок) Масса (нетто / брутто): S[8.5 / 10]</v>
      </c>
      <c r="R382" t="str">
        <f>CONCATENATE(R$2,": ",R$3,list1!R382,"]")</f>
        <v xml:space="preserve"> (Внутренний блок) Уровень шума мин. / макс.: S[30/34/37/40]</v>
      </c>
      <c r="S382" t="str">
        <f>CONCATENATE(S$2,": ",S$3,list1!S382,"]")</f>
        <v xml:space="preserve"> (Наружный блок) Марка компрессора: S[Gree]</v>
      </c>
      <c r="T382" t="str">
        <f>CONCATENATE(T$2,": ",T$3,list1!T382,"]")</f>
        <v xml:space="preserve"> (Наружный блок) Размеры (Ш x Г x В): S[732 х 330 х 555]</v>
      </c>
      <c r="U382" t="str">
        <f>CONCATENATE(U$2,": ",U$3,list1!U382,"]")</f>
        <v xml:space="preserve"> (Наружный блок) Упаковка (Ш x Г x В): S[791 х 373 х 590]</v>
      </c>
      <c r="V382" t="str">
        <f>CONCATENATE(V$2,": ",V$3,list1!V382,"]")</f>
        <v xml:space="preserve"> (Наружный блок) Масса (нетто / брутто): S[28/30.5]</v>
      </c>
      <c r="W382" t="str">
        <f>CONCATENATE(W$2,": ",W$3,list1!W382,"]")</f>
        <v xml:space="preserve"> (Наружный блок) Максимальный уровень шума: N[]</v>
      </c>
      <c r="X382" t="str">
        <f>CONCATENATE(X$2,": ",X$3,list1!X382,"]")</f>
        <v xml:space="preserve"> (Соединительные трубы) Жидкостная линия : N[6.35]</v>
      </c>
      <c r="Y382" t="str">
        <f>CONCATENATE(Y$2,": ",Y$3,list1!Y382,"]")</f>
        <v xml:space="preserve"> (Соединительные трубы) Газовая линия : N[12.7]</v>
      </c>
      <c r="Z382" t="str">
        <f>CONCATENATE(Z$2,": ",Z$3,list1!Z382,"]")</f>
        <v xml:space="preserve"> (Соединительные трубы) Максимальная длина трубопровода: N[20]</v>
      </c>
      <c r="AA382" t="str">
        <f>CONCATENATE(AA$2,": ",AA$3,list1!AA382,"]")</f>
        <v xml:space="preserve"> (Соединительные трубы) Максимальный перепад высот: S[10]</v>
      </c>
      <c r="AB382" t="str">
        <f>CONCATENATE(AB$2,": ",AB$3,list1!AB382,"]")</f>
        <v xml:space="preserve"> (Допустимая темп. наружного воздуха) Охлаждение: S[от 18 до +43]</v>
      </c>
      <c r="AC382" t="str">
        <f>CONCATENATE(AC$2,": ",AC$3,list1!AC382,"]")</f>
        <v xml:space="preserve"> (Допустимая темп. наружного воздуха) Обогрев: S[от -15 до +24]</v>
      </c>
      <c r="AD382" s="6" t="s">
        <v>5245</v>
      </c>
    </row>
    <row r="383" spans="1:30" x14ac:dyDescent="0.25">
      <c r="A383" t="str">
        <f>CONCATENATE(A$2,": ",A$3,list1!A383,"]")</f>
        <v>Производитель: E[TOSOT]</v>
      </c>
      <c r="B383" t="str">
        <f>CONCATENATE(B$2,": ",B$3,list1!B383,"]")</f>
        <v xml:space="preserve"> Тип: S[Сплит система]</v>
      </c>
      <c r="C383" t="str">
        <f>CONCATENATE(C$2,": ",C$3,list1!C383,"]")</f>
        <v xml:space="preserve"> (Сплит система) Холодопроизводительность: N[4.8]</v>
      </c>
      <c r="D383" t="str">
        <f>CONCATENATE(D$2,": ",D$3,list1!D383,"]")</f>
        <v xml:space="preserve"> (Сплит система) Площадь помещения: N[48]</v>
      </c>
      <c r="E383" t="str">
        <f>CONCATENATE(E$2,": ",E$3,list1!E383,"]")</f>
        <v xml:space="preserve"> (Сплит система) Инвентор: S[нет]</v>
      </c>
      <c r="F383" t="str">
        <f>CONCATENATE(F$2,": ",F$3,list1!F383,"]")</f>
        <v xml:space="preserve"> (Сплит система) Теплопроизводительность: N[5.3]</v>
      </c>
      <c r="G383" t="str">
        <f>CONCATENATE(G$2,": ",G$3,list1!G383,"]")</f>
        <v xml:space="preserve"> (Потребляемая мощность) Охлаждение: N[1.476]</v>
      </c>
      <c r="H383" t="str">
        <f>CONCATENATE(H$2,": ",H$3,list1!H383,"]")</f>
        <v xml:space="preserve"> (Потребляемая мощность) Обогрев: S[1.468]</v>
      </c>
      <c r="I383" t="str">
        <f>CONCATENATE(I$2,": ",I$3,list1!I383,"]")</f>
        <v xml:space="preserve"> (Рабочий ток) Охлаждение: S[]</v>
      </c>
      <c r="J383" t="str">
        <f>CONCATENATE(J$2,": ",J$3,list1!J383,"]")</f>
        <v xml:space="preserve"> (Рабочий ток) Обогрев: S[]</v>
      </c>
      <c r="K383" t="str">
        <f>CONCATENATE(K$2,": ",K$3,list1!K383,"]")</f>
        <v xml:space="preserve"> (Рабочий ток) Напряжение / Частота источника питания: S[1 / 220 / 50]</v>
      </c>
      <c r="L383" t="str">
        <f>CONCATENATE(L$2,": ",L$3,list1!L383,"]")</f>
        <v xml:space="preserve"> (Рабочий ток) Хладагент: S[R410A]</v>
      </c>
      <c r="M383" t="str">
        <f>CONCATENATE(M$2,": ",M$3,list1!M383,"]")</f>
        <v xml:space="preserve"> (Рабочий ток) Количество хладагента: N[]</v>
      </c>
      <c r="N383" t="str">
        <f>CONCATENATE(N$2,": ",N$3,list1!N383,"]")</f>
        <v xml:space="preserve"> (Рабочий ток) Объем рециркулируемого воздуха внутреннего блока: S[]</v>
      </c>
      <c r="O383" t="str">
        <f>CONCATENATE(O$2,": ",O$3,list1!O383,"]")</f>
        <v xml:space="preserve"> (Внутренний блок) Размеры (Ш x Г x В): S[825 х 293 х 196]</v>
      </c>
      <c r="P383" t="str">
        <f>CONCATENATE(P$2,": ",P$3,list1!P383,"]")</f>
        <v xml:space="preserve"> (Внутренний блок) Упаковка (Ш x Г x В): S[870 х 257 х 349]</v>
      </c>
      <c r="Q383" t="str">
        <f>CONCATENATE(Q$2,": ",Q$3,list1!Q383,"]")</f>
        <v xml:space="preserve"> (Внутренний блок) Масса (нетто / брутто): S[10.3 / 11.9]</v>
      </c>
      <c r="R383" t="str">
        <f>CONCATENATE(R$2,": ",R$3,list1!R383,"]")</f>
        <v xml:space="preserve"> (Внутренний блок) Уровень шума мин. / макс.: S[32/34/35/36/38/39/40]</v>
      </c>
      <c r="S383" t="str">
        <f>CONCATENATE(S$2,": ",S$3,list1!S383,"]")</f>
        <v xml:space="preserve"> (Наружный блок) Марка компрессора: S[Gree]</v>
      </c>
      <c r="T383" t="str">
        <f>CONCATENATE(T$2,": ",T$3,list1!T383,"]")</f>
        <v xml:space="preserve"> (Наружный блок) Размеры (Ш x Г x В): S[848 х 320 х 540]</v>
      </c>
      <c r="U383" t="str">
        <f>CONCATENATE(U$2,": ",U$3,list1!U383,"]")</f>
        <v xml:space="preserve"> (Наружный блок) Упаковка (Ш x Г x В): S[878 х 360 х 580]</v>
      </c>
      <c r="V383" t="str">
        <f>CONCATENATE(V$2,": ",V$3,list1!V383,"]")</f>
        <v xml:space="preserve"> (Наружный блок) Масса (нетто / брутто): S[38/40.5]</v>
      </c>
      <c r="W383" t="str">
        <f>CONCATENATE(W$2,": ",W$3,list1!W383,"]")</f>
        <v xml:space="preserve"> (Наружный блок) Максимальный уровень шума: N[]</v>
      </c>
      <c r="X383" t="str">
        <f>CONCATENATE(X$2,": ",X$3,list1!X383,"]")</f>
        <v xml:space="preserve"> (Соединительные трубы) Жидкостная линия : N[6.35]</v>
      </c>
      <c r="Y383" t="str">
        <f>CONCATENATE(Y$2,": ",Y$3,list1!Y383,"]")</f>
        <v xml:space="preserve"> (Соединительные трубы) Газовая линия : N[12.7]</v>
      </c>
      <c r="Z383" t="str">
        <f>CONCATENATE(Z$2,": ",Z$3,list1!Z383,"]")</f>
        <v xml:space="preserve"> (Соединительные трубы) Максимальная длина трубопровода: N[25]</v>
      </c>
      <c r="AA383" t="str">
        <f>CONCATENATE(AA$2,": ",AA$3,list1!AA383,"]")</f>
        <v xml:space="preserve"> (Соединительные трубы) Максимальный перепад высот: S[10]</v>
      </c>
      <c r="AB383" t="str">
        <f>CONCATENATE(AB$2,": ",AB$3,list1!AB383,"]")</f>
        <v xml:space="preserve"> (Допустимая темп. наружного воздуха) Охлаждение: S[от 18 до +43]</v>
      </c>
      <c r="AC383" t="str">
        <f>CONCATENATE(AC$2,": ",AC$3,list1!AC383,"]")</f>
        <v xml:space="preserve"> (Допустимая темп. наружного воздуха) Обогрев: S[от -15 до +24]</v>
      </c>
      <c r="AD383" s="6" t="s">
        <v>5245</v>
      </c>
    </row>
    <row r="384" spans="1:30" x14ac:dyDescent="0.25">
      <c r="A384" t="str">
        <f>CONCATENATE(A$2,": ",A$3,list1!A384,"]")</f>
        <v>Производитель: E[TOSOT]</v>
      </c>
      <c r="B384" t="str">
        <f>CONCATENATE(B$2,": ",B$3,list1!B384,"]")</f>
        <v xml:space="preserve"> Тип: S[Сплит система]</v>
      </c>
      <c r="C384" t="str">
        <f>CONCATENATE(C$2,": ",C$3,list1!C384,"]")</f>
        <v xml:space="preserve"> (Сплит система) Холодопроизводительность: N[4.8]</v>
      </c>
      <c r="D384" t="str">
        <f>CONCATENATE(D$2,": ",D$3,list1!D384,"]")</f>
        <v xml:space="preserve"> (Сплит система) Площадь помещения: N[48]</v>
      </c>
      <c r="E384" t="str">
        <f>CONCATENATE(E$2,": ",E$3,list1!E384,"]")</f>
        <v xml:space="preserve"> (Сплит система) Инвентор: S[нет]</v>
      </c>
      <c r="F384" t="str">
        <f>CONCATENATE(F$2,": ",F$3,list1!F384,"]")</f>
        <v xml:space="preserve"> (Сплит система) Теплопроизводительность: N[5.16]</v>
      </c>
      <c r="G384" t="str">
        <f>CONCATENATE(G$2,": ",G$3,list1!G384,"]")</f>
        <v xml:space="preserve"> (Потребляемая мощность) Охлаждение: N[1.477]</v>
      </c>
      <c r="H384" t="str">
        <f>CONCATENATE(H$2,": ",H$3,list1!H384,"]")</f>
        <v xml:space="preserve"> (Потребляемая мощность) Обогрев: S[1.428]</v>
      </c>
      <c r="I384" t="str">
        <f>CONCATENATE(I$2,": ",I$3,list1!I384,"]")</f>
        <v xml:space="preserve"> (Рабочий ток) Охлаждение: S[]</v>
      </c>
      <c r="J384" t="str">
        <f>CONCATENATE(J$2,": ",J$3,list1!J384,"]")</f>
        <v xml:space="preserve"> (Рабочий ток) Обогрев: S[]</v>
      </c>
      <c r="K384" t="str">
        <f>CONCATENATE(K$2,": ",K$3,list1!K384,"]")</f>
        <v xml:space="preserve"> (Рабочий ток) Напряжение / Частота источника питания: S[1 / 220 / 50]</v>
      </c>
      <c r="L384" t="str">
        <f>CONCATENATE(L$2,": ",L$3,list1!L384,"]")</f>
        <v xml:space="preserve"> (Рабочий ток) Хладагент: S[R410A]</v>
      </c>
      <c r="M384" t="str">
        <f>CONCATENATE(M$2,": ",M$3,list1!M384,"]")</f>
        <v xml:space="preserve"> (Рабочий ток) Количество хладагента: N[]</v>
      </c>
      <c r="N384" t="str">
        <f>CONCATENATE(N$2,": ",N$3,list1!N384,"]")</f>
        <v xml:space="preserve"> (Рабочий ток) Объем рециркулируемого воздуха внутреннего блока: S[]</v>
      </c>
      <c r="O384" t="str">
        <f>CONCATENATE(O$2,": ",O$3,list1!O384,"]")</f>
        <v xml:space="preserve"> (Внутренний блок) Размеры (Ш x Г x В): S[825 х 293 х 196]</v>
      </c>
      <c r="P384" t="str">
        <f>CONCATENATE(P$2,": ",P$3,list1!P384,"]")</f>
        <v xml:space="preserve"> (Внутренний блок) Упаковка (Ш x Г x В): S[870 х 257 х 349]</v>
      </c>
      <c r="Q384" t="str">
        <f>CONCATENATE(Q$2,": ",Q$3,list1!Q384,"]")</f>
        <v xml:space="preserve"> (Внутренний блок) Масса (нетто / брутто): S[10.3 / 11.9]</v>
      </c>
      <c r="R384" t="str">
        <f>CONCATENATE(R$2,": ",R$3,list1!R384,"]")</f>
        <v xml:space="preserve"> (Внутренний блок) Уровень шума мин. / макс.: S[34/36/40/41]</v>
      </c>
      <c r="S384" t="str">
        <f>CONCATENATE(S$2,": ",S$3,list1!S384,"]")</f>
        <v xml:space="preserve"> (Наружный блок) Марка компрессора: S[Gree]</v>
      </c>
      <c r="T384" t="str">
        <f>CONCATENATE(T$2,": ",T$3,list1!T384,"]")</f>
        <v xml:space="preserve"> (Наружный блок) Размеры (Ш x Г x В): S[802 х 350 х 555]</v>
      </c>
      <c r="U384" t="str">
        <f>CONCATENATE(U$2,": ",U$3,list1!U384,"]")</f>
        <v xml:space="preserve"> (Наружный блок) Упаковка (Ш x Г x В): S[869 х 395 х 594]</v>
      </c>
      <c r="V384" t="str">
        <f>CONCATENATE(V$2,": ",V$3,list1!V384,"]")</f>
        <v xml:space="preserve"> (Наружный блок) Масса (нетто / брутто): S[38.5/41]</v>
      </c>
      <c r="W384" t="str">
        <f>CONCATENATE(W$2,": ",W$3,list1!W384,"]")</f>
        <v xml:space="preserve"> (Наружный блок) Максимальный уровень шума: N[]</v>
      </c>
      <c r="X384" t="str">
        <f>CONCATENATE(X$2,": ",X$3,list1!X384,"]")</f>
        <v xml:space="preserve"> (Соединительные трубы) Жидкостная линия : N[6.35]</v>
      </c>
      <c r="Y384" t="str">
        <f>CONCATENATE(Y$2,": ",Y$3,list1!Y384,"]")</f>
        <v xml:space="preserve"> (Соединительные трубы) Газовая линия : N[12.7]</v>
      </c>
      <c r="Z384" t="str">
        <f>CONCATENATE(Z$2,": ",Z$3,list1!Z384,"]")</f>
        <v xml:space="preserve"> (Соединительные трубы) Максимальная длина трубопровода: N[25]</v>
      </c>
      <c r="AA384" t="str">
        <f>CONCATENATE(AA$2,": ",AA$3,list1!AA384,"]")</f>
        <v xml:space="preserve"> (Соединительные трубы) Максимальный перепад высот: S[10]</v>
      </c>
      <c r="AB384" t="str">
        <f>CONCATENATE(AB$2,": ",AB$3,list1!AB384,"]")</f>
        <v xml:space="preserve"> (Допустимая темп. наружного воздуха) Охлаждение: S[от 18 до +43]</v>
      </c>
      <c r="AC384" t="str">
        <f>CONCATENATE(AC$2,": ",AC$3,list1!AC384,"]")</f>
        <v xml:space="preserve"> (Допустимая темп. наружного воздуха) Обогрев: S[от -15 до +24]</v>
      </c>
      <c r="AD384" s="6" t="s">
        <v>5245</v>
      </c>
    </row>
    <row r="385" spans="1:30" x14ac:dyDescent="0.25">
      <c r="A385" t="str">
        <f>CONCATENATE(A$2,": ",A$3,list1!A385,"]")</f>
        <v>Производитель: E[TOSOT]</v>
      </c>
      <c r="B385" t="str">
        <f>CONCATENATE(B$2,": ",B$3,list1!B385,"]")</f>
        <v xml:space="preserve"> Тип: S[Сплит система]</v>
      </c>
      <c r="C385" t="str">
        <f>CONCATENATE(C$2,": ",C$3,list1!C385,"]")</f>
        <v xml:space="preserve"> (Сплит система) Холодопроизводительность: N[6.2]</v>
      </c>
      <c r="D385" t="str">
        <f>CONCATENATE(D$2,": ",D$3,list1!D385,"]")</f>
        <v xml:space="preserve"> (Сплит система) Площадь помещения: N[62]</v>
      </c>
      <c r="E385" t="str">
        <f>CONCATENATE(E$2,": ",E$3,list1!E385,"]")</f>
        <v xml:space="preserve"> (Сплит система) Инвентор: S[нет]</v>
      </c>
      <c r="F385" t="str">
        <f>CONCATENATE(F$2,": ",F$3,list1!F385,"]")</f>
        <v xml:space="preserve"> (Сплит система) Теплопроизводительность: N[6.7]</v>
      </c>
      <c r="G385" t="str">
        <f>CONCATENATE(G$2,": ",G$3,list1!G385,"]")</f>
        <v xml:space="preserve"> (Потребляемая мощность) Охлаждение: N[1.907]</v>
      </c>
      <c r="H385" t="str">
        <f>CONCATENATE(H$2,": ",H$3,list1!H385,"]")</f>
        <v xml:space="preserve"> (Потребляемая мощность) Обогрев: S[1.856]</v>
      </c>
      <c r="I385" t="str">
        <f>CONCATENATE(I$2,": ",I$3,list1!I385,"]")</f>
        <v xml:space="preserve"> (Рабочий ток) Охлаждение: S[]</v>
      </c>
      <c r="J385" t="str">
        <f>CONCATENATE(J$2,": ",J$3,list1!J385,"]")</f>
        <v xml:space="preserve"> (Рабочий ток) Обогрев: S[]</v>
      </c>
      <c r="K385" t="str">
        <f>CONCATENATE(K$2,": ",K$3,list1!K385,"]")</f>
        <v xml:space="preserve"> (Рабочий ток) Напряжение / Частота источника питания: S[1 / 220 / 50]</v>
      </c>
      <c r="L385" t="str">
        <f>CONCATENATE(L$2,": ",L$3,list1!L385,"]")</f>
        <v xml:space="preserve"> (Рабочий ток) Хладагент: S[R410A]</v>
      </c>
      <c r="M385" t="str">
        <f>CONCATENATE(M$2,": ",M$3,list1!M385,"]")</f>
        <v xml:space="preserve"> (Рабочий ток) Количество хладагента: N[]</v>
      </c>
      <c r="N385" t="str">
        <f>CONCATENATE(N$2,": ",N$3,list1!N385,"]")</f>
        <v xml:space="preserve"> (Рабочий ток) Объем рециркулируемого воздуха внутреннего блока: S[]</v>
      </c>
      <c r="O385" t="str">
        <f>CONCATENATE(O$2,": ",O$3,list1!O385,"]")</f>
        <v xml:space="preserve"> (Внутренний блок) Размеры (Ш x Г x В): S[982 х 311 х 221]</v>
      </c>
      <c r="P385" t="str">
        <f>CONCATENATE(P$2,": ",P$3,list1!P385,"]")</f>
        <v xml:space="preserve"> (Внутренний блок) Упаковка (Ш x Г x В): S[1039 х 287 х 377]</v>
      </c>
      <c r="Q385" t="str">
        <f>CONCATENATE(Q$2,": ",Q$3,list1!Q385,"]")</f>
        <v xml:space="preserve"> (Внутренний блок) Масса (нетто / брутто): S[13.7 / 16]</v>
      </c>
      <c r="R385" t="str">
        <f>CONCATENATE(R$2,": ",R$3,list1!R385,"]")</f>
        <v xml:space="preserve"> (Внутренний блок) Уровень шума мин. / макс.: S[32/33/35/37/40/42/44]</v>
      </c>
      <c r="S385" t="str">
        <f>CONCATENATE(S$2,": ",S$3,list1!S385,"]")</f>
        <v xml:space="preserve"> (Наружный блок) Марка компрессора: S[Gree]</v>
      </c>
      <c r="T385" t="str">
        <f>CONCATENATE(T$2,": ",T$3,list1!T385,"]")</f>
        <v xml:space="preserve"> (Наружный блок) Размеры (Ш x Г x В): S[912 х 373 х 646]</v>
      </c>
      <c r="U385" t="str">
        <f>CONCATENATE(U$2,": ",U$3,list1!U385,"]")</f>
        <v xml:space="preserve"> (Наружный блок) Упаковка (Ш x Г x В): S[960 х 408 х 680]</v>
      </c>
      <c r="V385" t="str">
        <f>CONCATENATE(V$2,": ",V$3,list1!V385,"]")</f>
        <v xml:space="preserve"> (Наружный блок) Масса (нетто / брутто): S[46.5/49.5]</v>
      </c>
      <c r="W385" t="str">
        <f>CONCATENATE(W$2,": ",W$3,list1!W385,"]")</f>
        <v xml:space="preserve"> (Наружный блок) Максимальный уровень шума: N[]</v>
      </c>
      <c r="X385" t="str">
        <f>CONCATENATE(X$2,": ",X$3,list1!X385,"]")</f>
        <v xml:space="preserve"> (Соединительные трубы) Жидкостная линия : N[6.35]</v>
      </c>
      <c r="Y385" t="str">
        <f>CONCATENATE(Y$2,": ",Y$3,list1!Y385,"]")</f>
        <v xml:space="preserve"> (Соединительные трубы) Газовая линия : N[12.7]</v>
      </c>
      <c r="Z385" t="str">
        <f>CONCATENATE(Z$2,": ",Z$3,list1!Z385,"]")</f>
        <v xml:space="preserve"> (Соединительные трубы) Максимальная длина трубопровода: N[25]</v>
      </c>
      <c r="AA385" t="str">
        <f>CONCATENATE(AA$2,": ",AA$3,list1!AA385,"]")</f>
        <v xml:space="preserve"> (Соединительные трубы) Максимальный перепад высот: S[10]</v>
      </c>
      <c r="AB385" t="str">
        <f>CONCATENATE(AB$2,": ",AB$3,list1!AB385,"]")</f>
        <v xml:space="preserve"> (Допустимая темп. наружного воздуха) Охлаждение: S[от 18 до +48]</v>
      </c>
      <c r="AC385" t="str">
        <f>CONCATENATE(AC$2,": ",AC$3,list1!AC385,"]")</f>
        <v xml:space="preserve"> (Допустимая темп. наружного воздуха) Обогрев: S[от -15 до +24]</v>
      </c>
      <c r="AD385" s="6" t="s">
        <v>5245</v>
      </c>
    </row>
    <row r="386" spans="1:30" x14ac:dyDescent="0.25">
      <c r="A386" t="str">
        <f>CONCATENATE(A$2,": ",A$3,list1!A386,"]")</f>
        <v>Производитель: E[TOSOT]</v>
      </c>
      <c r="B386" t="str">
        <f>CONCATENATE(B$2,": ",B$3,list1!B386,"]")</f>
        <v xml:space="preserve"> Тип: S[Сплит система]</v>
      </c>
      <c r="C386" t="str">
        <f>CONCATENATE(C$2,": ",C$3,list1!C386,"]")</f>
        <v xml:space="preserve"> (Сплит система) Холодопроизводительность: N[6.155]</v>
      </c>
      <c r="D386" t="str">
        <f>CONCATENATE(D$2,": ",D$3,list1!D386,"]")</f>
        <v xml:space="preserve"> (Сплит система) Площадь помещения: N[62]</v>
      </c>
      <c r="E386" t="str">
        <f>CONCATENATE(E$2,": ",E$3,list1!E386,"]")</f>
        <v xml:space="preserve"> (Сплит система) Инвентор: S[нет]</v>
      </c>
      <c r="F386" t="str">
        <f>CONCATENATE(F$2,": ",F$3,list1!F386,"]")</f>
        <v xml:space="preserve"> (Сплит система) Теплопроизводительность: N[6.7]</v>
      </c>
      <c r="G386" t="str">
        <f>CONCATENATE(G$2,": ",G$3,list1!G386,"]")</f>
        <v xml:space="preserve"> (Потребляемая мощность) Охлаждение: N[1.917]</v>
      </c>
      <c r="H386" t="str">
        <f>CONCATENATE(H$2,": ",H$3,list1!H386,"]")</f>
        <v xml:space="preserve"> (Потребляемая мощность) Обогрев: S[1.856]</v>
      </c>
      <c r="I386" t="str">
        <f>CONCATENATE(I$2,": ",I$3,list1!I386,"]")</f>
        <v xml:space="preserve"> (Рабочий ток) Охлаждение: S[]</v>
      </c>
      <c r="J386" t="str">
        <f>CONCATENATE(J$2,": ",J$3,list1!J386,"]")</f>
        <v xml:space="preserve"> (Рабочий ток) Обогрев: S[]</v>
      </c>
      <c r="K386" t="str">
        <f>CONCATENATE(K$2,": ",K$3,list1!K386,"]")</f>
        <v xml:space="preserve"> (Рабочий ток) Напряжение / Частота источника питания: S[1 / 220 / 50]</v>
      </c>
      <c r="L386" t="str">
        <f>CONCATENATE(L$2,": ",L$3,list1!L386,"]")</f>
        <v xml:space="preserve"> (Рабочий ток) Хладагент: S[R410A]</v>
      </c>
      <c r="M386" t="str">
        <f>CONCATENATE(M$2,": ",M$3,list1!M386,"]")</f>
        <v xml:space="preserve"> (Рабочий ток) Количество хладагента: N[]</v>
      </c>
      <c r="N386" t="str">
        <f>CONCATENATE(N$2,": ",N$3,list1!N386,"]")</f>
        <v xml:space="preserve"> (Рабочий ток) Объем рециркулируемого воздуха внутреннего блока: S[]</v>
      </c>
      <c r="O386" t="str">
        <f>CONCATENATE(O$2,": ",O$3,list1!O386,"]")</f>
        <v xml:space="preserve"> (Внутренний блок) Размеры (Ш x Г x В): S[982 х 311 х 221]</v>
      </c>
      <c r="P386" t="str">
        <f>CONCATENATE(P$2,": ",P$3,list1!P386,"]")</f>
        <v xml:space="preserve"> (Внутренний блок) Упаковка (Ш x Г x В): S[1039 х 287 х 377]</v>
      </c>
      <c r="Q386" t="str">
        <f>CONCATENATE(Q$2,": ",Q$3,list1!Q386,"]")</f>
        <v xml:space="preserve"> (Внутренний блок) Масса (нетто / брутто): S[13.7 / 16]</v>
      </c>
      <c r="R386" t="str">
        <f>CONCATENATE(R$2,": ",R$3,list1!R386,"]")</f>
        <v xml:space="preserve"> (Внутренний блок) Уровень шума мин. / макс.: S[35/38/42/44]</v>
      </c>
      <c r="S386" t="str">
        <f>CONCATENATE(S$2,": ",S$3,list1!S386,"]")</f>
        <v xml:space="preserve"> (Наружный блок) Марка компрессора: S[Gree]</v>
      </c>
      <c r="T386" t="str">
        <f>CONCATENATE(T$2,": ",T$3,list1!T386,"]")</f>
        <v xml:space="preserve"> (Наружный блок) Размеры (Ш x Г x В): S[873 х 376 х 555]</v>
      </c>
      <c r="U386" t="str">
        <f>CONCATENATE(U$2,": ",U$3,list1!U386,"]")</f>
        <v xml:space="preserve"> (Наружный блок) Упаковка (Ш x Г x В): S[948 х 428 х 591]</v>
      </c>
      <c r="V386" t="str">
        <f>CONCATENATE(V$2,": ",V$3,list1!V386,"]")</f>
        <v xml:space="preserve"> (Наружный блок) Масса (нетто / брутто): S[43/46]</v>
      </c>
      <c r="W386" t="str">
        <f>CONCATENATE(W$2,": ",W$3,list1!W386,"]")</f>
        <v xml:space="preserve"> (Наружный блок) Максимальный уровень шума: N[]</v>
      </c>
      <c r="X386" t="str">
        <f>CONCATENATE(X$2,": ",X$3,list1!X386,"]")</f>
        <v xml:space="preserve"> (Соединительные трубы) Жидкостная линия : N[6.35]</v>
      </c>
      <c r="Y386" t="str">
        <f>CONCATENATE(Y$2,": ",Y$3,list1!Y386,"]")</f>
        <v xml:space="preserve"> (Соединительные трубы) Газовая линия : N[12.7]</v>
      </c>
      <c r="Z386" t="str">
        <f>CONCATENATE(Z$2,": ",Z$3,list1!Z386,"]")</f>
        <v xml:space="preserve"> (Соединительные трубы) Максимальная длина трубопровода: N[25]</v>
      </c>
      <c r="AA386" t="str">
        <f>CONCATENATE(AA$2,": ",AA$3,list1!AA386,"]")</f>
        <v xml:space="preserve"> (Соединительные трубы) Максимальный перепад высот: S[10]</v>
      </c>
      <c r="AB386" t="str">
        <f>CONCATENATE(AB$2,": ",AB$3,list1!AB386,"]")</f>
        <v xml:space="preserve"> (Допустимая темп. наружного воздуха) Охлаждение: S[от 18 до +43]</v>
      </c>
      <c r="AC386" t="str">
        <f>CONCATENATE(AC$2,": ",AC$3,list1!AC386,"]")</f>
        <v xml:space="preserve"> (Допустимая темп. наружного воздуха) Обогрев: S[от -15 до +24]</v>
      </c>
      <c r="AD386" s="6" t="s">
        <v>5245</v>
      </c>
    </row>
    <row r="387" spans="1:30" x14ac:dyDescent="0.25">
      <c r="A387" t="str">
        <f>CONCATENATE(A$2,": ",A$3,list1!A387,"]")</f>
        <v>Производитель: E[TOSOT]</v>
      </c>
      <c r="B387" t="str">
        <f>CONCATENATE(B$2,": ",B$3,list1!B387,"]")</f>
        <v xml:space="preserve"> Тип: S[Сплит система]</v>
      </c>
      <c r="C387" t="str">
        <f>CONCATENATE(C$2,": ",C$3,list1!C387,"]")</f>
        <v xml:space="preserve"> (Сплит система) Холодопроизводительность: N[8.5]</v>
      </c>
      <c r="D387" t="str">
        <f>CONCATENATE(D$2,": ",D$3,list1!D387,"]")</f>
        <v xml:space="preserve"> (Сплит система) Площадь помещения: N[85]</v>
      </c>
      <c r="E387" t="str">
        <f>CONCATENATE(E$2,": ",E$3,list1!E387,"]")</f>
        <v xml:space="preserve"> (Сплит система) Инвентор: S[нет]</v>
      </c>
      <c r="F387" t="str">
        <f>CONCATENATE(F$2,": ",F$3,list1!F387,"]")</f>
        <v xml:space="preserve"> (Сплит система) Теплопроизводительность: N[9.2]</v>
      </c>
      <c r="G387" t="str">
        <f>CONCATENATE(G$2,": ",G$3,list1!G387,"]")</f>
        <v xml:space="preserve"> (Потребляемая мощность) Охлаждение: N[2.647]</v>
      </c>
      <c r="H387" t="str">
        <f>CONCATENATE(H$2,": ",H$3,list1!H387,"]")</f>
        <v xml:space="preserve"> (Потребляемая мощность) Обогрев: S[2.548]</v>
      </c>
      <c r="I387" t="str">
        <f>CONCATENATE(I$2,": ",I$3,list1!I387,"]")</f>
        <v xml:space="preserve"> (Рабочий ток) Охлаждение: S[]</v>
      </c>
      <c r="J387" t="str">
        <f>CONCATENATE(J$2,": ",J$3,list1!J387,"]")</f>
        <v xml:space="preserve"> (Рабочий ток) Обогрев: S[]</v>
      </c>
      <c r="K387" t="str">
        <f>CONCATENATE(K$2,": ",K$3,list1!K387,"]")</f>
        <v xml:space="preserve"> (Рабочий ток) Напряжение / Частота источника питания: S[1 / 220 / 50]</v>
      </c>
      <c r="L387" t="str">
        <f>CONCATENATE(L$2,": ",L$3,list1!L387,"]")</f>
        <v xml:space="preserve"> (Рабочий ток) Хладагент: S[R410A]</v>
      </c>
      <c r="M387" t="str">
        <f>CONCATENATE(M$2,": ",M$3,list1!M387,"]")</f>
        <v xml:space="preserve"> (Рабочий ток) Количество хладагента: N[]</v>
      </c>
      <c r="N387" t="str">
        <f>CONCATENATE(N$2,": ",N$3,list1!N387,"]")</f>
        <v xml:space="preserve"> (Рабочий ток) Объем рециркулируемого воздуха внутреннего блока: S[]</v>
      </c>
      <c r="O387" t="str">
        <f>CONCATENATE(O$2,": ",O$3,list1!O387,"]")</f>
        <v xml:space="preserve"> (Внутренний блок) Размеры (Ш x Г x В): S[1075 х 333 х 246]</v>
      </c>
      <c r="P387" t="str">
        <f>CONCATENATE(P$2,": ",P$3,list1!P387,"]")</f>
        <v xml:space="preserve"> (Внутренний блок) Упаковка (Ш x Г x В): S[1128 х 323 х 406]</v>
      </c>
      <c r="Q387" t="str">
        <f>CONCATENATE(Q$2,": ",Q$3,list1!Q387,"]")</f>
        <v xml:space="preserve"> (Внутренний блок) Масса (нетто / брутто): S[17 / 20]</v>
      </c>
      <c r="R387" t="str">
        <f>CONCATENATE(R$2,": ",R$3,list1!R387,"]")</f>
        <v xml:space="preserve"> (Внутренний блок) Уровень шума мин. / макс.: S[39/40/41/42/46/47/49]</v>
      </c>
      <c r="S387" t="str">
        <f>CONCATENATE(S$2,": ",S$3,list1!S387,"]")</f>
        <v xml:space="preserve"> (Наружный блок) Марка компрессора: S[Gree]</v>
      </c>
      <c r="T387" t="str">
        <f>CONCATENATE(T$2,": ",T$3,list1!T387,"]")</f>
        <v xml:space="preserve"> (Наружный блок) Размеры (Ш x Г x В): S[955 х 396 х 700]</v>
      </c>
      <c r="U387" t="str">
        <f>CONCATENATE(U$2,": ",U$3,list1!U387,"]")</f>
        <v xml:space="preserve"> (Наружный блок) Упаковка (Ш x Г x В): S[1026 х 455 х 735]</v>
      </c>
      <c r="V387" t="str">
        <f>CONCATENATE(V$2,": ",V$3,list1!V387,"]")</f>
        <v xml:space="preserve"> (Наружный блок) Масса (нетто / брутто): S[61/65.5]</v>
      </c>
      <c r="W387" t="str">
        <f>CONCATENATE(W$2,": ",W$3,list1!W387,"]")</f>
        <v xml:space="preserve"> (Наружный блок) Максимальный уровень шума: N[]</v>
      </c>
      <c r="X387" t="str">
        <f>CONCATENATE(X$2,": ",X$3,list1!X387,"]")</f>
        <v xml:space="preserve"> (Соединительные трубы) Жидкостная линия : N[6.35]</v>
      </c>
      <c r="Y387" t="str">
        <f>CONCATENATE(Y$2,": ",Y$3,list1!Y387,"]")</f>
        <v xml:space="preserve"> (Соединительные трубы) Газовая линия : N[15.8]</v>
      </c>
      <c r="Z387" t="str">
        <f>CONCATENATE(Z$2,": ",Z$3,list1!Z387,"]")</f>
        <v xml:space="preserve"> (Соединительные трубы) Максимальная длина трубопровода: N[30]</v>
      </c>
      <c r="AA387" t="str">
        <f>CONCATENATE(AA$2,": ",AA$3,list1!AA387,"]")</f>
        <v xml:space="preserve"> (Соединительные трубы) Максимальный перепад высот: S[10]</v>
      </c>
      <c r="AB387" t="str">
        <f>CONCATENATE(AB$2,": ",AB$3,list1!AB387,"]")</f>
        <v xml:space="preserve"> (Допустимая темп. наружного воздуха) Охлаждение: S[от 18 до +43]</v>
      </c>
      <c r="AC387" t="str">
        <f>CONCATENATE(AC$2,": ",AC$3,list1!AC387,"]")</f>
        <v xml:space="preserve"> (Допустимая темп. наружного воздуха) Обогрев: S[от -15 до +24]</v>
      </c>
      <c r="AD387" s="6" t="s">
        <v>5245</v>
      </c>
    </row>
    <row r="388" spans="1:30" x14ac:dyDescent="0.25">
      <c r="A388" t="str">
        <f>CONCATENATE(A$2,": ",A$3,list1!A388,"]")</f>
        <v>Производитель: E[TOSOT]</v>
      </c>
      <c r="B388" t="str">
        <f>CONCATENATE(B$2,": ",B$3,list1!B388,"]")</f>
        <v xml:space="preserve"> Тип: S[Сплит система]</v>
      </c>
      <c r="C388" t="str">
        <f>CONCATENATE(C$2,": ",C$3,list1!C388,"]")</f>
        <v xml:space="preserve"> (Сплит система) Холодопроизводительность: N[8.5]</v>
      </c>
      <c r="D388" t="str">
        <f>CONCATENATE(D$2,": ",D$3,list1!D388,"]")</f>
        <v xml:space="preserve"> (Сплит система) Площадь помещения: N[85]</v>
      </c>
      <c r="E388" t="str">
        <f>CONCATENATE(E$2,": ",E$3,list1!E388,"]")</f>
        <v xml:space="preserve"> (Сплит система) Инвентор: S[нет]</v>
      </c>
      <c r="F388" t="str">
        <f>CONCATENATE(F$2,": ",F$3,list1!F388,"]")</f>
        <v xml:space="preserve"> (Сплит система) Теплопроизводительность: N[8.9]</v>
      </c>
      <c r="G388" t="str">
        <f>CONCATENATE(G$2,": ",G$3,list1!G388,"]")</f>
        <v xml:space="preserve"> (Потребляемая мощность) Охлаждение: N[2.615]</v>
      </c>
      <c r="H388" t="str">
        <f>CONCATENATE(H$2,": ",H$3,list1!H388,"]")</f>
        <v xml:space="preserve"> (Потребляемая мощность) Обогрев: S[2.465]</v>
      </c>
      <c r="I388" t="str">
        <f>CONCATENATE(I$2,": ",I$3,list1!I388,"]")</f>
        <v xml:space="preserve"> (Рабочий ток) Охлаждение: S[]</v>
      </c>
      <c r="J388" t="str">
        <f>CONCATENATE(J$2,": ",J$3,list1!J388,"]")</f>
        <v xml:space="preserve"> (Рабочий ток) Обогрев: S[]</v>
      </c>
      <c r="K388" t="str">
        <f>CONCATENATE(K$2,": ",K$3,list1!K388,"]")</f>
        <v xml:space="preserve"> (Рабочий ток) Напряжение / Частота источника питания: S[1 / 220 / 50]</v>
      </c>
      <c r="L388" t="str">
        <f>CONCATENATE(L$2,": ",L$3,list1!L388,"]")</f>
        <v xml:space="preserve"> (Рабочий ток) Хладагент: S[R410A]</v>
      </c>
      <c r="M388" t="str">
        <f>CONCATENATE(M$2,": ",M$3,list1!M388,"]")</f>
        <v xml:space="preserve"> (Рабочий ток) Количество хладагента: N[]</v>
      </c>
      <c r="N388" t="str">
        <f>CONCATENATE(N$2,": ",N$3,list1!N388,"]")</f>
        <v xml:space="preserve"> (Рабочий ток) Объем рециркулируемого воздуха внутреннего блока: S[]</v>
      </c>
      <c r="O388" t="str">
        <f>CONCATENATE(O$2,": ",O$3,list1!O388,"]")</f>
        <v xml:space="preserve"> (Внутренний блок) Размеры (Ш x Г x В): S[1075 х 333 х 246]</v>
      </c>
      <c r="P388" t="str">
        <f>CONCATENATE(P$2,": ",P$3,list1!P388,"]")</f>
        <v xml:space="preserve"> (Внутренний блок) Упаковка (Ш x Г x В): S[1128 х 323 х 406]</v>
      </c>
      <c r="Q388" t="str">
        <f>CONCATENATE(Q$2,": ",Q$3,list1!Q388,"]")</f>
        <v xml:space="preserve"> (Внутренний блок) Масса (нетто / брутто): S[17 / 20]</v>
      </c>
      <c r="R388" t="str">
        <f>CONCATENATE(R$2,": ",R$3,list1!R388,"]")</f>
        <v xml:space="preserve"> (Внутренний блок) Уровень шума мин. / макс.: S[37/40/45/48]</v>
      </c>
      <c r="S388" t="str">
        <f>CONCATENATE(S$2,": ",S$3,list1!S388,"]")</f>
        <v xml:space="preserve"> (Наружный блок) Марка компрессора: S[Gree]</v>
      </c>
      <c r="T388" t="str">
        <f>CONCATENATE(T$2,": ",T$3,list1!T388,"]")</f>
        <v xml:space="preserve"> (Наружный блок) Размеры (Ш x Г x В): S[958 х 402 х 660]</v>
      </c>
      <c r="U388" t="str">
        <f>CONCATENATE(U$2,": ",U$3,list1!U388,"]")</f>
        <v xml:space="preserve"> (Наружный блок) Упаковка (Ш x Г x В): S[1029 х 453 х 715]</v>
      </c>
      <c r="V388" t="str">
        <f>CONCATENATE(V$2,": ",V$3,list1!V388,"]")</f>
        <v xml:space="preserve"> (Наружный блок) Масса (нетто / брутто): S[57/61.5]</v>
      </c>
      <c r="W388" t="str">
        <f>CONCATENATE(W$2,": ",W$3,list1!W388,"]")</f>
        <v xml:space="preserve"> (Наружный блок) Максимальный уровень шума: N[]</v>
      </c>
      <c r="X388" t="str">
        <f>CONCATENATE(X$2,": ",X$3,list1!X388,"]")</f>
        <v xml:space="preserve"> (Соединительные трубы) Жидкостная линия : N[6.35]</v>
      </c>
      <c r="Y388" t="str">
        <f>CONCATENATE(Y$2,": ",Y$3,list1!Y388,"]")</f>
        <v xml:space="preserve"> (Соединительные трубы) Газовая линия : N[15.8]</v>
      </c>
      <c r="Z388" t="str">
        <f>CONCATENATE(Z$2,": ",Z$3,list1!Z388,"]")</f>
        <v xml:space="preserve"> (Соединительные трубы) Максимальная длина трубопровода: N[30]</v>
      </c>
      <c r="AA388" t="str">
        <f>CONCATENATE(AA$2,": ",AA$3,list1!AA388,"]")</f>
        <v xml:space="preserve"> (Соединительные трубы) Максимальный перепад высот: S[10]</v>
      </c>
      <c r="AB388" t="str">
        <f>CONCATENATE(AB$2,": ",AB$3,list1!AB388,"]")</f>
        <v xml:space="preserve"> (Допустимая темп. наружного воздуха) Охлаждение: S[от 18 до +43]</v>
      </c>
      <c r="AC388" t="str">
        <f>CONCATENATE(AC$2,": ",AC$3,list1!AC388,"]")</f>
        <v xml:space="preserve"> (Допустимая темп. наружного воздуха) Обогрев: S[от -15 до +24]</v>
      </c>
      <c r="AD388" s="6" t="s">
        <v>5245</v>
      </c>
    </row>
    <row r="389" spans="1:30" x14ac:dyDescent="0.25">
      <c r="A389" t="str">
        <f>CONCATENATE(A$2,": ",A$3,list1!A389,"]")</f>
        <v>Производитель: E[TOSOT]</v>
      </c>
      <c r="B389" t="str">
        <f>CONCATENATE(B$2,": ",B$3,list1!B389,"]")</f>
        <v xml:space="preserve"> Тип: S[Сплит система]</v>
      </c>
      <c r="C389" t="str">
        <f>CONCATENATE(C$2,": ",C$3,list1!C389,"]")</f>
        <v xml:space="preserve"> (Сплит система) Холодопроизводительность: N[9.5]</v>
      </c>
      <c r="D389" t="str">
        <f>CONCATENATE(D$2,": ",D$3,list1!D389,"]")</f>
        <v xml:space="preserve"> (Сплит система) Площадь помещения: N[95]</v>
      </c>
      <c r="E389" t="str">
        <f>CONCATENATE(E$2,": ",E$3,list1!E389,"]")</f>
        <v xml:space="preserve"> (Сплит система) Инвентор: S[нет]</v>
      </c>
      <c r="F389" t="str">
        <f>CONCATENATE(F$2,": ",F$3,list1!F389,"]")</f>
        <v xml:space="preserve"> (Сплит система) Теплопроизводительность: N[9.8]</v>
      </c>
      <c r="G389" t="str">
        <f>CONCATENATE(G$2,": ",G$3,list1!G389,"]")</f>
        <v xml:space="preserve"> (Потребляемая мощность) Охлаждение: N[2.96]</v>
      </c>
      <c r="H389" t="str">
        <f>CONCATENATE(H$2,": ",H$3,list1!H389,"]")</f>
        <v xml:space="preserve"> (Потребляемая мощность) Обогрев: S[3.05]</v>
      </c>
      <c r="I389" t="str">
        <f>CONCATENATE(I$2,": ",I$3,list1!I389,"]")</f>
        <v xml:space="preserve"> (Рабочий ток) Охлаждение: S[]</v>
      </c>
      <c r="J389" t="str">
        <f>CONCATENATE(J$2,": ",J$3,list1!J389,"]")</f>
        <v xml:space="preserve"> (Рабочий ток) Обогрев: S[]</v>
      </c>
      <c r="K389" t="str">
        <f>CONCATENATE(K$2,": ",K$3,list1!K389,"]")</f>
        <v xml:space="preserve"> (Рабочий ток) Напряжение / Частота источника питания: S[1 / 220 / 50]</v>
      </c>
      <c r="L389" t="str">
        <f>CONCATENATE(L$2,": ",L$3,list1!L389,"]")</f>
        <v xml:space="preserve"> (Рабочий ток) Хладагент: S[R410A]</v>
      </c>
      <c r="M389" t="str">
        <f>CONCATENATE(M$2,": ",M$3,list1!M389,"]")</f>
        <v xml:space="preserve"> (Рабочий ток) Количество хладагента: N[]</v>
      </c>
      <c r="N389" t="str">
        <f>CONCATENATE(N$2,": ",N$3,list1!N389,"]")</f>
        <v xml:space="preserve"> (Рабочий ток) Объем рециркулируемого воздуха внутреннего блока: S[]</v>
      </c>
      <c r="O389" t="str">
        <f>CONCATENATE(O$2,": ",O$3,list1!O389,"]")</f>
        <v xml:space="preserve"> (Внутренний блок) Размеры (Ш x Г x В): S[1078 х 325 х 246]</v>
      </c>
      <c r="P389" t="str">
        <f>CONCATENATE(P$2,": ",P$3,list1!P389,"]")</f>
        <v xml:space="preserve"> (Внутренний блок) Упаковка (Ш x Г x В): S[1148 х 350 х 413]</v>
      </c>
      <c r="Q389" t="str">
        <f>CONCATENATE(Q$2,": ",Q$3,list1!Q389,"]")</f>
        <v xml:space="preserve"> (Внутренний блок) Масса (нетто / брутто): S[16.5 / 20]</v>
      </c>
      <c r="R389" t="str">
        <f>CONCATENATE(R$2,": ",R$3,list1!R389,"]")</f>
        <v xml:space="preserve"> (Внутренний блок) Уровень шума мин. / макс.: S[41/42/47/48]</v>
      </c>
      <c r="S389" t="str">
        <f>CONCATENATE(S$2,": ",S$3,list1!S389,"]")</f>
        <v xml:space="preserve"> (Наружный блок) Марка компрессора: S[Gree]</v>
      </c>
      <c r="T389" t="str">
        <f>CONCATENATE(T$2,": ",T$3,list1!T389,"]")</f>
        <v xml:space="preserve"> (Наружный блок) Размеры (Ш x Г x В): S[980 х 427 х 790]</v>
      </c>
      <c r="U389" t="str">
        <f>CONCATENATE(U$2,": ",U$3,list1!U389,"]")</f>
        <v xml:space="preserve"> (Наружный блок) Упаковка (Ш x Г x В): S[1083 х 488 х 855]</v>
      </c>
      <c r="V389" t="str">
        <f>CONCATENATE(V$2,": ",V$3,list1!V389,"]")</f>
        <v xml:space="preserve"> (Наружный блок) Масса (нетто / брутто): S[67/72]</v>
      </c>
      <c r="W389" t="str">
        <f>CONCATENATE(W$2,": ",W$3,list1!W389,"]")</f>
        <v xml:space="preserve"> (Наружный блок) Максимальный уровень шума: N[]</v>
      </c>
      <c r="X389" t="str">
        <f>CONCATENATE(X$2,": ",X$3,list1!X389,"]")</f>
        <v xml:space="preserve"> (Соединительные трубы) Жидкостная линия : N[6.35]</v>
      </c>
      <c r="Y389" t="str">
        <f>CONCATENATE(Y$2,": ",Y$3,list1!Y389,"]")</f>
        <v xml:space="preserve"> (Соединительные трубы) Газовая линия : N[15.8]</v>
      </c>
      <c r="Z389" t="str">
        <f>CONCATENATE(Z$2,": ",Z$3,list1!Z389,"]")</f>
        <v xml:space="preserve"> (Соединительные трубы) Максимальная длина трубопровода: N[30]</v>
      </c>
      <c r="AA389" t="str">
        <f>CONCATENATE(AA$2,": ",AA$3,list1!AA389,"]")</f>
        <v xml:space="preserve"> (Соединительные трубы) Максимальный перепад высот: S[10]</v>
      </c>
      <c r="AB389" t="str">
        <f>CONCATENATE(AB$2,": ",AB$3,list1!AB389,"]")</f>
        <v xml:space="preserve"> (Допустимая темп. наружного воздуха) Охлаждение: S[от 18 до +43]</v>
      </c>
      <c r="AC389" t="str">
        <f>CONCATENATE(AC$2,": ",AC$3,list1!AC389,"]")</f>
        <v xml:space="preserve"> (Допустимая темп. наружного воздуха) Обогрев: S[от -7 до +24]</v>
      </c>
      <c r="AD389" s="6" t="s">
        <v>5245</v>
      </c>
    </row>
    <row r="390" spans="1:30" x14ac:dyDescent="0.25">
      <c r="A390" t="str">
        <f>CONCATENATE(A$2,": ",A$3,list1!A390,"]")</f>
        <v>Производитель: E[TOSOT]</v>
      </c>
      <c r="B390" t="str">
        <f>CONCATENATE(B$2,": ",B$3,list1!B390,"]")</f>
        <v xml:space="preserve"> Тип: S[Сплит система]</v>
      </c>
      <c r="C390" t="str">
        <f>CONCATENATE(C$2,": ",C$3,list1!C390,"]")</f>
        <v xml:space="preserve"> (Сплит система) Холодопроизводительность: N[2.7]</v>
      </c>
      <c r="D390" t="str">
        <f>CONCATENATE(D$2,": ",D$3,list1!D390,"]")</f>
        <v xml:space="preserve"> (Сплит система) Площадь помещения: N[27]</v>
      </c>
      <c r="E390" t="str">
        <f>CONCATENATE(E$2,": ",E$3,list1!E390,"]")</f>
        <v xml:space="preserve"> (Сплит система) Инвентор: S[да]</v>
      </c>
      <c r="F390" t="str">
        <f>CONCATENATE(F$2,": ",F$3,list1!F390,"]")</f>
        <v xml:space="preserve"> (Сплит система) Теплопроизводительность: N[3.6]</v>
      </c>
      <c r="G390" t="str">
        <f>CONCATENATE(G$2,": ",G$3,list1!G390,"]")</f>
        <v xml:space="preserve"> (Потребляемая мощность) Охлаждение: N[0.55]</v>
      </c>
      <c r="H390" t="str">
        <f>CONCATENATE(H$2,": ",H$3,list1!H390,"]")</f>
        <v xml:space="preserve"> (Потребляемая мощность) Обогрев: S[0.75]</v>
      </c>
      <c r="I390" t="str">
        <f>CONCATENATE(I$2,": ",I$3,list1!I390,"]")</f>
        <v xml:space="preserve"> (Рабочий ток) Охлаждение: S[]</v>
      </c>
      <c r="J390" t="str">
        <f>CONCATENATE(J$2,": ",J$3,list1!J390,"]")</f>
        <v xml:space="preserve"> (Рабочий ток) Обогрев: S[]</v>
      </c>
      <c r="K390" t="str">
        <f>CONCATENATE(K$2,": ",K$3,list1!K390,"]")</f>
        <v xml:space="preserve"> (Рабочий ток) Напряжение / Частота источника питания: S[1 / 220 / 50]</v>
      </c>
      <c r="L390" t="str">
        <f>CONCATENATE(L$2,": ",L$3,list1!L390,"]")</f>
        <v xml:space="preserve"> (Рабочий ток) Хладагент: S[R32]</v>
      </c>
      <c r="M390" t="str">
        <f>CONCATENATE(M$2,": ",M$3,list1!M390,"]")</f>
        <v xml:space="preserve"> (Рабочий ток) Количество хладагента: N[]</v>
      </c>
      <c r="N390" t="str">
        <f>CONCATENATE(N$2,": ",N$3,list1!N390,"]")</f>
        <v xml:space="preserve"> (Рабочий ток) Объем рециркулируемого воздуха внутреннего блока: S[]</v>
      </c>
      <c r="O390" t="str">
        <f>CONCATENATE(O$2,": ",O$3,list1!O390,"]")</f>
        <v xml:space="preserve"> (Внутренний блок) Размеры (Ш x Г x В): S[977 х 281 х 295]</v>
      </c>
      <c r="P390" t="str">
        <f>CONCATENATE(P$2,": ",P$3,list1!P390,"]")</f>
        <v xml:space="preserve"> (Внутренний блок) Упаковка (Ш x Г x В): S[1086 х 402 х 376]</v>
      </c>
      <c r="Q390" t="str">
        <f>CONCATENATE(Q$2,": ",Q$3,list1!Q390,"]")</f>
        <v xml:space="preserve"> (Внутренний блок) Масса (нетто / брутто): S[17 / 21.5]</v>
      </c>
      <c r="R390" t="str">
        <f>CONCATENATE(R$2,": ",R$3,list1!R390,"]")</f>
        <v xml:space="preserve"> (Внутренний блок) Уровень шума мин. / макс.: S[19/22/29/33/35/38/42]</v>
      </c>
      <c r="S390" t="str">
        <f>CONCATENATE(S$2,": ",S$3,list1!S390,"]")</f>
        <v xml:space="preserve"> (Наружный блок) Марка компрессора: S[Gree]</v>
      </c>
      <c r="T390" t="str">
        <f>CONCATENATE(T$2,": ",T$3,list1!T390,"]")</f>
        <v xml:space="preserve"> (Наружный блок) Размеры (Ш x Г x В): S[899 х 378 х 596]</v>
      </c>
      <c r="U390" t="str">
        <f>CONCATENATE(U$2,": ",U$3,list1!U390,"]")</f>
        <v xml:space="preserve"> (Наружный блок) Упаковка (Ш x Г x В): S[948 х 420 х 645]</v>
      </c>
      <c r="V390" t="str">
        <f>CONCATENATE(V$2,": ",V$3,list1!V390,"]")</f>
        <v xml:space="preserve"> (Наружный блок) Масса (нетто / брутто): S[37.5/40.5]</v>
      </c>
      <c r="W390" t="str">
        <f>CONCATENATE(W$2,": ",W$3,list1!W390,"]")</f>
        <v xml:space="preserve"> (Наружный блок) Максимальный уровень шума: N[]</v>
      </c>
      <c r="X390" t="str">
        <f>CONCATENATE(X$2,": ",X$3,list1!X390,"]")</f>
        <v xml:space="preserve"> (Соединительные трубы) Жидкостная линия : N[6.35]</v>
      </c>
      <c r="Y390" t="str">
        <f>CONCATENATE(Y$2,": ",Y$3,list1!Y390,"]")</f>
        <v xml:space="preserve"> (Соединительные трубы) Газовая линия : N[9.52]</v>
      </c>
      <c r="Z390" t="str">
        <f>CONCATENATE(Z$2,": ",Z$3,list1!Z390,"]")</f>
        <v xml:space="preserve"> (Соединительные трубы) Максимальная длина трубопровода: N[15]</v>
      </c>
      <c r="AA390" t="str">
        <f>CONCATENATE(AA$2,": ",AA$3,list1!AA390,"]")</f>
        <v xml:space="preserve"> (Соединительные трубы) Максимальный перепад высот: S[10]</v>
      </c>
      <c r="AB390" t="str">
        <f>CONCATENATE(AB$2,": ",AB$3,list1!AB390,"]")</f>
        <v xml:space="preserve"> (Допустимая темп. наружного воздуха) Охлаждение: S[от -15 до +52]</v>
      </c>
      <c r="AC390" t="str">
        <f>CONCATENATE(AC$2,": ",AC$3,list1!AC390,"]")</f>
        <v xml:space="preserve"> (Допустимая темп. наружного воздуха) Обогрев: S[от -25 до +24]</v>
      </c>
      <c r="AD390" s="6" t="s">
        <v>5245</v>
      </c>
    </row>
    <row r="391" spans="1:30" x14ac:dyDescent="0.25">
      <c r="A391" t="str">
        <f>CONCATENATE(A$2,": ",A$3,list1!A391,"]")</f>
        <v>Производитель: E[TOSOT]</v>
      </c>
      <c r="B391" t="str">
        <f>CONCATENATE(B$2,": ",B$3,list1!B391,"]")</f>
        <v xml:space="preserve"> Тип: S[Сплит система]</v>
      </c>
      <c r="C391" t="str">
        <f>CONCATENATE(C$2,": ",C$3,list1!C391,"]")</f>
        <v xml:space="preserve"> (Сплит система) Холодопроизводительность: N[2.7]</v>
      </c>
      <c r="D391" t="str">
        <f>CONCATENATE(D$2,": ",D$3,list1!D391,"]")</f>
        <v xml:space="preserve"> (Сплит система) Площадь помещения: N[27]</v>
      </c>
      <c r="E391" t="str">
        <f>CONCATENATE(E$2,": ",E$3,list1!E391,"]")</f>
        <v xml:space="preserve"> (Сплит система) Инвентор: S[да]</v>
      </c>
      <c r="F391" t="str">
        <f>CONCATENATE(F$2,": ",F$3,list1!F391,"]")</f>
        <v xml:space="preserve"> (Сплит система) Теплопроизводительность: N[3.6]</v>
      </c>
      <c r="G391" t="str">
        <f>CONCATENATE(G$2,": ",G$3,list1!G391,"]")</f>
        <v xml:space="preserve"> (Потребляемая мощность) Охлаждение: N[0.55]</v>
      </c>
      <c r="H391" t="str">
        <f>CONCATENATE(H$2,": ",H$3,list1!H391,"]")</f>
        <v xml:space="preserve"> (Потребляемая мощность) Обогрев: S[0.75]</v>
      </c>
      <c r="I391" t="str">
        <f>CONCATENATE(I$2,": ",I$3,list1!I391,"]")</f>
        <v xml:space="preserve"> (Рабочий ток) Охлаждение: S[]</v>
      </c>
      <c r="J391" t="str">
        <f>CONCATENATE(J$2,": ",J$3,list1!J391,"]")</f>
        <v xml:space="preserve"> (Рабочий ток) Обогрев: S[]</v>
      </c>
      <c r="K391" t="str">
        <f>CONCATENATE(K$2,": ",K$3,list1!K391,"]")</f>
        <v xml:space="preserve"> (Рабочий ток) Напряжение / Частота источника питания: S[1 / 220 / 50]</v>
      </c>
      <c r="L391" t="str">
        <f>CONCATENATE(L$2,": ",L$3,list1!L391,"]")</f>
        <v xml:space="preserve"> (Рабочий ток) Хладагент: S[R32]</v>
      </c>
      <c r="M391" t="str">
        <f>CONCATENATE(M$2,": ",M$3,list1!M391,"]")</f>
        <v xml:space="preserve"> (Рабочий ток) Количество хладагента: N[]</v>
      </c>
      <c r="N391" t="str">
        <f>CONCATENATE(N$2,": ",N$3,list1!N391,"]")</f>
        <v xml:space="preserve"> (Рабочий ток) Объем рециркулируемого воздуха внутреннего блока: S[]</v>
      </c>
      <c r="O391" t="str">
        <f>CONCATENATE(O$2,": ",O$3,list1!O391,"]")</f>
        <v xml:space="preserve"> (Внутренний блок) Размеры (Ш x Г x В): S[977 х 281 х 295]</v>
      </c>
      <c r="P391" t="str">
        <f>CONCATENATE(P$2,": ",P$3,list1!P391,"]")</f>
        <v xml:space="preserve"> (Внутренний блок) Упаковка (Ш x Г x В): S[1086 х 402 х 376]</v>
      </c>
      <c r="Q391" t="str">
        <f>CONCATENATE(Q$2,": ",Q$3,list1!Q391,"]")</f>
        <v xml:space="preserve"> (Внутренний блок) Масса (нетто / брутто): S[17 / 21.5]</v>
      </c>
      <c r="R391" t="str">
        <f>CONCATENATE(R$2,": ",R$3,list1!R391,"]")</f>
        <v xml:space="preserve"> (Внутренний блок) Уровень шума мин. / макс.: S[19/22/29/33/35/38/42]</v>
      </c>
      <c r="S391" t="str">
        <f>CONCATENATE(S$2,": ",S$3,list1!S391,"]")</f>
        <v xml:space="preserve"> (Наружный блок) Марка компрессора: S[Gree]</v>
      </c>
      <c r="T391" t="str">
        <f>CONCATENATE(T$2,": ",T$3,list1!T391,"]")</f>
        <v xml:space="preserve"> (Наружный блок) Размеры (Ш x Г x В): S[899 х 378 х 596]</v>
      </c>
      <c r="U391" t="str">
        <f>CONCATENATE(U$2,": ",U$3,list1!U391,"]")</f>
        <v xml:space="preserve"> (Наружный блок) Упаковка (Ш x Г x В): S[948 х 420 х 645]</v>
      </c>
      <c r="V391" t="str">
        <f>CONCATENATE(V$2,": ",V$3,list1!V391,"]")</f>
        <v xml:space="preserve"> (Наружный блок) Масса (нетто / брутто): S[37.5/40.5]</v>
      </c>
      <c r="W391" t="str">
        <f>CONCATENATE(W$2,": ",W$3,list1!W391,"]")</f>
        <v xml:space="preserve"> (Наружный блок) Максимальный уровень шума: N[]</v>
      </c>
      <c r="X391" t="str">
        <f>CONCATENATE(X$2,": ",X$3,list1!X391,"]")</f>
        <v xml:space="preserve"> (Соединительные трубы) Жидкостная линия : N[6.35]</v>
      </c>
      <c r="Y391" t="str">
        <f>CONCATENATE(Y$2,": ",Y$3,list1!Y391,"]")</f>
        <v xml:space="preserve"> (Соединительные трубы) Газовая линия : N[9.52]</v>
      </c>
      <c r="Z391" t="str">
        <f>CONCATENATE(Z$2,": ",Z$3,list1!Z391,"]")</f>
        <v xml:space="preserve"> (Соединительные трубы) Максимальная длина трубопровода: N[15]</v>
      </c>
      <c r="AA391" t="str">
        <f>CONCATENATE(AA$2,": ",AA$3,list1!AA391,"]")</f>
        <v xml:space="preserve"> (Соединительные трубы) Максимальный перепад высот: S[10]</v>
      </c>
      <c r="AB391" t="str">
        <f>CONCATENATE(AB$2,": ",AB$3,list1!AB391,"]")</f>
        <v xml:space="preserve"> (Допустимая темп. наружного воздуха) Охлаждение: S[от -15 до +52]</v>
      </c>
      <c r="AC391" t="str">
        <f>CONCATENATE(AC$2,": ",AC$3,list1!AC391,"]")</f>
        <v xml:space="preserve"> (Допустимая темп. наружного воздуха) Обогрев: S[от -25 до +24]</v>
      </c>
      <c r="AD391" s="6" t="s">
        <v>5245</v>
      </c>
    </row>
    <row r="392" spans="1:30" x14ac:dyDescent="0.25">
      <c r="A392" t="str">
        <f>CONCATENATE(A$2,": ",A$3,list1!A392,"]")</f>
        <v>Производитель: E[TOSOT]</v>
      </c>
      <c r="B392" t="str">
        <f>CONCATENATE(B$2,": ",B$3,list1!B392,"]")</f>
        <v xml:space="preserve"> Тип: S[Сплит система]</v>
      </c>
      <c r="C392" t="str">
        <f>CONCATENATE(C$2,": ",C$3,list1!C392,"]")</f>
        <v xml:space="preserve"> (Сплит система) Холодопроизводительность: N[3.53]</v>
      </c>
      <c r="D392" t="str">
        <f>CONCATENATE(D$2,": ",D$3,list1!D392,"]")</f>
        <v xml:space="preserve"> (Сплит система) Площадь помещения: N[35]</v>
      </c>
      <c r="E392" t="str">
        <f>CONCATENATE(E$2,": ",E$3,list1!E392,"]")</f>
        <v xml:space="preserve"> (Сплит система) Инвентор: S[да]</v>
      </c>
      <c r="F392" t="str">
        <f>CONCATENATE(F$2,": ",F$3,list1!F392,"]")</f>
        <v xml:space="preserve"> (Сплит система) Теплопроизводительность: N[4.2]</v>
      </c>
      <c r="G392" t="str">
        <f>CONCATENATE(G$2,": ",G$3,list1!G392,"]")</f>
        <v xml:space="preserve"> (Потребляемая мощность) Охлаждение: N[0.802]</v>
      </c>
      <c r="H392" t="str">
        <f>CONCATENATE(H$2,": ",H$3,list1!H392,"]")</f>
        <v xml:space="preserve"> (Потребляемая мощность) Обогрев: S[0.934]</v>
      </c>
      <c r="I392" t="str">
        <f>CONCATENATE(I$2,": ",I$3,list1!I392,"]")</f>
        <v xml:space="preserve"> (Рабочий ток) Охлаждение: S[]</v>
      </c>
      <c r="J392" t="str">
        <f>CONCATENATE(J$2,": ",J$3,list1!J392,"]")</f>
        <v xml:space="preserve"> (Рабочий ток) Обогрев: S[]</v>
      </c>
      <c r="K392" t="str">
        <f>CONCATENATE(K$2,": ",K$3,list1!K392,"]")</f>
        <v xml:space="preserve"> (Рабочий ток) Напряжение / Частота источника питания: S[1 / 220 / 50]</v>
      </c>
      <c r="L392" t="str">
        <f>CONCATENATE(L$2,": ",L$3,list1!L392,"]")</f>
        <v xml:space="preserve"> (Рабочий ток) Хладагент: S[R32]</v>
      </c>
      <c r="M392" t="str">
        <f>CONCATENATE(M$2,": ",M$3,list1!M392,"]")</f>
        <v xml:space="preserve"> (Рабочий ток) Количество хладагента: N[]</v>
      </c>
      <c r="N392" t="str">
        <f>CONCATENATE(N$2,": ",N$3,list1!N392,"]")</f>
        <v xml:space="preserve"> (Рабочий ток) Объем рециркулируемого воздуха внутреннего блока: S[]</v>
      </c>
      <c r="O392" t="str">
        <f>CONCATENATE(O$2,": ",O$3,list1!O392,"]")</f>
        <v xml:space="preserve"> (Внутренний блок) Размеры (Ш x Г x В): S[977 х 281 х 295]</v>
      </c>
      <c r="P392" t="str">
        <f>CONCATENATE(P$2,": ",P$3,list1!P392,"]")</f>
        <v xml:space="preserve"> (Внутренний блок) Упаковка (Ш x Г x В): S[1086 х 402 х 376]</v>
      </c>
      <c r="Q392" t="str">
        <f>CONCATENATE(Q$2,": ",Q$3,list1!Q392,"]")</f>
        <v xml:space="preserve"> (Внутренний блок) Масса (нетто / брутто): S[17 / 21.5]</v>
      </c>
      <c r="R392" t="str">
        <f>CONCATENATE(R$2,": ",R$3,list1!R392,"]")</f>
        <v xml:space="preserve"> (Внутренний блок) Уровень шума мин. / макс.: S[22/23/29/34/37/39/44]</v>
      </c>
      <c r="S392" t="str">
        <f>CONCATENATE(S$2,": ",S$3,list1!S392,"]")</f>
        <v xml:space="preserve"> (Наружный блок) Марка компрессора: S[Gree]</v>
      </c>
      <c r="T392" t="str">
        <f>CONCATENATE(T$2,": ",T$3,list1!T392,"]")</f>
        <v xml:space="preserve"> (Наружный блок) Размеры (Ш x Г x В): S[899 х 378 х 596]</v>
      </c>
      <c r="U392" t="str">
        <f>CONCATENATE(U$2,": ",U$3,list1!U392,"]")</f>
        <v xml:space="preserve"> (Наружный блок) Упаковка (Ш x Г x В): S[948 х 420 х 645]</v>
      </c>
      <c r="V392" t="str">
        <f>CONCATENATE(V$2,": ",V$3,list1!V392,"]")</f>
        <v xml:space="preserve"> (Наружный блок) Масса (нетто / брутто): S[37.5/40.5]</v>
      </c>
      <c r="W392" t="str">
        <f>CONCATENATE(W$2,": ",W$3,list1!W392,"]")</f>
        <v xml:space="preserve"> (Наружный блок) Максимальный уровень шума: N[]</v>
      </c>
      <c r="X392" t="str">
        <f>CONCATENATE(X$2,": ",X$3,list1!X392,"]")</f>
        <v xml:space="preserve"> (Соединительные трубы) Жидкостная линия : N[6.35]</v>
      </c>
      <c r="Y392" t="str">
        <f>CONCATENATE(Y$2,": ",Y$3,list1!Y392,"]")</f>
        <v xml:space="preserve"> (Соединительные трубы) Газовая линия : N[9.52]</v>
      </c>
      <c r="Z392" t="str">
        <f>CONCATENATE(Z$2,": ",Z$3,list1!Z392,"]")</f>
        <v xml:space="preserve"> (Соединительные трубы) Максимальная длина трубопровода: N[20]</v>
      </c>
      <c r="AA392" t="str">
        <f>CONCATENATE(AA$2,": ",AA$3,list1!AA392,"]")</f>
        <v xml:space="preserve"> (Соединительные трубы) Максимальный перепад высот: S[10]</v>
      </c>
      <c r="AB392" t="str">
        <f>CONCATENATE(AB$2,": ",AB$3,list1!AB392,"]")</f>
        <v xml:space="preserve"> (Допустимая темп. наружного воздуха) Охлаждение: S[от -15 до +52]</v>
      </c>
      <c r="AC392" t="str">
        <f>CONCATENATE(AC$2,": ",AC$3,list1!AC392,"]")</f>
        <v xml:space="preserve"> (Допустимая темп. наружного воздуха) Обогрев: S[от -25 до +24]</v>
      </c>
      <c r="AD392" s="6" t="s">
        <v>5245</v>
      </c>
    </row>
    <row r="393" spans="1:30" x14ac:dyDescent="0.25">
      <c r="A393" t="str">
        <f>CONCATENATE(A$2,": ",A$3,list1!A393,"]")</f>
        <v>Производитель: E[TOSOT]</v>
      </c>
      <c r="B393" t="str">
        <f>CONCATENATE(B$2,": ",B$3,list1!B393,"]")</f>
        <v xml:space="preserve"> Тип: S[Сплит система]</v>
      </c>
      <c r="C393" t="str">
        <f>CONCATENATE(C$2,": ",C$3,list1!C393,"]")</f>
        <v xml:space="preserve"> (Сплит система) Холодопроизводительность: N[3.53]</v>
      </c>
      <c r="D393" t="str">
        <f>CONCATENATE(D$2,": ",D$3,list1!D393,"]")</f>
        <v xml:space="preserve"> (Сплит система) Площадь помещения: N[35]</v>
      </c>
      <c r="E393" t="str">
        <f>CONCATENATE(E$2,": ",E$3,list1!E393,"]")</f>
        <v xml:space="preserve"> (Сплит система) Инвентор: S[да]</v>
      </c>
      <c r="F393" t="str">
        <f>CONCATENATE(F$2,": ",F$3,list1!F393,"]")</f>
        <v xml:space="preserve"> (Сплит система) Теплопроизводительность: N[4.2]</v>
      </c>
      <c r="G393" t="str">
        <f>CONCATENATE(G$2,": ",G$3,list1!G393,"]")</f>
        <v xml:space="preserve"> (Потребляемая мощность) Охлаждение: N[0.802]</v>
      </c>
      <c r="H393" t="str">
        <f>CONCATENATE(H$2,": ",H$3,list1!H393,"]")</f>
        <v xml:space="preserve"> (Потребляемая мощность) Обогрев: S[0.934]</v>
      </c>
      <c r="I393" t="str">
        <f>CONCATENATE(I$2,": ",I$3,list1!I393,"]")</f>
        <v xml:space="preserve"> (Рабочий ток) Охлаждение: S[]</v>
      </c>
      <c r="J393" t="str">
        <f>CONCATENATE(J$2,": ",J$3,list1!J393,"]")</f>
        <v xml:space="preserve"> (Рабочий ток) Обогрев: S[]</v>
      </c>
      <c r="K393" t="str">
        <f>CONCATENATE(K$2,": ",K$3,list1!K393,"]")</f>
        <v xml:space="preserve"> (Рабочий ток) Напряжение / Частота источника питания: S[1 / 220 / 50]</v>
      </c>
      <c r="L393" t="str">
        <f>CONCATENATE(L$2,": ",L$3,list1!L393,"]")</f>
        <v xml:space="preserve"> (Рабочий ток) Хладагент: S[R32]</v>
      </c>
      <c r="M393" t="str">
        <f>CONCATENATE(M$2,": ",M$3,list1!M393,"]")</f>
        <v xml:space="preserve"> (Рабочий ток) Количество хладагента: N[]</v>
      </c>
      <c r="N393" t="str">
        <f>CONCATENATE(N$2,": ",N$3,list1!N393,"]")</f>
        <v xml:space="preserve"> (Рабочий ток) Объем рециркулируемого воздуха внутреннего блока: S[]</v>
      </c>
      <c r="O393" t="str">
        <f>CONCATENATE(O$2,": ",O$3,list1!O393,"]")</f>
        <v xml:space="preserve"> (Внутренний блок) Размеры (Ш x Г x В): S[977 х 281 х 295]</v>
      </c>
      <c r="P393" t="str">
        <f>CONCATENATE(P$2,": ",P$3,list1!P393,"]")</f>
        <v xml:space="preserve"> (Внутренний блок) Упаковка (Ш x Г x В): S[1086 х 402 х 376]</v>
      </c>
      <c r="Q393" t="str">
        <f>CONCATENATE(Q$2,": ",Q$3,list1!Q393,"]")</f>
        <v xml:space="preserve"> (Внутренний блок) Масса (нетто / брутто): S[17 / 21.5]</v>
      </c>
      <c r="R393" t="str">
        <f>CONCATENATE(R$2,": ",R$3,list1!R393,"]")</f>
        <v xml:space="preserve"> (Внутренний блок) Уровень шума мин. / макс.: S[22/23/29/34/37/39/44]</v>
      </c>
      <c r="S393" t="str">
        <f>CONCATENATE(S$2,": ",S$3,list1!S393,"]")</f>
        <v xml:space="preserve"> (Наружный блок) Марка компрессора: S[Gree]</v>
      </c>
      <c r="T393" t="str">
        <f>CONCATENATE(T$2,": ",T$3,list1!T393,"]")</f>
        <v xml:space="preserve"> (Наружный блок) Размеры (Ш x Г x В): S[899 х 378 х 596]</v>
      </c>
      <c r="U393" t="str">
        <f>CONCATENATE(U$2,": ",U$3,list1!U393,"]")</f>
        <v xml:space="preserve"> (Наружный блок) Упаковка (Ш x Г x В): S[948 х 420 х 645]</v>
      </c>
      <c r="V393" t="str">
        <f>CONCATENATE(V$2,": ",V$3,list1!V393,"]")</f>
        <v xml:space="preserve"> (Наружный блок) Масса (нетто / брутто): S[37.5/40.5]</v>
      </c>
      <c r="W393" t="str">
        <f>CONCATENATE(W$2,": ",W$3,list1!W393,"]")</f>
        <v xml:space="preserve"> (Наружный блок) Максимальный уровень шума: N[]</v>
      </c>
      <c r="X393" t="str">
        <f>CONCATENATE(X$2,": ",X$3,list1!X393,"]")</f>
        <v xml:space="preserve"> (Соединительные трубы) Жидкостная линия : N[6.35]</v>
      </c>
      <c r="Y393" t="str">
        <f>CONCATENATE(Y$2,": ",Y$3,list1!Y393,"]")</f>
        <v xml:space="preserve"> (Соединительные трубы) Газовая линия : N[9.52]</v>
      </c>
      <c r="Z393" t="str">
        <f>CONCATENATE(Z$2,": ",Z$3,list1!Z393,"]")</f>
        <v xml:space="preserve"> (Соединительные трубы) Максимальная длина трубопровода: N[20]</v>
      </c>
      <c r="AA393" t="str">
        <f>CONCATENATE(AA$2,": ",AA$3,list1!AA393,"]")</f>
        <v xml:space="preserve"> (Соединительные трубы) Максимальный перепад высот: S[10]</v>
      </c>
      <c r="AB393" t="str">
        <f>CONCATENATE(AB$2,": ",AB$3,list1!AB393,"]")</f>
        <v xml:space="preserve"> (Допустимая темп. наружного воздуха) Охлаждение: S[от -15 до +52]</v>
      </c>
      <c r="AC393" t="str">
        <f>CONCATENATE(AC$2,": ",AC$3,list1!AC393,"]")</f>
        <v xml:space="preserve"> (Допустимая темп. наружного воздуха) Обогрев: S[от -25 до +24]</v>
      </c>
      <c r="AD393" s="6" t="s">
        <v>5245</v>
      </c>
    </row>
    <row r="394" spans="1:30" x14ac:dyDescent="0.25">
      <c r="A394" t="str">
        <f>CONCATENATE(A$2,": ",A$3,list1!A394,"]")</f>
        <v>Производитель: E[TOSOT]</v>
      </c>
      <c r="B394" t="str">
        <f>CONCATENATE(B$2,": ",B$3,list1!B394,"]")</f>
        <v xml:space="preserve"> Тип: S[Канальные]</v>
      </c>
      <c r="C394" t="str">
        <f>CONCATENATE(C$2,": ",C$3,list1!C394,"]")</f>
        <v xml:space="preserve"> (Сплит система) Холодопроизводительность: N[5.3]</v>
      </c>
      <c r="D394" t="str">
        <f>CONCATENATE(D$2,": ",D$3,list1!D394,"]")</f>
        <v xml:space="preserve"> (Сплит система) Площадь помещения: N[53]</v>
      </c>
      <c r="E394" t="str">
        <f>CONCATENATE(E$2,": ",E$3,list1!E394,"]")</f>
        <v xml:space="preserve"> (Сплит система) Инвентор: S[да]</v>
      </c>
      <c r="F394" t="str">
        <f>CONCATENATE(F$2,": ",F$3,list1!F394,"]")</f>
        <v xml:space="preserve"> (Сплит система) Теплопроизводительность: N[5.8]</v>
      </c>
      <c r="G394" t="str">
        <f>CONCATENATE(G$2,": ",G$3,list1!G394,"]")</f>
        <v xml:space="preserve"> (Потребляемая мощность) Охлаждение: N[1.65]</v>
      </c>
      <c r="H394" t="str">
        <f>CONCATENATE(H$2,": ",H$3,list1!H394,"]")</f>
        <v xml:space="preserve"> (Потребляемая мощность) Обогрев: S[1.6]</v>
      </c>
      <c r="I394" t="str">
        <f>CONCATENATE(I$2,": ",I$3,list1!I394,"]")</f>
        <v xml:space="preserve"> (Рабочий ток) Охлаждение: S[]</v>
      </c>
      <c r="J394" t="str">
        <f>CONCATENATE(J$2,": ",J$3,list1!J394,"]")</f>
        <v xml:space="preserve"> (Рабочий ток) Обогрев: S[]</v>
      </c>
      <c r="K394" t="str">
        <f>CONCATENATE(K$2,": ",K$3,list1!K394,"]")</f>
        <v xml:space="preserve"> (Рабочий ток) Напряжение / Частота источника питания: S[1 / 220 / 50]</v>
      </c>
      <c r="L394" t="str">
        <f>CONCATENATE(L$2,": ",L$3,list1!L394,"]")</f>
        <v xml:space="preserve"> (Рабочий ток) Хладагент: S[R410A]</v>
      </c>
      <c r="M394" t="str">
        <f>CONCATENATE(M$2,": ",M$3,list1!M394,"]")</f>
        <v xml:space="preserve"> (Рабочий ток) Количество хладагента: N[]</v>
      </c>
      <c r="N394" t="str">
        <f>CONCATENATE(N$2,": ",N$3,list1!N394,"]")</f>
        <v xml:space="preserve"> (Рабочий ток) Объем рециркулируемого воздуха внутреннего блока: S[]</v>
      </c>
      <c r="O394" t="str">
        <f>CONCATENATE(O$2,": ",O$3,list1!O394,"]")</f>
        <v xml:space="preserve"> (Внутренний блок) Размеры (Ш x Г x В): S[1000 х 200 х 450]</v>
      </c>
      <c r="P394" t="str">
        <f>CONCATENATE(P$2,": ",P$3,list1!P394,"]")</f>
        <v xml:space="preserve"> (Внутренний блок) Упаковка (Ш x Г x В): S[1308 х 568 х 275]</v>
      </c>
      <c r="Q394" t="str">
        <f>CONCATENATE(Q$2,": ",Q$3,list1!Q394,"]")</f>
        <v xml:space="preserve"> (Внутренний блок) Масса (нетто / брутто): S[26 / 31]</v>
      </c>
      <c r="R394" t="str">
        <f>CONCATENATE(R$2,": ",R$3,list1!R394,"]")</f>
        <v xml:space="preserve"> (Внутренний блок) Уровень шума мин. / макс.: S[35/37/39/40]</v>
      </c>
      <c r="S394" t="str">
        <f>CONCATENATE(S$2,": ",S$3,list1!S394,"]")</f>
        <v xml:space="preserve"> (Наружный блок) Марка компрессора: S[Gree]</v>
      </c>
      <c r="T394" t="str">
        <f>CONCATENATE(T$2,": ",T$3,list1!T394,"]")</f>
        <v xml:space="preserve"> (Наружный блок) Размеры (Ш x Г x В): S[818 х 302 х 596]</v>
      </c>
      <c r="U394" t="str">
        <f>CONCATENATE(U$2,": ",U$3,list1!U394,"]")</f>
        <v xml:space="preserve"> (Наружный блок) Упаковка (Ш x Г x В): S[948 х 420 х 645]</v>
      </c>
      <c r="V394" t="str">
        <f>CONCATENATE(V$2,": ",V$3,list1!V394,"]")</f>
        <v xml:space="preserve"> (Наружный блок) Масса (нетто / брутто): S[41/44]</v>
      </c>
      <c r="W394" t="str">
        <f>CONCATENATE(W$2,": ",W$3,list1!W394,"]")</f>
        <v xml:space="preserve"> (Наружный блок) Максимальный уровень шума: N[]</v>
      </c>
      <c r="X394" t="str">
        <f>CONCATENATE(X$2,": ",X$3,list1!X394,"]")</f>
        <v xml:space="preserve"> (Соединительные трубы) Жидкостная линия : N[6.35]</v>
      </c>
      <c r="Y394" t="str">
        <f>CONCATENATE(Y$2,": ",Y$3,list1!Y394,"]")</f>
        <v xml:space="preserve"> (Соединительные трубы) Газовая линия : N[12.7]</v>
      </c>
      <c r="Z394" t="str">
        <f>CONCATENATE(Z$2,": ",Z$3,list1!Z394,"]")</f>
        <v xml:space="preserve"> (Соединительные трубы) Максимальная длина трубопровода: N[35]</v>
      </c>
      <c r="AA394" t="str">
        <f>CONCATENATE(AA$2,": ",AA$3,list1!AA394,"]")</f>
        <v xml:space="preserve"> (Соединительные трубы) Максимальный перепад высот: S[20]</v>
      </c>
      <c r="AB394" t="str">
        <f>CONCATENATE(AB$2,": ",AB$3,list1!AB394,"]")</f>
        <v xml:space="preserve"> (Допустимая темп. наружного воздуха) Охлаждение: S[от -15 до +48]</v>
      </c>
      <c r="AC394" t="str">
        <f>CONCATENATE(AC$2,": ",AC$3,list1!AC394,"]")</f>
        <v xml:space="preserve"> (Допустимая темп. наружного воздуха) Обогрев: S[от -15 до +24]</v>
      </c>
      <c r="AD394" s="6" t="s">
        <v>5245</v>
      </c>
    </row>
    <row r="395" spans="1:30" x14ac:dyDescent="0.25">
      <c r="A395" t="str">
        <f>CONCATENATE(A$2,": ",A$3,list1!A395,"]")</f>
        <v>Производитель: E[TOSOT]</v>
      </c>
      <c r="B395" t="str">
        <f>CONCATENATE(B$2,": ",B$3,list1!B395,"]")</f>
        <v xml:space="preserve"> Тип: S[Канальные]</v>
      </c>
      <c r="C395" t="str">
        <f>CONCATENATE(C$2,": ",C$3,list1!C395,"]")</f>
        <v xml:space="preserve"> (Сплит система) Холодопроизводительность: N[7.15]</v>
      </c>
      <c r="D395" t="str">
        <f>CONCATENATE(D$2,": ",D$3,list1!D395,"]")</f>
        <v xml:space="preserve"> (Сплит система) Площадь помещения: N[71]</v>
      </c>
      <c r="E395" t="str">
        <f>CONCATENATE(E$2,": ",E$3,list1!E395,"]")</f>
        <v xml:space="preserve"> (Сплит система) Инвентор: S[да]</v>
      </c>
      <c r="F395" t="str">
        <f>CONCATENATE(F$2,": ",F$3,list1!F395,"]")</f>
        <v xml:space="preserve"> (Сплит система) Теплопроизводительность: N[8]</v>
      </c>
      <c r="G395" t="str">
        <f>CONCATENATE(G$2,": ",G$3,list1!G395,"]")</f>
        <v xml:space="preserve"> (Потребляемая мощность) Охлаждение: N[2.45]</v>
      </c>
      <c r="H395" t="str">
        <f>CONCATENATE(H$2,": ",H$3,list1!H395,"]")</f>
        <v xml:space="preserve"> (Потребляемая мощность) Обогрев: S[2.5]</v>
      </c>
      <c r="I395" t="str">
        <f>CONCATENATE(I$2,": ",I$3,list1!I395,"]")</f>
        <v xml:space="preserve"> (Рабочий ток) Охлаждение: S[]</v>
      </c>
      <c r="J395" t="str">
        <f>CONCATENATE(J$2,": ",J$3,list1!J395,"]")</f>
        <v xml:space="preserve"> (Рабочий ток) Обогрев: S[]</v>
      </c>
      <c r="K395" t="str">
        <f>CONCATENATE(K$2,": ",K$3,list1!K395,"]")</f>
        <v xml:space="preserve"> (Рабочий ток) Напряжение / Частота источника питания: S[1 / 220 / 50]</v>
      </c>
      <c r="L395" t="str">
        <f>CONCATENATE(L$2,": ",L$3,list1!L395,"]")</f>
        <v xml:space="preserve"> (Рабочий ток) Хладагент: S[R410A]</v>
      </c>
      <c r="M395" t="str">
        <f>CONCATENATE(M$2,": ",M$3,list1!M395,"]")</f>
        <v xml:space="preserve"> (Рабочий ток) Количество хладагента: N[]</v>
      </c>
      <c r="N395" t="str">
        <f>CONCATENATE(N$2,": ",N$3,list1!N395,"]")</f>
        <v xml:space="preserve"> (Рабочий ток) Объем рециркулируемого воздуха внутреннего блока: S[]</v>
      </c>
      <c r="O395" t="str">
        <f>CONCATENATE(O$2,": ",O$3,list1!O395,"]")</f>
        <v xml:space="preserve"> (Внутренний блок) Размеры (Ш x Г x В): S[1000 х 200 х 450]</v>
      </c>
      <c r="P395" t="str">
        <f>CONCATENATE(P$2,": ",P$3,list1!P395,"]")</f>
        <v xml:space="preserve"> (Внутренний блок) Упаковка (Ш x Г x В): S[1308 х 568 х 275]</v>
      </c>
      <c r="Q395" t="str">
        <f>CONCATENATE(Q$2,": ",Q$3,list1!Q395,"]")</f>
        <v xml:space="preserve"> (Внутренний блок) Масса (нетто / брутто): S[26 / 31]</v>
      </c>
      <c r="R395" t="str">
        <f>CONCATENATE(R$2,": ",R$3,list1!R395,"]")</f>
        <v xml:space="preserve"> (Внутренний блок) Уровень шума мин. / макс.: S[38/40/42/43]</v>
      </c>
      <c r="S395" t="str">
        <f>CONCATENATE(S$2,": ",S$3,list1!S395,"]")</f>
        <v xml:space="preserve"> (Наружный блок) Марка компрессора: S[Gree]</v>
      </c>
      <c r="T395" t="str">
        <f>CONCATENATE(T$2,": ",T$3,list1!T395,"]")</f>
        <v xml:space="preserve"> (Наружный блок) Размеры (Ш x Г x В): S[892 х 340 х 698]</v>
      </c>
      <c r="U395" t="str">
        <f>CONCATENATE(U$2,": ",U$3,list1!U395,"]")</f>
        <v xml:space="preserve"> (Наружный блок) Упаковка (Ш x Г x В): S[1029 х 458 х 750]</v>
      </c>
      <c r="V395" t="str">
        <f>CONCATENATE(V$2,": ",V$3,list1!V395,"]")</f>
        <v xml:space="preserve"> (Наружный блок) Масса (нетто / брутто): S[53/57]</v>
      </c>
      <c r="W395" t="str">
        <f>CONCATENATE(W$2,": ",W$3,list1!W395,"]")</f>
        <v xml:space="preserve"> (Наружный блок) Максимальный уровень шума: N[]</v>
      </c>
      <c r="X395" t="str">
        <f>CONCATENATE(X$2,": ",X$3,list1!X395,"]")</f>
        <v xml:space="preserve"> (Соединительные трубы) Жидкостная линия : N[9.52]</v>
      </c>
      <c r="Y395" t="str">
        <f>CONCATENATE(Y$2,": ",Y$3,list1!Y395,"]")</f>
        <v xml:space="preserve"> (Соединительные трубы) Газовая линия : N[15.87]</v>
      </c>
      <c r="Z395" t="str">
        <f>CONCATENATE(Z$2,": ",Z$3,list1!Z395,"]")</f>
        <v xml:space="preserve"> (Соединительные трубы) Максимальная длина трубопровода: N[50]</v>
      </c>
      <c r="AA395" t="str">
        <f>CONCATENATE(AA$2,": ",AA$3,list1!AA395,"]")</f>
        <v xml:space="preserve"> (Соединительные трубы) Максимальный перепад высот: S[25]</v>
      </c>
      <c r="AB395" t="str">
        <f>CONCATENATE(AB$2,": ",AB$3,list1!AB395,"]")</f>
        <v xml:space="preserve"> (Допустимая темп. наружного воздуха) Охлаждение: S[от -15 до +48]</v>
      </c>
      <c r="AC395" t="str">
        <f>CONCATENATE(AC$2,": ",AC$3,list1!AC395,"]")</f>
        <v xml:space="preserve"> (Допустимая темп. наружного воздуха) Обогрев: S[от -15 до +24]</v>
      </c>
      <c r="AD395" s="6" t="s">
        <v>5245</v>
      </c>
    </row>
    <row r="396" spans="1:30" x14ac:dyDescent="0.25">
      <c r="A396" t="str">
        <f>CONCATENATE(A$2,": ",A$3,list1!A396,"]")</f>
        <v>Производитель: E[TOSOT]</v>
      </c>
      <c r="B396" t="str">
        <f>CONCATENATE(B$2,": ",B$3,list1!B396,"]")</f>
        <v xml:space="preserve"> Тип: S[Канальные]</v>
      </c>
      <c r="C396" t="str">
        <f>CONCATENATE(C$2,": ",C$3,list1!C396,"]")</f>
        <v xml:space="preserve"> (Сплит система) Холодопроизводительность: N[10.1]</v>
      </c>
      <c r="D396" t="str">
        <f>CONCATENATE(D$2,": ",D$3,list1!D396,"]")</f>
        <v xml:space="preserve"> (Сплит система) Площадь помещения: N[100]</v>
      </c>
      <c r="E396" t="str">
        <f>CONCATENATE(E$2,": ",E$3,list1!E396,"]")</f>
        <v xml:space="preserve"> (Сплит система) Инвентор: S[да]</v>
      </c>
      <c r="F396" t="str">
        <f>CONCATENATE(F$2,": ",F$3,list1!F396,"]")</f>
        <v xml:space="preserve"> (Сплит система) Теплопроизводительность: N[11]</v>
      </c>
      <c r="G396" t="str">
        <f>CONCATENATE(G$2,": ",G$3,list1!G396,"]")</f>
        <v xml:space="preserve"> (Потребляемая мощность) Охлаждение: N[3.4]</v>
      </c>
      <c r="H396" t="str">
        <f>CONCATENATE(H$2,": ",H$3,list1!H396,"]")</f>
        <v xml:space="preserve"> (Потребляемая мощность) Обогрев: S[3.2]</v>
      </c>
      <c r="I396" t="str">
        <f>CONCATENATE(I$2,": ",I$3,list1!I396,"]")</f>
        <v xml:space="preserve"> (Рабочий ток) Охлаждение: S[]</v>
      </c>
      <c r="J396" t="str">
        <f>CONCATENATE(J$2,": ",J$3,list1!J396,"]")</f>
        <v xml:space="preserve"> (Рабочий ток) Обогрев: S[]</v>
      </c>
      <c r="K396" t="str">
        <f>CONCATENATE(K$2,": ",K$3,list1!K396,"]")</f>
        <v xml:space="preserve"> (Рабочий ток) Напряжение / Частота источника питания: S[1 / 220 / 50]</v>
      </c>
      <c r="L396" t="str">
        <f>CONCATENATE(L$2,": ",L$3,list1!L396,"]")</f>
        <v xml:space="preserve"> (Рабочий ток) Хладагент: S[R410A]</v>
      </c>
      <c r="M396" t="str">
        <f>CONCATENATE(M$2,": ",M$3,list1!M396,"]")</f>
        <v xml:space="preserve"> (Рабочий ток) Количество хладагента: N[]</v>
      </c>
      <c r="N396" t="str">
        <f>CONCATENATE(N$2,": ",N$3,list1!N396,"]")</f>
        <v xml:space="preserve"> (Рабочий ток) Объем рециркулируемого воздуха внутреннего блока: S[]</v>
      </c>
      <c r="O396" t="str">
        <f>CONCATENATE(O$2,": ",O$3,list1!O396,"]")</f>
        <v xml:space="preserve"> (Внутренний блок) Размеры (Ш x Г x В): S[1000 х 300 х 700]</v>
      </c>
      <c r="P396" t="str">
        <f>CONCATENATE(P$2,": ",P$3,list1!P396,"]")</f>
        <v xml:space="preserve"> (Внутренний блок) Упаковка (Ш x Г x В): S[1205 х 813 х 360]</v>
      </c>
      <c r="Q396" t="str">
        <f>CONCATENATE(Q$2,": ",Q$3,list1!Q396,"]")</f>
        <v xml:space="preserve"> (Внутренний блок) Масса (нетто / брутто): S[41 / 47]</v>
      </c>
      <c r="R396" t="str">
        <f>CONCATENATE(R$2,": ",R$3,list1!R396,"]")</f>
        <v xml:space="preserve"> (Внутренний блок) Уровень шума мин. / макс.: S[37/39/41/43]</v>
      </c>
      <c r="S396" t="str">
        <f>CONCATENATE(S$2,": ",S$3,list1!S396,"]")</f>
        <v xml:space="preserve"> (Наружный блок) Марка компрессора: S[Gree]</v>
      </c>
      <c r="T396" t="str">
        <f>CONCATENATE(T$2,": ",T$3,list1!T396,"]")</f>
        <v xml:space="preserve"> (Наружный блок) Размеры (Ш x Г x В): S[920 х 370 х 790]</v>
      </c>
      <c r="U396" t="str">
        <f>CONCATENATE(U$2,": ",U$3,list1!U396,"]")</f>
        <v xml:space="preserve"> (Наружный блок) Упаковка (Ш x Г x В): S[1083 х 488 х 855]</v>
      </c>
      <c r="V396" t="str">
        <f>CONCATENATE(V$2,": ",V$3,list1!V396,"]")</f>
        <v xml:space="preserve"> (Наружный блок) Масса (нетто / брутто): S[61/66]</v>
      </c>
      <c r="W396" t="str">
        <f>CONCATENATE(W$2,": ",W$3,list1!W396,"]")</f>
        <v xml:space="preserve"> (Наружный блок) Максимальный уровень шума: N[]</v>
      </c>
      <c r="X396" t="str">
        <f>CONCATENATE(X$2,": ",X$3,list1!X396,"]")</f>
        <v xml:space="preserve"> (Соединительные трубы) Жидкостная линия : N[9.52]</v>
      </c>
      <c r="Y396" t="str">
        <f>CONCATENATE(Y$2,": ",Y$3,list1!Y396,"]")</f>
        <v xml:space="preserve"> (Соединительные трубы) Газовая линия : N[15.87]</v>
      </c>
      <c r="Z396" t="str">
        <f>CONCATENATE(Z$2,": ",Z$3,list1!Z396,"]")</f>
        <v xml:space="preserve"> (Соединительные трубы) Максимальная длина трубопровода: N[50]</v>
      </c>
      <c r="AA396" t="str">
        <f>CONCATENATE(AA$2,": ",AA$3,list1!AA396,"]")</f>
        <v xml:space="preserve"> (Соединительные трубы) Максимальный перепад высот: S[25]</v>
      </c>
      <c r="AB396" t="str">
        <f>CONCATENATE(AB$2,": ",AB$3,list1!AB396,"]")</f>
        <v xml:space="preserve"> (Допустимая темп. наружного воздуха) Охлаждение: S[от -15 до +48]</v>
      </c>
      <c r="AC396" t="str">
        <f>CONCATENATE(AC$2,": ",AC$3,list1!AC396,"]")</f>
        <v xml:space="preserve"> (Допустимая темп. наружного воздуха) Обогрев: S[от -15 до +24]</v>
      </c>
      <c r="AD396" s="6" t="s">
        <v>5245</v>
      </c>
    </row>
    <row r="397" spans="1:30" x14ac:dyDescent="0.25">
      <c r="A397" t="str">
        <f>CONCATENATE(A$2,": ",A$3,list1!A397,"]")</f>
        <v>Производитель: E[TOSOT]</v>
      </c>
      <c r="B397" t="str">
        <f>CONCATENATE(B$2,": ",B$3,list1!B397,"]")</f>
        <v xml:space="preserve"> Тип: S[Канальные]</v>
      </c>
      <c r="C397" t="str">
        <f>CONCATENATE(C$2,": ",C$3,list1!C397,"]")</f>
        <v xml:space="preserve"> (Сплит система) Холодопроизводительность: N[14]</v>
      </c>
      <c r="D397" t="str">
        <f>CONCATENATE(D$2,": ",D$3,list1!D397,"]")</f>
        <v xml:space="preserve"> (Сплит система) Площадь помещения: N[140]</v>
      </c>
      <c r="E397" t="str">
        <f>CONCATENATE(E$2,": ",E$3,list1!E397,"]")</f>
        <v xml:space="preserve"> (Сплит система) Инвентор: S[да]</v>
      </c>
      <c r="F397" t="str">
        <f>CONCATENATE(F$2,": ",F$3,list1!F397,"]")</f>
        <v xml:space="preserve"> (Сплит система) Теплопроизводительность: N[15]</v>
      </c>
      <c r="G397" t="str">
        <f>CONCATENATE(G$2,": ",G$3,list1!G397,"]")</f>
        <v xml:space="preserve"> (Потребляемая мощность) Охлаждение: N[5]</v>
      </c>
      <c r="H397" t="str">
        <f>CONCATENATE(H$2,": ",H$3,list1!H397,"]")</f>
        <v xml:space="preserve"> (Потребляемая мощность) Обогрев: S[4.4]</v>
      </c>
      <c r="I397" t="str">
        <f>CONCATENATE(I$2,": ",I$3,list1!I397,"]")</f>
        <v xml:space="preserve"> (Рабочий ток) Охлаждение: S[]</v>
      </c>
      <c r="J397" t="str">
        <f>CONCATENATE(J$2,": ",J$3,list1!J397,"]")</f>
        <v xml:space="preserve"> (Рабочий ток) Обогрев: S[]</v>
      </c>
      <c r="K397" t="str">
        <f>CONCATENATE(K$2,": ",K$3,list1!K397,"]")</f>
        <v xml:space="preserve"> (Рабочий ток) Напряжение / Частота источника питания: S[3 / 380 / 50]</v>
      </c>
      <c r="L397" t="str">
        <f>CONCATENATE(L$2,": ",L$3,list1!L397,"]")</f>
        <v xml:space="preserve"> (Рабочий ток) Хладагент: S[R410A]</v>
      </c>
      <c r="M397" t="str">
        <f>CONCATENATE(M$2,": ",M$3,list1!M397,"]")</f>
        <v xml:space="preserve"> (Рабочий ток) Количество хладагента: N[]</v>
      </c>
      <c r="N397" t="str">
        <f>CONCATENATE(N$2,": ",N$3,list1!N397,"]")</f>
        <v xml:space="preserve"> (Рабочий ток) Объем рециркулируемого воздуха внутреннего блока: S[]</v>
      </c>
      <c r="O397" t="str">
        <f>CONCATENATE(O$2,": ",O$3,list1!O397,"]")</f>
        <v xml:space="preserve"> (Внутренний блок) Размеры (Ш x Г x В): S[1400 х 300 х 700]</v>
      </c>
      <c r="P397" t="str">
        <f>CONCATENATE(P$2,": ",P$3,list1!P397,"]")</f>
        <v xml:space="preserve"> (Внутренний блок) Упаковка (Ш x Г x В): S[1601 х 813 х 365]</v>
      </c>
      <c r="Q397" t="str">
        <f>CONCATENATE(Q$2,": ",Q$3,list1!Q397,"]")</f>
        <v xml:space="preserve"> (Внутренний блок) Масса (нетто / брутто): S[50 / 56]</v>
      </c>
      <c r="R397" t="str">
        <f>CONCATENATE(R$2,": ",R$3,list1!R397,"]")</f>
        <v xml:space="preserve"> (Внутренний блок) Уровень шума мин. / макс.: S[37/39/40/42]</v>
      </c>
      <c r="S397" t="str">
        <f>CONCATENATE(S$2,": ",S$3,list1!S397,"]")</f>
        <v xml:space="preserve"> (Наружный блок) Марка компрессора: S[Gree]</v>
      </c>
      <c r="T397" t="str">
        <f>CONCATENATE(T$2,": ",T$3,list1!T397,"]")</f>
        <v xml:space="preserve"> (Наружный блок) Размеры (Ш x Г x В): S[940 х 460 х 820]</v>
      </c>
      <c r="U397" t="str">
        <f>CONCATENATE(U$2,": ",U$3,list1!U397,"]")</f>
        <v xml:space="preserve"> (Наружный блок) Упаковка (Ш x Г x В): S[1083 х 573 х 973]</v>
      </c>
      <c r="V397" t="str">
        <f>CONCATENATE(V$2,": ",V$3,list1!V397,"]")</f>
        <v xml:space="preserve"> (Наружный блок) Масса (нетто / брутто): S[96/108]</v>
      </c>
      <c r="W397" t="str">
        <f>CONCATENATE(W$2,": ",W$3,list1!W397,"]")</f>
        <v xml:space="preserve"> (Наружный блок) Максимальный уровень шума: N[]</v>
      </c>
      <c r="X397" t="str">
        <f>CONCATENATE(X$2,": ",X$3,list1!X397,"]")</f>
        <v xml:space="preserve"> (Соединительные трубы) Жидкостная линия : N[9.52]</v>
      </c>
      <c r="Y397" t="str">
        <f>CONCATENATE(Y$2,": ",Y$3,list1!Y397,"]")</f>
        <v xml:space="preserve"> (Соединительные трубы) Газовая линия : N[15.87]</v>
      </c>
      <c r="Z397" t="str">
        <f>CONCATENATE(Z$2,": ",Z$3,list1!Z397,"]")</f>
        <v xml:space="preserve"> (Соединительные трубы) Максимальная длина трубопровода: N[75]</v>
      </c>
      <c r="AA397" t="str">
        <f>CONCATENATE(AA$2,": ",AA$3,list1!AA397,"]")</f>
        <v xml:space="preserve"> (Соединительные трубы) Максимальный перепад высот: S[30]</v>
      </c>
      <c r="AB397" t="str">
        <f>CONCATENATE(AB$2,": ",AB$3,list1!AB397,"]")</f>
        <v xml:space="preserve"> (Допустимая темп. наружного воздуха) Охлаждение: S[от -15 до +48]</v>
      </c>
      <c r="AC397" t="str">
        <f>CONCATENATE(AC$2,": ",AC$3,list1!AC397,"]")</f>
        <v xml:space="preserve"> (Допустимая темп. наружного воздуха) Обогрев: S[от -15 до +24]</v>
      </c>
      <c r="AD397" s="6" t="s">
        <v>5245</v>
      </c>
    </row>
    <row r="398" spans="1:30" x14ac:dyDescent="0.25">
      <c r="A398" t="str">
        <f>CONCATENATE(A$2,": ",A$3,list1!A398,"]")</f>
        <v>Производитель: E[TOSOT]</v>
      </c>
      <c r="B398" t="str">
        <f>CONCATENATE(B$2,": ",B$3,list1!B398,"]")</f>
        <v xml:space="preserve"> Тип: S[Канальные]</v>
      </c>
      <c r="C398" t="str">
        <f>CONCATENATE(C$2,": ",C$3,list1!C398,"]")</f>
        <v xml:space="preserve"> (Сплит система) Холодопроизводительность: N[15.6]</v>
      </c>
      <c r="D398" t="str">
        <f>CONCATENATE(D$2,": ",D$3,list1!D398,"]")</f>
        <v xml:space="preserve"> (Сплит система) Площадь помещения: N[150]</v>
      </c>
      <c r="E398" t="str">
        <f>CONCATENATE(E$2,": ",E$3,list1!E398,"]")</f>
        <v xml:space="preserve"> (Сплит система) Инвентор: S[да]</v>
      </c>
      <c r="F398" t="str">
        <f>CONCATENATE(F$2,": ",F$3,list1!F398,"]")</f>
        <v xml:space="preserve"> (Сплит система) Теплопроизводительность: N[17]</v>
      </c>
      <c r="G398" t="str">
        <f>CONCATENATE(G$2,": ",G$3,list1!G398,"]")</f>
        <v xml:space="preserve"> (Потребляемая мощность) Охлаждение: N[5.4]</v>
      </c>
      <c r="H398" t="str">
        <f>CONCATENATE(H$2,": ",H$3,list1!H398,"]")</f>
        <v xml:space="preserve"> (Потребляемая мощность) Обогрев: S[4.8]</v>
      </c>
      <c r="I398" t="str">
        <f>CONCATENATE(I$2,": ",I$3,list1!I398,"]")</f>
        <v xml:space="preserve"> (Рабочий ток) Охлаждение: S[]</v>
      </c>
      <c r="J398" t="str">
        <f>CONCATENATE(J$2,": ",J$3,list1!J398,"]")</f>
        <v xml:space="preserve"> (Рабочий ток) Обогрев: S[]</v>
      </c>
      <c r="K398" t="str">
        <f>CONCATENATE(K$2,": ",K$3,list1!K398,"]")</f>
        <v xml:space="preserve"> (Рабочий ток) Напряжение / Частота источника питания: S[3 / 380 / 50]</v>
      </c>
      <c r="L398" t="str">
        <f>CONCATENATE(L$2,": ",L$3,list1!L398,"]")</f>
        <v xml:space="preserve"> (Рабочий ток) Хладагент: S[R410A]</v>
      </c>
      <c r="M398" t="str">
        <f>CONCATENATE(M$2,": ",M$3,list1!M398,"]")</f>
        <v xml:space="preserve"> (Рабочий ток) Количество хладагента: N[]</v>
      </c>
      <c r="N398" t="str">
        <f>CONCATENATE(N$2,": ",N$3,list1!N398,"]")</f>
        <v xml:space="preserve"> (Рабочий ток) Объем рециркулируемого воздуха внутреннего блока: S[]</v>
      </c>
      <c r="O398" t="str">
        <f>CONCATENATE(O$2,": ",O$3,list1!O398,"]")</f>
        <v xml:space="preserve"> (Внутренний блок) Размеры (Ш x Г x В): S[1400 х 300 х 700]</v>
      </c>
      <c r="P398" t="str">
        <f>CONCATENATE(P$2,": ",P$3,list1!P398,"]")</f>
        <v xml:space="preserve"> (Внутренний блок) Упаковка (Ш x Г x В): S[1678 х 808 х 365]</v>
      </c>
      <c r="Q398" t="str">
        <f>CONCATENATE(Q$2,": ",Q$3,list1!Q398,"]")</f>
        <v xml:space="preserve"> (Внутренний блок) Масса (нетто / брутто): S[57 / 64]</v>
      </c>
      <c r="R398" t="str">
        <f>CONCATENATE(R$2,": ",R$3,list1!R398,"]")</f>
        <v xml:space="preserve"> (Внутренний блок) Уровень шума мин. / макс.: S[42/44/45/50]</v>
      </c>
      <c r="S398" t="str">
        <f>CONCATENATE(S$2,": ",S$3,list1!S398,"]")</f>
        <v xml:space="preserve"> (Наружный блок) Марка компрессора: S[Gree]</v>
      </c>
      <c r="T398" t="str">
        <f>CONCATENATE(T$2,": ",T$3,list1!T398,"]")</f>
        <v xml:space="preserve"> (Наружный блок) Размеры (Ш x Г x В): S[940 х 460 х 820]</v>
      </c>
      <c r="U398" t="str">
        <f>CONCATENATE(U$2,": ",U$3,list1!U398,"]")</f>
        <v xml:space="preserve"> (Наружный блок) Упаковка (Ш x Г x В): S[1083 х 573 х 973]</v>
      </c>
      <c r="V398" t="str">
        <f>CONCATENATE(V$2,": ",V$3,list1!V398,"]")</f>
        <v xml:space="preserve"> (Наружный блок) Масса (нетто / брутто): S[100/112]</v>
      </c>
      <c r="W398" t="str">
        <f>CONCATENATE(W$2,": ",W$3,list1!W398,"]")</f>
        <v xml:space="preserve"> (Наружный блок) Максимальный уровень шума: N[]</v>
      </c>
      <c r="X398" t="str">
        <f>CONCATENATE(X$2,": ",X$3,list1!X398,"]")</f>
        <v xml:space="preserve"> (Соединительные трубы) Жидкостная линия : N[9.52]</v>
      </c>
      <c r="Y398" t="str">
        <f>CONCATENATE(Y$2,": ",Y$3,list1!Y398,"]")</f>
        <v xml:space="preserve"> (Соединительные трубы) Газовая линия : N[15.87]</v>
      </c>
      <c r="Z398" t="str">
        <f>CONCATENATE(Z$2,": ",Z$3,list1!Z398,"]")</f>
        <v xml:space="preserve"> (Соединительные трубы) Максимальная длина трубопровода: N[75]</v>
      </c>
      <c r="AA398" t="str">
        <f>CONCATENATE(AA$2,": ",AA$3,list1!AA398,"]")</f>
        <v xml:space="preserve"> (Соединительные трубы) Максимальный перепад высот: S[30]</v>
      </c>
      <c r="AB398" t="str">
        <f>CONCATENATE(AB$2,": ",AB$3,list1!AB398,"]")</f>
        <v xml:space="preserve"> (Допустимая темп. наружного воздуха) Охлаждение: S[от -15 до +48]</v>
      </c>
      <c r="AC398" t="str">
        <f>CONCATENATE(AC$2,": ",AC$3,list1!AC398,"]")</f>
        <v xml:space="preserve"> (Допустимая темп. наружного воздуха) Обогрев: S[от -15 до +24]</v>
      </c>
      <c r="AD398" s="6" t="s">
        <v>5245</v>
      </c>
    </row>
    <row r="399" spans="1:30" x14ac:dyDescent="0.25">
      <c r="A399" t="str">
        <f>CONCATENATE(A$2,": ",A$3,list1!A399,"]")</f>
        <v>Производитель: E[TOSOT]</v>
      </c>
      <c r="B399" t="str">
        <f>CONCATENATE(B$2,": ",B$3,list1!B399,"]")</f>
        <v xml:space="preserve"> Тип: S[Канальные]</v>
      </c>
      <c r="C399" t="str">
        <f>CONCATENATE(C$2,": ",C$3,list1!C399,"]")</f>
        <v xml:space="preserve"> (Сплит система) Холодопроизводительность: N[20]</v>
      </c>
      <c r="D399" t="str">
        <f>CONCATENATE(D$2,": ",D$3,list1!D399,"]")</f>
        <v xml:space="preserve"> (Сплит система) Площадь помещения: N[200]</v>
      </c>
      <c r="E399" t="str">
        <f>CONCATENATE(E$2,": ",E$3,list1!E399,"]")</f>
        <v xml:space="preserve"> (Сплит система) Инвентор: S[да]</v>
      </c>
      <c r="F399" t="str">
        <f>CONCATENATE(F$2,": ",F$3,list1!F399,"]")</f>
        <v xml:space="preserve"> (Сплит система) Теплопроизводительность: N[22]</v>
      </c>
      <c r="G399" t="str">
        <f>CONCATENATE(G$2,": ",G$3,list1!G399,"]")</f>
        <v xml:space="preserve"> (Потребляемая мощность) Охлаждение: N[7.8]</v>
      </c>
      <c r="H399" t="str">
        <f>CONCATENATE(H$2,": ",H$3,list1!H399,"]")</f>
        <v xml:space="preserve"> (Потребляемая мощность) Обогрев: S[7]</v>
      </c>
      <c r="I399" t="str">
        <f>CONCATENATE(I$2,": ",I$3,list1!I399,"]")</f>
        <v xml:space="preserve"> (Рабочий ток) Охлаждение: S[]</v>
      </c>
      <c r="J399" t="str">
        <f>CONCATENATE(J$2,": ",J$3,list1!J399,"]")</f>
        <v xml:space="preserve"> (Рабочий ток) Обогрев: S[]</v>
      </c>
      <c r="K399" t="str">
        <f>CONCATENATE(K$2,": ",K$3,list1!K399,"]")</f>
        <v xml:space="preserve"> (Рабочий ток) Напряжение / Частота источника питания: S[3 / 380 / 50]</v>
      </c>
      <c r="L399" t="str">
        <f>CONCATENATE(L$2,": ",L$3,list1!L399,"]")</f>
        <v xml:space="preserve"> (Рабочий ток) Хладагент: S[R410A]</v>
      </c>
      <c r="M399" t="str">
        <f>CONCATENATE(M$2,": ",M$3,list1!M399,"]")</f>
        <v xml:space="preserve"> (Рабочий ток) Количество хладагента: N[]</v>
      </c>
      <c r="N399" t="str">
        <f>CONCATENATE(N$2,": ",N$3,list1!N399,"]")</f>
        <v xml:space="preserve"> (Рабочий ток) Объем рециркулируемого воздуха внутреннего блока: S[]</v>
      </c>
      <c r="O399" t="str">
        <f>CONCATENATE(O$2,": ",O$3,list1!O399,"]")</f>
        <v xml:space="preserve"> (Внутренний блок) Размеры (Ш x Г x В): S[1460 х 365 х 790]</v>
      </c>
      <c r="P399" t="str">
        <f>CONCATENATE(P$2,": ",P$3,list1!P399,"]")</f>
        <v xml:space="preserve"> (Внутренний блок) Упаковка (Ш x Г x В): S[1578 х 883 х 400]</v>
      </c>
      <c r="Q399" t="str">
        <f>CONCATENATE(Q$2,": ",Q$3,list1!Q399,"]")</f>
        <v xml:space="preserve"> (Внутренний блок) Масса (нетто / брутто): S[82 / 104]</v>
      </c>
      <c r="R399" t="str">
        <f>CONCATENATE(R$2,": ",R$3,list1!R399,"]")</f>
        <v xml:space="preserve"> (Внутренний блок) Уровень шума мин. / макс.: S[50/51/52]</v>
      </c>
      <c r="S399" t="str">
        <f>CONCATENATE(S$2,": ",S$3,list1!S399,"]")</f>
        <v xml:space="preserve"> (Наружный блок) Марка компрессора: S[Mitsubishi]</v>
      </c>
      <c r="T399" t="str">
        <f>CONCATENATE(T$2,": ",T$3,list1!T399,"]")</f>
        <v xml:space="preserve"> (Наружный блок) Размеры (Ш x Г x В): S[940 х 320 х 1430]</v>
      </c>
      <c r="U399" t="str">
        <f>CONCATENATE(U$2,": ",U$3,list1!U399,"]")</f>
        <v xml:space="preserve"> (Наружный блок) Упаковка (Ш x Г x В): S[1023 х 423 х 1475]</v>
      </c>
      <c r="V399" t="str">
        <f>CONCATENATE(V$2,": ",V$3,list1!V399,"]")</f>
        <v xml:space="preserve"> (Наружный блок) Масса (нетто / брутто): S[120/130]</v>
      </c>
      <c r="W399" t="str">
        <f>CONCATENATE(W$2,": ",W$3,list1!W399,"]")</f>
        <v xml:space="preserve"> (Наружный блок) Максимальный уровень шума: N[]</v>
      </c>
      <c r="X399" t="str">
        <f>CONCATENATE(X$2,": ",X$3,list1!X399,"]")</f>
        <v xml:space="preserve"> (Соединительные трубы) Жидкостная линия : N[9.52]</v>
      </c>
      <c r="Y399" t="str">
        <f>CONCATENATE(Y$2,": ",Y$3,list1!Y399,"]")</f>
        <v xml:space="preserve"> (Соединительные трубы) Газовая линия : N[19]</v>
      </c>
      <c r="Z399" t="str">
        <f>CONCATENATE(Z$2,": ",Z$3,list1!Z399,"]")</f>
        <v xml:space="preserve"> (Соединительные трубы) Максимальная длина трубопровода: N[50]</v>
      </c>
      <c r="AA399" t="str">
        <f>CONCATENATE(AA$2,": ",AA$3,list1!AA399,"]")</f>
        <v xml:space="preserve"> (Соединительные трубы) Максимальный перепад высот: S[30]</v>
      </c>
      <c r="AB399" t="str">
        <f>CONCATENATE(AB$2,": ",AB$3,list1!AB399,"]")</f>
        <v xml:space="preserve"> (Допустимая темп. наружного воздуха) Охлаждение: S[от -7 до +48]</v>
      </c>
      <c r="AC399" t="str">
        <f>CONCATENATE(AC$2,": ",AC$3,list1!AC399,"]")</f>
        <v xml:space="preserve"> (Допустимая темп. наружного воздуха) Обогрев: S[от -15 до +24]</v>
      </c>
      <c r="AD399" s="6" t="s">
        <v>5245</v>
      </c>
    </row>
    <row r="400" spans="1:30" x14ac:dyDescent="0.25">
      <c r="A400" t="str">
        <f>CONCATENATE(A$2,": ",A$3,list1!A400,"]")</f>
        <v>Производитель: E[TOSOT]</v>
      </c>
      <c r="B400" t="str">
        <f>CONCATENATE(B$2,": ",B$3,list1!B400,"]")</f>
        <v xml:space="preserve"> Тип: S[Канальные]</v>
      </c>
      <c r="C400" t="str">
        <f>CONCATENATE(C$2,": ",C$3,list1!C400,"]")</f>
        <v xml:space="preserve"> (Сплит система) Холодопроизводительность: N[25]</v>
      </c>
      <c r="D400" t="str">
        <f>CONCATENATE(D$2,": ",D$3,list1!D400,"]")</f>
        <v xml:space="preserve"> (Сплит система) Площадь помещения: N[250]</v>
      </c>
      <c r="E400" t="str">
        <f>CONCATENATE(E$2,": ",E$3,list1!E400,"]")</f>
        <v xml:space="preserve"> (Сплит система) Инвентор: S[да]</v>
      </c>
      <c r="F400" t="str">
        <f>CONCATENATE(F$2,": ",F$3,list1!F400,"]")</f>
        <v xml:space="preserve"> (Сплит система) Теплопроизводительность: N[27.5]</v>
      </c>
      <c r="G400" t="str">
        <f>CONCATENATE(G$2,": ",G$3,list1!G400,"]")</f>
        <v xml:space="preserve"> (Потребляемая мощность) Охлаждение: N[9.4]</v>
      </c>
      <c r="H400" t="str">
        <f>CONCATENATE(H$2,": ",H$3,list1!H400,"]")</f>
        <v xml:space="preserve"> (Потребляемая мощность) Обогрев: S[8.9]</v>
      </c>
      <c r="I400" t="str">
        <f>CONCATENATE(I$2,": ",I$3,list1!I400,"]")</f>
        <v xml:space="preserve"> (Рабочий ток) Охлаждение: S[]</v>
      </c>
      <c r="J400" t="str">
        <f>CONCATENATE(J$2,": ",J$3,list1!J400,"]")</f>
        <v xml:space="preserve"> (Рабочий ток) Обогрев: S[]</v>
      </c>
      <c r="K400" t="str">
        <f>CONCATENATE(K$2,": ",K$3,list1!K400,"]")</f>
        <v xml:space="preserve"> (Рабочий ток) Напряжение / Частота источника питания: S[3 / 380 / 50]</v>
      </c>
      <c r="L400" t="str">
        <f>CONCATENATE(L$2,": ",L$3,list1!L400,"]")</f>
        <v xml:space="preserve"> (Рабочий ток) Хладагент: S[R410A]</v>
      </c>
      <c r="M400" t="str">
        <f>CONCATENATE(M$2,": ",M$3,list1!M400,"]")</f>
        <v xml:space="preserve"> (Рабочий ток) Количество хладагента: N[]</v>
      </c>
      <c r="N400" t="str">
        <f>CONCATENATE(N$2,": ",N$3,list1!N400,"]")</f>
        <v xml:space="preserve"> (Рабочий ток) Объем рециркулируемого воздуха внутреннего блока: S[]</v>
      </c>
      <c r="O400" t="str">
        <f>CONCATENATE(O$2,": ",O$3,list1!O400,"]")</f>
        <v xml:space="preserve"> (Внутренний блок) Размеры (Ш x Г x В): S[1690 х 440 х 870]</v>
      </c>
      <c r="P400" t="str">
        <f>CONCATENATE(P$2,": ",P$3,list1!P400,"]")</f>
        <v xml:space="preserve"> (Внутренний блок) Упаковка (Ш x Г x В): S[1788 х 988 х 988]</v>
      </c>
      <c r="Q400" t="str">
        <f>CONCATENATE(Q$2,": ",Q$3,list1!Q400,"]")</f>
        <v xml:space="preserve"> (Внутренний блок) Масса (нетто / брутто): S[99 / 134]</v>
      </c>
      <c r="R400" t="str">
        <f>CONCATENATE(R$2,": ",R$3,list1!R400,"]")</f>
        <v xml:space="preserve"> (Внутренний блок) Уровень шума мин. / макс.: S[51/52/53]</v>
      </c>
      <c r="S400" t="str">
        <f>CONCATENATE(S$2,": ",S$3,list1!S400,"]")</f>
        <v xml:space="preserve"> (Наружный блок) Марка компрессора: S[Mitsubishi]</v>
      </c>
      <c r="T400" t="str">
        <f>CONCATENATE(T$2,": ",T$3,list1!T400,"]")</f>
        <v xml:space="preserve"> (Наружный блок) Размеры (Ш x Г x В): S[460 х 940 х 1615]</v>
      </c>
      <c r="U400" t="str">
        <f>CONCATENATE(U$2,": ",U$3,list1!U400,"]")</f>
        <v xml:space="preserve"> (Наружный блок) Упаковка (Ш x Г x В): S[1660 х 1023 х 563]</v>
      </c>
      <c r="V400" t="str">
        <f>CONCATENATE(V$2,": ",V$3,list1!V400,"]")</f>
        <v xml:space="preserve"> (Наружный блок) Масса (нетто / брутто): S[146/162]</v>
      </c>
      <c r="W400" t="str">
        <f>CONCATENATE(W$2,": ",W$3,list1!W400,"]")</f>
        <v xml:space="preserve"> (Наружный блок) Максимальный уровень шума: N[]</v>
      </c>
      <c r="X400" t="str">
        <f>CONCATENATE(X$2,": ",X$3,list1!X400,"]")</f>
        <v xml:space="preserve"> (Соединительные трубы) Жидкостная линия : N[9.52]</v>
      </c>
      <c r="Y400" t="str">
        <f>CONCATENATE(Y$2,": ",Y$3,list1!Y400,"]")</f>
        <v xml:space="preserve"> (Соединительные трубы) Газовая линия : N[22]</v>
      </c>
      <c r="Z400" t="str">
        <f>CONCATENATE(Z$2,": ",Z$3,list1!Z400,"]")</f>
        <v xml:space="preserve"> (Соединительные трубы) Максимальная длина трубопровода: N[50]</v>
      </c>
      <c r="AA400" t="str">
        <f>CONCATENATE(AA$2,": ",AA$3,list1!AA400,"]")</f>
        <v xml:space="preserve"> (Соединительные трубы) Максимальный перепад высот: S[30]</v>
      </c>
      <c r="AB400" t="str">
        <f>CONCATENATE(AB$2,": ",AB$3,list1!AB400,"]")</f>
        <v xml:space="preserve"> (Допустимая темп. наружного воздуха) Охлаждение: S[от -7 до +48]</v>
      </c>
      <c r="AC400" t="str">
        <f>CONCATENATE(AC$2,": ",AC$3,list1!AC400,"]")</f>
        <v xml:space="preserve"> (Допустимая темп. наружного воздуха) Обогрев: S[от -15 до +24]</v>
      </c>
      <c r="AD400" s="6" t="s">
        <v>5245</v>
      </c>
    </row>
    <row r="401" spans="1:30" x14ac:dyDescent="0.25">
      <c r="A401" t="str">
        <f>CONCATENATE(A$2,": ",A$3,list1!A401,"]")</f>
        <v>Производитель: E[TOSOT]</v>
      </c>
      <c r="B401" t="str">
        <f>CONCATENATE(B$2,": ",B$3,list1!B401,"]")</f>
        <v xml:space="preserve"> Тип: S[Канальные]</v>
      </c>
      <c r="C401" t="str">
        <f>CONCATENATE(C$2,": ",C$3,list1!C401,"]")</f>
        <v xml:space="preserve"> (Сплит система) Холодопроизводительность: N[30]</v>
      </c>
      <c r="D401" t="str">
        <f>CONCATENATE(D$2,": ",D$3,list1!D401,"]")</f>
        <v xml:space="preserve"> (Сплит система) Площадь помещения: N[300]</v>
      </c>
      <c r="E401" t="str">
        <f>CONCATENATE(E$2,": ",E$3,list1!E401,"]")</f>
        <v xml:space="preserve"> (Сплит система) Инвентор: S[да]</v>
      </c>
      <c r="F401" t="str">
        <f>CONCATENATE(F$2,": ",F$3,list1!F401,"]")</f>
        <v xml:space="preserve"> (Сплит система) Теплопроизводительность: N[33]</v>
      </c>
      <c r="G401" t="str">
        <f>CONCATENATE(G$2,": ",G$3,list1!G401,"]")</f>
        <v xml:space="preserve"> (Потребляемая мощность) Охлаждение: N[11.3]</v>
      </c>
      <c r="H401" t="str">
        <f>CONCATENATE(H$2,": ",H$3,list1!H401,"]")</f>
        <v xml:space="preserve"> (Потребляемая мощность) Обогрев: S[10.3]</v>
      </c>
      <c r="I401" t="str">
        <f>CONCATENATE(I$2,": ",I$3,list1!I401,"]")</f>
        <v xml:space="preserve"> (Рабочий ток) Охлаждение: S[]</v>
      </c>
      <c r="J401" t="str">
        <f>CONCATENATE(J$2,": ",J$3,list1!J401,"]")</f>
        <v xml:space="preserve"> (Рабочий ток) Обогрев: S[]</v>
      </c>
      <c r="K401" t="str">
        <f>CONCATENATE(K$2,": ",K$3,list1!K401,"]")</f>
        <v xml:space="preserve"> (Рабочий ток) Напряжение / Частота источника питания: S[3 / 380 / 50]</v>
      </c>
      <c r="L401" t="str">
        <f>CONCATENATE(L$2,": ",L$3,list1!L401,"]")</f>
        <v xml:space="preserve"> (Рабочий ток) Хладагент: S[R410A]</v>
      </c>
      <c r="M401" t="str">
        <f>CONCATENATE(M$2,": ",M$3,list1!M401,"]")</f>
        <v xml:space="preserve"> (Рабочий ток) Количество хладагента: N[]</v>
      </c>
      <c r="N401" t="str">
        <f>CONCATENATE(N$2,": ",N$3,list1!N401,"]")</f>
        <v xml:space="preserve"> (Рабочий ток) Объем рециркулируемого воздуха внутреннего блока: S[]</v>
      </c>
      <c r="O401" t="str">
        <f>CONCATENATE(O$2,": ",O$3,list1!O401,"]")</f>
        <v xml:space="preserve"> (Внутренний блок) Размеры (Ш x Г x В): S[1690 х 440 х 870]</v>
      </c>
      <c r="P401" t="str">
        <f>CONCATENATE(P$2,": ",P$3,list1!P401,"]")</f>
        <v xml:space="preserve"> (Внутренний блок) Упаковка (Ш x Г x В): S[1788 х 988 х 465]</v>
      </c>
      <c r="Q401" t="str">
        <f>CONCATENATE(Q$2,": ",Q$3,list1!Q401,"]")</f>
        <v xml:space="preserve"> (Внутренний блок) Масса (нетто / брутто): S[105 / 145]</v>
      </c>
      <c r="R401" t="str">
        <f>CONCATENATE(R$2,": ",R$3,list1!R401,"]")</f>
        <v xml:space="preserve"> (Внутренний блок) Уровень шума мин. / макс.: S[53/54/55]</v>
      </c>
      <c r="S401" t="str">
        <f>CONCATENATE(S$2,": ",S$3,list1!S401,"]")</f>
        <v xml:space="preserve"> (Наружный блок) Марка компрессора: S[HITACHI]</v>
      </c>
      <c r="T401" t="str">
        <f>CONCATENATE(T$2,": ",T$3,list1!T401,"]")</f>
        <v xml:space="preserve"> (Наружный блок) Размеры (Ш x Г x В): S[940 х 460 х 1615]</v>
      </c>
      <c r="U401" t="str">
        <f>CONCATENATE(U$2,": ",U$3,list1!U401,"]")</f>
        <v xml:space="preserve"> (Наружный блок) Упаковка (Ш x Г x В): S[1023 х 563 х 1660]</v>
      </c>
      <c r="V401" t="str">
        <f>CONCATENATE(V$2,": ",V$3,list1!V401,"]")</f>
        <v xml:space="preserve"> (Наружный блок) Масса (нетто / брутто): S[175/190]</v>
      </c>
      <c r="W401" t="str">
        <f>CONCATENATE(W$2,": ",W$3,list1!W401,"]")</f>
        <v xml:space="preserve"> (Наружный блок) Максимальный уровень шума: N[]</v>
      </c>
      <c r="X401" t="str">
        <f>CONCATENATE(X$2,": ",X$3,list1!X401,"]")</f>
        <v xml:space="preserve"> (Соединительные трубы) Жидкостная линия : N[12.7]</v>
      </c>
      <c r="Y401" t="str">
        <f>CONCATENATE(Y$2,": ",Y$3,list1!Y401,"]")</f>
        <v xml:space="preserve"> (Соединительные трубы) Газовая линия : N[25.4]</v>
      </c>
      <c r="Z401" t="str">
        <f>CONCATENATE(Z$2,": ",Z$3,list1!Z401,"]")</f>
        <v xml:space="preserve"> (Соединительные трубы) Максимальная длина трубопровода: N[50]</v>
      </c>
      <c r="AA401" t="str">
        <f>CONCATENATE(AA$2,": ",AA$3,list1!AA401,"]")</f>
        <v xml:space="preserve"> (Соединительные трубы) Максимальный перепад высот: S[30]</v>
      </c>
      <c r="AB401" t="str">
        <f>CONCATENATE(AB$2,": ",AB$3,list1!AB401,"]")</f>
        <v xml:space="preserve"> (Допустимая темп. наружного воздуха) Охлаждение: S[от -7 до +48]</v>
      </c>
      <c r="AC401" t="str">
        <f>CONCATENATE(AC$2,": ",AC$3,list1!AC401,"]")</f>
        <v xml:space="preserve"> (Допустимая темп. наружного воздуха) Обогрев: S[от -15 до +24]</v>
      </c>
      <c r="AD401" s="6" t="s">
        <v>5245</v>
      </c>
    </row>
    <row r="402" spans="1:30" x14ac:dyDescent="0.25">
      <c r="A402" t="str">
        <f>CONCATENATE(A$2,": ",A$3,list1!A402,"]")</f>
        <v>Производитель: E[TOSOT]</v>
      </c>
      <c r="B402" t="str">
        <f>CONCATENATE(B$2,": ",B$3,list1!B402,"]")</f>
        <v xml:space="preserve"> Тип: S[Канальные]</v>
      </c>
      <c r="C402" t="str">
        <f>CONCATENATE(C$2,": ",C$3,list1!C402,"]")</f>
        <v xml:space="preserve"> (Сплит система) Холодопроизводительность: N[40]</v>
      </c>
      <c r="D402" t="str">
        <f>CONCATENATE(D$2,": ",D$3,list1!D402,"]")</f>
        <v xml:space="preserve"> (Сплит система) Площадь помещения: N[400]</v>
      </c>
      <c r="E402" t="str">
        <f>CONCATENATE(E$2,": ",E$3,list1!E402,"]")</f>
        <v xml:space="preserve"> (Сплит система) Инвентор: S[да]</v>
      </c>
      <c r="F402" t="str">
        <f>CONCATENATE(F$2,": ",F$3,list1!F402,"]")</f>
        <v xml:space="preserve"> (Сплит система) Теплопроизводительность: N[43]</v>
      </c>
      <c r="G402" t="str">
        <f>CONCATENATE(G$2,": ",G$3,list1!G402,"]")</f>
        <v xml:space="preserve"> (Потребляемая мощность) Охлаждение: N[15.4]</v>
      </c>
      <c r="H402" t="str">
        <f>CONCATENATE(H$2,": ",H$3,list1!H402,"]")</f>
        <v xml:space="preserve"> (Потребляемая мощность) Обогрев: S[13.9]</v>
      </c>
      <c r="I402" t="str">
        <f>CONCATENATE(I$2,": ",I$3,list1!I402,"]")</f>
        <v xml:space="preserve"> (Рабочий ток) Охлаждение: S[]</v>
      </c>
      <c r="J402" t="str">
        <f>CONCATENATE(J$2,": ",J$3,list1!J402,"]")</f>
        <v xml:space="preserve"> (Рабочий ток) Обогрев: S[]</v>
      </c>
      <c r="K402" t="str">
        <f>CONCATENATE(K$2,": ",K$3,list1!K402,"]")</f>
        <v xml:space="preserve"> (Рабочий ток) Напряжение / Частота источника питания: S[3 / 380 / 50]</v>
      </c>
      <c r="L402" t="str">
        <f>CONCATENATE(L$2,": ",L$3,list1!L402,"]")</f>
        <v xml:space="preserve"> (Рабочий ток) Хладагент: S[R410A]</v>
      </c>
      <c r="M402" t="str">
        <f>CONCATENATE(M$2,": ",M$3,list1!M402,"]")</f>
        <v xml:space="preserve"> (Рабочий ток) Количество хладагента: N[]</v>
      </c>
      <c r="N402" t="str">
        <f>CONCATENATE(N$2,": ",N$3,list1!N402,"]")</f>
        <v xml:space="preserve"> (Рабочий ток) Объем рециркулируемого воздуха внутреннего блока: S[]</v>
      </c>
      <c r="O402" t="str">
        <f>CONCATENATE(O$2,": ",O$3,list1!O402,"]")</f>
        <v xml:space="preserve"> (Внутренний блок) Размеры (Ш x Г x В): S[1680 х 650 х 900]</v>
      </c>
      <c r="P402" t="str">
        <f>CONCATENATE(P$2,": ",P$3,list1!P402,"]")</f>
        <v xml:space="preserve"> (Внутренний блок) Упаковка (Ш x Г x В): S[1803 х 1023 х 685]</v>
      </c>
      <c r="Q402" t="str">
        <f>CONCATENATE(Q$2,": ",Q$3,list1!Q402,"]")</f>
        <v xml:space="preserve"> (Внутренний блок) Масса (нетто / брутто): S[165 / 210]</v>
      </c>
      <c r="R402" t="str">
        <f>CONCATENATE(R$2,": ",R$3,list1!R402,"]")</f>
        <v xml:space="preserve"> (Внутренний блок) Уровень шума мин. / макс.: S[54/55/56]</v>
      </c>
      <c r="S402" t="str">
        <f>CONCATENATE(S$2,": ",S$3,list1!S402,"]")</f>
        <v xml:space="preserve"> (Наружный блок) Марка компрессора: S[Mitsubishi]</v>
      </c>
      <c r="T402" t="str">
        <f>CONCATENATE(T$2,": ",T$3,list1!T402,"]")</f>
        <v xml:space="preserve"> (Наружный блок) Размеры (Ш x Г x В): S[940 х 320 х 1430]</v>
      </c>
      <c r="U402" t="str">
        <f>CONCATENATE(U$2,": ",U$3,list1!U402,"]")</f>
        <v xml:space="preserve"> (Наружный блок) Упаковка (Ш x Г x В): S[1023 х 423 х 1475]</v>
      </c>
      <c r="V402" t="str">
        <f>CONCATENATE(V$2,": ",V$3,list1!V402,"]")</f>
        <v xml:space="preserve"> (Наружный блок) Масса (нетто / брутто): S[120/130]</v>
      </c>
      <c r="W402" t="str">
        <f>CONCATENATE(W$2,": ",W$3,list1!W402,"]")</f>
        <v xml:space="preserve"> (Наружный блок) Максимальный уровень шума: N[]</v>
      </c>
      <c r="X402" t="str">
        <f>CONCATENATE(X$2,": ",X$3,list1!X402,"]")</f>
        <v xml:space="preserve"> (Соединительные трубы) Жидкостная линия : N[9.52]</v>
      </c>
      <c r="Y402" t="str">
        <f>CONCATENATE(Y$2,": ",Y$3,list1!Y402,"]")</f>
        <v xml:space="preserve"> (Соединительные трубы) Газовая линия : N[19]</v>
      </c>
      <c r="Z402" t="str">
        <f>CONCATENATE(Z$2,": ",Z$3,list1!Z402,"]")</f>
        <v xml:space="preserve"> (Соединительные трубы) Максимальная длина трубопровода: N[50]</v>
      </c>
      <c r="AA402" t="str">
        <f>CONCATENATE(AA$2,": ",AA$3,list1!AA402,"]")</f>
        <v xml:space="preserve"> (Соединительные трубы) Максимальный перепад высот: S[30]</v>
      </c>
      <c r="AB402" t="str">
        <f>CONCATENATE(AB$2,": ",AB$3,list1!AB402,"]")</f>
        <v xml:space="preserve"> (Допустимая темп. наружного воздуха) Охлаждение: S[от -7 до +48]</v>
      </c>
      <c r="AC402" t="str">
        <f>CONCATENATE(AC$2,": ",AC$3,list1!AC402,"]")</f>
        <v xml:space="preserve"> (Допустимая темп. наружного воздуха) Обогрев: S[от -15 до +24]</v>
      </c>
      <c r="AD402" s="6" t="s">
        <v>5245</v>
      </c>
    </row>
    <row r="403" spans="1:30" x14ac:dyDescent="0.25">
      <c r="A403" t="str">
        <f>CONCATENATE(A$2,": ",A$3,list1!A403,"]")</f>
        <v>Производитель: E[TOSOT]</v>
      </c>
      <c r="B403" t="str">
        <f>CONCATENATE(B$2,": ",B$3,list1!B403,"]")</f>
        <v xml:space="preserve"> Тип: S[Кассетные]</v>
      </c>
      <c r="C403" t="str">
        <f>CONCATENATE(C$2,": ",C$3,list1!C403,"]")</f>
        <v xml:space="preserve"> (Сплит система) Холодопроизводительность: N[3.5]</v>
      </c>
      <c r="D403" t="str">
        <f>CONCATENATE(D$2,": ",D$3,list1!D403,"]")</f>
        <v xml:space="preserve"> (Сплит система) Площадь помещения: N[35]</v>
      </c>
      <c r="E403" t="str">
        <f>CONCATENATE(E$2,": ",E$3,list1!E403,"]")</f>
        <v xml:space="preserve"> (Сплит система) Инвентор: S[да]</v>
      </c>
      <c r="F403" t="str">
        <f>CONCATENATE(F$2,": ",F$3,list1!F403,"]")</f>
        <v xml:space="preserve"> (Сплит система) Теплопроизводительность: N[4]</v>
      </c>
      <c r="G403" t="str">
        <f>CONCATENATE(G$2,": ",G$3,list1!G403,"]")</f>
        <v xml:space="preserve"> (Потребляемая мощность) Охлаждение: N[1.03]</v>
      </c>
      <c r="H403" t="str">
        <f>CONCATENATE(H$2,": ",H$3,list1!H403,"]")</f>
        <v xml:space="preserve"> (Потребляемая мощность) Обогрев: S[1.1]</v>
      </c>
      <c r="I403" t="str">
        <f>CONCATENATE(I$2,": ",I$3,list1!I403,"]")</f>
        <v xml:space="preserve"> (Рабочий ток) Охлаждение: S[]</v>
      </c>
      <c r="J403" t="str">
        <f>CONCATENATE(J$2,": ",J$3,list1!J403,"]")</f>
        <v xml:space="preserve"> (Рабочий ток) Обогрев: S[]</v>
      </c>
      <c r="K403" t="str">
        <f>CONCATENATE(K$2,": ",K$3,list1!K403,"]")</f>
        <v xml:space="preserve"> (Рабочий ток) Напряжение / Частота источника питания: S[1 / 220 / 50]</v>
      </c>
      <c r="L403" t="str">
        <f>CONCATENATE(L$2,": ",L$3,list1!L403,"]")</f>
        <v xml:space="preserve"> (Рабочий ток) Хладагент: S[R410A]</v>
      </c>
      <c r="M403" t="str">
        <f>CONCATENATE(M$2,": ",M$3,list1!M403,"]")</f>
        <v xml:space="preserve"> (Рабочий ток) Количество хладагента: N[]</v>
      </c>
      <c r="N403" t="str">
        <f>CONCATENATE(N$2,": ",N$3,list1!N403,"]")</f>
        <v xml:space="preserve"> (Рабочий ток) Объем рециркулируемого воздуха внутреннего блока: S[]</v>
      </c>
      <c r="O403" t="str">
        <f>CONCATENATE(O$2,": ",O$3,list1!O403,"]")</f>
        <v xml:space="preserve"> (Внутренний блок) Размеры (Ш x Г x В): S[570 х 265 х 570]</v>
      </c>
      <c r="P403" t="str">
        <f>CONCATENATE(P$2,": ",P$3,list1!P403,"]")</f>
        <v xml:space="preserve"> (Внутренний блок) Упаковка (Ш x Г x В): S[653 х 698 х 295]</v>
      </c>
      <c r="Q403" t="str">
        <f>CONCATENATE(Q$2,": ",Q$3,list1!Q403,"]")</f>
        <v xml:space="preserve"> (Внутренний блок) Масса (нетто / брутто): S[17 / 22]</v>
      </c>
      <c r="R403" t="str">
        <f>CONCATENATE(R$2,": ",R$3,list1!R403,"]")</f>
        <v xml:space="preserve"> (Внутренний блок) Уровень шума мин. / макс.: S[31/35/37/41]</v>
      </c>
      <c r="S403" t="str">
        <f>CONCATENATE(S$2,": ",S$3,list1!S403,"]")</f>
        <v xml:space="preserve"> (Наружный блок) Марка компрессора: S[Gree]</v>
      </c>
      <c r="T403" t="str">
        <f>CONCATENATE(T$2,": ",T$3,list1!T403,"]")</f>
        <v xml:space="preserve"> (Наружный блок) Размеры (Ш x Г x В): S[818 х 302 х 596]</v>
      </c>
      <c r="U403" t="str">
        <f>CONCATENATE(U$2,": ",U$3,list1!U403,"]")</f>
        <v xml:space="preserve"> (Наружный блок) Упаковка (Ш x Г x В): S[948 х 420 х 645]</v>
      </c>
      <c r="V403" t="str">
        <f>CONCATENATE(V$2,": ",V$3,list1!V403,"]")</f>
        <v xml:space="preserve"> (Наружный блок) Масса (нетто / брутто): S[38/41]</v>
      </c>
      <c r="W403" t="str">
        <f>CONCATENATE(W$2,": ",W$3,list1!W403,"]")</f>
        <v xml:space="preserve"> (Наружный блок) Максимальный уровень шума: N[]</v>
      </c>
      <c r="X403" t="str">
        <f>CONCATENATE(X$2,": ",X$3,list1!X403,"]")</f>
        <v xml:space="preserve"> (Соединительные трубы) Жидкостная линия : N[6.35]</v>
      </c>
      <c r="Y403" t="str">
        <f>CONCATENATE(Y$2,": ",Y$3,list1!Y403,"]")</f>
        <v xml:space="preserve"> (Соединительные трубы) Газовая линия : N[9.52]</v>
      </c>
      <c r="Z403" t="str">
        <f>CONCATENATE(Z$2,": ",Z$3,list1!Z403,"]")</f>
        <v xml:space="preserve"> (Соединительные трубы) Максимальная длина трубопровода: N[30]</v>
      </c>
      <c r="AA403" t="str">
        <f>CONCATENATE(AA$2,": ",AA$3,list1!AA403,"]")</f>
        <v xml:space="preserve"> (Соединительные трубы) Максимальный перепад высот: S[15]</v>
      </c>
      <c r="AB403" t="str">
        <f>CONCATENATE(AB$2,": ",AB$3,list1!AB403,"]")</f>
        <v xml:space="preserve"> (Допустимая темп. наружного воздуха) Охлаждение: S[от -15 до +48]</v>
      </c>
      <c r="AC403" t="str">
        <f>CONCATENATE(AC$2,": ",AC$3,list1!AC403,"]")</f>
        <v xml:space="preserve"> (Допустимая темп. наружного воздуха) Обогрев: S[от -15 до +24]</v>
      </c>
      <c r="AD403" s="6" t="s">
        <v>5245</v>
      </c>
    </row>
    <row r="404" spans="1:30" x14ac:dyDescent="0.25">
      <c r="A404" t="str">
        <f>CONCATENATE(A$2,": ",A$3,list1!A404,"]")</f>
        <v>Производитель: E[TOSOT]</v>
      </c>
      <c r="B404" t="str">
        <f>CONCATENATE(B$2,": ",B$3,list1!B404,"]")</f>
        <v xml:space="preserve"> Тип: S[Кассетные]</v>
      </c>
      <c r="C404" t="str">
        <f>CONCATENATE(C$2,": ",C$3,list1!C404,"]")</f>
        <v xml:space="preserve"> (Сплит система) Холодопроизводительность: N[5]</v>
      </c>
      <c r="D404" t="str">
        <f>CONCATENATE(D$2,": ",D$3,list1!D404,"]")</f>
        <v xml:space="preserve"> (Сплит система) Площадь помещения: N[50]</v>
      </c>
      <c r="E404" t="str">
        <f>CONCATENATE(E$2,": ",E$3,list1!E404,"]")</f>
        <v xml:space="preserve"> (Сплит система) Инвентор: S[да]</v>
      </c>
      <c r="F404" t="str">
        <f>CONCATENATE(F$2,": ",F$3,list1!F404,"]")</f>
        <v xml:space="preserve"> (Сплит система) Теплопроизводительность: N[5.6]</v>
      </c>
      <c r="G404" t="str">
        <f>CONCATENATE(G$2,": ",G$3,list1!G404,"]")</f>
        <v xml:space="preserve"> (Потребляемая мощность) Охлаждение: N[1.56]</v>
      </c>
      <c r="H404" t="str">
        <f>CONCATENATE(H$2,": ",H$3,list1!H404,"]")</f>
        <v xml:space="preserve"> (Потребляемая мощность) Обогрев: S[1.6]</v>
      </c>
      <c r="I404" t="str">
        <f>CONCATENATE(I$2,": ",I$3,list1!I404,"]")</f>
        <v xml:space="preserve"> (Рабочий ток) Охлаждение: S[]</v>
      </c>
      <c r="J404" t="str">
        <f>CONCATENATE(J$2,": ",J$3,list1!J404,"]")</f>
        <v xml:space="preserve"> (Рабочий ток) Обогрев: S[]</v>
      </c>
      <c r="K404" t="str">
        <f>CONCATENATE(K$2,": ",K$3,list1!K404,"]")</f>
        <v xml:space="preserve"> (Рабочий ток) Напряжение / Частота источника питания: S[1 / 220 / 50]</v>
      </c>
      <c r="L404" t="str">
        <f>CONCATENATE(L$2,": ",L$3,list1!L404,"]")</f>
        <v xml:space="preserve"> (Рабочий ток) Хладагент: S[R410A]</v>
      </c>
      <c r="M404" t="str">
        <f>CONCATENATE(M$2,": ",M$3,list1!M404,"]")</f>
        <v xml:space="preserve"> (Рабочий ток) Количество хладагента: N[]</v>
      </c>
      <c r="N404" t="str">
        <f>CONCATENATE(N$2,": ",N$3,list1!N404,"]")</f>
        <v xml:space="preserve"> (Рабочий ток) Объем рециркулируемого воздуха внутреннего блока: S[]</v>
      </c>
      <c r="O404" t="str">
        <f>CONCATENATE(O$2,": ",O$3,list1!O404,"]")</f>
        <v xml:space="preserve"> (Внутренний блок) Размеры (Ш x Г x В): S[570 х 265 х 570]</v>
      </c>
      <c r="P404" t="str">
        <f>CONCATENATE(P$2,": ",P$3,list1!P404,"]")</f>
        <v xml:space="preserve"> (Внутренний блок) Упаковка (Ш x Г x В): S[653 х 698 х 295]</v>
      </c>
      <c r="Q404" t="str">
        <f>CONCATENATE(Q$2,": ",Q$3,list1!Q404,"]")</f>
        <v xml:space="preserve"> (Внутренний блок) Масса (нетто / брутто): S[17 / 22]</v>
      </c>
      <c r="R404" t="str">
        <f>CONCATENATE(R$2,": ",R$3,list1!R404,"]")</f>
        <v xml:space="preserve"> (Внутренний блок) Уровень шума мин. / макс.: S[31/35/39/44]</v>
      </c>
      <c r="S404" t="str">
        <f>CONCATENATE(S$2,": ",S$3,list1!S404,"]")</f>
        <v xml:space="preserve"> (Наружный блок) Марка компрессора: S[Gree]</v>
      </c>
      <c r="T404" t="str">
        <f>CONCATENATE(T$2,": ",T$3,list1!T404,"]")</f>
        <v xml:space="preserve"> (Наружный блок) Размеры (Ш x Г x В): S[818 х 302 х 596]</v>
      </c>
      <c r="U404" t="str">
        <f>CONCATENATE(U$2,": ",U$3,list1!U404,"]")</f>
        <v xml:space="preserve"> (Наружный блок) Упаковка (Ш x Г x В): S[948 х 420 х 645]</v>
      </c>
      <c r="V404" t="str">
        <f>CONCATENATE(V$2,": ",V$3,list1!V404,"]")</f>
        <v xml:space="preserve"> (Наружный блок) Масса (нетто / брутто): S[41/44]</v>
      </c>
      <c r="W404" t="str">
        <f>CONCATENATE(W$2,": ",W$3,list1!W404,"]")</f>
        <v xml:space="preserve"> (Наружный блок) Максимальный уровень шума: N[]</v>
      </c>
      <c r="X404" t="str">
        <f>CONCATENATE(X$2,": ",X$3,list1!X404,"]")</f>
        <v xml:space="preserve"> (Соединительные трубы) Жидкостная линия : N[6.35]</v>
      </c>
      <c r="Y404" t="str">
        <f>CONCATENATE(Y$2,": ",Y$3,list1!Y404,"]")</f>
        <v xml:space="preserve"> (Соединительные трубы) Газовая линия : N[12.7]</v>
      </c>
      <c r="Z404" t="str">
        <f>CONCATENATE(Z$2,": ",Z$3,list1!Z404,"]")</f>
        <v xml:space="preserve"> (Соединительные трубы) Максимальная длина трубопровода: N[35]</v>
      </c>
      <c r="AA404" t="str">
        <f>CONCATENATE(AA$2,": ",AA$3,list1!AA404,"]")</f>
        <v xml:space="preserve"> (Соединительные трубы) Максимальный перепад высот: S[20]</v>
      </c>
      <c r="AB404" t="str">
        <f>CONCATENATE(AB$2,": ",AB$3,list1!AB404,"]")</f>
        <v xml:space="preserve"> (Допустимая темп. наружного воздуха) Охлаждение: S[от -15 до +48]</v>
      </c>
      <c r="AC404" t="str">
        <f>CONCATENATE(AC$2,": ",AC$3,list1!AC404,"]")</f>
        <v xml:space="preserve"> (Допустимая темп. наружного воздуха) Обогрев: S[от -15 до +24]</v>
      </c>
      <c r="AD404" s="6" t="s">
        <v>5245</v>
      </c>
    </row>
    <row r="405" spans="1:30" x14ac:dyDescent="0.25">
      <c r="A405" t="str">
        <f>CONCATENATE(A$2,": ",A$3,list1!A405,"]")</f>
        <v>Производитель: E[TOSOT]</v>
      </c>
      <c r="B405" t="str">
        <f>CONCATENATE(B$2,": ",B$3,list1!B405,"]")</f>
        <v xml:space="preserve"> Тип: S[Кассетные]</v>
      </c>
      <c r="C405" t="str">
        <f>CONCATENATE(C$2,": ",C$3,list1!C405,"]")</f>
        <v xml:space="preserve"> (Сплит система) Холодопроизводительность: N[7]</v>
      </c>
      <c r="D405" t="str">
        <f>CONCATENATE(D$2,": ",D$3,list1!D405,"]")</f>
        <v xml:space="preserve"> (Сплит система) Площадь помещения: N[70]</v>
      </c>
      <c r="E405" t="str">
        <f>CONCATENATE(E$2,": ",E$3,list1!E405,"]")</f>
        <v xml:space="preserve"> (Сплит система) Инвентор: S[да]</v>
      </c>
      <c r="F405" t="str">
        <f>CONCATENATE(F$2,": ",F$3,list1!F405,"]")</f>
        <v xml:space="preserve"> (Сплит система) Теплопроизводительность: N[8]</v>
      </c>
      <c r="G405" t="str">
        <f>CONCATENATE(G$2,": ",G$3,list1!G405,"]")</f>
        <v xml:space="preserve"> (Потребляемая мощность) Охлаждение: N[2.18]</v>
      </c>
      <c r="H405" t="str">
        <f>CONCATENATE(H$2,": ",H$3,list1!H405,"]")</f>
        <v xml:space="preserve"> (Потребляемая мощность) Обогрев: S[2.2]</v>
      </c>
      <c r="I405" t="str">
        <f>CONCATENATE(I$2,": ",I$3,list1!I405,"]")</f>
        <v xml:space="preserve"> (Рабочий ток) Охлаждение: S[]</v>
      </c>
      <c r="J405" t="str">
        <f>CONCATENATE(J$2,": ",J$3,list1!J405,"]")</f>
        <v xml:space="preserve"> (Рабочий ток) Обогрев: S[]</v>
      </c>
      <c r="K405" t="str">
        <f>CONCATENATE(K$2,": ",K$3,list1!K405,"]")</f>
        <v xml:space="preserve"> (Рабочий ток) Напряжение / Частота источника питания: S[1 / 220 / 50]</v>
      </c>
      <c r="L405" t="str">
        <f>CONCATENATE(L$2,": ",L$3,list1!L405,"]")</f>
        <v xml:space="preserve"> (Рабочий ток) Хладагент: S[R410A]</v>
      </c>
      <c r="M405" t="str">
        <f>CONCATENATE(M$2,": ",M$3,list1!M405,"]")</f>
        <v xml:space="preserve"> (Рабочий ток) Количество хладагента: N[]</v>
      </c>
      <c r="N405" t="str">
        <f>CONCATENATE(N$2,": ",N$3,list1!N405,"]")</f>
        <v xml:space="preserve"> (Рабочий ток) Объем рециркулируемого воздуха внутреннего блока: S[]</v>
      </c>
      <c r="O405" t="str">
        <f>CONCATENATE(O$2,": ",O$3,list1!O405,"]")</f>
        <v xml:space="preserve"> (Внутренний блок) Размеры (Ш x Г x В): S[840 х 200 х 840]</v>
      </c>
      <c r="P405" t="str">
        <f>CONCATENATE(P$2,": ",P$3,list1!P405,"]")</f>
        <v xml:space="preserve"> (Внутренний блок) Упаковка (Ш x Г x В): S[923 х 943 х 245]</v>
      </c>
      <c r="Q405" t="str">
        <f>CONCATENATE(Q$2,": ",Q$3,list1!Q405,"]")</f>
        <v xml:space="preserve"> (Внутренний блок) Масса (нетто / брутто): S[23 / 30]</v>
      </c>
      <c r="R405" t="str">
        <f>CONCATENATE(R$2,": ",R$3,list1!R405,"]")</f>
        <v xml:space="preserve"> (Внутренний блок) Уровень шума мин. / макс.: S[39/41/45/47]</v>
      </c>
      <c r="S405" t="str">
        <f>CONCATENATE(S$2,": ",S$3,list1!S405,"]")</f>
        <v xml:space="preserve"> (Наружный блок) Марка компрессора: S[Gree]</v>
      </c>
      <c r="T405" t="str">
        <f>CONCATENATE(T$2,": ",T$3,list1!T405,"]")</f>
        <v xml:space="preserve"> (Наружный блок) Размеры (Ш x Г x В): S[892 х 340 х 698]</v>
      </c>
      <c r="U405" t="str">
        <f>CONCATENATE(U$2,": ",U$3,list1!U405,"]")</f>
        <v xml:space="preserve"> (Наружный блок) Упаковка (Ш x Г x В): S[1029 х 458 х 750]</v>
      </c>
      <c r="V405" t="str">
        <f>CONCATENATE(V$2,": ",V$3,list1!V405,"]")</f>
        <v xml:space="preserve"> (Наружный блок) Масса (нетто / брутто): S[53/57]</v>
      </c>
      <c r="W405" t="str">
        <f>CONCATENATE(W$2,": ",W$3,list1!W405,"]")</f>
        <v xml:space="preserve"> (Наружный блок) Максимальный уровень шума: N[]</v>
      </c>
      <c r="X405" t="str">
        <f>CONCATENATE(X$2,": ",X$3,list1!X405,"]")</f>
        <v xml:space="preserve"> (Соединительные трубы) Жидкостная линия : N[9.52]</v>
      </c>
      <c r="Y405" t="str">
        <f>CONCATENATE(Y$2,": ",Y$3,list1!Y405,"]")</f>
        <v xml:space="preserve"> (Соединительные трубы) Газовая линия : N[15.87]</v>
      </c>
      <c r="Z405" t="str">
        <f>CONCATENATE(Z$2,": ",Z$3,list1!Z405,"]")</f>
        <v xml:space="preserve"> (Соединительные трубы) Максимальная длина трубопровода: N[50]</v>
      </c>
      <c r="AA405" t="str">
        <f>CONCATENATE(AA$2,": ",AA$3,list1!AA405,"]")</f>
        <v xml:space="preserve"> (Соединительные трубы) Максимальный перепад высот: S[25]</v>
      </c>
      <c r="AB405" t="str">
        <f>CONCATENATE(AB$2,": ",AB$3,list1!AB405,"]")</f>
        <v xml:space="preserve"> (Допустимая темп. наружного воздуха) Охлаждение: S[от -15 до +48]</v>
      </c>
      <c r="AC405" t="str">
        <f>CONCATENATE(AC$2,": ",AC$3,list1!AC405,"]")</f>
        <v xml:space="preserve"> (Допустимая темп. наружного воздуха) Обогрев: S[от -15 до +24]</v>
      </c>
      <c r="AD405" s="6" t="s">
        <v>5245</v>
      </c>
    </row>
    <row r="406" spans="1:30" x14ac:dyDescent="0.25">
      <c r="A406" t="str">
        <f>CONCATENATE(A$2,": ",A$3,list1!A406,"]")</f>
        <v>Производитель: E[TOSOT]</v>
      </c>
      <c r="B406" t="str">
        <f>CONCATENATE(B$2,": ",B$3,list1!B406,"]")</f>
        <v xml:space="preserve"> Тип: S[Кассетные]</v>
      </c>
      <c r="C406" t="str">
        <f>CONCATENATE(C$2,": ",C$3,list1!C406,"]")</f>
        <v xml:space="preserve"> (Сплит система) Холодопроизводительность: N[10.1]</v>
      </c>
      <c r="D406" t="str">
        <f>CONCATENATE(D$2,": ",D$3,list1!D406,"]")</f>
        <v xml:space="preserve"> (Сплит система) Площадь помещения: N[100]</v>
      </c>
      <c r="E406" t="str">
        <f>CONCATENATE(E$2,": ",E$3,list1!E406,"]")</f>
        <v xml:space="preserve"> (Сплит система) Инвентор: S[да]</v>
      </c>
      <c r="F406" t="str">
        <f>CONCATENATE(F$2,": ",F$3,list1!F406,"]")</f>
        <v xml:space="preserve"> (Сплит система) Теплопроизводительность: N[11]</v>
      </c>
      <c r="G406" t="str">
        <f>CONCATENATE(G$2,": ",G$3,list1!G406,"]")</f>
        <v xml:space="preserve"> (Потребляемая мощность) Охлаждение: N[3.4]</v>
      </c>
      <c r="H406" t="str">
        <f>CONCATENATE(H$2,": ",H$3,list1!H406,"]")</f>
        <v xml:space="preserve"> (Потребляемая мощность) Обогрев: S[3]</v>
      </c>
      <c r="I406" t="str">
        <f>CONCATENATE(I$2,": ",I$3,list1!I406,"]")</f>
        <v xml:space="preserve"> (Рабочий ток) Охлаждение: S[]</v>
      </c>
      <c r="J406" t="str">
        <f>CONCATENATE(J$2,": ",J$3,list1!J406,"]")</f>
        <v xml:space="preserve"> (Рабочий ток) Обогрев: S[]</v>
      </c>
      <c r="K406" t="str">
        <f>CONCATENATE(K$2,": ",K$3,list1!K406,"]")</f>
        <v xml:space="preserve"> (Рабочий ток) Напряжение / Частота источника питания: S[1 / 220 / 50]</v>
      </c>
      <c r="L406" t="str">
        <f>CONCATENATE(L$2,": ",L$3,list1!L406,"]")</f>
        <v xml:space="preserve"> (Рабочий ток) Хладагент: S[R410A]</v>
      </c>
      <c r="M406" t="str">
        <f>CONCATENATE(M$2,": ",M$3,list1!M406,"]")</f>
        <v xml:space="preserve"> (Рабочий ток) Количество хладагента: N[]</v>
      </c>
      <c r="N406" t="str">
        <f>CONCATENATE(N$2,": ",N$3,list1!N406,"]")</f>
        <v xml:space="preserve"> (Рабочий ток) Объем рециркулируемого воздуха внутреннего блока: S[]</v>
      </c>
      <c r="O406" t="str">
        <f>CONCATENATE(O$2,": ",O$3,list1!O406,"]")</f>
        <v xml:space="preserve"> (Внутренний блок) Размеры (Ш x Г x В): S[840 х 240 х 840]</v>
      </c>
      <c r="P406" t="str">
        <f>CONCATENATE(P$2,": ",P$3,list1!P406,"]")</f>
        <v xml:space="preserve"> (Внутренний блок) Упаковка (Ш x Г x В): S[963 х 963 х 325]</v>
      </c>
      <c r="Q406" t="str">
        <f>CONCATENATE(Q$2,": ",Q$3,list1!Q406,"]")</f>
        <v xml:space="preserve"> (Внутренний блок) Масса (нетто / брутто): S[31 / 38]</v>
      </c>
      <c r="R406" t="str">
        <f>CONCATENATE(R$2,": ",R$3,list1!R406,"]")</f>
        <v xml:space="preserve"> (Внутренний блок) Уровень шума мин. / макс.: S[42/46/48/50]</v>
      </c>
      <c r="S406" t="str">
        <f>CONCATENATE(S$2,": ",S$3,list1!S406,"]")</f>
        <v xml:space="preserve"> (Наружный блок) Марка компрессора: S[Gree]</v>
      </c>
      <c r="T406" t="str">
        <f>CONCATENATE(T$2,": ",T$3,list1!T406,"]")</f>
        <v xml:space="preserve"> (Наружный блок) Размеры (Ш x Г x В): S[920 х 370 х 790]</v>
      </c>
      <c r="U406" t="str">
        <f>CONCATENATE(U$2,": ",U$3,list1!U406,"]")</f>
        <v xml:space="preserve"> (Наружный блок) Упаковка (Ш x Г x В): S[1083 х 488 х 855]</v>
      </c>
      <c r="V406" t="str">
        <f>CONCATENATE(V$2,": ",V$3,list1!V406,"]")</f>
        <v xml:space="preserve"> (Наружный блок) Масса (нетто / брутто): S[61/66]</v>
      </c>
      <c r="W406" t="str">
        <f>CONCATENATE(W$2,": ",W$3,list1!W406,"]")</f>
        <v xml:space="preserve"> (Наружный блок) Максимальный уровень шума: N[]</v>
      </c>
      <c r="X406" t="str">
        <f>CONCATENATE(X$2,": ",X$3,list1!X406,"]")</f>
        <v xml:space="preserve"> (Соединительные трубы) Жидкостная линия : N[9.52]</v>
      </c>
      <c r="Y406" t="str">
        <f>CONCATENATE(Y$2,": ",Y$3,list1!Y406,"]")</f>
        <v xml:space="preserve"> (Соединительные трубы) Газовая линия : N[15.87]</v>
      </c>
      <c r="Z406" t="str">
        <f>CONCATENATE(Z$2,": ",Z$3,list1!Z406,"]")</f>
        <v xml:space="preserve"> (Соединительные трубы) Максимальная длина трубопровода: N[50]</v>
      </c>
      <c r="AA406" t="str">
        <f>CONCATENATE(AA$2,": ",AA$3,list1!AA406,"]")</f>
        <v xml:space="preserve"> (Соединительные трубы) Максимальный перепад высот: S[25]</v>
      </c>
      <c r="AB406" t="str">
        <f>CONCATENATE(AB$2,": ",AB$3,list1!AB406,"]")</f>
        <v xml:space="preserve"> (Допустимая темп. наружного воздуха) Охлаждение: S[от -15 до +48]</v>
      </c>
      <c r="AC406" t="str">
        <f>CONCATENATE(AC$2,": ",AC$3,list1!AC406,"]")</f>
        <v xml:space="preserve"> (Допустимая темп. наружного воздуха) Обогрев: S[от -15 до +24]</v>
      </c>
      <c r="AD406" s="6" t="s">
        <v>5245</v>
      </c>
    </row>
    <row r="407" spans="1:30" x14ac:dyDescent="0.25">
      <c r="A407" t="str">
        <f>CONCATENATE(A$2,": ",A$3,list1!A407,"]")</f>
        <v>Производитель: E[TOSOT]</v>
      </c>
      <c r="B407" t="str">
        <f>CONCATENATE(B$2,": ",B$3,list1!B407,"]")</f>
        <v xml:space="preserve"> Тип: S[Кассетные]</v>
      </c>
      <c r="C407" t="str">
        <f>CONCATENATE(C$2,": ",C$3,list1!C407,"]")</f>
        <v xml:space="preserve"> (Сплит система) Холодопроизводительность: N[14]</v>
      </c>
      <c r="D407" t="str">
        <f>CONCATENATE(D$2,": ",D$3,list1!D407,"]")</f>
        <v xml:space="preserve"> (Сплит система) Площадь помещения: N[140]</v>
      </c>
      <c r="E407" t="str">
        <f>CONCATENATE(E$2,": ",E$3,list1!E407,"]")</f>
        <v xml:space="preserve"> (Сплит система) Инвентор: S[да]</v>
      </c>
      <c r="F407" t="str">
        <f>CONCATENATE(F$2,": ",F$3,list1!F407,"]")</f>
        <v xml:space="preserve"> (Сплит система) Теплопроизводительность: N[15]</v>
      </c>
      <c r="G407" t="str">
        <f>CONCATENATE(G$2,": ",G$3,list1!G407,"]")</f>
        <v xml:space="preserve"> (Потребляемая мощность) Охлаждение: N[5]</v>
      </c>
      <c r="H407" t="str">
        <f>CONCATENATE(H$2,": ",H$3,list1!H407,"]")</f>
        <v xml:space="preserve"> (Потребляемая мощность) Обогрев: S[4.4]</v>
      </c>
      <c r="I407" t="str">
        <f>CONCATENATE(I$2,": ",I$3,list1!I407,"]")</f>
        <v xml:space="preserve"> (Рабочий ток) Охлаждение: S[]</v>
      </c>
      <c r="J407" t="str">
        <f>CONCATENATE(J$2,": ",J$3,list1!J407,"]")</f>
        <v xml:space="preserve"> (Рабочий ток) Обогрев: S[]</v>
      </c>
      <c r="K407" t="str">
        <f>CONCATENATE(K$2,": ",K$3,list1!K407,"]")</f>
        <v xml:space="preserve"> (Рабочий ток) Напряжение / Частота источника питания: S[1 / 380 / 50]</v>
      </c>
      <c r="L407" t="str">
        <f>CONCATENATE(L$2,": ",L$3,list1!L407,"]")</f>
        <v xml:space="preserve"> (Рабочий ток) Хладагент: S[R410A]</v>
      </c>
      <c r="M407" t="str">
        <f>CONCATENATE(M$2,": ",M$3,list1!M407,"]")</f>
        <v xml:space="preserve"> (Рабочий ток) Количество хладагента: N[]</v>
      </c>
      <c r="N407" t="str">
        <f>CONCATENATE(N$2,": ",N$3,list1!N407,"]")</f>
        <v xml:space="preserve"> (Рабочий ток) Объем рециркулируемого воздуха внутреннего блока: S[]</v>
      </c>
      <c r="O407" t="str">
        <f>CONCATENATE(O$2,": ",O$3,list1!O407,"]")</f>
        <v xml:space="preserve"> (Внутренний блок) Размеры (Ш x Г x В): S[840 х 290 х 840]</v>
      </c>
      <c r="P407" t="str">
        <f>CONCATENATE(P$2,": ",P$3,list1!P407,"]")</f>
        <v xml:space="preserve"> (Внутренний блок) Упаковка (Ш x Г x В): S[963 х 963 х 379]</v>
      </c>
      <c r="Q407" t="str">
        <f>CONCATENATE(Q$2,": ",Q$3,list1!Q407,"]")</f>
        <v xml:space="preserve"> (Внутренний блок) Масса (нетто / брутто): S[33 / 41]</v>
      </c>
      <c r="R407" t="str">
        <f>CONCATENATE(R$2,": ",R$3,list1!R407,"]")</f>
        <v xml:space="preserve"> (Внутренний блок) Уровень шума мин. / макс.: S[42/46/49/51]</v>
      </c>
      <c r="S407" t="str">
        <f>CONCATENATE(S$2,": ",S$3,list1!S407,"]")</f>
        <v xml:space="preserve"> (Наружный блок) Марка компрессора: S[Gree]</v>
      </c>
      <c r="T407" t="str">
        <f>CONCATENATE(T$2,": ",T$3,list1!T407,"]")</f>
        <v xml:space="preserve"> (Наружный блок) Размеры (Ш x Г x В): S[940 х 460 х 820]</v>
      </c>
      <c r="U407" t="str">
        <f>CONCATENATE(U$2,": ",U$3,list1!U407,"]")</f>
        <v xml:space="preserve"> (Наружный блок) Упаковка (Ш x Г x В): S[1083 х 573 х 973]</v>
      </c>
      <c r="V407" t="str">
        <f>CONCATENATE(V$2,": ",V$3,list1!V407,"]")</f>
        <v xml:space="preserve"> (Наружный блок) Масса (нетто / брутто): S[96/108]</v>
      </c>
      <c r="W407" t="str">
        <f>CONCATENATE(W$2,": ",W$3,list1!W407,"]")</f>
        <v xml:space="preserve"> (Наружный блок) Максимальный уровень шума: N[]</v>
      </c>
      <c r="X407" t="str">
        <f>CONCATENATE(X$2,": ",X$3,list1!X407,"]")</f>
        <v xml:space="preserve"> (Соединительные трубы) Жидкостная линия : N[9.52]</v>
      </c>
      <c r="Y407" t="str">
        <f>CONCATENATE(Y$2,": ",Y$3,list1!Y407,"]")</f>
        <v xml:space="preserve"> (Соединительные трубы) Газовая линия : N[15.87]</v>
      </c>
      <c r="Z407" t="str">
        <f>CONCATENATE(Z$2,": ",Z$3,list1!Z407,"]")</f>
        <v xml:space="preserve"> (Соединительные трубы) Максимальная длина трубопровода: N[75]</v>
      </c>
      <c r="AA407" t="str">
        <f>CONCATENATE(AA$2,": ",AA$3,list1!AA407,"]")</f>
        <v xml:space="preserve"> (Соединительные трубы) Максимальный перепад высот: S[30]</v>
      </c>
      <c r="AB407" t="str">
        <f>CONCATENATE(AB$2,": ",AB$3,list1!AB407,"]")</f>
        <v xml:space="preserve"> (Допустимая темп. наружного воздуха) Охлаждение: S[от -15 до +48]</v>
      </c>
      <c r="AC407" t="str">
        <f>CONCATENATE(AC$2,": ",AC$3,list1!AC407,"]")</f>
        <v xml:space="preserve"> (Допустимая темп. наружного воздуха) Обогрев: S[от -15 до +24]</v>
      </c>
      <c r="AD407" s="6" t="s">
        <v>5245</v>
      </c>
    </row>
    <row r="408" spans="1:30" x14ac:dyDescent="0.25">
      <c r="A408" t="str">
        <f>CONCATENATE(A$2,": ",A$3,list1!A408,"]")</f>
        <v>Производитель: E[TOSOT]</v>
      </c>
      <c r="B408" t="str">
        <f>CONCATENATE(B$2,": ",B$3,list1!B408,"]")</f>
        <v xml:space="preserve"> Тип: S[Кассетные]</v>
      </c>
      <c r="C408" t="str">
        <f>CONCATENATE(C$2,": ",C$3,list1!C408,"]")</f>
        <v xml:space="preserve"> (Сплит система) Холодопроизводительность: N[15]</v>
      </c>
      <c r="D408" t="str">
        <f>CONCATENATE(D$2,": ",D$3,list1!D408,"]")</f>
        <v xml:space="preserve"> (Сплит система) Площадь помещения: N[150]</v>
      </c>
      <c r="E408" t="str">
        <f>CONCATENATE(E$2,": ",E$3,list1!E408,"]")</f>
        <v xml:space="preserve"> (Сплит система) Инвентор: S[да]</v>
      </c>
      <c r="F408" t="str">
        <f>CONCATENATE(F$2,": ",F$3,list1!F408,"]")</f>
        <v xml:space="preserve"> (Сплит система) Теплопроизводительность: N[17]</v>
      </c>
      <c r="G408" t="str">
        <f>CONCATENATE(G$2,": ",G$3,list1!G408,"]")</f>
        <v xml:space="preserve"> (Потребляемая мощность) Охлаждение: N[5.2]</v>
      </c>
      <c r="H408" t="str">
        <f>CONCATENATE(H$2,": ",H$3,list1!H408,"]")</f>
        <v xml:space="preserve"> (Потребляемая мощность) Обогрев: S[4.7]</v>
      </c>
      <c r="I408" t="str">
        <f>CONCATENATE(I$2,": ",I$3,list1!I408,"]")</f>
        <v xml:space="preserve"> (Рабочий ток) Охлаждение: S[]</v>
      </c>
      <c r="J408" t="str">
        <f>CONCATENATE(J$2,": ",J$3,list1!J408,"]")</f>
        <v xml:space="preserve"> (Рабочий ток) Обогрев: S[]</v>
      </c>
      <c r="K408" t="str">
        <f>CONCATENATE(K$2,": ",K$3,list1!K408,"]")</f>
        <v xml:space="preserve"> (Рабочий ток) Напряжение / Частота источника питания: S[3 / 380 / 50]</v>
      </c>
      <c r="L408" t="str">
        <f>CONCATENATE(L$2,": ",L$3,list1!L408,"]")</f>
        <v xml:space="preserve"> (Рабочий ток) Хладагент: S[R410A]</v>
      </c>
      <c r="M408" t="str">
        <f>CONCATENATE(M$2,": ",M$3,list1!M408,"]")</f>
        <v xml:space="preserve"> (Рабочий ток) Количество хладагента: N[]</v>
      </c>
      <c r="N408" t="str">
        <f>CONCATENATE(N$2,": ",N$3,list1!N408,"]")</f>
        <v xml:space="preserve"> (Рабочий ток) Объем рециркулируемого воздуха внутреннего блока: S[]</v>
      </c>
      <c r="O408" t="str">
        <f>CONCATENATE(O$2,": ",O$3,list1!O408,"]")</f>
        <v xml:space="preserve"> (Внутренний блок) Размеры (Ш x Г x В): S[840 х 290 х 840]</v>
      </c>
      <c r="P408" t="str">
        <f>CONCATENATE(P$2,": ",P$3,list1!P408,"]")</f>
        <v xml:space="preserve"> (Внутренний блок) Упаковка (Ш x Г x В): S[963 х 963 х 379]</v>
      </c>
      <c r="Q408" t="str">
        <f>CONCATENATE(Q$2,": ",Q$3,list1!Q408,"]")</f>
        <v xml:space="preserve"> (Внутренний блок) Масса (нетто / брутто): S[36 / 44]</v>
      </c>
      <c r="R408" t="str">
        <f>CONCATENATE(R$2,": ",R$3,list1!R408,"]")</f>
        <v xml:space="preserve"> (Внутренний блок) Уровень шума мин. / макс.: S[48/50/52/54]</v>
      </c>
      <c r="S408" t="str">
        <f>CONCATENATE(S$2,": ",S$3,list1!S408,"]")</f>
        <v xml:space="preserve"> (Наружный блок) Марка компрессора: S[Gree]</v>
      </c>
      <c r="T408" t="str">
        <f>CONCATENATE(T$2,": ",T$3,list1!T408,"]")</f>
        <v xml:space="preserve"> (Наружный блок) Размеры (Ш x Г x В): S[940 х 460 х 820]</v>
      </c>
      <c r="U408" t="str">
        <f>CONCATENATE(U$2,": ",U$3,list1!U408,"]")</f>
        <v xml:space="preserve"> (Наружный блок) Упаковка (Ш x Г x В): S[1083 х 573 х 973]</v>
      </c>
      <c r="V408" t="str">
        <f>CONCATENATE(V$2,": ",V$3,list1!V408,"]")</f>
        <v xml:space="preserve"> (Наружный блок) Масса (нетто / брутто): S[100/112]</v>
      </c>
      <c r="W408" t="str">
        <f>CONCATENATE(W$2,": ",W$3,list1!W408,"]")</f>
        <v xml:space="preserve"> (Наружный блок) Максимальный уровень шума: N[]</v>
      </c>
      <c r="X408" t="str">
        <f>CONCATENATE(X$2,": ",X$3,list1!X408,"]")</f>
        <v xml:space="preserve"> (Соединительные трубы) Жидкостная линия : N[9.52]</v>
      </c>
      <c r="Y408" t="str">
        <f>CONCATENATE(Y$2,": ",Y$3,list1!Y408,"]")</f>
        <v xml:space="preserve"> (Соединительные трубы) Газовая линия : N[15.87]</v>
      </c>
      <c r="Z408" t="str">
        <f>CONCATENATE(Z$2,": ",Z$3,list1!Z408,"]")</f>
        <v xml:space="preserve"> (Соединительные трубы) Максимальная длина трубопровода: N[75]</v>
      </c>
      <c r="AA408" t="str">
        <f>CONCATENATE(AA$2,": ",AA$3,list1!AA408,"]")</f>
        <v xml:space="preserve"> (Соединительные трубы) Максимальный перепад высот: S[30]</v>
      </c>
      <c r="AB408" t="str">
        <f>CONCATENATE(AB$2,": ",AB$3,list1!AB408,"]")</f>
        <v xml:space="preserve"> (Допустимая темп. наружного воздуха) Охлаждение: S[от -15 до +48]</v>
      </c>
      <c r="AC408" t="str">
        <f>CONCATENATE(AC$2,": ",AC$3,list1!AC408,"]")</f>
        <v xml:space="preserve"> (Допустимая темп. наружного воздуха) Обогрев: S[от -15 до +24]</v>
      </c>
      <c r="AD408" s="6" t="s">
        <v>5245</v>
      </c>
    </row>
    <row r="409" spans="1:30" x14ac:dyDescent="0.25">
      <c r="A409" t="str">
        <f>CONCATENATE(A$2,": ",A$3,list1!A409,"]")</f>
        <v>Производитель: E[TOSOT]</v>
      </c>
      <c r="B409" t="str">
        <f>CONCATENATE(B$2,": ",B$3,list1!B409,"]")</f>
        <v xml:space="preserve"> Тип: S[Напольно-потолочные]</v>
      </c>
      <c r="C409" t="str">
        <f>CONCATENATE(C$2,": ",C$3,list1!C409,"]")</f>
        <v xml:space="preserve"> (Сплит система) Холодопроизводительность: N[5.2]</v>
      </c>
      <c r="D409" t="str">
        <f>CONCATENATE(D$2,": ",D$3,list1!D409,"]")</f>
        <v xml:space="preserve"> (Сплит система) Площадь помещения: N[52]</v>
      </c>
      <c r="E409" t="str">
        <f>CONCATENATE(E$2,": ",E$3,list1!E409,"]")</f>
        <v xml:space="preserve"> (Сплит система) Инвентор: S[да]</v>
      </c>
      <c r="F409" t="str">
        <f>CONCATENATE(F$2,": ",F$3,list1!F409,"]")</f>
        <v xml:space="preserve"> (Сплит система) Теплопроизводительность: N[5.8]</v>
      </c>
      <c r="G409" t="str">
        <f>CONCATENATE(G$2,": ",G$3,list1!G409,"]")</f>
        <v xml:space="preserve"> (Потребляемая мощность) Охлаждение: N[1.62]</v>
      </c>
      <c r="H409" t="str">
        <f>CONCATENATE(H$2,": ",H$3,list1!H409,"]")</f>
        <v xml:space="preserve"> (Потребляемая мощность) Обогрев: S[1.7]</v>
      </c>
      <c r="I409" t="str">
        <f>CONCATENATE(I$2,": ",I$3,list1!I409,"]")</f>
        <v xml:space="preserve"> (Рабочий ток) Охлаждение: S[]</v>
      </c>
      <c r="J409" t="str">
        <f>CONCATENATE(J$2,": ",J$3,list1!J409,"]")</f>
        <v xml:space="preserve"> (Рабочий ток) Обогрев: S[]</v>
      </c>
      <c r="K409" t="str">
        <f>CONCATENATE(K$2,": ",K$3,list1!K409,"]")</f>
        <v xml:space="preserve"> (Рабочий ток) Напряжение / Частота источника питания: S[1 / 220 / 50]</v>
      </c>
      <c r="L409" t="str">
        <f>CONCATENATE(L$2,": ",L$3,list1!L409,"]")</f>
        <v xml:space="preserve"> (Рабочий ток) Хладагент: S[R410A]</v>
      </c>
      <c r="M409" t="str">
        <f>CONCATENATE(M$2,": ",M$3,list1!M409,"]")</f>
        <v xml:space="preserve"> (Рабочий ток) Количество хладагента: N[]</v>
      </c>
      <c r="N409" t="str">
        <f>CONCATENATE(N$2,": ",N$3,list1!N409,"]")</f>
        <v xml:space="preserve"> (Рабочий ток) Объем рециркулируемого воздуха внутреннего блока: S[]</v>
      </c>
      <c r="O409" t="str">
        <f>CONCATENATE(O$2,": ",O$3,list1!O409,"]")</f>
        <v xml:space="preserve"> (Внутренний блок) Размеры (Ш x Г x В): S[870 х 665 х 235]</v>
      </c>
      <c r="P409" t="str">
        <f>CONCATENATE(P$2,": ",P$3,list1!P409,"]")</f>
        <v xml:space="preserve"> (Внутренний блок) Упаковка (Ш x Г x В): S[1033 х 300 х 770]</v>
      </c>
      <c r="Q409" t="str">
        <f>CONCATENATE(Q$2,": ",Q$3,list1!Q409,"]")</f>
        <v xml:space="preserve"> (Внутренний блок) Масса (нетто / брутто): S[26 / 31]</v>
      </c>
      <c r="R409" t="str">
        <f>CONCATENATE(R$2,": ",R$3,list1!R409,"]")</f>
        <v xml:space="preserve"> (Внутренний блок) Уровень шума мин. / макс.: S[36/39/42/44]</v>
      </c>
      <c r="S409" t="str">
        <f>CONCATENATE(S$2,": ",S$3,list1!S409,"]")</f>
        <v xml:space="preserve"> (Наружный блок) Марка компрессора: S[Gree]</v>
      </c>
      <c r="T409" t="str">
        <f>CONCATENATE(T$2,": ",T$3,list1!T409,"]")</f>
        <v xml:space="preserve"> (Наружный блок) Размеры (Ш x Г x В): S[818 х 302 х 596]</v>
      </c>
      <c r="U409" t="str">
        <f>CONCATENATE(U$2,": ",U$3,list1!U409,"]")</f>
        <v xml:space="preserve"> (Наружный блок) Упаковка (Ш x Г x В): S[948 х 420 х 645]</v>
      </c>
      <c r="V409" t="str">
        <f>CONCATENATE(V$2,": ",V$3,list1!V409,"]")</f>
        <v xml:space="preserve"> (Наружный блок) Масса (нетто / брутто): S[41/44]</v>
      </c>
      <c r="W409" t="str">
        <f>CONCATENATE(W$2,": ",W$3,list1!W409,"]")</f>
        <v xml:space="preserve"> (Наружный блок) Максимальный уровень шума: N[]</v>
      </c>
      <c r="X409" t="str">
        <f>CONCATENATE(X$2,": ",X$3,list1!X409,"]")</f>
        <v xml:space="preserve"> (Соединительные трубы) Жидкостная линия : N[6.35]</v>
      </c>
      <c r="Y409" t="str">
        <f>CONCATENATE(Y$2,": ",Y$3,list1!Y409,"]")</f>
        <v xml:space="preserve"> (Соединительные трубы) Газовая линия : N[12.7]</v>
      </c>
      <c r="Z409" t="str">
        <f>CONCATENATE(Z$2,": ",Z$3,list1!Z409,"]")</f>
        <v xml:space="preserve"> (Соединительные трубы) Максимальная длина трубопровода: N[35]</v>
      </c>
      <c r="AA409" t="str">
        <f>CONCATENATE(AA$2,": ",AA$3,list1!AA409,"]")</f>
        <v xml:space="preserve"> (Соединительные трубы) Максимальный перепад высот: S[20]</v>
      </c>
      <c r="AB409" t="str">
        <f>CONCATENATE(AB$2,": ",AB$3,list1!AB409,"]")</f>
        <v xml:space="preserve"> (Допустимая темп. наружного воздуха) Охлаждение: S[от -15 до +48]</v>
      </c>
      <c r="AC409" t="str">
        <f>CONCATENATE(AC$2,": ",AC$3,list1!AC409,"]")</f>
        <v xml:space="preserve"> (Допустимая темп. наружного воздуха) Обогрев: S[от -15 до +24]</v>
      </c>
      <c r="AD409" s="6" t="s">
        <v>5245</v>
      </c>
    </row>
    <row r="410" spans="1:30" x14ac:dyDescent="0.25">
      <c r="A410" t="str">
        <f>CONCATENATE(A$2,": ",A$3,list1!A410,"]")</f>
        <v>Производитель: E[TOSOT]</v>
      </c>
      <c r="B410" t="str">
        <f>CONCATENATE(B$2,": ",B$3,list1!B410,"]")</f>
        <v xml:space="preserve"> Тип: S[Напольно-потолочные]</v>
      </c>
      <c r="C410" t="str">
        <f>CONCATENATE(C$2,": ",C$3,list1!C410,"]")</f>
        <v xml:space="preserve"> (Сплит система) Холодопроизводительность: N[7.15]</v>
      </c>
      <c r="D410" t="str">
        <f>CONCATENATE(D$2,": ",D$3,list1!D410,"]")</f>
        <v xml:space="preserve"> (Сплит система) Площадь помещения: N[71]</v>
      </c>
      <c r="E410" t="str">
        <f>CONCATENATE(E$2,": ",E$3,list1!E410,"]")</f>
        <v xml:space="preserve"> (Сплит система) Инвентор: S[да]</v>
      </c>
      <c r="F410" t="str">
        <f>CONCATENATE(F$2,": ",F$3,list1!F410,"]")</f>
        <v xml:space="preserve"> (Сплит система) Теплопроизводительность: N[8]</v>
      </c>
      <c r="G410" t="str">
        <f>CONCATENATE(G$2,": ",G$3,list1!G410,"]")</f>
        <v xml:space="preserve"> (Потребляемая мощность) Охлаждение: N[2.4]</v>
      </c>
      <c r="H410" t="str">
        <f>CONCATENATE(H$2,": ",H$3,list1!H410,"]")</f>
        <v xml:space="preserve"> (Потребляемая мощность) Обогрев: S[2.55]</v>
      </c>
      <c r="I410" t="str">
        <f>CONCATENATE(I$2,": ",I$3,list1!I410,"]")</f>
        <v xml:space="preserve"> (Рабочий ток) Охлаждение: S[]</v>
      </c>
      <c r="J410" t="str">
        <f>CONCATENATE(J$2,": ",J$3,list1!J410,"]")</f>
        <v xml:space="preserve"> (Рабочий ток) Обогрев: S[]</v>
      </c>
      <c r="K410" t="str">
        <f>CONCATENATE(K$2,": ",K$3,list1!K410,"]")</f>
        <v xml:space="preserve"> (Рабочий ток) Напряжение / Частота источника питания: S[1 / 220 / 50]</v>
      </c>
      <c r="L410" t="str">
        <f>CONCATENATE(L$2,": ",L$3,list1!L410,"]")</f>
        <v xml:space="preserve"> (Рабочий ток) Хладагент: S[R410A]</v>
      </c>
      <c r="M410" t="str">
        <f>CONCATENATE(M$2,": ",M$3,list1!M410,"]")</f>
        <v xml:space="preserve"> (Рабочий ток) Количество хладагента: N[]</v>
      </c>
      <c r="N410" t="str">
        <f>CONCATENATE(N$2,": ",N$3,list1!N410,"]")</f>
        <v xml:space="preserve"> (Рабочий ток) Объем рециркулируемого воздуха внутреннего блока: S[]</v>
      </c>
      <c r="O410" t="str">
        <f>CONCATENATE(O$2,": ",O$3,list1!O410,"]")</f>
        <v xml:space="preserve"> (Внутренний блок) Размеры (Ш x Г x В): S[870 х 665 х 235]</v>
      </c>
      <c r="P410" t="str">
        <f>CONCATENATE(P$2,": ",P$3,list1!P410,"]")</f>
        <v xml:space="preserve"> (Внутренний блок) Упаковка (Ш x Г x В): S[1033 х 300 х 770]</v>
      </c>
      <c r="Q410" t="str">
        <f>CONCATENATE(Q$2,": ",Q$3,list1!Q410,"]")</f>
        <v xml:space="preserve"> (Внутренний блок) Масса (нетто / брутто): S[26 / 31]</v>
      </c>
      <c r="R410" t="str">
        <f>CONCATENATE(R$2,": ",R$3,list1!R410,"]")</f>
        <v xml:space="preserve"> (Внутренний блок) Уровень шума мин. / макс.: S[43/45/48/49]</v>
      </c>
      <c r="S410" t="str">
        <f>CONCATENATE(S$2,": ",S$3,list1!S410,"]")</f>
        <v xml:space="preserve"> (Наружный блок) Марка компрессора: S[Gree]</v>
      </c>
      <c r="T410" t="str">
        <f>CONCATENATE(T$2,": ",T$3,list1!T410,"]")</f>
        <v xml:space="preserve"> (Наружный блок) Размеры (Ш x Г x В): S[892 х 340 х 698]</v>
      </c>
      <c r="U410" t="str">
        <f>CONCATENATE(U$2,": ",U$3,list1!U410,"]")</f>
        <v xml:space="preserve"> (Наружный блок) Упаковка (Ш x Г x В): S[1029 х 458 х 750]</v>
      </c>
      <c r="V410" t="str">
        <f>CONCATENATE(V$2,": ",V$3,list1!V410,"]")</f>
        <v xml:space="preserve"> (Наружный блок) Масса (нетто / брутто): S[53/57]</v>
      </c>
      <c r="W410" t="str">
        <f>CONCATENATE(W$2,": ",W$3,list1!W410,"]")</f>
        <v xml:space="preserve"> (Наружный блок) Максимальный уровень шума: N[]</v>
      </c>
      <c r="X410" t="str">
        <f>CONCATENATE(X$2,": ",X$3,list1!X410,"]")</f>
        <v xml:space="preserve"> (Соединительные трубы) Жидкостная линия : N[9.52]</v>
      </c>
      <c r="Y410" t="str">
        <f>CONCATENATE(Y$2,": ",Y$3,list1!Y410,"]")</f>
        <v xml:space="preserve"> (Соединительные трубы) Газовая линия : N[15.87]</v>
      </c>
      <c r="Z410" t="str">
        <f>CONCATENATE(Z$2,": ",Z$3,list1!Z410,"]")</f>
        <v xml:space="preserve"> (Соединительные трубы) Максимальная длина трубопровода: N[50]</v>
      </c>
      <c r="AA410" t="str">
        <f>CONCATENATE(AA$2,": ",AA$3,list1!AA410,"]")</f>
        <v xml:space="preserve"> (Соединительные трубы) Максимальный перепад высот: S[25]</v>
      </c>
      <c r="AB410" t="str">
        <f>CONCATENATE(AB$2,": ",AB$3,list1!AB410,"]")</f>
        <v xml:space="preserve"> (Допустимая темп. наружного воздуха) Охлаждение: S[от -15 до +48]</v>
      </c>
      <c r="AC410" t="str">
        <f>CONCATENATE(AC$2,": ",AC$3,list1!AC410,"]")</f>
        <v xml:space="preserve"> (Допустимая темп. наружного воздуха) Обогрев: S[от -15 до +24]</v>
      </c>
      <c r="AD410" s="6" t="s">
        <v>5245</v>
      </c>
    </row>
    <row r="411" spans="1:30" x14ac:dyDescent="0.25">
      <c r="A411" t="str">
        <f>CONCATENATE(A$2,": ",A$3,list1!A411,"]")</f>
        <v>Производитель: E[TOSOT]</v>
      </c>
      <c r="B411" t="str">
        <f>CONCATENATE(B$2,": ",B$3,list1!B411,"]")</f>
        <v xml:space="preserve"> Тип: S[Напольно-потолочные]</v>
      </c>
      <c r="C411" t="str">
        <f>CONCATENATE(C$2,": ",C$3,list1!C411,"]")</f>
        <v xml:space="preserve"> (Сплит система) Холодопроизводительность: N[10]</v>
      </c>
      <c r="D411" t="str">
        <f>CONCATENATE(D$2,": ",D$3,list1!D411,"]")</f>
        <v xml:space="preserve"> (Сплит система) Площадь помещения: N[100]</v>
      </c>
      <c r="E411" t="str">
        <f>CONCATENATE(E$2,": ",E$3,list1!E411,"]")</f>
        <v xml:space="preserve"> (Сплит система) Инвентор: S[да]</v>
      </c>
      <c r="F411" t="str">
        <f>CONCATENATE(F$2,": ",F$3,list1!F411,"]")</f>
        <v xml:space="preserve"> (Сплит система) Теплопроизводительность: N[11]</v>
      </c>
      <c r="G411" t="str">
        <f>CONCATENATE(G$2,": ",G$3,list1!G411,"]")</f>
        <v xml:space="preserve"> (Потребляемая мощность) Охлаждение: N[3.4]</v>
      </c>
      <c r="H411" t="str">
        <f>CONCATENATE(H$2,": ",H$3,list1!H411,"]")</f>
        <v xml:space="preserve"> (Потребляемая мощность) Обогрев: S[3.2]</v>
      </c>
      <c r="I411" t="str">
        <f>CONCATENATE(I$2,": ",I$3,list1!I411,"]")</f>
        <v xml:space="preserve"> (Рабочий ток) Охлаждение: S[]</v>
      </c>
      <c r="J411" t="str">
        <f>CONCATENATE(J$2,": ",J$3,list1!J411,"]")</f>
        <v xml:space="preserve"> (Рабочий ток) Обогрев: S[]</v>
      </c>
      <c r="K411" t="str">
        <f>CONCATENATE(K$2,": ",K$3,list1!K411,"]")</f>
        <v xml:space="preserve"> (Рабочий ток) Напряжение / Частота источника питания: S[1 / 220 / 50]</v>
      </c>
      <c r="L411" t="str">
        <f>CONCATENATE(L$2,": ",L$3,list1!L411,"]")</f>
        <v xml:space="preserve"> (Рабочий ток) Хладагент: S[R410A]</v>
      </c>
      <c r="M411" t="str">
        <f>CONCATENATE(M$2,": ",M$3,list1!M411,"]")</f>
        <v xml:space="preserve"> (Рабочий ток) Количество хладагента: N[]</v>
      </c>
      <c r="N411" t="str">
        <f>CONCATENATE(N$2,": ",N$3,list1!N411,"]")</f>
        <v xml:space="preserve"> (Рабочий ток) Объем рециркулируемого воздуха внутреннего блока: S[]</v>
      </c>
      <c r="O411" t="str">
        <f>CONCATENATE(O$2,": ",O$3,list1!O411,"]")</f>
        <v xml:space="preserve"> (Внутренний блок) Размеры (Ш x Г x В): S[1200 х 665 х 235]</v>
      </c>
      <c r="P411" t="str">
        <f>CONCATENATE(P$2,": ",P$3,list1!P411,"]")</f>
        <v xml:space="preserve"> (Внутренний блок) Упаковка (Ш x Г x В): S[1363 х 300 х 770]</v>
      </c>
      <c r="Q411" t="str">
        <f>CONCATENATE(Q$2,": ",Q$3,list1!Q411,"]")</f>
        <v xml:space="preserve"> (Внутренний блок) Масса (нетто / брутто): S[32 / 38]</v>
      </c>
      <c r="R411" t="str">
        <f>CONCATENATE(R$2,": ",R$3,list1!R411,"]")</f>
        <v xml:space="preserve"> (Внутренний блок) Уровень шума мин. / макс.: S[43/45/47/49]</v>
      </c>
      <c r="S411" t="str">
        <f>CONCATENATE(S$2,": ",S$3,list1!S411,"]")</f>
        <v xml:space="preserve"> (Наружный блок) Марка компрессора: S[Gree]</v>
      </c>
      <c r="T411" t="str">
        <f>CONCATENATE(T$2,": ",T$3,list1!T411,"]")</f>
        <v xml:space="preserve"> (Наружный блок) Размеры (Ш x Г x В): S[920 х 370 х 790]</v>
      </c>
      <c r="U411" t="str">
        <f>CONCATENATE(U$2,": ",U$3,list1!U411,"]")</f>
        <v xml:space="preserve"> (Наружный блок) Упаковка (Ш x Г x В): S[1083 х 488 х 855]</v>
      </c>
      <c r="V411" t="str">
        <f>CONCATENATE(V$2,": ",V$3,list1!V411,"]")</f>
        <v xml:space="preserve"> (Наружный блок) Масса (нетто / брутто): S[61/66]</v>
      </c>
      <c r="W411" t="str">
        <f>CONCATENATE(W$2,": ",W$3,list1!W411,"]")</f>
        <v xml:space="preserve"> (Наружный блок) Максимальный уровень шума: N[]</v>
      </c>
      <c r="X411" t="str">
        <f>CONCATENATE(X$2,": ",X$3,list1!X411,"]")</f>
        <v xml:space="preserve"> (Соединительные трубы) Жидкостная линия : N[9.52]</v>
      </c>
      <c r="Y411" t="str">
        <f>CONCATENATE(Y$2,": ",Y$3,list1!Y411,"]")</f>
        <v xml:space="preserve"> (Соединительные трубы) Газовая линия : N[15.87]</v>
      </c>
      <c r="Z411" t="str">
        <f>CONCATENATE(Z$2,": ",Z$3,list1!Z411,"]")</f>
        <v xml:space="preserve"> (Соединительные трубы) Максимальная длина трубопровода: N[50]</v>
      </c>
      <c r="AA411" t="str">
        <f>CONCATENATE(AA$2,": ",AA$3,list1!AA411,"]")</f>
        <v xml:space="preserve"> (Соединительные трубы) Максимальный перепад высот: S[25]</v>
      </c>
      <c r="AB411" t="str">
        <f>CONCATENATE(AB$2,": ",AB$3,list1!AB411,"]")</f>
        <v xml:space="preserve"> (Допустимая темп. наружного воздуха) Охлаждение: S[от -15 до +48]</v>
      </c>
      <c r="AC411" t="str">
        <f>CONCATENATE(AC$2,": ",AC$3,list1!AC411,"]")</f>
        <v xml:space="preserve"> (Допустимая темп. наружного воздуха) Обогрев: S[от -15 до +24]</v>
      </c>
      <c r="AD411" s="6" t="s">
        <v>5245</v>
      </c>
    </row>
    <row r="412" spans="1:30" x14ac:dyDescent="0.25">
      <c r="A412" t="str">
        <f>CONCATENATE(A$2,": ",A$3,list1!A412,"]")</f>
        <v>Производитель: E[TOSOT]</v>
      </c>
      <c r="B412" t="str">
        <f>CONCATENATE(B$2,": ",B$3,list1!B412,"]")</f>
        <v xml:space="preserve"> Тип: S[Напольно-потолочные]</v>
      </c>
      <c r="C412" t="str">
        <f>CONCATENATE(C$2,": ",C$3,list1!C412,"]")</f>
        <v xml:space="preserve"> (Сплит система) Холодопроизводительность: N[14]</v>
      </c>
      <c r="D412" t="str">
        <f>CONCATENATE(D$2,": ",D$3,list1!D412,"]")</f>
        <v xml:space="preserve"> (Сплит система) Площадь помещения: N[140]</v>
      </c>
      <c r="E412" t="str">
        <f>CONCATENATE(E$2,": ",E$3,list1!E412,"]")</f>
        <v xml:space="preserve"> (Сплит система) Инвентор: S[да]</v>
      </c>
      <c r="F412" t="str">
        <f>CONCATENATE(F$2,": ",F$3,list1!F412,"]")</f>
        <v xml:space="preserve"> (Сплит система) Теплопроизводительность: N[15]</v>
      </c>
      <c r="G412" t="str">
        <f>CONCATENATE(G$2,": ",G$3,list1!G412,"]")</f>
        <v xml:space="preserve"> (Потребляемая мощность) Охлаждение: N[5.2]</v>
      </c>
      <c r="H412" t="str">
        <f>CONCATENATE(H$2,": ",H$3,list1!H412,"]")</f>
        <v xml:space="preserve"> (Потребляемая мощность) Обогрев: S[4.4]</v>
      </c>
      <c r="I412" t="str">
        <f>CONCATENATE(I$2,": ",I$3,list1!I412,"]")</f>
        <v xml:space="preserve"> (Рабочий ток) Охлаждение: S[]</v>
      </c>
      <c r="J412" t="str">
        <f>CONCATENATE(J$2,": ",J$3,list1!J412,"]")</f>
        <v xml:space="preserve"> (Рабочий ток) Обогрев: S[]</v>
      </c>
      <c r="K412" t="str">
        <f>CONCATENATE(K$2,": ",K$3,list1!K412,"]")</f>
        <v xml:space="preserve"> (Рабочий ток) Напряжение / Частота источника питания: S[3 / 380 / 50]</v>
      </c>
      <c r="L412" t="str">
        <f>CONCATENATE(L$2,": ",L$3,list1!L412,"]")</f>
        <v xml:space="preserve"> (Рабочий ток) Хладагент: S[R410A]</v>
      </c>
      <c r="M412" t="str">
        <f>CONCATENATE(M$2,": ",M$3,list1!M412,"]")</f>
        <v xml:space="preserve"> (Рабочий ток) Количество хладагента: N[]</v>
      </c>
      <c r="N412" t="str">
        <f>CONCATENATE(N$2,": ",N$3,list1!N412,"]")</f>
        <v xml:space="preserve"> (Рабочий ток) Объем рециркулируемого воздуха внутреннего блока: S[]</v>
      </c>
      <c r="O412" t="str">
        <f>CONCATENATE(O$2,": ",O$3,list1!O412,"]")</f>
        <v xml:space="preserve"> (Внутренний блок) Размеры (Ш x Г x В): S[1570 х 665 х 235]</v>
      </c>
      <c r="P412" t="str">
        <f>CONCATENATE(P$2,": ",P$3,list1!P412,"]")</f>
        <v xml:space="preserve"> (Внутренний блок) Упаковка (Ш x Г x В): S[1729 х 300 х 770]</v>
      </c>
      <c r="Q412" t="str">
        <f>CONCATENATE(Q$2,": ",Q$3,list1!Q412,"]")</f>
        <v xml:space="preserve"> (Внутренний блок) Масса (нетто / брутто): S[40 / 47]</v>
      </c>
      <c r="R412" t="str">
        <f>CONCATENATE(R$2,": ",R$3,list1!R412,"]")</f>
        <v xml:space="preserve"> (Внутренний блок) Уровень шума мин. / макс.: S[44/48/50/52]</v>
      </c>
      <c r="S412" t="str">
        <f>CONCATENATE(S$2,": ",S$3,list1!S412,"]")</f>
        <v xml:space="preserve"> (Наружный блок) Марка компрессора: S[Gree]</v>
      </c>
      <c r="T412" t="str">
        <f>CONCATENATE(T$2,": ",T$3,list1!T412,"]")</f>
        <v xml:space="preserve"> (Наружный блок) Размеры (Ш x Г x В): S[940 х 460 х 820]</v>
      </c>
      <c r="U412" t="str">
        <f>CONCATENATE(U$2,": ",U$3,list1!U412,"]")</f>
        <v xml:space="preserve"> (Наружный блок) Упаковка (Ш x Г x В): S[1083 х 573 х 973]</v>
      </c>
      <c r="V412" t="str">
        <f>CONCATENATE(V$2,": ",V$3,list1!V412,"]")</f>
        <v xml:space="preserve"> (Наружный блок) Масса (нетто / брутто): S[96/108]</v>
      </c>
      <c r="W412" t="str">
        <f>CONCATENATE(W$2,": ",W$3,list1!W412,"]")</f>
        <v xml:space="preserve"> (Наружный блок) Максимальный уровень шума: N[]</v>
      </c>
      <c r="X412" t="str">
        <f>CONCATENATE(X$2,": ",X$3,list1!X412,"]")</f>
        <v xml:space="preserve"> (Соединительные трубы) Жидкостная линия : N[9.52]</v>
      </c>
      <c r="Y412" t="str">
        <f>CONCATENATE(Y$2,": ",Y$3,list1!Y412,"]")</f>
        <v xml:space="preserve"> (Соединительные трубы) Газовая линия : N[15.87]</v>
      </c>
      <c r="Z412" t="str">
        <f>CONCATENATE(Z$2,": ",Z$3,list1!Z412,"]")</f>
        <v xml:space="preserve"> (Соединительные трубы) Максимальная длина трубопровода: N[75]</v>
      </c>
      <c r="AA412" t="str">
        <f>CONCATENATE(AA$2,": ",AA$3,list1!AA412,"]")</f>
        <v xml:space="preserve"> (Соединительные трубы) Максимальный перепад высот: S[30]</v>
      </c>
      <c r="AB412" t="str">
        <f>CONCATENATE(AB$2,": ",AB$3,list1!AB412,"]")</f>
        <v xml:space="preserve"> (Допустимая темп. наружного воздуха) Охлаждение: S[от -15 до +48]</v>
      </c>
      <c r="AC412" t="str">
        <f>CONCATENATE(AC$2,": ",AC$3,list1!AC412,"]")</f>
        <v xml:space="preserve"> (Допустимая темп. наружного воздуха) Обогрев: S[от -15 до +24]</v>
      </c>
      <c r="AD412" s="6" t="s">
        <v>5245</v>
      </c>
    </row>
    <row r="413" spans="1:30" x14ac:dyDescent="0.25">
      <c r="A413" t="str">
        <f>CONCATENATE(A$2,": ",A$3,list1!A413,"]")</f>
        <v>Производитель: E[TOSOT]</v>
      </c>
      <c r="B413" t="str">
        <f>CONCATENATE(B$2,": ",B$3,list1!B413,"]")</f>
        <v xml:space="preserve"> Тип: S[Напольно-потолочные]</v>
      </c>
      <c r="C413" t="str">
        <f>CONCATENATE(C$2,": ",C$3,list1!C413,"]")</f>
        <v xml:space="preserve"> (Сплит система) Холодопроизводительность: N[15.4]</v>
      </c>
      <c r="D413" t="str">
        <f>CONCATENATE(D$2,": ",D$3,list1!D413,"]")</f>
        <v xml:space="preserve"> (Сплит система) Площадь помещения: N[150]</v>
      </c>
      <c r="E413" t="str">
        <f>CONCATENATE(E$2,": ",E$3,list1!E413,"]")</f>
        <v xml:space="preserve"> (Сплит система) Инвентор: S[да]</v>
      </c>
      <c r="F413" t="str">
        <f>CONCATENATE(F$2,": ",F$3,list1!F413,"]")</f>
        <v xml:space="preserve"> (Сплит система) Теплопроизводительность: N[17]</v>
      </c>
      <c r="G413" t="str">
        <f>CONCATENATE(G$2,": ",G$3,list1!G413,"]")</f>
        <v xml:space="preserve"> (Потребляемая мощность) Охлаждение: N[5.2]</v>
      </c>
      <c r="H413" t="str">
        <f>CONCATENATE(H$2,": ",H$3,list1!H413,"]")</f>
        <v xml:space="preserve"> (Потребляемая мощность) Обогрев: S[4.8]</v>
      </c>
      <c r="I413" t="str">
        <f>CONCATENATE(I$2,": ",I$3,list1!I413,"]")</f>
        <v xml:space="preserve"> (Рабочий ток) Охлаждение: S[]</v>
      </c>
      <c r="J413" t="str">
        <f>CONCATENATE(J$2,": ",J$3,list1!J413,"]")</f>
        <v xml:space="preserve"> (Рабочий ток) Обогрев: S[]</v>
      </c>
      <c r="K413" t="str">
        <f>CONCATENATE(K$2,": ",K$3,list1!K413,"]")</f>
        <v xml:space="preserve"> (Рабочий ток) Напряжение / Частота источника питания: S[3 / 380 / 50]</v>
      </c>
      <c r="L413" t="str">
        <f>CONCATENATE(L$2,": ",L$3,list1!L413,"]")</f>
        <v xml:space="preserve"> (Рабочий ток) Хладагент: S[R410A]</v>
      </c>
      <c r="M413" t="str">
        <f>CONCATENATE(M$2,": ",M$3,list1!M413,"]")</f>
        <v xml:space="preserve"> (Рабочий ток) Количество хладагента: N[]</v>
      </c>
      <c r="N413" t="str">
        <f>CONCATENATE(N$2,": ",N$3,list1!N413,"]")</f>
        <v xml:space="preserve"> (Рабочий ток) Объем рециркулируемого воздуха внутреннего блока: S[]</v>
      </c>
      <c r="O413" t="str">
        <f>CONCATENATE(O$2,": ",O$3,list1!O413,"]")</f>
        <v xml:space="preserve"> (Внутренний блок) Размеры (Ш x Г x В): S[1570 х 665 х 235]</v>
      </c>
      <c r="P413" t="str">
        <f>CONCATENATE(P$2,": ",P$3,list1!P413,"]")</f>
        <v xml:space="preserve"> (Внутренний блок) Упаковка (Ш x Г x В): S[1729 х 300 х 770]</v>
      </c>
      <c r="Q413" t="str">
        <f>CONCATENATE(Q$2,": ",Q$3,list1!Q413,"]")</f>
        <v xml:space="preserve"> (Внутренний блок) Масса (нетто / брутто): S[42 / 49]</v>
      </c>
      <c r="R413" t="str">
        <f>CONCATENATE(R$2,": ",R$3,list1!R413,"]")</f>
        <v xml:space="preserve"> (Внутренний блок) Уровень шума мин. / макс.: S[45/49/53/54]</v>
      </c>
      <c r="S413" t="str">
        <f>CONCATENATE(S$2,": ",S$3,list1!S413,"]")</f>
        <v xml:space="preserve"> (Наружный блок) Марка компрессора: S[Gree]</v>
      </c>
      <c r="T413" t="str">
        <f>CONCATENATE(T$2,": ",T$3,list1!T413,"]")</f>
        <v xml:space="preserve"> (Наружный блок) Размеры (Ш x Г x В): S[940 х 460 х 820]</v>
      </c>
      <c r="U413" t="str">
        <f>CONCATENATE(U$2,": ",U$3,list1!U413,"]")</f>
        <v xml:space="preserve"> (Наружный блок) Упаковка (Ш x Г x В): S[1083 х 573 х 973]</v>
      </c>
      <c r="V413" t="str">
        <f>CONCATENATE(V$2,": ",V$3,list1!V413,"]")</f>
        <v xml:space="preserve"> (Наружный блок) Масса (нетто / брутто): S[100/112]</v>
      </c>
      <c r="W413" t="str">
        <f>CONCATENATE(W$2,": ",W$3,list1!W413,"]")</f>
        <v xml:space="preserve"> (Наружный блок) Максимальный уровень шума: N[]</v>
      </c>
      <c r="X413" t="str">
        <f>CONCATENATE(X$2,": ",X$3,list1!X413,"]")</f>
        <v xml:space="preserve"> (Соединительные трубы) Жидкостная линия : N[9.52]</v>
      </c>
      <c r="Y413" t="str">
        <f>CONCATENATE(Y$2,": ",Y$3,list1!Y413,"]")</f>
        <v xml:space="preserve"> (Соединительные трубы) Газовая линия : N[15.87]</v>
      </c>
      <c r="Z413" t="str">
        <f>CONCATENATE(Z$2,": ",Z$3,list1!Z413,"]")</f>
        <v xml:space="preserve"> (Соединительные трубы) Максимальная длина трубопровода: N[75]</v>
      </c>
      <c r="AA413" t="str">
        <f>CONCATENATE(AA$2,": ",AA$3,list1!AA413,"]")</f>
        <v xml:space="preserve"> (Соединительные трубы) Максимальный перепад высот: S[30]</v>
      </c>
      <c r="AB413" t="str">
        <f>CONCATENATE(AB$2,": ",AB$3,list1!AB413,"]")</f>
        <v xml:space="preserve"> (Допустимая темп. наружного воздуха) Охлаждение: S[от -15 до +48]</v>
      </c>
      <c r="AC413" t="str">
        <f>CONCATENATE(AC$2,": ",AC$3,list1!AC413,"]")</f>
        <v xml:space="preserve"> (Допустимая темп. наружного воздуха) Обогрев: S[от -15 до +24]</v>
      </c>
      <c r="AD413" s="6" t="s">
        <v>5245</v>
      </c>
    </row>
    <row r="414" spans="1:30" x14ac:dyDescent="0.25">
      <c r="A414" t="str">
        <f>CONCATENATE(A$2,": ",A$3,list1!A414,"]")</f>
        <v>Производитель: E[TOSOT]</v>
      </c>
      <c r="B414" t="str">
        <f>CONCATENATE(B$2,": ",B$3,list1!B414,"]")</f>
        <v xml:space="preserve"> Тип: S[Канальные]</v>
      </c>
      <c r="C414" t="str">
        <f>CONCATENATE(C$2,": ",C$3,list1!C414,"]")</f>
        <v xml:space="preserve"> (Сплит система) Холодопроизводительность: N[12]</v>
      </c>
      <c r="D414" t="str">
        <f>CONCATENATE(D$2,": ",D$3,list1!D414,"]")</f>
        <v xml:space="preserve"> (Сплит система) Площадь помещения: N[120]</v>
      </c>
      <c r="E414" t="str">
        <f>CONCATENATE(E$2,": ",E$3,list1!E414,"]")</f>
        <v xml:space="preserve"> (Сплит система) Инвентор: S[нет]</v>
      </c>
      <c r="F414" t="str">
        <f>CONCATENATE(F$2,": ",F$3,list1!F414,"]")</f>
        <v xml:space="preserve"> (Сплит система) Теплопроизводительность: N[14.8]</v>
      </c>
      <c r="G414" t="str">
        <f>CONCATENATE(G$2,": ",G$3,list1!G414,"]")</f>
        <v xml:space="preserve"> (Потребляемая мощность) Охлаждение: N[4.2]</v>
      </c>
      <c r="H414" t="str">
        <f>CONCATENATE(H$2,": ",H$3,list1!H414,"]")</f>
        <v xml:space="preserve"> (Потребляемая мощность) Обогрев: S[4.2]</v>
      </c>
      <c r="I414" t="str">
        <f>CONCATENATE(I$2,": ",I$3,list1!I414,"]")</f>
        <v xml:space="preserve"> (Рабочий ток) Охлаждение: S[]</v>
      </c>
      <c r="J414" t="str">
        <f>CONCATENATE(J$2,": ",J$3,list1!J414,"]")</f>
        <v xml:space="preserve"> (Рабочий ток) Обогрев: S[]</v>
      </c>
      <c r="K414" t="str">
        <f>CONCATENATE(K$2,": ",K$3,list1!K414,"]")</f>
        <v xml:space="preserve"> (Рабочий ток) Напряжение / Частота источника питания: S[3 / 380 / 50]</v>
      </c>
      <c r="L414" t="str">
        <f>CONCATENATE(L$2,": ",L$3,list1!L414,"]")</f>
        <v xml:space="preserve"> (Рабочий ток) Хладагент: S[R410A]</v>
      </c>
      <c r="M414" t="str">
        <f>CONCATENATE(M$2,": ",M$3,list1!M414,"]")</f>
        <v xml:space="preserve"> (Рабочий ток) Количество хладагента: N[]</v>
      </c>
      <c r="N414" t="str">
        <f>CONCATENATE(N$2,": ",N$3,list1!N414,"]")</f>
        <v xml:space="preserve"> (Рабочий ток) Объем рециркулируемого воздуха внутреннего блока: S[]</v>
      </c>
      <c r="O414" t="str">
        <f>CONCATENATE(O$2,": ",O$3,list1!O414,"]")</f>
        <v xml:space="preserve"> (Внутренний блок) Размеры (Ш x Г x В): S[]</v>
      </c>
      <c r="P414" t="str">
        <f>CONCATENATE(P$2,": ",P$3,list1!P414,"]")</f>
        <v xml:space="preserve"> (Внутренний блок) Упаковка (Ш x Г x В): S[]</v>
      </c>
      <c r="Q414" t="str">
        <f>CONCATENATE(Q$2,": ",Q$3,list1!Q414,"]")</f>
        <v xml:space="preserve"> (Внутренний блок) Масса (нетто / брутто): S[]</v>
      </c>
      <c r="R414" t="str">
        <f>CONCATENATE(R$2,": ",R$3,list1!R414,"]")</f>
        <v xml:space="preserve"> (Внутренний блок) Уровень шума мин. / макс.: S[]</v>
      </c>
      <c r="S414" t="str">
        <f>CONCATENATE(S$2,": ",S$3,list1!S414,"]")</f>
        <v xml:space="preserve"> (Наружный блок) Марка компрессора: S[Gree]</v>
      </c>
      <c r="T414" t="str">
        <f>CONCATENATE(T$2,": ",T$3,list1!T414,"]")</f>
        <v xml:space="preserve"> (Наружный блок) Размеры (Ш x Г x В): S[]</v>
      </c>
      <c r="U414" t="str">
        <f>CONCATENATE(U$2,": ",U$3,list1!U414,"]")</f>
        <v xml:space="preserve"> (Наружный блок) Упаковка (Ш x Г x В): S[]</v>
      </c>
      <c r="V414" t="str">
        <f>CONCATENATE(V$2,": ",V$3,list1!V414,"]")</f>
        <v xml:space="preserve"> (Наружный блок) Масса (нетто / брутто): S[]</v>
      </c>
      <c r="W414" t="str">
        <f>CONCATENATE(W$2,": ",W$3,list1!W414,"]")</f>
        <v xml:space="preserve"> (Наружный блок) Максимальный уровень шума: N[]</v>
      </c>
      <c r="X414" t="str">
        <f>CONCATENATE(X$2,": ",X$3,list1!X414,"]")</f>
        <v xml:space="preserve"> (Соединительные трубы) Жидкостная линия : N[9.52]</v>
      </c>
      <c r="Y414" t="str">
        <f>CONCATENATE(Y$2,": ",Y$3,list1!Y414,"]")</f>
        <v xml:space="preserve"> (Соединительные трубы) Газовая линия : N[15.8]</v>
      </c>
      <c r="Z414" t="str">
        <f>CONCATENATE(Z$2,": ",Z$3,list1!Z414,"]")</f>
        <v xml:space="preserve"> (Соединительные трубы) Максимальная длина трубопровода: N[50]</v>
      </c>
      <c r="AA414" t="str">
        <f>CONCATENATE(AA$2,": ",AA$3,list1!AA414,"]")</f>
        <v xml:space="preserve"> (Соединительные трубы) Максимальный перепад высот: S[30]</v>
      </c>
      <c r="AB414" t="str">
        <f>CONCATENATE(AB$2,": ",AB$3,list1!AB414,"]")</f>
        <v xml:space="preserve"> (Допустимая темп. наружного воздуха) Охлаждение: S[от -15 до +48]</v>
      </c>
      <c r="AC414" t="str">
        <f>CONCATENATE(AC$2,": ",AC$3,list1!AC414,"]")</f>
        <v xml:space="preserve"> (Допустимая темп. наружного воздуха) Обогрев: S[от -15 до +24]</v>
      </c>
      <c r="AD414" s="6" t="s">
        <v>5173</v>
      </c>
    </row>
    <row r="415" spans="1:30" x14ac:dyDescent="0.25">
      <c r="A415" t="str">
        <f>CONCATENATE(A$2,": ",A$3,list1!A415,"]")</f>
        <v>Производитель: E[TOSOT]</v>
      </c>
      <c r="B415" t="str">
        <f>CONCATENATE(B$2,": ",B$3,list1!B415,"]")</f>
        <v xml:space="preserve"> Тип: S[Канальные]</v>
      </c>
      <c r="C415" t="str">
        <f>CONCATENATE(C$2,": ",C$3,list1!C415,"]")</f>
        <v xml:space="preserve"> (Сплит система) Холодопроизводительность: N[7]</v>
      </c>
      <c r="D415" t="str">
        <f>CONCATENATE(D$2,": ",D$3,list1!D415,"]")</f>
        <v xml:space="preserve"> (Сплит система) Площадь помещения: N[70]</v>
      </c>
      <c r="E415" t="str">
        <f>CONCATENATE(E$2,": ",E$3,list1!E415,"]")</f>
        <v xml:space="preserve"> (Сплит система) Инвентор: S[нет]</v>
      </c>
      <c r="F415" t="str">
        <f>CONCATENATE(F$2,": ",F$3,list1!F415,"]")</f>
        <v xml:space="preserve"> (Сплит система) Теплопроизводительность: N[7.4]</v>
      </c>
      <c r="G415" t="str">
        <f>CONCATENATE(G$2,": ",G$3,list1!G415,"]")</f>
        <v xml:space="preserve"> (Потребляемая мощность) Охлаждение: N[2.5]</v>
      </c>
      <c r="H415" t="str">
        <f>CONCATENATE(H$2,": ",H$3,list1!H415,"]")</f>
        <v xml:space="preserve"> (Потребляемая мощность) Обогрев: S[2.3]</v>
      </c>
      <c r="I415" t="str">
        <f>CONCATENATE(I$2,": ",I$3,list1!I415,"]")</f>
        <v xml:space="preserve"> (Рабочий ток) Охлаждение: S[]</v>
      </c>
      <c r="J415" t="str">
        <f>CONCATENATE(J$2,": ",J$3,list1!J415,"]")</f>
        <v xml:space="preserve"> (Рабочий ток) Обогрев: S[]</v>
      </c>
      <c r="K415" t="str">
        <f>CONCATENATE(K$2,": ",K$3,list1!K415,"]")</f>
        <v xml:space="preserve"> (Рабочий ток) Напряжение / Частота источника питания: S[1 / 220 / 50]</v>
      </c>
      <c r="L415" t="str">
        <f>CONCATENATE(L$2,": ",L$3,list1!L415,"]")</f>
        <v xml:space="preserve"> (Рабочий ток) Хладагент: S[R410A]</v>
      </c>
      <c r="M415" t="str">
        <f>CONCATENATE(M$2,": ",M$3,list1!M415,"]")</f>
        <v xml:space="preserve"> (Рабочий ток) Количество хладагента: N[]</v>
      </c>
      <c r="N415" t="str">
        <f>CONCATENATE(N$2,": ",N$3,list1!N415,"]")</f>
        <v xml:space="preserve"> (Рабочий ток) Объем рециркулируемого воздуха внутреннего блока: S[]</v>
      </c>
      <c r="O415" t="str">
        <f>CONCATENATE(O$2,": ",O$3,list1!O415,"]")</f>
        <v xml:space="preserve"> (Внутренний блок) Размеры (Ш x Г x В): S[1260 х 270 х 555]</v>
      </c>
      <c r="P415" t="str">
        <f>CONCATENATE(P$2,": ",P$3,list1!P415,"]")</f>
        <v xml:space="preserve"> (Внутренний блок) Упаковка (Ш x Г x В): S[1348 х 597 х 283]</v>
      </c>
      <c r="Q415" t="str">
        <f>CONCATENATE(Q$2,": ",Q$3,list1!Q415,"]")</f>
        <v xml:space="preserve"> (Внутренний блок) Масса (нетто / брутто): S[33 / 38]</v>
      </c>
      <c r="R415" t="str">
        <f>CONCATENATE(R$2,": ",R$3,list1!R415,"]")</f>
        <v xml:space="preserve"> (Внутренний блок) Уровень шума мин. / макс.: S[43/38/34/32]</v>
      </c>
      <c r="S415" t="str">
        <f>CONCATENATE(S$2,": ",S$3,list1!S415,"]")</f>
        <v xml:space="preserve"> (Наружный блок) Марка компрессора: S[Gree]</v>
      </c>
      <c r="T415" t="str">
        <f>CONCATENATE(T$2,": ",T$3,list1!T415,"]")</f>
        <v xml:space="preserve"> (Наружный блок) Размеры (Ш x Г x В): S[]</v>
      </c>
      <c r="U415" t="str">
        <f>CONCATENATE(U$2,": ",U$3,list1!U415,"]")</f>
        <v xml:space="preserve"> (Наружный блок) Упаковка (Ш x Г x В): S[]</v>
      </c>
      <c r="V415" t="str">
        <f>CONCATENATE(V$2,": ",V$3,list1!V415,"]")</f>
        <v xml:space="preserve"> (Наружный блок) Масса (нетто / брутто): S[]</v>
      </c>
      <c r="W415" t="str">
        <f>CONCATENATE(W$2,": ",W$3,list1!W415,"]")</f>
        <v xml:space="preserve"> (Наружный блок) Максимальный уровень шума: N[]</v>
      </c>
      <c r="X415" t="str">
        <f>CONCATENATE(X$2,": ",X$3,list1!X415,"]")</f>
        <v xml:space="preserve"> (Соединительные трубы) Жидкостная линия : N[9.52]</v>
      </c>
      <c r="Y415" t="str">
        <f>CONCATENATE(Y$2,": ",Y$3,list1!Y415,"]")</f>
        <v xml:space="preserve"> (Соединительные трубы) Газовая линия : N[15.8]</v>
      </c>
      <c r="Z415" t="str">
        <f>CONCATENATE(Z$2,": ",Z$3,list1!Z415,"]")</f>
        <v xml:space="preserve"> (Соединительные трубы) Максимальная длина трубопровода: N[30]</v>
      </c>
      <c r="AA415" t="str">
        <f>CONCATENATE(AA$2,": ",AA$3,list1!AA415,"]")</f>
        <v xml:space="preserve"> (Соединительные трубы) Максимальный перепад высот: S[15]</v>
      </c>
      <c r="AB415" t="str">
        <f>CONCATENATE(AB$2,": ",AB$3,list1!AB415,"]")</f>
        <v xml:space="preserve"> (Допустимая темп. наружного воздуха) Охлаждение: S[от -15 до +43]</v>
      </c>
      <c r="AC415" t="str">
        <f>CONCATENATE(AC$2,": ",AC$3,list1!AC415,"]")</f>
        <v xml:space="preserve"> (Допустимая темп. наружного воздуха) Обогрев: S[от -15 до +24]</v>
      </c>
      <c r="AD415" s="6" t="s">
        <v>5245</v>
      </c>
    </row>
    <row r="416" spans="1:30" x14ac:dyDescent="0.25">
      <c r="A416" t="str">
        <f>CONCATENATE(A$2,": ",A$3,list1!A416,"]")</f>
        <v>Производитель: E[TOSOT]</v>
      </c>
      <c r="B416" t="str">
        <f>CONCATENATE(B$2,": ",B$3,list1!B416,"]")</f>
        <v xml:space="preserve"> Тип: S[Канальные]</v>
      </c>
      <c r="C416" t="str">
        <f>CONCATENATE(C$2,": ",C$3,list1!C416,"]")</f>
        <v xml:space="preserve"> (Сплит система) Холодопроизводительность: N[10.1]</v>
      </c>
      <c r="D416" t="str">
        <f>CONCATENATE(D$2,": ",D$3,list1!D416,"]")</f>
        <v xml:space="preserve"> (Сплит система) Площадь помещения: N[101]</v>
      </c>
      <c r="E416" t="str">
        <f>CONCATENATE(E$2,": ",E$3,list1!E416,"]")</f>
        <v xml:space="preserve"> (Сплит система) Инвентор: S[нет]</v>
      </c>
      <c r="F416" t="str">
        <f>CONCATENATE(F$2,": ",F$3,list1!F416,"]")</f>
        <v xml:space="preserve"> (Сплит система) Теплопроизводительность: N[12]</v>
      </c>
      <c r="G416" t="str">
        <f>CONCATENATE(G$2,": ",G$3,list1!G416,"]")</f>
        <v xml:space="preserve"> (Потребляемая мощность) Охлаждение: N[3.2]</v>
      </c>
      <c r="H416" t="str">
        <f>CONCATENATE(H$2,": ",H$3,list1!H416,"]")</f>
        <v xml:space="preserve"> (Потребляемая мощность) Обогрев: S[3.2]</v>
      </c>
      <c r="I416" t="str">
        <f>CONCATENATE(I$2,": ",I$3,list1!I416,"]")</f>
        <v xml:space="preserve"> (Рабочий ток) Охлаждение: S[]</v>
      </c>
      <c r="J416" t="str">
        <f>CONCATENATE(J$2,": ",J$3,list1!J416,"]")</f>
        <v xml:space="preserve"> (Рабочий ток) Обогрев: S[]</v>
      </c>
      <c r="K416" t="str">
        <f>CONCATENATE(K$2,": ",K$3,list1!K416,"]")</f>
        <v xml:space="preserve"> (Рабочий ток) Напряжение / Частота источника питания: S[3 / 380 / 50]</v>
      </c>
      <c r="L416" t="str">
        <f>CONCATENATE(L$2,": ",L$3,list1!L416,"]")</f>
        <v xml:space="preserve"> (Рабочий ток) Хладагент: S[R410A]</v>
      </c>
      <c r="M416" t="str">
        <f>CONCATENATE(M$2,": ",M$3,list1!M416,"]")</f>
        <v xml:space="preserve"> (Рабочий ток) Количество хладагента: N[]</v>
      </c>
      <c r="N416" t="str">
        <f>CONCATENATE(N$2,": ",N$3,list1!N416,"]")</f>
        <v xml:space="preserve"> (Рабочий ток) Объем рециркулируемого воздуха внутреннего блока: S[]</v>
      </c>
      <c r="O416" t="str">
        <f>CONCATENATE(O$2,": ",O$3,list1!O416,"]")</f>
        <v xml:space="preserve"> (Внутренний блок) Размеры (Ш x Г x В): S[700 х 300 х 1000]</v>
      </c>
      <c r="P416" t="str">
        <f>CONCATENATE(P$2,": ",P$3,list1!P416,"]")</f>
        <v xml:space="preserve"> (Внутренний блок) Упаковка (Ш x Г x В): S[813 х 1205 х 360]</v>
      </c>
      <c r="Q416" t="str">
        <f>CONCATENATE(Q$2,": ",Q$3,list1!Q416,"]")</f>
        <v xml:space="preserve"> (Внутренний блок) Масса (нетто / брутто): S[41 / 47]</v>
      </c>
      <c r="R416" t="str">
        <f>CONCATENATE(R$2,": ",R$3,list1!R416,"]")</f>
        <v xml:space="preserve"> (Внутренний блок) Уровень шума мин. / макс.: S[35/38/42/44]</v>
      </c>
      <c r="S416" t="str">
        <f>CONCATENATE(S$2,": ",S$3,list1!S416,"]")</f>
        <v xml:space="preserve"> (Наружный блок) Марка компрессора: S[Gree]</v>
      </c>
      <c r="T416" t="str">
        <f>CONCATENATE(T$2,": ",T$3,list1!T416,"]")</f>
        <v xml:space="preserve"> (Наружный блок) Размеры (Ш x Г x В): S[]</v>
      </c>
      <c r="U416" t="str">
        <f>CONCATENATE(U$2,": ",U$3,list1!U416,"]")</f>
        <v xml:space="preserve"> (Наружный блок) Упаковка (Ш x Г x В): S[]</v>
      </c>
      <c r="V416" t="str">
        <f>CONCATENATE(V$2,": ",V$3,list1!V416,"]")</f>
        <v xml:space="preserve"> (Наружный блок) Масса (нетто / брутто): S[]</v>
      </c>
      <c r="W416" t="str">
        <f>CONCATENATE(W$2,": ",W$3,list1!W416,"]")</f>
        <v xml:space="preserve"> (Наружный блок) Максимальный уровень шума: N[]</v>
      </c>
      <c r="X416" t="str">
        <f>CONCATENATE(X$2,": ",X$3,list1!X416,"]")</f>
        <v xml:space="preserve"> (Соединительные трубы) Жидкостная линия : N[9.52]</v>
      </c>
      <c r="Y416" t="str">
        <f>CONCATENATE(Y$2,": ",Y$3,list1!Y416,"]")</f>
        <v xml:space="preserve"> (Соединительные трубы) Газовая линия : N[15.88]</v>
      </c>
      <c r="Z416" t="str">
        <f>CONCATENATE(Z$2,": ",Z$3,list1!Z416,"]")</f>
        <v xml:space="preserve"> (Соединительные трубы) Максимальная длина трубопровода: N[30]</v>
      </c>
      <c r="AA416" t="str">
        <f>CONCATENATE(AA$2,": ",AA$3,list1!AA416,"]")</f>
        <v xml:space="preserve"> (Соединительные трубы) Максимальный перепад высот: S[20]</v>
      </c>
      <c r="AB416" t="str">
        <f>CONCATENATE(AB$2,": ",AB$3,list1!AB416,"]")</f>
        <v xml:space="preserve"> (Допустимая темп. наружного воздуха) Охлаждение: S[от -15 до +48]</v>
      </c>
      <c r="AC416" t="str">
        <f>CONCATENATE(AC$2,": ",AC$3,list1!AC416,"]")</f>
        <v xml:space="preserve"> (Допустимая темп. наружного воздуха) Обогрев: S[от 15 до +24]</v>
      </c>
      <c r="AD416" s="6" t="s">
        <v>5245</v>
      </c>
    </row>
    <row r="417" spans="1:30" x14ac:dyDescent="0.25">
      <c r="A417" t="str">
        <f>CONCATENATE(A$2,": ",A$3,list1!A417,"]")</f>
        <v>Производитель: E[TOSOT]</v>
      </c>
      <c r="B417" t="str">
        <f>CONCATENATE(B$2,": ",B$3,list1!B417,"]")</f>
        <v xml:space="preserve"> Тип: S[Канальные]</v>
      </c>
      <c r="C417" t="str">
        <f>CONCATENATE(C$2,": ",C$3,list1!C417,"]")</f>
        <v xml:space="preserve"> (Сплит система) Холодопроизводительность: N[12]</v>
      </c>
      <c r="D417" t="str">
        <f>CONCATENATE(D$2,": ",D$3,list1!D417,"]")</f>
        <v xml:space="preserve"> (Сплит система) Площадь помещения: N[120]</v>
      </c>
      <c r="E417" t="str">
        <f>CONCATENATE(E$2,": ",E$3,list1!E417,"]")</f>
        <v xml:space="preserve"> (Сплит система) Инвентор: S[нет]</v>
      </c>
      <c r="F417" t="str">
        <f>CONCATENATE(F$2,": ",F$3,list1!F417,"]")</f>
        <v xml:space="preserve"> (Сплит система) Теплопроизводительность: N[13.5]</v>
      </c>
      <c r="G417" t="str">
        <f>CONCATENATE(G$2,": ",G$3,list1!G417,"]")</f>
        <v xml:space="preserve"> (Потребляемая мощность) Охлаждение: N[4.4]</v>
      </c>
      <c r="H417" t="str">
        <f>CONCATENATE(H$2,": ",H$3,list1!H417,"]")</f>
        <v xml:space="preserve"> (Потребляемая мощность) Обогрев: S[4.05]</v>
      </c>
      <c r="I417" t="str">
        <f>CONCATENATE(I$2,": ",I$3,list1!I417,"]")</f>
        <v xml:space="preserve"> (Рабочий ток) Охлаждение: S[]</v>
      </c>
      <c r="J417" t="str">
        <f>CONCATENATE(J$2,": ",J$3,list1!J417,"]")</f>
        <v xml:space="preserve"> (Рабочий ток) Обогрев: S[]</v>
      </c>
      <c r="K417" t="str">
        <f>CONCATENATE(K$2,": ",K$3,list1!K417,"]")</f>
        <v xml:space="preserve"> (Рабочий ток) Напряжение / Частота источника питания: S[3 / 380 / 50]</v>
      </c>
      <c r="L417" t="str">
        <f>CONCATENATE(L$2,": ",L$3,list1!L417,"]")</f>
        <v xml:space="preserve"> (Рабочий ток) Хладагент: S[R410A]</v>
      </c>
      <c r="M417" t="str">
        <f>CONCATENATE(M$2,": ",M$3,list1!M417,"]")</f>
        <v xml:space="preserve"> (Рабочий ток) Количество хладагента: N[]</v>
      </c>
      <c r="N417" t="str">
        <f>CONCATENATE(N$2,": ",N$3,list1!N417,"]")</f>
        <v xml:space="preserve"> (Рабочий ток) Объем рециркулируемого воздуха внутреннего блока: S[]</v>
      </c>
      <c r="O417" t="str">
        <f>CONCATENATE(O$2,": ",O$3,list1!O417,"]")</f>
        <v xml:space="preserve"> (Внутренний блок) Размеры (Ш x Г x В): S[1230 х 290 х 790]</v>
      </c>
      <c r="P417" t="str">
        <f>CONCATENATE(P$2,": ",P$3,list1!P417,"]")</f>
        <v xml:space="preserve"> (Внутренний блок) Упаковка (Ш x Г x В): S[1338 х 837 х 305]</v>
      </c>
      <c r="Q417" t="str">
        <f>CONCATENATE(Q$2,": ",Q$3,list1!Q417,"]")</f>
        <v xml:space="preserve"> (Внутренний блок) Масса (нетто / брутто): S[47 / 53]</v>
      </c>
      <c r="R417" t="str">
        <f>CONCATENATE(R$2,": ",R$3,list1!R417,"]")</f>
        <v xml:space="preserve"> (Внутренний блок) Уровень шума мин. / макс.: S[51/48/46/44]</v>
      </c>
      <c r="S417" t="str">
        <f>CONCATENATE(S$2,": ",S$3,list1!S417,"]")</f>
        <v xml:space="preserve"> (Наружный блок) Марка компрессора: S[HITACHI]</v>
      </c>
      <c r="T417" t="str">
        <f>CONCATENATE(T$2,": ",T$3,list1!T417,"]")</f>
        <v xml:space="preserve"> (Наружный блок) Размеры (Ш x Г x В): S[]</v>
      </c>
      <c r="U417" t="str">
        <f>CONCATENATE(U$2,": ",U$3,list1!U417,"]")</f>
        <v xml:space="preserve"> (Наружный блок) Упаковка (Ш x Г x В): S[]</v>
      </c>
      <c r="V417" t="str">
        <f>CONCATENATE(V$2,": ",V$3,list1!V417,"]")</f>
        <v xml:space="preserve"> (Наружный блок) Масса (нетто / брутто): S[]</v>
      </c>
      <c r="W417" t="str">
        <f>CONCATENATE(W$2,": ",W$3,list1!W417,"]")</f>
        <v xml:space="preserve"> (Наружный блок) Максимальный уровень шума: N[]</v>
      </c>
      <c r="X417" t="str">
        <f>CONCATENATE(X$2,": ",X$3,list1!X417,"]")</f>
        <v xml:space="preserve"> (Соединительные трубы) Жидкостная линия : N[12.7]</v>
      </c>
      <c r="Y417" t="str">
        <f>CONCATENATE(Y$2,": ",Y$3,list1!Y417,"]")</f>
        <v xml:space="preserve"> (Соединительные трубы) Газовая линия : N[19]</v>
      </c>
      <c r="Z417" t="str">
        <f>CONCATENATE(Z$2,": ",Z$3,list1!Z417,"]")</f>
        <v xml:space="preserve"> (Соединительные трубы) Максимальная длина трубопровода: N[50]</v>
      </c>
      <c r="AA417" t="str">
        <f>CONCATENATE(AA$2,": ",AA$3,list1!AA417,"]")</f>
        <v xml:space="preserve"> (Соединительные трубы) Максимальный перепад высот: S[30]</v>
      </c>
      <c r="AB417" t="str">
        <f>CONCATENATE(AB$2,": ",AB$3,list1!AB417,"]")</f>
        <v xml:space="preserve"> (Допустимая темп. наружного воздуха) Охлаждение: S[от -15 до +43]</v>
      </c>
      <c r="AC417" t="str">
        <f>CONCATENATE(AC$2,": ",AC$3,list1!AC417,"]")</f>
        <v xml:space="preserve"> (Допустимая темп. наружного воздуха) Обогрев: S[от -15 до +24]</v>
      </c>
      <c r="AD417" s="6" t="s">
        <v>5245</v>
      </c>
    </row>
    <row r="418" spans="1:30" x14ac:dyDescent="0.25">
      <c r="A418" t="str">
        <f>CONCATENATE(A$2,": ",A$3,list1!A418,"]")</f>
        <v>Производитель: E[TOSOT]</v>
      </c>
      <c r="B418" t="str">
        <f>CONCATENATE(B$2,": ",B$3,list1!B418,"]")</f>
        <v xml:space="preserve"> Тип: S[Канальные]</v>
      </c>
      <c r="C418" t="str">
        <f>CONCATENATE(C$2,": ",C$3,list1!C418,"]")</f>
        <v xml:space="preserve"> (Сплит система) Холодопроизводительность: N[14]</v>
      </c>
      <c r="D418" t="str">
        <f>CONCATENATE(D$2,": ",D$3,list1!D418,"]")</f>
        <v xml:space="preserve"> (Сплит система) Площадь помещения: N[140]</v>
      </c>
      <c r="E418" t="str">
        <f>CONCATENATE(E$2,": ",E$3,list1!E418,"]")</f>
        <v xml:space="preserve"> (Сплит система) Инвентор: S[нет]</v>
      </c>
      <c r="F418" t="str">
        <f>CONCATENATE(F$2,": ",F$3,list1!F418,"]")</f>
        <v xml:space="preserve"> (Сплит система) Теплопроизводительность: N[15]</v>
      </c>
      <c r="G418" t="str">
        <f>CONCATENATE(G$2,": ",G$3,list1!G418,"]")</f>
        <v xml:space="preserve"> (Потребляемая мощность) Охлаждение: N[5]</v>
      </c>
      <c r="H418" t="str">
        <f>CONCATENATE(H$2,": ",H$3,list1!H418,"]")</f>
        <v xml:space="preserve"> (Потребляемая мощность) Обогрев: S[4.7]</v>
      </c>
      <c r="I418" t="str">
        <f>CONCATENATE(I$2,": ",I$3,list1!I418,"]")</f>
        <v xml:space="preserve"> (Рабочий ток) Охлаждение: S[]</v>
      </c>
      <c r="J418" t="str">
        <f>CONCATENATE(J$2,": ",J$3,list1!J418,"]")</f>
        <v xml:space="preserve"> (Рабочий ток) Обогрев: S[]</v>
      </c>
      <c r="K418" t="str">
        <f>CONCATENATE(K$2,": ",K$3,list1!K418,"]")</f>
        <v xml:space="preserve"> (Рабочий ток) Напряжение / Частота источника питания: S[3 / 380 / 50]</v>
      </c>
      <c r="L418" t="str">
        <f>CONCATENATE(L$2,": ",L$3,list1!L418,"]")</f>
        <v xml:space="preserve"> (Рабочий ток) Хладагент: S[R410A]</v>
      </c>
      <c r="M418" t="str">
        <f>CONCATENATE(M$2,": ",M$3,list1!M418,"]")</f>
        <v xml:space="preserve"> (Рабочий ток) Количество хладагента: N[]</v>
      </c>
      <c r="N418" t="str">
        <f>CONCATENATE(N$2,": ",N$3,list1!N418,"]")</f>
        <v xml:space="preserve"> (Рабочий ток) Объем рециркулируемого воздуха внутреннего блока: S[]</v>
      </c>
      <c r="O418" t="str">
        <f>CONCATENATE(O$2,": ",O$3,list1!O418,"]")</f>
        <v xml:space="preserve"> (Внутренний блок) Размеры (Ш x Г x В): S[1230 х 290 х 790]</v>
      </c>
      <c r="P418" t="str">
        <f>CONCATENATE(P$2,": ",P$3,list1!P418,"]")</f>
        <v xml:space="preserve"> (Внутренний блок) Упаковка (Ш x Г x В): S[1338 х 837 х 305]</v>
      </c>
      <c r="Q418" t="str">
        <f>CONCATENATE(Q$2,": ",Q$3,list1!Q418,"]")</f>
        <v xml:space="preserve"> (Внутренний блок) Масса (нетто / брутто): S[53 / 59.83]</v>
      </c>
      <c r="R418" t="str">
        <f>CONCATENATE(R$2,": ",R$3,list1!R418,"]")</f>
        <v xml:space="preserve"> (Внутренний блок) Уровень шума мин. / макс.: S[]</v>
      </c>
      <c r="S418" t="str">
        <f>CONCATENATE(S$2,": ",S$3,list1!S418,"]")</f>
        <v xml:space="preserve"> (Наружный блок) Марка компрессора: S[SANYO]</v>
      </c>
      <c r="T418" t="str">
        <f>CONCATENATE(T$2,": ",T$3,list1!T418,"]")</f>
        <v xml:space="preserve"> (Наружный блок) Размеры (Ш x Г x В): S[]</v>
      </c>
      <c r="U418" t="str">
        <f>CONCATENATE(U$2,": ",U$3,list1!U418,"]")</f>
        <v xml:space="preserve"> (Наружный блок) Упаковка (Ш x Г x В): S[]</v>
      </c>
      <c r="V418" t="str">
        <f>CONCATENATE(V$2,": ",V$3,list1!V418,"]")</f>
        <v xml:space="preserve"> (Наружный блок) Масса (нетто / брутто): S[]</v>
      </c>
      <c r="W418" t="str">
        <f>CONCATENATE(W$2,": ",W$3,list1!W418,"]")</f>
        <v xml:space="preserve"> (Наружный блок) Максимальный уровень шума: N[]</v>
      </c>
      <c r="X418" t="str">
        <f>CONCATENATE(X$2,": ",X$3,list1!X418,"]")</f>
        <v xml:space="preserve"> (Соединительные трубы) Жидкостная линия : N[12.7]</v>
      </c>
      <c r="Y418" t="str">
        <f>CONCATENATE(Y$2,": ",Y$3,list1!Y418,"]")</f>
        <v xml:space="preserve"> (Соединительные трубы) Газовая линия : N[19]</v>
      </c>
      <c r="Z418" t="str">
        <f>CONCATENATE(Z$2,": ",Z$3,list1!Z418,"]")</f>
        <v xml:space="preserve"> (Соединительные трубы) Максимальная длина трубопровода: N[50]</v>
      </c>
      <c r="AA418" t="str">
        <f>CONCATENATE(AA$2,": ",AA$3,list1!AA418,"]")</f>
        <v xml:space="preserve"> (Соединительные трубы) Максимальный перепад высот: S[30]</v>
      </c>
      <c r="AB418" t="str">
        <f>CONCATENATE(AB$2,": ",AB$3,list1!AB418,"]")</f>
        <v xml:space="preserve"> (Допустимая темп. наружного воздуха) Охлаждение: S[от -15 до +43]</v>
      </c>
      <c r="AC418" t="str">
        <f>CONCATENATE(AC$2,": ",AC$3,list1!AC418,"]")</f>
        <v xml:space="preserve"> (Допустимая темп. наружного воздуха) Обогрев: S[от -15 до +24]</v>
      </c>
      <c r="AD418" s="6" t="s">
        <v>5245</v>
      </c>
    </row>
    <row r="419" spans="1:30" x14ac:dyDescent="0.25">
      <c r="A419" t="str">
        <f>CONCATENATE(A$2,": ",A$3,list1!A419,"]")</f>
        <v>Производитель: E[TOSOT]</v>
      </c>
      <c r="B419" t="str">
        <f>CONCATENATE(B$2,": ",B$3,list1!B419,"]")</f>
        <v xml:space="preserve"> Тип: S[Канальные]</v>
      </c>
      <c r="C419" t="str">
        <f>CONCATENATE(C$2,": ",C$3,list1!C419,"]")</f>
        <v xml:space="preserve"> (Сплит система) Холодопроизводительность: N[16]</v>
      </c>
      <c r="D419" t="str">
        <f>CONCATENATE(D$2,": ",D$3,list1!D419,"]")</f>
        <v xml:space="preserve"> (Сплит система) Площадь помещения: N[160]</v>
      </c>
      <c r="E419" t="str">
        <f>CONCATENATE(E$2,": ",E$3,list1!E419,"]")</f>
        <v xml:space="preserve"> (Сплит система) Инвентор: S[нет]</v>
      </c>
      <c r="F419" t="str">
        <f>CONCATENATE(F$2,": ",F$3,list1!F419,"]")</f>
        <v xml:space="preserve"> (Сплит система) Теплопроизводительность: N[19]</v>
      </c>
      <c r="G419" t="str">
        <f>CONCATENATE(G$2,": ",G$3,list1!G419,"]")</f>
        <v xml:space="preserve"> (Потребляемая мощность) Охлаждение: N[4.3]</v>
      </c>
      <c r="H419" t="str">
        <f>CONCATENATE(H$2,": ",H$3,list1!H419,"]")</f>
        <v xml:space="preserve"> (Потребляемая мощность) Обогрев: S[5.4]</v>
      </c>
      <c r="I419" t="str">
        <f>CONCATENATE(I$2,": ",I$3,list1!I419,"]")</f>
        <v xml:space="preserve"> (Рабочий ток) Охлаждение: S[]</v>
      </c>
      <c r="J419" t="str">
        <f>CONCATENATE(J$2,": ",J$3,list1!J419,"]")</f>
        <v xml:space="preserve"> (Рабочий ток) Обогрев: S[]</v>
      </c>
      <c r="K419" t="str">
        <f>CONCATENATE(K$2,": ",K$3,list1!K419,"]")</f>
        <v xml:space="preserve"> (Рабочий ток) Напряжение / Частота источника питания: S[3 / 380 / 50]</v>
      </c>
      <c r="L419" t="str">
        <f>CONCATENATE(L$2,": ",L$3,list1!L419,"]")</f>
        <v xml:space="preserve"> (Рабочий ток) Хладагент: S[R410A]</v>
      </c>
      <c r="M419" t="str">
        <f>CONCATENATE(M$2,": ",M$3,list1!M419,"]")</f>
        <v xml:space="preserve"> (Рабочий ток) Количество хладагента: N[]</v>
      </c>
      <c r="N419" t="str">
        <f>CONCATENATE(N$2,": ",N$3,list1!N419,"]")</f>
        <v xml:space="preserve"> (Рабочий ток) Объем рециркулируемого воздуха внутреннего блока: S[]</v>
      </c>
      <c r="O419" t="str">
        <f>CONCATENATE(O$2,": ",O$3,list1!O419,"]")</f>
        <v xml:space="preserve"> (Внутренний блок) Размеры (Ш x Г x В): S[700 х 300 х 1400]</v>
      </c>
      <c r="P419" t="str">
        <f>CONCATENATE(P$2,": ",P$3,list1!P419,"]")</f>
        <v xml:space="preserve"> (Внутренний блок) Упаковка (Ш x Г x В): S[813 х 1601 х 365]</v>
      </c>
      <c r="Q419" t="str">
        <f>CONCATENATE(Q$2,": ",Q$3,list1!Q419,"]")</f>
        <v xml:space="preserve"> (Внутренний блок) Масса (нетто / брутто): S[55 / 62]</v>
      </c>
      <c r="R419" t="str">
        <f>CONCATENATE(R$2,": ",R$3,list1!R419,"]")</f>
        <v xml:space="preserve"> (Внутренний блок) Уровень шума мин. / макс.: S[37/40/45/47]</v>
      </c>
      <c r="S419" t="str">
        <f>CONCATENATE(S$2,": ",S$3,list1!S419,"]")</f>
        <v xml:space="preserve"> (Наружный блок) Марка компрессора: S[Gree]</v>
      </c>
      <c r="T419" t="str">
        <f>CONCATENATE(T$2,": ",T$3,list1!T419,"]")</f>
        <v xml:space="preserve"> (Наружный блок) Размеры (Ш x Г x В): S[]</v>
      </c>
      <c r="U419" t="str">
        <f>CONCATENATE(U$2,": ",U$3,list1!U419,"]")</f>
        <v xml:space="preserve"> (Наружный блок) Упаковка (Ш x Г x В): S[]</v>
      </c>
      <c r="V419" t="str">
        <f>CONCATENATE(V$2,": ",V$3,list1!V419,"]")</f>
        <v xml:space="preserve"> (Наружный блок) Масса (нетто / брутто): S[]</v>
      </c>
      <c r="W419" t="str">
        <f>CONCATENATE(W$2,": ",W$3,list1!W419,"]")</f>
        <v xml:space="preserve"> (Наружный блок) Максимальный уровень шума: N[]</v>
      </c>
      <c r="X419" t="str">
        <f>CONCATENATE(X$2,": ",X$3,list1!X419,"]")</f>
        <v xml:space="preserve"> (Соединительные трубы) Жидкостная линия : N[9.52]</v>
      </c>
      <c r="Y419" t="str">
        <f>CONCATENATE(Y$2,": ",Y$3,list1!Y419,"]")</f>
        <v xml:space="preserve"> (Соединительные трубы) Газовая линия : N[15.88]</v>
      </c>
      <c r="Z419" t="str">
        <f>CONCATENATE(Z$2,": ",Z$3,list1!Z419,"]")</f>
        <v xml:space="preserve"> (Соединительные трубы) Максимальная длина трубопровода: N[50]</v>
      </c>
      <c r="AA419" t="str">
        <f>CONCATENATE(AA$2,": ",AA$3,list1!AA419,"]")</f>
        <v xml:space="preserve"> (Соединительные трубы) Максимальный перепад высот: S[30]</v>
      </c>
      <c r="AB419" t="str">
        <f>CONCATENATE(AB$2,": ",AB$3,list1!AB419,"]")</f>
        <v xml:space="preserve"> (Допустимая темп. наружного воздуха) Охлаждение: S[от -15 до +48]</v>
      </c>
      <c r="AC419" t="str">
        <f>CONCATENATE(AC$2,": ",AC$3,list1!AC419,"]")</f>
        <v xml:space="preserve"> (Допустимая темп. наружного воздуха) Обогрев: S[от -15 до +24]</v>
      </c>
      <c r="AD419" s="6" t="s">
        <v>5245</v>
      </c>
    </row>
    <row r="420" spans="1:30" x14ac:dyDescent="0.25">
      <c r="A420" t="str">
        <f>CONCATENATE(A$2,": ",A$3,list1!A420,"]")</f>
        <v>Производитель: E[TOSOT]</v>
      </c>
      <c r="B420" t="str">
        <f>CONCATENATE(B$2,": ",B$3,list1!B420,"]")</f>
        <v xml:space="preserve"> Тип: S[Канальные]</v>
      </c>
      <c r="C420" t="str">
        <f>CONCATENATE(C$2,": ",C$3,list1!C420,"]")</f>
        <v xml:space="preserve"> (Сплит система) Холодопроизводительность: N[8.3]</v>
      </c>
      <c r="D420" t="str">
        <f>CONCATENATE(D$2,": ",D$3,list1!D420,"]")</f>
        <v xml:space="preserve"> (Сплит система) Площадь помещения: N[83]</v>
      </c>
      <c r="E420" t="str">
        <f>CONCATENATE(E$2,": ",E$3,list1!E420,"]")</f>
        <v xml:space="preserve"> (Сплит система) Инвентор: S[нет]</v>
      </c>
      <c r="F420" t="str">
        <f>CONCATENATE(F$2,": ",F$3,list1!F420,"]")</f>
        <v xml:space="preserve"> (Сплит система) Теплопроизводительность: N[8.8]</v>
      </c>
      <c r="G420" t="str">
        <f>CONCATENATE(G$2,": ",G$3,list1!G420,"]")</f>
        <v xml:space="preserve"> (Потребляемая мощность) Охлаждение: N[2.8]</v>
      </c>
      <c r="H420" t="str">
        <f>CONCATENATE(H$2,": ",H$3,list1!H420,"]")</f>
        <v xml:space="preserve"> (Потребляемая мощность) Обогрев: S[2.7]</v>
      </c>
      <c r="I420" t="str">
        <f>CONCATENATE(I$2,": ",I$3,list1!I420,"]")</f>
        <v xml:space="preserve"> (Рабочий ток) Охлаждение: S[]</v>
      </c>
      <c r="J420" t="str">
        <f>CONCATENATE(J$2,": ",J$3,list1!J420,"]")</f>
        <v xml:space="preserve"> (Рабочий ток) Обогрев: S[]</v>
      </c>
      <c r="K420" t="str">
        <f>CONCATENATE(K$2,": ",K$3,list1!K420,"]")</f>
        <v xml:space="preserve"> (Рабочий ток) Напряжение / Частота источника питания: S[1 / 220 / 50]</v>
      </c>
      <c r="L420" t="str">
        <f>CONCATENATE(L$2,": ",L$3,list1!L420,"]")</f>
        <v xml:space="preserve"> (Рабочий ток) Хладагент: S[R410A]</v>
      </c>
      <c r="M420" t="str">
        <f>CONCATENATE(M$2,": ",M$3,list1!M420,"]")</f>
        <v xml:space="preserve"> (Рабочий ток) Количество хладагента: N[]</v>
      </c>
      <c r="N420" t="str">
        <f>CONCATENATE(N$2,": ",N$3,list1!N420,"]")</f>
        <v xml:space="preserve"> (Рабочий ток) Объем рециркулируемого воздуха внутреннего блока: S[]</v>
      </c>
      <c r="O420" t="str">
        <f>CONCATENATE(O$2,": ",O$3,list1!O420,"]")</f>
        <v xml:space="preserve"> (Внутренний блок) Размеры (Ш x Г x В): S[1260 х 270 х 555]</v>
      </c>
      <c r="P420" t="str">
        <f>CONCATENATE(P$2,": ",P$3,list1!P420,"]")</f>
        <v xml:space="preserve"> (Внутренний блок) Упаковка (Ш x Г x В): S[1348 х 597 х 283]</v>
      </c>
      <c r="Q420" t="str">
        <f>CONCATENATE(Q$2,": ",Q$3,list1!Q420,"]")</f>
        <v xml:space="preserve"> (Внутренний блок) Масса (нетто / брутто): S[35 / 40]</v>
      </c>
      <c r="R420" t="str">
        <f>CONCATENATE(R$2,": ",R$3,list1!R420,"]")</f>
        <v xml:space="preserve"> (Внутренний блок) Уровень шума мин. / макс.: S[48/46/45/44]</v>
      </c>
      <c r="S420" t="str">
        <f>CONCATENATE(S$2,": ",S$3,list1!S420,"]")</f>
        <v xml:space="preserve"> (Наружный блок) Марка компрессора: S[Gree]</v>
      </c>
      <c r="T420" t="str">
        <f>CONCATENATE(T$2,": ",T$3,list1!T420,"]")</f>
        <v xml:space="preserve"> (Наружный блок) Размеры (Ш x Г x В): S[980 х 425 х 790]</v>
      </c>
      <c r="U420" t="str">
        <f>CONCATENATE(U$2,": ",U$3,list1!U420,"]")</f>
        <v xml:space="preserve"> (Наружный блок) Упаковка (Ш x Г x В): S[1083 х 488 х 875]</v>
      </c>
      <c r="V420" t="str">
        <f>CONCATENATE(V$2,": ",V$3,list1!V420,"]")</f>
        <v xml:space="preserve"> (Наружный блок) Масса (нетто / брутто): S[69/74]</v>
      </c>
      <c r="W420" t="str">
        <f>CONCATENATE(W$2,": ",W$3,list1!W420,"]")</f>
        <v xml:space="preserve"> (Наружный блок) Максимальный уровень шума: N[]</v>
      </c>
      <c r="X420" t="str">
        <f>CONCATENATE(X$2,": ",X$3,list1!X420,"]")</f>
        <v xml:space="preserve"> (Соединительные трубы) Жидкостная линия : N[9.52]</v>
      </c>
      <c r="Y420" t="str">
        <f>CONCATENATE(Y$2,": ",Y$3,list1!Y420,"]")</f>
        <v xml:space="preserve"> (Соединительные трубы) Газовая линия : N[15.8]</v>
      </c>
      <c r="Z420" t="str">
        <f>CONCATENATE(Z$2,": ",Z$3,list1!Z420,"]")</f>
        <v xml:space="preserve"> (Соединительные трубы) Максимальная длина трубопровода: N[30]</v>
      </c>
      <c r="AA420" t="str">
        <f>CONCATENATE(AA$2,": ",AA$3,list1!AA420,"]")</f>
        <v xml:space="preserve"> (Соединительные трубы) Максимальный перепад высот: S[15]</v>
      </c>
      <c r="AB420" t="str">
        <f>CONCATENATE(AB$2,": ",AB$3,list1!AB420,"]")</f>
        <v xml:space="preserve"> (Допустимая темп. наружного воздуха) Охлаждение: S[от -15 до +43]</v>
      </c>
      <c r="AC420" t="str">
        <f>CONCATENATE(AC$2,": ",AC$3,list1!AC420,"]")</f>
        <v xml:space="preserve"> (Допустимая темп. наружного воздуха) Обогрев: S[от -15 до +24]</v>
      </c>
      <c r="AD420" s="6" t="s">
        <v>5245</v>
      </c>
    </row>
    <row r="421" spans="1:30" x14ac:dyDescent="0.25">
      <c r="A421" t="str">
        <f>CONCATENATE(A$2,": ",A$3,list1!A421,"]")</f>
        <v>Производитель: E[TOSOT]</v>
      </c>
      <c r="B421" t="str">
        <f>CONCATENATE(B$2,": ",B$3,list1!B421,"]")</f>
        <v xml:space="preserve"> Тип: S[Канальные]</v>
      </c>
      <c r="C421" t="str">
        <f>CONCATENATE(C$2,": ",C$3,list1!C421,"]")</f>
        <v xml:space="preserve"> (Сплит система) Холодопроизводительность: N[11.98]</v>
      </c>
      <c r="D421" t="str">
        <f>CONCATENATE(D$2,": ",D$3,list1!D421,"]")</f>
        <v xml:space="preserve"> (Сплит система) Площадь помещения: N[120]</v>
      </c>
      <c r="E421" t="str">
        <f>CONCATENATE(E$2,": ",E$3,list1!E421,"]")</f>
        <v xml:space="preserve"> (Сплит система) Инвентор: S[нет]</v>
      </c>
      <c r="F421" t="str">
        <f>CONCATENATE(F$2,": ",F$3,list1!F421,"]")</f>
        <v xml:space="preserve"> (Сплит система) Теплопроизводительность: N[13.5]</v>
      </c>
      <c r="G421" t="str">
        <f>CONCATENATE(G$2,": ",G$3,list1!G421,"]")</f>
        <v xml:space="preserve"> (Потребляемая мощность) Охлаждение: N[4.4]</v>
      </c>
      <c r="H421" t="str">
        <f>CONCATENATE(H$2,": ",H$3,list1!H421,"]")</f>
        <v xml:space="preserve"> (Потребляемая мощность) Обогрев: S[4.05]</v>
      </c>
      <c r="I421" t="str">
        <f>CONCATENATE(I$2,": ",I$3,list1!I421,"]")</f>
        <v xml:space="preserve"> (Рабочий ток) Охлаждение: S[]</v>
      </c>
      <c r="J421" t="str">
        <f>CONCATENATE(J$2,": ",J$3,list1!J421,"]")</f>
        <v xml:space="preserve"> (Рабочий ток) Обогрев: S[]</v>
      </c>
      <c r="K421" t="str">
        <f>CONCATENATE(K$2,": ",K$3,list1!K421,"]")</f>
        <v xml:space="preserve"> (Рабочий ток) Напряжение / Частота источника питания: S[3 / 380 / 50]</v>
      </c>
      <c r="L421" t="str">
        <f>CONCATENATE(L$2,": ",L$3,list1!L421,"]")</f>
        <v xml:space="preserve"> (Рабочий ток) Хладагент: S[R410A]</v>
      </c>
      <c r="M421" t="str">
        <f>CONCATENATE(M$2,": ",M$3,list1!M421,"]")</f>
        <v xml:space="preserve"> (Рабочий ток) Количество хладагента: N[]</v>
      </c>
      <c r="N421" t="str">
        <f>CONCATENATE(N$2,": ",N$3,list1!N421,"]")</f>
        <v xml:space="preserve"> (Рабочий ток) Объем рециркулируемого воздуха внутреннего блока: S[]</v>
      </c>
      <c r="O421" t="str">
        <f>CONCATENATE(O$2,": ",O$3,list1!O421,"]")</f>
        <v xml:space="preserve"> (Внутренний блок) Размеры (Ш x Г x В): S[700 х 300 х 1000]</v>
      </c>
      <c r="P421" t="str">
        <f>CONCATENATE(P$2,": ",P$3,list1!P421,"]")</f>
        <v xml:space="preserve"> (Внутренний блок) Упаковка (Ш x Г x В): S[813 х 1205 х 360]</v>
      </c>
      <c r="Q421" t="str">
        <f>CONCATENATE(Q$2,": ",Q$3,list1!Q421,"]")</f>
        <v xml:space="preserve"> (Внутренний блок) Масса (нетто / брутто): S[42 / 48]</v>
      </c>
      <c r="R421" t="str">
        <f>CONCATENATE(R$2,": ",R$3,list1!R421,"]")</f>
        <v xml:space="preserve"> (Внутренний блок) Уровень шума мин. / макс.: S[35/38/42/44]</v>
      </c>
      <c r="S421" t="str">
        <f>CONCATENATE(S$2,": ",S$3,list1!S421,"]")</f>
        <v xml:space="preserve"> (Наружный блок) Марка компрессора: S[Gree]</v>
      </c>
      <c r="T421" t="str">
        <f>CONCATENATE(T$2,": ",T$3,list1!T421,"]")</f>
        <v xml:space="preserve"> (Наружный блок) Размеры (Ш x Г x В): S[460 х 940 х 820]</v>
      </c>
      <c r="U421" t="str">
        <f>CONCATENATE(U$2,": ",U$3,list1!U421,"]")</f>
        <v xml:space="preserve"> (Наружный блок) Упаковка (Ш x Г x В): S[573 х 1083 х 973]</v>
      </c>
      <c r="V421" t="str">
        <f>CONCATENATE(V$2,": ",V$3,list1!V421,"]")</f>
        <v xml:space="preserve"> (Наружный блок) Масса (нетто / брутто): S[97/108]</v>
      </c>
      <c r="W421" t="str">
        <f>CONCATENATE(W$2,": ",W$3,list1!W421,"]")</f>
        <v xml:space="preserve"> (Наружный блок) Максимальный уровень шума: N[]</v>
      </c>
      <c r="X421" t="str">
        <f>CONCATENATE(X$2,": ",X$3,list1!X421,"]")</f>
        <v xml:space="preserve"> (Соединительные трубы) Жидкостная линия : N[9.52]</v>
      </c>
      <c r="Y421" t="str">
        <f>CONCATENATE(Y$2,": ",Y$3,list1!Y421,"]")</f>
        <v xml:space="preserve"> (Соединительные трубы) Газовая линия : N[15.88]</v>
      </c>
      <c r="Z421" t="str">
        <f>CONCATENATE(Z$2,": ",Z$3,list1!Z421,"]")</f>
        <v xml:space="preserve"> (Соединительные трубы) Максимальная длина трубопровода: N[50]</v>
      </c>
      <c r="AA421" t="str">
        <f>CONCATENATE(AA$2,": ",AA$3,list1!AA421,"]")</f>
        <v xml:space="preserve"> (Соединительные трубы) Максимальный перепад высот: S[30]</v>
      </c>
      <c r="AB421" t="str">
        <f>CONCATENATE(AB$2,": ",AB$3,list1!AB421,"]")</f>
        <v xml:space="preserve"> (Допустимая темп. наружного воздуха) Охлаждение: S[от -15 до +48]</v>
      </c>
      <c r="AC421" t="str">
        <f>CONCATENATE(AC$2,": ",AC$3,list1!AC421,"]")</f>
        <v xml:space="preserve"> (Допустимая темп. наружного воздуха) Обогрев: S[от 15 до +24]</v>
      </c>
      <c r="AD421" s="6" t="s">
        <v>5245</v>
      </c>
    </row>
    <row r="422" spans="1:30" x14ac:dyDescent="0.25">
      <c r="A422" t="str">
        <f>CONCATENATE(A$2,": ",A$3,list1!A422,"]")</f>
        <v>Производитель: E[TOSOT]</v>
      </c>
      <c r="B422" t="str">
        <f>CONCATENATE(B$2,": ",B$3,list1!B422,"]")</f>
        <v xml:space="preserve"> Тип: S[Кассетные]</v>
      </c>
      <c r="C422" t="str">
        <f>CONCATENATE(C$2,": ",C$3,list1!C422,"]")</f>
        <v xml:space="preserve"> (Сплит система) Холодопроизводительность: N[5]</v>
      </c>
      <c r="D422" t="str">
        <f>CONCATENATE(D$2,": ",D$3,list1!D422,"]")</f>
        <v xml:space="preserve"> (Сплит система) Площадь помещения: N[50]</v>
      </c>
      <c r="E422" t="str">
        <f>CONCATENATE(E$2,": ",E$3,list1!E422,"]")</f>
        <v xml:space="preserve"> (Сплит система) Инвентор: S[нет]</v>
      </c>
      <c r="F422" t="str">
        <f>CONCATENATE(F$2,": ",F$3,list1!F422,"]")</f>
        <v xml:space="preserve"> (Сплит система) Теплопроизводительность: N[5.4]</v>
      </c>
      <c r="G422" t="str">
        <f>CONCATENATE(G$2,": ",G$3,list1!G422,"]")</f>
        <v xml:space="preserve"> (Потребляемая мощность) Охлаждение: N[2]</v>
      </c>
      <c r="H422" t="str">
        <f>CONCATENATE(H$2,": ",H$3,list1!H422,"]")</f>
        <v xml:space="preserve"> (Потребляемая мощность) Обогрев: S[1.9]</v>
      </c>
      <c r="I422" t="str">
        <f>CONCATENATE(I$2,": ",I$3,list1!I422,"]")</f>
        <v xml:space="preserve"> (Рабочий ток) Охлаждение: S[]</v>
      </c>
      <c r="J422" t="str">
        <f>CONCATENATE(J$2,": ",J$3,list1!J422,"]")</f>
        <v xml:space="preserve"> (Рабочий ток) Обогрев: S[]</v>
      </c>
      <c r="K422" t="str">
        <f>CONCATENATE(K$2,": ",K$3,list1!K422,"]")</f>
        <v xml:space="preserve"> (Рабочий ток) Напряжение / Частота источника питания: S[1 / 220 / 50]</v>
      </c>
      <c r="L422" t="str">
        <f>CONCATENATE(L$2,": ",L$3,list1!L422,"]")</f>
        <v xml:space="preserve"> (Рабочий ток) Хладагент: S[R410A]</v>
      </c>
      <c r="M422" t="str">
        <f>CONCATENATE(M$2,": ",M$3,list1!M422,"]")</f>
        <v xml:space="preserve"> (Рабочий ток) Количество хладагента: N[]</v>
      </c>
      <c r="N422" t="str">
        <f>CONCATENATE(N$2,": ",N$3,list1!N422,"]")</f>
        <v xml:space="preserve"> (Рабочий ток) Объем рециркулируемого воздуха внутреннего блока: S[]</v>
      </c>
      <c r="O422" t="str">
        <f>CONCATENATE(O$2,": ",O$3,list1!O422,"]")</f>
        <v xml:space="preserve"> (Внутренний блок) Размеры (Ш x Г x В): S[670 х 50 х 670]</v>
      </c>
      <c r="P422" t="str">
        <f>CONCATENATE(P$2,": ",P$3,list1!P422,"]")</f>
        <v xml:space="preserve"> (Внутренний блок) Упаковка (Ш x Г x В): S[763 х 763 х 105]</v>
      </c>
      <c r="Q422" t="str">
        <f>CONCATENATE(Q$2,": ",Q$3,list1!Q422,"]")</f>
        <v xml:space="preserve"> (Внутренний блок) Масса (нетто / брутто): S[3.5 / 5]</v>
      </c>
      <c r="R422" t="str">
        <f>CONCATENATE(R$2,": ",R$3,list1!R422,"]")</f>
        <v xml:space="preserve"> (Внутренний блок) Уровень шума мин. / макс.: S[50/49/47/46]</v>
      </c>
      <c r="S422" t="str">
        <f>CONCATENATE(S$2,": ",S$3,list1!S422,"]")</f>
        <v xml:space="preserve"> (Наружный блок) Марка компрессора: S[Gree]</v>
      </c>
      <c r="T422" t="str">
        <f>CONCATENATE(T$2,": ",T$3,list1!T422,"]")</f>
        <v xml:space="preserve"> (Наружный блок) Размеры (Ш x Г x В): S[955 х 395 х 700]</v>
      </c>
      <c r="U422" t="str">
        <f>CONCATENATE(U$2,": ",U$3,list1!U422,"]")</f>
        <v xml:space="preserve"> (Наружный блок) Упаковка (Ш x Г x В): S[1029 х 458 х 750]</v>
      </c>
      <c r="V422" t="str">
        <f>CONCATENATE(V$2,": ",V$3,list1!V422,"]")</f>
        <v xml:space="preserve"> (Наружный блок) Масса (нетто / брутто): S[53/58]</v>
      </c>
      <c r="W422" t="str">
        <f>CONCATENATE(W$2,": ",W$3,list1!W422,"]")</f>
        <v xml:space="preserve"> (Наружный блок) Максимальный уровень шума: N[]</v>
      </c>
      <c r="X422" t="str">
        <f>CONCATENATE(X$2,": ",X$3,list1!X422,"]")</f>
        <v xml:space="preserve"> (Соединительные трубы) Жидкостная линия : N[6.35]</v>
      </c>
      <c r="Y422" t="str">
        <f>CONCATENATE(Y$2,": ",Y$3,list1!Y422,"]")</f>
        <v xml:space="preserve"> (Соединительные трубы) Газовая линия : N[12.7]</v>
      </c>
      <c r="Z422" t="str">
        <f>CONCATENATE(Z$2,": ",Z$3,list1!Z422,"]")</f>
        <v xml:space="preserve"> (Соединительные трубы) Максимальная длина трубопровода: N[25]</v>
      </c>
      <c r="AA422" t="str">
        <f>CONCATENATE(AA$2,": ",AA$3,list1!AA422,"]")</f>
        <v xml:space="preserve"> (Соединительные трубы) Максимальный перепад высот: S[15]</v>
      </c>
      <c r="AB422" t="str">
        <f>CONCATENATE(AB$2,": ",AB$3,list1!AB422,"]")</f>
        <v xml:space="preserve"> (Допустимая темп. наружного воздуха) Охлаждение: S[от -15 до +43]</v>
      </c>
      <c r="AC422" t="str">
        <f>CONCATENATE(AC$2,": ",AC$3,list1!AC422,"]")</f>
        <v xml:space="preserve"> (Допустимая темп. наружного воздуха) Обогрев: S[от -15 до +24]</v>
      </c>
      <c r="AD422" s="6" t="s">
        <v>5245</v>
      </c>
    </row>
    <row r="423" spans="1:30" x14ac:dyDescent="0.25">
      <c r="A423" t="str">
        <f>CONCATENATE(A$2,": ",A$3,list1!A423,"]")</f>
        <v>Производитель: E[TOSOT]</v>
      </c>
      <c r="B423" t="str">
        <f>CONCATENATE(B$2,": ",B$3,list1!B423,"]")</f>
        <v xml:space="preserve"> Тип: S[Кассетные]</v>
      </c>
      <c r="C423" t="str">
        <f>CONCATENATE(C$2,": ",C$3,list1!C423,"]")</f>
        <v xml:space="preserve"> (Сплит система) Холодопроизводительность: N[4.8]</v>
      </c>
      <c r="D423" t="str">
        <f>CONCATENATE(D$2,": ",D$3,list1!D423,"]")</f>
        <v xml:space="preserve"> (Сплит система) Площадь помещения: N[48]</v>
      </c>
      <c r="E423" t="str">
        <f>CONCATENATE(E$2,": ",E$3,list1!E423,"]")</f>
        <v xml:space="preserve"> (Сплит система) Инвентор: S[нет]</v>
      </c>
      <c r="F423" t="str">
        <f>CONCATENATE(F$2,": ",F$3,list1!F423,"]")</f>
        <v xml:space="preserve"> (Сплит система) Теплопроизводительность: N[5]</v>
      </c>
      <c r="G423" t="str">
        <f>CONCATENATE(G$2,": ",G$3,list1!G423,"]")</f>
        <v xml:space="preserve"> (Потребляемая мощность) Охлаждение: N[1.55]</v>
      </c>
      <c r="H423" t="str">
        <f>CONCATENATE(H$2,": ",H$3,list1!H423,"]")</f>
        <v xml:space="preserve"> (Потребляемая мощность) Обогрев: S[1.35]</v>
      </c>
      <c r="I423" t="str">
        <f>CONCATENATE(I$2,": ",I$3,list1!I423,"]")</f>
        <v xml:space="preserve"> (Рабочий ток) Охлаждение: S[]</v>
      </c>
      <c r="J423" t="str">
        <f>CONCATENATE(J$2,": ",J$3,list1!J423,"]")</f>
        <v xml:space="preserve"> (Рабочий ток) Обогрев: S[]</v>
      </c>
      <c r="K423" t="str">
        <f>CONCATENATE(K$2,": ",K$3,list1!K423,"]")</f>
        <v xml:space="preserve"> (Рабочий ток) Напряжение / Частота источника питания: S[1 / 220 / 50]</v>
      </c>
      <c r="L423" t="str">
        <f>CONCATENATE(L$2,": ",L$3,list1!L423,"]")</f>
        <v xml:space="preserve"> (Рабочий ток) Хладагент: S[R410A]</v>
      </c>
      <c r="M423" t="str">
        <f>CONCATENATE(M$2,": ",M$3,list1!M423,"]")</f>
        <v xml:space="preserve"> (Рабочий ток) Количество хладагента: N[]</v>
      </c>
      <c r="N423" t="str">
        <f>CONCATENATE(N$2,": ",N$3,list1!N423,"]")</f>
        <v xml:space="preserve"> (Рабочий ток) Объем рециркулируемого воздуха внутреннего блока: S[]</v>
      </c>
      <c r="O423" t="str">
        <f>CONCATENATE(O$2,": ",O$3,list1!O423,"]")</f>
        <v xml:space="preserve"> (Внутренний блок) Размеры (Ш x Г x В): S[620 х 47.5 х 620]</v>
      </c>
      <c r="P423" t="str">
        <f>CONCATENATE(P$2,": ",P$3,list1!P423,"]")</f>
        <v xml:space="preserve"> (Внутренний блок) Упаковка (Ш x Г x В): S[701 х 701 х 125]</v>
      </c>
      <c r="Q423" t="str">
        <f>CONCATENATE(Q$2,": ",Q$3,list1!Q423,"]")</f>
        <v xml:space="preserve"> (Внутренний блок) Масса (нетто / брутто): S[3 / 4.5]</v>
      </c>
      <c r="R423" t="str">
        <f>CONCATENATE(R$2,": ",R$3,list1!R423,"]")</f>
        <v xml:space="preserve"> (Внутренний блок) Уровень шума мин. / макс.: S[35/38/43/44]</v>
      </c>
      <c r="S423" t="str">
        <f>CONCATENATE(S$2,": ",S$3,list1!S423,"]")</f>
        <v xml:space="preserve"> (Наружный блок) Марка компрессора: S[Gree]</v>
      </c>
      <c r="T423" t="str">
        <f>CONCATENATE(T$2,": ",T$3,list1!T423,"]")</f>
        <v xml:space="preserve"> (Наружный блок) Размеры (Ш x Г x В): S[761 х 256 х 548]</v>
      </c>
      <c r="U423" t="str">
        <f>CONCATENATE(U$2,": ",U$3,list1!U423,"]")</f>
        <v xml:space="preserve"> (Наружный блок) Упаковка (Ш x Г x В): S[881 х 363 х 595]</v>
      </c>
      <c r="V423" t="str">
        <f>CONCATENATE(V$2,": ",V$3,list1!V423,"]")</f>
        <v xml:space="preserve"> (Наружный блок) Масса (нетто / брутто): S[39/41.5]</v>
      </c>
      <c r="W423" t="str">
        <f>CONCATENATE(W$2,": ",W$3,list1!W423,"]")</f>
        <v xml:space="preserve"> (Наружный блок) Максимальный уровень шума: N[]</v>
      </c>
      <c r="X423" t="str">
        <f>CONCATENATE(X$2,": ",X$3,list1!X423,"]")</f>
        <v xml:space="preserve"> (Соединительные трубы) Жидкостная линия : N[6.35]</v>
      </c>
      <c r="Y423" t="str">
        <f>CONCATENATE(Y$2,": ",Y$3,list1!Y423,"]")</f>
        <v xml:space="preserve"> (Соединительные трубы) Газовая линия : N[12.7]</v>
      </c>
      <c r="Z423" t="str">
        <f>CONCATENATE(Z$2,": ",Z$3,list1!Z423,"]")</f>
        <v xml:space="preserve"> (Соединительные трубы) Максимальная длина трубопровода: N[30]</v>
      </c>
      <c r="AA423" t="str">
        <f>CONCATENATE(AA$2,": ",AA$3,list1!AA423,"]")</f>
        <v xml:space="preserve"> (Соединительные трубы) Максимальный перепад высот: S[15]</v>
      </c>
      <c r="AB423" t="str">
        <f>CONCATENATE(AB$2,": ",AB$3,list1!AB423,"]")</f>
        <v xml:space="preserve"> (Допустимая темп. наружного воздуха) Охлаждение: S[]</v>
      </c>
      <c r="AC423" t="str">
        <f>CONCATENATE(AC$2,": ",AC$3,list1!AC423,"]")</f>
        <v xml:space="preserve"> (Допустимая темп. наружного воздуха) Обогрев: S[от -15 до +24]</v>
      </c>
      <c r="AD423" s="6" t="s">
        <v>5245</v>
      </c>
    </row>
    <row r="424" spans="1:30" x14ac:dyDescent="0.25">
      <c r="A424" t="str">
        <f>CONCATENATE(A$2,": ",A$3,list1!A424,"]")</f>
        <v>Производитель: E[TOSOT]</v>
      </c>
      <c r="B424" t="str">
        <f>CONCATENATE(B$2,": ",B$3,list1!B424,"]")</f>
        <v xml:space="preserve"> Тип: S[Кассетные]</v>
      </c>
      <c r="C424" t="str">
        <f>CONCATENATE(C$2,": ",C$3,list1!C424,"]")</f>
        <v xml:space="preserve"> (Сплит система) Холодопроизводительность: N[7]</v>
      </c>
      <c r="D424" t="str">
        <f>CONCATENATE(D$2,": ",D$3,list1!D424,"]")</f>
        <v xml:space="preserve"> (Сплит система) Площадь помещения: N[70]</v>
      </c>
      <c r="E424" t="str">
        <f>CONCATENATE(E$2,": ",E$3,list1!E424,"]")</f>
        <v xml:space="preserve"> (Сплит система) Инвентор: S[нет]</v>
      </c>
      <c r="F424" t="str">
        <f>CONCATENATE(F$2,": ",F$3,list1!F424,"]")</f>
        <v xml:space="preserve"> (Сплит система) Теплопроизводительность: N[7.6]</v>
      </c>
      <c r="G424" t="str">
        <f>CONCATENATE(G$2,": ",G$3,list1!G424,"]")</f>
        <v xml:space="preserve"> (Потребляемая мощность) Охлаждение: N[2.5]</v>
      </c>
      <c r="H424" t="str">
        <f>CONCATENATE(H$2,": ",H$3,list1!H424,"]")</f>
        <v xml:space="preserve"> (Потребляемая мощность) Обогрев: S[2.3]</v>
      </c>
      <c r="I424" t="str">
        <f>CONCATENATE(I$2,": ",I$3,list1!I424,"]")</f>
        <v xml:space="preserve"> (Рабочий ток) Охлаждение: S[]</v>
      </c>
      <c r="J424" t="str">
        <f>CONCATENATE(J$2,": ",J$3,list1!J424,"]")</f>
        <v xml:space="preserve"> (Рабочий ток) Обогрев: S[]</v>
      </c>
      <c r="K424" t="str">
        <f>CONCATENATE(K$2,": ",K$3,list1!K424,"]")</f>
        <v xml:space="preserve"> (Рабочий ток) Напряжение / Частота источника питания: S[1 / 220 / 50]</v>
      </c>
      <c r="L424" t="str">
        <f>CONCATENATE(L$2,": ",L$3,list1!L424,"]")</f>
        <v xml:space="preserve"> (Рабочий ток) Хладагент: S[R410A]</v>
      </c>
      <c r="M424" t="str">
        <f>CONCATENATE(M$2,": ",M$3,list1!M424,"]")</f>
        <v xml:space="preserve"> (Рабочий ток) Количество хладагента: N[]</v>
      </c>
      <c r="N424" t="str">
        <f>CONCATENATE(N$2,": ",N$3,list1!N424,"]")</f>
        <v xml:space="preserve"> (Рабочий ток) Объем рециркулируемого воздуха внутреннего блока: S[]</v>
      </c>
      <c r="O424" t="str">
        <f>CONCATENATE(O$2,": ",O$3,list1!O424,"]")</f>
        <v xml:space="preserve"> (Внутренний блок) Размеры (Ш x Г x В): S[950 х 60 х 950]</v>
      </c>
      <c r="P424" t="str">
        <f>CONCATENATE(P$2,": ",P$3,list1!P424,"]")</f>
        <v xml:space="preserve"> (Внутренний блок) Упаковка (Ш x Г x В): S[1038 х 1033 х 133]</v>
      </c>
      <c r="Q424" t="str">
        <f>CONCATENATE(Q$2,": ",Q$3,list1!Q424,"]")</f>
        <v xml:space="preserve"> (Внутренний блок) Масса (нетто / брутто): S[7 / 11]</v>
      </c>
      <c r="R424" t="str">
        <f>CONCATENATE(R$2,": ",R$3,list1!R424,"]")</f>
        <v xml:space="preserve"> (Внутренний блок) Уровень шума мин. / макс.: S[49/48/47/46]</v>
      </c>
      <c r="S424" t="str">
        <f>CONCATENATE(S$2,": ",S$3,list1!S424,"]")</f>
        <v xml:space="preserve"> (Наружный блок) Марка компрессора: S[Gree]</v>
      </c>
      <c r="T424" t="str">
        <f>CONCATENATE(T$2,": ",T$3,list1!T424,"]")</f>
        <v xml:space="preserve"> (Наружный блок) Размеры (Ш x Г x В): S[955 х 395 х 700]</v>
      </c>
      <c r="U424" t="str">
        <f>CONCATENATE(U$2,": ",U$3,list1!U424,"]")</f>
        <v xml:space="preserve"> (Наружный блок) Упаковка (Ш x Г x В): S[1029 х 458 х 750]</v>
      </c>
      <c r="V424" t="str">
        <f>CONCATENATE(V$2,": ",V$3,list1!V424,"]")</f>
        <v xml:space="preserve"> (Наружный блок) Масса (нетто / брутто): S[61/66]</v>
      </c>
      <c r="W424" t="str">
        <f>CONCATENATE(W$2,": ",W$3,list1!W424,"]")</f>
        <v xml:space="preserve"> (Наружный блок) Максимальный уровень шума: N[]</v>
      </c>
      <c r="X424" t="str">
        <f>CONCATENATE(X$2,": ",X$3,list1!X424,"]")</f>
        <v xml:space="preserve"> (Соединительные трубы) Жидкостная линия : N[9.52]</v>
      </c>
      <c r="Y424" t="str">
        <f>CONCATENATE(Y$2,": ",Y$3,list1!Y424,"]")</f>
        <v xml:space="preserve"> (Соединительные трубы) Газовая линия : N[15.8]</v>
      </c>
      <c r="Z424" t="str">
        <f>CONCATENATE(Z$2,": ",Z$3,list1!Z424,"]")</f>
        <v xml:space="preserve"> (Соединительные трубы) Максимальная длина трубопровода: N[30]</v>
      </c>
      <c r="AA424" t="str">
        <f>CONCATENATE(AA$2,": ",AA$3,list1!AA424,"]")</f>
        <v xml:space="preserve"> (Соединительные трубы) Максимальный перепад высот: S[15]</v>
      </c>
      <c r="AB424" t="str">
        <f>CONCATENATE(AB$2,": ",AB$3,list1!AB424,"]")</f>
        <v xml:space="preserve"> (Допустимая темп. наружного воздуха) Охлаждение: S[от -15 до +43]</v>
      </c>
      <c r="AC424" t="str">
        <f>CONCATENATE(AC$2,": ",AC$3,list1!AC424,"]")</f>
        <v xml:space="preserve"> (Допустимая темп. наружного воздуха) Обогрев: S[от -15 до +24]</v>
      </c>
      <c r="AD424" s="6" t="s">
        <v>5245</v>
      </c>
    </row>
    <row r="425" spans="1:30" x14ac:dyDescent="0.25">
      <c r="A425" t="str">
        <f>CONCATENATE(A$2,": ",A$3,list1!A425,"]")</f>
        <v>Производитель: E[TOSOT]</v>
      </c>
      <c r="B425" t="str">
        <f>CONCATENATE(B$2,": ",B$3,list1!B425,"]")</f>
        <v xml:space="preserve"> Тип: S[Кассетные]</v>
      </c>
      <c r="C425" t="str">
        <f>CONCATENATE(C$2,": ",C$3,list1!C425,"]")</f>
        <v xml:space="preserve"> (Сплит система) Холодопроизводительность: N[7.1]</v>
      </c>
      <c r="D425" t="str">
        <f>CONCATENATE(D$2,": ",D$3,list1!D425,"]")</f>
        <v xml:space="preserve"> (Сплит система) Площадь помещения: N[71]</v>
      </c>
      <c r="E425" t="str">
        <f>CONCATENATE(E$2,": ",E$3,list1!E425,"]")</f>
        <v xml:space="preserve"> (Сплит система) Инвентор: S[нет]</v>
      </c>
      <c r="F425" t="str">
        <f>CONCATENATE(F$2,": ",F$3,list1!F425,"]")</f>
        <v xml:space="preserve"> (Сплит система) Теплопроизводительность: N[7.4]</v>
      </c>
      <c r="G425" t="str">
        <f>CONCATENATE(G$2,": ",G$3,list1!G425,"]")</f>
        <v xml:space="preserve"> (Потребляемая мощность) Охлаждение: N[2.15]</v>
      </c>
      <c r="H425" t="str">
        <f>CONCATENATE(H$2,": ",H$3,list1!H425,"]")</f>
        <v xml:space="preserve"> (Потребляемая мощность) Обогрев: S[2.05]</v>
      </c>
      <c r="I425" t="str">
        <f>CONCATENATE(I$2,": ",I$3,list1!I425,"]")</f>
        <v xml:space="preserve"> (Рабочий ток) Охлаждение: S[]</v>
      </c>
      <c r="J425" t="str">
        <f>CONCATENATE(J$2,": ",J$3,list1!J425,"]")</f>
        <v xml:space="preserve"> (Рабочий ток) Обогрев: S[]</v>
      </c>
      <c r="K425" t="str">
        <f>CONCATENATE(K$2,": ",K$3,list1!K425,"]")</f>
        <v xml:space="preserve"> (Рабочий ток) Напряжение / Частота источника питания: S[1 / 220 / 50]</v>
      </c>
      <c r="L425" t="str">
        <f>CONCATENATE(L$2,": ",L$3,list1!L425,"]")</f>
        <v xml:space="preserve"> (Рабочий ток) Хладагент: S[R410A]</v>
      </c>
      <c r="M425" t="str">
        <f>CONCATENATE(M$2,": ",M$3,list1!M425,"]")</f>
        <v xml:space="preserve"> (Рабочий ток) Количество хладагента: N[]</v>
      </c>
      <c r="N425" t="str">
        <f>CONCATENATE(N$2,": ",N$3,list1!N425,"]")</f>
        <v xml:space="preserve"> (Рабочий ток) Объем рециркулируемого воздуха внутреннего блока: S[]</v>
      </c>
      <c r="O425" t="str">
        <f>CONCATENATE(O$2,": ",O$3,list1!O425,"]")</f>
        <v xml:space="preserve"> (Внутренний блок) Размеры (Ш x Г x В): S[950 х 52 х 950]</v>
      </c>
      <c r="P425" t="str">
        <f>CONCATENATE(P$2,": ",P$3,list1!P425,"]")</f>
        <v xml:space="preserve"> (Внутренний блок) Упаковка (Ш x Г x В): S[1033 х 1038 х 112]</v>
      </c>
      <c r="Q425" t="str">
        <f>CONCATENATE(Q$2,": ",Q$3,list1!Q425,"]")</f>
        <v xml:space="preserve"> (Внутренний блок) Масса (нетто / брутто): S[6 / 9.5]</v>
      </c>
      <c r="R425" t="str">
        <f>CONCATENATE(R$2,": ",R$3,list1!R425,"]")</f>
        <v xml:space="preserve"> (Внутренний блок) Уровень шума мин. / макс.: S[39/42/45/46]</v>
      </c>
      <c r="S425" t="str">
        <f>CONCATENATE(S$2,": ",S$3,list1!S425,"]")</f>
        <v xml:space="preserve"> (Наружный блок) Марка компрессора: S[Gree]</v>
      </c>
      <c r="T425" t="str">
        <f>CONCATENATE(T$2,": ",T$3,list1!T425,"]")</f>
        <v xml:space="preserve"> (Наружный блок) Размеры (Ш x Г x В): S[892 х 340 х 698]</v>
      </c>
      <c r="U425" t="str">
        <f>CONCATENATE(U$2,": ",U$3,list1!U425,"]")</f>
        <v xml:space="preserve"> (Наружный блок) Упаковка (Ш x Г x В): S[1029 х 458 х 750]</v>
      </c>
      <c r="V425" t="str">
        <f>CONCATENATE(V$2,": ",V$3,list1!V425,"]")</f>
        <v xml:space="preserve"> (Наружный блок) Масса (нетто / брутто): S[59/63]</v>
      </c>
      <c r="W425" t="str">
        <f>CONCATENATE(W$2,": ",W$3,list1!W425,"]")</f>
        <v xml:space="preserve"> (Наружный блок) Максимальный уровень шума: N[]</v>
      </c>
      <c r="X425" t="str">
        <f>CONCATENATE(X$2,": ",X$3,list1!X425,"]")</f>
        <v xml:space="preserve"> (Соединительные трубы) Жидкостная линия : N[9.52]</v>
      </c>
      <c r="Y425" t="str">
        <f>CONCATENATE(Y$2,": ",Y$3,list1!Y425,"]")</f>
        <v xml:space="preserve"> (Соединительные трубы) Газовая линия : N[15.88]</v>
      </c>
      <c r="Z425" t="str">
        <f>CONCATENATE(Z$2,": ",Z$3,list1!Z425,"]")</f>
        <v xml:space="preserve"> (Соединительные трубы) Максимальная длина трубопровода: N[30]</v>
      </c>
      <c r="AA425" t="str">
        <f>CONCATENATE(AA$2,": ",AA$3,list1!AA425,"]")</f>
        <v xml:space="preserve"> (Соединительные трубы) Максимальный перепад высот: S[15]</v>
      </c>
      <c r="AB425" t="str">
        <f>CONCATENATE(AB$2,": ",AB$3,list1!AB425,"]")</f>
        <v xml:space="preserve"> (Допустимая темп. наружного воздуха) Охлаждение: S[от -15 до +48]</v>
      </c>
      <c r="AC425" t="str">
        <f>CONCATENATE(AC$2,": ",AC$3,list1!AC425,"]")</f>
        <v xml:space="preserve"> (Допустимая темп. наружного воздуха) Обогрев: S[от -15 до +24]</v>
      </c>
      <c r="AD425" s="6" t="s">
        <v>5245</v>
      </c>
    </row>
    <row r="426" spans="1:30" x14ac:dyDescent="0.25">
      <c r="A426" t="str">
        <f>CONCATENATE(A$2,": ",A$3,list1!A426,"]")</f>
        <v>Производитель: E[TOSOT]</v>
      </c>
      <c r="B426" t="str">
        <f>CONCATENATE(B$2,": ",B$3,list1!B426,"]")</f>
        <v xml:space="preserve"> Тип: S[Кассетные]</v>
      </c>
      <c r="C426" t="str">
        <f>CONCATENATE(C$2,": ",C$3,list1!C426,"]")</f>
        <v xml:space="preserve"> (Сплит система) Холодопроизводительность: N[8.5]</v>
      </c>
      <c r="D426" t="str">
        <f>CONCATENATE(D$2,": ",D$3,list1!D426,"]")</f>
        <v xml:space="preserve"> (Сплит система) Площадь помещения: N[85]</v>
      </c>
      <c r="E426" t="str">
        <f>CONCATENATE(E$2,": ",E$3,list1!E426,"]")</f>
        <v xml:space="preserve"> (Сплит система) Инвентор: S[нет]</v>
      </c>
      <c r="F426" t="str">
        <f>CONCATENATE(F$2,": ",F$3,list1!F426,"]")</f>
        <v xml:space="preserve"> (Сплит система) Теплопроизводительность: N[9]</v>
      </c>
      <c r="G426" t="str">
        <f>CONCATENATE(G$2,": ",G$3,list1!G426,"]")</f>
        <v xml:space="preserve"> (Потребляемая мощность) Охлаждение: N[2.7]</v>
      </c>
      <c r="H426" t="str">
        <f>CONCATENATE(H$2,": ",H$3,list1!H426,"]")</f>
        <v xml:space="preserve"> (Потребляемая мощность) Обогрев: S[2.6]</v>
      </c>
      <c r="I426" t="str">
        <f>CONCATENATE(I$2,": ",I$3,list1!I426,"]")</f>
        <v xml:space="preserve"> (Рабочий ток) Охлаждение: S[]</v>
      </c>
      <c r="J426" t="str">
        <f>CONCATENATE(J$2,": ",J$3,list1!J426,"]")</f>
        <v xml:space="preserve"> (Рабочий ток) Обогрев: S[]</v>
      </c>
      <c r="K426" t="str">
        <f>CONCATENATE(K$2,": ",K$3,list1!K426,"]")</f>
        <v xml:space="preserve"> (Рабочий ток) Напряжение / Частота источника питания: S[1 / 220 / 50]</v>
      </c>
      <c r="L426" t="str">
        <f>CONCATENATE(L$2,": ",L$3,list1!L426,"]")</f>
        <v xml:space="preserve"> (Рабочий ток) Хладагент: S[R410A]</v>
      </c>
      <c r="M426" t="str">
        <f>CONCATENATE(M$2,": ",M$3,list1!M426,"]")</f>
        <v xml:space="preserve"> (Рабочий ток) Количество хладагента: N[]</v>
      </c>
      <c r="N426" t="str">
        <f>CONCATENATE(N$2,": ",N$3,list1!N426,"]")</f>
        <v xml:space="preserve"> (Рабочий ток) Объем рециркулируемого воздуха внутреннего блока: S[]</v>
      </c>
      <c r="O426" t="str">
        <f>CONCATENATE(O$2,": ",O$3,list1!O426,"]")</f>
        <v xml:space="preserve"> (Внутренний блок) Размеры (Ш x Г x В): S[950 х 60 х 950]</v>
      </c>
      <c r="P426" t="str">
        <f>CONCATENATE(P$2,": ",P$3,list1!P426,"]")</f>
        <v xml:space="preserve"> (Внутренний блок) Упаковка (Ш x Г x В): S[1038 х 1033 х 133]</v>
      </c>
      <c r="Q426" t="str">
        <f>CONCATENATE(Q$2,": ",Q$3,list1!Q426,"]")</f>
        <v xml:space="preserve"> (Внутренний блок) Масса (нетто / брутто): S[7 / 11]</v>
      </c>
      <c r="R426" t="str">
        <f>CONCATENATE(R$2,": ",R$3,list1!R426,"]")</f>
        <v xml:space="preserve"> (Внутренний блок) Уровень шума мин. / макс.: S[51/50/49/48]</v>
      </c>
      <c r="S426" t="str">
        <f>CONCATENATE(S$2,": ",S$3,list1!S426,"]")</f>
        <v xml:space="preserve"> (Наружный блок) Марка компрессора: S[Gree]</v>
      </c>
      <c r="T426" t="str">
        <f>CONCATENATE(T$2,": ",T$3,list1!T426,"]")</f>
        <v xml:space="preserve"> (Наружный блок) Размеры (Ш x Г x В): S[980 х 425 х 790]</v>
      </c>
      <c r="U426" t="str">
        <f>CONCATENATE(U$2,": ",U$3,list1!U426,"]")</f>
        <v xml:space="preserve"> (Наружный блок) Упаковка (Ш x Г x В): S[1083 х 488 х 875]</v>
      </c>
      <c r="V426" t="str">
        <f>CONCATENATE(V$2,": ",V$3,list1!V426,"]")</f>
        <v xml:space="preserve"> (Наружный блок) Масса (нетто / брутто): S[69/74]</v>
      </c>
      <c r="W426" t="str">
        <f>CONCATENATE(W$2,": ",W$3,list1!W426,"]")</f>
        <v xml:space="preserve"> (Наружный блок) Максимальный уровень шума: N[]</v>
      </c>
      <c r="X426" t="str">
        <f>CONCATENATE(X$2,": ",X$3,list1!X426,"]")</f>
        <v xml:space="preserve"> (Соединительные трубы) Жидкостная линия : N[9.52]</v>
      </c>
      <c r="Y426" t="str">
        <f>CONCATENATE(Y$2,": ",Y$3,list1!Y426,"]")</f>
        <v xml:space="preserve"> (Соединительные трубы) Газовая линия : N[15.8]</v>
      </c>
      <c r="Z426" t="str">
        <f>CONCATENATE(Z$2,": ",Z$3,list1!Z426,"]")</f>
        <v xml:space="preserve"> (Соединительные трубы) Максимальная длина трубопровода: N[30]</v>
      </c>
      <c r="AA426" t="str">
        <f>CONCATENATE(AA$2,": ",AA$3,list1!AA426,"]")</f>
        <v xml:space="preserve"> (Соединительные трубы) Максимальный перепад высот: S[15]</v>
      </c>
      <c r="AB426" t="str">
        <f>CONCATENATE(AB$2,": ",AB$3,list1!AB426,"]")</f>
        <v xml:space="preserve"> (Допустимая темп. наружного воздуха) Охлаждение: S[от -15 до +43]</v>
      </c>
      <c r="AC426" t="str">
        <f>CONCATENATE(AC$2,": ",AC$3,list1!AC426,"]")</f>
        <v xml:space="preserve"> (Допустимая темп. наружного воздуха) Обогрев: S[от -15 до +24]</v>
      </c>
      <c r="AD426" s="6" t="s">
        <v>5245</v>
      </c>
    </row>
    <row r="427" spans="1:30" x14ac:dyDescent="0.25">
      <c r="A427" t="str">
        <f>CONCATENATE(A$2,": ",A$3,list1!A427,"]")</f>
        <v>Производитель: E[TOSOT]</v>
      </c>
      <c r="B427" t="str">
        <f>CONCATENATE(B$2,": ",B$3,list1!B427,"]")</f>
        <v xml:space="preserve"> Тип: S[Кассетные]</v>
      </c>
      <c r="C427" t="str">
        <f>CONCATENATE(C$2,": ",C$3,list1!C427,"]")</f>
        <v xml:space="preserve"> (Сплит система) Холодопроизводительность: N[8.3]</v>
      </c>
      <c r="D427" t="str">
        <f>CONCATENATE(D$2,": ",D$3,list1!D427,"]")</f>
        <v xml:space="preserve"> (Сплит система) Площадь помещения: N[83]</v>
      </c>
      <c r="E427" t="str">
        <f>CONCATENATE(E$2,": ",E$3,list1!E427,"]")</f>
        <v xml:space="preserve"> (Сплит система) Инвентор: S[нет]</v>
      </c>
      <c r="F427" t="str">
        <f>CONCATENATE(F$2,": ",F$3,list1!F427,"]")</f>
        <v xml:space="preserve"> (Сплит система) Теплопроизводительность: N[8.8]</v>
      </c>
      <c r="G427" t="str">
        <f>CONCATENATE(G$2,": ",G$3,list1!G427,"]")</f>
        <v xml:space="preserve"> (Потребляемая мощность) Охлаждение: N[2.8]</v>
      </c>
      <c r="H427" t="str">
        <f>CONCATENATE(H$2,": ",H$3,list1!H427,"]")</f>
        <v xml:space="preserve"> (Потребляемая мощность) Обогрев: S[2.7]</v>
      </c>
      <c r="I427" t="str">
        <f>CONCATENATE(I$2,": ",I$3,list1!I427,"]")</f>
        <v xml:space="preserve"> (Рабочий ток) Охлаждение: S[]</v>
      </c>
      <c r="J427" t="str">
        <f>CONCATENATE(J$2,": ",J$3,list1!J427,"]")</f>
        <v xml:space="preserve"> (Рабочий ток) Обогрев: S[]</v>
      </c>
      <c r="K427" t="str">
        <f>CONCATENATE(K$2,": ",K$3,list1!K427,"]")</f>
        <v xml:space="preserve"> (Рабочий ток) Напряжение / Частота источника питания: S[1 / 220 / 50]</v>
      </c>
      <c r="L427" t="str">
        <f>CONCATENATE(L$2,": ",L$3,list1!L427,"]")</f>
        <v xml:space="preserve"> (Рабочий ток) Хладагент: S[R410A]</v>
      </c>
      <c r="M427" t="str">
        <f>CONCATENATE(M$2,": ",M$3,list1!M427,"]")</f>
        <v xml:space="preserve"> (Рабочий ток) Количество хладагента: N[]</v>
      </c>
      <c r="N427" t="str">
        <f>CONCATENATE(N$2,": ",N$3,list1!N427,"]")</f>
        <v xml:space="preserve"> (Рабочий ток) Объем рециркулируемого воздуха внутреннего блока: S[]</v>
      </c>
      <c r="O427" t="str">
        <f>CONCATENATE(O$2,": ",O$3,list1!O427,"]")</f>
        <v xml:space="preserve"> (Внутренний блок) Размеры (Ш x Г x В): S[950 х 52 х 950]</v>
      </c>
      <c r="P427" t="str">
        <f>CONCATENATE(P$2,": ",P$3,list1!P427,"]")</f>
        <v xml:space="preserve"> (Внутренний блок) Упаковка (Ш x Г x В): S[1033 х 1038 х 112]</v>
      </c>
      <c r="Q427" t="str">
        <f>CONCATENATE(Q$2,": ",Q$3,list1!Q427,"]")</f>
        <v xml:space="preserve"> (Внутренний блок) Масса (нетто / брутто): S[6 / 9.5]</v>
      </c>
      <c r="R427" t="str">
        <f>CONCATENATE(R$2,": ",R$3,list1!R427,"]")</f>
        <v xml:space="preserve"> (Внутренний блок) Уровень шума мин. / макс.: S[45/48/50/52]</v>
      </c>
      <c r="S427" t="str">
        <f>CONCATENATE(S$2,": ",S$3,list1!S427,"]")</f>
        <v xml:space="preserve"> (Наружный блок) Марка компрессора: S[Gree]</v>
      </c>
      <c r="T427" t="str">
        <f>CONCATENATE(T$2,": ",T$3,list1!T427,"]")</f>
        <v xml:space="preserve"> (Наружный блок) Размеры (Ш x Г x В): S[340 х 892 х 698]</v>
      </c>
      <c r="U427" t="str">
        <f>CONCATENATE(U$2,": ",U$3,list1!U427,"]")</f>
        <v xml:space="preserve"> (Наружный блок) Упаковка (Ш x Г x В): S[458 х 1029 х 750]</v>
      </c>
      <c r="V427" t="str">
        <f>CONCATENATE(V$2,": ",V$3,list1!V427,"]")</f>
        <v xml:space="preserve"> (Наружный блок) Масса (нетто / брутто): S[64/69]</v>
      </c>
      <c r="W427" t="str">
        <f>CONCATENATE(W$2,": ",W$3,list1!W427,"]")</f>
        <v xml:space="preserve"> (Наружный блок) Максимальный уровень шума: N[]</v>
      </c>
      <c r="X427" t="str">
        <f>CONCATENATE(X$2,": ",X$3,list1!X427,"]")</f>
        <v xml:space="preserve"> (Соединительные трубы) Жидкостная линия : N[9.52]</v>
      </c>
      <c r="Y427" t="str">
        <f>CONCATENATE(Y$2,": ",Y$3,list1!Y427,"]")</f>
        <v xml:space="preserve"> (Соединительные трубы) Газовая линия : N[15.88]</v>
      </c>
      <c r="Z427" t="str">
        <f>CONCATENATE(Z$2,": ",Z$3,list1!Z427,"]")</f>
        <v xml:space="preserve"> (Соединительные трубы) Максимальная длина трубопровода: N[30]</v>
      </c>
      <c r="AA427" t="str">
        <f>CONCATENATE(AA$2,": ",AA$3,list1!AA427,"]")</f>
        <v xml:space="preserve"> (Соединительные трубы) Максимальный перепад высот: S[15]</v>
      </c>
      <c r="AB427" t="str">
        <f>CONCATENATE(AB$2,": ",AB$3,list1!AB427,"]")</f>
        <v xml:space="preserve"> (Допустимая темп. наружного воздуха) Охлаждение: S[от -15 до +48]</v>
      </c>
      <c r="AC427" t="str">
        <f>CONCATENATE(AC$2,": ",AC$3,list1!AC427,"]")</f>
        <v xml:space="preserve"> (Допустимая темп. наружного воздуха) Обогрев: S[от -15 до +24]</v>
      </c>
      <c r="AD427" s="6" t="s">
        <v>5245</v>
      </c>
    </row>
    <row r="428" spans="1:30" x14ac:dyDescent="0.25">
      <c r="A428" t="str">
        <f>CONCATENATE(A$2,": ",A$3,list1!A428,"]")</f>
        <v>Производитель: E[TOSOT]</v>
      </c>
      <c r="B428" t="str">
        <f>CONCATENATE(B$2,": ",B$3,list1!B428,"]")</f>
        <v xml:space="preserve"> Тип: S[Кассетные]</v>
      </c>
      <c r="C428" t="str">
        <f>CONCATENATE(C$2,": ",C$3,list1!C428,"]")</f>
        <v xml:space="preserve"> (Сплит система) Холодопроизводительность: N[10]</v>
      </c>
      <c r="D428" t="str">
        <f>CONCATENATE(D$2,": ",D$3,list1!D428,"]")</f>
        <v xml:space="preserve"> (Сплит система) Площадь помещения: N[100]</v>
      </c>
      <c r="E428" t="str">
        <f>CONCATENATE(E$2,": ",E$3,list1!E428,"]")</f>
        <v xml:space="preserve"> (Сплит система) Инвентор: S[нет]</v>
      </c>
      <c r="F428" t="str">
        <f>CONCATENATE(F$2,": ",F$3,list1!F428,"]")</f>
        <v xml:space="preserve"> (Сплит система) Теплопроизводительность: N[11.5]</v>
      </c>
      <c r="G428" t="str">
        <f>CONCATENATE(G$2,": ",G$3,list1!G428,"]")</f>
        <v xml:space="preserve"> (Потребляемая мощность) Охлаждение: N[3.5]</v>
      </c>
      <c r="H428" t="str">
        <f>CONCATENATE(H$2,": ",H$3,list1!H428,"]")</f>
        <v xml:space="preserve"> (Потребляемая мощность) Обогрев: S[3.3]</v>
      </c>
      <c r="I428" t="str">
        <f>CONCATENATE(I$2,": ",I$3,list1!I428,"]")</f>
        <v xml:space="preserve"> (Рабочий ток) Охлаждение: S[]</v>
      </c>
      <c r="J428" t="str">
        <f>CONCATENATE(J$2,": ",J$3,list1!J428,"]")</f>
        <v xml:space="preserve"> (Рабочий ток) Обогрев: S[]</v>
      </c>
      <c r="K428" t="str">
        <f>CONCATENATE(K$2,": ",K$3,list1!K428,"]")</f>
        <v xml:space="preserve"> (Рабочий ток) Напряжение / Частота источника питания: S[3 / 380 / 50]</v>
      </c>
      <c r="L428" t="str">
        <f>CONCATENATE(L$2,": ",L$3,list1!L428,"]")</f>
        <v xml:space="preserve"> (Рабочий ток) Хладагент: S[R410A]</v>
      </c>
      <c r="M428" t="str">
        <f>CONCATENATE(M$2,": ",M$3,list1!M428,"]")</f>
        <v xml:space="preserve"> (Рабочий ток) Количество хладагента: N[]</v>
      </c>
      <c r="N428" t="str">
        <f>CONCATENATE(N$2,": ",N$3,list1!N428,"]")</f>
        <v xml:space="preserve"> (Рабочий ток) Объем рециркулируемого воздуха внутреннего блока: S[]</v>
      </c>
      <c r="O428" t="str">
        <f>CONCATENATE(O$2,": ",O$3,list1!O428,"]")</f>
        <v xml:space="preserve"> (Внутренний блок) Размеры (Ш x Г x В): S[950 х 60 х 950]</v>
      </c>
      <c r="P428" t="str">
        <f>CONCATENATE(P$2,": ",P$3,list1!P428,"]")</f>
        <v xml:space="preserve"> (Внутренний блок) Упаковка (Ш x Г x В): S[1038 х 1033 х 133]</v>
      </c>
      <c r="Q428" t="str">
        <f>CONCATENATE(Q$2,": ",Q$3,list1!Q428,"]")</f>
        <v xml:space="preserve"> (Внутренний блок) Масса (нетто / брутто): S[7 / 11]</v>
      </c>
      <c r="R428" t="str">
        <f>CONCATENATE(R$2,": ",R$3,list1!R428,"]")</f>
        <v xml:space="preserve"> (Внутренний блок) Уровень шума мин. / макс.: S[52/47/46/43]</v>
      </c>
      <c r="S428" t="str">
        <f>CONCATENATE(S$2,": ",S$3,list1!S428,"]")</f>
        <v xml:space="preserve"> (Наружный блок) Марка компрессора: S[HITACHI]</v>
      </c>
      <c r="T428" t="str">
        <f>CONCATENATE(T$2,": ",T$3,list1!T428,"]")</f>
        <v xml:space="preserve"> (Наружный блок) Размеры (Ш x Г x В): S[980 х 425 х 790]</v>
      </c>
      <c r="U428" t="str">
        <f>CONCATENATE(U$2,": ",U$3,list1!U428,"]")</f>
        <v xml:space="preserve"> (Наружный блок) Упаковка (Ш x Г x В): S[1083 х 488 х 875]</v>
      </c>
      <c r="V428" t="str">
        <f>CONCATENATE(V$2,": ",V$3,list1!V428,"]")</f>
        <v xml:space="preserve"> (Наружный блок) Масса (нетто / брутто): S[69/74]</v>
      </c>
      <c r="W428" t="str">
        <f>CONCATENATE(W$2,": ",W$3,list1!W428,"]")</f>
        <v xml:space="preserve"> (Наружный блок) Максимальный уровень шума: N[]</v>
      </c>
      <c r="X428" t="str">
        <f>CONCATENATE(X$2,": ",X$3,list1!X428,"]")</f>
        <v xml:space="preserve"> (Соединительные трубы) Жидкостная линия : N[9.52]</v>
      </c>
      <c r="Y428" t="str">
        <f>CONCATENATE(Y$2,": ",Y$3,list1!Y428,"]")</f>
        <v xml:space="preserve"> (Соединительные трубы) Газовая линия : N[19]</v>
      </c>
      <c r="Z428" t="str">
        <f>CONCATENATE(Z$2,": ",Z$3,list1!Z428,"]")</f>
        <v xml:space="preserve"> (Соединительные трубы) Максимальная длина трубопровода: N[30]</v>
      </c>
      <c r="AA428" t="str">
        <f>CONCATENATE(AA$2,": ",AA$3,list1!AA428,"]")</f>
        <v xml:space="preserve"> (Соединительные трубы) Максимальный перепад высот: S[15]</v>
      </c>
      <c r="AB428" t="str">
        <f>CONCATENATE(AB$2,": ",AB$3,list1!AB428,"]")</f>
        <v xml:space="preserve"> (Допустимая темп. наружного воздуха) Охлаждение: S[от -15 до +43]</v>
      </c>
      <c r="AC428" t="str">
        <f>CONCATENATE(AC$2,": ",AC$3,list1!AC428,"]")</f>
        <v xml:space="preserve"> (Допустимая темп. наружного воздуха) Обогрев: S[от -15 до +24]</v>
      </c>
      <c r="AD428" s="6" t="s">
        <v>5245</v>
      </c>
    </row>
    <row r="429" spans="1:30" x14ac:dyDescent="0.25">
      <c r="A429" t="str">
        <f>CONCATENATE(A$2,": ",A$3,list1!A429,"]")</f>
        <v>Производитель: E[TOSOT]</v>
      </c>
      <c r="B429" t="str">
        <f>CONCATENATE(B$2,": ",B$3,list1!B429,"]")</f>
        <v xml:space="preserve"> Тип: S[Кассетные]</v>
      </c>
      <c r="C429" t="str">
        <f>CONCATENATE(C$2,": ",C$3,list1!C429,"]")</f>
        <v xml:space="preserve"> (Сплит система) Холодопроизводительность: N[10.01]</v>
      </c>
      <c r="D429" t="str">
        <f>CONCATENATE(D$2,": ",D$3,list1!D429,"]")</f>
        <v xml:space="preserve"> (Сплит система) Площадь помещения: N[100]</v>
      </c>
      <c r="E429" t="str">
        <f>CONCATENATE(E$2,": ",E$3,list1!E429,"]")</f>
        <v xml:space="preserve"> (Сплит система) Инвентор: S[нет]</v>
      </c>
      <c r="F429" t="str">
        <f>CONCATENATE(F$2,": ",F$3,list1!F429,"]")</f>
        <v xml:space="preserve"> (Сплит система) Теплопроизводительность: N[12]</v>
      </c>
      <c r="G429" t="str">
        <f>CONCATENATE(G$2,": ",G$3,list1!G429,"]")</f>
        <v xml:space="preserve"> (Потребляемая мощность) Охлаждение: N[3.25]</v>
      </c>
      <c r="H429" t="str">
        <f>CONCATENATE(H$2,": ",H$3,list1!H429,"]")</f>
        <v xml:space="preserve"> (Потребляемая мощность) Обогрев: S[3.2]</v>
      </c>
      <c r="I429" t="str">
        <f>CONCATENATE(I$2,": ",I$3,list1!I429,"]")</f>
        <v xml:space="preserve"> (Рабочий ток) Охлаждение: S[]</v>
      </c>
      <c r="J429" t="str">
        <f>CONCATENATE(J$2,": ",J$3,list1!J429,"]")</f>
        <v xml:space="preserve"> (Рабочий ток) Обогрев: S[]</v>
      </c>
      <c r="K429" t="str">
        <f>CONCATENATE(K$2,": ",K$3,list1!K429,"]")</f>
        <v xml:space="preserve"> (Рабочий ток) Напряжение / Частота источника питания: S[3 / 380 / 50]</v>
      </c>
      <c r="L429" t="str">
        <f>CONCATENATE(L$2,": ",L$3,list1!L429,"]")</f>
        <v xml:space="preserve"> (Рабочий ток) Хладагент: S[R410A]</v>
      </c>
      <c r="M429" t="str">
        <f>CONCATENATE(M$2,": ",M$3,list1!M429,"]")</f>
        <v xml:space="preserve"> (Рабочий ток) Количество хладагента: N[]</v>
      </c>
      <c r="N429" t="str">
        <f>CONCATENATE(N$2,": ",N$3,list1!N429,"]")</f>
        <v xml:space="preserve"> (Рабочий ток) Объем рециркулируемого воздуха внутреннего блока: S[]</v>
      </c>
      <c r="O429" t="str">
        <f>CONCATENATE(O$2,": ",O$3,list1!O429,"]")</f>
        <v xml:space="preserve"> (Внутренний блок) Размеры (Ш x Г x В): S[950 х 52 х 950]</v>
      </c>
      <c r="P429" t="str">
        <f>CONCATENATE(P$2,": ",P$3,list1!P429,"]")</f>
        <v xml:space="preserve"> (Внутренний блок) Упаковка (Ш x Г x В): S[1033 х 1038 х 112]</v>
      </c>
      <c r="Q429" t="str">
        <f>CONCATENATE(Q$2,": ",Q$3,list1!Q429,"]")</f>
        <v xml:space="preserve"> (Внутренний блок) Масса (нетто / брутто): S[6 / 9.5]</v>
      </c>
      <c r="R429" t="str">
        <f>CONCATENATE(R$2,": ",R$3,list1!R429,"]")</f>
        <v xml:space="preserve"> (Внутренний блок) Уровень шума мин. / макс.: S[45/48/50/52]</v>
      </c>
      <c r="S429" t="str">
        <f>CONCATENATE(S$2,": ",S$3,list1!S429,"]")</f>
        <v xml:space="preserve"> (Наружный блок) Марка компрессора: S[Gree]</v>
      </c>
      <c r="T429" t="str">
        <f>CONCATENATE(T$2,": ",T$3,list1!T429,"]")</f>
        <v xml:space="preserve"> (Наружный блок) Размеры (Ш x Г x В): S[370 х 920 х 790]</v>
      </c>
      <c r="U429" t="str">
        <f>CONCATENATE(U$2,": ",U$3,list1!U429,"]")</f>
        <v xml:space="preserve"> (Наружный блок) Упаковка (Ш x Г x В): S[1083 х 488 х 875]</v>
      </c>
      <c r="V429" t="str">
        <f>CONCATENATE(V$2,": ",V$3,list1!V429,"]")</f>
        <v xml:space="preserve"> (Наружный блок) Масса (нетто / брутто): S[70/75]</v>
      </c>
      <c r="W429" t="str">
        <f>CONCATENATE(W$2,": ",W$3,list1!W429,"]")</f>
        <v xml:space="preserve"> (Наружный блок) Максимальный уровень шума: N[]</v>
      </c>
      <c r="X429" t="str">
        <f>CONCATENATE(X$2,": ",X$3,list1!X429,"]")</f>
        <v xml:space="preserve"> (Соединительные трубы) Жидкостная линия : N[9.52]</v>
      </c>
      <c r="Y429" t="str">
        <f>CONCATENATE(Y$2,": ",Y$3,list1!Y429,"]")</f>
        <v xml:space="preserve"> (Соединительные трубы) Газовая линия : N[15.88]</v>
      </c>
      <c r="Z429" t="str">
        <f>CONCATENATE(Z$2,": ",Z$3,list1!Z429,"]")</f>
        <v xml:space="preserve"> (Соединительные трубы) Максимальная длина трубопровода: N[30]</v>
      </c>
      <c r="AA429" t="str">
        <f>CONCATENATE(AA$2,": ",AA$3,list1!AA429,"]")</f>
        <v xml:space="preserve"> (Соединительные трубы) Максимальный перепад высот: S[20]</v>
      </c>
      <c r="AB429" t="str">
        <f>CONCATENATE(AB$2,": ",AB$3,list1!AB429,"]")</f>
        <v xml:space="preserve"> (Допустимая темп. наружного воздуха) Охлаждение: S[от -15 до +48]</v>
      </c>
      <c r="AC429" t="str">
        <f>CONCATENATE(AC$2,": ",AC$3,list1!AC429,"]")</f>
        <v xml:space="preserve"> (Допустимая темп. наружного воздуха) Обогрев: S[от -15 до +24]</v>
      </c>
      <c r="AD429" s="6" t="s">
        <v>5245</v>
      </c>
    </row>
    <row r="430" spans="1:30" x14ac:dyDescent="0.25">
      <c r="A430" t="str">
        <f>CONCATENATE(A$2,": ",A$3,list1!A430,"]")</f>
        <v>Производитель: E[TOSOT]</v>
      </c>
      <c r="B430" t="str">
        <f>CONCATENATE(B$2,": ",B$3,list1!B430,"]")</f>
        <v xml:space="preserve"> Тип: S[Кассетные]</v>
      </c>
      <c r="C430" t="str">
        <f>CONCATENATE(C$2,": ",C$3,list1!C430,"]")</f>
        <v xml:space="preserve"> (Сплит система) Холодопроизводительность: N[12]</v>
      </c>
      <c r="D430" t="str">
        <f>CONCATENATE(D$2,": ",D$3,list1!D430,"]")</f>
        <v xml:space="preserve"> (Сплит система) Площадь помещения: N[120]</v>
      </c>
      <c r="E430" t="str">
        <f>CONCATENATE(E$2,": ",E$3,list1!E430,"]")</f>
        <v xml:space="preserve"> (Сплит система) Инвентор: S[нет]</v>
      </c>
      <c r="F430" t="str">
        <f>CONCATENATE(F$2,": ",F$3,list1!F430,"]")</f>
        <v xml:space="preserve"> (Сплит система) Теплопроизводительность: N[13.5]</v>
      </c>
      <c r="G430" t="str">
        <f>CONCATENATE(G$2,": ",G$3,list1!G430,"]")</f>
        <v xml:space="preserve"> (Потребляемая мощность) Охлаждение: N[4.2]</v>
      </c>
      <c r="H430" t="str">
        <f>CONCATENATE(H$2,": ",H$3,list1!H430,"]")</f>
        <v xml:space="preserve"> (Потребляемая мощность) Обогрев: S[4]</v>
      </c>
      <c r="I430" t="str">
        <f>CONCATENATE(I$2,": ",I$3,list1!I430,"]")</f>
        <v xml:space="preserve"> (Рабочий ток) Охлаждение: S[]</v>
      </c>
      <c r="J430" t="str">
        <f>CONCATENATE(J$2,": ",J$3,list1!J430,"]")</f>
        <v xml:space="preserve"> (Рабочий ток) Обогрев: S[]</v>
      </c>
      <c r="K430" t="str">
        <f>CONCATENATE(K$2,": ",K$3,list1!K430,"]")</f>
        <v xml:space="preserve"> (Рабочий ток) Напряжение / Частота источника питания: S[3 / 380 / 50]</v>
      </c>
      <c r="L430" t="str">
        <f>CONCATENATE(L$2,": ",L$3,list1!L430,"]")</f>
        <v xml:space="preserve"> (Рабочий ток) Хладагент: S[R410A]</v>
      </c>
      <c r="M430" t="str">
        <f>CONCATENATE(M$2,": ",M$3,list1!M430,"]")</f>
        <v xml:space="preserve"> (Рабочий ток) Количество хладагента: N[]</v>
      </c>
      <c r="N430" t="str">
        <f>CONCATENATE(N$2,": ",N$3,list1!N430,"]")</f>
        <v xml:space="preserve"> (Рабочий ток) Объем рециркулируемого воздуха внутреннего блока: S[]</v>
      </c>
      <c r="O430" t="str">
        <f>CONCATENATE(O$2,": ",O$3,list1!O430,"]")</f>
        <v xml:space="preserve"> (Внутренний блок) Размеры (Ш x Г x В): S[950 х 60 х 950]</v>
      </c>
      <c r="P430" t="str">
        <f>CONCATENATE(P$2,": ",P$3,list1!P430,"]")</f>
        <v xml:space="preserve"> (Внутренний блок) Упаковка (Ш x Г x В): S[1038 х 1033 х 133]</v>
      </c>
      <c r="Q430" t="str">
        <f>CONCATENATE(Q$2,": ",Q$3,list1!Q430,"]")</f>
        <v xml:space="preserve"> (Внутренний блок) Масса (нетто / брутто): S[7 / 11]</v>
      </c>
      <c r="R430" t="str">
        <f>CONCATENATE(R$2,": ",R$3,list1!R430,"]")</f>
        <v xml:space="preserve"> (Внутренний блок) Уровень шума мин. / макс.: S[52/47/46/43]</v>
      </c>
      <c r="S430" t="str">
        <f>CONCATENATE(S$2,": ",S$3,list1!S430,"]")</f>
        <v xml:space="preserve"> (Наружный блок) Марка компрессора: S[HITACHI]</v>
      </c>
      <c r="T430" t="str">
        <f>CONCATENATE(T$2,": ",T$3,list1!T430,"]")</f>
        <v xml:space="preserve"> (Наружный блок) Размеры (Ш x Г x В): S[1120 х 440 х 1100]</v>
      </c>
      <c r="U430" t="str">
        <f>CONCATENATE(U$2,": ",U$3,list1!U430,"]")</f>
        <v xml:space="preserve"> (Наружный блок) Упаковка (Ш x Г x В): S[1235 х 483 х 1158]</v>
      </c>
      <c r="V430" t="str">
        <f>CONCATENATE(V$2,": ",V$3,list1!V430,"]")</f>
        <v xml:space="preserve"> (Наружный блок) Масса (нетто / брутто): S[100/112]</v>
      </c>
      <c r="W430" t="str">
        <f>CONCATENATE(W$2,": ",W$3,list1!W430,"]")</f>
        <v xml:space="preserve"> (Наружный блок) Максимальный уровень шума: N[]</v>
      </c>
      <c r="X430" t="str">
        <f>CONCATENATE(X$2,": ",X$3,list1!X430,"]")</f>
        <v xml:space="preserve"> (Соединительные трубы) Жидкостная линия : N[12.7]</v>
      </c>
      <c r="Y430" t="str">
        <f>CONCATENATE(Y$2,": ",Y$3,list1!Y430,"]")</f>
        <v xml:space="preserve"> (Соединительные трубы) Газовая линия : N[19]</v>
      </c>
      <c r="Z430" t="str">
        <f>CONCATENATE(Z$2,": ",Z$3,list1!Z430,"]")</f>
        <v xml:space="preserve"> (Соединительные трубы) Максимальная длина трубопровода: N[50]</v>
      </c>
      <c r="AA430" t="str">
        <f>CONCATENATE(AA$2,": ",AA$3,list1!AA430,"]")</f>
        <v xml:space="preserve"> (Соединительные трубы) Максимальный перепад высот: S[30]</v>
      </c>
      <c r="AB430" t="str">
        <f>CONCATENATE(AB$2,": ",AB$3,list1!AB430,"]")</f>
        <v xml:space="preserve"> (Допустимая темп. наружного воздуха) Охлаждение: S[от -15 до +43]</v>
      </c>
      <c r="AC430" t="str">
        <f>CONCATENATE(AC$2,": ",AC$3,list1!AC430,"]")</f>
        <v xml:space="preserve"> (Допустимая темп. наружного воздуха) Обогрев: S[от -15 до +24]</v>
      </c>
      <c r="AD430" s="6" t="s">
        <v>5245</v>
      </c>
    </row>
    <row r="431" spans="1:30" x14ac:dyDescent="0.25">
      <c r="A431" t="str">
        <f>CONCATENATE(A$2,": ",A$3,list1!A431,"]")</f>
        <v>Производитель: E[TOSOT]</v>
      </c>
      <c r="B431" t="str">
        <f>CONCATENATE(B$2,": ",B$3,list1!B431,"]")</f>
        <v xml:space="preserve"> Тип: S[Кассетные]</v>
      </c>
      <c r="C431" t="str">
        <f>CONCATENATE(C$2,": ",C$3,list1!C431,"]")</f>
        <v xml:space="preserve"> (Сплит система) Холодопроизводительность: N[14]</v>
      </c>
      <c r="D431" t="str">
        <f>CONCATENATE(D$2,": ",D$3,list1!D431,"]")</f>
        <v xml:space="preserve"> (Сплит система) Площадь помещения: N[140]</v>
      </c>
      <c r="E431" t="str">
        <f>CONCATENATE(E$2,": ",E$3,list1!E431,"]")</f>
        <v xml:space="preserve"> (Сплит система) Инвентор: S[нет]</v>
      </c>
      <c r="F431" t="str">
        <f>CONCATENATE(F$2,": ",F$3,list1!F431,"]")</f>
        <v xml:space="preserve"> (Сплит система) Теплопроизводительность: N[14.8]</v>
      </c>
      <c r="G431" t="str">
        <f>CONCATENATE(G$2,": ",G$3,list1!G431,"]")</f>
        <v xml:space="preserve"> (Потребляемая мощность) Охлаждение: N[4.8]</v>
      </c>
      <c r="H431" t="str">
        <f>CONCATENATE(H$2,": ",H$3,list1!H431,"]")</f>
        <v xml:space="preserve"> (Потребляемая мощность) Обогрев: S[4.9]</v>
      </c>
      <c r="I431" t="str">
        <f>CONCATENATE(I$2,": ",I$3,list1!I431,"]")</f>
        <v xml:space="preserve"> (Рабочий ток) Охлаждение: S[]</v>
      </c>
      <c r="J431" t="str">
        <f>CONCATENATE(J$2,": ",J$3,list1!J431,"]")</f>
        <v xml:space="preserve"> (Рабочий ток) Обогрев: S[]</v>
      </c>
      <c r="K431" t="str">
        <f>CONCATENATE(K$2,": ",K$3,list1!K431,"]")</f>
        <v xml:space="preserve"> (Рабочий ток) Напряжение / Частота источника питания: S[3 / 380 / 50]</v>
      </c>
      <c r="L431" t="str">
        <f>CONCATENATE(L$2,": ",L$3,list1!L431,"]")</f>
        <v xml:space="preserve"> (Рабочий ток) Хладагент: S[R410A]</v>
      </c>
      <c r="M431" t="str">
        <f>CONCATENATE(M$2,": ",M$3,list1!M431,"]")</f>
        <v xml:space="preserve"> (Рабочий ток) Количество хладагента: N[]</v>
      </c>
      <c r="N431" t="str">
        <f>CONCATENATE(N$2,": ",N$3,list1!N431,"]")</f>
        <v xml:space="preserve"> (Рабочий ток) Объем рециркулируемого воздуха внутреннего блока: S[]</v>
      </c>
      <c r="O431" t="str">
        <f>CONCATENATE(O$2,": ",O$3,list1!O431,"]")</f>
        <v xml:space="preserve"> (Внутренний блок) Размеры (Ш x Г x В): S[950 х 60 х 950]</v>
      </c>
      <c r="P431" t="str">
        <f>CONCATENATE(P$2,": ",P$3,list1!P431,"]")</f>
        <v xml:space="preserve"> (Внутренний блок) Упаковка (Ш x Г x В): S[1038 х 1033 х 133]</v>
      </c>
      <c r="Q431" t="str">
        <f>CONCATENATE(Q$2,": ",Q$3,list1!Q431,"]")</f>
        <v xml:space="preserve"> (Внутренний блок) Масса (нетто / брутто): S[7 / 11]</v>
      </c>
      <c r="R431" t="str">
        <f>CONCATENATE(R$2,": ",R$3,list1!R431,"]")</f>
        <v xml:space="preserve"> (Внутренний блок) Уровень шума мин. / макс.: S[]</v>
      </c>
      <c r="S431" t="str">
        <f>CONCATENATE(S$2,": ",S$3,list1!S431,"]")</f>
        <v xml:space="preserve"> (Наружный блок) Марка компрессора: S[SANYO]</v>
      </c>
      <c r="T431" t="str">
        <f>CONCATENATE(T$2,": ",T$3,list1!T431,"]")</f>
        <v xml:space="preserve"> (Наружный блок) Размеры (Ш x Г x В): S[1120 х 440 х 1100]</v>
      </c>
      <c r="U431" t="str">
        <f>CONCATENATE(U$2,": ",U$3,list1!U431,"]")</f>
        <v xml:space="preserve"> (Наружный блок) Упаковка (Ш x Г x В): S[1235 х 483 х 1158]</v>
      </c>
      <c r="V431" t="str">
        <f>CONCATENATE(V$2,": ",V$3,list1!V431,"]")</f>
        <v xml:space="preserve"> (Наружный блок) Масса (нетто / брутто): S[103/115]</v>
      </c>
      <c r="W431" t="str">
        <f>CONCATENATE(W$2,": ",W$3,list1!W431,"]")</f>
        <v xml:space="preserve"> (Наружный блок) Максимальный уровень шума: N[]</v>
      </c>
      <c r="X431" t="str">
        <f>CONCATENATE(X$2,": ",X$3,list1!X431,"]")</f>
        <v xml:space="preserve"> (Соединительные трубы) Жидкостная линия : N[12.7]</v>
      </c>
      <c r="Y431" t="str">
        <f>CONCATENATE(Y$2,": ",Y$3,list1!Y431,"]")</f>
        <v xml:space="preserve"> (Соединительные трубы) Газовая линия : N[19]</v>
      </c>
      <c r="Z431" t="str">
        <f>CONCATENATE(Z$2,": ",Z$3,list1!Z431,"]")</f>
        <v xml:space="preserve"> (Соединительные трубы) Максимальная длина трубопровода: N[50]</v>
      </c>
      <c r="AA431" t="str">
        <f>CONCATENATE(AA$2,": ",AA$3,list1!AA431,"]")</f>
        <v xml:space="preserve"> (Соединительные трубы) Максимальный перепад высот: S[30]</v>
      </c>
      <c r="AB431" t="str">
        <f>CONCATENATE(AB$2,": ",AB$3,list1!AB431,"]")</f>
        <v xml:space="preserve"> (Допустимая темп. наружного воздуха) Охлаждение: S[от -15 до +43]</v>
      </c>
      <c r="AC431" t="str">
        <f>CONCATENATE(AC$2,": ",AC$3,list1!AC431,"]")</f>
        <v xml:space="preserve"> (Допустимая темп. наружного воздуха) Обогрев: S[от -15 до +24]</v>
      </c>
      <c r="AD431" s="6" t="s">
        <v>5245</v>
      </c>
    </row>
    <row r="432" spans="1:30" x14ac:dyDescent="0.25">
      <c r="A432" t="str">
        <f>CONCATENATE(A$2,": ",A$3,list1!A432,"]")</f>
        <v>Производитель: E[TOSOT]</v>
      </c>
      <c r="B432" t="str">
        <f>CONCATENATE(B$2,": ",B$3,list1!B432,"]")</f>
        <v xml:space="preserve"> Тип: S[Кассетные]</v>
      </c>
      <c r="C432" t="str">
        <f>CONCATENATE(C$2,": ",C$3,list1!C432,"]")</f>
        <v xml:space="preserve"> (Сплит система) Холодопроизводительность: N[14.1]</v>
      </c>
      <c r="D432" t="str">
        <f>CONCATENATE(D$2,": ",D$3,list1!D432,"]")</f>
        <v xml:space="preserve"> (Сплит система) Площадь помещения: N[141]</v>
      </c>
      <c r="E432" t="str">
        <f>CONCATENATE(E$2,": ",E$3,list1!E432,"]")</f>
        <v xml:space="preserve"> (Сплит система) Инвентор: S[нет]</v>
      </c>
      <c r="F432" t="str">
        <f>CONCATENATE(F$2,": ",F$3,list1!F432,"]")</f>
        <v xml:space="preserve"> (Сплит система) Теплопроизводительность: N[15.1]</v>
      </c>
      <c r="G432" t="str">
        <f>CONCATENATE(G$2,": ",G$3,list1!G432,"]")</f>
        <v xml:space="preserve"> (Потребляемая мощность) Охлаждение: N[4.5]</v>
      </c>
      <c r="H432" t="str">
        <f>CONCATENATE(H$2,": ",H$3,list1!H432,"]")</f>
        <v xml:space="preserve"> (Потребляемая мощность) Обогрев: S[4.3]</v>
      </c>
      <c r="I432" t="str">
        <f>CONCATENATE(I$2,": ",I$3,list1!I432,"]")</f>
        <v xml:space="preserve"> (Рабочий ток) Охлаждение: S[]</v>
      </c>
      <c r="J432" t="str">
        <f>CONCATENATE(J$2,": ",J$3,list1!J432,"]")</f>
        <v xml:space="preserve"> (Рабочий ток) Обогрев: S[]</v>
      </c>
      <c r="K432" t="str">
        <f>CONCATENATE(K$2,": ",K$3,list1!K432,"]")</f>
        <v xml:space="preserve"> (Рабочий ток) Напряжение / Частота источника питания: S[3 / 380 / 50]</v>
      </c>
      <c r="L432" t="str">
        <f>CONCATENATE(L$2,": ",L$3,list1!L432,"]")</f>
        <v xml:space="preserve"> (Рабочий ток) Хладагент: S[R410A]</v>
      </c>
      <c r="M432" t="str">
        <f>CONCATENATE(M$2,": ",M$3,list1!M432,"]")</f>
        <v xml:space="preserve"> (Рабочий ток) Количество хладагента: N[]</v>
      </c>
      <c r="N432" t="str">
        <f>CONCATENATE(N$2,": ",N$3,list1!N432,"]")</f>
        <v xml:space="preserve"> (Рабочий ток) Объем рециркулируемого воздуха внутреннего блока: S[]</v>
      </c>
      <c r="O432" t="str">
        <f>CONCATENATE(O$2,": ",O$3,list1!O432,"]")</f>
        <v xml:space="preserve"> (Внутренний блок) Размеры (Ш x Г x В): S[950 х 52 х 950]</v>
      </c>
      <c r="P432" t="str">
        <f>CONCATENATE(P$2,": ",P$3,list1!P432,"]")</f>
        <v xml:space="preserve"> (Внутренний блок) Упаковка (Ш x Г x В): S[1033 х 1038 х 112]</v>
      </c>
      <c r="Q432" t="str">
        <f>CONCATENATE(Q$2,": ",Q$3,list1!Q432,"]")</f>
        <v xml:space="preserve"> (Внутренний блок) Масса (нетто / брутто): S[6 / 9.5]</v>
      </c>
      <c r="R432" t="str">
        <f>CONCATENATE(R$2,": ",R$3,list1!R432,"]")</f>
        <v xml:space="preserve"> (Внутренний блок) Уровень шума мин. / макс.: S[45/47/51/54]</v>
      </c>
      <c r="S432" t="str">
        <f>CONCATENATE(S$2,": ",S$3,list1!S432,"]")</f>
        <v xml:space="preserve"> (Наружный блок) Марка компрессора: S[Gree]</v>
      </c>
      <c r="T432" t="str">
        <f>CONCATENATE(T$2,": ",T$3,list1!T432,"]")</f>
        <v xml:space="preserve"> (Наружный блок) Размеры (Ш x Г x В): S[460 х 940 х 820]</v>
      </c>
      <c r="U432" t="str">
        <f>CONCATENATE(U$2,": ",U$3,list1!U432,"]")</f>
        <v xml:space="preserve"> (Наружный блок) Упаковка (Ш x Г x В): S[573 х 1083 х 973]</v>
      </c>
      <c r="V432" t="str">
        <f>CONCATENATE(V$2,": ",V$3,list1!V432,"]")</f>
        <v xml:space="preserve"> (Наружный блок) Масса (нетто / брутто): S[97/108]</v>
      </c>
      <c r="W432" t="str">
        <f>CONCATENATE(W$2,": ",W$3,list1!W432,"]")</f>
        <v xml:space="preserve"> (Наружный блок) Максимальный уровень шума: N[]</v>
      </c>
      <c r="X432" t="str">
        <f>CONCATENATE(X$2,": ",X$3,list1!X432,"]")</f>
        <v xml:space="preserve"> (Соединительные трубы) Жидкостная линия : N[9.52]</v>
      </c>
      <c r="Y432" t="str">
        <f>CONCATENATE(Y$2,": ",Y$3,list1!Y432,"]")</f>
        <v xml:space="preserve"> (Соединительные трубы) Газовая линия : N[15.88]</v>
      </c>
      <c r="Z432" t="str">
        <f>CONCATENATE(Z$2,": ",Z$3,list1!Z432,"]")</f>
        <v xml:space="preserve"> (Соединительные трубы) Максимальная длина трубопровода: N[50]</v>
      </c>
      <c r="AA432" t="str">
        <f>CONCATENATE(AA$2,": ",AA$3,list1!AA432,"]")</f>
        <v xml:space="preserve"> (Соединительные трубы) Максимальный перепад высот: S[30]</v>
      </c>
      <c r="AB432" t="str">
        <f>CONCATENATE(AB$2,": ",AB$3,list1!AB432,"]")</f>
        <v xml:space="preserve"> (Допустимая темп. наружного воздуха) Охлаждение: S[от -15 до +48]</v>
      </c>
      <c r="AC432" t="str">
        <f>CONCATENATE(AC$2,": ",AC$3,list1!AC432,"]")</f>
        <v xml:space="preserve"> (Допустимая темп. наружного воздуха) Обогрев: S[от -15 до +24]</v>
      </c>
      <c r="AD432" s="6" t="s">
        <v>5245</v>
      </c>
    </row>
    <row r="433" spans="1:30" x14ac:dyDescent="0.25">
      <c r="A433" t="str">
        <f>CONCATENATE(A$2,": ",A$3,list1!A433,"]")</f>
        <v>Производитель: E[TOSOT]</v>
      </c>
      <c r="B433" t="str">
        <f>CONCATENATE(B$2,": ",B$3,list1!B433,"]")</f>
        <v xml:space="preserve"> Тип: S[Кассетные]</v>
      </c>
      <c r="C433" t="str">
        <f>CONCATENATE(C$2,": ",C$3,list1!C433,"]")</f>
        <v xml:space="preserve"> (Сплит система) Холодопроизводительность: N[15]</v>
      </c>
      <c r="D433" t="str">
        <f>CONCATENATE(D$2,": ",D$3,list1!D433,"]")</f>
        <v xml:space="preserve"> (Сплит система) Площадь помещения: N[150]</v>
      </c>
      <c r="E433" t="str">
        <f>CONCATENATE(E$2,": ",E$3,list1!E433,"]")</f>
        <v xml:space="preserve"> (Сплит система) Инвентор: S[нет]</v>
      </c>
      <c r="F433" t="str">
        <f>CONCATENATE(F$2,": ",F$3,list1!F433,"]")</f>
        <v xml:space="preserve"> (Сплит система) Теплопроизводительность: N[16.8]</v>
      </c>
      <c r="G433" t="str">
        <f>CONCATENATE(G$2,": ",G$3,list1!G433,"]")</f>
        <v xml:space="preserve"> (Потребляемая мощность) Охлаждение: N[5.3]</v>
      </c>
      <c r="H433" t="str">
        <f>CONCATENATE(H$2,": ",H$3,list1!H433,"]")</f>
        <v xml:space="preserve"> (Потребляемая мощность) Обогрев: S[5.2]</v>
      </c>
      <c r="I433" t="str">
        <f>CONCATENATE(I$2,": ",I$3,list1!I433,"]")</f>
        <v xml:space="preserve"> (Рабочий ток) Охлаждение: S[]</v>
      </c>
      <c r="J433" t="str">
        <f>CONCATENATE(J$2,": ",J$3,list1!J433,"]")</f>
        <v xml:space="preserve"> (Рабочий ток) Обогрев: S[]</v>
      </c>
      <c r="K433" t="str">
        <f>CONCATENATE(K$2,": ",K$3,list1!K433,"]")</f>
        <v xml:space="preserve"> (Рабочий ток) Напряжение / Частота источника питания: S[3 / 380 / 50]</v>
      </c>
      <c r="L433" t="str">
        <f>CONCATENATE(L$2,": ",L$3,list1!L433,"]")</f>
        <v xml:space="preserve"> (Рабочий ток) Хладагент: S[R410A]</v>
      </c>
      <c r="M433" t="str">
        <f>CONCATENATE(M$2,": ",M$3,list1!M433,"]")</f>
        <v xml:space="preserve"> (Рабочий ток) Количество хладагента: N[]</v>
      </c>
      <c r="N433" t="str">
        <f>CONCATENATE(N$2,": ",N$3,list1!N433,"]")</f>
        <v xml:space="preserve"> (Рабочий ток) Объем рециркулируемого воздуха внутреннего блока: S[]</v>
      </c>
      <c r="O433" t="str">
        <f>CONCATENATE(O$2,": ",O$3,list1!O433,"]")</f>
        <v xml:space="preserve"> (Внутренний блок) Размеры (Ш x Г x В): S[950 х 60 х 950]</v>
      </c>
      <c r="P433" t="str">
        <f>CONCATENATE(P$2,": ",P$3,list1!P433,"]")</f>
        <v xml:space="preserve"> (Внутренний блок) Упаковка (Ш x Г x В): S[1038 х 1033 х 133]</v>
      </c>
      <c r="Q433" t="str">
        <f>CONCATENATE(Q$2,": ",Q$3,list1!Q433,"]")</f>
        <v xml:space="preserve"> (Внутренний блок) Масса (нетто / брутто): S[7 / 11]</v>
      </c>
      <c r="R433" t="str">
        <f>CONCATENATE(R$2,": ",R$3,list1!R433,"]")</f>
        <v xml:space="preserve"> (Внутренний блок) Уровень шума мин. / макс.: S[]</v>
      </c>
      <c r="S433" t="str">
        <f>CONCATENATE(S$2,": ",S$3,list1!S433,"]")</f>
        <v xml:space="preserve"> (Наружный блок) Марка компрессора: S[SANYO]</v>
      </c>
      <c r="T433" t="str">
        <f>CONCATENATE(T$2,": ",T$3,list1!T433,"]")</f>
        <v xml:space="preserve"> (Наружный блок) Размеры (Ш x Г x В): S[980 х 410 х 1350]</v>
      </c>
      <c r="U433" t="str">
        <f>CONCATENATE(U$2,": ",U$3,list1!U433,"]")</f>
        <v xml:space="preserve"> (Наружный блок) Упаковка (Ш x Г x В): S[1027 х 443 х 1500]</v>
      </c>
      <c r="V433" t="str">
        <f>CONCATENATE(V$2,": ",V$3,list1!V433,"]")</f>
        <v xml:space="preserve"> (Наружный блок) Масса (нетто / брутто): S[118/129]</v>
      </c>
      <c r="W433" t="str">
        <f>CONCATENATE(W$2,": ",W$3,list1!W433,"]")</f>
        <v xml:space="preserve"> (Наружный блок) Максимальный уровень шума: N[]</v>
      </c>
      <c r="X433" t="str">
        <f>CONCATENATE(X$2,": ",X$3,list1!X433,"]")</f>
        <v xml:space="preserve"> (Соединительные трубы) Жидкостная линия : N[12.7]</v>
      </c>
      <c r="Y433" t="str">
        <f>CONCATENATE(Y$2,": ",Y$3,list1!Y433,"]")</f>
        <v xml:space="preserve"> (Соединительные трубы) Газовая линия : N[19]</v>
      </c>
      <c r="Z433" t="str">
        <f>CONCATENATE(Z$2,": ",Z$3,list1!Z433,"]")</f>
        <v xml:space="preserve"> (Соединительные трубы) Максимальная длина трубопровода: N[50]</v>
      </c>
      <c r="AA433" t="str">
        <f>CONCATENATE(AA$2,": ",AA$3,list1!AA433,"]")</f>
        <v xml:space="preserve"> (Соединительные трубы) Максимальный перепад высот: S[30]</v>
      </c>
      <c r="AB433" t="str">
        <f>CONCATENATE(AB$2,": ",AB$3,list1!AB433,"]")</f>
        <v xml:space="preserve"> (Допустимая темп. наружного воздуха) Охлаждение: S[от -15 до +43]</v>
      </c>
      <c r="AC433" t="str">
        <f>CONCATENATE(AC$2,": ",AC$3,list1!AC433,"]")</f>
        <v xml:space="preserve"> (Допустимая темп. наружного воздуха) Обогрев: S[от -15 до +24]</v>
      </c>
      <c r="AD433" s="6" t="s">
        <v>5245</v>
      </c>
    </row>
    <row r="434" spans="1:30" x14ac:dyDescent="0.25">
      <c r="A434" t="str">
        <f>CONCATENATE(A$2,": ",A$3,list1!A434,"]")</f>
        <v>Производитель: E[TOSOT]</v>
      </c>
      <c r="B434" t="str">
        <f>CONCATENATE(B$2,": ",B$3,list1!B434,"]")</f>
        <v xml:space="preserve"> Тип: S[Кассетные]</v>
      </c>
      <c r="C434" t="str">
        <f>CONCATENATE(C$2,": ",C$3,list1!C434,"]")</f>
        <v xml:space="preserve"> (Сплит система) Холодопроизводительность: N[15]</v>
      </c>
      <c r="D434" t="str">
        <f>CONCATENATE(D$2,": ",D$3,list1!D434,"]")</f>
        <v xml:space="preserve"> (Сплит система) Площадь помещения: N[150]</v>
      </c>
      <c r="E434" t="str">
        <f>CONCATENATE(E$2,": ",E$3,list1!E434,"]")</f>
        <v xml:space="preserve"> (Сплит система) Инвентор: S[нет]</v>
      </c>
      <c r="F434" t="str">
        <f>CONCATENATE(F$2,": ",F$3,list1!F434,"]")</f>
        <v xml:space="preserve"> (Сплит система) Теплопроизводительность: N[17.4]</v>
      </c>
      <c r="G434" t="str">
        <f>CONCATENATE(G$2,": ",G$3,list1!G434,"]")</f>
        <v xml:space="preserve"> (Потребляемая мощность) Охлаждение: N[5.3]</v>
      </c>
      <c r="H434" t="str">
        <f>CONCATENATE(H$2,": ",H$3,list1!H434,"]")</f>
        <v xml:space="preserve"> (Потребляемая мощность) Обогрев: S[5.6]</v>
      </c>
      <c r="I434" t="str">
        <f>CONCATENATE(I$2,": ",I$3,list1!I434,"]")</f>
        <v xml:space="preserve"> (Рабочий ток) Охлаждение: S[]</v>
      </c>
      <c r="J434" t="str">
        <f>CONCATENATE(J$2,": ",J$3,list1!J434,"]")</f>
        <v xml:space="preserve"> (Рабочий ток) Обогрев: S[]</v>
      </c>
      <c r="K434" t="str">
        <f>CONCATENATE(K$2,": ",K$3,list1!K434,"]")</f>
        <v xml:space="preserve"> (Рабочий ток) Напряжение / Частота источника питания: S[3 / 380 / 50]</v>
      </c>
      <c r="L434" t="str">
        <f>CONCATENATE(L$2,": ",L$3,list1!L434,"]")</f>
        <v xml:space="preserve"> (Рабочий ток) Хладагент: S[R410A]</v>
      </c>
      <c r="M434" t="str">
        <f>CONCATENATE(M$2,": ",M$3,list1!M434,"]")</f>
        <v xml:space="preserve"> (Рабочий ток) Количество хладагента: N[]</v>
      </c>
      <c r="N434" t="str">
        <f>CONCATENATE(N$2,": ",N$3,list1!N434,"]")</f>
        <v xml:space="preserve"> (Рабочий ток) Объем рециркулируемого воздуха внутреннего блока: S[]</v>
      </c>
      <c r="O434" t="str">
        <f>CONCATENATE(O$2,": ",O$3,list1!O434,"]")</f>
        <v xml:space="preserve"> (Внутренний блок) Размеры (Ш x Г x В): S[950 х 52 х 950]</v>
      </c>
      <c r="P434" t="str">
        <f>CONCATENATE(P$2,": ",P$3,list1!P434,"]")</f>
        <v xml:space="preserve"> (Внутренний блок) Упаковка (Ш x Г x В): S[1033 х 1038 х 112]</v>
      </c>
      <c r="Q434" t="str">
        <f>CONCATENATE(Q$2,": ",Q$3,list1!Q434,"]")</f>
        <v xml:space="preserve"> (Внутренний блок) Масса (нетто / брутто): S[6 / 9.5]</v>
      </c>
      <c r="R434" t="str">
        <f>CONCATENATE(R$2,": ",R$3,list1!R434,"]")</f>
        <v xml:space="preserve"> (Внутренний блок) Уровень шума мин. / макс.: S[45/47/51/55]</v>
      </c>
      <c r="S434" t="str">
        <f>CONCATENATE(S$2,": ",S$3,list1!S434,"]")</f>
        <v xml:space="preserve"> (Наружный блок) Марка компрессора: S[Gree]</v>
      </c>
      <c r="T434" t="str">
        <f>CONCATENATE(T$2,": ",T$3,list1!T434,"]")</f>
        <v xml:space="preserve"> (Наружный блок) Размеры (Ш x Г x В): S[460 х 940 х 820]</v>
      </c>
      <c r="U434" t="str">
        <f>CONCATENATE(U$2,": ",U$3,list1!U434,"]")</f>
        <v xml:space="preserve"> (Наружный блок) Упаковка (Ш x Г x В): S[573 х 1083 х 973]</v>
      </c>
      <c r="V434" t="str">
        <f>CONCATENATE(V$2,": ",V$3,list1!V434,"]")</f>
        <v xml:space="preserve"> (Наружный блок) Масса (нетто / брутто): S[103/114]</v>
      </c>
      <c r="W434" t="str">
        <f>CONCATENATE(W$2,": ",W$3,list1!W434,"]")</f>
        <v xml:space="preserve"> (Наружный блок) Максимальный уровень шума: N[]</v>
      </c>
      <c r="X434" t="str">
        <f>CONCATENATE(X$2,": ",X$3,list1!X434,"]")</f>
        <v xml:space="preserve"> (Соединительные трубы) Жидкостная линия : N[9.52]</v>
      </c>
      <c r="Y434" t="str">
        <f>CONCATENATE(Y$2,": ",Y$3,list1!Y434,"]")</f>
        <v xml:space="preserve"> (Соединительные трубы) Газовая линия : N[15.88]</v>
      </c>
      <c r="Z434" t="str">
        <f>CONCATENATE(Z$2,": ",Z$3,list1!Z434,"]")</f>
        <v xml:space="preserve"> (Соединительные трубы) Максимальная длина трубопровода: N[50]</v>
      </c>
      <c r="AA434" t="str">
        <f>CONCATENATE(AA$2,": ",AA$3,list1!AA434,"]")</f>
        <v xml:space="preserve"> (Соединительные трубы) Максимальный перепад высот: S[30]</v>
      </c>
      <c r="AB434" t="str">
        <f>CONCATENATE(AB$2,": ",AB$3,list1!AB434,"]")</f>
        <v xml:space="preserve"> (Допустимая темп. наружного воздуха) Охлаждение: S[от -15 до +48]</v>
      </c>
      <c r="AC434" t="str">
        <f>CONCATENATE(AC$2,": ",AC$3,list1!AC434,"]")</f>
        <v xml:space="preserve"> (Допустимая темп. наружного воздуха) Обогрев: S[от -15 до +24]</v>
      </c>
      <c r="AD434" s="6" t="s">
        <v>5245</v>
      </c>
    </row>
    <row r="435" spans="1:30" x14ac:dyDescent="0.25">
      <c r="A435" t="str">
        <f>CONCATENATE(A$2,": ",A$3,list1!A435,"]")</f>
        <v>Производитель: E[TOSOT]</v>
      </c>
      <c r="B435" t="str">
        <f>CONCATENATE(B$2,": ",B$3,list1!B435,"]")</f>
        <v xml:space="preserve"> Тип: S[Колонные]</v>
      </c>
      <c r="C435" t="str">
        <f>CONCATENATE(C$2,": ",C$3,list1!C435,"]")</f>
        <v xml:space="preserve"> (Сплит система) Холодопроизводительность: N[7.06]</v>
      </c>
      <c r="D435" t="str">
        <f>CONCATENATE(D$2,": ",D$3,list1!D435,"]")</f>
        <v xml:space="preserve"> (Сплит система) Площадь помещения: N[71]</v>
      </c>
      <c r="E435" t="str">
        <f>CONCATENATE(E$2,": ",E$3,list1!E435,"]")</f>
        <v xml:space="preserve"> (Сплит система) Инвентор: S[нет]</v>
      </c>
      <c r="F435" t="str">
        <f>CONCATENATE(F$2,": ",F$3,list1!F435,"]")</f>
        <v xml:space="preserve"> (Сплит система) Теплопроизводительность: N[7.8]</v>
      </c>
      <c r="G435" t="str">
        <f>CONCATENATE(G$2,": ",G$3,list1!G435,"]")</f>
        <v xml:space="preserve"> (Потребляемая мощность) Охлаждение: N[2.43]</v>
      </c>
      <c r="H435" t="str">
        <f>CONCATENATE(H$2,": ",H$3,list1!H435,"]")</f>
        <v xml:space="preserve"> (Потребляемая мощность) Обогрев: S[2.35]</v>
      </c>
      <c r="I435" t="str">
        <f>CONCATENATE(I$2,": ",I$3,list1!I435,"]")</f>
        <v xml:space="preserve"> (Рабочий ток) Охлаждение: S[]</v>
      </c>
      <c r="J435" t="str">
        <f>CONCATENATE(J$2,": ",J$3,list1!J435,"]")</f>
        <v xml:space="preserve"> (Рабочий ток) Обогрев: S[]</v>
      </c>
      <c r="K435" t="str">
        <f>CONCATENATE(K$2,": ",K$3,list1!K435,"]")</f>
        <v xml:space="preserve"> (Рабочий ток) Напряжение / Частота источника питания: S[1 / 220 / 50]</v>
      </c>
      <c r="L435" t="str">
        <f>CONCATENATE(L$2,": ",L$3,list1!L435,"]")</f>
        <v xml:space="preserve"> (Рабочий ток) Хладагент: S[R410A]</v>
      </c>
      <c r="M435" t="str">
        <f>CONCATENATE(M$2,": ",M$3,list1!M435,"]")</f>
        <v xml:space="preserve"> (Рабочий ток) Количество хладагента: N[]</v>
      </c>
      <c r="N435" t="str">
        <f>CONCATENATE(N$2,": ",N$3,list1!N435,"]")</f>
        <v xml:space="preserve"> (Рабочий ток) Объем рециркулируемого воздуха внутреннего блока: S[]</v>
      </c>
      <c r="O435" t="str">
        <f>CONCATENATE(O$2,": ",O$3,list1!O435,"]")</f>
        <v xml:space="preserve"> (Внутренний блок) Размеры (Ш x Г x В): S[507 х 1770 х 320]</v>
      </c>
      <c r="P435" t="str">
        <f>CONCATENATE(P$2,": ",P$3,list1!P435,"]")</f>
        <v xml:space="preserve"> (Внутренний блок) Упаковка (Ш x Г x В): S[623 х 440 х 1988]</v>
      </c>
      <c r="Q435" t="str">
        <f>CONCATENATE(Q$2,": ",Q$3,list1!Q435,"]")</f>
        <v xml:space="preserve"> (Внутренний блок) Масса (нетто / брутто): S[40 / 52]</v>
      </c>
      <c r="R435" t="str">
        <f>CONCATENATE(R$2,": ",R$3,list1!R435,"]")</f>
        <v xml:space="preserve"> (Внутренний блок) Уровень шума мин. / макс.: S[38/41/44/46]</v>
      </c>
      <c r="S435" t="str">
        <f>CONCATENATE(S$2,": ",S$3,list1!S435,"]")</f>
        <v xml:space="preserve"> (Наружный блок) Марка компрессора: S[Gree]</v>
      </c>
      <c r="T435" t="str">
        <f>CONCATENATE(T$2,": ",T$3,list1!T435,"]")</f>
        <v xml:space="preserve"> (Наружный блок) Размеры (Ш x Г x В): S[955 х 396 х 700]</v>
      </c>
      <c r="U435" t="str">
        <f>CONCATENATE(U$2,": ",U$3,list1!U435,"]")</f>
        <v xml:space="preserve"> (Наружный блок) Упаковка (Ш x Г x В): S[1029 х 458 х 750]</v>
      </c>
      <c r="V435" t="str">
        <f>CONCATENATE(V$2,": ",V$3,list1!V435,"]")</f>
        <v xml:space="preserve"> (Наружный блок) Масса (нетто / брутто): S[60/64.5]</v>
      </c>
      <c r="W435" t="str">
        <f>CONCATENATE(W$2,": ",W$3,list1!W435,"]")</f>
        <v xml:space="preserve"> (Наружный блок) Максимальный уровень шума: N[]</v>
      </c>
      <c r="X435" t="str">
        <f>CONCATENATE(X$2,": ",X$3,list1!X435,"]")</f>
        <v xml:space="preserve"> (Соединительные трубы) Жидкостная линия : N[6.35]</v>
      </c>
      <c r="Y435" t="str">
        <f>CONCATENATE(Y$2,": ",Y$3,list1!Y435,"]")</f>
        <v xml:space="preserve"> (Соединительные трубы) Газовая линия : N[15.88]</v>
      </c>
      <c r="Z435" t="str">
        <f>CONCATENATE(Z$2,": ",Z$3,list1!Z435,"]")</f>
        <v xml:space="preserve"> (Соединительные трубы) Максимальная длина трубопровода: N[25]</v>
      </c>
      <c r="AA435" t="str">
        <f>CONCATENATE(AA$2,": ",AA$3,list1!AA435,"]")</f>
        <v xml:space="preserve"> (Соединительные трубы) Максимальный перепад высот: S[10]</v>
      </c>
      <c r="AB435" t="str">
        <f>CONCATENATE(AB$2,": ",AB$3,list1!AB435,"]")</f>
        <v xml:space="preserve"> (Допустимая темп. наружного воздуха) Охлаждение: S[от 18 до +43]</v>
      </c>
      <c r="AC435" t="str">
        <f>CONCATENATE(AC$2,": ",AC$3,list1!AC435,"]")</f>
        <v xml:space="preserve"> (Допустимая темп. наружного воздуха) Обогрев: S[от -15 до +24]</v>
      </c>
      <c r="AD435" s="6" t="s">
        <v>5245</v>
      </c>
    </row>
    <row r="436" spans="1:30" x14ac:dyDescent="0.25">
      <c r="A436" t="str">
        <f>CONCATENATE(A$2,": ",A$3,list1!A436,"]")</f>
        <v>Производитель: E[TOSOT]</v>
      </c>
      <c r="B436" t="str">
        <f>CONCATENATE(B$2,": ",B$3,list1!B436,"]")</f>
        <v xml:space="preserve"> Тип: S[Колонные]</v>
      </c>
      <c r="C436" t="str">
        <f>CONCATENATE(C$2,": ",C$3,list1!C436,"]")</f>
        <v xml:space="preserve"> (Сплит система) Холодопроизводительность: N[14.1]</v>
      </c>
      <c r="D436" t="str">
        <f>CONCATENATE(D$2,": ",D$3,list1!D436,"]")</f>
        <v xml:space="preserve"> (Сплит система) Площадь помещения: N[141]</v>
      </c>
      <c r="E436" t="str">
        <f>CONCATENATE(E$2,": ",E$3,list1!E436,"]")</f>
        <v xml:space="preserve"> (Сплит система) Инвентор: S[нет]</v>
      </c>
      <c r="F436" t="str">
        <f>CONCATENATE(F$2,": ",F$3,list1!F436,"]")</f>
        <v xml:space="preserve"> (Сплит система) Теплопроизводительность: N[15.5]</v>
      </c>
      <c r="G436" t="str">
        <f>CONCATENATE(G$2,": ",G$3,list1!G436,"]")</f>
        <v xml:space="preserve"> (Потребляемая мощность) Охлаждение: N[5]</v>
      </c>
      <c r="H436" t="str">
        <f>CONCATENATE(H$2,": ",H$3,list1!H436,"]")</f>
        <v xml:space="preserve"> (Потребляемая мощность) Обогрев: S[4.83]</v>
      </c>
      <c r="I436" t="str">
        <f>CONCATENATE(I$2,": ",I$3,list1!I436,"]")</f>
        <v xml:space="preserve"> (Рабочий ток) Охлаждение: S[]</v>
      </c>
      <c r="J436" t="str">
        <f>CONCATENATE(J$2,": ",J$3,list1!J436,"]")</f>
        <v xml:space="preserve"> (Рабочий ток) Обогрев: S[]</v>
      </c>
      <c r="K436" t="str">
        <f>CONCATENATE(K$2,": ",K$3,list1!K436,"]")</f>
        <v xml:space="preserve"> (Рабочий ток) Напряжение / Частота источника питания: S[3 / 380 / 50]</v>
      </c>
      <c r="L436" t="str">
        <f>CONCATENATE(L$2,": ",L$3,list1!L436,"]")</f>
        <v xml:space="preserve"> (Рабочий ток) Хладагент: S[R410A]</v>
      </c>
      <c r="M436" t="str">
        <f>CONCATENATE(M$2,": ",M$3,list1!M436,"]")</f>
        <v xml:space="preserve"> (Рабочий ток) Количество хладагента: N[]</v>
      </c>
      <c r="N436" t="str">
        <f>CONCATENATE(N$2,": ",N$3,list1!N436,"]")</f>
        <v xml:space="preserve"> (Рабочий ток) Объем рециркулируемого воздуха внутреннего блока: S[]</v>
      </c>
      <c r="O436" t="str">
        <f>CONCATENATE(O$2,": ",O$3,list1!O436,"]")</f>
        <v xml:space="preserve"> (Внутренний блок) Размеры (Ш x Г x В): S[587 х 1882 х 394]</v>
      </c>
      <c r="P436" t="str">
        <f>CONCATENATE(P$2,": ",P$3,list1!P436,"]")</f>
        <v xml:space="preserve"> (Внутренний блок) Упаковка (Ш x Г x В): S[738 х 545 х 2153]</v>
      </c>
      <c r="Q436" t="str">
        <f>CONCATENATE(Q$2,": ",Q$3,list1!Q436,"]")</f>
        <v xml:space="preserve"> (Внутренний блок) Масса (нетто / брутто): S[61 / 83.5]</v>
      </c>
      <c r="R436" t="str">
        <f>CONCATENATE(R$2,": ",R$3,list1!R436,"]")</f>
        <v xml:space="preserve"> (Внутренний блок) Уровень шума мин. / макс.: S[45/48/50/52]</v>
      </c>
      <c r="S436" t="str">
        <f>CONCATENATE(S$2,": ",S$3,list1!S436,"]")</f>
        <v xml:space="preserve"> (Наружный блок) Марка компрессора: S[Gree]</v>
      </c>
      <c r="T436" t="str">
        <f>CONCATENATE(T$2,": ",T$3,list1!T436,"]")</f>
        <v xml:space="preserve"> (Наружный блок) Размеры (Ш x Г x В): S[1032 х 412 х 1250]</v>
      </c>
      <c r="U436" t="str">
        <f>CONCATENATE(U$2,": ",U$3,list1!U436,"]")</f>
        <v xml:space="preserve"> (Наружный блок) Упаковка (Ш x Г x В): S[1113 х 453 х 1400]</v>
      </c>
      <c r="V436" t="str">
        <f>CONCATENATE(V$2,": ",V$3,list1!V436,"]")</f>
        <v xml:space="preserve"> (Наружный блок) Масса (нетто / брутто): S[107/118]</v>
      </c>
      <c r="W436" t="str">
        <f>CONCATENATE(W$2,": ",W$3,list1!W436,"]")</f>
        <v xml:space="preserve"> (Наружный блок) Максимальный уровень шума: N[]</v>
      </c>
      <c r="X436" t="str">
        <f>CONCATENATE(X$2,": ",X$3,list1!X436,"]")</f>
        <v xml:space="preserve"> (Соединительные трубы) Жидкостная линия : N[12.7]</v>
      </c>
      <c r="Y436" t="str">
        <f>CONCATENATE(Y$2,": ",Y$3,list1!Y436,"]")</f>
        <v xml:space="preserve"> (Соединительные трубы) Газовая линия : N[19.05]</v>
      </c>
      <c r="Z436" t="str">
        <f>CONCATENATE(Z$2,": ",Z$3,list1!Z436,"]")</f>
        <v xml:space="preserve"> (Соединительные трубы) Максимальная длина трубопровода: N[30]</v>
      </c>
      <c r="AA436" t="str">
        <f>CONCATENATE(AA$2,": ",AA$3,list1!AA436,"]")</f>
        <v xml:space="preserve"> (Соединительные трубы) Максимальный перепад высот: S[20]</v>
      </c>
      <c r="AB436" t="str">
        <f>CONCATENATE(AB$2,": ",AB$3,list1!AB436,"]")</f>
        <v xml:space="preserve"> (Допустимая темп. наружного воздуха) Охлаждение: S[от 18 до +43]</v>
      </c>
      <c r="AC436" t="str">
        <f>CONCATENATE(AC$2,": ",AC$3,list1!AC436,"]")</f>
        <v xml:space="preserve"> (Допустимая темп. наружного воздуха) Обогрев: S[от -15 до +24]</v>
      </c>
      <c r="AD436" s="6" t="s">
        <v>5245</v>
      </c>
    </row>
    <row r="437" spans="1:30" x14ac:dyDescent="0.25">
      <c r="A437" t="str">
        <f>CONCATENATE(A$2,": ",A$3,list1!A437,"]")</f>
        <v>Производитель: E[TOSOT]</v>
      </c>
      <c r="B437" t="str">
        <f>CONCATENATE(B$2,": ",B$3,list1!B437,"]")</f>
        <v xml:space="preserve"> Тип: S[Колонные]</v>
      </c>
      <c r="C437" t="str">
        <f>CONCATENATE(C$2,": ",C$3,list1!C437,"]")</f>
        <v xml:space="preserve"> (Сплит система) Холодопроизводительность: N[15.2]</v>
      </c>
      <c r="D437" t="str">
        <f>CONCATENATE(D$2,": ",D$3,list1!D437,"]")</f>
        <v xml:space="preserve"> (Сплит система) Площадь помещения: N[152]</v>
      </c>
      <c r="E437" t="str">
        <f>CONCATENATE(E$2,": ",E$3,list1!E437,"]")</f>
        <v xml:space="preserve"> (Сплит система) Инвентор: S[нет]</v>
      </c>
      <c r="F437" t="str">
        <f>CONCATENATE(F$2,": ",F$3,list1!F437,"]")</f>
        <v xml:space="preserve"> (Сплит система) Теплопроизводительность: N[17]</v>
      </c>
      <c r="G437" t="str">
        <f>CONCATENATE(G$2,": ",G$3,list1!G437,"]")</f>
        <v xml:space="preserve"> (Потребляемая мощность) Охлаждение: N[5.41]</v>
      </c>
      <c r="H437" t="str">
        <f>CONCATENATE(H$2,": ",H$3,list1!H437,"]")</f>
        <v xml:space="preserve"> (Потребляемая мощность) Обогрев: S[5.29]</v>
      </c>
      <c r="I437" t="str">
        <f>CONCATENATE(I$2,": ",I$3,list1!I437,"]")</f>
        <v xml:space="preserve"> (Рабочий ток) Охлаждение: S[]</v>
      </c>
      <c r="J437" t="str">
        <f>CONCATENATE(J$2,": ",J$3,list1!J437,"]")</f>
        <v xml:space="preserve"> (Рабочий ток) Обогрев: S[]</v>
      </c>
      <c r="K437" t="str">
        <f>CONCATENATE(K$2,": ",K$3,list1!K437,"]")</f>
        <v xml:space="preserve"> (Рабочий ток) Напряжение / Частота источника питания: S[3 / 380 / 50]</v>
      </c>
      <c r="L437" t="str">
        <f>CONCATENATE(L$2,": ",L$3,list1!L437,"]")</f>
        <v xml:space="preserve"> (Рабочий ток) Хладагент: S[R410A]</v>
      </c>
      <c r="M437" t="str">
        <f>CONCATENATE(M$2,": ",M$3,list1!M437,"]")</f>
        <v xml:space="preserve"> (Рабочий ток) Количество хладагента: N[]</v>
      </c>
      <c r="N437" t="str">
        <f>CONCATENATE(N$2,": ",N$3,list1!N437,"]")</f>
        <v xml:space="preserve"> (Рабочий ток) Объем рециркулируемого воздуха внутреннего блока: S[]</v>
      </c>
      <c r="O437" t="str">
        <f>CONCATENATE(O$2,": ",O$3,list1!O437,"]")</f>
        <v xml:space="preserve"> (Внутренний блок) Размеры (Ш x Г x В): S[587 х 1882 х 394]</v>
      </c>
      <c r="P437" t="str">
        <f>CONCATENATE(P$2,": ",P$3,list1!P437,"]")</f>
        <v xml:space="preserve"> (Внутренний блок) Упаковка (Ш x Г x В): S[738 х 545 х 2153]</v>
      </c>
      <c r="Q437" t="str">
        <f>CONCATENATE(Q$2,": ",Q$3,list1!Q437,"]")</f>
        <v xml:space="preserve"> (Внутренний блок) Масса (нетто / брутто): S[61 / 83.5]</v>
      </c>
      <c r="R437" t="str">
        <f>CONCATENATE(R$2,": ",R$3,list1!R437,"]")</f>
        <v xml:space="preserve"> (Внутренний блок) Уровень шума мин. / макс.: S[44/47/50/52]</v>
      </c>
      <c r="S437" t="str">
        <f>CONCATENATE(S$2,": ",S$3,list1!S437,"]")</f>
        <v xml:space="preserve"> (Наружный блок) Марка компрессора: S[Gree]</v>
      </c>
      <c r="T437" t="str">
        <f>CONCATENATE(T$2,": ",T$3,list1!T437,"]")</f>
        <v xml:space="preserve"> (Наружный блок) Размеры (Ш x Г x В): S[1032 х 412 х 1250]</v>
      </c>
      <c r="U437" t="str">
        <f>CONCATENATE(U$2,": ",U$3,list1!U437,"]")</f>
        <v xml:space="preserve"> (Наружный блок) Упаковка (Ш x Г x В): S[1113 х 453 х 1400]</v>
      </c>
      <c r="V437" t="str">
        <f>CONCATENATE(V$2,": ",V$3,list1!V437,"]")</f>
        <v xml:space="preserve"> (Наружный блок) Масса (нетто / брутто): S[107/118]</v>
      </c>
      <c r="W437" t="str">
        <f>CONCATENATE(W$2,": ",W$3,list1!W437,"]")</f>
        <v xml:space="preserve"> (Наружный блок) Максимальный уровень шума: N[]</v>
      </c>
      <c r="X437" t="str">
        <f>CONCATENATE(X$2,": ",X$3,list1!X437,"]")</f>
        <v xml:space="preserve"> (Соединительные трубы) Жидкостная линия : N[12.7]</v>
      </c>
      <c r="Y437" t="str">
        <f>CONCATENATE(Y$2,": ",Y$3,list1!Y437,"]")</f>
        <v xml:space="preserve"> (Соединительные трубы) Газовая линия : N[19.05]</v>
      </c>
      <c r="Z437" t="str">
        <f>CONCATENATE(Z$2,": ",Z$3,list1!Z437,"]")</f>
        <v xml:space="preserve"> (Соединительные трубы) Максимальная длина трубопровода: N[30]</v>
      </c>
      <c r="AA437" t="str">
        <f>CONCATENATE(AA$2,": ",AA$3,list1!AA437,"]")</f>
        <v xml:space="preserve"> (Соединительные трубы) Максимальный перепад высот: S[20]</v>
      </c>
      <c r="AB437" t="str">
        <f>CONCATENATE(AB$2,": ",AB$3,list1!AB437,"]")</f>
        <v xml:space="preserve"> (Допустимая темп. наружного воздуха) Охлаждение: S[от 18 до +43]</v>
      </c>
      <c r="AC437" t="str">
        <f>CONCATENATE(AC$2,": ",AC$3,list1!AC437,"]")</f>
        <v xml:space="preserve"> (Допустимая темп. наружного воздуха) Обогрев: S[от -15 до +24]</v>
      </c>
      <c r="AD437" s="6" t="s">
        <v>5245</v>
      </c>
    </row>
    <row r="438" spans="1:30" x14ac:dyDescent="0.25">
      <c r="A438" t="str">
        <f>CONCATENATE(A$2,": ",A$3,list1!A438,"]")</f>
        <v>Производитель: E[TOSOT]</v>
      </c>
      <c r="B438" t="str">
        <f>CONCATENATE(B$2,": ",B$3,list1!B438,"]")</f>
        <v xml:space="preserve"> Тип: S[Напольно-потолочные]</v>
      </c>
      <c r="C438" t="str">
        <f>CONCATENATE(C$2,": ",C$3,list1!C438,"]")</f>
        <v xml:space="preserve"> (Сплит система) Холодопроизводительность: N[5.5]</v>
      </c>
      <c r="D438" t="str">
        <f>CONCATENATE(D$2,": ",D$3,list1!D438,"]")</f>
        <v xml:space="preserve"> (Сплит система) Площадь помещения: N[55]</v>
      </c>
      <c r="E438" t="str">
        <f>CONCATENATE(E$2,": ",E$3,list1!E438,"]")</f>
        <v xml:space="preserve"> (Сплит система) Инвентор: S[нет]</v>
      </c>
      <c r="F438" t="str">
        <f>CONCATENATE(F$2,": ",F$3,list1!F438,"]")</f>
        <v xml:space="preserve"> (Сплит система) Теплопроизводительность: N[5.7]</v>
      </c>
      <c r="G438" t="str">
        <f>CONCATENATE(G$2,": ",G$3,list1!G438,"]")</f>
        <v xml:space="preserve"> (Потребляемая мощность) Охлаждение: N[2]</v>
      </c>
      <c r="H438" t="str">
        <f>CONCATENATE(H$2,": ",H$3,list1!H438,"]")</f>
        <v xml:space="preserve"> (Потребляемая мощность) Обогрев: S[2]</v>
      </c>
      <c r="I438" t="str">
        <f>CONCATENATE(I$2,": ",I$3,list1!I438,"]")</f>
        <v xml:space="preserve"> (Рабочий ток) Охлаждение: S[]</v>
      </c>
      <c r="J438" t="str">
        <f>CONCATENATE(J$2,": ",J$3,list1!J438,"]")</f>
        <v xml:space="preserve"> (Рабочий ток) Обогрев: S[]</v>
      </c>
      <c r="K438" t="str">
        <f>CONCATENATE(K$2,": ",K$3,list1!K438,"]")</f>
        <v xml:space="preserve"> (Рабочий ток) Напряжение / Частота источника питания: S[1 / 220 / 50]</v>
      </c>
      <c r="L438" t="str">
        <f>CONCATENATE(L$2,": ",L$3,list1!L438,"]")</f>
        <v xml:space="preserve"> (Рабочий ток) Хладагент: S[R410A]</v>
      </c>
      <c r="M438" t="str">
        <f>CONCATENATE(M$2,": ",M$3,list1!M438,"]")</f>
        <v xml:space="preserve"> (Рабочий ток) Количество хладагента: N[]</v>
      </c>
      <c r="N438" t="str">
        <f>CONCATENATE(N$2,": ",N$3,list1!N438,"]")</f>
        <v xml:space="preserve"> (Рабочий ток) Объем рециркулируемого воздуха внутреннего блока: S[]</v>
      </c>
      <c r="O438" t="str">
        <f>CONCATENATE(O$2,": ",O$3,list1!O438,"]")</f>
        <v xml:space="preserve"> (Внутренний блок) Размеры (Ш x Г x В): S[1200 х 665 х 235]</v>
      </c>
      <c r="P438" t="str">
        <f>CONCATENATE(P$2,": ",P$3,list1!P438,"]")</f>
        <v xml:space="preserve"> (Внутренний блок) Упаковка (Ш x Г x В): S[1363 х 288 х 782]</v>
      </c>
      <c r="Q438" t="str">
        <f>CONCATENATE(Q$2,": ",Q$3,list1!Q438,"]")</f>
        <v xml:space="preserve"> (Внутренний блок) Масса (нетто / брутто): S[31 / 38]</v>
      </c>
      <c r="R438" t="str">
        <f>CONCATENATE(R$2,": ",R$3,list1!R438,"]")</f>
        <v xml:space="preserve"> (Внутренний блок) Уровень шума мин. / макс.: S[33-37]</v>
      </c>
      <c r="S438" t="str">
        <f>CONCATENATE(S$2,": ",S$3,list1!S438,"]")</f>
        <v xml:space="preserve"> (Наружный блок) Марка компрессора: S[Gree]</v>
      </c>
      <c r="T438" t="str">
        <f>CONCATENATE(T$2,": ",T$3,list1!T438,"]")</f>
        <v xml:space="preserve"> (Наружный блок) Размеры (Ш x Г x В): S[]</v>
      </c>
      <c r="U438" t="str">
        <f>CONCATENATE(U$2,": ",U$3,list1!U438,"]")</f>
        <v xml:space="preserve"> (Наружный блок) Упаковка (Ш x Г x В): S[]</v>
      </c>
      <c r="V438" t="str">
        <f>CONCATENATE(V$2,": ",V$3,list1!V438,"]")</f>
        <v xml:space="preserve"> (Наружный блок) Масса (нетто / брутто): S[]</v>
      </c>
      <c r="W438" t="str">
        <f>CONCATENATE(W$2,": ",W$3,list1!W438,"]")</f>
        <v xml:space="preserve"> (Наружный блок) Максимальный уровень шума: N[]</v>
      </c>
      <c r="X438" t="str">
        <f>CONCATENATE(X$2,": ",X$3,list1!X438,"]")</f>
        <v xml:space="preserve"> (Соединительные трубы) Жидкостная линия : N[6.35]</v>
      </c>
      <c r="Y438" t="str">
        <f>CONCATENATE(Y$2,": ",Y$3,list1!Y438,"]")</f>
        <v xml:space="preserve"> (Соединительные трубы) Газовая линия : N[12.7]</v>
      </c>
      <c r="Z438" t="str">
        <f>CONCATENATE(Z$2,": ",Z$3,list1!Z438,"]")</f>
        <v xml:space="preserve"> (Соединительные трубы) Максимальная длина трубопровода: N[25]</v>
      </c>
      <c r="AA438" t="str">
        <f>CONCATENATE(AA$2,": ",AA$3,list1!AA438,"]")</f>
        <v xml:space="preserve"> (Соединительные трубы) Максимальный перепад высот: S[15]</v>
      </c>
      <c r="AB438" t="str">
        <f>CONCATENATE(AB$2,": ",AB$3,list1!AB438,"]")</f>
        <v xml:space="preserve"> (Допустимая темп. наружного воздуха) Охлаждение: S[от -15 до +43]</v>
      </c>
      <c r="AC438" t="str">
        <f>CONCATENATE(AC$2,": ",AC$3,list1!AC438,"]")</f>
        <v xml:space="preserve"> (Допустимая темп. наружного воздуха) Обогрев: S[от -15 до +24]</v>
      </c>
      <c r="AD438" s="6" t="s">
        <v>5245</v>
      </c>
    </row>
    <row r="439" spans="1:30" x14ac:dyDescent="0.25">
      <c r="A439" t="str">
        <f>CONCATENATE(A$2,": ",A$3,list1!A439,"]")</f>
        <v>Производитель: E[TOSOT]</v>
      </c>
      <c r="B439" t="str">
        <f>CONCATENATE(B$2,": ",B$3,list1!B439,"]")</f>
        <v xml:space="preserve"> Тип: S[Напольно-потолочные]</v>
      </c>
      <c r="C439" t="str">
        <f>CONCATENATE(C$2,": ",C$3,list1!C439,"]")</f>
        <v xml:space="preserve"> (Сплит система) Холодопроизводительность: N[5]</v>
      </c>
      <c r="D439" t="str">
        <f>CONCATENATE(D$2,": ",D$3,list1!D439,"]")</f>
        <v xml:space="preserve"> (Сплит система) Площадь помещения: N[50]</v>
      </c>
      <c r="E439" t="str">
        <f>CONCATENATE(E$2,": ",E$3,list1!E439,"]")</f>
        <v xml:space="preserve"> (Сплит система) Инвентор: S[нет]</v>
      </c>
      <c r="F439" t="str">
        <f>CONCATENATE(F$2,": ",F$3,list1!F439,"]")</f>
        <v xml:space="preserve"> (Сплит система) Теплопроизводительность: N[5.2]</v>
      </c>
      <c r="G439" t="str">
        <f>CONCATENATE(G$2,": ",G$3,list1!G439,"]")</f>
        <v xml:space="preserve"> (Потребляемая мощность) Охлаждение: N[1.65]</v>
      </c>
      <c r="H439" t="str">
        <f>CONCATENATE(H$2,": ",H$3,list1!H439,"]")</f>
        <v xml:space="preserve"> (Потребляемая мощность) Обогрев: S[1.45]</v>
      </c>
      <c r="I439" t="str">
        <f>CONCATENATE(I$2,": ",I$3,list1!I439,"]")</f>
        <v xml:space="preserve"> (Рабочий ток) Охлаждение: S[]</v>
      </c>
      <c r="J439" t="str">
        <f>CONCATENATE(J$2,": ",J$3,list1!J439,"]")</f>
        <v xml:space="preserve"> (Рабочий ток) Обогрев: S[]</v>
      </c>
      <c r="K439" t="str">
        <f>CONCATENATE(K$2,": ",K$3,list1!K439,"]")</f>
        <v xml:space="preserve"> (Рабочий ток) Напряжение / Частота источника питания: S[1 / 220 / 50]</v>
      </c>
      <c r="L439" t="str">
        <f>CONCATENATE(L$2,": ",L$3,list1!L439,"]")</f>
        <v xml:space="preserve"> (Рабочий ток) Хладагент: S[R410A]</v>
      </c>
      <c r="M439" t="str">
        <f>CONCATENATE(M$2,": ",M$3,list1!M439,"]")</f>
        <v xml:space="preserve"> (Рабочий ток) Количество хладагента: N[]</v>
      </c>
      <c r="N439" t="str">
        <f>CONCATENATE(N$2,": ",N$3,list1!N439,"]")</f>
        <v xml:space="preserve"> (Рабочий ток) Объем рециркулируемого воздуха внутреннего блока: S[]</v>
      </c>
      <c r="O439" t="str">
        <f>CONCATENATE(O$2,": ",O$3,list1!O439,"]")</f>
        <v xml:space="preserve"> (Внутренний блок) Размеры (Ш x Г x В): S[235 х 665 х 870]</v>
      </c>
      <c r="P439" t="str">
        <f>CONCATENATE(P$2,": ",P$3,list1!P439,"]")</f>
        <v xml:space="preserve"> (Внутренний блок) Упаковка (Ш x Г x В): S[300 х 1033 х 770]</v>
      </c>
      <c r="Q439" t="str">
        <f>CONCATENATE(Q$2,": ",Q$3,list1!Q439,"]")</f>
        <v xml:space="preserve"> (Внутренний блок) Масса (нетто / брутто): S[25 / 30]</v>
      </c>
      <c r="R439" t="str">
        <f>CONCATENATE(R$2,": ",R$3,list1!R439,"]")</f>
        <v xml:space="preserve"> (Внутренний блок) Уровень шума мин. / макс.: S[33/37/40/41]</v>
      </c>
      <c r="S439" t="str">
        <f>CONCATENATE(S$2,": ",S$3,list1!S439,"]")</f>
        <v xml:space="preserve"> (Наружный блок) Марка компрессора: S[Gree]</v>
      </c>
      <c r="T439" t="str">
        <f>CONCATENATE(T$2,": ",T$3,list1!T439,"]")</f>
        <v xml:space="preserve"> (Наружный блок) Размеры (Ш x Г x В): S[]</v>
      </c>
      <c r="U439" t="str">
        <f>CONCATENATE(U$2,": ",U$3,list1!U439,"]")</f>
        <v xml:space="preserve"> (Наружный блок) Упаковка (Ш x Г x В): S[]</v>
      </c>
      <c r="V439" t="str">
        <f>CONCATENATE(V$2,": ",V$3,list1!V439,"]")</f>
        <v xml:space="preserve"> (Наружный блок) Масса (нетто / брутто): S[]</v>
      </c>
      <c r="W439" t="str">
        <f>CONCATENATE(W$2,": ",W$3,list1!W439,"]")</f>
        <v xml:space="preserve"> (Наружный блок) Максимальный уровень шума: N[]</v>
      </c>
      <c r="X439" t="str">
        <f>CONCATENATE(X$2,": ",X$3,list1!X439,"]")</f>
        <v xml:space="preserve"> (Соединительные трубы) Жидкостная линия : N[6.35]</v>
      </c>
      <c r="Y439" t="str">
        <f>CONCATENATE(Y$2,": ",Y$3,list1!Y439,"]")</f>
        <v xml:space="preserve"> (Соединительные трубы) Газовая линия : N[12.7]</v>
      </c>
      <c r="Z439" t="str">
        <f>CONCATENATE(Z$2,": ",Z$3,list1!Z439,"]")</f>
        <v xml:space="preserve"> (Соединительные трубы) Максимальная длина трубопровода: N[30]</v>
      </c>
      <c r="AA439" t="str">
        <f>CONCATENATE(AA$2,": ",AA$3,list1!AA439,"]")</f>
        <v xml:space="preserve"> (Соединительные трубы) Максимальный перепад высот: S[15]</v>
      </c>
      <c r="AB439" t="str">
        <f>CONCATENATE(AB$2,": ",AB$3,list1!AB439,"]")</f>
        <v xml:space="preserve"> (Допустимая темп. наружного воздуха) Охлаждение: S[от -15 до +48]</v>
      </c>
      <c r="AC439" t="str">
        <f>CONCATENATE(AC$2,": ",AC$3,list1!AC439,"]")</f>
        <v xml:space="preserve"> (Допустимая темп. наружного воздуха) Обогрев: S[от -15 до +24]</v>
      </c>
      <c r="AD439" s="6" t="s">
        <v>5245</v>
      </c>
    </row>
    <row r="440" spans="1:30" x14ac:dyDescent="0.25">
      <c r="A440" t="str">
        <f>CONCATENATE(A$2,": ",A$3,list1!A440,"]")</f>
        <v>Производитель: E[TOSOT]</v>
      </c>
      <c r="B440" t="str">
        <f>CONCATENATE(B$2,": ",B$3,list1!B440,"]")</f>
        <v xml:space="preserve"> Тип: S[Напольно-потолочные]</v>
      </c>
      <c r="C440" t="str">
        <f>CONCATENATE(C$2,": ",C$3,list1!C440,"]")</f>
        <v xml:space="preserve"> (Сплит система) Холодопроизводительность: N[7.2]</v>
      </c>
      <c r="D440" t="str">
        <f>CONCATENATE(D$2,": ",D$3,list1!D440,"]")</f>
        <v xml:space="preserve"> (Сплит система) Площадь помещения: N[72]</v>
      </c>
      <c r="E440" t="str">
        <f>CONCATENATE(E$2,": ",E$3,list1!E440,"]")</f>
        <v xml:space="preserve"> (Сплит система) Инвентор: S[нет]</v>
      </c>
      <c r="F440" t="str">
        <f>CONCATENATE(F$2,": ",F$3,list1!F440,"]")</f>
        <v xml:space="preserve"> (Сплит система) Теплопроизводительность: N[8.2]</v>
      </c>
      <c r="G440" t="str">
        <f>CONCATENATE(G$2,": ",G$3,list1!G440,"]")</f>
        <v xml:space="preserve"> (Потребляемая мощность) Охлаждение: N[2.5]</v>
      </c>
      <c r="H440" t="str">
        <f>CONCATENATE(H$2,": ",H$3,list1!H440,"]")</f>
        <v xml:space="preserve"> (Потребляемая мощность) Обогрев: S[2.4]</v>
      </c>
      <c r="I440" t="str">
        <f>CONCATENATE(I$2,": ",I$3,list1!I440,"]")</f>
        <v xml:space="preserve"> (Рабочий ток) Охлаждение: S[]</v>
      </c>
      <c r="J440" t="str">
        <f>CONCATENATE(J$2,": ",J$3,list1!J440,"]")</f>
        <v xml:space="preserve"> (Рабочий ток) Обогрев: S[]</v>
      </c>
      <c r="K440" t="str">
        <f>CONCATENATE(K$2,": ",K$3,list1!K440,"]")</f>
        <v xml:space="preserve"> (Рабочий ток) Напряжение / Частота источника питания: S[1 / 220 / 50]</v>
      </c>
      <c r="L440" t="str">
        <f>CONCATENATE(L$2,": ",L$3,list1!L440,"]")</f>
        <v xml:space="preserve"> (Рабочий ток) Хладагент: S[R410A]</v>
      </c>
      <c r="M440" t="str">
        <f>CONCATENATE(M$2,": ",M$3,list1!M440,"]")</f>
        <v xml:space="preserve"> (Рабочий ток) Количество хладагента: N[]</v>
      </c>
      <c r="N440" t="str">
        <f>CONCATENATE(N$2,": ",N$3,list1!N440,"]")</f>
        <v xml:space="preserve"> (Рабочий ток) Объем рециркулируемого воздуха внутреннего блока: S[]</v>
      </c>
      <c r="O440" t="str">
        <f>CONCATENATE(O$2,": ",O$3,list1!O440,"]")</f>
        <v xml:space="preserve"> (Внутренний блок) Размеры (Ш x Г x В): S[1200 х 665 х 235]</v>
      </c>
      <c r="P440" t="str">
        <f>CONCATENATE(P$2,": ",P$3,list1!P440,"]")</f>
        <v xml:space="preserve"> (Внутренний блок) Упаковка (Ш x Г x В): S[1363 х 288 х 782]</v>
      </c>
      <c r="Q440" t="str">
        <f>CONCATENATE(Q$2,": ",Q$3,list1!Q440,"]")</f>
        <v xml:space="preserve"> (Внутренний блок) Масса (нетто / брутто): S[32 / 39]</v>
      </c>
      <c r="R440" t="str">
        <f>CONCATENATE(R$2,": ",R$3,list1!R440,"]")</f>
        <v xml:space="preserve"> (Внутренний блок) Уровень шума мин. / макс.: S[40-46]</v>
      </c>
      <c r="S440" t="str">
        <f>CONCATENATE(S$2,": ",S$3,list1!S440,"]")</f>
        <v xml:space="preserve"> (Наружный блок) Марка компрессора: S[Gree]</v>
      </c>
      <c r="T440" t="str">
        <f>CONCATENATE(T$2,": ",T$3,list1!T440,"]")</f>
        <v xml:space="preserve"> (Наружный блок) Размеры (Ш x Г x В): S[]</v>
      </c>
      <c r="U440" t="str">
        <f>CONCATENATE(U$2,": ",U$3,list1!U440,"]")</f>
        <v xml:space="preserve"> (Наружный блок) Упаковка (Ш x Г x В): S[]</v>
      </c>
      <c r="V440" t="str">
        <f>CONCATENATE(V$2,": ",V$3,list1!V440,"]")</f>
        <v xml:space="preserve"> (Наружный блок) Масса (нетто / брутто): S[]</v>
      </c>
      <c r="W440" t="str">
        <f>CONCATENATE(W$2,": ",W$3,list1!W440,"]")</f>
        <v xml:space="preserve"> (Наружный блок) Максимальный уровень шума: N[]</v>
      </c>
      <c r="X440" t="str">
        <f>CONCATENATE(X$2,": ",X$3,list1!X440,"]")</f>
        <v xml:space="preserve"> (Соединительные трубы) Жидкостная линия : N[9.52]</v>
      </c>
      <c r="Y440" t="str">
        <f>CONCATENATE(Y$2,": ",Y$3,list1!Y440,"]")</f>
        <v xml:space="preserve"> (Соединительные трубы) Газовая линия : N[15.8]</v>
      </c>
      <c r="Z440" t="str">
        <f>CONCATENATE(Z$2,": ",Z$3,list1!Z440,"]")</f>
        <v xml:space="preserve"> (Соединительные трубы) Максимальная длина трубопровода: N[30]</v>
      </c>
      <c r="AA440" t="str">
        <f>CONCATENATE(AA$2,": ",AA$3,list1!AA440,"]")</f>
        <v xml:space="preserve"> (Соединительные трубы) Максимальный перепад высот: S[15]</v>
      </c>
      <c r="AB440" t="str">
        <f>CONCATENATE(AB$2,": ",AB$3,list1!AB440,"]")</f>
        <v xml:space="preserve"> (Допустимая темп. наружного воздуха) Охлаждение: S[от -15 до +43]</v>
      </c>
      <c r="AC440" t="str">
        <f>CONCATENATE(AC$2,": ",AC$3,list1!AC440,"]")</f>
        <v xml:space="preserve"> (Допустимая темп. наружного воздуха) Обогрев: S[от -15 до +24]</v>
      </c>
      <c r="AD440" s="6" t="s">
        <v>5245</v>
      </c>
    </row>
    <row r="441" spans="1:30" x14ac:dyDescent="0.25">
      <c r="A441" t="str">
        <f>CONCATENATE(A$2,": ",A$3,list1!A441,"]")</f>
        <v>Производитель: E[TOSOT]</v>
      </c>
      <c r="B441" t="str">
        <f>CONCATENATE(B$2,": ",B$3,list1!B441,"]")</f>
        <v xml:space="preserve"> Тип: S[Напольно-потолочные]</v>
      </c>
      <c r="C441" t="str">
        <f>CONCATENATE(C$2,": ",C$3,list1!C441,"]")</f>
        <v xml:space="preserve"> (Сплит система) Холодопроизводительность: N[7.3]</v>
      </c>
      <c r="D441" t="str">
        <f>CONCATENATE(D$2,": ",D$3,list1!D441,"]")</f>
        <v xml:space="preserve"> (Сплит система) Площадь помещения: N[73]</v>
      </c>
      <c r="E441" t="str">
        <f>CONCATENATE(E$2,": ",E$3,list1!E441,"]")</f>
        <v xml:space="preserve"> (Сплит система) Инвентор: S[нет]</v>
      </c>
      <c r="F441" t="str">
        <f>CONCATENATE(F$2,": ",F$3,list1!F441,"]")</f>
        <v xml:space="preserve"> (Сплит система) Теплопроизводительность: N[7.7]</v>
      </c>
      <c r="G441" t="str">
        <f>CONCATENATE(G$2,": ",G$3,list1!G441,"]")</f>
        <v xml:space="preserve"> (Потребляемая мощность) Охлаждение: N[2.25]</v>
      </c>
      <c r="H441" t="str">
        <f>CONCATENATE(H$2,": ",H$3,list1!H441,"]")</f>
        <v xml:space="preserve"> (Потребляемая мощность) Обогрев: S[2.2]</v>
      </c>
      <c r="I441" t="str">
        <f>CONCATENATE(I$2,": ",I$3,list1!I441,"]")</f>
        <v xml:space="preserve"> (Рабочий ток) Охлаждение: S[]</v>
      </c>
      <c r="J441" t="str">
        <f>CONCATENATE(J$2,": ",J$3,list1!J441,"]")</f>
        <v xml:space="preserve"> (Рабочий ток) Обогрев: S[]</v>
      </c>
      <c r="K441" t="str">
        <f>CONCATENATE(K$2,": ",K$3,list1!K441,"]")</f>
        <v xml:space="preserve"> (Рабочий ток) Напряжение / Частота источника питания: S[1 / 220 / 50]</v>
      </c>
      <c r="L441" t="str">
        <f>CONCATENATE(L$2,": ",L$3,list1!L441,"]")</f>
        <v xml:space="preserve"> (Рабочий ток) Хладагент: S[R410A]</v>
      </c>
      <c r="M441" t="str">
        <f>CONCATENATE(M$2,": ",M$3,list1!M441,"]")</f>
        <v xml:space="preserve"> (Рабочий ток) Количество хладагента: N[]</v>
      </c>
      <c r="N441" t="str">
        <f>CONCATENATE(N$2,": ",N$3,list1!N441,"]")</f>
        <v xml:space="preserve"> (Рабочий ток) Объем рециркулируемого воздуха внутреннего блока: S[]</v>
      </c>
      <c r="O441" t="str">
        <f>CONCATENATE(O$2,": ",O$3,list1!O441,"]")</f>
        <v xml:space="preserve"> (Внутренний блок) Размеры (Ш x Г x В): S[235 х 665 х 1200]</v>
      </c>
      <c r="P441" t="str">
        <f>CONCATENATE(P$2,": ",P$3,list1!P441,"]")</f>
        <v xml:space="preserve"> (Внутренний блок) Упаковка (Ш x Г x В): S[300 х 1363 х 770]</v>
      </c>
      <c r="Q441" t="str">
        <f>CONCATENATE(Q$2,": ",Q$3,list1!Q441,"]")</f>
        <v xml:space="preserve"> (Внутренний блок) Масса (нетто / брутто): S[33 / 39]</v>
      </c>
      <c r="R441" t="str">
        <f>CONCATENATE(R$2,": ",R$3,list1!R441,"]")</f>
        <v xml:space="preserve"> (Внутренний блок) Уровень шума мин. / макс.: S[41/44/46/47]</v>
      </c>
      <c r="S441" t="str">
        <f>CONCATENATE(S$2,": ",S$3,list1!S441,"]")</f>
        <v xml:space="preserve"> (Наружный блок) Марка компрессора: S[Gree]</v>
      </c>
      <c r="T441" t="str">
        <f>CONCATENATE(T$2,": ",T$3,list1!T441,"]")</f>
        <v xml:space="preserve"> (Наружный блок) Размеры (Ш x Г x В): S[]</v>
      </c>
      <c r="U441" t="str">
        <f>CONCATENATE(U$2,": ",U$3,list1!U441,"]")</f>
        <v xml:space="preserve"> (Наружный блок) Упаковка (Ш x Г x В): S[]</v>
      </c>
      <c r="V441" t="str">
        <f>CONCATENATE(V$2,": ",V$3,list1!V441,"]")</f>
        <v xml:space="preserve"> (Наружный блок) Масса (нетто / брутто): S[]</v>
      </c>
      <c r="W441" t="str">
        <f>CONCATENATE(W$2,": ",W$3,list1!W441,"]")</f>
        <v xml:space="preserve"> (Наружный блок) Максимальный уровень шума: N[]</v>
      </c>
      <c r="X441" t="str">
        <f>CONCATENATE(X$2,": ",X$3,list1!X441,"]")</f>
        <v xml:space="preserve"> (Соединительные трубы) Жидкостная линия : N[9.52]</v>
      </c>
      <c r="Y441" t="str">
        <f>CONCATENATE(Y$2,": ",Y$3,list1!Y441,"]")</f>
        <v xml:space="preserve"> (Соединительные трубы) Газовая линия : N[15.88]</v>
      </c>
      <c r="Z441" t="str">
        <f>CONCATENATE(Z$2,": ",Z$3,list1!Z441,"]")</f>
        <v xml:space="preserve"> (Соединительные трубы) Максимальная длина трубопровода: N[30]</v>
      </c>
      <c r="AA441" t="str">
        <f>CONCATENATE(AA$2,": ",AA$3,list1!AA441,"]")</f>
        <v xml:space="preserve"> (Соединительные трубы) Максимальный перепад высот: S[15]</v>
      </c>
      <c r="AB441" t="str">
        <f>CONCATENATE(AB$2,": ",AB$3,list1!AB441,"]")</f>
        <v xml:space="preserve"> (Допустимая темп. наружного воздуха) Охлаждение: S[от -15 до +48]</v>
      </c>
      <c r="AC441" t="str">
        <f>CONCATENATE(AC$2,": ",AC$3,list1!AC441,"]")</f>
        <v xml:space="preserve"> (Допустимая темп. наружного воздуха) Обогрев: S[от -15 до +24]</v>
      </c>
      <c r="AD441" s="6" t="s">
        <v>5245</v>
      </c>
    </row>
    <row r="442" spans="1:30" x14ac:dyDescent="0.25">
      <c r="A442" t="str">
        <f>CONCATENATE(A$2,": ",A$3,list1!A442,"]")</f>
        <v>Производитель: E[TOSOT]</v>
      </c>
      <c r="B442" t="str">
        <f>CONCATENATE(B$2,": ",B$3,list1!B442,"]")</f>
        <v xml:space="preserve"> Тип: S[Напольно-потолочные]</v>
      </c>
      <c r="C442" t="str">
        <f>CONCATENATE(C$2,": ",C$3,list1!C442,"]")</f>
        <v xml:space="preserve"> (Сплит система) Холодопроизводительность: N[10.6]</v>
      </c>
      <c r="D442" t="str">
        <f>CONCATENATE(D$2,": ",D$3,list1!D442,"]")</f>
        <v xml:space="preserve"> (Сплит система) Площадь помещения: N[106]</v>
      </c>
      <c r="E442" t="str">
        <f>CONCATENATE(E$2,": ",E$3,list1!E442,"]")</f>
        <v xml:space="preserve"> (Сплит система) Инвентор: S[нет]</v>
      </c>
      <c r="F442" t="str">
        <f>CONCATENATE(F$2,": ",F$3,list1!F442,"]")</f>
        <v xml:space="preserve"> (Сплит система) Теплопроизводительность: N[11.8]</v>
      </c>
      <c r="G442" t="str">
        <f>CONCATENATE(G$2,": ",G$3,list1!G442,"]")</f>
        <v xml:space="preserve"> (Потребляемая мощность) Охлаждение: N[3.6]</v>
      </c>
      <c r="H442" t="str">
        <f>CONCATENATE(H$2,": ",H$3,list1!H442,"]")</f>
        <v xml:space="preserve"> (Потребляемая мощность) Обогрев: S[3.6]</v>
      </c>
      <c r="I442" t="str">
        <f>CONCATENATE(I$2,": ",I$3,list1!I442,"]")</f>
        <v xml:space="preserve"> (Рабочий ток) Охлаждение: S[]</v>
      </c>
      <c r="J442" t="str">
        <f>CONCATENATE(J$2,": ",J$3,list1!J442,"]")</f>
        <v xml:space="preserve"> (Рабочий ток) Обогрев: S[]</v>
      </c>
      <c r="K442" t="str">
        <f>CONCATENATE(K$2,": ",K$3,list1!K442,"]")</f>
        <v xml:space="preserve"> (Рабочий ток) Напряжение / Частота источника питания: S[3 / 380 / 50]</v>
      </c>
      <c r="L442" t="str">
        <f>CONCATENATE(L$2,": ",L$3,list1!L442,"]")</f>
        <v xml:space="preserve"> (Рабочий ток) Хладагент: S[R410A]</v>
      </c>
      <c r="M442" t="str">
        <f>CONCATENATE(M$2,": ",M$3,list1!M442,"]")</f>
        <v xml:space="preserve"> (Рабочий ток) Количество хладагента: N[]</v>
      </c>
      <c r="N442" t="str">
        <f>CONCATENATE(N$2,": ",N$3,list1!N442,"]")</f>
        <v xml:space="preserve"> (Рабочий ток) Объем рециркулируемого воздуха внутреннего блока: S[]</v>
      </c>
      <c r="O442" t="str">
        <f>CONCATENATE(O$2,": ",O$3,list1!O442,"]")</f>
        <v xml:space="preserve"> (Внутренний блок) Размеры (Ш x Г x В): S[1200 х 665 х 235]</v>
      </c>
      <c r="P442" t="str">
        <f>CONCATENATE(P$2,": ",P$3,list1!P442,"]")</f>
        <v xml:space="preserve"> (Внутренний блок) Упаковка (Ш x Г x В): S[1363 х 288 х 782]</v>
      </c>
      <c r="Q442" t="str">
        <f>CONCATENATE(Q$2,": ",Q$3,list1!Q442,"]")</f>
        <v xml:space="preserve"> (Внутренний блок) Масса (нетто / брутто): S[36 / 43]</v>
      </c>
      <c r="R442" t="str">
        <f>CONCATENATE(R$2,": ",R$3,list1!R442,"]")</f>
        <v xml:space="preserve"> (Внутренний блок) Уровень шума мин. / макс.: S[49-51]</v>
      </c>
      <c r="S442" t="str">
        <f>CONCATENATE(S$2,": ",S$3,list1!S442,"]")</f>
        <v xml:space="preserve"> (Наружный блок) Марка компрессора: S[HITACHI]</v>
      </c>
      <c r="T442" t="str">
        <f>CONCATENATE(T$2,": ",T$3,list1!T442,"]")</f>
        <v xml:space="preserve"> (Наружный блок) Размеры (Ш x Г x В): S[]</v>
      </c>
      <c r="U442" t="str">
        <f>CONCATENATE(U$2,": ",U$3,list1!U442,"]")</f>
        <v xml:space="preserve"> (Наружный блок) Упаковка (Ш x Г x В): S[]</v>
      </c>
      <c r="V442" t="str">
        <f>CONCATENATE(V$2,": ",V$3,list1!V442,"]")</f>
        <v xml:space="preserve"> (Наружный блок) Масса (нетто / брутто): S[]</v>
      </c>
      <c r="W442" t="str">
        <f>CONCATENATE(W$2,": ",W$3,list1!W442,"]")</f>
        <v xml:space="preserve"> (Наружный блок) Максимальный уровень шума: N[]</v>
      </c>
      <c r="X442" t="str">
        <f>CONCATENATE(X$2,": ",X$3,list1!X442,"]")</f>
        <v xml:space="preserve"> (Соединительные трубы) Жидкостная линия : N[9.52]</v>
      </c>
      <c r="Y442" t="str">
        <f>CONCATENATE(Y$2,": ",Y$3,list1!Y442,"]")</f>
        <v xml:space="preserve"> (Соединительные трубы) Газовая линия : N[19]</v>
      </c>
      <c r="Z442" t="str">
        <f>CONCATENATE(Z$2,": ",Z$3,list1!Z442,"]")</f>
        <v xml:space="preserve"> (Соединительные трубы) Максимальная длина трубопровода: N[30]</v>
      </c>
      <c r="AA442" t="str">
        <f>CONCATENATE(AA$2,": ",AA$3,list1!AA442,"]")</f>
        <v xml:space="preserve"> (Соединительные трубы) Максимальный перепад высот: S[15]</v>
      </c>
      <c r="AB442" t="str">
        <f>CONCATENATE(AB$2,": ",AB$3,list1!AB442,"]")</f>
        <v xml:space="preserve"> (Допустимая темп. наружного воздуха) Охлаждение: S[от -15 до +43]</v>
      </c>
      <c r="AC442" t="str">
        <f>CONCATENATE(AC$2,": ",AC$3,list1!AC442,"]")</f>
        <v xml:space="preserve"> (Допустимая темп. наружного воздуха) Обогрев: S[от -15 до +24]</v>
      </c>
      <c r="AD442" s="6" t="s">
        <v>5245</v>
      </c>
    </row>
    <row r="443" spans="1:30" x14ac:dyDescent="0.25">
      <c r="A443" t="str">
        <f>CONCATENATE(A$2,": ",A$3,list1!A443,"]")</f>
        <v>Производитель: E[TOSOT]</v>
      </c>
      <c r="B443" t="str">
        <f>CONCATENATE(B$2,": ",B$3,list1!B443,"]")</f>
        <v xml:space="preserve"> Тип: S[Напольно-потолочные]</v>
      </c>
      <c r="C443" t="str">
        <f>CONCATENATE(C$2,": ",C$3,list1!C443,"]")</f>
        <v xml:space="preserve"> (Сплит система) Холодопроизводительность: N[10.1]</v>
      </c>
      <c r="D443" t="str">
        <f>CONCATENATE(D$2,": ",D$3,list1!D443,"]")</f>
        <v xml:space="preserve"> (Сплит система) Площадь помещения: N[101]</v>
      </c>
      <c r="E443" t="str">
        <f>CONCATENATE(E$2,": ",E$3,list1!E443,"]")</f>
        <v xml:space="preserve"> (Сплит система) Инвентор: S[нет]</v>
      </c>
      <c r="F443" t="str">
        <f>CONCATENATE(F$2,": ",F$3,list1!F443,"]")</f>
        <v xml:space="preserve"> (Сплит система) Теплопроизводительность: N[12]</v>
      </c>
      <c r="G443" t="str">
        <f>CONCATENATE(G$2,": ",G$3,list1!G443,"]")</f>
        <v xml:space="preserve"> (Потребляемая мощность) Охлаждение: N[3.2]</v>
      </c>
      <c r="H443" t="str">
        <f>CONCATENATE(H$2,": ",H$3,list1!H443,"]")</f>
        <v xml:space="preserve"> (Потребляемая мощность) Обогрев: S[3.4]</v>
      </c>
      <c r="I443" t="str">
        <f>CONCATENATE(I$2,": ",I$3,list1!I443,"]")</f>
        <v xml:space="preserve"> (Рабочий ток) Охлаждение: S[]</v>
      </c>
      <c r="J443" t="str">
        <f>CONCATENATE(J$2,": ",J$3,list1!J443,"]")</f>
        <v xml:space="preserve"> (Рабочий ток) Обогрев: S[]</v>
      </c>
      <c r="K443" t="str">
        <f>CONCATENATE(K$2,": ",K$3,list1!K443,"]")</f>
        <v xml:space="preserve"> (Рабочий ток) Напряжение / Частота источника питания: S[3 / 380 / 50]</v>
      </c>
      <c r="L443" t="str">
        <f>CONCATENATE(L$2,": ",L$3,list1!L443,"]")</f>
        <v xml:space="preserve"> (Рабочий ток) Хладагент: S[R410A]</v>
      </c>
      <c r="M443" t="str">
        <f>CONCATENATE(M$2,": ",M$3,list1!M443,"]")</f>
        <v xml:space="preserve"> (Рабочий ток) Количество хладагента: N[]</v>
      </c>
      <c r="N443" t="str">
        <f>CONCATENATE(N$2,": ",N$3,list1!N443,"]")</f>
        <v xml:space="preserve"> (Рабочий ток) Объем рециркулируемого воздуха внутреннего блока: S[]</v>
      </c>
      <c r="O443" t="str">
        <f>CONCATENATE(O$2,": ",O$3,list1!O443,"]")</f>
        <v xml:space="preserve"> (Внутренний блок) Размеры (Ш x Г x В): S[235 х 665 х 1200]</v>
      </c>
      <c r="P443" t="str">
        <f>CONCATENATE(P$2,": ",P$3,list1!P443,"]")</f>
        <v xml:space="preserve"> (Внутренний блок) Упаковка (Ш x Г x В): S[300 х 1363 х 770]</v>
      </c>
      <c r="Q443" t="str">
        <f>CONCATENATE(Q$2,": ",Q$3,list1!Q443,"]")</f>
        <v xml:space="preserve"> (Внутренний блок) Масса (нетто / брутто): S[36 / 42]</v>
      </c>
      <c r="R443" t="str">
        <f>CONCATENATE(R$2,": ",R$3,list1!R443,"]")</f>
        <v xml:space="preserve"> (Внутренний блок) Уровень шума мин. / макс.: S[48/49/50/51]</v>
      </c>
      <c r="S443" t="str">
        <f>CONCATENATE(S$2,": ",S$3,list1!S443,"]")</f>
        <v xml:space="preserve"> (Наружный блок) Марка компрессора: S[Gree]</v>
      </c>
      <c r="T443" t="str">
        <f>CONCATENATE(T$2,": ",T$3,list1!T443,"]")</f>
        <v xml:space="preserve"> (Наружный блок) Размеры (Ш x Г x В): S[]</v>
      </c>
      <c r="U443" t="str">
        <f>CONCATENATE(U$2,": ",U$3,list1!U443,"]")</f>
        <v xml:space="preserve"> (Наружный блок) Упаковка (Ш x Г x В): S[]</v>
      </c>
      <c r="V443" t="str">
        <f>CONCATENATE(V$2,": ",V$3,list1!V443,"]")</f>
        <v xml:space="preserve"> (Наружный блок) Масса (нетто / брутто): S[]</v>
      </c>
      <c r="W443" t="str">
        <f>CONCATENATE(W$2,": ",W$3,list1!W443,"]")</f>
        <v xml:space="preserve"> (Наружный блок) Максимальный уровень шума: N[]</v>
      </c>
      <c r="X443" t="str">
        <f>CONCATENATE(X$2,": ",X$3,list1!X443,"]")</f>
        <v xml:space="preserve"> (Соединительные трубы) Жидкостная линия : N[9.52]</v>
      </c>
      <c r="Y443" t="str">
        <f>CONCATENATE(Y$2,": ",Y$3,list1!Y443,"]")</f>
        <v xml:space="preserve"> (Соединительные трубы) Газовая линия : N[15.88]</v>
      </c>
      <c r="Z443" t="str">
        <f>CONCATENATE(Z$2,": ",Z$3,list1!Z443,"]")</f>
        <v xml:space="preserve"> (Соединительные трубы) Максимальная длина трубопровода: N[30]</v>
      </c>
      <c r="AA443" t="str">
        <f>CONCATENATE(AA$2,": ",AA$3,list1!AA443,"]")</f>
        <v xml:space="preserve"> (Соединительные трубы) Максимальный перепад высот: S[20]</v>
      </c>
      <c r="AB443" t="str">
        <f>CONCATENATE(AB$2,": ",AB$3,list1!AB443,"]")</f>
        <v xml:space="preserve"> (Допустимая темп. наружного воздуха) Охлаждение: S[от -15 до +48]</v>
      </c>
      <c r="AC443" t="str">
        <f>CONCATENATE(AC$2,": ",AC$3,list1!AC443,"]")</f>
        <v xml:space="preserve"> (Допустимая темп. наружного воздуха) Обогрев: S[от -15 до +24]</v>
      </c>
      <c r="AD443" s="6" t="s">
        <v>5245</v>
      </c>
    </row>
    <row r="444" spans="1:30" x14ac:dyDescent="0.25">
      <c r="A444" t="str">
        <f>CONCATENATE(A$2,": ",A$3,list1!A444,"]")</f>
        <v>Производитель: E[TOSOT]</v>
      </c>
      <c r="B444" t="str">
        <f>CONCATENATE(B$2,": ",B$3,list1!B444,"]")</f>
        <v xml:space="preserve"> Тип: S[Напольно-потолочные]</v>
      </c>
      <c r="C444" t="str">
        <f>CONCATENATE(C$2,": ",C$3,list1!C444,"]")</f>
        <v xml:space="preserve"> (Сплит система) Холодопроизводительность: N[12]</v>
      </c>
      <c r="D444" t="str">
        <f>CONCATENATE(D$2,": ",D$3,list1!D444,"]")</f>
        <v xml:space="preserve"> (Сплит система) Площадь помещения: N[120]</v>
      </c>
      <c r="E444" t="str">
        <f>CONCATENATE(E$2,": ",E$3,list1!E444,"]")</f>
        <v xml:space="preserve"> (Сплит система) Инвентор: S[нет]</v>
      </c>
      <c r="F444" t="str">
        <f>CONCATENATE(F$2,": ",F$3,list1!F444,"]")</f>
        <v xml:space="preserve"> (Сплит система) Теплопроизводительность: N[13.2]</v>
      </c>
      <c r="G444" t="str">
        <f>CONCATENATE(G$2,": ",G$3,list1!G444,"]")</f>
        <v xml:space="preserve"> (Потребляемая мощность) Охлаждение: N[4.3]</v>
      </c>
      <c r="H444" t="str">
        <f>CONCATENATE(H$2,": ",H$3,list1!H444,"]")</f>
        <v xml:space="preserve"> (Потребляемая мощность) Обогрев: S[4.1]</v>
      </c>
      <c r="I444" t="str">
        <f>CONCATENATE(I$2,": ",I$3,list1!I444,"]")</f>
        <v xml:space="preserve"> (Рабочий ток) Охлаждение: S[]</v>
      </c>
      <c r="J444" t="str">
        <f>CONCATENATE(J$2,": ",J$3,list1!J444,"]")</f>
        <v xml:space="preserve"> (Рабочий ток) Обогрев: S[]</v>
      </c>
      <c r="K444" t="str">
        <f>CONCATENATE(K$2,": ",K$3,list1!K444,"]")</f>
        <v xml:space="preserve"> (Рабочий ток) Напряжение / Частота источника питания: S[3 / 380 / 50]</v>
      </c>
      <c r="L444" t="str">
        <f>CONCATENATE(L$2,": ",L$3,list1!L444,"]")</f>
        <v xml:space="preserve"> (Рабочий ток) Хладагент: S[R410A]</v>
      </c>
      <c r="M444" t="str">
        <f>CONCATENATE(M$2,": ",M$3,list1!M444,"]")</f>
        <v xml:space="preserve"> (Рабочий ток) Количество хладагента: N[]</v>
      </c>
      <c r="N444" t="str">
        <f>CONCATENATE(N$2,": ",N$3,list1!N444,"]")</f>
        <v xml:space="preserve"> (Рабочий ток) Объем рециркулируемого воздуха внутреннего блока: S[]</v>
      </c>
      <c r="O444" t="str">
        <f>CONCATENATE(O$2,": ",O$3,list1!O444,"]")</f>
        <v xml:space="preserve"> (Внутренний блок) Размеры (Ш x Г x В): S[1200 х 665 х 235]</v>
      </c>
      <c r="P444" t="str">
        <f>CONCATENATE(P$2,": ",P$3,list1!P444,"]")</f>
        <v xml:space="preserve"> (Внутренний блок) Упаковка (Ш x Г x В): S[1363 х 288 х 782]</v>
      </c>
      <c r="Q444" t="str">
        <f>CONCATENATE(Q$2,": ",Q$3,list1!Q444,"]")</f>
        <v xml:space="preserve"> (Внутренний блок) Масса (нетто / брутто): S[38 / 45]</v>
      </c>
      <c r="R444" t="str">
        <f>CONCATENATE(R$2,": ",R$3,list1!R444,"]")</f>
        <v xml:space="preserve"> (Внутренний блок) Уровень шума мин. / макс.: S[49-51]</v>
      </c>
      <c r="S444" t="str">
        <f>CONCATENATE(S$2,": ",S$3,list1!S444,"]")</f>
        <v xml:space="preserve"> (Наружный блок) Марка компрессора: S[HITACHI]</v>
      </c>
      <c r="T444" t="str">
        <f>CONCATENATE(T$2,": ",T$3,list1!T444,"]")</f>
        <v xml:space="preserve"> (Наружный блок) Размеры (Ш x Г x В): S[]</v>
      </c>
      <c r="U444" t="str">
        <f>CONCATENATE(U$2,": ",U$3,list1!U444,"]")</f>
        <v xml:space="preserve"> (Наружный блок) Упаковка (Ш x Г x В): S[]</v>
      </c>
      <c r="V444" t="str">
        <f>CONCATENATE(V$2,": ",V$3,list1!V444,"]")</f>
        <v xml:space="preserve"> (Наружный блок) Масса (нетто / брутто): S[]</v>
      </c>
      <c r="W444" t="str">
        <f>CONCATENATE(W$2,": ",W$3,list1!W444,"]")</f>
        <v xml:space="preserve"> (Наружный блок) Максимальный уровень шума: N[]</v>
      </c>
      <c r="X444" t="str">
        <f>CONCATENATE(X$2,": ",X$3,list1!X444,"]")</f>
        <v xml:space="preserve"> (Соединительные трубы) Жидкостная линия : N[12.7]</v>
      </c>
      <c r="Y444" t="str">
        <f>CONCATENATE(Y$2,": ",Y$3,list1!Y444,"]")</f>
        <v xml:space="preserve"> (Соединительные трубы) Газовая линия : N[19]</v>
      </c>
      <c r="Z444" t="str">
        <f>CONCATENATE(Z$2,": ",Z$3,list1!Z444,"]")</f>
        <v xml:space="preserve"> (Соединительные трубы) Максимальная длина трубопровода: N[50]</v>
      </c>
      <c r="AA444" t="str">
        <f>CONCATENATE(AA$2,": ",AA$3,list1!AA444,"]")</f>
        <v xml:space="preserve"> (Соединительные трубы) Максимальный перепад высот: S[30]</v>
      </c>
      <c r="AB444" t="str">
        <f>CONCATENATE(AB$2,": ",AB$3,list1!AB444,"]")</f>
        <v xml:space="preserve"> (Допустимая темп. наружного воздуха) Охлаждение: S[от -15 до +43]</v>
      </c>
      <c r="AC444" t="str">
        <f>CONCATENATE(AC$2,": ",AC$3,list1!AC444,"]")</f>
        <v xml:space="preserve"> (Допустимая темп. наружного воздуха) Обогрев: S[от -15 до +24]</v>
      </c>
      <c r="AD444" s="6" t="s">
        <v>5245</v>
      </c>
    </row>
    <row r="445" spans="1:30" x14ac:dyDescent="0.25">
      <c r="A445" t="str">
        <f>CONCATENATE(A$2,": ",A$3,list1!A445,"]")</f>
        <v>Производитель: E[TOSOT]</v>
      </c>
      <c r="B445" t="str">
        <f>CONCATENATE(B$2,": ",B$3,list1!B445,"]")</f>
        <v xml:space="preserve"> Тип: S[Напольно-потолочные]</v>
      </c>
      <c r="C445" t="str">
        <f>CONCATENATE(C$2,": ",C$3,list1!C445,"]")</f>
        <v xml:space="preserve"> (Сплит система) Холодопроизводительность: N[14.2]</v>
      </c>
      <c r="D445" t="str">
        <f>CONCATENATE(D$2,": ",D$3,list1!D445,"]")</f>
        <v xml:space="preserve"> (Сплит система) Площадь помещения: N[142]</v>
      </c>
      <c r="E445" t="str">
        <f>CONCATENATE(E$2,": ",E$3,list1!E445,"]")</f>
        <v xml:space="preserve"> (Сплит система) Инвентор: S[нет]</v>
      </c>
      <c r="F445" t="str">
        <f>CONCATENATE(F$2,": ",F$3,list1!F445,"]")</f>
        <v xml:space="preserve"> (Сплит система) Теплопроизводительность: N[16]</v>
      </c>
      <c r="G445" t="str">
        <f>CONCATENATE(G$2,": ",G$3,list1!G445,"]")</f>
        <v xml:space="preserve"> (Потребляемая мощность) Охлаждение: N[5]</v>
      </c>
      <c r="H445" t="str">
        <f>CONCATENATE(H$2,": ",H$3,list1!H445,"]")</f>
        <v xml:space="preserve"> (Потребляемая мощность) Обогрев: S[4.7]</v>
      </c>
      <c r="I445" t="str">
        <f>CONCATENATE(I$2,": ",I$3,list1!I445,"]")</f>
        <v xml:space="preserve"> (Рабочий ток) Охлаждение: S[]</v>
      </c>
      <c r="J445" t="str">
        <f>CONCATENATE(J$2,": ",J$3,list1!J445,"]")</f>
        <v xml:space="preserve"> (Рабочий ток) Обогрев: S[]</v>
      </c>
      <c r="K445" t="str">
        <f>CONCATENATE(K$2,": ",K$3,list1!K445,"]")</f>
        <v xml:space="preserve"> (Рабочий ток) Напряжение / Частота источника питания: S[3 / 380 / 50]</v>
      </c>
      <c r="L445" t="str">
        <f>CONCATENATE(L$2,": ",L$3,list1!L445,"]")</f>
        <v xml:space="preserve"> (Рабочий ток) Хладагент: S[R410A]</v>
      </c>
      <c r="M445" t="str">
        <f>CONCATENATE(M$2,": ",M$3,list1!M445,"]")</f>
        <v xml:space="preserve"> (Рабочий ток) Количество хладагента: N[]</v>
      </c>
      <c r="N445" t="str">
        <f>CONCATENATE(N$2,": ",N$3,list1!N445,"]")</f>
        <v xml:space="preserve"> (Рабочий ток) Объем рециркулируемого воздуха внутреннего блока: S[]</v>
      </c>
      <c r="O445" t="str">
        <f>CONCATENATE(O$2,": ",O$3,list1!O445,"]")</f>
        <v xml:space="preserve"> (Внутренний блок) Размеры (Ш x Г x В): S[1570 х 665 х 235]</v>
      </c>
      <c r="P445" t="str">
        <f>CONCATENATE(P$2,": ",P$3,list1!P445,"]")</f>
        <v xml:space="preserve"> (Внутренний блок) Упаковка (Ш x Г x В): S[1729 х 288 х 782]</v>
      </c>
      <c r="Q445" t="str">
        <f>CONCATENATE(Q$2,": ",Q$3,list1!Q445,"]")</f>
        <v xml:space="preserve"> (Внутренний блок) Масса (нетто / брутто): S[46 / 53]</v>
      </c>
      <c r="R445" t="str">
        <f>CONCATENATE(R$2,": ",R$3,list1!R445,"]")</f>
        <v xml:space="preserve"> (Внутренний блок) Уровень шума мин. / макс.: S[]</v>
      </c>
      <c r="S445" t="str">
        <f>CONCATENATE(S$2,": ",S$3,list1!S445,"]")</f>
        <v xml:space="preserve"> (Наружный блок) Марка компрессора: S[SANYO]</v>
      </c>
      <c r="T445" t="str">
        <f>CONCATENATE(T$2,": ",T$3,list1!T445,"]")</f>
        <v xml:space="preserve"> (Наружный блок) Размеры (Ш x Г x В): S[]</v>
      </c>
      <c r="U445" t="str">
        <f>CONCATENATE(U$2,": ",U$3,list1!U445,"]")</f>
        <v xml:space="preserve"> (Наружный блок) Упаковка (Ш x Г x В): S[]</v>
      </c>
      <c r="V445" t="str">
        <f>CONCATENATE(V$2,": ",V$3,list1!V445,"]")</f>
        <v xml:space="preserve"> (Наружный блок) Масса (нетто / брутто): S[]</v>
      </c>
      <c r="W445" t="str">
        <f>CONCATENATE(W$2,": ",W$3,list1!W445,"]")</f>
        <v xml:space="preserve"> (Наружный блок) Максимальный уровень шума: N[]</v>
      </c>
      <c r="X445" t="str">
        <f>CONCATENATE(X$2,": ",X$3,list1!X445,"]")</f>
        <v xml:space="preserve"> (Соединительные трубы) Жидкостная линия : N[12.7]</v>
      </c>
      <c r="Y445" t="str">
        <f>CONCATENATE(Y$2,": ",Y$3,list1!Y445,"]")</f>
        <v xml:space="preserve"> (Соединительные трубы) Газовая линия : N[19]</v>
      </c>
      <c r="Z445" t="str">
        <f>CONCATENATE(Z$2,": ",Z$3,list1!Z445,"]")</f>
        <v xml:space="preserve"> (Соединительные трубы) Максимальная длина трубопровода: N[50]</v>
      </c>
      <c r="AA445" t="str">
        <f>CONCATENATE(AA$2,": ",AA$3,list1!AA445,"]")</f>
        <v xml:space="preserve"> (Соединительные трубы) Максимальный перепад высот: S[30]</v>
      </c>
      <c r="AB445" t="str">
        <f>CONCATENATE(AB$2,": ",AB$3,list1!AB445,"]")</f>
        <v xml:space="preserve"> (Допустимая темп. наружного воздуха) Охлаждение: S[от -15 до +43]</v>
      </c>
      <c r="AC445" t="str">
        <f>CONCATENATE(AC$2,": ",AC$3,list1!AC445,"]")</f>
        <v xml:space="preserve"> (Допустимая темп. наружного воздуха) Обогрев: S[от -15 до +24]</v>
      </c>
      <c r="AD445" s="6" t="s">
        <v>5245</v>
      </c>
    </row>
    <row r="446" spans="1:30" x14ac:dyDescent="0.25">
      <c r="A446" t="str">
        <f>CONCATENATE(A$2,": ",A$3,list1!A446,"]")</f>
        <v>Производитель: E[TOSOT]</v>
      </c>
      <c r="B446" t="str">
        <f>CONCATENATE(B$2,": ",B$3,list1!B446,"]")</f>
        <v xml:space="preserve"> Тип: S[Напольно-потолочные]</v>
      </c>
      <c r="C446" t="str">
        <f>CONCATENATE(C$2,": ",C$3,list1!C446,"]")</f>
        <v xml:space="preserve"> (Сплит система) Холодопроизводительность: N[14.1]</v>
      </c>
      <c r="D446" t="str">
        <f>CONCATENATE(D$2,": ",D$3,list1!D446,"]")</f>
        <v xml:space="preserve"> (Сплит система) Площадь помещения: N[141]</v>
      </c>
      <c r="E446" t="str">
        <f>CONCATENATE(E$2,": ",E$3,list1!E446,"]")</f>
        <v xml:space="preserve"> (Сплит система) Инвентор: S[нет]</v>
      </c>
      <c r="F446" t="str">
        <f>CONCATENATE(F$2,": ",F$3,list1!F446,"]")</f>
        <v xml:space="preserve"> (Сплит система) Теплопроизводительность: N[16.5]</v>
      </c>
      <c r="G446" t="str">
        <f>CONCATENATE(G$2,": ",G$3,list1!G446,"]")</f>
        <v xml:space="preserve"> (Потребляемая мощность) Охлаждение: N[4.5]</v>
      </c>
      <c r="H446" t="str">
        <f>CONCATENATE(H$2,": ",H$3,list1!H446,"]")</f>
        <v xml:space="preserve"> (Потребляемая мощность) Обогрев: S[5.48]</v>
      </c>
      <c r="I446" t="str">
        <f>CONCATENATE(I$2,": ",I$3,list1!I446,"]")</f>
        <v xml:space="preserve"> (Рабочий ток) Охлаждение: S[]</v>
      </c>
      <c r="J446" t="str">
        <f>CONCATENATE(J$2,": ",J$3,list1!J446,"]")</f>
        <v xml:space="preserve"> (Рабочий ток) Обогрев: S[]</v>
      </c>
      <c r="K446" t="str">
        <f>CONCATENATE(K$2,": ",K$3,list1!K446,"]")</f>
        <v xml:space="preserve"> (Рабочий ток) Напряжение / Частота источника питания: S[3 / 380 / 50]</v>
      </c>
      <c r="L446" t="str">
        <f>CONCATENATE(L$2,": ",L$3,list1!L446,"]")</f>
        <v xml:space="preserve"> (Рабочий ток) Хладагент: S[R410A]</v>
      </c>
      <c r="M446" t="str">
        <f>CONCATENATE(M$2,": ",M$3,list1!M446,"]")</f>
        <v xml:space="preserve"> (Рабочий ток) Количество хладагента: N[]</v>
      </c>
      <c r="N446" t="str">
        <f>CONCATENATE(N$2,": ",N$3,list1!N446,"]")</f>
        <v xml:space="preserve"> (Рабочий ток) Объем рециркулируемого воздуха внутреннего блока: S[]</v>
      </c>
      <c r="O446" t="str">
        <f>CONCATENATE(O$2,": ",O$3,list1!O446,"]")</f>
        <v xml:space="preserve"> (Внутренний блок) Размеры (Ш x Г x В): S[235 х 665 х 1570]</v>
      </c>
      <c r="P446" t="str">
        <f>CONCATENATE(P$2,": ",P$3,list1!P446,"]")</f>
        <v xml:space="preserve"> (Внутренний блок) Упаковка (Ш x Г x В): S[300 х 1729 х 770]</v>
      </c>
      <c r="Q446" t="str">
        <f>CONCATENATE(Q$2,": ",Q$3,list1!Q446,"]")</f>
        <v xml:space="preserve"> (Внутренний блок) Масса (нетто / брутто): S[43 / 50]</v>
      </c>
      <c r="R446" t="str">
        <f>CONCATENATE(R$2,": ",R$3,list1!R446,"]")</f>
        <v xml:space="preserve"> (Внутренний блок) Уровень шума мин. / макс.: S[51/52/53/54]</v>
      </c>
      <c r="S446" t="str">
        <f>CONCATENATE(S$2,": ",S$3,list1!S446,"]")</f>
        <v xml:space="preserve"> (Наружный блок) Марка компрессора: S[Gree]</v>
      </c>
      <c r="T446" t="str">
        <f>CONCATENATE(T$2,": ",T$3,list1!T446,"]")</f>
        <v xml:space="preserve"> (Наружный блок) Размеры (Ш x Г x В): S[]</v>
      </c>
      <c r="U446" t="str">
        <f>CONCATENATE(U$2,": ",U$3,list1!U446,"]")</f>
        <v xml:space="preserve"> (Наружный блок) Упаковка (Ш x Г x В): S[]</v>
      </c>
      <c r="V446" t="str">
        <f>CONCATENATE(V$2,": ",V$3,list1!V446,"]")</f>
        <v xml:space="preserve"> (Наружный блок) Масса (нетто / брутто): S[]</v>
      </c>
      <c r="W446" t="str">
        <f>CONCATENATE(W$2,": ",W$3,list1!W446,"]")</f>
        <v xml:space="preserve"> (Наружный блок) Максимальный уровень шума: N[]</v>
      </c>
      <c r="X446" t="str">
        <f>CONCATENATE(X$2,": ",X$3,list1!X446,"]")</f>
        <v xml:space="preserve"> (Соединительные трубы) Жидкостная линия : N[9.52]</v>
      </c>
      <c r="Y446" t="str">
        <f>CONCATENATE(Y$2,": ",Y$3,list1!Y446,"]")</f>
        <v xml:space="preserve"> (Соединительные трубы) Газовая линия : N[15.88]</v>
      </c>
      <c r="Z446" t="str">
        <f>CONCATENATE(Z$2,": ",Z$3,list1!Z446,"]")</f>
        <v xml:space="preserve"> (Соединительные трубы) Максимальная длина трубопровода: N[50]</v>
      </c>
      <c r="AA446" t="str">
        <f>CONCATENATE(AA$2,": ",AA$3,list1!AA446,"]")</f>
        <v xml:space="preserve"> (Соединительные трубы) Максимальный перепад высот: S[30]</v>
      </c>
      <c r="AB446" t="str">
        <f>CONCATENATE(AB$2,": ",AB$3,list1!AB446,"]")</f>
        <v xml:space="preserve"> (Допустимая темп. наружного воздуха) Охлаждение: S[от -15 до +48]</v>
      </c>
      <c r="AC446" t="str">
        <f>CONCATENATE(AC$2,": ",AC$3,list1!AC446,"]")</f>
        <v xml:space="preserve"> (Допустимая темп. наружного воздуха) Обогрев: S[от -15 до +24]</v>
      </c>
      <c r="AD446" s="6" t="s">
        <v>5245</v>
      </c>
    </row>
    <row r="447" spans="1:30" x14ac:dyDescent="0.25">
      <c r="A447" t="str">
        <f>CONCATENATE(A$2,": ",A$3,list1!A447,"]")</f>
        <v>Производитель: E[TOSOT]</v>
      </c>
      <c r="B447" t="str">
        <f>CONCATENATE(B$2,": ",B$3,list1!B447,"]")</f>
        <v xml:space="preserve"> Тип: S[Напольно-потолочные]</v>
      </c>
      <c r="C447" t="str">
        <f>CONCATENATE(C$2,": ",C$3,list1!C447,"]")</f>
        <v xml:space="preserve"> (Сплит система) Холодопроизводительность: N[15.8]</v>
      </c>
      <c r="D447" t="str">
        <f>CONCATENATE(D$2,": ",D$3,list1!D447,"]")</f>
        <v xml:space="preserve"> (Сплит система) Площадь помещения: N[158]</v>
      </c>
      <c r="E447" t="str">
        <f>CONCATENATE(E$2,": ",E$3,list1!E447,"]")</f>
        <v xml:space="preserve"> (Сплит система) Инвентор: S[нет]</v>
      </c>
      <c r="F447" t="str">
        <f>CONCATENATE(F$2,": ",F$3,list1!F447,"]")</f>
        <v xml:space="preserve"> (Сплит система) Теплопроизводительность: N[18.2]</v>
      </c>
      <c r="G447" t="str">
        <f>CONCATENATE(G$2,": ",G$3,list1!G447,"]")</f>
        <v xml:space="preserve"> (Потребляемая мощность) Охлаждение: N[5.5]</v>
      </c>
      <c r="H447" t="str">
        <f>CONCATENATE(H$2,": ",H$3,list1!H447,"]")</f>
        <v xml:space="preserve"> (Потребляемая мощность) Обогрев: S[5.45]</v>
      </c>
      <c r="I447" t="str">
        <f>CONCATENATE(I$2,": ",I$3,list1!I447,"]")</f>
        <v xml:space="preserve"> (Рабочий ток) Охлаждение: S[]</v>
      </c>
      <c r="J447" t="str">
        <f>CONCATENATE(J$2,": ",J$3,list1!J447,"]")</f>
        <v xml:space="preserve"> (Рабочий ток) Обогрев: S[]</v>
      </c>
      <c r="K447" t="str">
        <f>CONCATENATE(K$2,": ",K$3,list1!K447,"]")</f>
        <v xml:space="preserve"> (Рабочий ток) Напряжение / Частота источника питания: S[3 / 380 / 50]</v>
      </c>
      <c r="L447" t="str">
        <f>CONCATENATE(L$2,": ",L$3,list1!L447,"]")</f>
        <v xml:space="preserve"> (Рабочий ток) Хладагент: S[R410A]</v>
      </c>
      <c r="M447" t="str">
        <f>CONCATENATE(M$2,": ",M$3,list1!M447,"]")</f>
        <v xml:space="preserve"> (Рабочий ток) Количество хладагента: N[]</v>
      </c>
      <c r="N447" t="str">
        <f>CONCATENATE(N$2,": ",N$3,list1!N447,"]")</f>
        <v xml:space="preserve"> (Рабочий ток) Объем рециркулируемого воздуха внутреннего блока: S[]</v>
      </c>
      <c r="O447" t="str">
        <f>CONCATENATE(O$2,": ",O$3,list1!O447,"]")</f>
        <v xml:space="preserve"> (Внутренний блок) Размеры (Ш x Г x В): S[1570 х 665 х 235]</v>
      </c>
      <c r="P447" t="str">
        <f>CONCATENATE(P$2,": ",P$3,list1!P447,"]")</f>
        <v xml:space="preserve"> (Внутренний блок) Упаковка (Ш x Г x В): S[1729 х 288 х 782]</v>
      </c>
      <c r="Q447" t="str">
        <f>CONCATENATE(Q$2,": ",Q$3,list1!Q447,"]")</f>
        <v xml:space="preserve"> (Внутренний блок) Масса (нетто / брутто): S[46 / 53]</v>
      </c>
      <c r="R447" t="str">
        <f>CONCATENATE(R$2,": ",R$3,list1!R447,"]")</f>
        <v xml:space="preserve"> (Внутренний блок) Уровень шума мин. / макс.: S[]</v>
      </c>
      <c r="S447" t="str">
        <f>CONCATENATE(S$2,": ",S$3,list1!S447,"]")</f>
        <v xml:space="preserve"> (Наружный блок) Марка компрессора: S[SANYO]</v>
      </c>
      <c r="T447" t="str">
        <f>CONCATENATE(T$2,": ",T$3,list1!T447,"]")</f>
        <v xml:space="preserve"> (Наружный блок) Размеры (Ш x Г x В): S[]</v>
      </c>
      <c r="U447" t="str">
        <f>CONCATENATE(U$2,": ",U$3,list1!U447,"]")</f>
        <v xml:space="preserve"> (Наружный блок) Упаковка (Ш x Г x В): S[]</v>
      </c>
      <c r="V447" t="str">
        <f>CONCATENATE(V$2,": ",V$3,list1!V447,"]")</f>
        <v xml:space="preserve"> (Наружный блок) Масса (нетто / брутто): S[]</v>
      </c>
      <c r="W447" t="str">
        <f>CONCATENATE(W$2,": ",W$3,list1!W447,"]")</f>
        <v xml:space="preserve"> (Наружный блок) Максимальный уровень шума: N[]</v>
      </c>
      <c r="X447" t="str">
        <f>CONCATENATE(X$2,": ",X$3,list1!X447,"]")</f>
        <v xml:space="preserve"> (Соединительные трубы) Жидкостная линия : N[12.7]</v>
      </c>
      <c r="Y447" t="str">
        <f>CONCATENATE(Y$2,": ",Y$3,list1!Y447,"]")</f>
        <v xml:space="preserve"> (Соединительные трубы) Газовая линия : N[19]</v>
      </c>
      <c r="Z447" t="str">
        <f>CONCATENATE(Z$2,": ",Z$3,list1!Z447,"]")</f>
        <v xml:space="preserve"> (Соединительные трубы) Максимальная длина трубопровода: N[50]</v>
      </c>
      <c r="AA447" t="str">
        <f>CONCATENATE(AA$2,": ",AA$3,list1!AA447,"]")</f>
        <v xml:space="preserve"> (Соединительные трубы) Максимальный перепад высот: S[30]</v>
      </c>
      <c r="AB447" t="str">
        <f>CONCATENATE(AB$2,": ",AB$3,list1!AB447,"]")</f>
        <v xml:space="preserve"> (Допустимая темп. наружного воздуха) Охлаждение: S[от -15 до +43]</v>
      </c>
      <c r="AC447" t="str">
        <f>CONCATENATE(AC$2,": ",AC$3,list1!AC447,"]")</f>
        <v xml:space="preserve"> (Допустимая темп. наружного воздуха) Обогрев: S[от -15 до +24]</v>
      </c>
      <c r="AD447" s="6" t="s">
        <v>5245</v>
      </c>
    </row>
    <row r="448" spans="1:30" x14ac:dyDescent="0.25">
      <c r="A448" t="str">
        <f>CONCATENATE(A$2,": ",A$3,list1!A448,"]")</f>
        <v>Производитель: E[TOSOT]</v>
      </c>
      <c r="B448" t="str">
        <f>CONCATENATE(B$2,": ",B$3,list1!B448,"]")</f>
        <v xml:space="preserve"> Тип: S[Напольно-потолочные]</v>
      </c>
      <c r="C448" t="str">
        <f>CONCATENATE(C$2,": ",C$3,list1!C448,"]")</f>
        <v xml:space="preserve"> (Сплит система) Холодопроизводительность: N[15.8]</v>
      </c>
      <c r="D448" t="str">
        <f>CONCATENATE(D$2,": ",D$3,list1!D448,"]")</f>
        <v xml:space="preserve"> (Сплит система) Площадь помещения: N[158]</v>
      </c>
      <c r="E448" t="str">
        <f>CONCATENATE(E$2,": ",E$3,list1!E448,"]")</f>
        <v xml:space="preserve"> (Сплит система) Инвентор: S[нет]</v>
      </c>
      <c r="F448" t="str">
        <f>CONCATENATE(F$2,": ",F$3,list1!F448,"]")</f>
        <v xml:space="preserve"> (Сплит система) Теплопроизводительность: N[19.1]</v>
      </c>
      <c r="G448" t="str">
        <f>CONCATENATE(G$2,": ",G$3,list1!G448,"]")</f>
        <v xml:space="preserve"> (Потребляемая мощность) Охлаждение: N[5.48]</v>
      </c>
      <c r="H448" t="str">
        <f>CONCATENATE(H$2,": ",H$3,list1!H448,"]")</f>
        <v xml:space="preserve"> (Потребляемая мощность) Обогрев: S[5.4]</v>
      </c>
      <c r="I448" t="str">
        <f>CONCATENATE(I$2,": ",I$3,list1!I448,"]")</f>
        <v xml:space="preserve"> (Рабочий ток) Охлаждение: S[]</v>
      </c>
      <c r="J448" t="str">
        <f>CONCATENATE(J$2,": ",J$3,list1!J448,"]")</f>
        <v xml:space="preserve"> (Рабочий ток) Обогрев: S[]</v>
      </c>
      <c r="K448" t="str">
        <f>CONCATENATE(K$2,": ",K$3,list1!K448,"]")</f>
        <v xml:space="preserve"> (Рабочий ток) Напряжение / Частота источника питания: S[3 / 380 / 50]</v>
      </c>
      <c r="L448" t="str">
        <f>CONCATENATE(L$2,": ",L$3,list1!L448,"]")</f>
        <v xml:space="preserve"> (Рабочий ток) Хладагент: S[R410A]</v>
      </c>
      <c r="M448" t="str">
        <f>CONCATENATE(M$2,": ",M$3,list1!M448,"]")</f>
        <v xml:space="preserve"> (Рабочий ток) Количество хладагента: N[]</v>
      </c>
      <c r="N448" t="str">
        <f>CONCATENATE(N$2,": ",N$3,list1!N448,"]")</f>
        <v xml:space="preserve"> (Рабочий ток) Объем рециркулируемого воздуха внутреннего блока: S[]</v>
      </c>
      <c r="O448" t="str">
        <f>CONCATENATE(O$2,": ",O$3,list1!O448,"]")</f>
        <v xml:space="preserve"> (Внутренний блок) Размеры (Ш x Г x В): S[235 х 665 х 1570]</v>
      </c>
      <c r="P448" t="str">
        <f>CONCATENATE(P$2,": ",P$3,list1!P448,"]")</f>
        <v xml:space="preserve"> (Внутренний блок) Упаковка (Ш x Г x В): S[300 х 1729 х 770]</v>
      </c>
      <c r="Q448" t="str">
        <f>CONCATENATE(Q$2,": ",Q$3,list1!Q448,"]")</f>
        <v xml:space="preserve"> (Внутренний блок) Масса (нетто / брутто): S[45 / 52]</v>
      </c>
      <c r="R448" t="str">
        <f>CONCATENATE(R$2,": ",R$3,list1!R448,"]")</f>
        <v xml:space="preserve"> (Внутренний блок) Уровень шума мин. / макс.: S[51/52/53/54]</v>
      </c>
      <c r="S448" t="str">
        <f>CONCATENATE(S$2,": ",S$3,list1!S448,"]")</f>
        <v xml:space="preserve"> (Наружный блок) Марка компрессора: S[Gree]</v>
      </c>
      <c r="T448" t="str">
        <f>CONCATENATE(T$2,": ",T$3,list1!T448,"]")</f>
        <v xml:space="preserve"> (Наружный блок) Размеры (Ш x Г x В): S[]</v>
      </c>
      <c r="U448" t="str">
        <f>CONCATENATE(U$2,": ",U$3,list1!U448,"]")</f>
        <v xml:space="preserve"> (Наружный блок) Упаковка (Ш x Г x В): S[]</v>
      </c>
      <c r="V448" t="str">
        <f>CONCATENATE(V$2,": ",V$3,list1!V448,"]")</f>
        <v xml:space="preserve"> (Наружный блок) Масса (нетто / брутто): S[]</v>
      </c>
      <c r="W448" t="str">
        <f>CONCATENATE(W$2,": ",W$3,list1!W448,"]")</f>
        <v xml:space="preserve"> (Наружный блок) Максимальный уровень шума: N[]</v>
      </c>
      <c r="X448" t="str">
        <f>CONCATENATE(X$2,": ",X$3,list1!X448,"]")</f>
        <v xml:space="preserve"> (Соединительные трубы) Жидкостная линия : N[9.52]</v>
      </c>
      <c r="Y448" t="str">
        <f>CONCATENATE(Y$2,": ",Y$3,list1!Y448,"]")</f>
        <v xml:space="preserve"> (Соединительные трубы) Газовая линия : N[15.88]</v>
      </c>
      <c r="Z448" t="str">
        <f>CONCATENATE(Z$2,": ",Z$3,list1!Z448,"]")</f>
        <v xml:space="preserve"> (Соединительные трубы) Максимальная длина трубопровода: N[50]</v>
      </c>
      <c r="AA448" t="str">
        <f>CONCATENATE(AA$2,": ",AA$3,list1!AA448,"]")</f>
        <v xml:space="preserve"> (Соединительные трубы) Максимальный перепад высот: S[30]</v>
      </c>
      <c r="AB448" t="str">
        <f>CONCATENATE(AB$2,": ",AB$3,list1!AB448,"]")</f>
        <v xml:space="preserve"> (Допустимая темп. наружного воздуха) Охлаждение: S[от -15 до +48]</v>
      </c>
      <c r="AC448" t="str">
        <f>CONCATENATE(AC$2,": ",AC$3,list1!AC448,"]")</f>
        <v xml:space="preserve"> (Допустимая темп. наружного воздуха) Обогрев: S[от -15 до +24]</v>
      </c>
      <c r="AD448" s="6" t="s">
        <v>5245</v>
      </c>
    </row>
    <row r="449" spans="1:30" x14ac:dyDescent="0.25">
      <c r="A449" t="str">
        <f>CONCATENATE(A$2,": ",A$3,list1!A449,"]")</f>
        <v>Производитель: E[TOSOT]</v>
      </c>
      <c r="B449" t="str">
        <f>CONCATENATE(B$2,": ",B$3,list1!B449,"]")</f>
        <v xml:space="preserve"> Тип: S[Напольно-потолочные]</v>
      </c>
      <c r="C449" t="str">
        <f>CONCATENATE(C$2,": ",C$3,list1!C449,"]")</f>
        <v xml:space="preserve"> (Сплит система) Холодопроизводительность: N[8.5]</v>
      </c>
      <c r="D449" t="str">
        <f>CONCATENATE(D$2,": ",D$3,list1!D449,"]")</f>
        <v xml:space="preserve"> (Сплит система) Площадь помещения: N[85]</v>
      </c>
      <c r="E449" t="str">
        <f>CONCATENATE(E$2,": ",E$3,list1!E449,"]")</f>
        <v xml:space="preserve"> (Сплит система) Инвентор: S[нет]</v>
      </c>
      <c r="F449" t="str">
        <f>CONCATENATE(F$2,": ",F$3,list1!F449,"]")</f>
        <v xml:space="preserve"> (Сплит система) Теплопроизводительность: N[9.8]</v>
      </c>
      <c r="G449" t="str">
        <f>CONCATENATE(G$2,": ",G$3,list1!G449,"]")</f>
        <v xml:space="preserve"> (Потребляемая мощность) Охлаждение: N[2.8]</v>
      </c>
      <c r="H449" t="str">
        <f>CONCATENATE(H$2,": ",H$3,list1!H449,"]")</f>
        <v xml:space="preserve"> (Потребляемая мощность) Обогрев: S[2.8]</v>
      </c>
      <c r="I449" t="str">
        <f>CONCATENATE(I$2,": ",I$3,list1!I449,"]")</f>
        <v xml:space="preserve"> (Рабочий ток) Охлаждение: S[]</v>
      </c>
      <c r="J449" t="str">
        <f>CONCATENATE(J$2,": ",J$3,list1!J449,"]")</f>
        <v xml:space="preserve"> (Рабочий ток) Обогрев: S[]</v>
      </c>
      <c r="K449" t="str">
        <f>CONCATENATE(K$2,": ",K$3,list1!K449,"]")</f>
        <v xml:space="preserve"> (Рабочий ток) Напряжение / Частота источника питания: S[1 / 220 / 50]</v>
      </c>
      <c r="L449" t="str">
        <f>CONCATENATE(L$2,": ",L$3,list1!L449,"]")</f>
        <v xml:space="preserve"> (Рабочий ток) Хладагент: S[R410A]</v>
      </c>
      <c r="M449" t="str">
        <f>CONCATENATE(M$2,": ",M$3,list1!M449,"]")</f>
        <v xml:space="preserve"> (Рабочий ток) Количество хладагента: N[]</v>
      </c>
      <c r="N449" t="str">
        <f>CONCATENATE(N$2,": ",N$3,list1!N449,"]")</f>
        <v xml:space="preserve"> (Рабочий ток) Объем рециркулируемого воздуха внутреннего блока: S[]</v>
      </c>
      <c r="O449" t="str">
        <f>CONCATENATE(O$2,": ",O$3,list1!O449,"]")</f>
        <v xml:space="preserve"> (Внутренний блок) Размеры (Ш x Г x В): S[1200 х 665 х 235]</v>
      </c>
      <c r="P449" t="str">
        <f>CONCATENATE(P$2,": ",P$3,list1!P449,"]")</f>
        <v xml:space="preserve"> (Внутренний блок) Упаковка (Ш x Г x В): S[1363 х 288 х 782]</v>
      </c>
      <c r="Q449" t="str">
        <f>CONCATENATE(Q$2,": ",Q$3,list1!Q449,"]")</f>
        <v xml:space="preserve"> (Внутренний блок) Масса (нетто / брутто): S[32 / 39]</v>
      </c>
      <c r="R449" t="str">
        <f>CONCATENATE(R$2,": ",R$3,list1!R449,"]")</f>
        <v xml:space="preserve"> (Внутренний блок) Уровень шума мин. / макс.: S[43-48]</v>
      </c>
      <c r="S449" t="str">
        <f>CONCATENATE(S$2,": ",S$3,list1!S449,"]")</f>
        <v xml:space="preserve"> (Наружный блок) Марка компрессора: S[Gree]</v>
      </c>
      <c r="T449" t="str">
        <f>CONCATENATE(T$2,": ",T$3,list1!T449,"]")</f>
        <v xml:space="preserve"> (Наружный блок) Размеры (Ш x Г x В): S[980 х 425 х 790]</v>
      </c>
      <c r="U449" t="str">
        <f>CONCATENATE(U$2,": ",U$3,list1!U449,"]")</f>
        <v xml:space="preserve"> (Наружный блок) Упаковка (Ш x Г x В): S[1083 х 488 х 875]</v>
      </c>
      <c r="V449" t="str">
        <f>CONCATENATE(V$2,": ",V$3,list1!V449,"]")</f>
        <v xml:space="preserve"> (Наружный блок) Масса (нетто / брутто): S[69/74]</v>
      </c>
      <c r="W449" t="str">
        <f>CONCATENATE(W$2,": ",W$3,list1!W449,"]")</f>
        <v xml:space="preserve"> (Наружный блок) Максимальный уровень шума: N[]</v>
      </c>
      <c r="X449" t="str">
        <f>CONCATENATE(X$2,": ",X$3,list1!X449,"]")</f>
        <v xml:space="preserve"> (Соединительные трубы) Жидкостная линия : N[9.52]</v>
      </c>
      <c r="Y449" t="str">
        <f>CONCATENATE(Y$2,": ",Y$3,list1!Y449,"]")</f>
        <v xml:space="preserve"> (Соединительные трубы) Газовая линия : N[15.8]</v>
      </c>
      <c r="Z449" t="str">
        <f>CONCATENATE(Z$2,": ",Z$3,list1!Z449,"]")</f>
        <v xml:space="preserve"> (Соединительные трубы) Максимальная длина трубопровода: N[30]</v>
      </c>
      <c r="AA449" t="str">
        <f>CONCATENATE(AA$2,": ",AA$3,list1!AA449,"]")</f>
        <v xml:space="preserve"> (Соединительные трубы) Максимальный перепад высот: S[15]</v>
      </c>
      <c r="AB449" t="str">
        <f>CONCATENATE(AB$2,": ",AB$3,list1!AB449,"]")</f>
        <v xml:space="preserve"> (Допустимая темп. наружного воздуха) Охлаждение: S[от -15 до +43]</v>
      </c>
      <c r="AC449" t="str">
        <f>CONCATENATE(AC$2,": ",AC$3,list1!AC449,"]")</f>
        <v xml:space="preserve"> (Допустимая темп. наружного воздуха) Обогрев: S[от -15 до +24]</v>
      </c>
      <c r="AD449" s="6" t="s">
        <v>5245</v>
      </c>
    </row>
    <row r="450" spans="1:30" x14ac:dyDescent="0.25">
      <c r="A450" t="str">
        <f>CONCATENATE(A$2,": ",A$3,list1!A450,"]")</f>
        <v>Производитель: E[TOSOT]</v>
      </c>
      <c r="B450" t="str">
        <f>CONCATENATE(B$2,": ",B$3,list1!B450,"]")</f>
        <v xml:space="preserve"> Тип: S[Канальные]</v>
      </c>
      <c r="C450" t="str">
        <f>CONCATENATE(C$2,": ",C$3,list1!C450,"]")</f>
        <v xml:space="preserve"> (Сплит система) Холодопроизводительность: N[2.5]</v>
      </c>
      <c r="D450" t="str">
        <f>CONCATENATE(D$2,": ",D$3,list1!D450,"]")</f>
        <v xml:space="preserve"> (Сплит система) Площадь помещения: N[25]</v>
      </c>
      <c r="E450" t="str">
        <f>CONCATENATE(E$2,": ",E$3,list1!E450,"]")</f>
        <v xml:space="preserve"> (Сплит система) Инвентор: S[да]</v>
      </c>
      <c r="F450" t="str">
        <f>CONCATENATE(F$2,": ",F$3,list1!F450,"]")</f>
        <v xml:space="preserve"> (Сплит система) Теплопроизводительность: N[2.8]</v>
      </c>
      <c r="G450" t="str">
        <f>CONCATENATE(G$2,": ",G$3,list1!G450,"]")</f>
        <v xml:space="preserve"> (Потребляемая мощность) Охлаждение: N[0.075]</v>
      </c>
      <c r="H450" t="str">
        <f>CONCATENATE(H$2,": ",H$3,list1!H450,"]")</f>
        <v xml:space="preserve"> (Потребляемая мощность) Обогрев: S[0.075]</v>
      </c>
      <c r="I450" t="str">
        <f>CONCATENATE(I$2,": ",I$3,list1!I450,"]")</f>
        <v xml:space="preserve"> (Рабочий ток) Охлаждение: S[]</v>
      </c>
      <c r="J450" t="str">
        <f>CONCATENATE(J$2,": ",J$3,list1!J450,"]")</f>
        <v xml:space="preserve"> (Рабочий ток) Обогрев: S[]</v>
      </c>
      <c r="K450" t="str">
        <f>CONCATENATE(K$2,": ",K$3,list1!K450,"]")</f>
        <v xml:space="preserve"> (Рабочий ток) Напряжение / Частота источника питания: S[1 / 220 / 50]</v>
      </c>
      <c r="L450" t="str">
        <f>CONCATENATE(L$2,": ",L$3,list1!L450,"]")</f>
        <v xml:space="preserve"> (Рабочий ток) Хладагент: S[R410A]</v>
      </c>
      <c r="M450" t="str">
        <f>CONCATENATE(M$2,": ",M$3,list1!M450,"]")</f>
        <v xml:space="preserve"> (Рабочий ток) Количество хладагента: N[]</v>
      </c>
      <c r="N450" t="str">
        <f>CONCATENATE(N$2,": ",N$3,list1!N450,"]")</f>
        <v xml:space="preserve"> (Рабочий ток) Объем рециркулируемого воздуха внутреннего блока: S[]</v>
      </c>
      <c r="O450" t="str">
        <f>CONCATENATE(O$2,": ",O$3,list1!O450,"]")</f>
        <v xml:space="preserve"> (Внутренний блок) Размеры (Ш x Г x В): S[700 х 615 х 200]</v>
      </c>
      <c r="P450" t="str">
        <f>CONCATENATE(P$2,": ",P$3,list1!P450,"]")</f>
        <v xml:space="preserve"> (Внутренний блок) Упаковка (Ш x Г x В): S[893 х 743 х 305]</v>
      </c>
      <c r="Q450" t="str">
        <f>CONCATENATE(Q$2,": ",Q$3,list1!Q450,"]")</f>
        <v xml:space="preserve"> (Внутренний блок) Масса (нетто / брутто): S[22 / 27]</v>
      </c>
      <c r="R450" t="str">
        <f>CONCATENATE(R$2,": ",R$3,list1!R450,"]")</f>
        <v xml:space="preserve"> (Внутренний блок) Уровень шума мин. / макс.: S[31/37]</v>
      </c>
      <c r="S450" t="str">
        <f>CONCATENATE(S$2,": ",S$3,list1!S450,"]")</f>
        <v xml:space="preserve"> (Наружный блок) Марка компрессора: S[]</v>
      </c>
      <c r="T450" t="str">
        <f>CONCATENATE(T$2,": ",T$3,list1!T450,"]")</f>
        <v xml:space="preserve"> (Наружный блок) Размеры (Ш x Г x В): S[700 х 615 х 200]</v>
      </c>
      <c r="U450" t="str">
        <f>CONCATENATE(U$2,": ",U$3,list1!U450,"]")</f>
        <v xml:space="preserve"> (Наружный блок) Упаковка (Ш x Г x В): S[893 х 743 х 305]</v>
      </c>
      <c r="V450" t="str">
        <f>CONCATENATE(V$2,": ",V$3,list1!V450,"]")</f>
        <v xml:space="preserve"> (Наружный блок) Масса (нетто / брутто): S[22 / 27]</v>
      </c>
      <c r="W450" t="str">
        <f>CONCATENATE(W$2,": ",W$3,list1!W450,"]")</f>
        <v xml:space="preserve"> (Наружный блок) Максимальный уровень шума: N[]</v>
      </c>
      <c r="X450" t="str">
        <f>CONCATENATE(X$2,": ",X$3,list1!X450,"]")</f>
        <v xml:space="preserve"> (Соединительные трубы) Жидкостная линия : N[6.35]</v>
      </c>
      <c r="Y450" t="str">
        <f>CONCATENATE(Y$2,": ",Y$3,list1!Y450,"]")</f>
        <v xml:space="preserve"> (Соединительные трубы) Газовая линия : N[9.5]</v>
      </c>
      <c r="Z450" t="str">
        <f>CONCATENATE(Z$2,": ",Z$3,list1!Z450,"]")</f>
        <v xml:space="preserve"> (Соединительные трубы) Максимальная длина трубопровода: N[]</v>
      </c>
      <c r="AA450" t="str">
        <f>CONCATENATE(AA$2,": ",AA$3,list1!AA450,"]")</f>
        <v xml:space="preserve"> (Соединительные трубы) Максимальный перепад высот: S[]</v>
      </c>
      <c r="AB450" t="str">
        <f>CONCATENATE(AB$2,": ",AB$3,list1!AB450,"]")</f>
        <v xml:space="preserve"> (Допустимая темп. наружного воздуха) Охлаждение: S[]</v>
      </c>
      <c r="AC450" t="str">
        <f>CONCATENATE(AC$2,": ",AC$3,list1!AC450,"]")</f>
        <v xml:space="preserve"> (Допустимая темп. наружного воздуха) Обогрев: S[]</v>
      </c>
      <c r="AD450" s="6" t="s">
        <v>5172</v>
      </c>
    </row>
    <row r="451" spans="1:30" x14ac:dyDescent="0.25">
      <c r="A451" t="str">
        <f>CONCATENATE(A$2,": ",A$3,list1!A451,"]")</f>
        <v>Производитель: E[TOSOT]</v>
      </c>
      <c r="B451" t="str">
        <f>CONCATENATE(B$2,": ",B$3,list1!B451,"]")</f>
        <v xml:space="preserve"> Тип: S[Канальные]</v>
      </c>
      <c r="C451" t="str">
        <f>CONCATENATE(C$2,": ",C$3,list1!C451,"]")</f>
        <v xml:space="preserve"> (Сплит система) Холодопроизводительность: N[2.5]</v>
      </c>
      <c r="D451" t="str">
        <f>CONCATENATE(D$2,": ",D$3,list1!D451,"]")</f>
        <v xml:space="preserve"> (Сплит система) Площадь помещения: N[25]</v>
      </c>
      <c r="E451" t="str">
        <f>CONCATENATE(E$2,": ",E$3,list1!E451,"]")</f>
        <v xml:space="preserve"> (Сплит система) Инвентор: S[да]</v>
      </c>
      <c r="F451" t="str">
        <f>CONCATENATE(F$2,": ",F$3,list1!F451,"]")</f>
        <v xml:space="preserve"> (Сплит система) Теплопроизводительность: N[2.8]</v>
      </c>
      <c r="G451" t="str">
        <f>CONCATENATE(G$2,": ",G$3,list1!G451,"]")</f>
        <v xml:space="preserve"> (Потребляемая мощность) Охлаждение: N[0.065]</v>
      </c>
      <c r="H451" t="str">
        <f>CONCATENATE(H$2,": ",H$3,list1!H451,"]")</f>
        <v xml:space="preserve"> (Потребляемая мощность) Обогрев: S[]</v>
      </c>
      <c r="I451" t="str">
        <f>CONCATENATE(I$2,": ",I$3,list1!I451,"]")</f>
        <v xml:space="preserve"> (Рабочий ток) Охлаждение: S[]</v>
      </c>
      <c r="J451" t="str">
        <f>CONCATENATE(J$2,": ",J$3,list1!J451,"]")</f>
        <v xml:space="preserve"> (Рабочий ток) Обогрев: S[]</v>
      </c>
      <c r="K451" t="str">
        <f>CONCATENATE(K$2,": ",K$3,list1!K451,"]")</f>
        <v xml:space="preserve"> (Рабочий ток) Напряжение / Частота источника питания: S[1 / 220 / 50]</v>
      </c>
      <c r="L451" t="str">
        <f>CONCATENATE(L$2,": ",L$3,list1!L451,"]")</f>
        <v xml:space="preserve"> (Рабочий ток) Хладагент: S[R32]</v>
      </c>
      <c r="M451" t="str">
        <f>CONCATENATE(M$2,": ",M$3,list1!M451,"]")</f>
        <v xml:space="preserve"> (Рабочий ток) Количество хладагента: N[]</v>
      </c>
      <c r="N451" t="str">
        <f>CONCATENATE(N$2,": ",N$3,list1!N451,"]")</f>
        <v xml:space="preserve"> (Рабочий ток) Объем рециркулируемого воздуха внутреннего блока: S[]</v>
      </c>
      <c r="O451" t="str">
        <f>CONCATENATE(O$2,": ",O$3,list1!O451,"]")</f>
        <v xml:space="preserve"> (Внутренний блок) Размеры (Ш x Г x В): S[700 х 615 х 200]</v>
      </c>
      <c r="P451" t="str">
        <f>CONCATENATE(P$2,": ",P$3,list1!P451,"]")</f>
        <v xml:space="preserve"> (Внутренний блок) Упаковка (Ш x Г x В): S[740 х 890 х 290]</v>
      </c>
      <c r="Q451" t="str">
        <f>CONCATENATE(Q$2,": ",Q$3,list1!Q451,"]")</f>
        <v xml:space="preserve"> (Внутренний блок) Масса (нетто / брутто): S[21 / 26]</v>
      </c>
      <c r="R451" t="str">
        <f>CONCATENATE(R$2,": ",R$3,list1!R451,"]")</f>
        <v xml:space="preserve"> (Внутренний блок) Уровень шума мин. / макс.: S[31/34/37/41]</v>
      </c>
      <c r="S451" t="str">
        <f>CONCATENATE(S$2,": ",S$3,list1!S451,"]")</f>
        <v xml:space="preserve"> (Наружный блок) Марка компрессора: S[]</v>
      </c>
      <c r="T451" t="str">
        <f>CONCATENATE(T$2,": ",T$3,list1!T451,"]")</f>
        <v xml:space="preserve"> (Наружный блок) Размеры (Ш x Г x В): S[700 х 615 х 200]</v>
      </c>
      <c r="U451" t="str">
        <f>CONCATENATE(U$2,": ",U$3,list1!U451,"]")</f>
        <v xml:space="preserve"> (Наружный блок) Упаковка (Ш x Г x В): S[740 х 890 х 290]</v>
      </c>
      <c r="V451" t="str">
        <f>CONCATENATE(V$2,": ",V$3,list1!V451,"]")</f>
        <v xml:space="preserve"> (Наружный блок) Масса (нетто / брутто): S[21 / 26]</v>
      </c>
      <c r="W451" t="str">
        <f>CONCATENATE(W$2,": ",W$3,list1!W451,"]")</f>
        <v xml:space="preserve"> (Наружный блок) Максимальный уровень шума: N[]</v>
      </c>
      <c r="X451" t="str">
        <f>CONCATENATE(X$2,": ",X$3,list1!X451,"]")</f>
        <v xml:space="preserve"> (Соединительные трубы) Жидкостная линия : N[6.35]</v>
      </c>
      <c r="Y451" t="str">
        <f>CONCATENATE(Y$2,": ",Y$3,list1!Y451,"]")</f>
        <v xml:space="preserve"> (Соединительные трубы) Газовая линия : N[9.52]</v>
      </c>
      <c r="Z451" t="str">
        <f>CONCATENATE(Z$2,": ",Z$3,list1!Z451,"]")</f>
        <v xml:space="preserve"> (Соединительные трубы) Максимальная длина трубопровода: N[]</v>
      </c>
      <c r="AA451" t="str">
        <f>CONCATENATE(AA$2,": ",AA$3,list1!AA451,"]")</f>
        <v xml:space="preserve"> (Соединительные трубы) Максимальный перепад высот: S[]</v>
      </c>
      <c r="AB451" t="str">
        <f>CONCATENATE(AB$2,": ",AB$3,list1!AB451,"]")</f>
        <v xml:space="preserve"> (Допустимая темп. наружного воздуха) Охлаждение: S[]</v>
      </c>
      <c r="AC451" t="str">
        <f>CONCATENATE(AC$2,": ",AC$3,list1!AC451,"]")</f>
        <v xml:space="preserve"> (Допустимая темп. наружного воздуха) Обогрев: S[]</v>
      </c>
      <c r="AD451" s="6" t="s">
        <v>5172</v>
      </c>
    </row>
    <row r="452" spans="1:30" x14ac:dyDescent="0.25">
      <c r="A452" t="str">
        <f>CONCATENATE(A$2,": ",A$3,list1!A452,"]")</f>
        <v>Производитель: E[TOSOT]</v>
      </c>
      <c r="B452" t="str">
        <f>CONCATENATE(B$2,": ",B$3,list1!B452,"]")</f>
        <v xml:space="preserve"> Тип: S[Канальные]</v>
      </c>
      <c r="C452" t="str">
        <f>CONCATENATE(C$2,": ",C$3,list1!C452,"]")</f>
        <v xml:space="preserve"> (Сплит система) Холодопроизводительность: N[3.5]</v>
      </c>
      <c r="D452" t="str">
        <f>CONCATENATE(D$2,": ",D$3,list1!D452,"]")</f>
        <v xml:space="preserve"> (Сплит система) Площадь помещения: N[35]</v>
      </c>
      <c r="E452" t="str">
        <f>CONCATENATE(E$2,": ",E$3,list1!E452,"]")</f>
        <v xml:space="preserve"> (Сплит система) Инвентор: S[да]</v>
      </c>
      <c r="F452" t="str">
        <f>CONCATENATE(F$2,": ",F$3,list1!F452,"]")</f>
        <v xml:space="preserve"> (Сплит система) Теплопроизводительность: N[3.85]</v>
      </c>
      <c r="G452" t="str">
        <f>CONCATENATE(G$2,": ",G$3,list1!G452,"]")</f>
        <v xml:space="preserve"> (Потребляемая мощность) Охлаждение: N[0.075]</v>
      </c>
      <c r="H452" t="str">
        <f>CONCATENATE(H$2,": ",H$3,list1!H452,"]")</f>
        <v xml:space="preserve"> (Потребляемая мощность) Обогрев: S[0.075]</v>
      </c>
      <c r="I452" t="str">
        <f>CONCATENATE(I$2,": ",I$3,list1!I452,"]")</f>
        <v xml:space="preserve"> (Рабочий ток) Охлаждение: S[]</v>
      </c>
      <c r="J452" t="str">
        <f>CONCATENATE(J$2,": ",J$3,list1!J452,"]")</f>
        <v xml:space="preserve"> (Рабочий ток) Обогрев: S[]</v>
      </c>
      <c r="K452" t="str">
        <f>CONCATENATE(K$2,": ",K$3,list1!K452,"]")</f>
        <v xml:space="preserve"> (Рабочий ток) Напряжение / Частота источника питания: S[1 / 220 / 50]</v>
      </c>
      <c r="L452" t="str">
        <f>CONCATENATE(L$2,": ",L$3,list1!L452,"]")</f>
        <v xml:space="preserve"> (Рабочий ток) Хладагент: S[R410A]</v>
      </c>
      <c r="M452" t="str">
        <f>CONCATENATE(M$2,": ",M$3,list1!M452,"]")</f>
        <v xml:space="preserve"> (Рабочий ток) Количество хладагента: N[]</v>
      </c>
      <c r="N452" t="str">
        <f>CONCATENATE(N$2,": ",N$3,list1!N452,"]")</f>
        <v xml:space="preserve"> (Рабочий ток) Объем рециркулируемого воздуха внутреннего блока: S[]</v>
      </c>
      <c r="O452" t="str">
        <f>CONCATENATE(O$2,": ",O$3,list1!O452,"]")</f>
        <v xml:space="preserve"> (Внутренний блок) Размеры (Ш x Г x В): S[700 х 615 х 200]</v>
      </c>
      <c r="P452" t="str">
        <f>CONCATENATE(P$2,": ",P$3,list1!P452,"]")</f>
        <v xml:space="preserve"> (Внутренний блок) Упаковка (Ш x Г x В): S[893 х 743 х 305]</v>
      </c>
      <c r="Q452" t="str">
        <f>CONCATENATE(Q$2,": ",Q$3,list1!Q452,"]")</f>
        <v xml:space="preserve"> (Внутренний блок) Масса (нетто / брутто): S[23 / 29]</v>
      </c>
      <c r="R452" t="str">
        <f>CONCATENATE(R$2,": ",R$3,list1!R452,"]")</f>
        <v xml:space="preserve"> (Внутренний блок) Уровень шума мин. / макс.: S[32/39]</v>
      </c>
      <c r="S452" t="str">
        <f>CONCATENATE(S$2,": ",S$3,list1!S452,"]")</f>
        <v xml:space="preserve"> (Наружный блок) Марка компрессора: S[]</v>
      </c>
      <c r="T452" t="str">
        <f>CONCATENATE(T$2,": ",T$3,list1!T452,"]")</f>
        <v xml:space="preserve"> (Наружный блок) Размеры (Ш x Г x В): S[700 х 615 х 200]</v>
      </c>
      <c r="U452" t="str">
        <f>CONCATENATE(U$2,": ",U$3,list1!U452,"]")</f>
        <v xml:space="preserve"> (Наружный блок) Упаковка (Ш x Г x В): S[893 х 743 х 305]</v>
      </c>
      <c r="V452" t="str">
        <f>CONCATENATE(V$2,": ",V$3,list1!V452,"]")</f>
        <v xml:space="preserve"> (Наружный блок) Масса (нетто / брутто): S[23 / 29]</v>
      </c>
      <c r="W452" t="str">
        <f>CONCATENATE(W$2,": ",W$3,list1!W452,"]")</f>
        <v xml:space="preserve"> (Наружный блок) Максимальный уровень шума: N[]</v>
      </c>
      <c r="X452" t="str">
        <f>CONCATENATE(X$2,": ",X$3,list1!X452,"]")</f>
        <v xml:space="preserve"> (Соединительные трубы) Жидкостная линия : N[6.35]</v>
      </c>
      <c r="Y452" t="str">
        <f>CONCATENATE(Y$2,": ",Y$3,list1!Y452,"]")</f>
        <v xml:space="preserve"> (Соединительные трубы) Газовая линия : N[9.5]</v>
      </c>
      <c r="Z452" t="str">
        <f>CONCATENATE(Z$2,": ",Z$3,list1!Z452,"]")</f>
        <v xml:space="preserve"> (Соединительные трубы) Максимальная длина трубопровода: N[]</v>
      </c>
      <c r="AA452" t="str">
        <f>CONCATENATE(AA$2,": ",AA$3,list1!AA452,"]")</f>
        <v xml:space="preserve"> (Соединительные трубы) Максимальный перепад высот: S[]</v>
      </c>
      <c r="AB452" t="str">
        <f>CONCATENATE(AB$2,": ",AB$3,list1!AB452,"]")</f>
        <v xml:space="preserve"> (Допустимая темп. наружного воздуха) Охлаждение: S[]</v>
      </c>
      <c r="AC452" t="str">
        <f>CONCATENATE(AC$2,": ",AC$3,list1!AC452,"]")</f>
        <v xml:space="preserve"> (Допустимая темп. наружного воздуха) Обогрев: S[]</v>
      </c>
      <c r="AD452" s="6" t="s">
        <v>5172</v>
      </c>
    </row>
    <row r="453" spans="1:30" x14ac:dyDescent="0.25">
      <c r="A453" t="str">
        <f>CONCATENATE(A$2,": ",A$3,list1!A453,"]")</f>
        <v>Производитель: E[TOSOT]</v>
      </c>
      <c r="B453" t="str">
        <f>CONCATENATE(B$2,": ",B$3,list1!B453,"]")</f>
        <v xml:space="preserve"> Тип: S[Канальные]</v>
      </c>
      <c r="C453" t="str">
        <f>CONCATENATE(C$2,": ",C$3,list1!C453,"]")</f>
        <v xml:space="preserve"> (Сплит система) Холодопроизводительность: N[3.5]</v>
      </c>
      <c r="D453" t="str">
        <f>CONCATENATE(D$2,": ",D$3,list1!D453,"]")</f>
        <v xml:space="preserve"> (Сплит система) Площадь помещения: N[35]</v>
      </c>
      <c r="E453" t="str">
        <f>CONCATENATE(E$2,": ",E$3,list1!E453,"]")</f>
        <v xml:space="preserve"> (Сплит система) Инвентор: S[да]</v>
      </c>
      <c r="F453" t="str">
        <f>CONCATENATE(F$2,": ",F$3,list1!F453,"]")</f>
        <v xml:space="preserve"> (Сплит система) Теплопроизводительность: N[3.85]</v>
      </c>
      <c r="G453" t="str">
        <f>CONCATENATE(G$2,": ",G$3,list1!G453,"]")</f>
        <v xml:space="preserve"> (Потребляемая мощность) Охлаждение: N[0.075]</v>
      </c>
      <c r="H453" t="str">
        <f>CONCATENATE(H$2,": ",H$3,list1!H453,"]")</f>
        <v xml:space="preserve"> (Потребляемая мощность) Обогрев: S[]</v>
      </c>
      <c r="I453" t="str">
        <f>CONCATENATE(I$2,": ",I$3,list1!I453,"]")</f>
        <v xml:space="preserve"> (Рабочий ток) Охлаждение: S[]</v>
      </c>
      <c r="J453" t="str">
        <f>CONCATENATE(J$2,": ",J$3,list1!J453,"]")</f>
        <v xml:space="preserve"> (Рабочий ток) Обогрев: S[]</v>
      </c>
      <c r="K453" t="str">
        <f>CONCATENATE(K$2,": ",K$3,list1!K453,"]")</f>
        <v xml:space="preserve"> (Рабочий ток) Напряжение / Частота источника питания: S[1 / 220 / 50]</v>
      </c>
      <c r="L453" t="str">
        <f>CONCATENATE(L$2,": ",L$3,list1!L453,"]")</f>
        <v xml:space="preserve"> (Рабочий ток) Хладагент: S[R32]</v>
      </c>
      <c r="M453" t="str">
        <f>CONCATENATE(M$2,": ",M$3,list1!M453,"]")</f>
        <v xml:space="preserve"> (Рабочий ток) Количество хладагента: N[]</v>
      </c>
      <c r="N453" t="str">
        <f>CONCATENATE(N$2,": ",N$3,list1!N453,"]")</f>
        <v xml:space="preserve"> (Рабочий ток) Объем рециркулируемого воздуха внутреннего блока: S[]</v>
      </c>
      <c r="O453" t="str">
        <f>CONCATENATE(O$2,": ",O$3,list1!O453,"]")</f>
        <v xml:space="preserve"> (Внутренний блок) Размеры (Ш x Г x В): S[700 х 615 х 200]</v>
      </c>
      <c r="P453" t="str">
        <f>CONCATENATE(P$2,": ",P$3,list1!P453,"]")</f>
        <v xml:space="preserve"> (Внутренний блок) Упаковка (Ш x Г x В): S[740 х 890 х 290]</v>
      </c>
      <c r="Q453" t="str">
        <f>CONCATENATE(Q$2,": ",Q$3,list1!Q453,"]")</f>
        <v xml:space="preserve"> (Внутренний блок) Масса (нетто / брутто): S[22 / 28]</v>
      </c>
      <c r="R453" t="str">
        <f>CONCATENATE(R$2,": ",R$3,list1!R453,"]")</f>
        <v xml:space="preserve"> (Внутренний блок) Уровень шума мин. / макс.: S[32/35/39/42]</v>
      </c>
      <c r="S453" t="str">
        <f>CONCATENATE(S$2,": ",S$3,list1!S453,"]")</f>
        <v xml:space="preserve"> (Наружный блок) Марка компрессора: S[]</v>
      </c>
      <c r="T453" t="str">
        <f>CONCATENATE(T$2,": ",T$3,list1!T453,"]")</f>
        <v xml:space="preserve"> (Наружный блок) Размеры (Ш x Г x В): S[700 х 615 х 200]</v>
      </c>
      <c r="U453" t="str">
        <f>CONCATENATE(U$2,": ",U$3,list1!U453,"]")</f>
        <v xml:space="preserve"> (Наружный блок) Упаковка (Ш x Г x В): S[740 х 890 х 290]</v>
      </c>
      <c r="V453" t="str">
        <f>CONCATENATE(V$2,": ",V$3,list1!V453,"]")</f>
        <v xml:space="preserve"> (Наружный блок) Масса (нетто / брутто): S[22 / 28]</v>
      </c>
      <c r="W453" t="str">
        <f>CONCATENATE(W$2,": ",W$3,list1!W453,"]")</f>
        <v xml:space="preserve"> (Наружный блок) Максимальный уровень шума: N[]</v>
      </c>
      <c r="X453" t="str">
        <f>CONCATENATE(X$2,": ",X$3,list1!X453,"]")</f>
        <v xml:space="preserve"> (Соединительные трубы) Жидкостная линия : N[6.35]</v>
      </c>
      <c r="Y453" t="str">
        <f>CONCATENATE(Y$2,": ",Y$3,list1!Y453,"]")</f>
        <v xml:space="preserve"> (Соединительные трубы) Газовая линия : N[9.52]</v>
      </c>
      <c r="Z453" t="str">
        <f>CONCATENATE(Z$2,": ",Z$3,list1!Z453,"]")</f>
        <v xml:space="preserve"> (Соединительные трубы) Максимальная длина трубопровода: N[]</v>
      </c>
      <c r="AA453" t="str">
        <f>CONCATENATE(AA$2,": ",AA$3,list1!AA453,"]")</f>
        <v xml:space="preserve"> (Соединительные трубы) Максимальный перепад высот: S[]</v>
      </c>
      <c r="AB453" t="str">
        <f>CONCATENATE(AB$2,": ",AB$3,list1!AB453,"]")</f>
        <v xml:space="preserve"> (Допустимая темп. наружного воздуха) Охлаждение: S[]</v>
      </c>
      <c r="AC453" t="str">
        <f>CONCATENATE(AC$2,": ",AC$3,list1!AC453,"]")</f>
        <v xml:space="preserve"> (Допустимая темп. наружного воздуха) Обогрев: S[]</v>
      </c>
      <c r="AD453" s="6" t="s">
        <v>5172</v>
      </c>
    </row>
    <row r="454" spans="1:30" x14ac:dyDescent="0.25">
      <c r="A454" t="str">
        <f>CONCATENATE(A$2,": ",A$3,list1!A454,"]")</f>
        <v>Производитель: E[TOSOT]</v>
      </c>
      <c r="B454" t="str">
        <f>CONCATENATE(B$2,": ",B$3,list1!B454,"]")</f>
        <v xml:space="preserve"> Тип: S[Канальные]</v>
      </c>
      <c r="C454" t="str">
        <f>CONCATENATE(C$2,": ",C$3,list1!C454,"]")</f>
        <v xml:space="preserve"> (Сплит система) Холодопроизводительность: N[5]</v>
      </c>
      <c r="D454" t="str">
        <f>CONCATENATE(D$2,": ",D$3,list1!D454,"]")</f>
        <v xml:space="preserve"> (Сплит система) Площадь помещения: N[50]</v>
      </c>
      <c r="E454" t="str">
        <f>CONCATENATE(E$2,": ",E$3,list1!E454,"]")</f>
        <v xml:space="preserve"> (Сплит система) Инвентор: S[да]</v>
      </c>
      <c r="F454" t="str">
        <f>CONCATENATE(F$2,": ",F$3,list1!F454,"]")</f>
        <v xml:space="preserve"> (Сплит система) Теплопроизводительность: N[5.5]</v>
      </c>
      <c r="G454" t="str">
        <f>CONCATENATE(G$2,": ",G$3,list1!G454,"]")</f>
        <v xml:space="preserve"> (Потребляемая мощность) Охлаждение: N[0.08]</v>
      </c>
      <c r="H454" t="str">
        <f>CONCATENATE(H$2,": ",H$3,list1!H454,"]")</f>
        <v xml:space="preserve"> (Потребляемая мощность) Обогрев: S[0.08]</v>
      </c>
      <c r="I454" t="str">
        <f>CONCATENATE(I$2,": ",I$3,list1!I454,"]")</f>
        <v xml:space="preserve"> (Рабочий ток) Охлаждение: S[]</v>
      </c>
      <c r="J454" t="str">
        <f>CONCATENATE(J$2,": ",J$3,list1!J454,"]")</f>
        <v xml:space="preserve"> (Рабочий ток) Обогрев: S[]</v>
      </c>
      <c r="K454" t="str">
        <f>CONCATENATE(K$2,": ",K$3,list1!K454,"]")</f>
        <v xml:space="preserve"> (Рабочий ток) Напряжение / Частота источника питания: S[1 / 220 / 50]</v>
      </c>
      <c r="L454" t="str">
        <f>CONCATENATE(L$2,": ",L$3,list1!L454,"]")</f>
        <v xml:space="preserve"> (Рабочий ток) Хладагент: S[R410A]</v>
      </c>
      <c r="M454" t="str">
        <f>CONCATENATE(M$2,": ",M$3,list1!M454,"]")</f>
        <v xml:space="preserve"> (Рабочий ток) Количество хладагента: N[]</v>
      </c>
      <c r="N454" t="str">
        <f>CONCATENATE(N$2,": ",N$3,list1!N454,"]")</f>
        <v xml:space="preserve"> (Рабочий ток) Объем рециркулируемого воздуха внутреннего блока: S[]</v>
      </c>
      <c r="O454" t="str">
        <f>CONCATENATE(O$2,": ",O$3,list1!O454,"]")</f>
        <v xml:space="preserve"> (Внутренний блок) Размеры (Ш x Г x В): S[900 х 615 х 200]</v>
      </c>
      <c r="P454" t="str">
        <f>CONCATENATE(P$2,": ",P$3,list1!P454,"]")</f>
        <v xml:space="preserve"> (Внутренний блок) Упаковка (Ш x Г x В): S[1123 х 743 х 305]</v>
      </c>
      <c r="Q454" t="str">
        <f>CONCATENATE(Q$2,": ",Q$3,list1!Q454,"]")</f>
        <v xml:space="preserve"> (Внутренний блок) Масса (нетто / брутто): S[27 / 36]</v>
      </c>
      <c r="R454" t="str">
        <f>CONCATENATE(R$2,": ",R$3,list1!R454,"]")</f>
        <v xml:space="preserve"> (Внутренний блок) Уровень шума мин. / макс.: S[33/40]</v>
      </c>
      <c r="S454" t="str">
        <f>CONCATENATE(S$2,": ",S$3,list1!S454,"]")</f>
        <v xml:space="preserve"> (Наружный блок) Марка компрессора: S[]</v>
      </c>
      <c r="T454" t="str">
        <f>CONCATENATE(T$2,": ",T$3,list1!T454,"]")</f>
        <v xml:space="preserve"> (Наружный блок) Размеры (Ш x Г x В): S[900 х 615 х 200]</v>
      </c>
      <c r="U454" t="str">
        <f>CONCATENATE(U$2,": ",U$3,list1!U454,"]")</f>
        <v xml:space="preserve"> (Наружный блок) Упаковка (Ш x Г x В): S[1123 х 743 х 305]</v>
      </c>
      <c r="V454" t="str">
        <f>CONCATENATE(V$2,": ",V$3,list1!V454,"]")</f>
        <v xml:space="preserve"> (Наружный блок) Масса (нетто / брутто): S[27 / 36]</v>
      </c>
      <c r="W454" t="str">
        <f>CONCATENATE(W$2,": ",W$3,list1!W454,"]")</f>
        <v xml:space="preserve"> (Наружный блок) Максимальный уровень шума: N[]</v>
      </c>
      <c r="X454" t="str">
        <f>CONCATENATE(X$2,": ",X$3,list1!X454,"]")</f>
        <v xml:space="preserve"> (Соединительные трубы) Жидкостная линия : N[6.35]</v>
      </c>
      <c r="Y454" t="str">
        <f>CONCATENATE(Y$2,": ",Y$3,list1!Y454,"]")</f>
        <v xml:space="preserve"> (Соединительные трубы) Газовая линия : N[12.7]</v>
      </c>
      <c r="Z454" t="str">
        <f>CONCATENATE(Z$2,": ",Z$3,list1!Z454,"]")</f>
        <v xml:space="preserve"> (Соединительные трубы) Максимальная длина трубопровода: N[]</v>
      </c>
      <c r="AA454" t="str">
        <f>CONCATENATE(AA$2,": ",AA$3,list1!AA454,"]")</f>
        <v xml:space="preserve"> (Соединительные трубы) Максимальный перепад высот: S[]</v>
      </c>
      <c r="AB454" t="str">
        <f>CONCATENATE(AB$2,": ",AB$3,list1!AB454,"]")</f>
        <v xml:space="preserve"> (Допустимая темп. наружного воздуха) Охлаждение: S[]</v>
      </c>
      <c r="AC454" t="str">
        <f>CONCATENATE(AC$2,": ",AC$3,list1!AC454,"]")</f>
        <v xml:space="preserve"> (Допустимая темп. наружного воздуха) Обогрев: S[]</v>
      </c>
      <c r="AD454" s="6" t="s">
        <v>5172</v>
      </c>
    </row>
    <row r="455" spans="1:30" x14ac:dyDescent="0.25">
      <c r="A455" t="str">
        <f>CONCATENATE(A$2,": ",A$3,list1!A455,"]")</f>
        <v>Производитель: E[TOSOT]</v>
      </c>
      <c r="B455" t="str">
        <f>CONCATENATE(B$2,": ",B$3,list1!B455,"]")</f>
        <v xml:space="preserve"> Тип: S[Канальные]</v>
      </c>
      <c r="C455" t="str">
        <f>CONCATENATE(C$2,": ",C$3,list1!C455,"]")</f>
        <v xml:space="preserve"> (Сплит система) Холодопроизводительность: N[5]</v>
      </c>
      <c r="D455" t="str">
        <f>CONCATENATE(D$2,": ",D$3,list1!D455,"]")</f>
        <v xml:space="preserve"> (Сплит система) Площадь помещения: N[50]</v>
      </c>
      <c r="E455" t="str">
        <f>CONCATENATE(E$2,": ",E$3,list1!E455,"]")</f>
        <v xml:space="preserve"> (Сплит система) Инвентор: S[да]</v>
      </c>
      <c r="F455" t="str">
        <f>CONCATENATE(F$2,": ",F$3,list1!F455,"]")</f>
        <v xml:space="preserve"> (Сплит система) Теплопроизводительность: N[5.5]</v>
      </c>
      <c r="G455" t="str">
        <f>CONCATENATE(G$2,": ",G$3,list1!G455,"]")</f>
        <v xml:space="preserve"> (Потребляемая мощность) Охлаждение: N[0.095]</v>
      </c>
      <c r="H455" t="str">
        <f>CONCATENATE(H$2,": ",H$3,list1!H455,"]")</f>
        <v xml:space="preserve"> (Потребляемая мощность) Обогрев: S[]</v>
      </c>
      <c r="I455" t="str">
        <f>CONCATENATE(I$2,": ",I$3,list1!I455,"]")</f>
        <v xml:space="preserve"> (Рабочий ток) Охлаждение: S[]</v>
      </c>
      <c r="J455" t="str">
        <f>CONCATENATE(J$2,": ",J$3,list1!J455,"]")</f>
        <v xml:space="preserve"> (Рабочий ток) Обогрев: S[]</v>
      </c>
      <c r="K455" t="str">
        <f>CONCATENATE(K$2,": ",K$3,list1!K455,"]")</f>
        <v xml:space="preserve"> (Рабочий ток) Напряжение / Частота источника питания: S[1 / 220 / 50]</v>
      </c>
      <c r="L455" t="str">
        <f>CONCATENATE(L$2,": ",L$3,list1!L455,"]")</f>
        <v xml:space="preserve"> (Рабочий ток) Хладагент: S[R32]</v>
      </c>
      <c r="M455" t="str">
        <f>CONCATENATE(M$2,": ",M$3,list1!M455,"]")</f>
        <v xml:space="preserve"> (Рабочий ток) Количество хладагента: N[]</v>
      </c>
      <c r="N455" t="str">
        <f>CONCATENATE(N$2,": ",N$3,list1!N455,"]")</f>
        <v xml:space="preserve"> (Рабочий ток) Объем рециркулируемого воздуха внутреннего блока: S[]</v>
      </c>
      <c r="O455" t="str">
        <f>CONCATENATE(O$2,": ",O$3,list1!O455,"]")</f>
        <v xml:space="preserve"> (Внутренний блок) Размеры (Ш x Г x В): S[900 х 615 х 200]</v>
      </c>
      <c r="P455" t="str">
        <f>CONCATENATE(P$2,": ",P$3,list1!P455,"]")</f>
        <v xml:space="preserve"> (Внутренний блок) Упаковка (Ш x Г x В): S[740 х 1120 х 290]</v>
      </c>
      <c r="Q455" t="str">
        <f>CONCATENATE(Q$2,": ",Q$3,list1!Q455,"]")</f>
        <v xml:space="preserve"> (Внутренний блок) Масса (нетто / брутто): S[26 / 32]</v>
      </c>
      <c r="R455" t="str">
        <f>CONCATENATE(R$2,": ",R$3,list1!R455,"]")</f>
        <v xml:space="preserve"> (Внутренний блок) Уровень шума мин. / макс.: S[33/36/41/45]</v>
      </c>
      <c r="S455" t="str">
        <f>CONCATENATE(S$2,": ",S$3,list1!S455,"]")</f>
        <v xml:space="preserve"> (Наружный блок) Марка компрессора: S[]</v>
      </c>
      <c r="T455" t="str">
        <f>CONCATENATE(T$2,": ",T$3,list1!T455,"]")</f>
        <v xml:space="preserve"> (Наружный блок) Размеры (Ш x Г x В): S[900 х 615 х 200]</v>
      </c>
      <c r="U455" t="str">
        <f>CONCATENATE(U$2,": ",U$3,list1!U455,"]")</f>
        <v xml:space="preserve"> (Наружный блок) Упаковка (Ш x Г x В): S[740 х 1120 х 290]</v>
      </c>
      <c r="V455" t="str">
        <f>CONCATENATE(V$2,": ",V$3,list1!V455,"]")</f>
        <v xml:space="preserve"> (Наружный блок) Масса (нетто / брутто): S[26 / 32]</v>
      </c>
      <c r="W455" t="str">
        <f>CONCATENATE(W$2,": ",W$3,list1!W455,"]")</f>
        <v xml:space="preserve"> (Наружный блок) Максимальный уровень шума: N[]</v>
      </c>
      <c r="X455" t="str">
        <f>CONCATENATE(X$2,": ",X$3,list1!X455,"]")</f>
        <v xml:space="preserve"> (Соединительные трубы) Жидкостная линия : N[6.35]</v>
      </c>
      <c r="Y455" t="str">
        <f>CONCATENATE(Y$2,": ",Y$3,list1!Y455,"]")</f>
        <v xml:space="preserve"> (Соединительные трубы) Газовая линия : N[12.7]</v>
      </c>
      <c r="Z455" t="str">
        <f>CONCATENATE(Z$2,": ",Z$3,list1!Z455,"]")</f>
        <v xml:space="preserve"> (Соединительные трубы) Максимальная длина трубопровода: N[]</v>
      </c>
      <c r="AA455" t="str">
        <f>CONCATENATE(AA$2,": ",AA$3,list1!AA455,"]")</f>
        <v xml:space="preserve"> (Соединительные трубы) Максимальный перепад высот: S[]</v>
      </c>
      <c r="AB455" t="str">
        <f>CONCATENATE(AB$2,": ",AB$3,list1!AB455,"]")</f>
        <v xml:space="preserve"> (Допустимая темп. наружного воздуха) Охлаждение: S[]</v>
      </c>
      <c r="AC455" t="str">
        <f>CONCATENATE(AC$2,": ",AC$3,list1!AC455,"]")</f>
        <v xml:space="preserve"> (Допустимая темп. наружного воздуха) Обогрев: S[]</v>
      </c>
      <c r="AD455" s="6" t="s">
        <v>5172</v>
      </c>
    </row>
    <row r="456" spans="1:30" x14ac:dyDescent="0.25">
      <c r="A456" t="str">
        <f>CONCATENATE(A$2,": ",A$3,list1!A456,"]")</f>
        <v>Производитель: E[TOSOT]</v>
      </c>
      <c r="B456" t="str">
        <f>CONCATENATE(B$2,": ",B$3,list1!B456,"]")</f>
        <v xml:space="preserve"> Тип: S[Канальные]</v>
      </c>
      <c r="C456" t="str">
        <f>CONCATENATE(C$2,": ",C$3,list1!C456,"]")</f>
        <v xml:space="preserve"> (Сплит система) Холодопроизводительность: N[6]</v>
      </c>
      <c r="D456" t="str">
        <f>CONCATENATE(D$2,": ",D$3,list1!D456,"]")</f>
        <v xml:space="preserve"> (Сплит система) Площадь помещения: N[60]</v>
      </c>
      <c r="E456" t="str">
        <f>CONCATENATE(E$2,": ",E$3,list1!E456,"]")</f>
        <v xml:space="preserve"> (Сплит система) Инвентор: S[да]</v>
      </c>
      <c r="F456" t="str">
        <f>CONCATENATE(F$2,": ",F$3,list1!F456,"]")</f>
        <v xml:space="preserve"> (Сплит система) Теплопроизводительность: N[6.6]</v>
      </c>
      <c r="G456" t="str">
        <f>CONCATENATE(G$2,": ",G$3,list1!G456,"]")</f>
        <v xml:space="preserve"> (Потребляемая мощность) Охлаждение: N[0.11]</v>
      </c>
      <c r="H456" t="str">
        <f>CONCATENATE(H$2,": ",H$3,list1!H456,"]")</f>
        <v xml:space="preserve"> (Потребляемая мощность) Обогрев: S[0.11]</v>
      </c>
      <c r="I456" t="str">
        <f>CONCATENATE(I$2,": ",I$3,list1!I456,"]")</f>
        <v xml:space="preserve"> (Рабочий ток) Охлаждение: S[]</v>
      </c>
      <c r="J456" t="str">
        <f>CONCATENATE(J$2,": ",J$3,list1!J456,"]")</f>
        <v xml:space="preserve"> (Рабочий ток) Обогрев: S[]</v>
      </c>
      <c r="K456" t="str">
        <f>CONCATENATE(K$2,": ",K$3,list1!K456,"]")</f>
        <v xml:space="preserve"> (Рабочий ток) Напряжение / Частота источника питания: S[1 / 220 / 50]</v>
      </c>
      <c r="L456" t="str">
        <f>CONCATENATE(L$2,": ",L$3,list1!L456,"]")</f>
        <v xml:space="preserve"> (Рабочий ток) Хладагент: S[R410A]</v>
      </c>
      <c r="M456" t="str">
        <f>CONCATENATE(M$2,": ",M$3,list1!M456,"]")</f>
        <v xml:space="preserve"> (Рабочий ток) Количество хладагента: N[]</v>
      </c>
      <c r="N456" t="str">
        <f>CONCATENATE(N$2,": ",N$3,list1!N456,"]")</f>
        <v xml:space="preserve"> (Рабочий ток) Объем рециркулируемого воздуха внутреннего блока: S[]</v>
      </c>
      <c r="O456" t="str">
        <f>CONCATENATE(O$2,": ",O$3,list1!O456,"]")</f>
        <v xml:space="preserve"> (Внутренний блок) Размеры (Ш x Г x В): S[1100 х 615 х 200]</v>
      </c>
      <c r="P456" t="str">
        <f>CONCATENATE(P$2,": ",P$3,list1!P456,"]")</f>
        <v xml:space="preserve"> (Внутренний блок) Упаковка (Ш x Г x В): S[1323 х 743 х 205]</v>
      </c>
      <c r="Q456" t="str">
        <f>CONCATENATE(Q$2,": ",Q$3,list1!Q456,"]")</f>
        <v xml:space="preserve"> (Внутренний блок) Масса (нетто / брутто): S[31 / 41]</v>
      </c>
      <c r="R456" t="str">
        <f>CONCATENATE(R$2,": ",R$3,list1!R456,"]")</f>
        <v xml:space="preserve"> (Внутренний блок) Уровень шума мин. / макс.: S[34/42]</v>
      </c>
      <c r="S456" t="str">
        <f>CONCATENATE(S$2,": ",S$3,list1!S456,"]")</f>
        <v xml:space="preserve"> (Наружный блок) Марка компрессора: S[]</v>
      </c>
      <c r="T456" t="str">
        <f>CONCATENATE(T$2,": ",T$3,list1!T456,"]")</f>
        <v xml:space="preserve"> (Наружный блок) Размеры (Ш x Г x В): S[1100 х 615 х 200]</v>
      </c>
      <c r="U456" t="str">
        <f>CONCATENATE(U$2,": ",U$3,list1!U456,"]")</f>
        <v xml:space="preserve"> (Наружный блок) Упаковка (Ш x Г x В): S[1323 х 743 х 205]</v>
      </c>
      <c r="V456" t="str">
        <f>CONCATENATE(V$2,": ",V$3,list1!V456,"]")</f>
        <v xml:space="preserve"> (Наружный блок) Масса (нетто / брутто): S[31 / 41]</v>
      </c>
      <c r="W456" t="str">
        <f>CONCATENATE(W$2,": ",W$3,list1!W456,"]")</f>
        <v xml:space="preserve"> (Наружный блок) Максимальный уровень шума: N[]</v>
      </c>
      <c r="X456" t="str">
        <f>CONCATENATE(X$2,": ",X$3,list1!X456,"]")</f>
        <v xml:space="preserve"> (Соединительные трубы) Жидкостная линия : N[9.5]</v>
      </c>
      <c r="Y456" t="str">
        <f>CONCATENATE(Y$2,": ",Y$3,list1!Y456,"]")</f>
        <v xml:space="preserve"> (Соединительные трубы) Газовая линия : N[15.8]</v>
      </c>
      <c r="Z456" t="str">
        <f>CONCATENATE(Z$2,": ",Z$3,list1!Z456,"]")</f>
        <v xml:space="preserve"> (Соединительные трубы) Максимальная длина трубопровода: N[]</v>
      </c>
      <c r="AA456" t="str">
        <f>CONCATENATE(AA$2,": ",AA$3,list1!AA456,"]")</f>
        <v xml:space="preserve"> (Соединительные трубы) Максимальный перепад высот: S[]</v>
      </c>
      <c r="AB456" t="str">
        <f>CONCATENATE(AB$2,": ",AB$3,list1!AB456,"]")</f>
        <v xml:space="preserve"> (Допустимая темп. наружного воздуха) Охлаждение: S[]</v>
      </c>
      <c r="AC456" t="str">
        <f>CONCATENATE(AC$2,": ",AC$3,list1!AC456,"]")</f>
        <v xml:space="preserve"> (Допустимая темп. наружного воздуха) Обогрев: S[]</v>
      </c>
      <c r="AD456" s="6" t="s">
        <v>5172</v>
      </c>
    </row>
    <row r="457" spans="1:30" x14ac:dyDescent="0.25">
      <c r="A457" t="str">
        <f>CONCATENATE(A$2,": ",A$3,list1!A457,"]")</f>
        <v>Производитель: E[TOSOT]</v>
      </c>
      <c r="B457" t="str">
        <f>CONCATENATE(B$2,": ",B$3,list1!B457,"]")</f>
        <v xml:space="preserve"> Тип: S[Канальные]</v>
      </c>
      <c r="C457" t="str">
        <f>CONCATENATE(C$2,": ",C$3,list1!C457,"]")</f>
        <v xml:space="preserve"> (Сплит система) Холодопроизводительность: N[6]</v>
      </c>
      <c r="D457" t="str">
        <f>CONCATENATE(D$2,": ",D$3,list1!D457,"]")</f>
        <v xml:space="preserve"> (Сплит система) Площадь помещения: N[60]</v>
      </c>
      <c r="E457" t="str">
        <f>CONCATENATE(E$2,": ",E$3,list1!E457,"]")</f>
        <v xml:space="preserve"> (Сплит система) Инвентор: S[да]</v>
      </c>
      <c r="F457" t="str">
        <f>CONCATENATE(F$2,": ",F$3,list1!F457,"]")</f>
        <v xml:space="preserve"> (Сплит система) Теплопроизводительность: N[6.6]</v>
      </c>
      <c r="G457" t="str">
        <f>CONCATENATE(G$2,": ",G$3,list1!G457,"]")</f>
        <v xml:space="preserve"> (Потребляемая мощность) Охлаждение: N[0.11]</v>
      </c>
      <c r="H457" t="str">
        <f>CONCATENATE(H$2,": ",H$3,list1!H457,"]")</f>
        <v xml:space="preserve"> (Потребляемая мощность) Обогрев: S[]</v>
      </c>
      <c r="I457" t="str">
        <f>CONCATENATE(I$2,": ",I$3,list1!I457,"]")</f>
        <v xml:space="preserve"> (Рабочий ток) Охлаждение: S[]</v>
      </c>
      <c r="J457" t="str">
        <f>CONCATENATE(J$2,": ",J$3,list1!J457,"]")</f>
        <v xml:space="preserve"> (Рабочий ток) Обогрев: S[]</v>
      </c>
      <c r="K457" t="str">
        <f>CONCATENATE(K$2,": ",K$3,list1!K457,"]")</f>
        <v xml:space="preserve"> (Рабочий ток) Напряжение / Частота источника питания: S[1 / 220 / 50]</v>
      </c>
      <c r="L457" t="str">
        <f>CONCATENATE(L$2,": ",L$3,list1!L457,"]")</f>
        <v xml:space="preserve"> (Рабочий ток) Хладагент: S[R32]</v>
      </c>
      <c r="M457" t="str">
        <f>CONCATENATE(M$2,": ",M$3,list1!M457,"]")</f>
        <v xml:space="preserve"> (Рабочий ток) Количество хладагента: N[]</v>
      </c>
      <c r="N457" t="str">
        <f>CONCATENATE(N$2,": ",N$3,list1!N457,"]")</f>
        <v xml:space="preserve"> (Рабочий ток) Объем рециркулируемого воздуха внутреннего блока: S[]</v>
      </c>
      <c r="O457" t="str">
        <f>CONCATENATE(O$2,": ",O$3,list1!O457,"]")</f>
        <v xml:space="preserve"> (Внутренний блок) Размеры (Ш x Г x В): S[1100 х 615 х 200]</v>
      </c>
      <c r="P457" t="str">
        <f>CONCATENATE(P$2,": ",P$3,list1!P457,"]")</f>
        <v xml:space="preserve"> (Внутренний блок) Упаковка (Ш x Г x В): S[740 х 1320 х 290]</v>
      </c>
      <c r="Q457" t="str">
        <f>CONCATENATE(Q$2,": ",Q$3,list1!Q457,"]")</f>
        <v xml:space="preserve"> (Внутренний блок) Масса (нетто / брутто): S[30 / 40]</v>
      </c>
      <c r="R457" t="str">
        <f>CONCATENATE(R$2,": ",R$3,list1!R457,"]")</f>
        <v xml:space="preserve"> (Внутренний блок) Уровень шума мин. / макс.: S[34/37/42/48]</v>
      </c>
      <c r="S457" t="str">
        <f>CONCATENATE(S$2,": ",S$3,list1!S457,"]")</f>
        <v xml:space="preserve"> (Наружный блок) Марка компрессора: S[]</v>
      </c>
      <c r="T457" t="str">
        <f>CONCATENATE(T$2,": ",T$3,list1!T457,"]")</f>
        <v xml:space="preserve"> (Наружный блок) Размеры (Ш x Г x В): S[1100 х 615 х 200]</v>
      </c>
      <c r="U457" t="str">
        <f>CONCATENATE(U$2,": ",U$3,list1!U457,"]")</f>
        <v xml:space="preserve"> (Наружный блок) Упаковка (Ш x Г x В): S[740 х 1320 х 290]</v>
      </c>
      <c r="V457" t="str">
        <f>CONCATENATE(V$2,": ",V$3,list1!V457,"]")</f>
        <v xml:space="preserve"> (Наружный блок) Масса (нетто / брутто): S[30 / 40]</v>
      </c>
      <c r="W457" t="str">
        <f>CONCATENATE(W$2,": ",W$3,list1!W457,"]")</f>
        <v xml:space="preserve"> (Наружный блок) Максимальный уровень шума: N[]</v>
      </c>
      <c r="X457" t="str">
        <f>CONCATENATE(X$2,": ",X$3,list1!X457,"]")</f>
        <v xml:space="preserve"> (Соединительные трубы) Жидкостная линия : N[9.52]</v>
      </c>
      <c r="Y457" t="str">
        <f>CONCATENATE(Y$2,": ",Y$3,list1!Y457,"]")</f>
        <v xml:space="preserve"> (Соединительные трубы) Газовая линия : N[15.8]</v>
      </c>
      <c r="Z457" t="str">
        <f>CONCATENATE(Z$2,": ",Z$3,list1!Z457,"]")</f>
        <v xml:space="preserve"> (Соединительные трубы) Максимальная длина трубопровода: N[]</v>
      </c>
      <c r="AA457" t="str">
        <f>CONCATENATE(AA$2,": ",AA$3,list1!AA457,"]")</f>
        <v xml:space="preserve"> (Соединительные трубы) Максимальный перепад высот: S[]</v>
      </c>
      <c r="AB457" t="str">
        <f>CONCATENATE(AB$2,": ",AB$3,list1!AB457,"]")</f>
        <v xml:space="preserve"> (Допустимая темп. наружного воздуха) Охлаждение: S[]</v>
      </c>
      <c r="AC457" t="str">
        <f>CONCATENATE(AC$2,": ",AC$3,list1!AC457,"]")</f>
        <v xml:space="preserve"> (Допустимая темп. наружного воздуха) Обогрев: S[]</v>
      </c>
      <c r="AD457" s="6" t="s">
        <v>5172</v>
      </c>
    </row>
    <row r="458" spans="1:30" x14ac:dyDescent="0.25">
      <c r="A458" t="str">
        <f>CONCATENATE(A$2,": ",A$3,list1!A458,"]")</f>
        <v>Производитель: E[TOSOT]</v>
      </c>
      <c r="B458" t="str">
        <f>CONCATENATE(B$2,": ",B$3,list1!B458,"]")</f>
        <v xml:space="preserve"> Тип: S[Канальные]</v>
      </c>
      <c r="C458" t="str">
        <f>CONCATENATE(C$2,": ",C$3,list1!C458,"]")</f>
        <v xml:space="preserve"> (Сплит система) Холодопроизводительность: N[7.1]</v>
      </c>
      <c r="D458" t="str">
        <f>CONCATENATE(D$2,": ",D$3,list1!D458,"]")</f>
        <v xml:space="preserve"> (Сплит система) Площадь помещения: N[71]</v>
      </c>
      <c r="E458" t="str">
        <f>CONCATENATE(E$2,": ",E$3,list1!E458,"]")</f>
        <v xml:space="preserve"> (Сплит система) Инвентор: S[да]</v>
      </c>
      <c r="F458" t="str">
        <f>CONCATENATE(F$2,": ",F$3,list1!F458,"]")</f>
        <v xml:space="preserve"> (Сплит система) Теплопроизводительность: N[8]</v>
      </c>
      <c r="G458" t="str">
        <f>CONCATENATE(G$2,": ",G$3,list1!G458,"]")</f>
        <v xml:space="preserve"> (Потребляемая мощность) Охлаждение: N[0.11]</v>
      </c>
      <c r="H458" t="str">
        <f>CONCATENATE(H$2,": ",H$3,list1!H458,"]")</f>
        <v xml:space="preserve"> (Потребляемая мощность) Обогрев: S[0.11]</v>
      </c>
      <c r="I458" t="str">
        <f>CONCATENATE(I$2,": ",I$3,list1!I458,"]")</f>
        <v xml:space="preserve"> (Рабочий ток) Охлаждение: S[]</v>
      </c>
      <c r="J458" t="str">
        <f>CONCATENATE(J$2,": ",J$3,list1!J458,"]")</f>
        <v xml:space="preserve"> (Рабочий ток) Обогрев: S[]</v>
      </c>
      <c r="K458" t="str">
        <f>CONCATENATE(K$2,": ",K$3,list1!K458,"]")</f>
        <v xml:space="preserve"> (Рабочий ток) Напряжение / Частота источника питания: S[1 / 220 / 50]</v>
      </c>
      <c r="L458" t="str">
        <f>CONCATENATE(L$2,": ",L$3,list1!L458,"]")</f>
        <v xml:space="preserve"> (Рабочий ток) Хладагент: S[R410A]</v>
      </c>
      <c r="M458" t="str">
        <f>CONCATENATE(M$2,": ",M$3,list1!M458,"]")</f>
        <v xml:space="preserve"> (Рабочий ток) Количество хладагента: N[]</v>
      </c>
      <c r="N458" t="str">
        <f>CONCATENATE(N$2,": ",N$3,list1!N458,"]")</f>
        <v xml:space="preserve"> (Рабочий ток) Объем рециркулируемого воздуха внутреннего блока: S[]</v>
      </c>
      <c r="O458" t="str">
        <f>CONCATENATE(O$2,": ",O$3,list1!O458,"]")</f>
        <v xml:space="preserve"> (Внутренний блок) Размеры (Ш x Г x В): S[1100 х 615 х 200]</v>
      </c>
      <c r="P458" t="str">
        <f>CONCATENATE(P$2,": ",P$3,list1!P458,"]")</f>
        <v xml:space="preserve"> (Внутренний блок) Упаковка (Ш x Г x В): S[1323 х 743 х 205]</v>
      </c>
      <c r="Q458" t="str">
        <f>CONCATENATE(Q$2,": ",Q$3,list1!Q458,"]")</f>
        <v xml:space="preserve"> (Внутренний блок) Масса (нетто / брутто): S[31 / 41]</v>
      </c>
      <c r="R458" t="str">
        <f>CONCATENATE(R$2,": ",R$3,list1!R458,"]")</f>
        <v xml:space="preserve"> (Внутренний блок) Уровень шума мин. / макс.: S[34/42]</v>
      </c>
      <c r="S458" t="str">
        <f>CONCATENATE(S$2,": ",S$3,list1!S458,"]")</f>
        <v xml:space="preserve"> (Наружный блок) Марка компрессора: S[]</v>
      </c>
      <c r="T458" t="str">
        <f>CONCATENATE(T$2,": ",T$3,list1!T458,"]")</f>
        <v xml:space="preserve"> (Наружный блок) Размеры (Ш x Г x В): S[1100 х 615 х 200]</v>
      </c>
      <c r="U458" t="str">
        <f>CONCATENATE(U$2,": ",U$3,list1!U458,"]")</f>
        <v xml:space="preserve"> (Наружный блок) Упаковка (Ш x Г x В): S[1323 х 743 х 205]</v>
      </c>
      <c r="V458" t="str">
        <f>CONCATENATE(V$2,": ",V$3,list1!V458,"]")</f>
        <v xml:space="preserve"> (Наружный блок) Масса (нетто / брутто): S[31 / 41]</v>
      </c>
      <c r="W458" t="str">
        <f>CONCATENATE(W$2,": ",W$3,list1!W458,"]")</f>
        <v xml:space="preserve"> (Наружный блок) Максимальный уровень шума: N[]</v>
      </c>
      <c r="X458" t="str">
        <f>CONCATENATE(X$2,": ",X$3,list1!X458,"]")</f>
        <v xml:space="preserve"> (Соединительные трубы) Жидкостная линия : N[9.5]</v>
      </c>
      <c r="Y458" t="str">
        <f>CONCATENATE(Y$2,": ",Y$3,list1!Y458,"]")</f>
        <v xml:space="preserve"> (Соединительные трубы) Газовая линия : N[15.8]</v>
      </c>
      <c r="Z458" t="str">
        <f>CONCATENATE(Z$2,": ",Z$3,list1!Z458,"]")</f>
        <v xml:space="preserve"> (Соединительные трубы) Максимальная длина трубопровода: N[]</v>
      </c>
      <c r="AA458" t="str">
        <f>CONCATENATE(AA$2,": ",AA$3,list1!AA458,"]")</f>
        <v xml:space="preserve"> (Соединительные трубы) Максимальный перепад высот: S[]</v>
      </c>
      <c r="AB458" t="str">
        <f>CONCATENATE(AB$2,": ",AB$3,list1!AB458,"]")</f>
        <v xml:space="preserve"> (Допустимая темп. наружного воздуха) Охлаждение: S[]</v>
      </c>
      <c r="AC458" t="str">
        <f>CONCATENATE(AC$2,": ",AC$3,list1!AC458,"]")</f>
        <v xml:space="preserve"> (Допустимая темп. наружного воздуха) Обогрев: S[]</v>
      </c>
      <c r="AD458" s="6" t="s">
        <v>5172</v>
      </c>
    </row>
    <row r="459" spans="1:30" x14ac:dyDescent="0.25">
      <c r="A459" t="str">
        <f>CONCATENATE(A$2,": ",A$3,list1!A459,"]")</f>
        <v>Производитель: E[TOSOT]</v>
      </c>
      <c r="B459" t="str">
        <f>CONCATENATE(B$2,": ",B$3,list1!B459,"]")</f>
        <v xml:space="preserve"> Тип: S[Канальные]</v>
      </c>
      <c r="C459" t="str">
        <f>CONCATENATE(C$2,": ",C$3,list1!C459,"]")</f>
        <v xml:space="preserve"> (Сплит система) Холодопроизводительность: N[7.1]</v>
      </c>
      <c r="D459" t="str">
        <f>CONCATENATE(D$2,": ",D$3,list1!D459,"]")</f>
        <v xml:space="preserve"> (Сплит система) Площадь помещения: N[71]</v>
      </c>
      <c r="E459" t="str">
        <f>CONCATENATE(E$2,": ",E$3,list1!E459,"]")</f>
        <v xml:space="preserve"> (Сплит система) Инвентор: S[да]</v>
      </c>
      <c r="F459" t="str">
        <f>CONCATENATE(F$2,": ",F$3,list1!F459,"]")</f>
        <v xml:space="preserve"> (Сплит система) Теплопроизводительность: N[8]</v>
      </c>
      <c r="G459" t="str">
        <f>CONCATENATE(G$2,": ",G$3,list1!G459,"]")</f>
        <v xml:space="preserve"> (Потребляемая мощность) Охлаждение: N[0.11]</v>
      </c>
      <c r="H459" t="str">
        <f>CONCATENATE(H$2,": ",H$3,list1!H459,"]")</f>
        <v xml:space="preserve"> (Потребляемая мощность) Обогрев: S[]</v>
      </c>
      <c r="I459" t="str">
        <f>CONCATENATE(I$2,": ",I$3,list1!I459,"]")</f>
        <v xml:space="preserve"> (Рабочий ток) Охлаждение: S[]</v>
      </c>
      <c r="J459" t="str">
        <f>CONCATENATE(J$2,": ",J$3,list1!J459,"]")</f>
        <v xml:space="preserve"> (Рабочий ток) Обогрев: S[]</v>
      </c>
      <c r="K459" t="str">
        <f>CONCATENATE(K$2,": ",K$3,list1!K459,"]")</f>
        <v xml:space="preserve"> (Рабочий ток) Напряжение / Частота источника питания: S[1 / 220 / 50]</v>
      </c>
      <c r="L459" t="str">
        <f>CONCATENATE(L$2,": ",L$3,list1!L459,"]")</f>
        <v xml:space="preserve"> (Рабочий ток) Хладагент: S[R32]</v>
      </c>
      <c r="M459" t="str">
        <f>CONCATENATE(M$2,": ",M$3,list1!M459,"]")</f>
        <v xml:space="preserve"> (Рабочий ток) Количество хладагента: N[]</v>
      </c>
      <c r="N459" t="str">
        <f>CONCATENATE(N$2,": ",N$3,list1!N459,"]")</f>
        <v xml:space="preserve"> (Рабочий ток) Объем рециркулируемого воздуха внутреннего блока: S[]</v>
      </c>
      <c r="O459" t="str">
        <f>CONCATENATE(O$2,": ",O$3,list1!O459,"]")</f>
        <v xml:space="preserve"> (Внутренний блок) Размеры (Ш x Г x В): S[1100 х 615 х 200]</v>
      </c>
      <c r="P459" t="str">
        <f>CONCATENATE(P$2,": ",P$3,list1!P459,"]")</f>
        <v xml:space="preserve"> (Внутренний блок) Упаковка (Ш x Г x В): S[740 х 1320 х 290]</v>
      </c>
      <c r="Q459" t="str">
        <f>CONCATENATE(Q$2,": ",Q$3,list1!Q459,"]")</f>
        <v xml:space="preserve"> (Внутренний блок) Масса (нетто / брутто): S[30 / 40]</v>
      </c>
      <c r="R459" t="str">
        <f>CONCATENATE(R$2,": ",R$3,list1!R459,"]")</f>
        <v xml:space="preserve"> (Внутренний блок) Уровень шума мин. / макс.: S[34/37/42/48]</v>
      </c>
      <c r="S459" t="str">
        <f>CONCATENATE(S$2,": ",S$3,list1!S459,"]")</f>
        <v xml:space="preserve"> (Наружный блок) Марка компрессора: S[]</v>
      </c>
      <c r="T459" t="str">
        <f>CONCATENATE(T$2,": ",T$3,list1!T459,"]")</f>
        <v xml:space="preserve"> (Наружный блок) Размеры (Ш x Г x В): S[1100 х 615 х 200]</v>
      </c>
      <c r="U459" t="str">
        <f>CONCATENATE(U$2,": ",U$3,list1!U459,"]")</f>
        <v xml:space="preserve"> (Наружный блок) Упаковка (Ш x Г x В): S[740 х 1320 х 290]</v>
      </c>
      <c r="V459" t="str">
        <f>CONCATENATE(V$2,": ",V$3,list1!V459,"]")</f>
        <v xml:space="preserve"> (Наружный блок) Масса (нетто / брутто): S[30 / 40]</v>
      </c>
      <c r="W459" t="str">
        <f>CONCATENATE(W$2,": ",W$3,list1!W459,"]")</f>
        <v xml:space="preserve"> (Наружный блок) Максимальный уровень шума: N[]</v>
      </c>
      <c r="X459" t="str">
        <f>CONCATENATE(X$2,": ",X$3,list1!X459,"]")</f>
        <v xml:space="preserve"> (Соединительные трубы) Жидкостная линия : N[9.52]</v>
      </c>
      <c r="Y459" t="str">
        <f>CONCATENATE(Y$2,": ",Y$3,list1!Y459,"]")</f>
        <v xml:space="preserve"> (Соединительные трубы) Газовая линия : N[15.8]</v>
      </c>
      <c r="Z459" t="str">
        <f>CONCATENATE(Z$2,": ",Z$3,list1!Z459,"]")</f>
        <v xml:space="preserve"> (Соединительные трубы) Максимальная длина трубопровода: N[]</v>
      </c>
      <c r="AA459" t="str">
        <f>CONCATENATE(AA$2,": ",AA$3,list1!AA459,"]")</f>
        <v xml:space="preserve"> (Соединительные трубы) Максимальный перепад высот: S[]</v>
      </c>
      <c r="AB459" t="str">
        <f>CONCATENATE(AB$2,": ",AB$3,list1!AB459,"]")</f>
        <v xml:space="preserve"> (Допустимая темп. наружного воздуха) Охлаждение: S[]</v>
      </c>
      <c r="AC459" t="str">
        <f>CONCATENATE(AC$2,": ",AC$3,list1!AC459,"]")</f>
        <v xml:space="preserve"> (Допустимая темп. наружного воздуха) Обогрев: S[]</v>
      </c>
      <c r="AD459" s="6" t="s">
        <v>5172</v>
      </c>
    </row>
    <row r="460" spans="1:30" x14ac:dyDescent="0.25">
      <c r="A460" t="str">
        <f>CONCATENATE(A$2,": ",A$3,list1!A460,"]")</f>
        <v>Производитель: E[TOSOT]</v>
      </c>
      <c r="B460" t="str">
        <f>CONCATENATE(B$2,": ",B$3,list1!B460,"]")</f>
        <v xml:space="preserve"> Тип: S[Кассетные]</v>
      </c>
      <c r="C460" t="str">
        <f>CONCATENATE(C$2,": ",C$3,list1!C460,"]")</f>
        <v xml:space="preserve"> (Сплит система) Холодопроизводительность: N[3.5]</v>
      </c>
      <c r="D460" t="str">
        <f>CONCATENATE(D$2,": ",D$3,list1!D460,"]")</f>
        <v xml:space="preserve"> (Сплит система) Площадь помещения: N[35]</v>
      </c>
      <c r="E460" t="str">
        <f>CONCATENATE(E$2,": ",E$3,list1!E460,"]")</f>
        <v xml:space="preserve"> (Сплит система) Инвентор: S[да]</v>
      </c>
      <c r="F460" t="str">
        <f>CONCATENATE(F$2,": ",F$3,list1!F460,"]")</f>
        <v xml:space="preserve"> (Сплит система) Теплопроизводительность: N[4]</v>
      </c>
      <c r="G460" t="str">
        <f>CONCATENATE(G$2,": ",G$3,list1!G460,"]")</f>
        <v xml:space="preserve"> (Потребляемая мощность) Охлаждение: N[]</v>
      </c>
      <c r="H460" t="str">
        <f>CONCATENATE(H$2,": ",H$3,list1!H460,"]")</f>
        <v xml:space="preserve"> (Потребляемая мощность) Обогрев: S[]</v>
      </c>
      <c r="I460" t="str">
        <f>CONCATENATE(I$2,": ",I$3,list1!I460,"]")</f>
        <v xml:space="preserve"> (Рабочий ток) Охлаждение: S[]</v>
      </c>
      <c r="J460" t="str">
        <f>CONCATENATE(J$2,": ",J$3,list1!J460,"]")</f>
        <v xml:space="preserve"> (Рабочий ток) Обогрев: S[]</v>
      </c>
      <c r="K460" t="str">
        <f>CONCATENATE(K$2,": ",K$3,list1!K460,"]")</f>
        <v xml:space="preserve"> (Рабочий ток) Напряжение / Частота источника питания: S[]</v>
      </c>
      <c r="L460" t="str">
        <f>CONCATENATE(L$2,": ",L$3,list1!L460,"]")</f>
        <v xml:space="preserve"> (Рабочий ток) Хладагент: S[]</v>
      </c>
      <c r="M460" t="str">
        <f>CONCATENATE(M$2,": ",M$3,list1!M460,"]")</f>
        <v xml:space="preserve"> (Рабочий ток) Количество хладагента: N[]</v>
      </c>
      <c r="N460" t="str">
        <f>CONCATENATE(N$2,": ",N$3,list1!N460,"]")</f>
        <v xml:space="preserve"> (Рабочий ток) Объем рециркулируемого воздуха внутреннего блока: S[]</v>
      </c>
      <c r="O460" t="str">
        <f>CONCATENATE(O$2,": ",O$3,list1!O460,"]")</f>
        <v xml:space="preserve"> (Внутренний блок) Размеры (Ш x Г x В): S[]</v>
      </c>
      <c r="P460" t="str">
        <f>CONCATENATE(P$2,": ",P$3,list1!P460,"]")</f>
        <v xml:space="preserve"> (Внутренний блок) Упаковка (Ш x Г x В): S[]</v>
      </c>
      <c r="Q460" t="str">
        <f>CONCATENATE(Q$2,": ",Q$3,list1!Q460,"]")</f>
        <v xml:space="preserve"> (Внутренний блок) Масса (нетто / брутто): S[]</v>
      </c>
      <c r="R460" t="str">
        <f>CONCATENATE(R$2,": ",R$3,list1!R460,"]")</f>
        <v xml:space="preserve"> (Внутренний блок) Уровень шума мин. / макс.: S[]</v>
      </c>
      <c r="S460" t="str">
        <f>CONCATENATE(S$2,": ",S$3,list1!S460,"]")</f>
        <v xml:space="preserve"> (Наружный блок) Марка компрессора: S[]</v>
      </c>
      <c r="T460" t="str">
        <f>CONCATENATE(T$2,": ",T$3,list1!T460,"]")</f>
        <v xml:space="preserve"> (Наружный блок) Размеры (Ш x Г x В): S[]</v>
      </c>
      <c r="U460" t="str">
        <f>CONCATENATE(U$2,": ",U$3,list1!U460,"]")</f>
        <v xml:space="preserve"> (Наружный блок) Упаковка (Ш x Г x В): S[]</v>
      </c>
      <c r="V460" t="str">
        <f>CONCATENATE(V$2,": ",V$3,list1!V460,"]")</f>
        <v xml:space="preserve"> (Наружный блок) Масса (нетто / брутто): S[]</v>
      </c>
      <c r="W460" t="str">
        <f>CONCATENATE(W$2,": ",W$3,list1!W460,"]")</f>
        <v xml:space="preserve"> (Наружный блок) Максимальный уровень шума: N[]</v>
      </c>
      <c r="X460" t="str">
        <f>CONCATENATE(X$2,": ",X$3,list1!X460,"]")</f>
        <v xml:space="preserve"> (Соединительные трубы) Жидкостная линия : N[6.35]</v>
      </c>
      <c r="Y460" t="str">
        <f>CONCATENATE(Y$2,": ",Y$3,list1!Y460,"]")</f>
        <v xml:space="preserve"> (Соединительные трубы) Газовая линия : N[9.5]</v>
      </c>
      <c r="Z460" t="str">
        <f>CONCATENATE(Z$2,": ",Z$3,list1!Z460,"]")</f>
        <v xml:space="preserve"> (Соединительные трубы) Максимальная длина трубопровода: N[]</v>
      </c>
      <c r="AA460" t="str">
        <f>CONCATENATE(AA$2,": ",AA$3,list1!AA460,"]")</f>
        <v xml:space="preserve"> (Соединительные трубы) Максимальный перепад высот: S[]</v>
      </c>
      <c r="AB460" t="str">
        <f>CONCATENATE(AB$2,": ",AB$3,list1!AB460,"]")</f>
        <v xml:space="preserve"> (Допустимая темп. наружного воздуха) Охлаждение: S[]</v>
      </c>
      <c r="AC460" t="str">
        <f>CONCATENATE(AC$2,": ",AC$3,list1!AC460,"]")</f>
        <v xml:space="preserve"> (Допустимая темп. наружного воздуха) Обогрев: S[]</v>
      </c>
      <c r="AD460" s="6" t="s">
        <v>5172</v>
      </c>
    </row>
    <row r="461" spans="1:30" x14ac:dyDescent="0.25">
      <c r="A461" t="str">
        <f>CONCATENATE(A$2,": ",A$3,list1!A461,"]")</f>
        <v>Производитель: E[TOSOT]</v>
      </c>
      <c r="B461" t="str">
        <f>CONCATENATE(B$2,": ",B$3,list1!B461,"]")</f>
        <v xml:space="preserve"> Тип: S[Кассетные]</v>
      </c>
      <c r="C461" t="str">
        <f>CONCATENATE(C$2,": ",C$3,list1!C461,"]")</f>
        <v xml:space="preserve"> (Сплит система) Холодопроизводительность: N[]</v>
      </c>
      <c r="D461" t="str">
        <f>CONCATENATE(D$2,": ",D$3,list1!D461,"]")</f>
        <v xml:space="preserve"> (Сплит система) Площадь помещения: N[]</v>
      </c>
      <c r="E461" t="str">
        <f>CONCATENATE(E$2,": ",E$3,list1!E461,"]")</f>
        <v xml:space="preserve"> (Сплит система) Инвентор: S[да]</v>
      </c>
      <c r="F461" t="str">
        <f>CONCATENATE(F$2,": ",F$3,list1!F461,"]")</f>
        <v xml:space="preserve"> (Сплит система) Теплопроизводительность: N[]</v>
      </c>
      <c r="G461" t="str">
        <f>CONCATENATE(G$2,": ",G$3,list1!G461,"]")</f>
        <v xml:space="preserve"> (Потребляемая мощность) Охлаждение: N[]</v>
      </c>
      <c r="H461" t="str">
        <f>CONCATENATE(H$2,": ",H$3,list1!H461,"]")</f>
        <v xml:space="preserve"> (Потребляемая мощность) Обогрев: S[]</v>
      </c>
      <c r="I461" t="str">
        <f>CONCATENATE(I$2,": ",I$3,list1!I461,"]")</f>
        <v xml:space="preserve"> (Рабочий ток) Охлаждение: S[]</v>
      </c>
      <c r="J461" t="str">
        <f>CONCATENATE(J$2,": ",J$3,list1!J461,"]")</f>
        <v xml:space="preserve"> (Рабочий ток) Обогрев: S[]</v>
      </c>
      <c r="K461" t="str">
        <f>CONCATENATE(K$2,": ",K$3,list1!K461,"]")</f>
        <v xml:space="preserve"> (Рабочий ток) Напряжение / Частота источника питания: S[]</v>
      </c>
      <c r="L461" t="str">
        <f>CONCATENATE(L$2,": ",L$3,list1!L461,"]")</f>
        <v xml:space="preserve"> (Рабочий ток) Хладагент: S[]</v>
      </c>
      <c r="M461" t="str">
        <f>CONCATENATE(M$2,": ",M$3,list1!M461,"]")</f>
        <v xml:space="preserve"> (Рабочий ток) Количество хладагента: N[]</v>
      </c>
      <c r="N461" t="str">
        <f>CONCATENATE(N$2,": ",N$3,list1!N461,"]")</f>
        <v xml:space="preserve"> (Рабочий ток) Объем рециркулируемого воздуха внутреннего блока: S[]</v>
      </c>
      <c r="O461" t="str">
        <f>CONCATENATE(O$2,": ",O$3,list1!O461,"]")</f>
        <v xml:space="preserve"> (Внутренний блок) Размеры (Ш x Г x В): S[]</v>
      </c>
      <c r="P461" t="str">
        <f>CONCATENATE(P$2,": ",P$3,list1!P461,"]")</f>
        <v xml:space="preserve"> (Внутренний блок) Упаковка (Ш x Г x В): S[]</v>
      </c>
      <c r="Q461" t="str">
        <f>CONCATENATE(Q$2,": ",Q$3,list1!Q461,"]")</f>
        <v xml:space="preserve"> (Внутренний блок) Масса (нетто / брутто): S[]</v>
      </c>
      <c r="R461" t="str">
        <f>CONCATENATE(R$2,": ",R$3,list1!R461,"]")</f>
        <v xml:space="preserve"> (Внутренний блок) Уровень шума мин. / макс.: S[]</v>
      </c>
      <c r="S461" t="str">
        <f>CONCATENATE(S$2,": ",S$3,list1!S461,"]")</f>
        <v xml:space="preserve"> (Наружный блок) Марка компрессора: S[]</v>
      </c>
      <c r="T461" t="str">
        <f>CONCATENATE(T$2,": ",T$3,list1!T461,"]")</f>
        <v xml:space="preserve"> (Наружный блок) Размеры (Ш x Г x В): S[]</v>
      </c>
      <c r="U461" t="str">
        <f>CONCATENATE(U$2,": ",U$3,list1!U461,"]")</f>
        <v xml:space="preserve"> (Наружный блок) Упаковка (Ш x Г x В): S[]</v>
      </c>
      <c r="V461" t="str">
        <f>CONCATENATE(V$2,": ",V$3,list1!V461,"]")</f>
        <v xml:space="preserve"> (Наружный блок) Масса (нетто / брутто): S[]</v>
      </c>
      <c r="W461" t="str">
        <f>CONCATENATE(W$2,": ",W$3,list1!W461,"]")</f>
        <v xml:space="preserve"> (Наружный блок) Максимальный уровень шума: N[]</v>
      </c>
      <c r="X461" t="str">
        <f>CONCATENATE(X$2,": ",X$3,list1!X461,"]")</f>
        <v xml:space="preserve"> (Соединительные трубы) Жидкостная линия : N[]</v>
      </c>
      <c r="Y461" t="str">
        <f>CONCATENATE(Y$2,": ",Y$3,list1!Y461,"]")</f>
        <v xml:space="preserve"> (Соединительные трубы) Газовая линия : N[]</v>
      </c>
      <c r="Z461" t="str">
        <f>CONCATENATE(Z$2,": ",Z$3,list1!Z461,"]")</f>
        <v xml:space="preserve"> (Соединительные трубы) Максимальная длина трубопровода: N[]</v>
      </c>
      <c r="AA461" t="str">
        <f>CONCATENATE(AA$2,": ",AA$3,list1!AA461,"]")</f>
        <v xml:space="preserve"> (Соединительные трубы) Максимальный перепад высот: S[]</v>
      </c>
      <c r="AB461" t="str">
        <f>CONCATENATE(AB$2,": ",AB$3,list1!AB461,"]")</f>
        <v xml:space="preserve"> (Допустимая темп. наружного воздуха) Охлаждение: S[]</v>
      </c>
      <c r="AC461" t="str">
        <f>CONCATENATE(AC$2,": ",AC$3,list1!AC461,"]")</f>
        <v xml:space="preserve"> (Допустимая темп. наружного воздуха) Обогрев: S[]</v>
      </c>
      <c r="AD461" s="6" t="s">
        <v>5172</v>
      </c>
    </row>
    <row r="462" spans="1:30" x14ac:dyDescent="0.25">
      <c r="A462" t="str">
        <f>CONCATENATE(A$2,": ",A$3,list1!A462,"]")</f>
        <v>Производитель: E[TOSOT]</v>
      </c>
      <c r="B462" t="str">
        <f>CONCATENATE(B$2,": ",B$3,list1!B462,"]")</f>
        <v xml:space="preserve"> Тип: S[Кассетные]</v>
      </c>
      <c r="C462" t="str">
        <f>CONCATENATE(C$2,": ",C$3,list1!C462,"]")</f>
        <v xml:space="preserve"> (Сплит система) Холодопроизводительность: N[4.5]</v>
      </c>
      <c r="D462" t="str">
        <f>CONCATENATE(D$2,": ",D$3,list1!D462,"]")</f>
        <v xml:space="preserve"> (Сплит система) Площадь помещения: N[45]</v>
      </c>
      <c r="E462" t="str">
        <f>CONCATENATE(E$2,": ",E$3,list1!E462,"]")</f>
        <v xml:space="preserve"> (Сплит система) Инвентор: S[да]</v>
      </c>
      <c r="F462" t="str">
        <f>CONCATENATE(F$2,": ",F$3,list1!F462,"]")</f>
        <v xml:space="preserve"> (Сплит система) Теплопроизводительность: N[5]</v>
      </c>
      <c r="G462" t="str">
        <f>CONCATENATE(G$2,": ",G$3,list1!G462,"]")</f>
        <v xml:space="preserve"> (Потребляемая мощность) Охлаждение: N[]</v>
      </c>
      <c r="H462" t="str">
        <f>CONCATENATE(H$2,": ",H$3,list1!H462,"]")</f>
        <v xml:space="preserve"> (Потребляемая мощность) Обогрев: S[]</v>
      </c>
      <c r="I462" t="str">
        <f>CONCATENATE(I$2,": ",I$3,list1!I462,"]")</f>
        <v xml:space="preserve"> (Рабочий ток) Охлаждение: S[]</v>
      </c>
      <c r="J462" t="str">
        <f>CONCATENATE(J$2,": ",J$3,list1!J462,"]")</f>
        <v xml:space="preserve"> (Рабочий ток) Обогрев: S[]</v>
      </c>
      <c r="K462" t="str">
        <f>CONCATENATE(K$2,": ",K$3,list1!K462,"]")</f>
        <v xml:space="preserve"> (Рабочий ток) Напряжение / Частота источника питания: S[]</v>
      </c>
      <c r="L462" t="str">
        <f>CONCATENATE(L$2,": ",L$3,list1!L462,"]")</f>
        <v xml:space="preserve"> (Рабочий ток) Хладагент: S[]</v>
      </c>
      <c r="M462" t="str">
        <f>CONCATENATE(M$2,": ",M$3,list1!M462,"]")</f>
        <v xml:space="preserve"> (Рабочий ток) Количество хладагента: N[]</v>
      </c>
      <c r="N462" t="str">
        <f>CONCATENATE(N$2,": ",N$3,list1!N462,"]")</f>
        <v xml:space="preserve"> (Рабочий ток) Объем рециркулируемого воздуха внутреннего блока: S[]</v>
      </c>
      <c r="O462" t="str">
        <f>CONCATENATE(O$2,": ",O$3,list1!O462,"]")</f>
        <v xml:space="preserve"> (Внутренний блок) Размеры (Ш x Г x В): S[]</v>
      </c>
      <c r="P462" t="str">
        <f>CONCATENATE(P$2,": ",P$3,list1!P462,"]")</f>
        <v xml:space="preserve"> (Внутренний блок) Упаковка (Ш x Г x В): S[]</v>
      </c>
      <c r="Q462" t="str">
        <f>CONCATENATE(Q$2,": ",Q$3,list1!Q462,"]")</f>
        <v xml:space="preserve"> (Внутренний блок) Масса (нетто / брутто): S[]</v>
      </c>
      <c r="R462" t="str">
        <f>CONCATENATE(R$2,": ",R$3,list1!R462,"]")</f>
        <v xml:space="preserve"> (Внутренний блок) Уровень шума мин. / макс.: S[]</v>
      </c>
      <c r="S462" t="str">
        <f>CONCATENATE(S$2,": ",S$3,list1!S462,"]")</f>
        <v xml:space="preserve"> (Наружный блок) Марка компрессора: S[]</v>
      </c>
      <c r="T462" t="str">
        <f>CONCATENATE(T$2,": ",T$3,list1!T462,"]")</f>
        <v xml:space="preserve"> (Наружный блок) Размеры (Ш x Г x В): S[]</v>
      </c>
      <c r="U462" t="str">
        <f>CONCATENATE(U$2,": ",U$3,list1!U462,"]")</f>
        <v xml:space="preserve"> (Наружный блок) Упаковка (Ш x Г x В): S[]</v>
      </c>
      <c r="V462" t="str">
        <f>CONCATENATE(V$2,": ",V$3,list1!V462,"]")</f>
        <v xml:space="preserve"> (Наружный блок) Масса (нетто / брутто): S[]</v>
      </c>
      <c r="W462" t="str">
        <f>CONCATENATE(W$2,": ",W$3,list1!W462,"]")</f>
        <v xml:space="preserve"> (Наружный блок) Максимальный уровень шума: N[]</v>
      </c>
      <c r="X462" t="str">
        <f>CONCATENATE(X$2,": ",X$3,list1!X462,"]")</f>
        <v xml:space="preserve"> (Соединительные трубы) Жидкостная линия : N[6.35]</v>
      </c>
      <c r="Y462" t="str">
        <f>CONCATENATE(Y$2,": ",Y$3,list1!Y462,"]")</f>
        <v xml:space="preserve"> (Соединительные трубы) Газовая линия : N[12.7]</v>
      </c>
      <c r="Z462" t="str">
        <f>CONCATENATE(Z$2,": ",Z$3,list1!Z462,"]")</f>
        <v xml:space="preserve"> (Соединительные трубы) Максимальная длина трубопровода: N[]</v>
      </c>
      <c r="AA462" t="str">
        <f>CONCATENATE(AA$2,": ",AA$3,list1!AA462,"]")</f>
        <v xml:space="preserve"> (Соединительные трубы) Максимальный перепад высот: S[]</v>
      </c>
      <c r="AB462" t="str">
        <f>CONCATENATE(AB$2,": ",AB$3,list1!AB462,"]")</f>
        <v xml:space="preserve"> (Допустимая темп. наружного воздуха) Охлаждение: S[]</v>
      </c>
      <c r="AC462" t="str">
        <f>CONCATENATE(AC$2,": ",AC$3,list1!AC462,"]")</f>
        <v xml:space="preserve"> (Допустимая темп. наружного воздуха) Обогрев: S[]</v>
      </c>
      <c r="AD462" s="6" t="s">
        <v>5172</v>
      </c>
    </row>
    <row r="463" spans="1:30" x14ac:dyDescent="0.25">
      <c r="A463" t="str">
        <f>CONCATENATE(A$2,": ",A$3,list1!A463,"]")</f>
        <v>Производитель: E[TOSOT]</v>
      </c>
      <c r="B463" t="str">
        <f>CONCATENATE(B$2,": ",B$3,list1!B463,"]")</f>
        <v xml:space="preserve"> Тип: S[Кассетные]</v>
      </c>
      <c r="C463" t="str">
        <f>CONCATENATE(C$2,": ",C$3,list1!C463,"]")</f>
        <v xml:space="preserve"> (Сплит система) Холодопроизводительность: N[]</v>
      </c>
      <c r="D463" t="str">
        <f>CONCATENATE(D$2,": ",D$3,list1!D463,"]")</f>
        <v xml:space="preserve"> (Сплит система) Площадь помещения: N[]</v>
      </c>
      <c r="E463" t="str">
        <f>CONCATENATE(E$2,": ",E$3,list1!E463,"]")</f>
        <v xml:space="preserve"> (Сплит система) Инвентор: S[да]</v>
      </c>
      <c r="F463" t="str">
        <f>CONCATENATE(F$2,": ",F$3,list1!F463,"]")</f>
        <v xml:space="preserve"> (Сплит система) Теплопроизводительность: N[]</v>
      </c>
      <c r="G463" t="str">
        <f>CONCATENATE(G$2,": ",G$3,list1!G463,"]")</f>
        <v xml:space="preserve"> (Потребляемая мощность) Охлаждение: N[]</v>
      </c>
      <c r="H463" t="str">
        <f>CONCATENATE(H$2,": ",H$3,list1!H463,"]")</f>
        <v xml:space="preserve"> (Потребляемая мощность) Обогрев: S[]</v>
      </c>
      <c r="I463" t="str">
        <f>CONCATENATE(I$2,": ",I$3,list1!I463,"]")</f>
        <v xml:space="preserve"> (Рабочий ток) Охлаждение: S[]</v>
      </c>
      <c r="J463" t="str">
        <f>CONCATENATE(J$2,": ",J$3,list1!J463,"]")</f>
        <v xml:space="preserve"> (Рабочий ток) Обогрев: S[]</v>
      </c>
      <c r="K463" t="str">
        <f>CONCATENATE(K$2,": ",K$3,list1!K463,"]")</f>
        <v xml:space="preserve"> (Рабочий ток) Напряжение / Частота источника питания: S[]</v>
      </c>
      <c r="L463" t="str">
        <f>CONCATENATE(L$2,": ",L$3,list1!L463,"]")</f>
        <v xml:space="preserve"> (Рабочий ток) Хладагент: S[]</v>
      </c>
      <c r="M463" t="str">
        <f>CONCATENATE(M$2,": ",M$3,list1!M463,"]")</f>
        <v xml:space="preserve"> (Рабочий ток) Количество хладагента: N[]</v>
      </c>
      <c r="N463" t="str">
        <f>CONCATENATE(N$2,": ",N$3,list1!N463,"]")</f>
        <v xml:space="preserve"> (Рабочий ток) Объем рециркулируемого воздуха внутреннего блока: S[]</v>
      </c>
      <c r="O463" t="str">
        <f>CONCATENATE(O$2,": ",O$3,list1!O463,"]")</f>
        <v xml:space="preserve"> (Внутренний блок) Размеры (Ш x Г x В): S[]</v>
      </c>
      <c r="P463" t="str">
        <f>CONCATENATE(P$2,": ",P$3,list1!P463,"]")</f>
        <v xml:space="preserve"> (Внутренний блок) Упаковка (Ш x Г x В): S[]</v>
      </c>
      <c r="Q463" t="str">
        <f>CONCATENATE(Q$2,": ",Q$3,list1!Q463,"]")</f>
        <v xml:space="preserve"> (Внутренний блок) Масса (нетто / брутто): S[]</v>
      </c>
      <c r="R463" t="str">
        <f>CONCATENATE(R$2,": ",R$3,list1!R463,"]")</f>
        <v xml:space="preserve"> (Внутренний блок) Уровень шума мин. / макс.: S[]</v>
      </c>
      <c r="S463" t="str">
        <f>CONCATENATE(S$2,": ",S$3,list1!S463,"]")</f>
        <v xml:space="preserve"> (Наружный блок) Марка компрессора: S[]</v>
      </c>
      <c r="T463" t="str">
        <f>CONCATENATE(T$2,": ",T$3,list1!T463,"]")</f>
        <v xml:space="preserve"> (Наружный блок) Размеры (Ш x Г x В): S[]</v>
      </c>
      <c r="U463" t="str">
        <f>CONCATENATE(U$2,": ",U$3,list1!U463,"]")</f>
        <v xml:space="preserve"> (Наружный блок) Упаковка (Ш x Г x В): S[]</v>
      </c>
      <c r="V463" t="str">
        <f>CONCATENATE(V$2,": ",V$3,list1!V463,"]")</f>
        <v xml:space="preserve"> (Наружный блок) Масса (нетто / брутто): S[]</v>
      </c>
      <c r="W463" t="str">
        <f>CONCATENATE(W$2,": ",W$3,list1!W463,"]")</f>
        <v xml:space="preserve"> (Наружный блок) Максимальный уровень шума: N[]</v>
      </c>
      <c r="X463" t="str">
        <f>CONCATENATE(X$2,": ",X$3,list1!X463,"]")</f>
        <v xml:space="preserve"> (Соединительные трубы) Жидкостная линия : N[]</v>
      </c>
      <c r="Y463" t="str">
        <f>CONCATENATE(Y$2,": ",Y$3,list1!Y463,"]")</f>
        <v xml:space="preserve"> (Соединительные трубы) Газовая линия : N[]</v>
      </c>
      <c r="Z463" t="str">
        <f>CONCATENATE(Z$2,": ",Z$3,list1!Z463,"]")</f>
        <v xml:space="preserve"> (Соединительные трубы) Максимальная длина трубопровода: N[]</v>
      </c>
      <c r="AA463" t="str">
        <f>CONCATENATE(AA$2,": ",AA$3,list1!AA463,"]")</f>
        <v xml:space="preserve"> (Соединительные трубы) Максимальный перепад высот: S[]</v>
      </c>
      <c r="AB463" t="str">
        <f>CONCATENATE(AB$2,": ",AB$3,list1!AB463,"]")</f>
        <v xml:space="preserve"> (Допустимая темп. наружного воздуха) Охлаждение: S[]</v>
      </c>
      <c r="AC463" t="str">
        <f>CONCATENATE(AC$2,": ",AC$3,list1!AC463,"]")</f>
        <v xml:space="preserve"> (Допустимая темп. наружного воздуха) Обогрев: S[]</v>
      </c>
      <c r="AD463" s="6" t="s">
        <v>5172</v>
      </c>
    </row>
    <row r="464" spans="1:30" x14ac:dyDescent="0.25">
      <c r="A464" t="str">
        <f>CONCATENATE(A$2,": ",A$3,list1!A464,"]")</f>
        <v>Производитель: E[TOSOT]</v>
      </c>
      <c r="B464" t="str">
        <f>CONCATENATE(B$2,": ",B$3,list1!B464,"]")</f>
        <v xml:space="preserve"> Тип: S[Кассетные]</v>
      </c>
      <c r="C464" t="str">
        <f>CONCATENATE(C$2,": ",C$3,list1!C464,"]")</f>
        <v xml:space="preserve"> (Сплит система) Холодопроизводительность: N[]</v>
      </c>
      <c r="D464" t="str">
        <f>CONCATENATE(D$2,": ",D$3,list1!D464,"]")</f>
        <v xml:space="preserve"> (Сплит система) Площадь помещения: N[]</v>
      </c>
      <c r="E464" t="str">
        <f>CONCATENATE(E$2,": ",E$3,list1!E464,"]")</f>
        <v xml:space="preserve"> (Сплит система) Инвентор: S[да]</v>
      </c>
      <c r="F464" t="str">
        <f>CONCATENATE(F$2,": ",F$3,list1!F464,"]")</f>
        <v xml:space="preserve"> (Сплит система) Теплопроизводительность: N[]</v>
      </c>
      <c r="G464" t="str">
        <f>CONCATENATE(G$2,": ",G$3,list1!G464,"]")</f>
        <v xml:space="preserve"> (Потребляемая мощность) Охлаждение: N[]</v>
      </c>
      <c r="H464" t="str">
        <f>CONCATENATE(H$2,": ",H$3,list1!H464,"]")</f>
        <v xml:space="preserve"> (Потребляемая мощность) Обогрев: S[]</v>
      </c>
      <c r="I464" t="str">
        <f>CONCATENATE(I$2,": ",I$3,list1!I464,"]")</f>
        <v xml:space="preserve"> (Рабочий ток) Охлаждение: S[]</v>
      </c>
      <c r="J464" t="str">
        <f>CONCATENATE(J$2,": ",J$3,list1!J464,"]")</f>
        <v xml:space="preserve"> (Рабочий ток) Обогрев: S[]</v>
      </c>
      <c r="K464" t="str">
        <f>CONCATENATE(K$2,": ",K$3,list1!K464,"]")</f>
        <v xml:space="preserve"> (Рабочий ток) Напряжение / Частота источника питания: S[]</v>
      </c>
      <c r="L464" t="str">
        <f>CONCATENATE(L$2,": ",L$3,list1!L464,"]")</f>
        <v xml:space="preserve"> (Рабочий ток) Хладагент: S[]</v>
      </c>
      <c r="M464" t="str">
        <f>CONCATENATE(M$2,": ",M$3,list1!M464,"]")</f>
        <v xml:space="preserve"> (Рабочий ток) Количество хладагента: N[]</v>
      </c>
      <c r="N464" t="str">
        <f>CONCATENATE(N$2,": ",N$3,list1!N464,"]")</f>
        <v xml:space="preserve"> (Рабочий ток) Объем рециркулируемого воздуха внутреннего блока: S[]</v>
      </c>
      <c r="O464" t="str">
        <f>CONCATENATE(O$2,": ",O$3,list1!O464,"]")</f>
        <v xml:space="preserve"> (Внутренний блок) Размеры (Ш x Г x В): S[]</v>
      </c>
      <c r="P464" t="str">
        <f>CONCATENATE(P$2,": ",P$3,list1!P464,"]")</f>
        <v xml:space="preserve"> (Внутренний блок) Упаковка (Ш x Г x В): S[]</v>
      </c>
      <c r="Q464" t="str">
        <f>CONCATENATE(Q$2,": ",Q$3,list1!Q464,"]")</f>
        <v xml:space="preserve"> (Внутренний блок) Масса (нетто / брутто): S[]</v>
      </c>
      <c r="R464" t="str">
        <f>CONCATENATE(R$2,": ",R$3,list1!R464,"]")</f>
        <v xml:space="preserve"> (Внутренний блок) Уровень шума мин. / макс.: S[]</v>
      </c>
      <c r="S464" t="str">
        <f>CONCATENATE(S$2,": ",S$3,list1!S464,"]")</f>
        <v xml:space="preserve"> (Наружный блок) Марка компрессора: S[]</v>
      </c>
      <c r="T464" t="str">
        <f>CONCATENATE(T$2,": ",T$3,list1!T464,"]")</f>
        <v xml:space="preserve"> (Наружный блок) Размеры (Ш x Г x В): S[]</v>
      </c>
      <c r="U464" t="str">
        <f>CONCATENATE(U$2,": ",U$3,list1!U464,"]")</f>
        <v xml:space="preserve"> (Наружный блок) Упаковка (Ш x Г x В): S[]</v>
      </c>
      <c r="V464" t="str">
        <f>CONCATENATE(V$2,": ",V$3,list1!V464,"]")</f>
        <v xml:space="preserve"> (Наружный блок) Масса (нетто / брутто): S[]</v>
      </c>
      <c r="W464" t="str">
        <f>CONCATENATE(W$2,": ",W$3,list1!W464,"]")</f>
        <v xml:space="preserve"> (Наружный блок) Максимальный уровень шума: N[]</v>
      </c>
      <c r="X464" t="str">
        <f>CONCATENATE(X$2,": ",X$3,list1!X464,"]")</f>
        <v xml:space="preserve"> (Соединительные трубы) Жидкостная линия : N[]</v>
      </c>
      <c r="Y464" t="str">
        <f>CONCATENATE(Y$2,": ",Y$3,list1!Y464,"]")</f>
        <v xml:space="preserve"> (Соединительные трубы) Газовая линия : N[]</v>
      </c>
      <c r="Z464" t="str">
        <f>CONCATENATE(Z$2,": ",Z$3,list1!Z464,"]")</f>
        <v xml:space="preserve"> (Соединительные трубы) Максимальная длина трубопровода: N[]</v>
      </c>
      <c r="AA464" t="str">
        <f>CONCATENATE(AA$2,": ",AA$3,list1!AA464,"]")</f>
        <v xml:space="preserve"> (Соединительные трубы) Максимальный перепад высот: S[]</v>
      </c>
      <c r="AB464" t="str">
        <f>CONCATENATE(AB$2,": ",AB$3,list1!AB464,"]")</f>
        <v xml:space="preserve"> (Допустимая темп. наружного воздуха) Охлаждение: S[]</v>
      </c>
      <c r="AC464" t="str">
        <f>CONCATENATE(AC$2,": ",AC$3,list1!AC464,"]")</f>
        <v xml:space="preserve"> (Допустимая темп. наружного воздуха) Обогрев: S[]</v>
      </c>
      <c r="AD464" s="6" t="s">
        <v>5172</v>
      </c>
    </row>
    <row r="465" spans="1:30" x14ac:dyDescent="0.25">
      <c r="A465" t="str">
        <f>CONCATENATE(A$2,": ",A$3,list1!A465,"]")</f>
        <v>Производитель: E[TOSOT]</v>
      </c>
      <c r="B465" t="str">
        <f>CONCATENATE(B$2,": ",B$3,list1!B465,"]")</f>
        <v xml:space="preserve"> Тип: S[Кассетные]</v>
      </c>
      <c r="C465" t="str">
        <f>CONCATENATE(C$2,": ",C$3,list1!C465,"]")</f>
        <v xml:space="preserve"> (Сплит система) Холодопроизводительность: N[7.1]</v>
      </c>
      <c r="D465" t="str">
        <f>CONCATENATE(D$2,": ",D$3,list1!D465,"]")</f>
        <v xml:space="preserve"> (Сплит система) Площадь помещения: N[71]</v>
      </c>
      <c r="E465" t="str">
        <f>CONCATENATE(E$2,": ",E$3,list1!E465,"]")</f>
        <v xml:space="preserve"> (Сплит система) Инвентор: S[да]</v>
      </c>
      <c r="F465" t="str">
        <f>CONCATENATE(F$2,": ",F$3,list1!F465,"]")</f>
        <v xml:space="preserve"> (Сплит система) Теплопроизводительность: N[8]</v>
      </c>
      <c r="G465" t="str">
        <f>CONCATENATE(G$2,": ",G$3,list1!G465,"]")</f>
        <v xml:space="preserve"> (Потребляемая мощность) Охлаждение: N[]</v>
      </c>
      <c r="H465" t="str">
        <f>CONCATENATE(H$2,": ",H$3,list1!H465,"]")</f>
        <v xml:space="preserve"> (Потребляемая мощность) Обогрев: S[]</v>
      </c>
      <c r="I465" t="str">
        <f>CONCATENATE(I$2,": ",I$3,list1!I465,"]")</f>
        <v xml:space="preserve"> (Рабочий ток) Охлаждение: S[]</v>
      </c>
      <c r="J465" t="str">
        <f>CONCATENATE(J$2,": ",J$3,list1!J465,"]")</f>
        <v xml:space="preserve"> (Рабочий ток) Обогрев: S[]</v>
      </c>
      <c r="K465" t="str">
        <f>CONCATENATE(K$2,": ",K$3,list1!K465,"]")</f>
        <v xml:space="preserve"> (Рабочий ток) Напряжение / Частота источника питания: S[]</v>
      </c>
      <c r="L465" t="str">
        <f>CONCATENATE(L$2,": ",L$3,list1!L465,"]")</f>
        <v xml:space="preserve"> (Рабочий ток) Хладагент: S[]</v>
      </c>
      <c r="M465" t="str">
        <f>CONCATENATE(M$2,": ",M$3,list1!M465,"]")</f>
        <v xml:space="preserve"> (Рабочий ток) Количество хладагента: N[]</v>
      </c>
      <c r="N465" t="str">
        <f>CONCATENATE(N$2,": ",N$3,list1!N465,"]")</f>
        <v xml:space="preserve"> (Рабочий ток) Объем рециркулируемого воздуха внутреннего блока: S[]</v>
      </c>
      <c r="O465" t="str">
        <f>CONCATENATE(O$2,": ",O$3,list1!O465,"]")</f>
        <v xml:space="preserve"> (Внутренний блок) Размеры (Ш x Г x В): S[]</v>
      </c>
      <c r="P465" t="str">
        <f>CONCATENATE(P$2,": ",P$3,list1!P465,"]")</f>
        <v xml:space="preserve"> (Внутренний блок) Упаковка (Ш x Г x В): S[]</v>
      </c>
      <c r="Q465" t="str">
        <f>CONCATENATE(Q$2,": ",Q$3,list1!Q465,"]")</f>
        <v xml:space="preserve"> (Внутренний блок) Масса (нетто / брутто): S[]</v>
      </c>
      <c r="R465" t="str">
        <f>CONCATENATE(R$2,": ",R$3,list1!R465,"]")</f>
        <v xml:space="preserve"> (Внутренний блок) Уровень шума мин. / макс.: S[]</v>
      </c>
      <c r="S465" t="str">
        <f>CONCATENATE(S$2,": ",S$3,list1!S465,"]")</f>
        <v xml:space="preserve"> (Наружный блок) Марка компрессора: S[]</v>
      </c>
      <c r="T465" t="str">
        <f>CONCATENATE(T$2,": ",T$3,list1!T465,"]")</f>
        <v xml:space="preserve"> (Наружный блок) Размеры (Ш x Г x В): S[]</v>
      </c>
      <c r="U465" t="str">
        <f>CONCATENATE(U$2,": ",U$3,list1!U465,"]")</f>
        <v xml:space="preserve"> (Наружный блок) Упаковка (Ш x Г x В): S[]</v>
      </c>
      <c r="V465" t="str">
        <f>CONCATENATE(V$2,": ",V$3,list1!V465,"]")</f>
        <v xml:space="preserve"> (Наружный блок) Масса (нетто / брутто): S[]</v>
      </c>
      <c r="W465" t="str">
        <f>CONCATENATE(W$2,": ",W$3,list1!W465,"]")</f>
        <v xml:space="preserve"> (Наружный блок) Максимальный уровень шума: N[]</v>
      </c>
      <c r="X465" t="str">
        <f>CONCATENATE(X$2,": ",X$3,list1!X465,"]")</f>
        <v xml:space="preserve"> (Соединительные трубы) Жидкостная линия : N[9.5]</v>
      </c>
      <c r="Y465" t="str">
        <f>CONCATENATE(Y$2,": ",Y$3,list1!Y465,"]")</f>
        <v xml:space="preserve"> (Соединительные трубы) Газовая линия : N[15.8]</v>
      </c>
      <c r="Z465" t="str">
        <f>CONCATENATE(Z$2,": ",Z$3,list1!Z465,"]")</f>
        <v xml:space="preserve"> (Соединительные трубы) Максимальная длина трубопровода: N[]</v>
      </c>
      <c r="AA465" t="str">
        <f>CONCATENATE(AA$2,": ",AA$3,list1!AA465,"]")</f>
        <v xml:space="preserve"> (Соединительные трубы) Максимальный перепад высот: S[]</v>
      </c>
      <c r="AB465" t="str">
        <f>CONCATENATE(AB$2,": ",AB$3,list1!AB465,"]")</f>
        <v xml:space="preserve"> (Допустимая темп. наружного воздуха) Охлаждение: S[]</v>
      </c>
      <c r="AC465" t="str">
        <f>CONCATENATE(AC$2,": ",AC$3,list1!AC465,"]")</f>
        <v xml:space="preserve"> (Допустимая темп. наружного воздуха) Обогрев: S[]</v>
      </c>
      <c r="AD465" s="6" t="s">
        <v>5172</v>
      </c>
    </row>
    <row r="466" spans="1:30" x14ac:dyDescent="0.25">
      <c r="A466" t="str">
        <f>CONCATENATE(A$2,": ",A$3,list1!A466,"]")</f>
        <v>Производитель: E[TOSOT]</v>
      </c>
      <c r="B466" t="str">
        <f>CONCATENATE(B$2,": ",B$3,list1!B466,"]")</f>
        <v xml:space="preserve"> Тип: S[Напольно-потолочные]</v>
      </c>
      <c r="C466" t="str">
        <f>CONCATENATE(C$2,": ",C$3,list1!C466,"]")</f>
        <v xml:space="preserve"> (Сплит система) Холодопроизводительность: N[2.5]</v>
      </c>
      <c r="D466" t="str">
        <f>CONCATENATE(D$2,": ",D$3,list1!D466,"]")</f>
        <v xml:space="preserve"> (Сплит система) Площадь помещения: N[25]</v>
      </c>
      <c r="E466" t="str">
        <f>CONCATENATE(E$2,": ",E$3,list1!E466,"]")</f>
        <v xml:space="preserve"> (Сплит система) Инвентор: S[да]</v>
      </c>
      <c r="F466" t="str">
        <f>CONCATENATE(F$2,": ",F$3,list1!F466,"]")</f>
        <v xml:space="preserve"> (Сплит система) Теплопроизводительность: N[2.8]</v>
      </c>
      <c r="G466" t="str">
        <f>CONCATENATE(G$2,": ",G$3,list1!G466,"]")</f>
        <v xml:space="preserve"> (Потребляемая мощность) Охлаждение: N[0.055]</v>
      </c>
      <c r="H466" t="str">
        <f>CONCATENATE(H$2,": ",H$3,list1!H466,"]")</f>
        <v xml:space="preserve"> (Потребляемая мощность) Обогрев: S[0.055]</v>
      </c>
      <c r="I466" t="str">
        <f>CONCATENATE(I$2,": ",I$3,list1!I466,"]")</f>
        <v xml:space="preserve"> (Рабочий ток) Охлаждение: S[]</v>
      </c>
      <c r="J466" t="str">
        <f>CONCATENATE(J$2,": ",J$3,list1!J466,"]")</f>
        <v xml:space="preserve"> (Рабочий ток) Обогрев: S[]</v>
      </c>
      <c r="K466" t="str">
        <f>CONCATENATE(K$2,": ",K$3,list1!K466,"]")</f>
        <v xml:space="preserve"> (Рабочий ток) Напряжение / Частота источника питания: S[1 / 220 / 50]</v>
      </c>
      <c r="L466" t="str">
        <f>CONCATENATE(L$2,": ",L$3,list1!L466,"]")</f>
        <v xml:space="preserve"> (Рабочий ток) Хладагент: S[R410A]</v>
      </c>
      <c r="M466" t="str">
        <f>CONCATENATE(M$2,": ",M$3,list1!M466,"]")</f>
        <v xml:space="preserve"> (Рабочий ток) Количество хладагента: N[]</v>
      </c>
      <c r="N466" t="str">
        <f>CONCATENATE(N$2,": ",N$3,list1!N466,"]")</f>
        <v xml:space="preserve"> (Рабочий ток) Объем рециркулируемого воздуха внутреннего блока: S[]</v>
      </c>
      <c r="O466" t="str">
        <f>CONCATENATE(O$2,": ",O$3,list1!O466,"]")</f>
        <v xml:space="preserve"> (Внутренний блок) Размеры (Ш x Г x В): S[1220 х 225 х 700]</v>
      </c>
      <c r="P466" t="str">
        <f>CONCATENATE(P$2,": ",P$3,list1!P466,"]")</f>
        <v xml:space="preserve"> (Внутренний блок) Упаковка (Ш x Г x В): S[1343 х 315 х 823]</v>
      </c>
      <c r="Q466" t="str">
        <f>CONCATENATE(Q$2,": ",Q$3,list1!Q466,"]")</f>
        <v xml:space="preserve"> (Внутренний блок) Масса (нетто / брутто): S[40 / 50]</v>
      </c>
      <c r="R466" t="str">
        <f>CONCATENATE(R$2,": ",R$3,list1!R466,"]")</f>
        <v xml:space="preserve"> (Внутренний блок) Уровень шума мин. / макс.: S[36/40]</v>
      </c>
      <c r="S466" t="str">
        <f>CONCATENATE(S$2,": ",S$3,list1!S466,"]")</f>
        <v xml:space="preserve"> (Наружный блок) Марка компрессора: S[]</v>
      </c>
      <c r="T466" t="str">
        <f>CONCATENATE(T$2,": ",T$3,list1!T466,"]")</f>
        <v xml:space="preserve"> (Наружный блок) Размеры (Ш x Г x В): S[1220 х 225 х 700]</v>
      </c>
      <c r="U466" t="str">
        <f>CONCATENATE(U$2,": ",U$3,list1!U466,"]")</f>
        <v xml:space="preserve"> (Наружный блок) Упаковка (Ш x Г x В): S[1343 х 315 х 823]</v>
      </c>
      <c r="V466" t="str">
        <f>CONCATENATE(V$2,": ",V$3,list1!V466,"]")</f>
        <v xml:space="preserve"> (Наружный блок) Масса (нетто / брутто): S[40 / 50]</v>
      </c>
      <c r="W466" t="str">
        <f>CONCATENATE(W$2,": ",W$3,list1!W466,"]")</f>
        <v xml:space="preserve"> (Наружный блок) Максимальный уровень шума: N[]</v>
      </c>
      <c r="X466" t="str">
        <f>CONCATENATE(X$2,": ",X$3,list1!X466,"]")</f>
        <v xml:space="preserve"> (Соединительные трубы) Жидкостная линия : N[6.35]</v>
      </c>
      <c r="Y466" t="str">
        <f>CONCATENATE(Y$2,": ",Y$3,list1!Y466,"]")</f>
        <v xml:space="preserve"> (Соединительные трубы) Газовая линия : N[9.5]</v>
      </c>
      <c r="Z466" t="str">
        <f>CONCATENATE(Z$2,": ",Z$3,list1!Z466,"]")</f>
        <v xml:space="preserve"> (Соединительные трубы) Максимальная длина трубопровода: N[]</v>
      </c>
      <c r="AA466" t="str">
        <f>CONCATENATE(AA$2,": ",AA$3,list1!AA466,"]")</f>
        <v xml:space="preserve"> (Соединительные трубы) Максимальный перепад высот: S[]</v>
      </c>
      <c r="AB466" t="str">
        <f>CONCATENATE(AB$2,": ",AB$3,list1!AB466,"]")</f>
        <v xml:space="preserve"> (Допустимая темп. наружного воздуха) Охлаждение: S[]</v>
      </c>
      <c r="AC466" t="str">
        <f>CONCATENATE(AC$2,": ",AC$3,list1!AC466,"]")</f>
        <v xml:space="preserve"> (Допустимая темп. наружного воздуха) Обогрев: S[]</v>
      </c>
      <c r="AD466" s="6" t="s">
        <v>5172</v>
      </c>
    </row>
    <row r="467" spans="1:30" x14ac:dyDescent="0.25">
      <c r="A467" t="str">
        <f>CONCATENATE(A$2,": ",A$3,list1!A467,"]")</f>
        <v>Производитель: E[TOSOT]</v>
      </c>
      <c r="B467" t="str">
        <f>CONCATENATE(B$2,": ",B$3,list1!B467,"]")</f>
        <v xml:space="preserve"> Тип: S[Напольно-потолочные]</v>
      </c>
      <c r="C467" t="str">
        <f>CONCATENATE(C$2,": ",C$3,list1!C467,"]")</f>
        <v xml:space="preserve"> (Сплит система) Холодопроизводительность: N[3.5]</v>
      </c>
      <c r="D467" t="str">
        <f>CONCATENATE(D$2,": ",D$3,list1!D467,"]")</f>
        <v xml:space="preserve"> (Сплит система) Площадь помещения: N[35]</v>
      </c>
      <c r="E467" t="str">
        <f>CONCATENATE(E$2,": ",E$3,list1!E467,"]")</f>
        <v xml:space="preserve"> (Сплит система) Инвентор: S[да]</v>
      </c>
      <c r="F467" t="str">
        <f>CONCATENATE(F$2,": ",F$3,list1!F467,"]")</f>
        <v xml:space="preserve"> (Сплит система) Теплопроизводительность: N[3.85]</v>
      </c>
      <c r="G467" t="str">
        <f>CONCATENATE(G$2,": ",G$3,list1!G467,"]")</f>
        <v xml:space="preserve"> (Потребляемая мощность) Охлаждение: N[0.055]</v>
      </c>
      <c r="H467" t="str">
        <f>CONCATENATE(H$2,": ",H$3,list1!H467,"]")</f>
        <v xml:space="preserve"> (Потребляемая мощность) Обогрев: S[0.055]</v>
      </c>
      <c r="I467" t="str">
        <f>CONCATENATE(I$2,": ",I$3,list1!I467,"]")</f>
        <v xml:space="preserve"> (Рабочий ток) Охлаждение: S[]</v>
      </c>
      <c r="J467" t="str">
        <f>CONCATENATE(J$2,": ",J$3,list1!J467,"]")</f>
        <v xml:space="preserve"> (Рабочий ток) Обогрев: S[]</v>
      </c>
      <c r="K467" t="str">
        <f>CONCATENATE(K$2,": ",K$3,list1!K467,"]")</f>
        <v xml:space="preserve"> (Рабочий ток) Напряжение / Частота источника питания: S[1 / 220 / 50]</v>
      </c>
      <c r="L467" t="str">
        <f>CONCATENATE(L$2,": ",L$3,list1!L467,"]")</f>
        <v xml:space="preserve"> (Рабочий ток) Хладагент: S[R410A]</v>
      </c>
      <c r="M467" t="str">
        <f>CONCATENATE(M$2,": ",M$3,list1!M467,"]")</f>
        <v xml:space="preserve"> (Рабочий ток) Количество хладагента: N[]</v>
      </c>
      <c r="N467" t="str">
        <f>CONCATENATE(N$2,": ",N$3,list1!N467,"]")</f>
        <v xml:space="preserve"> (Рабочий ток) Объем рециркулируемого воздуха внутреннего блока: S[]</v>
      </c>
      <c r="O467" t="str">
        <f>CONCATENATE(O$2,": ",O$3,list1!O467,"]")</f>
        <v xml:space="preserve"> (Внутренний блок) Размеры (Ш x Г x В): S[1220 х 225 х 700]</v>
      </c>
      <c r="P467" t="str">
        <f>CONCATENATE(P$2,": ",P$3,list1!P467,"]")</f>
        <v xml:space="preserve"> (Внутренний блок) Упаковка (Ш x Г x В): S[1343 х 315 х 823]</v>
      </c>
      <c r="Q467" t="str">
        <f>CONCATENATE(Q$2,": ",Q$3,list1!Q467,"]")</f>
        <v xml:space="preserve"> (Внутренний блок) Масса (нетто / брутто): S[40 / 50]</v>
      </c>
      <c r="R467" t="str">
        <f>CONCATENATE(R$2,": ",R$3,list1!R467,"]")</f>
        <v xml:space="preserve"> (Внутренний блок) Уровень шума мин. / макс.: S[36/40]</v>
      </c>
      <c r="S467" t="str">
        <f>CONCATENATE(S$2,": ",S$3,list1!S467,"]")</f>
        <v xml:space="preserve"> (Наружный блок) Марка компрессора: S[]</v>
      </c>
      <c r="T467" t="str">
        <f>CONCATENATE(T$2,": ",T$3,list1!T467,"]")</f>
        <v xml:space="preserve"> (Наружный блок) Размеры (Ш x Г x В): S[1220 х 225 х 700]</v>
      </c>
      <c r="U467" t="str">
        <f>CONCATENATE(U$2,": ",U$3,list1!U467,"]")</f>
        <v xml:space="preserve"> (Наружный блок) Упаковка (Ш x Г x В): S[1343 х 315 х 823]</v>
      </c>
      <c r="V467" t="str">
        <f>CONCATENATE(V$2,": ",V$3,list1!V467,"]")</f>
        <v xml:space="preserve"> (Наружный блок) Масса (нетто / брутто): S[40 / 50]</v>
      </c>
      <c r="W467" t="str">
        <f>CONCATENATE(W$2,": ",W$3,list1!W467,"]")</f>
        <v xml:space="preserve"> (Наружный блок) Максимальный уровень шума: N[]</v>
      </c>
      <c r="X467" t="str">
        <f>CONCATENATE(X$2,": ",X$3,list1!X467,"]")</f>
        <v xml:space="preserve"> (Соединительные трубы) Жидкостная линия : N[6.35]</v>
      </c>
      <c r="Y467" t="str">
        <f>CONCATENATE(Y$2,": ",Y$3,list1!Y467,"]")</f>
        <v xml:space="preserve"> (Соединительные трубы) Газовая линия : N[9.5]</v>
      </c>
      <c r="Z467" t="str">
        <f>CONCATENATE(Z$2,": ",Z$3,list1!Z467,"]")</f>
        <v xml:space="preserve"> (Соединительные трубы) Максимальная длина трубопровода: N[]</v>
      </c>
      <c r="AA467" t="str">
        <f>CONCATENATE(AA$2,": ",AA$3,list1!AA467,"]")</f>
        <v xml:space="preserve"> (Соединительные трубы) Максимальный перепад высот: S[]</v>
      </c>
      <c r="AB467" t="str">
        <f>CONCATENATE(AB$2,": ",AB$3,list1!AB467,"]")</f>
        <v xml:space="preserve"> (Допустимая темп. наружного воздуха) Охлаждение: S[]</v>
      </c>
      <c r="AC467" t="str">
        <f>CONCATENATE(AC$2,": ",AC$3,list1!AC467,"]")</f>
        <v xml:space="preserve"> (Допустимая темп. наружного воздуха) Обогрев: S[]</v>
      </c>
      <c r="AD467" s="6" t="s">
        <v>5172</v>
      </c>
    </row>
    <row r="468" spans="1:30" x14ac:dyDescent="0.25">
      <c r="A468" t="str">
        <f>CONCATENATE(A$2,": ",A$3,list1!A468,"]")</f>
        <v>Производитель: E[TOSOT]</v>
      </c>
      <c r="B468" t="str">
        <f>CONCATENATE(B$2,": ",B$3,list1!B468,"]")</f>
        <v xml:space="preserve"> Тип: S[Напольно-потолочные]</v>
      </c>
      <c r="C468" t="str">
        <f>CONCATENATE(C$2,": ",C$3,list1!C468,"]")</f>
        <v xml:space="preserve"> (Сплит система) Холодопроизводительность: N[5]</v>
      </c>
      <c r="D468" t="str">
        <f>CONCATENATE(D$2,": ",D$3,list1!D468,"]")</f>
        <v xml:space="preserve"> (Сплит система) Площадь помещения: N[50]</v>
      </c>
      <c r="E468" t="str">
        <f>CONCATENATE(E$2,": ",E$3,list1!E468,"]")</f>
        <v xml:space="preserve"> (Сплит система) Инвентор: S[да]</v>
      </c>
      <c r="F468" t="str">
        <f>CONCATENATE(F$2,": ",F$3,list1!F468,"]")</f>
        <v xml:space="preserve"> (Сплит система) Теплопроизводительность: N[5.5]</v>
      </c>
      <c r="G468" t="str">
        <f>CONCATENATE(G$2,": ",G$3,list1!G468,"]")</f>
        <v xml:space="preserve"> (Потребляемая мощность) Охлаждение: N[0.11]</v>
      </c>
      <c r="H468" t="str">
        <f>CONCATENATE(H$2,": ",H$3,list1!H468,"]")</f>
        <v xml:space="preserve"> (Потребляемая мощность) Обогрев: S[0.11]</v>
      </c>
      <c r="I468" t="str">
        <f>CONCATENATE(I$2,": ",I$3,list1!I468,"]")</f>
        <v xml:space="preserve"> (Рабочий ток) Охлаждение: S[]</v>
      </c>
      <c r="J468" t="str">
        <f>CONCATENATE(J$2,": ",J$3,list1!J468,"]")</f>
        <v xml:space="preserve"> (Рабочий ток) Обогрев: S[]</v>
      </c>
      <c r="K468" t="str">
        <f>CONCATENATE(K$2,": ",K$3,list1!K468,"]")</f>
        <v xml:space="preserve"> (Рабочий ток) Напряжение / Частота источника питания: S[1 / 220 / 50]</v>
      </c>
      <c r="L468" t="str">
        <f>CONCATENATE(L$2,": ",L$3,list1!L468,"]")</f>
        <v xml:space="preserve"> (Рабочий ток) Хладагент: S[R410A]</v>
      </c>
      <c r="M468" t="str">
        <f>CONCATENATE(M$2,": ",M$3,list1!M468,"]")</f>
        <v xml:space="preserve"> (Рабочий ток) Количество хладагента: N[]</v>
      </c>
      <c r="N468" t="str">
        <f>CONCATENATE(N$2,": ",N$3,list1!N468,"]")</f>
        <v xml:space="preserve"> (Рабочий ток) Объем рециркулируемого воздуха внутреннего блока: S[]</v>
      </c>
      <c r="O468" t="str">
        <f>CONCATENATE(O$2,": ",O$3,list1!O468,"]")</f>
        <v xml:space="preserve"> (Внутренний блок) Размеры (Ш x Г x В): S[1220 х 225 х 700]</v>
      </c>
      <c r="P468" t="str">
        <f>CONCATENATE(P$2,": ",P$3,list1!P468,"]")</f>
        <v xml:space="preserve"> (Внутренний блок) Упаковка (Ш x Г x В): S[1343 х 315 х 823]</v>
      </c>
      <c r="Q468" t="str">
        <f>CONCATENATE(Q$2,": ",Q$3,list1!Q468,"]")</f>
        <v xml:space="preserve"> (Внутренний блок) Масса (нетто / брутто): S[40 / 50]</v>
      </c>
      <c r="R468" t="str">
        <f>CONCATENATE(R$2,": ",R$3,list1!R468,"]")</f>
        <v xml:space="preserve"> (Внутренний блок) Уровень шума мин. / макс.: S[40/45]</v>
      </c>
      <c r="S468" t="str">
        <f>CONCATENATE(S$2,": ",S$3,list1!S468,"]")</f>
        <v xml:space="preserve"> (Наружный блок) Марка компрессора: S[]</v>
      </c>
      <c r="T468" t="str">
        <f>CONCATENATE(T$2,": ",T$3,list1!T468,"]")</f>
        <v xml:space="preserve"> (Наружный блок) Размеры (Ш x Г x В): S[1220 х 225 х 700]</v>
      </c>
      <c r="U468" t="str">
        <f>CONCATENATE(U$2,": ",U$3,list1!U468,"]")</f>
        <v xml:space="preserve"> (Наружный блок) Упаковка (Ш x Г x В): S[1343 х 315 х 823]</v>
      </c>
      <c r="V468" t="str">
        <f>CONCATENATE(V$2,": ",V$3,list1!V468,"]")</f>
        <v xml:space="preserve"> (Наружный блок) Масса (нетто / брутто): S[40 / 50]</v>
      </c>
      <c r="W468" t="str">
        <f>CONCATENATE(W$2,": ",W$3,list1!W468,"]")</f>
        <v xml:space="preserve"> (Наружный блок) Максимальный уровень шума: N[]</v>
      </c>
      <c r="X468" t="str">
        <f>CONCATENATE(X$2,": ",X$3,list1!X468,"]")</f>
        <v xml:space="preserve"> (Соединительные трубы) Жидкостная линия : N[6.35]</v>
      </c>
      <c r="Y468" t="str">
        <f>CONCATENATE(Y$2,": ",Y$3,list1!Y468,"]")</f>
        <v xml:space="preserve"> (Соединительные трубы) Газовая линия : N[12.7]</v>
      </c>
      <c r="Z468" t="str">
        <f>CONCATENATE(Z$2,": ",Z$3,list1!Z468,"]")</f>
        <v xml:space="preserve"> (Соединительные трубы) Максимальная длина трубопровода: N[]</v>
      </c>
      <c r="AA468" t="str">
        <f>CONCATENATE(AA$2,": ",AA$3,list1!AA468,"]")</f>
        <v xml:space="preserve"> (Соединительные трубы) Максимальный перепад высот: S[]</v>
      </c>
      <c r="AB468" t="str">
        <f>CONCATENATE(AB$2,": ",AB$3,list1!AB468,"]")</f>
        <v xml:space="preserve"> (Допустимая темп. наружного воздуха) Охлаждение: S[]</v>
      </c>
      <c r="AC468" t="str">
        <f>CONCATENATE(AC$2,": ",AC$3,list1!AC468,"]")</f>
        <v xml:space="preserve"> (Допустимая темп. наружного воздуха) Обогрев: S[]</v>
      </c>
      <c r="AD468" s="6" t="s">
        <v>5172</v>
      </c>
    </row>
    <row r="469" spans="1:30" x14ac:dyDescent="0.25">
      <c r="A469" t="str">
        <f>CONCATENATE(A$2,": ",A$3,list1!A469,"]")</f>
        <v>Производитель: E[TOSOT]</v>
      </c>
      <c r="B469" t="str">
        <f>CONCATENATE(B$2,": ",B$3,list1!B469,"]")</f>
        <v xml:space="preserve"> Тип: S[Напольно-потолочные]</v>
      </c>
      <c r="C469" t="str">
        <f>CONCATENATE(C$2,": ",C$3,list1!C469,"]")</f>
        <v xml:space="preserve"> (Сплит система) Холодопроизводительность: N[7.1]</v>
      </c>
      <c r="D469" t="str">
        <f>CONCATENATE(D$2,": ",D$3,list1!D469,"]")</f>
        <v xml:space="preserve"> (Сплит система) Площадь помещения: N[71]</v>
      </c>
      <c r="E469" t="str">
        <f>CONCATENATE(E$2,": ",E$3,list1!E469,"]")</f>
        <v xml:space="preserve"> (Сплит система) Инвентор: S[да]</v>
      </c>
      <c r="F469" t="str">
        <f>CONCATENATE(F$2,": ",F$3,list1!F469,"]")</f>
        <v xml:space="preserve"> (Сплит система) Теплопроизводительность: N[8]</v>
      </c>
      <c r="G469" t="str">
        <f>CONCATENATE(G$2,": ",G$3,list1!G469,"]")</f>
        <v xml:space="preserve"> (Потребляемая мощность) Охлаждение: N[0.11]</v>
      </c>
      <c r="H469" t="str">
        <f>CONCATENATE(H$2,": ",H$3,list1!H469,"]")</f>
        <v xml:space="preserve"> (Потребляемая мощность) Обогрев: S[0.11]</v>
      </c>
      <c r="I469" t="str">
        <f>CONCATENATE(I$2,": ",I$3,list1!I469,"]")</f>
        <v xml:space="preserve"> (Рабочий ток) Охлаждение: S[]</v>
      </c>
      <c r="J469" t="str">
        <f>CONCATENATE(J$2,": ",J$3,list1!J469,"]")</f>
        <v xml:space="preserve"> (Рабочий ток) Обогрев: S[]</v>
      </c>
      <c r="K469" t="str">
        <f>CONCATENATE(K$2,": ",K$3,list1!K469,"]")</f>
        <v xml:space="preserve"> (Рабочий ток) Напряжение / Частота источника питания: S[1 / 220 / 50]</v>
      </c>
      <c r="L469" t="str">
        <f>CONCATENATE(L$2,": ",L$3,list1!L469,"]")</f>
        <v xml:space="preserve"> (Рабочий ток) Хладагент: S[R410A]</v>
      </c>
      <c r="M469" t="str">
        <f>CONCATENATE(M$2,": ",M$3,list1!M469,"]")</f>
        <v xml:space="preserve"> (Рабочий ток) Количество хладагента: N[]</v>
      </c>
      <c r="N469" t="str">
        <f>CONCATENATE(N$2,": ",N$3,list1!N469,"]")</f>
        <v xml:space="preserve"> (Рабочий ток) Объем рециркулируемого воздуха внутреннего блока: S[]</v>
      </c>
      <c r="O469" t="str">
        <f>CONCATENATE(O$2,": ",O$3,list1!O469,"]")</f>
        <v xml:space="preserve"> (Внутренний блок) Размеры (Ш x Г x В): S[1220 х 225 х 700]</v>
      </c>
      <c r="P469" t="str">
        <f>CONCATENATE(P$2,": ",P$3,list1!P469,"]")</f>
        <v xml:space="preserve"> (Внутренний блок) Упаковка (Ш x Г x В): S[1343 х 315 х 823]</v>
      </c>
      <c r="Q469" t="str">
        <f>CONCATENATE(Q$2,": ",Q$3,list1!Q469,"]")</f>
        <v xml:space="preserve"> (Внутренний блок) Масса (нетто / брутто): S[45 / 54]</v>
      </c>
      <c r="R469" t="str">
        <f>CONCATENATE(R$2,": ",R$3,list1!R469,"]")</f>
        <v xml:space="preserve"> (Внутренний блок) Уровень шума мин. / макс.: S[40/48]</v>
      </c>
      <c r="S469" t="str">
        <f>CONCATENATE(S$2,": ",S$3,list1!S469,"]")</f>
        <v xml:space="preserve"> (Наружный блок) Марка компрессора: S[]</v>
      </c>
      <c r="T469" t="str">
        <f>CONCATENATE(T$2,": ",T$3,list1!T469,"]")</f>
        <v xml:space="preserve"> (Наружный блок) Размеры (Ш x Г x В): S[1220 х 225 х 700]</v>
      </c>
      <c r="U469" t="str">
        <f>CONCATENATE(U$2,": ",U$3,list1!U469,"]")</f>
        <v xml:space="preserve"> (Наружный блок) Упаковка (Ш x Г x В): S[1343 х 315 х 823]</v>
      </c>
      <c r="V469" t="str">
        <f>CONCATENATE(V$2,": ",V$3,list1!V469,"]")</f>
        <v xml:space="preserve"> (Наружный блок) Масса (нетто / брутто): S[45 / 54]</v>
      </c>
      <c r="W469" t="str">
        <f>CONCATENATE(W$2,": ",W$3,list1!W469,"]")</f>
        <v xml:space="preserve"> (Наружный блок) Максимальный уровень шума: N[]</v>
      </c>
      <c r="X469" t="str">
        <f>CONCATENATE(X$2,": ",X$3,list1!X469,"]")</f>
        <v xml:space="preserve"> (Соединительные трубы) Жидкостная линия : N[9.5]</v>
      </c>
      <c r="Y469" t="str">
        <f>CONCATENATE(Y$2,": ",Y$3,list1!Y469,"]")</f>
        <v xml:space="preserve"> (Соединительные трубы) Газовая линия : N[15.8]</v>
      </c>
      <c r="Z469" t="str">
        <f>CONCATENATE(Z$2,": ",Z$3,list1!Z469,"]")</f>
        <v xml:space="preserve"> (Соединительные трубы) Максимальная длина трубопровода: N[]</v>
      </c>
      <c r="AA469" t="str">
        <f>CONCATENATE(AA$2,": ",AA$3,list1!AA469,"]")</f>
        <v xml:space="preserve"> (Соединительные трубы) Максимальный перепад высот: S[]</v>
      </c>
      <c r="AB469" t="str">
        <f>CONCATENATE(AB$2,": ",AB$3,list1!AB469,"]")</f>
        <v xml:space="preserve"> (Допустимая темп. наружного воздуха) Охлаждение: S[]</v>
      </c>
      <c r="AC469" t="str">
        <f>CONCATENATE(AC$2,": ",AC$3,list1!AC469,"]")</f>
        <v xml:space="preserve"> (Допустимая темп. наружного воздуха) Обогрев: S[]</v>
      </c>
      <c r="AD469" s="6" t="s">
        <v>5172</v>
      </c>
    </row>
    <row r="470" spans="1:30" x14ac:dyDescent="0.25">
      <c r="A470" t="str">
        <f>CONCATENATE(A$2,": ",A$3,list1!A470,"]")</f>
        <v>Производитель: E[TOSOT]</v>
      </c>
      <c r="B470" t="str">
        <f>CONCATENATE(B$2,": ",B$3,list1!B470,"]")</f>
        <v xml:space="preserve"> Тип: S[Мульти сплит система]</v>
      </c>
      <c r="C470" t="str">
        <f>CONCATENATE(C$2,": ",C$3,list1!C470,"]")</f>
        <v xml:space="preserve"> (Сплит система) Холодопроизводительность: N[2.2]</v>
      </c>
      <c r="D470" t="str">
        <f>CONCATENATE(D$2,": ",D$3,list1!D470,"]")</f>
        <v xml:space="preserve"> (Сплит система) Площадь помещения: N[22]</v>
      </c>
      <c r="E470" t="str">
        <f>CONCATENATE(E$2,": ",E$3,list1!E470,"]")</f>
        <v xml:space="preserve"> (Сплит система) Инвентор: S[да]</v>
      </c>
      <c r="F470" t="str">
        <f>CONCATENATE(F$2,": ",F$3,list1!F470,"]")</f>
        <v xml:space="preserve"> (Сплит система) Теплопроизводительность: N[2.3]</v>
      </c>
      <c r="G470" t="str">
        <f>CONCATENATE(G$2,": ",G$3,list1!G470,"]")</f>
        <v xml:space="preserve"> (Потребляемая мощность) Охлаждение: N[0.03]</v>
      </c>
      <c r="H470" t="str">
        <f>CONCATENATE(H$2,": ",H$3,list1!H470,"]")</f>
        <v xml:space="preserve"> (Потребляемая мощность) Обогрев: S[0.03]</v>
      </c>
      <c r="I470" t="str">
        <f>CONCATENATE(I$2,": ",I$3,list1!I470,"]")</f>
        <v xml:space="preserve"> (Рабочий ток) Охлаждение: S[]</v>
      </c>
      <c r="J470" t="str">
        <f>CONCATENATE(J$2,": ",J$3,list1!J470,"]")</f>
        <v xml:space="preserve"> (Рабочий ток) Обогрев: S[]</v>
      </c>
      <c r="K470" t="str">
        <f>CONCATENATE(K$2,": ",K$3,list1!K470,"]")</f>
        <v xml:space="preserve"> (Рабочий ток) Напряжение / Частота источника питания: S[1 / 220 / 50]</v>
      </c>
      <c r="L470" t="str">
        <f>CONCATENATE(L$2,": ",L$3,list1!L470,"]")</f>
        <v xml:space="preserve"> (Рабочий ток) Хладагент: S[R410A]</v>
      </c>
      <c r="M470" t="str">
        <f>CONCATENATE(M$2,": ",M$3,list1!M470,"]")</f>
        <v xml:space="preserve"> (Рабочий ток) Количество хладагента: N[]</v>
      </c>
      <c r="N470" t="str">
        <f>CONCATENATE(N$2,": ",N$3,list1!N470,"]")</f>
        <v xml:space="preserve"> (Рабочий ток) Объем рециркулируемого воздуха внутреннего блока: S[]</v>
      </c>
      <c r="O470" t="str">
        <f>CONCATENATE(O$2,": ",O$3,list1!O470,"]")</f>
        <v xml:space="preserve"> (Внутренний блок) Размеры (Ш x Г x В): S[819 х 185 х 256]</v>
      </c>
      <c r="P470" t="str">
        <f>CONCATENATE(P$2,": ",P$3,list1!P470,"]")</f>
        <v xml:space="preserve"> (Внутренний блок) Упаковка (Ш x Г x В): S[868 х 260 х 330]</v>
      </c>
      <c r="Q470" t="str">
        <f>CONCATENATE(Q$2,": ",Q$3,list1!Q470,"]")</f>
        <v xml:space="preserve"> (Внутренний блок) Масса (нетто / брутто): S[8.5 / 10]</v>
      </c>
      <c r="R470" t="str">
        <f>CONCATENATE(R$2,": ",R$3,list1!R470,"]")</f>
        <v xml:space="preserve"> (Внутренний блок) Уровень шума мин. / макс.: S[24/31/37/40]</v>
      </c>
      <c r="S470" t="str">
        <f>CONCATENATE(S$2,": ",S$3,list1!S470,"]")</f>
        <v xml:space="preserve"> (Наружный блок) Марка компрессора: S[]</v>
      </c>
      <c r="T470" t="str">
        <f>CONCATENATE(T$2,": ",T$3,list1!T470,"]")</f>
        <v xml:space="preserve"> (Наружный блок) Размеры (Ш x Г x В): S[819 х 185 х 256]</v>
      </c>
      <c r="U470" t="str">
        <f>CONCATENATE(U$2,": ",U$3,list1!U470,"]")</f>
        <v xml:space="preserve"> (Наружный блок) Упаковка (Ш x Г x В): S[868 х 260 х 330]</v>
      </c>
      <c r="V470" t="str">
        <f>CONCATENATE(V$2,": ",V$3,list1!V470,"]")</f>
        <v xml:space="preserve"> (Наружный блок) Масса (нетто / брутто): S[8.5 / 10]</v>
      </c>
      <c r="W470" t="str">
        <f>CONCATENATE(W$2,": ",W$3,list1!W470,"]")</f>
        <v xml:space="preserve"> (Наружный блок) Максимальный уровень шума: N[]</v>
      </c>
      <c r="X470" t="str">
        <f>CONCATENATE(X$2,": ",X$3,list1!X470,"]")</f>
        <v xml:space="preserve"> (Соединительные трубы) Жидкостная линия : N[6.35]</v>
      </c>
      <c r="Y470" t="str">
        <f>CONCATENATE(Y$2,": ",Y$3,list1!Y470,"]")</f>
        <v xml:space="preserve"> (Соединительные трубы) Газовая линия : N[9.52]</v>
      </c>
      <c r="Z470" t="str">
        <f>CONCATENATE(Z$2,": ",Z$3,list1!Z470,"]")</f>
        <v xml:space="preserve"> (Соединительные трубы) Максимальная длина трубопровода: N[]</v>
      </c>
      <c r="AA470" t="str">
        <f>CONCATENATE(AA$2,": ",AA$3,list1!AA470,"]")</f>
        <v xml:space="preserve"> (Соединительные трубы) Максимальный перепад высот: S[]</v>
      </c>
      <c r="AB470" t="str">
        <f>CONCATENATE(AB$2,": ",AB$3,list1!AB470,"]")</f>
        <v xml:space="preserve"> (Допустимая темп. наружного воздуха) Охлаждение: S[]</v>
      </c>
      <c r="AC470" t="str">
        <f>CONCATENATE(AC$2,": ",AC$3,list1!AC470,"]")</f>
        <v xml:space="preserve"> (Допустимая темп. наружного воздуха) Обогрев: S[]</v>
      </c>
      <c r="AD470" s="6" t="s">
        <v>5172</v>
      </c>
    </row>
    <row r="471" spans="1:30" x14ac:dyDescent="0.25">
      <c r="A471" t="str">
        <f>CONCATENATE(A$2,": ",A$3,list1!A471,"]")</f>
        <v>Производитель: E[TOSOT]</v>
      </c>
      <c r="B471" t="str">
        <f>CONCATENATE(B$2,": ",B$3,list1!B471,"]")</f>
        <v xml:space="preserve"> Тип: S[Мульти сплит система]</v>
      </c>
      <c r="C471" t="str">
        <f>CONCATENATE(C$2,": ",C$3,list1!C471,"]")</f>
        <v xml:space="preserve"> (Сплит система) Холодопроизводительность: N[2.5]</v>
      </c>
      <c r="D471" t="str">
        <f>CONCATENATE(D$2,": ",D$3,list1!D471,"]")</f>
        <v xml:space="preserve"> (Сплит система) Площадь помещения: N[25]</v>
      </c>
      <c r="E471" t="str">
        <f>CONCATENATE(E$2,": ",E$3,list1!E471,"]")</f>
        <v xml:space="preserve"> (Сплит система) Инвентор: S[да]</v>
      </c>
      <c r="F471" t="str">
        <f>CONCATENATE(F$2,": ",F$3,list1!F471,"]")</f>
        <v xml:space="preserve"> (Сплит система) Теплопроизводительность: N[2.5]</v>
      </c>
      <c r="G471" t="str">
        <f>CONCATENATE(G$2,": ",G$3,list1!G471,"]")</f>
        <v xml:space="preserve"> (Потребляемая мощность) Охлаждение: N[0.03]</v>
      </c>
      <c r="H471" t="str">
        <f>CONCATENATE(H$2,": ",H$3,list1!H471,"]")</f>
        <v xml:space="preserve"> (Потребляемая мощность) Обогрев: S[0.03]</v>
      </c>
      <c r="I471" t="str">
        <f>CONCATENATE(I$2,": ",I$3,list1!I471,"]")</f>
        <v xml:space="preserve"> (Рабочий ток) Охлаждение: S[]</v>
      </c>
      <c r="J471" t="str">
        <f>CONCATENATE(J$2,": ",J$3,list1!J471,"]")</f>
        <v xml:space="preserve"> (Рабочий ток) Обогрев: S[]</v>
      </c>
      <c r="K471" t="str">
        <f>CONCATENATE(K$2,": ",K$3,list1!K471,"]")</f>
        <v xml:space="preserve"> (Рабочий ток) Напряжение / Частота источника питания: S[1 / 220 / 50]</v>
      </c>
      <c r="L471" t="str">
        <f>CONCATENATE(L$2,": ",L$3,list1!L471,"]")</f>
        <v xml:space="preserve"> (Рабочий ток) Хладагент: S[R410A]</v>
      </c>
      <c r="M471" t="str">
        <f>CONCATENATE(M$2,": ",M$3,list1!M471,"]")</f>
        <v xml:space="preserve"> (Рабочий ток) Количество хладагента: N[]</v>
      </c>
      <c r="N471" t="str">
        <f>CONCATENATE(N$2,": ",N$3,list1!N471,"]")</f>
        <v xml:space="preserve"> (Рабочий ток) Объем рециркулируемого воздуха внутреннего блока: S[]</v>
      </c>
      <c r="O471" t="str">
        <f>CONCATENATE(O$2,": ",O$3,list1!O471,"]")</f>
        <v xml:space="preserve"> (Внутренний блок) Размеры (Ш x Г x В): S[819 х 185 х 256]</v>
      </c>
      <c r="P471" t="str">
        <f>CONCATENATE(P$2,": ",P$3,list1!P471,"]")</f>
        <v xml:space="preserve"> (Внутренний блок) Упаковка (Ш x Г x В): S[868 х 260 х 330]</v>
      </c>
      <c r="Q471" t="str">
        <f>CONCATENATE(Q$2,": ",Q$3,list1!Q471,"]")</f>
        <v xml:space="preserve"> (Внутренний блок) Масса (нетто / брутто): S[8.5 / 10]</v>
      </c>
      <c r="R471" t="str">
        <f>CONCATENATE(R$2,": ",R$3,list1!R471,"]")</f>
        <v xml:space="preserve"> (Внутренний блок) Уровень шума мин. / макс.: S[27/35/37/40]</v>
      </c>
      <c r="S471" t="str">
        <f>CONCATENATE(S$2,": ",S$3,list1!S471,"]")</f>
        <v xml:space="preserve"> (Наружный блок) Марка компрессора: S[]</v>
      </c>
      <c r="T471" t="str">
        <f>CONCATENATE(T$2,": ",T$3,list1!T471,"]")</f>
        <v xml:space="preserve"> (Наружный блок) Размеры (Ш x Г x В): S[819 х 185 х 256]</v>
      </c>
      <c r="U471" t="str">
        <f>CONCATENATE(U$2,": ",U$3,list1!U471,"]")</f>
        <v xml:space="preserve"> (Наружный блок) Упаковка (Ш x Г x В): S[868 х 260 х 330]</v>
      </c>
      <c r="V471" t="str">
        <f>CONCATENATE(V$2,": ",V$3,list1!V471,"]")</f>
        <v xml:space="preserve"> (Наружный блок) Масса (нетто / брутто): S[8.5 / 10]</v>
      </c>
      <c r="W471" t="str">
        <f>CONCATENATE(W$2,": ",W$3,list1!W471,"]")</f>
        <v xml:space="preserve"> (Наружный блок) Максимальный уровень шума: N[]</v>
      </c>
      <c r="X471" t="str">
        <f>CONCATENATE(X$2,": ",X$3,list1!X471,"]")</f>
        <v xml:space="preserve"> (Соединительные трубы) Жидкостная линия : N[6.35]</v>
      </c>
      <c r="Y471" t="str">
        <f>CONCATENATE(Y$2,": ",Y$3,list1!Y471,"]")</f>
        <v xml:space="preserve"> (Соединительные трубы) Газовая линия : N[9.52]</v>
      </c>
      <c r="Z471" t="str">
        <f>CONCATENATE(Z$2,": ",Z$3,list1!Z471,"]")</f>
        <v xml:space="preserve"> (Соединительные трубы) Максимальная длина трубопровода: N[]</v>
      </c>
      <c r="AA471" t="str">
        <f>CONCATENATE(AA$2,": ",AA$3,list1!AA471,"]")</f>
        <v xml:space="preserve"> (Соединительные трубы) Максимальный перепад высот: S[]</v>
      </c>
      <c r="AB471" t="str">
        <f>CONCATENATE(AB$2,": ",AB$3,list1!AB471,"]")</f>
        <v xml:space="preserve"> (Допустимая темп. наружного воздуха) Охлаждение: S[]</v>
      </c>
      <c r="AC471" t="str">
        <f>CONCATENATE(AC$2,": ",AC$3,list1!AC471,"]")</f>
        <v xml:space="preserve"> (Допустимая темп. наружного воздуха) Обогрев: S[]</v>
      </c>
      <c r="AD471" s="6" t="s">
        <v>5172</v>
      </c>
    </row>
    <row r="472" spans="1:30" x14ac:dyDescent="0.25">
      <c r="A472" t="str">
        <f>CONCATENATE(A$2,": ",A$3,list1!A472,"]")</f>
        <v>Производитель: E[TOSOT]</v>
      </c>
      <c r="B472" t="str">
        <f>CONCATENATE(B$2,": ",B$3,list1!B472,"]")</f>
        <v xml:space="preserve"> Тип: S[Мульти сплит система]</v>
      </c>
      <c r="C472" t="str">
        <f>CONCATENATE(C$2,": ",C$3,list1!C472,"]")</f>
        <v xml:space="preserve"> (Сплит система) Холодопроизводительность: N[3.2]</v>
      </c>
      <c r="D472" t="str">
        <f>CONCATENATE(D$2,": ",D$3,list1!D472,"]")</f>
        <v xml:space="preserve"> (Сплит система) Площадь помещения: N[32]</v>
      </c>
      <c r="E472" t="str">
        <f>CONCATENATE(E$2,": ",E$3,list1!E472,"]")</f>
        <v xml:space="preserve"> (Сплит система) Инвентор: S[да]</v>
      </c>
      <c r="F472" t="str">
        <f>CONCATENATE(F$2,": ",F$3,list1!F472,"]")</f>
        <v xml:space="preserve"> (Сплит система) Теплопроизводительность: N[3.3]</v>
      </c>
      <c r="G472" t="str">
        <f>CONCATENATE(G$2,": ",G$3,list1!G472,"]")</f>
        <v xml:space="preserve"> (Потребляемая мощность) Охлаждение: N[0.03]</v>
      </c>
      <c r="H472" t="str">
        <f>CONCATENATE(H$2,": ",H$3,list1!H472,"]")</f>
        <v xml:space="preserve"> (Потребляемая мощность) Обогрев: S[0.03]</v>
      </c>
      <c r="I472" t="str">
        <f>CONCATENATE(I$2,": ",I$3,list1!I472,"]")</f>
        <v xml:space="preserve"> (Рабочий ток) Охлаждение: S[]</v>
      </c>
      <c r="J472" t="str">
        <f>CONCATENATE(J$2,": ",J$3,list1!J472,"]")</f>
        <v xml:space="preserve"> (Рабочий ток) Обогрев: S[]</v>
      </c>
      <c r="K472" t="str">
        <f>CONCATENATE(K$2,": ",K$3,list1!K472,"]")</f>
        <v xml:space="preserve"> (Рабочий ток) Напряжение / Частота источника питания: S[1 / 220 / 50]</v>
      </c>
      <c r="L472" t="str">
        <f>CONCATENATE(L$2,": ",L$3,list1!L472,"]")</f>
        <v xml:space="preserve"> (Рабочий ток) Хладагент: S[R410A]</v>
      </c>
      <c r="M472" t="str">
        <f>CONCATENATE(M$2,": ",M$3,list1!M472,"]")</f>
        <v xml:space="preserve"> (Рабочий ток) Количество хладагента: N[]</v>
      </c>
      <c r="N472" t="str">
        <f>CONCATENATE(N$2,": ",N$3,list1!N472,"]")</f>
        <v xml:space="preserve"> (Рабочий ток) Объем рециркулируемого воздуха внутреннего блока: S[]</v>
      </c>
      <c r="O472" t="str">
        <f>CONCATENATE(O$2,": ",O$3,list1!O472,"]")</f>
        <v xml:space="preserve"> (Внутренний блок) Размеры (Ш x Г x В): S[819 х 185 х 256]</v>
      </c>
      <c r="P472" t="str">
        <f>CONCATENATE(P$2,": ",P$3,list1!P472,"]")</f>
        <v xml:space="preserve"> (Внутренний блок) Упаковка (Ш x Г x В): S[868 х 260 х 330]</v>
      </c>
      <c r="Q472" t="str">
        <f>CONCATENATE(Q$2,": ",Q$3,list1!Q472,"]")</f>
        <v xml:space="preserve"> (Внутренний блок) Масса (нетто / брутто): S[8.5 / 10]</v>
      </c>
      <c r="R472" t="str">
        <f>CONCATENATE(R$2,": ",R$3,list1!R472,"]")</f>
        <v xml:space="preserve"> (Внутренний блок) Уровень шума мин. / макс.: S[29/33/36/40]</v>
      </c>
      <c r="S472" t="str">
        <f>CONCATENATE(S$2,": ",S$3,list1!S472,"]")</f>
        <v xml:space="preserve"> (Наружный блок) Марка компрессора: S[]</v>
      </c>
      <c r="T472" t="str">
        <f>CONCATENATE(T$2,": ",T$3,list1!T472,"]")</f>
        <v xml:space="preserve"> (Наружный блок) Размеры (Ш x Г x В): S[819 х 185 х 256]</v>
      </c>
      <c r="U472" t="str">
        <f>CONCATENATE(U$2,": ",U$3,list1!U472,"]")</f>
        <v xml:space="preserve"> (Наружный блок) Упаковка (Ш x Г x В): S[868 х 260 х 330]</v>
      </c>
      <c r="V472" t="str">
        <f>CONCATENATE(V$2,": ",V$3,list1!V472,"]")</f>
        <v xml:space="preserve"> (Наружный блок) Масса (нетто / брутто): S[8.5 / 10]</v>
      </c>
      <c r="W472" t="str">
        <f>CONCATENATE(W$2,": ",W$3,list1!W472,"]")</f>
        <v xml:space="preserve"> (Наружный блок) Максимальный уровень шума: N[]</v>
      </c>
      <c r="X472" t="str">
        <f>CONCATENATE(X$2,": ",X$3,list1!X472,"]")</f>
        <v xml:space="preserve"> (Соединительные трубы) Жидкостная линия : N[6.35]</v>
      </c>
      <c r="Y472" t="str">
        <f>CONCATENATE(Y$2,": ",Y$3,list1!Y472,"]")</f>
        <v xml:space="preserve"> (Соединительные трубы) Газовая линия : N[9.52]</v>
      </c>
      <c r="Z472" t="str">
        <f>CONCATENATE(Z$2,": ",Z$3,list1!Z472,"]")</f>
        <v xml:space="preserve"> (Соединительные трубы) Максимальная длина трубопровода: N[]</v>
      </c>
      <c r="AA472" t="str">
        <f>CONCATENATE(AA$2,": ",AA$3,list1!AA472,"]")</f>
        <v xml:space="preserve"> (Соединительные трубы) Максимальный перепад высот: S[]</v>
      </c>
      <c r="AB472" t="str">
        <f>CONCATENATE(AB$2,": ",AB$3,list1!AB472,"]")</f>
        <v xml:space="preserve"> (Допустимая темп. наружного воздуха) Охлаждение: S[]</v>
      </c>
      <c r="AC472" t="str">
        <f>CONCATENATE(AC$2,": ",AC$3,list1!AC472,"]")</f>
        <v xml:space="preserve"> (Допустимая темп. наружного воздуха) Обогрев: S[]</v>
      </c>
      <c r="AD472" s="6" t="s">
        <v>5172</v>
      </c>
    </row>
    <row r="473" spans="1:30" x14ac:dyDescent="0.25">
      <c r="A473" t="str">
        <f>CONCATENATE(A$2,": ",A$3,list1!A473,"]")</f>
        <v>Производитель: E[TOSOT]</v>
      </c>
      <c r="B473" t="str">
        <f>CONCATENATE(B$2,": ",B$3,list1!B473,"]")</f>
        <v xml:space="preserve"> Тип: S[Мульти сплит система]</v>
      </c>
      <c r="C473" t="str">
        <f>CONCATENATE(C$2,": ",C$3,list1!C473,"]")</f>
        <v xml:space="preserve"> (Сплит система) Холодопроизводительность: N[4.6]</v>
      </c>
      <c r="D473" t="str">
        <f>CONCATENATE(D$2,": ",D$3,list1!D473,"]")</f>
        <v xml:space="preserve"> (Сплит система) Площадь помещения: N[46]</v>
      </c>
      <c r="E473" t="str">
        <f>CONCATENATE(E$2,": ",E$3,list1!E473,"]")</f>
        <v xml:space="preserve"> (Сплит система) Инвентор: S[да]</v>
      </c>
      <c r="F473" t="str">
        <f>CONCATENATE(F$2,": ",F$3,list1!F473,"]")</f>
        <v xml:space="preserve"> (Сплит система) Теплопроизводительность: N[5]</v>
      </c>
      <c r="G473" t="str">
        <f>CONCATENATE(G$2,": ",G$3,list1!G473,"]")</f>
        <v xml:space="preserve"> (Потребляемая мощность) Охлаждение: N[0.04]</v>
      </c>
      <c r="H473" t="str">
        <f>CONCATENATE(H$2,": ",H$3,list1!H473,"]")</f>
        <v xml:space="preserve"> (Потребляемая мощность) Обогрев: S[0.04]</v>
      </c>
      <c r="I473" t="str">
        <f>CONCATENATE(I$2,": ",I$3,list1!I473,"]")</f>
        <v xml:space="preserve"> (Рабочий ток) Охлаждение: S[]</v>
      </c>
      <c r="J473" t="str">
        <f>CONCATENATE(J$2,": ",J$3,list1!J473,"]")</f>
        <v xml:space="preserve"> (Рабочий ток) Обогрев: S[]</v>
      </c>
      <c r="K473" t="str">
        <f>CONCATENATE(K$2,": ",K$3,list1!K473,"]")</f>
        <v xml:space="preserve"> (Рабочий ток) Напряжение / Частота источника питания: S[1 / 220 / 50]</v>
      </c>
      <c r="L473" t="str">
        <f>CONCATENATE(L$2,": ",L$3,list1!L473,"]")</f>
        <v xml:space="preserve"> (Рабочий ток) Хладагент: S[R410A]</v>
      </c>
      <c r="M473" t="str">
        <f>CONCATENATE(M$2,": ",M$3,list1!M473,"]")</f>
        <v xml:space="preserve"> (Рабочий ток) Количество хладагента: N[]</v>
      </c>
      <c r="N473" t="str">
        <f>CONCATENATE(N$2,": ",N$3,list1!N473,"]")</f>
        <v xml:space="preserve"> (Рабочий ток) Объем рециркулируемого воздуха внутреннего блока: S[]</v>
      </c>
      <c r="O473" t="str">
        <f>CONCATENATE(O$2,": ",O$3,list1!O473,"]")</f>
        <v xml:space="preserve"> (Внутренний блок) Размеры (Ш x Г x В): S[1013 х 221 х 307]</v>
      </c>
      <c r="P473" t="str">
        <f>CONCATENATE(P$2,": ",P$3,list1!P473,"]")</f>
        <v xml:space="preserve"> (Внутренний блок) Упаковка (Ш x Г x В): S[1080 х 315 х 378]</v>
      </c>
      <c r="Q473" t="str">
        <f>CONCATENATE(Q$2,": ",Q$3,list1!Q473,"]")</f>
        <v xml:space="preserve"> (Внутренний блок) Масса (нетто / брутто): S[13.5 / 16.5]</v>
      </c>
      <c r="R473" t="str">
        <f>CONCATENATE(R$2,": ",R$3,list1!R473,"]")</f>
        <v xml:space="preserve"> (Внутренний блок) Уровень шума мин. / макс.: S[33/37/43/45]</v>
      </c>
      <c r="S473" t="str">
        <f>CONCATENATE(S$2,": ",S$3,list1!S473,"]")</f>
        <v xml:space="preserve"> (Наружный блок) Марка компрессора: S[]</v>
      </c>
      <c r="T473" t="str">
        <f>CONCATENATE(T$2,": ",T$3,list1!T473,"]")</f>
        <v xml:space="preserve"> (Наружный блок) Размеры (Ш x Г x В): S[1013 х 221 х 307]</v>
      </c>
      <c r="U473" t="str">
        <f>CONCATENATE(U$2,": ",U$3,list1!U473,"]")</f>
        <v xml:space="preserve"> (Наружный блок) Упаковка (Ш x Г x В): S[1080 х 315 х 378]</v>
      </c>
      <c r="V473" t="str">
        <f>CONCATENATE(V$2,": ",V$3,list1!V473,"]")</f>
        <v xml:space="preserve"> (Наружный блок) Масса (нетто / брутто): S[13.5 / 16.5]</v>
      </c>
      <c r="W473" t="str">
        <f>CONCATENATE(W$2,": ",W$3,list1!W473,"]")</f>
        <v xml:space="preserve"> (Наружный блок) Максимальный уровень шума: N[]</v>
      </c>
      <c r="X473" t="str">
        <f>CONCATENATE(X$2,": ",X$3,list1!X473,"]")</f>
        <v xml:space="preserve"> (Соединительные трубы) Жидкостная линия : N[6.35]</v>
      </c>
      <c r="Y473" t="str">
        <f>CONCATENATE(Y$2,": ",Y$3,list1!Y473,"]")</f>
        <v xml:space="preserve"> (Соединительные трубы) Газовая линия : N[9.52]</v>
      </c>
      <c r="Z473" t="str">
        <f>CONCATENATE(Z$2,": ",Z$3,list1!Z473,"]")</f>
        <v xml:space="preserve"> (Соединительные трубы) Максимальная длина трубопровода: N[]</v>
      </c>
      <c r="AA473" t="str">
        <f>CONCATENATE(AA$2,": ",AA$3,list1!AA473,"]")</f>
        <v xml:space="preserve"> (Соединительные трубы) Максимальный перепад высот: S[]</v>
      </c>
      <c r="AB473" t="str">
        <f>CONCATENATE(AB$2,": ",AB$3,list1!AB473,"]")</f>
        <v xml:space="preserve"> (Допустимая темп. наружного воздуха) Охлаждение: S[]</v>
      </c>
      <c r="AC473" t="str">
        <f>CONCATENATE(AC$2,": ",AC$3,list1!AC473,"]")</f>
        <v xml:space="preserve"> (Допустимая темп. наружного воздуха) Обогрев: S[]</v>
      </c>
      <c r="AD473" s="6" t="s">
        <v>5172</v>
      </c>
    </row>
    <row r="474" spans="1:30" x14ac:dyDescent="0.25">
      <c r="A474" t="str">
        <f>CONCATENATE(A$2,": ",A$3,list1!A474,"]")</f>
        <v>Производитель: E[TOSOT]</v>
      </c>
      <c r="B474" t="str">
        <f>CONCATENATE(B$2,": ",B$3,list1!B474,"]")</f>
        <v xml:space="preserve"> Тип: S[Мульти сплит система]</v>
      </c>
      <c r="C474" t="str">
        <f>CONCATENATE(C$2,": ",C$3,list1!C474,"]")</f>
        <v xml:space="preserve"> (Сплит система) Холодопроизводительность: N[6.16]</v>
      </c>
      <c r="D474" t="str">
        <f>CONCATENATE(D$2,": ",D$3,list1!D474,"]")</f>
        <v xml:space="preserve"> (Сплит система) Площадь помещения: N[62]</v>
      </c>
      <c r="E474" t="str">
        <f>CONCATENATE(E$2,": ",E$3,list1!E474,"]")</f>
        <v xml:space="preserve"> (Сплит система) Инвентор: S[да]</v>
      </c>
      <c r="F474" t="str">
        <f>CONCATENATE(F$2,": ",F$3,list1!F474,"]")</f>
        <v xml:space="preserve"> (Сплит система) Теплопроизводительность: N[6.2]</v>
      </c>
      <c r="G474" t="str">
        <f>CONCATENATE(G$2,": ",G$3,list1!G474,"]")</f>
        <v xml:space="preserve"> (Потребляемая мощность) Охлаждение: N[0.04]</v>
      </c>
      <c r="H474" t="str">
        <f>CONCATENATE(H$2,": ",H$3,list1!H474,"]")</f>
        <v xml:space="preserve"> (Потребляемая мощность) Обогрев: S[0.04]</v>
      </c>
      <c r="I474" t="str">
        <f>CONCATENATE(I$2,": ",I$3,list1!I474,"]")</f>
        <v xml:space="preserve"> (Рабочий ток) Охлаждение: S[]</v>
      </c>
      <c r="J474" t="str">
        <f>CONCATENATE(J$2,": ",J$3,list1!J474,"]")</f>
        <v xml:space="preserve"> (Рабочий ток) Обогрев: S[]</v>
      </c>
      <c r="K474" t="str">
        <f>CONCATENATE(K$2,": ",K$3,list1!K474,"]")</f>
        <v xml:space="preserve"> (Рабочий ток) Напряжение / Частота источника питания: S[1 / 220 / 50]</v>
      </c>
      <c r="L474" t="str">
        <f>CONCATENATE(L$2,": ",L$3,list1!L474,"]")</f>
        <v xml:space="preserve"> (Рабочий ток) Хладагент: S[R410A]</v>
      </c>
      <c r="M474" t="str">
        <f>CONCATENATE(M$2,": ",M$3,list1!M474,"]")</f>
        <v xml:space="preserve"> (Рабочий ток) Количество хладагента: N[]</v>
      </c>
      <c r="N474" t="str">
        <f>CONCATENATE(N$2,": ",N$3,list1!N474,"]")</f>
        <v xml:space="preserve"> (Рабочий ток) Объем рециркулируемого воздуха внутреннего блока: S[]</v>
      </c>
      <c r="O474" t="str">
        <f>CONCATENATE(O$2,": ",O$3,list1!O474,"]")</f>
        <v xml:space="preserve"> (Внутренний блок) Размеры (Ш x Г x В): S[1013 х 221 х 307]</v>
      </c>
      <c r="P474" t="str">
        <f>CONCATENATE(P$2,": ",P$3,list1!P474,"]")</f>
        <v xml:space="preserve"> (Внутренний блок) Упаковка (Ш x Г x В): S[1080 х 315 х 378]</v>
      </c>
      <c r="Q474" t="str">
        <f>CONCATENATE(Q$2,": ",Q$3,list1!Q474,"]")</f>
        <v xml:space="preserve"> (Внутренний блок) Масса (нетто / брутто): S[14 / 17]</v>
      </c>
      <c r="R474" t="str">
        <f>CONCATENATE(R$2,": ",R$3,list1!R474,"]")</f>
        <v xml:space="preserve"> (Внутренний блок) Уровень шума мин. / макс.: S[34/39/43/47]</v>
      </c>
      <c r="S474" t="str">
        <f>CONCATENATE(S$2,": ",S$3,list1!S474,"]")</f>
        <v xml:space="preserve"> (Наружный блок) Марка компрессора: S[]</v>
      </c>
      <c r="T474" t="str">
        <f>CONCATENATE(T$2,": ",T$3,list1!T474,"]")</f>
        <v xml:space="preserve"> (Наружный блок) Размеры (Ш x Г x В): S[1013 х 221 х 307]</v>
      </c>
      <c r="U474" t="str">
        <f>CONCATENATE(U$2,": ",U$3,list1!U474,"]")</f>
        <v xml:space="preserve"> (Наружный блок) Упаковка (Ш x Г x В): S[1080 х 315 х 378]</v>
      </c>
      <c r="V474" t="str">
        <f>CONCATENATE(V$2,": ",V$3,list1!V474,"]")</f>
        <v xml:space="preserve"> (Наружный блок) Масса (нетто / брутто): S[14 / 17]</v>
      </c>
      <c r="W474" t="str">
        <f>CONCATENATE(W$2,": ",W$3,list1!W474,"]")</f>
        <v xml:space="preserve"> (Наружный блок) Максимальный уровень шума: N[]</v>
      </c>
      <c r="X474" t="str">
        <f>CONCATENATE(X$2,": ",X$3,list1!X474,"]")</f>
        <v xml:space="preserve"> (Соединительные трубы) Жидкостная линия : N[6.35]</v>
      </c>
      <c r="Y474" t="str">
        <f>CONCATENATE(Y$2,": ",Y$3,list1!Y474,"]")</f>
        <v xml:space="preserve"> (Соединительные трубы) Газовая линия : N[15.88]</v>
      </c>
      <c r="Z474" t="str">
        <f>CONCATENATE(Z$2,": ",Z$3,list1!Z474,"]")</f>
        <v xml:space="preserve"> (Соединительные трубы) Максимальная длина трубопровода: N[]</v>
      </c>
      <c r="AA474" t="str">
        <f>CONCATENATE(AA$2,": ",AA$3,list1!AA474,"]")</f>
        <v xml:space="preserve"> (Соединительные трубы) Максимальный перепад высот: S[]</v>
      </c>
      <c r="AB474" t="str">
        <f>CONCATENATE(AB$2,": ",AB$3,list1!AB474,"]")</f>
        <v xml:space="preserve"> (Допустимая темп. наружного воздуха) Охлаждение: S[]</v>
      </c>
      <c r="AC474" t="str">
        <f>CONCATENATE(AC$2,": ",AC$3,list1!AC474,"]")</f>
        <v xml:space="preserve"> (Допустимая темп. наружного воздуха) Обогрев: S[]</v>
      </c>
      <c r="AD474" s="6" t="s">
        <v>5172</v>
      </c>
    </row>
    <row r="475" spans="1:30" x14ac:dyDescent="0.25">
      <c r="A475" t="str">
        <f>CONCATENATE(A$2,": ",A$3,list1!A475,"]")</f>
        <v>Производитель: E[TOSOT]</v>
      </c>
      <c r="B475" t="str">
        <f>CONCATENATE(B$2,": ",B$3,list1!B475,"]")</f>
        <v xml:space="preserve"> Тип: S[Мульти сплит система]</v>
      </c>
      <c r="C475" t="str">
        <f>CONCATENATE(C$2,": ",C$3,list1!C475,"]")</f>
        <v xml:space="preserve"> (Сплит система) Холодопроизводительность: N[2.35]</v>
      </c>
      <c r="D475" t="str">
        <f>CONCATENATE(D$2,": ",D$3,list1!D475,"]")</f>
        <v xml:space="preserve"> (Сплит система) Площадь помещения: N[24]</v>
      </c>
      <c r="E475" t="str">
        <f>CONCATENATE(E$2,": ",E$3,list1!E475,"]")</f>
        <v xml:space="preserve"> (Сплит система) Инвентор: S[да]</v>
      </c>
      <c r="F475" t="str">
        <f>CONCATENATE(F$2,": ",F$3,list1!F475,"]")</f>
        <v xml:space="preserve"> (Сплит система) Теплопроизводительность: N[2.5]</v>
      </c>
      <c r="G475" t="str">
        <f>CONCATENATE(G$2,": ",G$3,list1!G475,"]")</f>
        <v xml:space="preserve"> (Потребляемая мощность) Охлаждение: N[0.022]</v>
      </c>
      <c r="H475" t="str">
        <f>CONCATENATE(H$2,": ",H$3,list1!H475,"]")</f>
        <v xml:space="preserve"> (Потребляемая мощность) Обогрев: S[]</v>
      </c>
      <c r="I475" t="str">
        <f>CONCATENATE(I$2,": ",I$3,list1!I475,"]")</f>
        <v xml:space="preserve"> (Рабочий ток) Охлаждение: S[]</v>
      </c>
      <c r="J475" t="str">
        <f>CONCATENATE(J$2,": ",J$3,list1!J475,"]")</f>
        <v xml:space="preserve"> (Рабочий ток) Обогрев: S[]</v>
      </c>
      <c r="K475" t="str">
        <f>CONCATENATE(K$2,": ",K$3,list1!K475,"]")</f>
        <v xml:space="preserve"> (Рабочий ток) Напряжение / Частота источника питания: S[1 / 220 / 50]</v>
      </c>
      <c r="L475" t="str">
        <f>CONCATENATE(L$2,": ",L$3,list1!L475,"]")</f>
        <v xml:space="preserve"> (Рабочий ток) Хладагент: S[R32]</v>
      </c>
      <c r="M475" t="str">
        <f>CONCATENATE(M$2,": ",M$3,list1!M475,"]")</f>
        <v xml:space="preserve"> (Рабочий ток) Количество хладагента: N[]</v>
      </c>
      <c r="N475" t="str">
        <f>CONCATENATE(N$2,": ",N$3,list1!N475,"]")</f>
        <v xml:space="preserve"> (Рабочий ток) Объем рециркулируемого воздуха внутреннего блока: S[]</v>
      </c>
      <c r="O475" t="str">
        <f>CONCATENATE(O$2,": ",O$3,list1!O475,"]")</f>
        <v xml:space="preserve"> (Внутренний блок) Размеры (Ш x Г x В): S[744 х 185 х 256]</v>
      </c>
      <c r="P475" t="str">
        <f>CONCATENATE(P$2,": ",P$3,list1!P475,"]")</f>
        <v xml:space="preserve"> (Внутренний блок) Упаковка (Ш x Г x В): S[788 х 249 х 314]</v>
      </c>
      <c r="Q475" t="str">
        <f>CONCATENATE(Q$2,": ",Q$3,list1!Q475,"]")</f>
        <v xml:space="preserve"> (Внутренний блок) Масса (нетто / брутто): S[7.7 / 9.2]</v>
      </c>
      <c r="R475" t="str">
        <f>CONCATENATE(R$2,": ",R$3,list1!R475,"]")</f>
        <v xml:space="preserve"> (Внутренний блок) Уровень шума мин. / макс.: S[27/33/38/40]</v>
      </c>
      <c r="S475" t="str">
        <f>CONCATENATE(S$2,": ",S$3,list1!S475,"]")</f>
        <v xml:space="preserve"> (Наружный блок) Марка компрессора: S[]</v>
      </c>
      <c r="T475" t="str">
        <f>CONCATENATE(T$2,": ",T$3,list1!T475,"]")</f>
        <v xml:space="preserve"> (Наружный блок) Размеры (Ш x Г x В): S[744 х 185 х 256]</v>
      </c>
      <c r="U475" t="str">
        <f>CONCATENATE(U$2,": ",U$3,list1!U475,"]")</f>
        <v xml:space="preserve"> (Наружный блок) Упаковка (Ш x Г x В): S[788 х 249 х 314]</v>
      </c>
      <c r="V475" t="str">
        <f>CONCATENATE(V$2,": ",V$3,list1!V475,"]")</f>
        <v xml:space="preserve"> (Наружный блок) Масса (нетто / брутто): S[7.7 / 9.2]</v>
      </c>
      <c r="W475" t="str">
        <f>CONCATENATE(W$2,": ",W$3,list1!W475,"]")</f>
        <v xml:space="preserve"> (Наружный блок) Максимальный уровень шума: N[]</v>
      </c>
      <c r="X475" t="str">
        <f>CONCATENATE(X$2,": ",X$3,list1!X475,"]")</f>
        <v xml:space="preserve"> (Соединительные трубы) Жидкостная линия : N[6.35]</v>
      </c>
      <c r="Y475" t="str">
        <f>CONCATENATE(Y$2,": ",Y$3,list1!Y475,"]")</f>
        <v xml:space="preserve"> (Соединительные трубы) Газовая линия : N[9.52]</v>
      </c>
      <c r="Z475" t="str">
        <f>CONCATENATE(Z$2,": ",Z$3,list1!Z475,"]")</f>
        <v xml:space="preserve"> (Соединительные трубы) Максимальная длина трубопровода: N[]</v>
      </c>
      <c r="AA475" t="str">
        <f>CONCATENATE(AA$2,": ",AA$3,list1!AA475,"]")</f>
        <v xml:space="preserve"> (Соединительные трубы) Максимальный перепад высот: S[]</v>
      </c>
      <c r="AB475" t="str">
        <f>CONCATENATE(AB$2,": ",AB$3,list1!AB475,"]")</f>
        <v xml:space="preserve"> (Допустимая темп. наружного воздуха) Охлаждение: S[]</v>
      </c>
      <c r="AC475" t="str">
        <f>CONCATENATE(AC$2,": ",AC$3,list1!AC475,"]")</f>
        <v xml:space="preserve"> (Допустимая темп. наружного воздуха) Обогрев: S[]</v>
      </c>
      <c r="AD475" s="6" t="s">
        <v>5172</v>
      </c>
    </row>
    <row r="476" spans="1:30" x14ac:dyDescent="0.25">
      <c r="A476" t="str">
        <f>CONCATENATE(A$2,": ",A$3,list1!A476,"]")</f>
        <v>Производитель: E[TOSOT]</v>
      </c>
      <c r="B476" t="str">
        <f>CONCATENATE(B$2,": ",B$3,list1!B476,"]")</f>
        <v xml:space="preserve"> Тип: S[Мульти сплит система]</v>
      </c>
      <c r="C476" t="str">
        <f>CONCATENATE(C$2,": ",C$3,list1!C476,"]")</f>
        <v xml:space="preserve"> (Сплит система) Холодопроизводительность: N[2.5]</v>
      </c>
      <c r="D476" t="str">
        <f>CONCATENATE(D$2,": ",D$3,list1!D476,"]")</f>
        <v xml:space="preserve"> (Сплит система) Площадь помещения: N[25]</v>
      </c>
      <c r="E476" t="str">
        <f>CONCATENATE(E$2,": ",E$3,list1!E476,"]")</f>
        <v xml:space="preserve"> (Сплит система) Инвентор: S[да]</v>
      </c>
      <c r="F476" t="str">
        <f>CONCATENATE(F$2,": ",F$3,list1!F476,"]")</f>
        <v xml:space="preserve"> (Сплит система) Теплопроизводительность: N[2.8]</v>
      </c>
      <c r="G476" t="str">
        <f>CONCATENATE(G$2,": ",G$3,list1!G476,"]")</f>
        <v xml:space="preserve"> (Потребляемая мощность) Охлаждение: N[0.022]</v>
      </c>
      <c r="H476" t="str">
        <f>CONCATENATE(H$2,": ",H$3,list1!H476,"]")</f>
        <v xml:space="preserve"> (Потребляемая мощность) Обогрев: S[]</v>
      </c>
      <c r="I476" t="str">
        <f>CONCATENATE(I$2,": ",I$3,list1!I476,"]")</f>
        <v xml:space="preserve"> (Рабочий ток) Охлаждение: S[]</v>
      </c>
      <c r="J476" t="str">
        <f>CONCATENATE(J$2,": ",J$3,list1!J476,"]")</f>
        <v xml:space="preserve"> (Рабочий ток) Обогрев: S[]</v>
      </c>
      <c r="K476" t="str">
        <f>CONCATENATE(K$2,": ",K$3,list1!K476,"]")</f>
        <v xml:space="preserve"> (Рабочий ток) Напряжение / Частота источника питания: S[1 / 220 / 50]</v>
      </c>
      <c r="L476" t="str">
        <f>CONCATENATE(L$2,": ",L$3,list1!L476,"]")</f>
        <v xml:space="preserve"> (Рабочий ток) Хладагент: S[R32]</v>
      </c>
      <c r="M476" t="str">
        <f>CONCATENATE(M$2,": ",M$3,list1!M476,"]")</f>
        <v xml:space="preserve"> (Рабочий ток) Количество хладагента: N[]</v>
      </c>
      <c r="N476" t="str">
        <f>CONCATENATE(N$2,": ",N$3,list1!N476,"]")</f>
        <v xml:space="preserve"> (Рабочий ток) Объем рециркулируемого воздуха внутреннего блока: S[]</v>
      </c>
      <c r="O476" t="str">
        <f>CONCATENATE(O$2,": ",O$3,list1!O476,"]")</f>
        <v xml:space="preserve"> (Внутренний блок) Размеры (Ш x Г x В): S[744 х 185 х 256]</v>
      </c>
      <c r="P476" t="str">
        <f>CONCATENATE(P$2,": ",P$3,list1!P476,"]")</f>
        <v xml:space="preserve"> (Внутренний блок) Упаковка (Ш x Г x В): S[788 х 249 х 314]</v>
      </c>
      <c r="Q476" t="str">
        <f>CONCATENATE(Q$2,": ",Q$3,list1!Q476,"]")</f>
        <v xml:space="preserve"> (Внутренний блок) Масса (нетто / брутто): S[7.5 / 9]</v>
      </c>
      <c r="R476" t="str">
        <f>CONCATENATE(R$2,": ",R$3,list1!R476,"]")</f>
        <v xml:space="preserve"> (Внутренний блок) Уровень шума мин. / макс.: S[25/32/36/38]</v>
      </c>
      <c r="S476" t="str">
        <f>CONCATENATE(S$2,": ",S$3,list1!S476,"]")</f>
        <v xml:space="preserve"> (Наружный блок) Марка компрессора: S[]</v>
      </c>
      <c r="T476" t="str">
        <f>CONCATENATE(T$2,": ",T$3,list1!T476,"]")</f>
        <v xml:space="preserve"> (Наружный блок) Размеры (Ш x Г x В): S[744 х 185 х 256]</v>
      </c>
      <c r="U476" t="str">
        <f>CONCATENATE(U$2,": ",U$3,list1!U476,"]")</f>
        <v xml:space="preserve"> (Наружный блок) Упаковка (Ш x Г x В): S[788 х 249 х 314]</v>
      </c>
      <c r="V476" t="str">
        <f>CONCATENATE(V$2,": ",V$3,list1!V476,"]")</f>
        <v xml:space="preserve"> (Наружный блок) Масса (нетто / брутто): S[7.5 / 9]</v>
      </c>
      <c r="W476" t="str">
        <f>CONCATENATE(W$2,": ",W$3,list1!W476,"]")</f>
        <v xml:space="preserve"> (Наружный блок) Максимальный уровень шума: N[]</v>
      </c>
      <c r="X476" t="str">
        <f>CONCATENATE(X$2,": ",X$3,list1!X476,"]")</f>
        <v xml:space="preserve"> (Соединительные трубы) Жидкостная линия : N[6.35]</v>
      </c>
      <c r="Y476" t="str">
        <f>CONCATENATE(Y$2,": ",Y$3,list1!Y476,"]")</f>
        <v xml:space="preserve"> (Соединительные трубы) Газовая линия : N[9.52]</v>
      </c>
      <c r="Z476" t="str">
        <f>CONCATENATE(Z$2,": ",Z$3,list1!Z476,"]")</f>
        <v xml:space="preserve"> (Соединительные трубы) Максимальная длина трубопровода: N[]</v>
      </c>
      <c r="AA476" t="str">
        <f>CONCATENATE(AA$2,": ",AA$3,list1!AA476,"]")</f>
        <v xml:space="preserve"> (Соединительные трубы) Максимальный перепад высот: S[]</v>
      </c>
      <c r="AB476" t="str">
        <f>CONCATENATE(AB$2,": ",AB$3,list1!AB476,"]")</f>
        <v xml:space="preserve"> (Допустимая темп. наружного воздуха) Охлаждение: S[]</v>
      </c>
      <c r="AC476" t="str">
        <f>CONCATENATE(AC$2,": ",AC$3,list1!AC476,"]")</f>
        <v xml:space="preserve"> (Допустимая темп. наружного воздуха) Обогрев: S[]</v>
      </c>
      <c r="AD476" s="6" t="s">
        <v>5172</v>
      </c>
    </row>
    <row r="477" spans="1:30" x14ac:dyDescent="0.25">
      <c r="A477" t="str">
        <f>CONCATENATE(A$2,": ",A$3,list1!A477,"]")</f>
        <v>Производитель: E[TOSOT]</v>
      </c>
      <c r="B477" t="str">
        <f>CONCATENATE(B$2,": ",B$3,list1!B477,"]")</f>
        <v xml:space="preserve"> Тип: S[Мульти сплит система]</v>
      </c>
      <c r="C477" t="str">
        <f>CONCATENATE(C$2,": ",C$3,list1!C477,"]")</f>
        <v xml:space="preserve"> (Сплит система) Холодопроизводительность: N[3.2]</v>
      </c>
      <c r="D477" t="str">
        <f>CONCATENATE(D$2,": ",D$3,list1!D477,"]")</f>
        <v xml:space="preserve"> (Сплит система) Площадь помещения: N[32]</v>
      </c>
      <c r="E477" t="str">
        <f>CONCATENATE(E$2,": ",E$3,list1!E477,"]")</f>
        <v xml:space="preserve"> (Сплит система) Инвентор: S[да]</v>
      </c>
      <c r="F477" t="str">
        <f>CONCATENATE(F$2,": ",F$3,list1!F477,"]")</f>
        <v xml:space="preserve"> (Сплит система) Теплопроизводительность: N[3.4]</v>
      </c>
      <c r="G477" t="str">
        <f>CONCATENATE(G$2,": ",G$3,list1!G477,"]")</f>
        <v xml:space="preserve"> (Потребляемая мощность) Охлаждение: N[0.03]</v>
      </c>
      <c r="H477" t="str">
        <f>CONCATENATE(H$2,": ",H$3,list1!H477,"]")</f>
        <v xml:space="preserve"> (Потребляемая мощность) Обогрев: S[]</v>
      </c>
      <c r="I477" t="str">
        <f>CONCATENATE(I$2,": ",I$3,list1!I477,"]")</f>
        <v xml:space="preserve"> (Рабочий ток) Охлаждение: S[]</v>
      </c>
      <c r="J477" t="str">
        <f>CONCATENATE(J$2,": ",J$3,list1!J477,"]")</f>
        <v xml:space="preserve"> (Рабочий ток) Обогрев: S[]</v>
      </c>
      <c r="K477" t="str">
        <f>CONCATENATE(K$2,": ",K$3,list1!K477,"]")</f>
        <v xml:space="preserve"> (Рабочий ток) Напряжение / Частота источника питания: S[1 / 220 / 50]</v>
      </c>
      <c r="L477" t="str">
        <f>CONCATENATE(L$2,": ",L$3,list1!L477,"]")</f>
        <v xml:space="preserve"> (Рабочий ток) Хладагент: S[R32]</v>
      </c>
      <c r="M477" t="str">
        <f>CONCATENATE(M$2,": ",M$3,list1!M477,"]")</f>
        <v xml:space="preserve"> (Рабочий ток) Количество хладагента: N[]</v>
      </c>
      <c r="N477" t="str">
        <f>CONCATENATE(N$2,": ",N$3,list1!N477,"]")</f>
        <v xml:space="preserve"> (Рабочий ток) Объем рециркулируемого воздуха внутреннего блока: S[]</v>
      </c>
      <c r="O477" t="str">
        <f>CONCATENATE(O$2,": ",O$3,list1!O477,"]")</f>
        <v xml:space="preserve"> (Внутренний блок) Размеры (Ш x Г x В): S[819 х 185 х 256]</v>
      </c>
      <c r="P477" t="str">
        <f>CONCATENATE(P$2,": ",P$3,list1!P477,"]")</f>
        <v xml:space="preserve"> (Внутренний блок) Упаковка (Ш x Г x В): S[863 х 249 х 314]</v>
      </c>
      <c r="Q477" t="str">
        <f>CONCATENATE(Q$2,": ",Q$3,list1!Q477,"]")</f>
        <v xml:space="preserve"> (Внутренний блок) Масса (нетто / брутто): S[8 / 9.5]</v>
      </c>
      <c r="R477" t="str">
        <f>CONCATENATE(R$2,": ",R$3,list1!R477,"]")</f>
        <v xml:space="preserve"> (Внутренний блок) Уровень шума мин. / макс.: S[26/33/37/41]</v>
      </c>
      <c r="S477" t="str">
        <f>CONCATENATE(S$2,": ",S$3,list1!S477,"]")</f>
        <v xml:space="preserve"> (Наружный блок) Марка компрессора: S[]</v>
      </c>
      <c r="T477" t="str">
        <f>CONCATENATE(T$2,": ",T$3,list1!T477,"]")</f>
        <v xml:space="preserve"> (Наружный блок) Размеры (Ш x Г x В): S[819 х 185 х 256]</v>
      </c>
      <c r="U477" t="str">
        <f>CONCATENATE(U$2,": ",U$3,list1!U477,"]")</f>
        <v xml:space="preserve"> (Наружный блок) Упаковка (Ш x Г x В): S[863 х 249 х 314]</v>
      </c>
      <c r="V477" t="str">
        <f>CONCATENATE(V$2,": ",V$3,list1!V477,"]")</f>
        <v xml:space="preserve"> (Наружный блок) Масса (нетто / брутто): S[8 / 9.5]</v>
      </c>
      <c r="W477" t="str">
        <f>CONCATENATE(W$2,": ",W$3,list1!W477,"]")</f>
        <v xml:space="preserve"> (Наружный блок) Максимальный уровень шума: N[]</v>
      </c>
      <c r="X477" t="str">
        <f>CONCATENATE(X$2,": ",X$3,list1!X477,"]")</f>
        <v xml:space="preserve"> (Соединительные трубы) Жидкостная линия : N[6.35]</v>
      </c>
      <c r="Y477" t="str">
        <f>CONCATENATE(Y$2,": ",Y$3,list1!Y477,"]")</f>
        <v xml:space="preserve"> (Соединительные трубы) Газовая линия : N[9.52]</v>
      </c>
      <c r="Z477" t="str">
        <f>CONCATENATE(Z$2,": ",Z$3,list1!Z477,"]")</f>
        <v xml:space="preserve"> (Соединительные трубы) Максимальная длина трубопровода: N[]</v>
      </c>
      <c r="AA477" t="str">
        <f>CONCATENATE(AA$2,": ",AA$3,list1!AA477,"]")</f>
        <v xml:space="preserve"> (Соединительные трубы) Максимальный перепад высот: S[]</v>
      </c>
      <c r="AB477" t="str">
        <f>CONCATENATE(AB$2,": ",AB$3,list1!AB477,"]")</f>
        <v xml:space="preserve"> (Допустимая темп. наружного воздуха) Охлаждение: S[]</v>
      </c>
      <c r="AC477" t="str">
        <f>CONCATENATE(AC$2,": ",AC$3,list1!AC477,"]")</f>
        <v xml:space="preserve"> (Допустимая темп. наружного воздуха) Обогрев: S[]</v>
      </c>
      <c r="AD477" s="6" t="s">
        <v>5172</v>
      </c>
    </row>
    <row r="478" spans="1:30" x14ac:dyDescent="0.25">
      <c r="A478" t="str">
        <f>CONCATENATE(A$2,": ",A$3,list1!A478,"]")</f>
        <v>Производитель: E[TOSOT]</v>
      </c>
      <c r="B478" t="str">
        <f>CONCATENATE(B$2,": ",B$3,list1!B478,"]")</f>
        <v xml:space="preserve"> Тип: S[Мульти сплит система]</v>
      </c>
      <c r="C478" t="str">
        <f>CONCATENATE(C$2,": ",C$3,list1!C478,"]")</f>
        <v xml:space="preserve"> (Сплит система) Холодопроизводительность: N[4.6]</v>
      </c>
      <c r="D478" t="str">
        <f>CONCATENATE(D$2,": ",D$3,list1!D478,"]")</f>
        <v xml:space="preserve"> (Сплит система) Площадь помещения: N[46]</v>
      </c>
      <c r="E478" t="str">
        <f>CONCATENATE(E$2,": ",E$3,list1!E478,"]")</f>
        <v xml:space="preserve"> (Сплит система) Инвентор: S[да]</v>
      </c>
      <c r="F478" t="str">
        <f>CONCATENATE(F$2,": ",F$3,list1!F478,"]")</f>
        <v xml:space="preserve"> (Сплит система) Теплопроизводительность: N[5.2]</v>
      </c>
      <c r="G478" t="str">
        <f>CONCATENATE(G$2,": ",G$3,list1!G478,"]")</f>
        <v xml:space="preserve"> (Потребляемая мощность) Охлаждение: N[0.035]</v>
      </c>
      <c r="H478" t="str">
        <f>CONCATENATE(H$2,": ",H$3,list1!H478,"]")</f>
        <v xml:space="preserve"> (Потребляемая мощность) Обогрев: S[]</v>
      </c>
      <c r="I478" t="str">
        <f>CONCATENATE(I$2,": ",I$3,list1!I478,"]")</f>
        <v xml:space="preserve"> (Рабочий ток) Охлаждение: S[]</v>
      </c>
      <c r="J478" t="str">
        <f>CONCATENATE(J$2,": ",J$3,list1!J478,"]")</f>
        <v xml:space="preserve"> (Рабочий ток) Обогрев: S[]</v>
      </c>
      <c r="K478" t="str">
        <f>CONCATENATE(K$2,": ",K$3,list1!K478,"]")</f>
        <v xml:space="preserve"> (Рабочий ток) Напряжение / Частота источника питания: S[1 / 220 / 50]</v>
      </c>
      <c r="L478" t="str">
        <f>CONCATENATE(L$2,": ",L$3,list1!L478,"]")</f>
        <v xml:space="preserve"> (Рабочий ток) Хладагент: S[R32]</v>
      </c>
      <c r="M478" t="str">
        <f>CONCATENATE(M$2,": ",M$3,list1!M478,"]")</f>
        <v xml:space="preserve"> (Рабочий ток) Количество хладагента: N[]</v>
      </c>
      <c r="N478" t="str">
        <f>CONCATENATE(N$2,": ",N$3,list1!N478,"]")</f>
        <v xml:space="preserve"> (Рабочий ток) Объем рециркулируемого воздуха внутреннего блока: S[]</v>
      </c>
      <c r="O478" t="str">
        <f>CONCATENATE(O$2,": ",O$3,list1!O478,"]")</f>
        <v xml:space="preserve"> (Внутренний блок) Размеры (Ш x Г x В): S[1017 х 221 х 304]</v>
      </c>
      <c r="P478" t="str">
        <f>CONCATENATE(P$2,": ",P$3,list1!P478,"]")</f>
        <v xml:space="preserve"> (Внутренний блок) Упаковка (Ш x Г x В): S[1077 х 300 х 375]</v>
      </c>
      <c r="Q478" t="str">
        <f>CONCATENATE(Q$2,": ",Q$3,list1!Q478,"]")</f>
        <v xml:space="preserve"> (Внутренний блок) Масса (нетто / брутто): S[14 / 17]</v>
      </c>
      <c r="R478" t="str">
        <f>CONCATENATE(R$2,": ",R$3,list1!R478,"]")</f>
        <v xml:space="preserve"> (Внутренний блок) Уровень шума мин. / макс.: S[34/39/45/48]</v>
      </c>
      <c r="S478" t="str">
        <f>CONCATENATE(S$2,": ",S$3,list1!S478,"]")</f>
        <v xml:space="preserve"> (Наружный блок) Марка компрессора: S[]</v>
      </c>
      <c r="T478" t="str">
        <f>CONCATENATE(T$2,": ",T$3,list1!T478,"]")</f>
        <v xml:space="preserve"> (Наружный блок) Размеры (Ш x Г x В): S[1017 х 221 х 304]</v>
      </c>
      <c r="U478" t="str">
        <f>CONCATENATE(U$2,": ",U$3,list1!U478,"]")</f>
        <v xml:space="preserve"> (Наружный блок) Упаковка (Ш x Г x В): S[1077 х 300 х 375]</v>
      </c>
      <c r="V478" t="str">
        <f>CONCATENATE(V$2,": ",V$3,list1!V478,"]")</f>
        <v xml:space="preserve"> (Наружный блок) Масса (нетто / брутто): S[14 / 17]</v>
      </c>
      <c r="W478" t="str">
        <f>CONCATENATE(W$2,": ",W$3,list1!W478,"]")</f>
        <v xml:space="preserve"> (Наружный блок) Максимальный уровень шума: N[]</v>
      </c>
      <c r="X478" t="str">
        <f>CONCATENATE(X$2,": ",X$3,list1!X478,"]")</f>
        <v xml:space="preserve"> (Соединительные трубы) Жидкостная линия : N[6.35]</v>
      </c>
      <c r="Y478" t="str">
        <f>CONCATENATE(Y$2,": ",Y$3,list1!Y478,"]")</f>
        <v xml:space="preserve"> (Соединительные трубы) Газовая линия : N[9.52]</v>
      </c>
      <c r="Z478" t="str">
        <f>CONCATENATE(Z$2,": ",Z$3,list1!Z478,"]")</f>
        <v xml:space="preserve"> (Соединительные трубы) Максимальная длина трубопровода: N[]</v>
      </c>
      <c r="AA478" t="str">
        <f>CONCATENATE(AA$2,": ",AA$3,list1!AA478,"]")</f>
        <v xml:space="preserve"> (Соединительные трубы) Максимальный перепад высот: S[]</v>
      </c>
      <c r="AB478" t="str">
        <f>CONCATENATE(AB$2,": ",AB$3,list1!AB478,"]")</f>
        <v xml:space="preserve"> (Допустимая темп. наружного воздуха) Охлаждение: S[]</v>
      </c>
      <c r="AC478" t="str">
        <f>CONCATENATE(AC$2,": ",AC$3,list1!AC478,"]")</f>
        <v xml:space="preserve"> (Допустимая темп. наружного воздуха) Обогрев: S[]</v>
      </c>
      <c r="AD478" s="6" t="s">
        <v>5172</v>
      </c>
    </row>
    <row r="479" spans="1:30" x14ac:dyDescent="0.25">
      <c r="A479" t="str">
        <f>CONCATENATE(A$2,": ",A$3,list1!A479,"]")</f>
        <v>Производитель: E[TOSOT]</v>
      </c>
      <c r="B479" t="str">
        <f>CONCATENATE(B$2,": ",B$3,list1!B479,"]")</f>
        <v xml:space="preserve"> Тип: S[Мульти сплит система]</v>
      </c>
      <c r="C479" t="str">
        <f>CONCATENATE(C$2,": ",C$3,list1!C479,"]")</f>
        <v xml:space="preserve"> (Сплит система) Холодопроизводительность: N[6.16]</v>
      </c>
      <c r="D479" t="str">
        <f>CONCATENATE(D$2,": ",D$3,list1!D479,"]")</f>
        <v xml:space="preserve"> (Сплит система) Площадь помещения: N[62]</v>
      </c>
      <c r="E479" t="str">
        <f>CONCATENATE(E$2,": ",E$3,list1!E479,"]")</f>
        <v xml:space="preserve"> (Сплит система) Инвентор: S[да]</v>
      </c>
      <c r="F479" t="str">
        <f>CONCATENATE(F$2,": ",F$3,list1!F479,"]")</f>
        <v xml:space="preserve"> (Сплит система) Теплопроизводительность: N[6.45]</v>
      </c>
      <c r="G479" t="str">
        <f>CONCATENATE(G$2,": ",G$3,list1!G479,"]")</f>
        <v xml:space="preserve"> (Потребляемая мощность) Охлаждение: N[0.06]</v>
      </c>
      <c r="H479" t="str">
        <f>CONCATENATE(H$2,": ",H$3,list1!H479,"]")</f>
        <v xml:space="preserve"> (Потребляемая мощность) Обогрев: S[]</v>
      </c>
      <c r="I479" t="str">
        <f>CONCATENATE(I$2,": ",I$3,list1!I479,"]")</f>
        <v xml:space="preserve"> (Рабочий ток) Охлаждение: S[]</v>
      </c>
      <c r="J479" t="str">
        <f>CONCATENATE(J$2,": ",J$3,list1!J479,"]")</f>
        <v xml:space="preserve"> (Рабочий ток) Обогрев: S[]</v>
      </c>
      <c r="K479" t="str">
        <f>CONCATENATE(K$2,": ",K$3,list1!K479,"]")</f>
        <v xml:space="preserve"> (Рабочий ток) Напряжение / Частота источника питания: S[1 / 220 / 50]</v>
      </c>
      <c r="L479" t="str">
        <f>CONCATENATE(L$2,": ",L$3,list1!L479,"]")</f>
        <v xml:space="preserve"> (Рабочий ток) Хладагент: S[R32]</v>
      </c>
      <c r="M479" t="str">
        <f>CONCATENATE(M$2,": ",M$3,list1!M479,"]")</f>
        <v xml:space="preserve"> (Рабочий ток) Количество хладагента: N[]</v>
      </c>
      <c r="N479" t="str">
        <f>CONCATENATE(N$2,": ",N$3,list1!N479,"]")</f>
        <v xml:space="preserve"> (Рабочий ток) Объем рециркулируемого воздуха внутреннего блока: S[]</v>
      </c>
      <c r="O479" t="str">
        <f>CONCATENATE(O$2,": ",O$3,list1!O479,"]")</f>
        <v xml:space="preserve"> (Внутренний блок) Размеры (Ш x Г x В): S[1017 х 221 х 304]</v>
      </c>
      <c r="P479" t="str">
        <f>CONCATENATE(P$2,": ",P$3,list1!P479,"]")</f>
        <v xml:space="preserve"> (Внутренний блок) Упаковка (Ш x Г x В): S[1077 х 300 х 375]</v>
      </c>
      <c r="Q479" t="str">
        <f>CONCATENATE(Q$2,": ",Q$3,list1!Q479,"]")</f>
        <v xml:space="preserve"> (Внутренний блок) Масса (нетто / брутто): S[14 / 17]</v>
      </c>
      <c r="R479" t="str">
        <f>CONCATENATE(R$2,": ",R$3,list1!R479,"]")</f>
        <v xml:space="preserve"> (Внутренний блок) Уровень шума мин. / макс.: S[34/40/44/48]</v>
      </c>
      <c r="S479" t="str">
        <f>CONCATENATE(S$2,": ",S$3,list1!S479,"]")</f>
        <v xml:space="preserve"> (Наружный блок) Марка компрессора: S[]</v>
      </c>
      <c r="T479" t="str">
        <f>CONCATENATE(T$2,": ",T$3,list1!T479,"]")</f>
        <v xml:space="preserve"> (Наружный блок) Размеры (Ш x Г x В): S[1017 х 221 х 304]</v>
      </c>
      <c r="U479" t="str">
        <f>CONCATENATE(U$2,": ",U$3,list1!U479,"]")</f>
        <v xml:space="preserve"> (Наружный блок) Упаковка (Ш x Г x В): S[1077 х 300 х 375]</v>
      </c>
      <c r="V479" t="str">
        <f>CONCATENATE(V$2,": ",V$3,list1!V479,"]")</f>
        <v xml:space="preserve"> (Наружный блок) Масса (нетто / брутто): S[14 / 17]</v>
      </c>
      <c r="W479" t="str">
        <f>CONCATENATE(W$2,": ",W$3,list1!W479,"]")</f>
        <v xml:space="preserve"> (Наружный блок) Максимальный уровень шума: N[]</v>
      </c>
      <c r="X479" t="str">
        <f>CONCATENATE(X$2,": ",X$3,list1!X479,"]")</f>
        <v xml:space="preserve"> (Соединительные трубы) Жидкостная линия : N[6.35]</v>
      </c>
      <c r="Y479" t="str">
        <f>CONCATENATE(Y$2,": ",Y$3,list1!Y479,"]")</f>
        <v xml:space="preserve"> (Соединительные трубы) Газовая линия : N[15.88]</v>
      </c>
      <c r="Z479" t="str">
        <f>CONCATENATE(Z$2,": ",Z$3,list1!Z479,"]")</f>
        <v xml:space="preserve"> (Соединительные трубы) Максимальная длина трубопровода: N[]</v>
      </c>
      <c r="AA479" t="str">
        <f>CONCATENATE(AA$2,": ",AA$3,list1!AA479,"]")</f>
        <v xml:space="preserve"> (Соединительные трубы) Максимальный перепад высот: S[]</v>
      </c>
      <c r="AB479" t="str">
        <f>CONCATENATE(AB$2,": ",AB$3,list1!AB479,"]")</f>
        <v xml:space="preserve"> (Допустимая темп. наружного воздуха) Охлаждение: S[]</v>
      </c>
      <c r="AC479" t="str">
        <f>CONCATENATE(AC$2,": ",AC$3,list1!AC479,"]")</f>
        <v xml:space="preserve"> (Допустимая темп. наружного воздуха) Обогрев: S[]</v>
      </c>
      <c r="AD479" s="6" t="s">
        <v>5172</v>
      </c>
    </row>
    <row r="480" spans="1:30" x14ac:dyDescent="0.25">
      <c r="A480" t="str">
        <f>CONCATENATE(A$2,": ",A$3,list1!A480,"]")</f>
        <v>Производитель: E[TOSOT]</v>
      </c>
      <c r="B480" t="str">
        <f>CONCATENATE(B$2,": ",B$3,list1!B480,"]")</f>
        <v xml:space="preserve"> Тип: S[Мульти сплит система]</v>
      </c>
      <c r="C480" t="str">
        <f>CONCATENATE(C$2,": ",C$3,list1!C480,"]")</f>
        <v xml:space="preserve"> (Сплит система) Холодопроизводительность: N[4.1]</v>
      </c>
      <c r="D480" t="str">
        <f>CONCATENATE(D$2,": ",D$3,list1!D480,"]")</f>
        <v xml:space="preserve"> (Сплит система) Площадь помещения: N[41]</v>
      </c>
      <c r="E480" t="str">
        <f>CONCATENATE(E$2,": ",E$3,list1!E480,"]")</f>
        <v xml:space="preserve"> (Сплит система) Инвентор: S[да]</v>
      </c>
      <c r="F480" t="str">
        <f>CONCATENATE(F$2,": ",F$3,list1!F480,"]")</f>
        <v xml:space="preserve"> (Сплит система) Теплопроизводительность: N[4.4]</v>
      </c>
      <c r="G480" t="str">
        <f>CONCATENATE(G$2,": ",G$3,list1!G480,"]")</f>
        <v xml:space="preserve"> (Потребляемая мощность) Охлаждение: N[1.2]</v>
      </c>
      <c r="H480" t="str">
        <f>CONCATENATE(H$2,": ",H$3,list1!H480,"]")</f>
        <v xml:space="preserve"> (Потребляемая мощность) Обогрев: S[1.18]</v>
      </c>
      <c r="I480" t="str">
        <f>CONCATENATE(I$2,": ",I$3,list1!I480,"]")</f>
        <v xml:space="preserve"> (Рабочий ток) Охлаждение: S[]</v>
      </c>
      <c r="J480" t="str">
        <f>CONCATENATE(J$2,": ",J$3,list1!J480,"]")</f>
        <v xml:space="preserve"> (Рабочий ток) Обогрев: S[]</v>
      </c>
      <c r="K480" t="str">
        <f>CONCATENATE(K$2,": ",K$3,list1!K480,"]")</f>
        <v xml:space="preserve"> (Рабочий ток) Напряжение / Частота источника питания: S[1 / 220 / 50]</v>
      </c>
      <c r="L480" t="str">
        <f>CONCATENATE(L$2,": ",L$3,list1!L480,"]")</f>
        <v xml:space="preserve"> (Рабочий ток) Хладагент: S[R410A]</v>
      </c>
      <c r="M480" t="str">
        <f>CONCATENATE(M$2,": ",M$3,list1!M480,"]")</f>
        <v xml:space="preserve"> (Рабочий ток) Количество хладагента: N[]</v>
      </c>
      <c r="N480" t="str">
        <f>CONCATENATE(N$2,": ",N$3,list1!N480,"]")</f>
        <v xml:space="preserve"> (Рабочий ток) Объем рециркулируемого воздуха внутреннего блока: S[]</v>
      </c>
      <c r="O480" t="str">
        <f>CONCATENATE(O$2,": ",O$3,list1!O480,"]")</f>
        <v xml:space="preserve"> (Внутренний блок) Размеры (Ш x Г x В): S[]</v>
      </c>
      <c r="P480" t="str">
        <f>CONCATENATE(P$2,": ",P$3,list1!P480,"]")</f>
        <v xml:space="preserve"> (Внутренний блок) Упаковка (Ш x Г x В): S[]</v>
      </c>
      <c r="Q480" t="str">
        <f>CONCATENATE(Q$2,": ",Q$3,list1!Q480,"]")</f>
        <v xml:space="preserve"> (Внутренний блок) Масса (нетто / брутто): S[]</v>
      </c>
      <c r="R480" t="str">
        <f>CONCATENATE(R$2,": ",R$3,list1!R480,"]")</f>
        <v xml:space="preserve"> (Внутренний блок) Уровень шума мин. / макс.: S[]</v>
      </c>
      <c r="S480" t="str">
        <f>CONCATENATE(S$2,": ",S$3,list1!S480,"]")</f>
        <v xml:space="preserve"> (Наружный блок) Марка компрессора: S[Gree]</v>
      </c>
      <c r="T480" t="str">
        <f>CONCATENATE(T$2,": ",T$3,list1!T480,"]")</f>
        <v xml:space="preserve"> (Наружный блок) Размеры (Ш x Г x В): S[]</v>
      </c>
      <c r="U480" t="str">
        <f>CONCATENATE(U$2,": ",U$3,list1!U480,"]")</f>
        <v xml:space="preserve"> (Наружный блок) Упаковка (Ш x Г x В): S[]</v>
      </c>
      <c r="V480" t="str">
        <f>CONCATENATE(V$2,": ",V$3,list1!V480,"]")</f>
        <v xml:space="preserve"> (Наружный блок) Масса (нетто / брутто): S[]</v>
      </c>
      <c r="W480" t="str">
        <f>CONCATENATE(W$2,": ",W$3,list1!W480,"]")</f>
        <v xml:space="preserve"> (Наружный блок) Максимальный уровень шума: N[]</v>
      </c>
      <c r="X480" t="str">
        <f>CONCATENATE(X$2,": ",X$3,list1!X480,"]")</f>
        <v xml:space="preserve"> (Соединительные трубы) Жидкостная линия : N[]</v>
      </c>
      <c r="Y480" t="str">
        <f>CONCATENATE(Y$2,": ",Y$3,list1!Y480,"]")</f>
        <v xml:space="preserve"> (Соединительные трубы) Газовая линия : N[]</v>
      </c>
      <c r="Z480" t="str">
        <f>CONCATENATE(Z$2,": ",Z$3,list1!Z480,"]")</f>
        <v xml:space="preserve"> (Соединительные трубы) Максимальная длина трубопровода: N[20]</v>
      </c>
      <c r="AA480" t="str">
        <f>CONCATENATE(AA$2,": ",AA$3,list1!AA480,"]")</f>
        <v xml:space="preserve"> (Соединительные трубы) Максимальный перепад высот: S[5]</v>
      </c>
      <c r="AB480" t="str">
        <f>CONCATENATE(AB$2,": ",AB$3,list1!AB480,"]")</f>
        <v xml:space="preserve"> (Допустимая темп. наружного воздуха) Охлаждение: S[от -15 до +43]</v>
      </c>
      <c r="AC480" t="str">
        <f>CONCATENATE(AC$2,": ",AC$3,list1!AC480,"]")</f>
        <v xml:space="preserve"> (Допустимая темп. наружного воздуха) Обогрев: S[от -20 до +24]</v>
      </c>
      <c r="AD480" s="6" t="s">
        <v>5173</v>
      </c>
    </row>
    <row r="481" spans="1:30" x14ac:dyDescent="0.25">
      <c r="A481" t="str">
        <f>CONCATENATE(A$2,": ",A$3,list1!A481,"]")</f>
        <v>Производитель: E[TOSOT]</v>
      </c>
      <c r="B481" t="str">
        <f>CONCATENATE(B$2,": ",B$3,list1!B481,"]")</f>
        <v xml:space="preserve"> Тип: S[Мульти сплит система]</v>
      </c>
      <c r="C481" t="str">
        <f>CONCATENATE(C$2,": ",C$3,list1!C481,"]")</f>
        <v xml:space="preserve"> (Сплит система) Холодопроизводительность: N[5.2]</v>
      </c>
      <c r="D481" t="str">
        <f>CONCATENATE(D$2,": ",D$3,list1!D481,"]")</f>
        <v xml:space="preserve"> (Сплит система) Площадь помещения: N[52]</v>
      </c>
      <c r="E481" t="str">
        <f>CONCATENATE(E$2,": ",E$3,list1!E481,"]")</f>
        <v xml:space="preserve"> (Сплит система) Инвентор: S[да]</v>
      </c>
      <c r="F481" t="str">
        <f>CONCATENATE(F$2,": ",F$3,list1!F481,"]")</f>
        <v xml:space="preserve"> (Сплит система) Теплопроизводительность: N[5.4]</v>
      </c>
      <c r="G481" t="str">
        <f>CONCATENATE(G$2,": ",G$3,list1!G481,"]")</f>
        <v xml:space="preserve"> (Потребляемая мощность) Охлаждение: N[1.45]</v>
      </c>
      <c r="H481" t="str">
        <f>CONCATENATE(H$2,": ",H$3,list1!H481,"]")</f>
        <v xml:space="preserve"> (Потребляемая мощность) Обогрев: S[1.45]</v>
      </c>
      <c r="I481" t="str">
        <f>CONCATENATE(I$2,": ",I$3,list1!I481,"]")</f>
        <v xml:space="preserve"> (Рабочий ток) Охлаждение: S[]</v>
      </c>
      <c r="J481" t="str">
        <f>CONCATENATE(J$2,": ",J$3,list1!J481,"]")</f>
        <v xml:space="preserve"> (Рабочий ток) Обогрев: S[]</v>
      </c>
      <c r="K481" t="str">
        <f>CONCATENATE(K$2,": ",K$3,list1!K481,"]")</f>
        <v xml:space="preserve"> (Рабочий ток) Напряжение / Частота источника питания: S[1 / 220 / 50]</v>
      </c>
      <c r="L481" t="str">
        <f>CONCATENATE(L$2,": ",L$3,list1!L481,"]")</f>
        <v xml:space="preserve"> (Рабочий ток) Хладагент: S[R410A]</v>
      </c>
      <c r="M481" t="str">
        <f>CONCATENATE(M$2,": ",M$3,list1!M481,"]")</f>
        <v xml:space="preserve"> (Рабочий ток) Количество хладагента: N[]</v>
      </c>
      <c r="N481" t="str">
        <f>CONCATENATE(N$2,": ",N$3,list1!N481,"]")</f>
        <v xml:space="preserve"> (Рабочий ток) Объем рециркулируемого воздуха внутреннего блока: S[]</v>
      </c>
      <c r="O481" t="str">
        <f>CONCATENATE(O$2,": ",O$3,list1!O481,"]")</f>
        <v xml:space="preserve"> (Внутренний блок) Размеры (Ш x Г x В): S[]</v>
      </c>
      <c r="P481" t="str">
        <f>CONCATENATE(P$2,": ",P$3,list1!P481,"]")</f>
        <v xml:space="preserve"> (Внутренний блок) Упаковка (Ш x Г x В): S[]</v>
      </c>
      <c r="Q481" t="str">
        <f>CONCATENATE(Q$2,": ",Q$3,list1!Q481,"]")</f>
        <v xml:space="preserve"> (Внутренний блок) Масса (нетто / брутто): S[]</v>
      </c>
      <c r="R481" t="str">
        <f>CONCATENATE(R$2,": ",R$3,list1!R481,"]")</f>
        <v xml:space="preserve"> (Внутренний блок) Уровень шума мин. / макс.: S[]</v>
      </c>
      <c r="S481" t="str">
        <f>CONCATENATE(S$2,": ",S$3,list1!S481,"]")</f>
        <v xml:space="preserve"> (Наружный блок) Марка компрессора: S[Gree]</v>
      </c>
      <c r="T481" t="str">
        <f>CONCATENATE(T$2,": ",T$3,list1!T481,"]")</f>
        <v xml:space="preserve"> (Наружный блок) Размеры (Ш x Г x В): S[]</v>
      </c>
      <c r="U481" t="str">
        <f>CONCATENATE(U$2,": ",U$3,list1!U481,"]")</f>
        <v xml:space="preserve"> (Наружный блок) Упаковка (Ш x Г x В): S[]</v>
      </c>
      <c r="V481" t="str">
        <f>CONCATENATE(V$2,": ",V$3,list1!V481,"]")</f>
        <v xml:space="preserve"> (Наружный блок) Масса (нетто / брутто): S[]</v>
      </c>
      <c r="W481" t="str">
        <f>CONCATENATE(W$2,": ",W$3,list1!W481,"]")</f>
        <v xml:space="preserve"> (Наружный блок) Максимальный уровень шума: N[]</v>
      </c>
      <c r="X481" t="str">
        <f>CONCATENATE(X$2,": ",X$3,list1!X481,"]")</f>
        <v xml:space="preserve"> (Соединительные трубы) Жидкостная линия : N[]</v>
      </c>
      <c r="Y481" t="str">
        <f>CONCATENATE(Y$2,": ",Y$3,list1!Y481,"]")</f>
        <v xml:space="preserve"> (Соединительные трубы) Газовая линия : N[]</v>
      </c>
      <c r="Z481" t="str">
        <f>CONCATENATE(Z$2,": ",Z$3,list1!Z481,"]")</f>
        <v xml:space="preserve"> (Соединительные трубы) Максимальная длина трубопровода: N[20]</v>
      </c>
      <c r="AA481" t="str">
        <f>CONCATENATE(AA$2,": ",AA$3,list1!AA481,"]")</f>
        <v xml:space="preserve"> (Соединительные трубы) Максимальный перепад высот: S[5]</v>
      </c>
      <c r="AB481" t="str">
        <f>CONCATENATE(AB$2,": ",AB$3,list1!AB481,"]")</f>
        <v xml:space="preserve"> (Допустимая темп. наружного воздуха) Охлаждение: S[от -15 до +43]</v>
      </c>
      <c r="AC481" t="str">
        <f>CONCATENATE(AC$2,": ",AC$3,list1!AC481,"]")</f>
        <v xml:space="preserve"> (Допустимая темп. наружного воздуха) Обогрев: S[от -20 до +24]</v>
      </c>
      <c r="AD481" s="6" t="s">
        <v>5173</v>
      </c>
    </row>
    <row r="482" spans="1:30" x14ac:dyDescent="0.25">
      <c r="A482" t="str">
        <f>CONCATENATE(A$2,": ",A$3,list1!A482,"]")</f>
        <v>Производитель: E[TOSOT]</v>
      </c>
      <c r="B482" t="str">
        <f>CONCATENATE(B$2,": ",B$3,list1!B482,"]")</f>
        <v xml:space="preserve"> Тип: S[Мульти сплит система]</v>
      </c>
      <c r="C482" t="str">
        <f>CONCATENATE(C$2,": ",C$3,list1!C482,"]")</f>
        <v xml:space="preserve"> (Сплит система) Холодопроизводительность: N[6.1]</v>
      </c>
      <c r="D482" t="str">
        <f>CONCATENATE(D$2,": ",D$3,list1!D482,"]")</f>
        <v xml:space="preserve"> (Сплит система) Площадь помещения: N[61]</v>
      </c>
      <c r="E482" t="str">
        <f>CONCATENATE(E$2,": ",E$3,list1!E482,"]")</f>
        <v xml:space="preserve"> (Сплит система) Инвентор: S[да]</v>
      </c>
      <c r="F482" t="str">
        <f>CONCATENATE(F$2,": ",F$3,list1!F482,"]")</f>
        <v xml:space="preserve"> (Сплит система) Теплопроизводительность: N[6.5]</v>
      </c>
      <c r="G482" t="str">
        <f>CONCATENATE(G$2,": ",G$3,list1!G482,"]")</f>
        <v xml:space="preserve"> (Потребляемая мощность) Охлаждение: N[1.91]</v>
      </c>
      <c r="H482" t="str">
        <f>CONCATENATE(H$2,": ",H$3,list1!H482,"]")</f>
        <v xml:space="preserve"> (Потребляемая мощность) Обогрев: S[1.73]</v>
      </c>
      <c r="I482" t="str">
        <f>CONCATENATE(I$2,": ",I$3,list1!I482,"]")</f>
        <v xml:space="preserve"> (Рабочий ток) Охлаждение: S[]</v>
      </c>
      <c r="J482" t="str">
        <f>CONCATENATE(J$2,": ",J$3,list1!J482,"]")</f>
        <v xml:space="preserve"> (Рабочий ток) Обогрев: S[]</v>
      </c>
      <c r="K482" t="str">
        <f>CONCATENATE(K$2,": ",K$3,list1!K482,"]")</f>
        <v xml:space="preserve"> (Рабочий ток) Напряжение / Частота источника питания: S[1 / 220 / 50]</v>
      </c>
      <c r="L482" t="str">
        <f>CONCATENATE(L$2,": ",L$3,list1!L482,"]")</f>
        <v xml:space="preserve"> (Рабочий ток) Хладагент: S[R410A]</v>
      </c>
      <c r="M482" t="str">
        <f>CONCATENATE(M$2,": ",M$3,list1!M482,"]")</f>
        <v xml:space="preserve"> (Рабочий ток) Количество хладагента: N[]</v>
      </c>
      <c r="N482" t="str">
        <f>CONCATENATE(N$2,": ",N$3,list1!N482,"]")</f>
        <v xml:space="preserve"> (Рабочий ток) Объем рециркулируемого воздуха внутреннего блока: S[]</v>
      </c>
      <c r="O482" t="str">
        <f>CONCATENATE(O$2,": ",O$3,list1!O482,"]")</f>
        <v xml:space="preserve"> (Внутренний блок) Размеры (Ш x Г x В): S[]</v>
      </c>
      <c r="P482" t="str">
        <f>CONCATENATE(P$2,": ",P$3,list1!P482,"]")</f>
        <v xml:space="preserve"> (Внутренний блок) Упаковка (Ш x Г x В): S[]</v>
      </c>
      <c r="Q482" t="str">
        <f>CONCATENATE(Q$2,": ",Q$3,list1!Q482,"]")</f>
        <v xml:space="preserve"> (Внутренний блок) Масса (нетто / брутто): S[]</v>
      </c>
      <c r="R482" t="str">
        <f>CONCATENATE(R$2,": ",R$3,list1!R482,"]")</f>
        <v xml:space="preserve"> (Внутренний блок) Уровень шума мин. / макс.: S[]</v>
      </c>
      <c r="S482" t="str">
        <f>CONCATENATE(S$2,": ",S$3,list1!S482,"]")</f>
        <v xml:space="preserve"> (Наружный блок) Марка компрессора: S[Gree]</v>
      </c>
      <c r="T482" t="str">
        <f>CONCATENATE(T$2,": ",T$3,list1!T482,"]")</f>
        <v xml:space="preserve"> (Наружный блок) Размеры (Ш x Г x В): S[]</v>
      </c>
      <c r="U482" t="str">
        <f>CONCATENATE(U$2,": ",U$3,list1!U482,"]")</f>
        <v xml:space="preserve"> (Наружный блок) Упаковка (Ш x Г x В): S[]</v>
      </c>
      <c r="V482" t="str">
        <f>CONCATENATE(V$2,": ",V$3,list1!V482,"]")</f>
        <v xml:space="preserve"> (Наружный блок) Масса (нетто / брутто): S[]</v>
      </c>
      <c r="W482" t="str">
        <f>CONCATENATE(W$2,": ",W$3,list1!W482,"]")</f>
        <v xml:space="preserve"> (Наружный блок) Максимальный уровень шума: N[]</v>
      </c>
      <c r="X482" t="str">
        <f>CONCATENATE(X$2,": ",X$3,list1!X482,"]")</f>
        <v xml:space="preserve"> (Соединительные трубы) Жидкостная линия : N[]</v>
      </c>
      <c r="Y482" t="str">
        <f>CONCATENATE(Y$2,": ",Y$3,list1!Y482,"]")</f>
        <v xml:space="preserve"> (Соединительные трубы) Газовая линия : N[]</v>
      </c>
      <c r="Z482" t="str">
        <f>CONCATENATE(Z$2,": ",Z$3,list1!Z482,"]")</f>
        <v xml:space="preserve"> (Соединительные трубы) Максимальная длина трубопровода: N[60]</v>
      </c>
      <c r="AA482" t="str">
        <f>CONCATENATE(AA$2,": ",AA$3,list1!AA482,"]")</f>
        <v xml:space="preserve"> (Соединительные трубы) Максимальный перепад высот: S[10]</v>
      </c>
      <c r="AB482" t="str">
        <f>CONCATENATE(AB$2,": ",AB$3,list1!AB482,"]")</f>
        <v xml:space="preserve"> (Допустимая темп. наружного воздуха) Охлаждение: S[от -15 до +43]</v>
      </c>
      <c r="AC482" t="str">
        <f>CONCATENATE(AC$2,": ",AC$3,list1!AC482,"]")</f>
        <v xml:space="preserve"> (Допустимая темп. наружного воздуха) Обогрев: S[от -20 до +24]</v>
      </c>
      <c r="AD482" s="6" t="s">
        <v>5173</v>
      </c>
    </row>
    <row r="483" spans="1:30" x14ac:dyDescent="0.25">
      <c r="A483" t="str">
        <f>CONCATENATE(A$2,": ",A$3,list1!A483,"]")</f>
        <v>Производитель: E[TOSOT]</v>
      </c>
      <c r="B483" t="str">
        <f>CONCATENATE(B$2,": ",B$3,list1!B483,"]")</f>
        <v xml:space="preserve"> Тип: S[Мульти сплит система]</v>
      </c>
      <c r="C483" t="str">
        <f>CONCATENATE(C$2,": ",C$3,list1!C483,"]")</f>
        <v xml:space="preserve"> (Сплит система) Холодопроизводительность: N[7.1]</v>
      </c>
      <c r="D483" t="str">
        <f>CONCATENATE(D$2,": ",D$3,list1!D483,"]")</f>
        <v xml:space="preserve"> (Сплит система) Площадь помещения: N[71]</v>
      </c>
      <c r="E483" t="str">
        <f>CONCATENATE(E$2,": ",E$3,list1!E483,"]")</f>
        <v xml:space="preserve"> (Сплит система) Инвентор: S[да]</v>
      </c>
      <c r="F483" t="str">
        <f>CONCATENATE(F$2,": ",F$3,list1!F483,"]")</f>
        <v xml:space="preserve"> (Сплит система) Теплопроизводительность: N[8.5]</v>
      </c>
      <c r="G483" t="str">
        <f>CONCATENATE(G$2,": ",G$3,list1!G483,"]")</f>
        <v xml:space="preserve"> (Потребляемая мощность) Охлаждение: N[2.18]</v>
      </c>
      <c r="H483" t="str">
        <f>CONCATENATE(H$2,": ",H$3,list1!H483,"]")</f>
        <v xml:space="preserve"> (Потребляемая мощность) Обогрев: S[2.28]</v>
      </c>
      <c r="I483" t="str">
        <f>CONCATENATE(I$2,": ",I$3,list1!I483,"]")</f>
        <v xml:space="preserve"> (Рабочий ток) Охлаждение: S[]</v>
      </c>
      <c r="J483" t="str">
        <f>CONCATENATE(J$2,": ",J$3,list1!J483,"]")</f>
        <v xml:space="preserve"> (Рабочий ток) Обогрев: S[]</v>
      </c>
      <c r="K483" t="str">
        <f>CONCATENATE(K$2,": ",K$3,list1!K483,"]")</f>
        <v xml:space="preserve"> (Рабочий ток) Напряжение / Частота источника питания: S[1 / 220 / 50]</v>
      </c>
      <c r="L483" t="str">
        <f>CONCATENATE(L$2,": ",L$3,list1!L483,"]")</f>
        <v xml:space="preserve"> (Рабочий ток) Хладагент: S[R410A]</v>
      </c>
      <c r="M483" t="str">
        <f>CONCATENATE(M$2,": ",M$3,list1!M483,"]")</f>
        <v xml:space="preserve"> (Рабочий ток) Количество хладагента: N[]</v>
      </c>
      <c r="N483" t="str">
        <f>CONCATENATE(N$2,": ",N$3,list1!N483,"]")</f>
        <v xml:space="preserve"> (Рабочий ток) Объем рециркулируемого воздуха внутреннего блока: S[]</v>
      </c>
      <c r="O483" t="str">
        <f>CONCATENATE(O$2,": ",O$3,list1!O483,"]")</f>
        <v xml:space="preserve"> (Внутренний блок) Размеры (Ш x Г x В): S[]</v>
      </c>
      <c r="P483" t="str">
        <f>CONCATENATE(P$2,": ",P$3,list1!P483,"]")</f>
        <v xml:space="preserve"> (Внутренний блок) Упаковка (Ш x Г x В): S[]</v>
      </c>
      <c r="Q483" t="str">
        <f>CONCATENATE(Q$2,": ",Q$3,list1!Q483,"]")</f>
        <v xml:space="preserve"> (Внутренний блок) Масса (нетто / брутто): S[]</v>
      </c>
      <c r="R483" t="str">
        <f>CONCATENATE(R$2,": ",R$3,list1!R483,"]")</f>
        <v xml:space="preserve"> (Внутренний блок) Уровень шума мин. / макс.: S[]</v>
      </c>
      <c r="S483" t="str">
        <f>CONCATENATE(S$2,": ",S$3,list1!S483,"]")</f>
        <v xml:space="preserve"> (Наружный блок) Марка компрессора: S[Gree]</v>
      </c>
      <c r="T483" t="str">
        <f>CONCATENATE(T$2,": ",T$3,list1!T483,"]")</f>
        <v xml:space="preserve"> (Наружный блок) Размеры (Ш x Г x В): S[]</v>
      </c>
      <c r="U483" t="str">
        <f>CONCATENATE(U$2,": ",U$3,list1!U483,"]")</f>
        <v xml:space="preserve"> (Наружный блок) Упаковка (Ш x Г x В): S[]</v>
      </c>
      <c r="V483" t="str">
        <f>CONCATENATE(V$2,": ",V$3,list1!V483,"]")</f>
        <v xml:space="preserve"> (Наружный блок) Масса (нетто / брутто): S[]</v>
      </c>
      <c r="W483" t="str">
        <f>CONCATENATE(W$2,": ",W$3,list1!W483,"]")</f>
        <v xml:space="preserve"> (Наружный блок) Максимальный уровень шума: N[]</v>
      </c>
      <c r="X483" t="str">
        <f>CONCATENATE(X$2,": ",X$3,list1!X483,"]")</f>
        <v xml:space="preserve"> (Соединительные трубы) Жидкостная линия : N[]</v>
      </c>
      <c r="Y483" t="str">
        <f>CONCATENATE(Y$2,": ",Y$3,list1!Y483,"]")</f>
        <v xml:space="preserve"> (Соединительные трубы) Газовая линия : N[]</v>
      </c>
      <c r="Z483" t="str">
        <f>CONCATENATE(Z$2,": ",Z$3,list1!Z483,"]")</f>
        <v xml:space="preserve"> (Соединительные трубы) Максимальная длина трубопровода: N[60]</v>
      </c>
      <c r="AA483" t="str">
        <f>CONCATENATE(AA$2,": ",AA$3,list1!AA483,"]")</f>
        <v xml:space="preserve"> (Соединительные трубы) Максимальный перепад высот: S[10]</v>
      </c>
      <c r="AB483" t="str">
        <f>CONCATENATE(AB$2,": ",AB$3,list1!AB483,"]")</f>
        <v xml:space="preserve"> (Допустимая темп. наружного воздуха) Охлаждение: S[от -15 до +43]</v>
      </c>
      <c r="AC483" t="str">
        <f>CONCATENATE(AC$2,": ",AC$3,list1!AC483,"]")</f>
        <v xml:space="preserve"> (Допустимая темп. наружного воздуха) Обогрев: S[от -20 до +24]</v>
      </c>
      <c r="AD483" s="6" t="s">
        <v>5173</v>
      </c>
    </row>
    <row r="484" spans="1:30" x14ac:dyDescent="0.25">
      <c r="A484" t="str">
        <f>CONCATENATE(A$2,": ",A$3,list1!A484,"]")</f>
        <v>Производитель: E[TOSOT]</v>
      </c>
      <c r="B484" t="str">
        <f>CONCATENATE(B$2,": ",B$3,list1!B484,"]")</f>
        <v xml:space="preserve"> Тип: S[Мульти сплит система]</v>
      </c>
      <c r="C484" t="str">
        <f>CONCATENATE(C$2,": ",C$3,list1!C484,"]")</f>
        <v xml:space="preserve"> (Сплит система) Холодопроизводительность: N[8]</v>
      </c>
      <c r="D484" t="str">
        <f>CONCATENATE(D$2,": ",D$3,list1!D484,"]")</f>
        <v xml:space="preserve"> (Сплит система) Площадь помещения: N[80]</v>
      </c>
      <c r="E484" t="str">
        <f>CONCATENATE(E$2,": ",E$3,list1!E484,"]")</f>
        <v xml:space="preserve"> (Сплит система) Инвентор: S[да]</v>
      </c>
      <c r="F484" t="str">
        <f>CONCATENATE(F$2,": ",F$3,list1!F484,"]")</f>
        <v xml:space="preserve"> (Сплит система) Теплопроизводительность: N[9.3]</v>
      </c>
      <c r="G484" t="str">
        <f>CONCATENATE(G$2,": ",G$3,list1!G484,"]")</f>
        <v xml:space="preserve"> (Потребляемая мощность) Охлаждение: N[2.54]</v>
      </c>
      <c r="H484" t="str">
        <f>CONCATENATE(H$2,": ",H$3,list1!H484,"]")</f>
        <v xml:space="preserve"> (Потребляемая мощность) Обогрев: S[2.49]</v>
      </c>
      <c r="I484" t="str">
        <f>CONCATENATE(I$2,": ",I$3,list1!I484,"]")</f>
        <v xml:space="preserve"> (Рабочий ток) Охлаждение: S[]</v>
      </c>
      <c r="J484" t="str">
        <f>CONCATENATE(J$2,": ",J$3,list1!J484,"]")</f>
        <v xml:space="preserve"> (Рабочий ток) Обогрев: S[]</v>
      </c>
      <c r="K484" t="str">
        <f>CONCATENATE(K$2,": ",K$3,list1!K484,"]")</f>
        <v xml:space="preserve"> (Рабочий ток) Напряжение / Частота источника питания: S[1 / 220 / 50]</v>
      </c>
      <c r="L484" t="str">
        <f>CONCATENATE(L$2,": ",L$3,list1!L484,"]")</f>
        <v xml:space="preserve"> (Рабочий ток) Хладагент: S[R410A]</v>
      </c>
      <c r="M484" t="str">
        <f>CONCATENATE(M$2,": ",M$3,list1!M484,"]")</f>
        <v xml:space="preserve"> (Рабочий ток) Количество хладагента: N[]</v>
      </c>
      <c r="N484" t="str">
        <f>CONCATENATE(N$2,": ",N$3,list1!N484,"]")</f>
        <v xml:space="preserve"> (Рабочий ток) Объем рециркулируемого воздуха внутреннего блока: S[]</v>
      </c>
      <c r="O484" t="str">
        <f>CONCATENATE(O$2,": ",O$3,list1!O484,"]")</f>
        <v xml:space="preserve"> (Внутренний блок) Размеры (Ш x Г x В): S[]</v>
      </c>
      <c r="P484" t="str">
        <f>CONCATENATE(P$2,": ",P$3,list1!P484,"]")</f>
        <v xml:space="preserve"> (Внутренний блок) Упаковка (Ш x Г x В): S[]</v>
      </c>
      <c r="Q484" t="str">
        <f>CONCATENATE(Q$2,": ",Q$3,list1!Q484,"]")</f>
        <v xml:space="preserve"> (Внутренний блок) Масса (нетто / брутто): S[]</v>
      </c>
      <c r="R484" t="str">
        <f>CONCATENATE(R$2,": ",R$3,list1!R484,"]")</f>
        <v xml:space="preserve"> (Внутренний блок) Уровень шума мин. / макс.: S[]</v>
      </c>
      <c r="S484" t="str">
        <f>CONCATENATE(S$2,": ",S$3,list1!S484,"]")</f>
        <v xml:space="preserve"> (Наружный блок) Марка компрессора: S[Gree]</v>
      </c>
      <c r="T484" t="str">
        <f>CONCATENATE(T$2,": ",T$3,list1!T484,"]")</f>
        <v xml:space="preserve"> (Наружный блок) Размеры (Ш x Г x В): S[]</v>
      </c>
      <c r="U484" t="str">
        <f>CONCATENATE(U$2,": ",U$3,list1!U484,"]")</f>
        <v xml:space="preserve"> (Наружный блок) Упаковка (Ш x Г x В): S[]</v>
      </c>
      <c r="V484" t="str">
        <f>CONCATENATE(V$2,": ",V$3,list1!V484,"]")</f>
        <v xml:space="preserve"> (Наружный блок) Масса (нетто / брутто): S[]</v>
      </c>
      <c r="W484" t="str">
        <f>CONCATENATE(W$2,": ",W$3,list1!W484,"]")</f>
        <v xml:space="preserve"> (Наружный блок) Максимальный уровень шума: N[]</v>
      </c>
      <c r="X484" t="str">
        <f>CONCATENATE(X$2,": ",X$3,list1!X484,"]")</f>
        <v xml:space="preserve"> (Соединительные трубы) Жидкостная линия : N[]</v>
      </c>
      <c r="Y484" t="str">
        <f>CONCATENATE(Y$2,": ",Y$3,list1!Y484,"]")</f>
        <v xml:space="preserve"> (Соединительные трубы) Газовая линия : N[]</v>
      </c>
      <c r="Z484" t="str">
        <f>CONCATENATE(Z$2,": ",Z$3,list1!Z484,"]")</f>
        <v xml:space="preserve"> (Соединительные трубы) Максимальная длина трубопровода: N[70]</v>
      </c>
      <c r="AA484" t="str">
        <f>CONCATENATE(AA$2,": ",AA$3,list1!AA484,"]")</f>
        <v xml:space="preserve"> (Соединительные трубы) Максимальный перепад высот: S[10]</v>
      </c>
      <c r="AB484" t="str">
        <f>CONCATENATE(AB$2,": ",AB$3,list1!AB484,"]")</f>
        <v xml:space="preserve"> (Допустимая темп. наружного воздуха) Охлаждение: S[от -15 до +43]</v>
      </c>
      <c r="AC484" t="str">
        <f>CONCATENATE(AC$2,": ",AC$3,list1!AC484,"]")</f>
        <v xml:space="preserve"> (Допустимая темп. наружного воздуха) Обогрев: S[от -20 до +24]</v>
      </c>
      <c r="AD484" s="6" t="s">
        <v>5173</v>
      </c>
    </row>
    <row r="485" spans="1:30" x14ac:dyDescent="0.25">
      <c r="A485" t="str">
        <f>CONCATENATE(A$2,": ",A$3,list1!A485,"]")</f>
        <v>Производитель: E[TOSOT]</v>
      </c>
      <c r="B485" t="str">
        <f>CONCATENATE(B$2,": ",B$3,list1!B485,"]")</f>
        <v xml:space="preserve"> Тип: S[Мульти сплит система]</v>
      </c>
      <c r="C485" t="str">
        <f>CONCATENATE(C$2,": ",C$3,list1!C485,"]")</f>
        <v xml:space="preserve"> (Сплит система) Холодопроизводительность: N[10.5]</v>
      </c>
      <c r="D485" t="str">
        <f>CONCATENATE(D$2,": ",D$3,list1!D485,"]")</f>
        <v xml:space="preserve"> (Сплит система) Площадь помещения: N[100]</v>
      </c>
      <c r="E485" t="str">
        <f>CONCATENATE(E$2,": ",E$3,list1!E485,"]")</f>
        <v xml:space="preserve"> (Сплит система) Инвентор: S[да]</v>
      </c>
      <c r="F485" t="str">
        <f>CONCATENATE(F$2,": ",F$3,list1!F485,"]")</f>
        <v xml:space="preserve"> (Сплит система) Теплопроизводительность: N[12]</v>
      </c>
      <c r="G485" t="str">
        <f>CONCATENATE(G$2,": ",G$3,list1!G485,"]")</f>
        <v xml:space="preserve"> (Потребляемая мощность) Охлаждение: N[3.5]</v>
      </c>
      <c r="H485" t="str">
        <f>CONCATENATE(H$2,": ",H$3,list1!H485,"]")</f>
        <v xml:space="preserve"> (Потребляемая мощность) Обогрев: S[3.75]</v>
      </c>
      <c r="I485" t="str">
        <f>CONCATENATE(I$2,": ",I$3,list1!I485,"]")</f>
        <v xml:space="preserve"> (Рабочий ток) Охлаждение: S[]</v>
      </c>
      <c r="J485" t="str">
        <f>CONCATENATE(J$2,": ",J$3,list1!J485,"]")</f>
        <v xml:space="preserve"> (Рабочий ток) Обогрев: S[]</v>
      </c>
      <c r="K485" t="str">
        <f>CONCATENATE(K$2,": ",K$3,list1!K485,"]")</f>
        <v xml:space="preserve"> (Рабочий ток) Напряжение / Частота источника питания: S[1 / 220 / 50]</v>
      </c>
      <c r="L485" t="str">
        <f>CONCATENATE(L$2,": ",L$3,list1!L485,"]")</f>
        <v xml:space="preserve"> (Рабочий ток) Хладагент: S[R410A]</v>
      </c>
      <c r="M485" t="str">
        <f>CONCATENATE(M$2,": ",M$3,list1!M485,"]")</f>
        <v xml:space="preserve"> (Рабочий ток) Количество хладагента: N[]</v>
      </c>
      <c r="N485" t="str">
        <f>CONCATENATE(N$2,": ",N$3,list1!N485,"]")</f>
        <v xml:space="preserve"> (Рабочий ток) Объем рециркулируемого воздуха внутреннего блока: S[]</v>
      </c>
      <c r="O485" t="str">
        <f>CONCATENATE(O$2,": ",O$3,list1!O485,"]")</f>
        <v xml:space="preserve"> (Внутренний блок) Размеры (Ш x Г x В): S[]</v>
      </c>
      <c r="P485" t="str">
        <f>CONCATENATE(P$2,": ",P$3,list1!P485,"]")</f>
        <v xml:space="preserve"> (Внутренний блок) Упаковка (Ш x Г x В): S[]</v>
      </c>
      <c r="Q485" t="str">
        <f>CONCATENATE(Q$2,": ",Q$3,list1!Q485,"]")</f>
        <v xml:space="preserve"> (Внутренний блок) Масса (нетто / брутто): S[]</v>
      </c>
      <c r="R485" t="str">
        <f>CONCATENATE(R$2,": ",R$3,list1!R485,"]")</f>
        <v xml:space="preserve"> (Внутренний блок) Уровень шума мин. / макс.: S[]</v>
      </c>
      <c r="S485" t="str">
        <f>CONCATENATE(S$2,": ",S$3,list1!S485,"]")</f>
        <v xml:space="preserve"> (Наружный блок) Марка компрессора: S[Gree]</v>
      </c>
      <c r="T485" t="str">
        <f>CONCATENATE(T$2,": ",T$3,list1!T485,"]")</f>
        <v xml:space="preserve"> (Наружный блок) Размеры (Ш x Г x В): S[]</v>
      </c>
      <c r="U485" t="str">
        <f>CONCATENATE(U$2,": ",U$3,list1!U485,"]")</f>
        <v xml:space="preserve"> (Наружный блок) Упаковка (Ш x Г x В): S[]</v>
      </c>
      <c r="V485" t="str">
        <f>CONCATENATE(V$2,": ",V$3,list1!V485,"]")</f>
        <v xml:space="preserve"> (Наружный блок) Масса (нетто / брутто): S[]</v>
      </c>
      <c r="W485" t="str">
        <f>CONCATENATE(W$2,": ",W$3,list1!W485,"]")</f>
        <v xml:space="preserve"> (Наружный блок) Максимальный уровень шума: N[]</v>
      </c>
      <c r="X485" t="str">
        <f>CONCATENATE(X$2,": ",X$3,list1!X485,"]")</f>
        <v xml:space="preserve"> (Соединительные трубы) Жидкостная линия : N[]</v>
      </c>
      <c r="Y485" t="str">
        <f>CONCATENATE(Y$2,": ",Y$3,list1!Y485,"]")</f>
        <v xml:space="preserve"> (Соединительные трубы) Газовая линия : N[]</v>
      </c>
      <c r="Z485" t="str">
        <f>CONCATENATE(Z$2,": ",Z$3,list1!Z485,"]")</f>
        <v xml:space="preserve"> (Соединительные трубы) Максимальная длина трубопровода: N[70]</v>
      </c>
      <c r="AA485" t="str">
        <f>CONCATENATE(AA$2,": ",AA$3,list1!AA485,"]")</f>
        <v xml:space="preserve"> (Соединительные трубы) Максимальный перепад высот: S[15]</v>
      </c>
      <c r="AB485" t="str">
        <f>CONCATENATE(AB$2,": ",AB$3,list1!AB485,"]")</f>
        <v xml:space="preserve"> (Допустимая темп. наружного воздуха) Охлаждение: S[от -5 до +48]</v>
      </c>
      <c r="AC485" t="str">
        <f>CONCATENATE(AC$2,": ",AC$3,list1!AC485,"]")</f>
        <v xml:space="preserve"> (Допустимая темп. наружного воздуха) Обогрев: S[от -15 до +27]</v>
      </c>
      <c r="AD485" s="6" t="s">
        <v>5173</v>
      </c>
    </row>
    <row r="486" spans="1:30" x14ac:dyDescent="0.25">
      <c r="A486" t="str">
        <f>CONCATENATE(A$2,": ",A$3,list1!A486,"]")</f>
        <v>Производитель: E[TOSOT]</v>
      </c>
      <c r="B486" t="str">
        <f>CONCATENATE(B$2,": ",B$3,list1!B486,"]")</f>
        <v xml:space="preserve"> Тип: S[Мульти сплит система]</v>
      </c>
      <c r="C486" t="str">
        <f>CONCATENATE(C$2,": ",C$3,list1!C486,"]")</f>
        <v xml:space="preserve"> (Сплит система) Холодопроизводительность: N[12.1]</v>
      </c>
      <c r="D486" t="str">
        <f>CONCATENATE(D$2,": ",D$3,list1!D486,"]")</f>
        <v xml:space="preserve"> (Сплит система) Площадь помещения: N[120]</v>
      </c>
      <c r="E486" t="str">
        <f>CONCATENATE(E$2,": ",E$3,list1!E486,"]")</f>
        <v xml:space="preserve"> (Сплит система) Инвентор: S[да]</v>
      </c>
      <c r="F486" t="str">
        <f>CONCATENATE(F$2,": ",F$3,list1!F486,"]")</f>
        <v xml:space="preserve"> (Сплит система) Теплопроизводительность: N[13]</v>
      </c>
      <c r="G486" t="str">
        <f>CONCATENATE(G$2,": ",G$3,list1!G486,"]")</f>
        <v xml:space="preserve"> (Потребляемая мощность) Охлаждение: N[3.76]</v>
      </c>
      <c r="H486" t="str">
        <f>CONCATENATE(H$2,": ",H$3,list1!H486,"]")</f>
        <v xml:space="preserve"> (Потребляемая мощность) Обогрев: S[3.45]</v>
      </c>
      <c r="I486" t="str">
        <f>CONCATENATE(I$2,": ",I$3,list1!I486,"]")</f>
        <v xml:space="preserve"> (Рабочий ток) Охлаждение: S[]</v>
      </c>
      <c r="J486" t="str">
        <f>CONCATENATE(J$2,": ",J$3,list1!J486,"]")</f>
        <v xml:space="preserve"> (Рабочий ток) Обогрев: S[]</v>
      </c>
      <c r="K486" t="str">
        <f>CONCATENATE(K$2,": ",K$3,list1!K486,"]")</f>
        <v xml:space="preserve"> (Рабочий ток) Напряжение / Частота источника питания: S[1 / 220 / 50]</v>
      </c>
      <c r="L486" t="str">
        <f>CONCATENATE(L$2,": ",L$3,list1!L486,"]")</f>
        <v xml:space="preserve"> (Рабочий ток) Хладагент: S[R410A]</v>
      </c>
      <c r="M486" t="str">
        <f>CONCATENATE(M$2,": ",M$3,list1!M486,"]")</f>
        <v xml:space="preserve"> (Рабочий ток) Количество хладагента: N[]</v>
      </c>
      <c r="N486" t="str">
        <f>CONCATENATE(N$2,": ",N$3,list1!N486,"]")</f>
        <v xml:space="preserve"> (Рабочий ток) Объем рециркулируемого воздуха внутреннего блока: S[]</v>
      </c>
      <c r="O486" t="str">
        <f>CONCATENATE(O$2,": ",O$3,list1!O486,"]")</f>
        <v xml:space="preserve"> (Внутренний блок) Размеры (Ш x Г x В): S[]</v>
      </c>
      <c r="P486" t="str">
        <f>CONCATENATE(P$2,": ",P$3,list1!P486,"]")</f>
        <v xml:space="preserve"> (Внутренний блок) Упаковка (Ш x Г x В): S[]</v>
      </c>
      <c r="Q486" t="str">
        <f>CONCATENATE(Q$2,": ",Q$3,list1!Q486,"]")</f>
        <v xml:space="preserve"> (Внутренний блок) Масса (нетто / брутто): S[]</v>
      </c>
      <c r="R486" t="str">
        <f>CONCATENATE(R$2,": ",R$3,list1!R486,"]")</f>
        <v xml:space="preserve"> (Внутренний блок) Уровень шума мин. / макс.: S[]</v>
      </c>
      <c r="S486" t="str">
        <f>CONCATENATE(S$2,": ",S$3,list1!S486,"]")</f>
        <v xml:space="preserve"> (Наружный блок) Марка компрессора: S[Gree]</v>
      </c>
      <c r="T486" t="str">
        <f>CONCATENATE(T$2,": ",T$3,list1!T486,"]")</f>
        <v xml:space="preserve"> (Наружный блок) Размеры (Ш x Г x В): S[]</v>
      </c>
      <c r="U486" t="str">
        <f>CONCATENATE(U$2,": ",U$3,list1!U486,"]")</f>
        <v xml:space="preserve"> (Наружный блок) Упаковка (Ш x Г x В): S[]</v>
      </c>
      <c r="V486" t="str">
        <f>CONCATENATE(V$2,": ",V$3,list1!V486,"]")</f>
        <v xml:space="preserve"> (Наружный блок) Масса (нетто / брутто): S[]</v>
      </c>
      <c r="W486" t="str">
        <f>CONCATENATE(W$2,": ",W$3,list1!W486,"]")</f>
        <v xml:space="preserve"> (Наружный блок) Максимальный уровень шума: N[]</v>
      </c>
      <c r="X486" t="str">
        <f>CONCATENATE(X$2,": ",X$3,list1!X486,"]")</f>
        <v xml:space="preserve"> (Соединительные трубы) Жидкостная линия : N[]</v>
      </c>
      <c r="Y486" t="str">
        <f>CONCATENATE(Y$2,": ",Y$3,list1!Y486,"]")</f>
        <v xml:space="preserve"> (Соединительные трубы) Газовая линия : N[]</v>
      </c>
      <c r="Z486" t="str">
        <f>CONCATENATE(Z$2,": ",Z$3,list1!Z486,"]")</f>
        <v xml:space="preserve"> (Соединительные трубы) Максимальная длина трубопровода: N[80]</v>
      </c>
      <c r="AA486" t="str">
        <f>CONCATENATE(AA$2,": ",AA$3,list1!AA486,"]")</f>
        <v xml:space="preserve"> (Соединительные трубы) Максимальный перепад высот: S[15]</v>
      </c>
      <c r="AB486" t="str">
        <f>CONCATENATE(AB$2,": ",AB$3,list1!AB486,"]")</f>
        <v xml:space="preserve"> (Допустимая темп. наружного воздуха) Охлаждение: S[от -5 до +48]</v>
      </c>
      <c r="AC486" t="str">
        <f>CONCATENATE(AC$2,": ",AC$3,list1!AC486,"]")</f>
        <v xml:space="preserve"> (Допустимая темп. наружного воздуха) Обогрев: S[от -15 до +27]</v>
      </c>
      <c r="AD486" s="6" t="s">
        <v>5173</v>
      </c>
    </row>
    <row r="487" spans="1:30" x14ac:dyDescent="0.25">
      <c r="A487" t="str">
        <f>CONCATENATE(A$2,": ",A$3,list1!A487,"]")</f>
        <v>Производитель: E[TOSOT]</v>
      </c>
      <c r="B487" t="str">
        <f>CONCATENATE(B$2,": ",B$3,list1!B487,"]")</f>
        <v xml:space="preserve"> Тип: S[Мульти сплит система]</v>
      </c>
      <c r="C487" t="str">
        <f>CONCATENATE(C$2,": ",C$3,list1!C487,"]")</f>
        <v xml:space="preserve"> (Сплит система) Холодопроизводительность: N[4.1]</v>
      </c>
      <c r="D487" t="str">
        <f>CONCATENATE(D$2,": ",D$3,list1!D487,"]")</f>
        <v xml:space="preserve"> (Сплит система) Площадь помещения: N[41]</v>
      </c>
      <c r="E487" t="str">
        <f>CONCATENATE(E$2,": ",E$3,list1!E487,"]")</f>
        <v xml:space="preserve"> (Сплит система) Инвентор: S[да]</v>
      </c>
      <c r="F487" t="str">
        <f>CONCATENATE(F$2,": ",F$3,list1!F487,"]")</f>
        <v xml:space="preserve"> (Сплит система) Теплопроизводительность: N[4.4]</v>
      </c>
      <c r="G487" t="str">
        <f>CONCATENATE(G$2,": ",G$3,list1!G487,"]")</f>
        <v xml:space="preserve"> (Потребляемая мощность) Охлаждение: N[1.1]</v>
      </c>
      <c r="H487" t="str">
        <f>CONCATENATE(H$2,": ",H$3,list1!H487,"]")</f>
        <v xml:space="preserve"> (Потребляемая мощность) Обогрев: S[0.97]</v>
      </c>
      <c r="I487" t="str">
        <f>CONCATENATE(I$2,": ",I$3,list1!I487,"]")</f>
        <v xml:space="preserve"> (Рабочий ток) Охлаждение: S[]</v>
      </c>
      <c r="J487" t="str">
        <f>CONCATENATE(J$2,": ",J$3,list1!J487,"]")</f>
        <v xml:space="preserve"> (Рабочий ток) Обогрев: S[]</v>
      </c>
      <c r="K487" t="str">
        <f>CONCATENATE(K$2,": ",K$3,list1!K487,"]")</f>
        <v xml:space="preserve"> (Рабочий ток) Напряжение / Частота источника питания: S[1 / 220 / 50]</v>
      </c>
      <c r="L487" t="str">
        <f>CONCATENATE(L$2,": ",L$3,list1!L487,"]")</f>
        <v xml:space="preserve"> (Рабочий ток) Хладагент: S[R32]</v>
      </c>
      <c r="M487" t="str">
        <f>CONCATENATE(M$2,": ",M$3,list1!M487,"]")</f>
        <v xml:space="preserve"> (Рабочий ток) Количество хладагента: N[]</v>
      </c>
      <c r="N487" t="str">
        <f>CONCATENATE(N$2,": ",N$3,list1!N487,"]")</f>
        <v xml:space="preserve"> (Рабочий ток) Объем рециркулируемого воздуха внутреннего блока: S[]</v>
      </c>
      <c r="O487" t="str">
        <f>CONCATENATE(O$2,": ",O$3,list1!O487,"]")</f>
        <v xml:space="preserve"> (Внутренний блок) Размеры (Ш x Г x В): S[]</v>
      </c>
      <c r="P487" t="str">
        <f>CONCATENATE(P$2,": ",P$3,list1!P487,"]")</f>
        <v xml:space="preserve"> (Внутренний блок) Упаковка (Ш x Г x В): S[]</v>
      </c>
      <c r="Q487" t="str">
        <f>CONCATENATE(Q$2,": ",Q$3,list1!Q487,"]")</f>
        <v xml:space="preserve"> (Внутренний блок) Масса (нетто / брутто): S[]</v>
      </c>
      <c r="R487" t="str">
        <f>CONCATENATE(R$2,": ",R$3,list1!R487,"]")</f>
        <v xml:space="preserve"> (Внутренний блок) Уровень шума мин. / макс.: S[]</v>
      </c>
      <c r="S487" t="str">
        <f>CONCATENATE(S$2,": ",S$3,list1!S487,"]")</f>
        <v xml:space="preserve"> (Наружный блок) Марка компрессора: S[Gree]</v>
      </c>
      <c r="T487" t="str">
        <f>CONCATENATE(T$2,": ",T$3,list1!T487,"]")</f>
        <v xml:space="preserve"> (Наружный блок) Размеры (Ш x Г x В): S[]</v>
      </c>
      <c r="U487" t="str">
        <f>CONCATENATE(U$2,": ",U$3,list1!U487,"]")</f>
        <v xml:space="preserve"> (Наружный блок) Упаковка (Ш x Г x В): S[]</v>
      </c>
      <c r="V487" t="str">
        <f>CONCATENATE(V$2,": ",V$3,list1!V487,"]")</f>
        <v xml:space="preserve"> (Наружный блок) Масса (нетто / брутто): S[]</v>
      </c>
      <c r="W487" t="str">
        <f>CONCATENATE(W$2,": ",W$3,list1!W487,"]")</f>
        <v xml:space="preserve"> (Наружный блок) Максимальный уровень шума: N[]</v>
      </c>
      <c r="X487" t="str">
        <f>CONCATENATE(X$2,": ",X$3,list1!X487,"]")</f>
        <v xml:space="preserve"> (Соединительные трубы) Жидкостная линия : N[]</v>
      </c>
      <c r="Y487" t="str">
        <f>CONCATENATE(Y$2,": ",Y$3,list1!Y487,"]")</f>
        <v xml:space="preserve"> (Соединительные трубы) Газовая линия : N[]</v>
      </c>
      <c r="Z487" t="str">
        <f>CONCATENATE(Z$2,": ",Z$3,list1!Z487,"]")</f>
        <v xml:space="preserve"> (Соединительные трубы) Максимальная длина трубопровода: N[40]</v>
      </c>
      <c r="AA487" t="str">
        <f>CONCATENATE(AA$2,": ",AA$3,list1!AA487,"]")</f>
        <v xml:space="preserve"> (Соединительные трубы) Максимальный перепад высот: S[15]</v>
      </c>
      <c r="AB487" t="str">
        <f>CONCATENATE(AB$2,": ",AB$3,list1!AB487,"]")</f>
        <v xml:space="preserve"> (Допустимая темп. наружного воздуха) Охлаждение: S[от -15 до +43]</v>
      </c>
      <c r="AC487" t="str">
        <f>CONCATENATE(AC$2,": ",AC$3,list1!AC487,"]")</f>
        <v xml:space="preserve"> (Допустимая темп. наружного воздуха) Обогрев: S[от -22 до +24]</v>
      </c>
      <c r="AD487" s="6" t="s">
        <v>5173</v>
      </c>
    </row>
    <row r="488" spans="1:30" x14ac:dyDescent="0.25">
      <c r="A488" t="str">
        <f>CONCATENATE(A$2,": ",A$3,list1!A488,"]")</f>
        <v>Производитель: E[TOSOT]</v>
      </c>
      <c r="B488" t="str">
        <f>CONCATENATE(B$2,": ",B$3,list1!B488,"]")</f>
        <v xml:space="preserve"> Тип: S[Мульти сплит система]</v>
      </c>
      <c r="C488" t="str">
        <f>CONCATENATE(C$2,": ",C$3,list1!C488,"]")</f>
        <v xml:space="preserve"> (Сплит система) Холодопроизводительность: N[5.3]</v>
      </c>
      <c r="D488" t="str">
        <f>CONCATENATE(D$2,": ",D$3,list1!D488,"]")</f>
        <v xml:space="preserve"> (Сплит система) Площадь помещения: N[53]</v>
      </c>
      <c r="E488" t="str">
        <f>CONCATENATE(E$2,": ",E$3,list1!E488,"]")</f>
        <v xml:space="preserve"> (Сплит система) Инвентор: S[да]</v>
      </c>
      <c r="F488" t="str">
        <f>CONCATENATE(F$2,": ",F$3,list1!F488,"]")</f>
        <v xml:space="preserve"> (Сплит система) Теплопроизводительность: N[5.65]</v>
      </c>
      <c r="G488" t="str">
        <f>CONCATENATE(G$2,": ",G$3,list1!G488,"]")</f>
        <v xml:space="preserve"> (Потребляемая мощность) Охлаждение: N[1.48]</v>
      </c>
      <c r="H488" t="str">
        <f>CONCATENATE(H$2,": ",H$3,list1!H488,"]")</f>
        <v xml:space="preserve"> (Потребляемая мощность) Обогрев: S[1.25]</v>
      </c>
      <c r="I488" t="str">
        <f>CONCATENATE(I$2,": ",I$3,list1!I488,"]")</f>
        <v xml:space="preserve"> (Рабочий ток) Охлаждение: S[]</v>
      </c>
      <c r="J488" t="str">
        <f>CONCATENATE(J$2,": ",J$3,list1!J488,"]")</f>
        <v xml:space="preserve"> (Рабочий ток) Обогрев: S[]</v>
      </c>
      <c r="K488" t="str">
        <f>CONCATENATE(K$2,": ",K$3,list1!K488,"]")</f>
        <v xml:space="preserve"> (Рабочий ток) Напряжение / Частота источника питания: S[1 / 220 / 50]</v>
      </c>
      <c r="L488" t="str">
        <f>CONCATENATE(L$2,": ",L$3,list1!L488,"]")</f>
        <v xml:space="preserve"> (Рабочий ток) Хладагент: S[R32]</v>
      </c>
      <c r="M488" t="str">
        <f>CONCATENATE(M$2,": ",M$3,list1!M488,"]")</f>
        <v xml:space="preserve"> (Рабочий ток) Количество хладагента: N[]</v>
      </c>
      <c r="N488" t="str">
        <f>CONCATENATE(N$2,": ",N$3,list1!N488,"]")</f>
        <v xml:space="preserve"> (Рабочий ток) Объем рециркулируемого воздуха внутреннего блока: S[]</v>
      </c>
      <c r="O488" t="str">
        <f>CONCATENATE(O$2,": ",O$3,list1!O488,"]")</f>
        <v xml:space="preserve"> (Внутренний блок) Размеры (Ш x Г x В): S[]</v>
      </c>
      <c r="P488" t="str">
        <f>CONCATENATE(P$2,": ",P$3,list1!P488,"]")</f>
        <v xml:space="preserve"> (Внутренний блок) Упаковка (Ш x Г x В): S[]</v>
      </c>
      <c r="Q488" t="str">
        <f>CONCATENATE(Q$2,": ",Q$3,list1!Q488,"]")</f>
        <v xml:space="preserve"> (Внутренний блок) Масса (нетто / брутто): S[]</v>
      </c>
      <c r="R488" t="str">
        <f>CONCATENATE(R$2,": ",R$3,list1!R488,"]")</f>
        <v xml:space="preserve"> (Внутренний блок) Уровень шума мин. / макс.: S[]</v>
      </c>
      <c r="S488" t="str">
        <f>CONCATENATE(S$2,": ",S$3,list1!S488,"]")</f>
        <v xml:space="preserve"> (Наружный блок) Марка компрессора: S[Gree]</v>
      </c>
      <c r="T488" t="str">
        <f>CONCATENATE(T$2,": ",T$3,list1!T488,"]")</f>
        <v xml:space="preserve"> (Наружный блок) Размеры (Ш x Г x В): S[]</v>
      </c>
      <c r="U488" t="str">
        <f>CONCATENATE(U$2,": ",U$3,list1!U488,"]")</f>
        <v xml:space="preserve"> (Наружный блок) Упаковка (Ш x Г x В): S[]</v>
      </c>
      <c r="V488" t="str">
        <f>CONCATENATE(V$2,": ",V$3,list1!V488,"]")</f>
        <v xml:space="preserve"> (Наружный блок) Масса (нетто / брутто): S[]</v>
      </c>
      <c r="W488" t="str">
        <f>CONCATENATE(W$2,": ",W$3,list1!W488,"]")</f>
        <v xml:space="preserve"> (Наружный блок) Максимальный уровень шума: N[]</v>
      </c>
      <c r="X488" t="str">
        <f>CONCATENATE(X$2,": ",X$3,list1!X488,"]")</f>
        <v xml:space="preserve"> (Соединительные трубы) Жидкостная линия : N[]</v>
      </c>
      <c r="Y488" t="str">
        <f>CONCATENATE(Y$2,": ",Y$3,list1!Y488,"]")</f>
        <v xml:space="preserve"> (Соединительные трубы) Газовая линия : N[]</v>
      </c>
      <c r="Z488" t="str">
        <f>CONCATENATE(Z$2,": ",Z$3,list1!Z488,"]")</f>
        <v xml:space="preserve"> (Соединительные трубы) Максимальная длина трубопровода: N[40]</v>
      </c>
      <c r="AA488" t="str">
        <f>CONCATENATE(AA$2,": ",AA$3,list1!AA488,"]")</f>
        <v xml:space="preserve"> (Соединительные трубы) Максимальный перепад высот: S[15]</v>
      </c>
      <c r="AB488" t="str">
        <f>CONCATENATE(AB$2,": ",AB$3,list1!AB488,"]")</f>
        <v xml:space="preserve"> (Допустимая темп. наружного воздуха) Охлаждение: S[от -15 до +43]</v>
      </c>
      <c r="AC488" t="str">
        <f>CONCATENATE(AC$2,": ",AC$3,list1!AC488,"]")</f>
        <v xml:space="preserve"> (Допустимая темп. наружного воздуха) Обогрев: S[от -22 до +24]</v>
      </c>
      <c r="AD488" s="6" t="s">
        <v>5173</v>
      </c>
    </row>
    <row r="489" spans="1:30" x14ac:dyDescent="0.25">
      <c r="A489" t="str">
        <f>CONCATENATE(A$2,": ",A$3,list1!A489,"]")</f>
        <v>Производитель: E[TOSOT]</v>
      </c>
      <c r="B489" t="str">
        <f>CONCATENATE(B$2,": ",B$3,list1!B489,"]")</f>
        <v xml:space="preserve"> Тип: S[Мульти сплит система]</v>
      </c>
      <c r="C489" t="str">
        <f>CONCATENATE(C$2,": ",C$3,list1!C489,"]")</f>
        <v xml:space="preserve"> (Сплит система) Холодопроизводительность: N[6.1]</v>
      </c>
      <c r="D489" t="str">
        <f>CONCATENATE(D$2,": ",D$3,list1!D489,"]")</f>
        <v xml:space="preserve"> (Сплит система) Площадь помещения: N[61]</v>
      </c>
      <c r="E489" t="str">
        <f>CONCATENATE(E$2,": ",E$3,list1!E489,"]")</f>
        <v xml:space="preserve"> (Сплит система) Инвентор: S[да]</v>
      </c>
      <c r="F489" t="str">
        <f>CONCATENATE(F$2,": ",F$3,list1!F489,"]")</f>
        <v xml:space="preserve"> (Сплит система) Теплопроизводительность: N[6.5]</v>
      </c>
      <c r="G489" t="str">
        <f>CONCATENATE(G$2,": ",G$3,list1!G489,"]")</f>
        <v xml:space="preserve"> (Потребляемая мощность) Охлаждение: N[1.48]</v>
      </c>
      <c r="H489" t="str">
        <f>CONCATENATE(H$2,": ",H$3,list1!H489,"]")</f>
        <v xml:space="preserve"> (Потребляемая мощность) Обогрев: S[1.43]</v>
      </c>
      <c r="I489" t="str">
        <f>CONCATENATE(I$2,": ",I$3,list1!I489,"]")</f>
        <v xml:space="preserve"> (Рабочий ток) Охлаждение: S[]</v>
      </c>
      <c r="J489" t="str">
        <f>CONCATENATE(J$2,": ",J$3,list1!J489,"]")</f>
        <v xml:space="preserve"> (Рабочий ток) Обогрев: S[]</v>
      </c>
      <c r="K489" t="str">
        <f>CONCATENATE(K$2,": ",K$3,list1!K489,"]")</f>
        <v xml:space="preserve"> (Рабочий ток) Напряжение / Частота источника питания: S[1 / 220 / 50]</v>
      </c>
      <c r="L489" t="str">
        <f>CONCATENATE(L$2,": ",L$3,list1!L489,"]")</f>
        <v xml:space="preserve"> (Рабочий ток) Хладагент: S[R32]</v>
      </c>
      <c r="M489" t="str">
        <f>CONCATENATE(M$2,": ",M$3,list1!M489,"]")</f>
        <v xml:space="preserve"> (Рабочий ток) Количество хладагента: N[]</v>
      </c>
      <c r="N489" t="str">
        <f>CONCATENATE(N$2,": ",N$3,list1!N489,"]")</f>
        <v xml:space="preserve"> (Рабочий ток) Объем рециркулируемого воздуха внутреннего блока: S[]</v>
      </c>
      <c r="O489" t="str">
        <f>CONCATENATE(O$2,": ",O$3,list1!O489,"]")</f>
        <v xml:space="preserve"> (Внутренний блок) Размеры (Ш x Г x В): S[]</v>
      </c>
      <c r="P489" t="str">
        <f>CONCATENATE(P$2,": ",P$3,list1!P489,"]")</f>
        <v xml:space="preserve"> (Внутренний блок) Упаковка (Ш x Г x В): S[]</v>
      </c>
      <c r="Q489" t="str">
        <f>CONCATENATE(Q$2,": ",Q$3,list1!Q489,"]")</f>
        <v xml:space="preserve"> (Внутренний блок) Масса (нетто / брутто): S[]</v>
      </c>
      <c r="R489" t="str">
        <f>CONCATENATE(R$2,": ",R$3,list1!R489,"]")</f>
        <v xml:space="preserve"> (Внутренний блок) Уровень шума мин. / макс.: S[]</v>
      </c>
      <c r="S489" t="str">
        <f>CONCATENATE(S$2,": ",S$3,list1!S489,"]")</f>
        <v xml:space="preserve"> (Наружный блок) Марка компрессора: S[Gree]</v>
      </c>
      <c r="T489" t="str">
        <f>CONCATENATE(T$2,": ",T$3,list1!T489,"]")</f>
        <v xml:space="preserve"> (Наружный блок) Размеры (Ш x Г x В): S[]</v>
      </c>
      <c r="U489" t="str">
        <f>CONCATENATE(U$2,": ",U$3,list1!U489,"]")</f>
        <v xml:space="preserve"> (Наружный блок) Упаковка (Ш x Г x В): S[]</v>
      </c>
      <c r="V489" t="str">
        <f>CONCATENATE(V$2,": ",V$3,list1!V489,"]")</f>
        <v xml:space="preserve"> (Наружный блок) Масса (нетто / брутто): S[]</v>
      </c>
      <c r="W489" t="str">
        <f>CONCATENATE(W$2,": ",W$3,list1!W489,"]")</f>
        <v xml:space="preserve"> (Наружный блок) Максимальный уровень шума: N[]</v>
      </c>
      <c r="X489" t="str">
        <f>CONCATENATE(X$2,": ",X$3,list1!X489,"]")</f>
        <v xml:space="preserve"> (Соединительные трубы) Жидкостная линия : N[]</v>
      </c>
      <c r="Y489" t="str">
        <f>CONCATENATE(Y$2,": ",Y$3,list1!Y489,"]")</f>
        <v xml:space="preserve"> (Соединительные трубы) Газовая линия : N[]</v>
      </c>
      <c r="Z489" t="str">
        <f>CONCATENATE(Z$2,": ",Z$3,list1!Z489,"]")</f>
        <v xml:space="preserve"> (Соединительные трубы) Максимальная длина трубопровода: N[60]</v>
      </c>
      <c r="AA489" t="str">
        <f>CONCATENATE(AA$2,": ",AA$3,list1!AA489,"]")</f>
        <v xml:space="preserve"> (Соединительные трубы) Максимальный перепад высот: S[15]</v>
      </c>
      <c r="AB489" t="str">
        <f>CONCATENATE(AB$2,": ",AB$3,list1!AB489,"]")</f>
        <v xml:space="preserve"> (Допустимая темп. наружного воздуха) Охлаждение: S[от -15 до +43]</v>
      </c>
      <c r="AC489" t="str">
        <f>CONCATENATE(AC$2,": ",AC$3,list1!AC489,"]")</f>
        <v xml:space="preserve"> (Допустимая темп. наружного воздуха) Обогрев: S[от -22 до +24]</v>
      </c>
      <c r="AD489" s="6" t="s">
        <v>5173</v>
      </c>
    </row>
    <row r="490" spans="1:30" x14ac:dyDescent="0.25">
      <c r="A490" t="str">
        <f>CONCATENATE(A$2,": ",A$3,list1!A490,"]")</f>
        <v>Производитель: E[TOSOT]</v>
      </c>
      <c r="B490" t="str">
        <f>CONCATENATE(B$2,": ",B$3,list1!B490,"]")</f>
        <v xml:space="preserve"> Тип: S[Мульти сплит система]</v>
      </c>
      <c r="C490" t="str">
        <f>CONCATENATE(C$2,": ",C$3,list1!C490,"]")</f>
        <v xml:space="preserve"> (Сплит система) Холодопроизводительность: N[7.1]</v>
      </c>
      <c r="D490" t="str">
        <f>CONCATENATE(D$2,": ",D$3,list1!D490,"]")</f>
        <v xml:space="preserve"> (Сплит система) Площадь помещения: N[71]</v>
      </c>
      <c r="E490" t="str">
        <f>CONCATENATE(E$2,": ",E$3,list1!E490,"]")</f>
        <v xml:space="preserve"> (Сплит система) Инвентор: S[да]</v>
      </c>
      <c r="F490" t="str">
        <f>CONCATENATE(F$2,": ",F$3,list1!F490,"]")</f>
        <v xml:space="preserve"> (Сплит система) Теплопроизводительность: N[8.6]</v>
      </c>
      <c r="G490" t="str">
        <f>CONCATENATE(G$2,": ",G$3,list1!G490,"]")</f>
        <v xml:space="preserve"> (Потребляемая мощность) Охлаждение: N[1.88]</v>
      </c>
      <c r="H490" t="str">
        <f>CONCATENATE(H$2,": ",H$3,list1!H490,"]")</f>
        <v xml:space="preserve"> (Потребляемая мощность) Обогрев: S[2.23]</v>
      </c>
      <c r="I490" t="str">
        <f>CONCATENATE(I$2,": ",I$3,list1!I490,"]")</f>
        <v xml:space="preserve"> (Рабочий ток) Охлаждение: S[]</v>
      </c>
      <c r="J490" t="str">
        <f>CONCATENATE(J$2,": ",J$3,list1!J490,"]")</f>
        <v xml:space="preserve"> (Рабочий ток) Обогрев: S[]</v>
      </c>
      <c r="K490" t="str">
        <f>CONCATENATE(K$2,": ",K$3,list1!K490,"]")</f>
        <v xml:space="preserve"> (Рабочий ток) Напряжение / Частота источника питания: S[1 / 220 / 50]</v>
      </c>
      <c r="L490" t="str">
        <f>CONCATENATE(L$2,": ",L$3,list1!L490,"]")</f>
        <v xml:space="preserve"> (Рабочий ток) Хладагент: S[R32]</v>
      </c>
      <c r="M490" t="str">
        <f>CONCATENATE(M$2,": ",M$3,list1!M490,"]")</f>
        <v xml:space="preserve"> (Рабочий ток) Количество хладагента: N[]</v>
      </c>
      <c r="N490" t="str">
        <f>CONCATENATE(N$2,": ",N$3,list1!N490,"]")</f>
        <v xml:space="preserve"> (Рабочий ток) Объем рециркулируемого воздуха внутреннего блока: S[]</v>
      </c>
      <c r="O490" t="str">
        <f>CONCATENATE(O$2,": ",O$3,list1!O490,"]")</f>
        <v xml:space="preserve"> (Внутренний блок) Размеры (Ш x Г x В): S[]</v>
      </c>
      <c r="P490" t="str">
        <f>CONCATENATE(P$2,": ",P$3,list1!P490,"]")</f>
        <v xml:space="preserve"> (Внутренний блок) Упаковка (Ш x Г x В): S[]</v>
      </c>
      <c r="Q490" t="str">
        <f>CONCATENATE(Q$2,": ",Q$3,list1!Q490,"]")</f>
        <v xml:space="preserve"> (Внутренний блок) Масса (нетто / брутто): S[]</v>
      </c>
      <c r="R490" t="str">
        <f>CONCATENATE(R$2,": ",R$3,list1!R490,"]")</f>
        <v xml:space="preserve"> (Внутренний блок) Уровень шума мин. / макс.: S[]</v>
      </c>
      <c r="S490" t="str">
        <f>CONCATENATE(S$2,": ",S$3,list1!S490,"]")</f>
        <v xml:space="preserve"> (Наружный блок) Марка компрессора: S[Gree]</v>
      </c>
      <c r="T490" t="str">
        <f>CONCATENATE(T$2,": ",T$3,list1!T490,"]")</f>
        <v xml:space="preserve"> (Наружный блок) Размеры (Ш x Г x В): S[]</v>
      </c>
      <c r="U490" t="str">
        <f>CONCATENATE(U$2,": ",U$3,list1!U490,"]")</f>
        <v xml:space="preserve"> (Наружный блок) Упаковка (Ш x Г x В): S[]</v>
      </c>
      <c r="V490" t="str">
        <f>CONCATENATE(V$2,": ",V$3,list1!V490,"]")</f>
        <v xml:space="preserve"> (Наружный блок) Масса (нетто / брутто): S[]</v>
      </c>
      <c r="W490" t="str">
        <f>CONCATENATE(W$2,": ",W$3,list1!W490,"]")</f>
        <v xml:space="preserve"> (Наружный блок) Максимальный уровень шума: N[]</v>
      </c>
      <c r="X490" t="str">
        <f>CONCATENATE(X$2,": ",X$3,list1!X490,"]")</f>
        <v xml:space="preserve"> (Соединительные трубы) Жидкостная линия : N[]</v>
      </c>
      <c r="Y490" t="str">
        <f>CONCATENATE(Y$2,": ",Y$3,list1!Y490,"]")</f>
        <v xml:space="preserve"> (Соединительные трубы) Газовая линия : N[]</v>
      </c>
      <c r="Z490" t="str">
        <f>CONCATENATE(Z$2,": ",Z$3,list1!Z490,"]")</f>
        <v xml:space="preserve"> (Соединительные трубы) Максимальная длина трубопровода: N[60]</v>
      </c>
      <c r="AA490" t="str">
        <f>CONCATENATE(AA$2,": ",AA$3,list1!AA490,"]")</f>
        <v xml:space="preserve"> (Соединительные трубы) Максимальный перепад высот: S[15]</v>
      </c>
      <c r="AB490" t="str">
        <f>CONCATENATE(AB$2,": ",AB$3,list1!AB490,"]")</f>
        <v xml:space="preserve"> (Допустимая темп. наружного воздуха) Охлаждение: S[от -15 до +43]</v>
      </c>
      <c r="AC490" t="str">
        <f>CONCATENATE(AC$2,": ",AC$3,list1!AC490,"]")</f>
        <v xml:space="preserve"> (Допустимая темп. наружного воздуха) Обогрев: S[от -22 до +24]</v>
      </c>
      <c r="AD490" s="6" t="s">
        <v>5173</v>
      </c>
    </row>
    <row r="491" spans="1:30" x14ac:dyDescent="0.25">
      <c r="A491" t="str">
        <f>CONCATENATE(A$2,": ",A$3,list1!A491,"]")</f>
        <v>Производитель: E[TOSOT]</v>
      </c>
      <c r="B491" t="str">
        <f>CONCATENATE(B$2,": ",B$3,list1!B491,"]")</f>
        <v xml:space="preserve"> Тип: S[Мульти сплит система]</v>
      </c>
      <c r="C491" t="str">
        <f>CONCATENATE(C$2,": ",C$3,list1!C491,"]")</f>
        <v xml:space="preserve"> (Сплит система) Холодопроизводительность: N[8]</v>
      </c>
      <c r="D491" t="str">
        <f>CONCATENATE(D$2,": ",D$3,list1!D491,"]")</f>
        <v xml:space="preserve"> (Сплит система) Площадь помещения: N[80]</v>
      </c>
      <c r="E491" t="str">
        <f>CONCATENATE(E$2,": ",E$3,list1!E491,"]")</f>
        <v xml:space="preserve"> (Сплит система) Инвентор: S[да]</v>
      </c>
      <c r="F491" t="str">
        <f>CONCATENATE(F$2,": ",F$3,list1!F491,"]")</f>
        <v xml:space="preserve"> (Сплит система) Теплопроизводительность: N[9.5]</v>
      </c>
      <c r="G491" t="str">
        <f>CONCATENATE(G$2,": ",G$3,list1!G491,"]")</f>
        <v xml:space="preserve"> (Потребляемая мощность) Охлаждение: N[2.12]</v>
      </c>
      <c r="H491" t="str">
        <f>CONCATENATE(H$2,": ",H$3,list1!H491,"]")</f>
        <v xml:space="preserve"> (Потребляемая мощность) Обогрев: S[2.2]</v>
      </c>
      <c r="I491" t="str">
        <f>CONCATENATE(I$2,": ",I$3,list1!I491,"]")</f>
        <v xml:space="preserve"> (Рабочий ток) Охлаждение: S[]</v>
      </c>
      <c r="J491" t="str">
        <f>CONCATENATE(J$2,": ",J$3,list1!J491,"]")</f>
        <v xml:space="preserve"> (Рабочий ток) Обогрев: S[]</v>
      </c>
      <c r="K491" t="str">
        <f>CONCATENATE(K$2,": ",K$3,list1!K491,"]")</f>
        <v xml:space="preserve"> (Рабочий ток) Напряжение / Частота источника питания: S[1 / 220 / 50]</v>
      </c>
      <c r="L491" t="str">
        <f>CONCATENATE(L$2,": ",L$3,list1!L491,"]")</f>
        <v xml:space="preserve"> (Рабочий ток) Хладагент: S[R32]</v>
      </c>
      <c r="M491" t="str">
        <f>CONCATENATE(M$2,": ",M$3,list1!M491,"]")</f>
        <v xml:space="preserve"> (Рабочий ток) Количество хладагента: N[]</v>
      </c>
      <c r="N491" t="str">
        <f>CONCATENATE(N$2,": ",N$3,list1!N491,"]")</f>
        <v xml:space="preserve"> (Рабочий ток) Объем рециркулируемого воздуха внутреннего блока: S[]</v>
      </c>
      <c r="O491" t="str">
        <f>CONCATENATE(O$2,": ",O$3,list1!O491,"]")</f>
        <v xml:space="preserve"> (Внутренний блок) Размеры (Ш x Г x В): S[]</v>
      </c>
      <c r="P491" t="str">
        <f>CONCATENATE(P$2,": ",P$3,list1!P491,"]")</f>
        <v xml:space="preserve"> (Внутренний блок) Упаковка (Ш x Г x В): S[]</v>
      </c>
      <c r="Q491" t="str">
        <f>CONCATENATE(Q$2,": ",Q$3,list1!Q491,"]")</f>
        <v xml:space="preserve"> (Внутренний блок) Масса (нетто / брутто): S[]</v>
      </c>
      <c r="R491" t="str">
        <f>CONCATENATE(R$2,": ",R$3,list1!R491,"]")</f>
        <v xml:space="preserve"> (Внутренний блок) Уровень шума мин. / макс.: S[]</v>
      </c>
      <c r="S491" t="str">
        <f>CONCATENATE(S$2,": ",S$3,list1!S491,"]")</f>
        <v xml:space="preserve"> (Наружный блок) Марка компрессора: S[Gree]</v>
      </c>
      <c r="T491" t="str">
        <f>CONCATENATE(T$2,": ",T$3,list1!T491,"]")</f>
        <v xml:space="preserve"> (Наружный блок) Размеры (Ш x Г x В): S[]</v>
      </c>
      <c r="U491" t="str">
        <f>CONCATENATE(U$2,": ",U$3,list1!U491,"]")</f>
        <v xml:space="preserve"> (Наружный блок) Упаковка (Ш x Г x В): S[]</v>
      </c>
      <c r="V491" t="str">
        <f>CONCATENATE(V$2,": ",V$3,list1!V491,"]")</f>
        <v xml:space="preserve"> (Наружный блок) Масса (нетто / брутто): S[]</v>
      </c>
      <c r="W491" t="str">
        <f>CONCATENATE(W$2,": ",W$3,list1!W491,"]")</f>
        <v xml:space="preserve"> (Наружный блок) Максимальный уровень шума: N[]</v>
      </c>
      <c r="X491" t="str">
        <f>CONCATENATE(X$2,": ",X$3,list1!X491,"]")</f>
        <v xml:space="preserve"> (Соединительные трубы) Жидкостная линия : N[]</v>
      </c>
      <c r="Y491" t="str">
        <f>CONCATENATE(Y$2,": ",Y$3,list1!Y491,"]")</f>
        <v xml:space="preserve"> (Соединительные трубы) Газовая линия : N[]</v>
      </c>
      <c r="Z491" t="str">
        <f>CONCATENATE(Z$2,": ",Z$3,list1!Z491,"]")</f>
        <v xml:space="preserve"> (Соединительные трубы) Максимальная длина трубопровода: N[70]</v>
      </c>
      <c r="AA491" t="str">
        <f>CONCATENATE(AA$2,": ",AA$3,list1!AA491,"]")</f>
        <v xml:space="preserve"> (Соединительные трубы) Максимальный перепад высот: S[15]</v>
      </c>
      <c r="AB491" t="str">
        <f>CONCATENATE(AB$2,": ",AB$3,list1!AB491,"]")</f>
        <v xml:space="preserve"> (Допустимая темп. наружного воздуха) Охлаждение: S[от -15 до +43]</v>
      </c>
      <c r="AC491" t="str">
        <f>CONCATENATE(AC$2,": ",AC$3,list1!AC491,"]")</f>
        <v xml:space="preserve"> (Допустимая темп. наружного воздуха) Обогрев: S[от -22 до +24]</v>
      </c>
      <c r="AD491" s="6" t="s">
        <v>5173</v>
      </c>
    </row>
    <row r="492" spans="1:30" x14ac:dyDescent="0.25">
      <c r="A492" t="str">
        <f>CONCATENATE(A$2,": ",A$3,list1!A492,"]")</f>
        <v>Производитель: E[TOSOT]</v>
      </c>
      <c r="B492" t="str">
        <f>CONCATENATE(B$2,": ",B$3,list1!B492,"]")</f>
        <v xml:space="preserve"> Тип: S[Мульти сплит система]</v>
      </c>
      <c r="C492" t="str">
        <f>CONCATENATE(C$2,": ",C$3,list1!C492,"]")</f>
        <v xml:space="preserve"> (Сплит система) Холодопроизводительность: N[10.5]</v>
      </c>
      <c r="D492" t="str">
        <f>CONCATENATE(D$2,": ",D$3,list1!D492,"]")</f>
        <v xml:space="preserve"> (Сплит система) Площадь помещения: N[100]</v>
      </c>
      <c r="E492" t="str">
        <f>CONCATENATE(E$2,": ",E$3,list1!E492,"]")</f>
        <v xml:space="preserve"> (Сплит система) Инвентор: S[да]</v>
      </c>
      <c r="F492" t="str">
        <f>CONCATENATE(F$2,": ",F$3,list1!F492,"]")</f>
        <v xml:space="preserve"> (Сплит система) Теплопроизводительность: N[12]</v>
      </c>
      <c r="G492" t="str">
        <f>CONCATENATE(G$2,": ",G$3,list1!G492,"]")</f>
        <v xml:space="preserve"> (Потребляемая мощность) Охлаждение: N[3.1]</v>
      </c>
      <c r="H492" t="str">
        <f>CONCATENATE(H$2,": ",H$3,list1!H492,"]")</f>
        <v xml:space="preserve"> (Потребляемая мощность) Обогрев: S[3.2]</v>
      </c>
      <c r="I492" t="str">
        <f>CONCATENATE(I$2,": ",I$3,list1!I492,"]")</f>
        <v xml:space="preserve"> (Рабочий ток) Охлаждение: S[]</v>
      </c>
      <c r="J492" t="str">
        <f>CONCATENATE(J$2,": ",J$3,list1!J492,"]")</f>
        <v xml:space="preserve"> (Рабочий ток) Обогрев: S[]</v>
      </c>
      <c r="K492" t="str">
        <f>CONCATENATE(K$2,": ",K$3,list1!K492,"]")</f>
        <v xml:space="preserve"> (Рабочий ток) Напряжение / Частота источника питания: S[1 / 220 / 50]</v>
      </c>
      <c r="L492" t="str">
        <f>CONCATENATE(L$2,": ",L$3,list1!L492,"]")</f>
        <v xml:space="preserve"> (Рабочий ток) Хладагент: S[R32]</v>
      </c>
      <c r="M492" t="str">
        <f>CONCATENATE(M$2,": ",M$3,list1!M492,"]")</f>
        <v xml:space="preserve"> (Рабочий ток) Количество хладагента: N[]</v>
      </c>
      <c r="N492" t="str">
        <f>CONCATENATE(N$2,": ",N$3,list1!N492,"]")</f>
        <v xml:space="preserve"> (Рабочий ток) Объем рециркулируемого воздуха внутреннего блока: S[]</v>
      </c>
      <c r="O492" t="str">
        <f>CONCATENATE(O$2,": ",O$3,list1!O492,"]")</f>
        <v xml:space="preserve"> (Внутренний блок) Размеры (Ш x Г x В): S[]</v>
      </c>
      <c r="P492" t="str">
        <f>CONCATENATE(P$2,": ",P$3,list1!P492,"]")</f>
        <v xml:space="preserve"> (Внутренний блок) Упаковка (Ш x Г x В): S[]</v>
      </c>
      <c r="Q492" t="str">
        <f>CONCATENATE(Q$2,": ",Q$3,list1!Q492,"]")</f>
        <v xml:space="preserve"> (Внутренний блок) Масса (нетто / брутто): S[]</v>
      </c>
      <c r="R492" t="str">
        <f>CONCATENATE(R$2,": ",R$3,list1!R492,"]")</f>
        <v xml:space="preserve"> (Внутренний блок) Уровень шума мин. / макс.: S[]</v>
      </c>
      <c r="S492" t="str">
        <f>CONCATENATE(S$2,": ",S$3,list1!S492,"]")</f>
        <v xml:space="preserve"> (Наружный блок) Марка компрессора: S[Gree]</v>
      </c>
      <c r="T492" t="str">
        <f>CONCATENATE(T$2,": ",T$3,list1!T492,"]")</f>
        <v xml:space="preserve"> (Наружный блок) Размеры (Ш x Г x В): S[]</v>
      </c>
      <c r="U492" t="str">
        <f>CONCATENATE(U$2,": ",U$3,list1!U492,"]")</f>
        <v xml:space="preserve"> (Наружный блок) Упаковка (Ш x Г x В): S[]</v>
      </c>
      <c r="V492" t="str">
        <f>CONCATENATE(V$2,": ",V$3,list1!V492,"]")</f>
        <v xml:space="preserve"> (Наружный блок) Масса (нетто / брутто): S[]</v>
      </c>
      <c r="W492" t="str">
        <f>CONCATENATE(W$2,": ",W$3,list1!W492,"]")</f>
        <v xml:space="preserve"> (Наружный блок) Максимальный уровень шума: N[]</v>
      </c>
      <c r="X492" t="str">
        <f>CONCATENATE(X$2,": ",X$3,list1!X492,"]")</f>
        <v xml:space="preserve"> (Соединительные трубы) Жидкостная линия : N[]</v>
      </c>
      <c r="Y492" t="str">
        <f>CONCATENATE(Y$2,": ",Y$3,list1!Y492,"]")</f>
        <v xml:space="preserve"> (Соединительные трубы) Газовая линия : N[]</v>
      </c>
      <c r="Z492" t="str">
        <f>CONCATENATE(Z$2,": ",Z$3,list1!Z492,"]")</f>
        <v xml:space="preserve"> (Соединительные трубы) Максимальная длина трубопровода: N[75]</v>
      </c>
      <c r="AA492" t="str">
        <f>CONCATENATE(AA$2,": ",AA$3,list1!AA492,"]")</f>
        <v xml:space="preserve"> (Соединительные трубы) Максимальный перепад высот: S[15]</v>
      </c>
      <c r="AB492" t="str">
        <f>CONCATENATE(AB$2,": ",AB$3,list1!AB492,"]")</f>
        <v xml:space="preserve"> (Допустимая темп. наружного воздуха) Охлаждение: S[от -15 до +43]</v>
      </c>
      <c r="AC492" t="str">
        <f>CONCATENATE(AC$2,": ",AC$3,list1!AC492,"]")</f>
        <v xml:space="preserve"> (Допустимая темп. наружного воздуха) Обогрев: S[от -22 до +24]</v>
      </c>
      <c r="AD492" s="6" t="s">
        <v>5173</v>
      </c>
    </row>
    <row r="493" spans="1:30" x14ac:dyDescent="0.25">
      <c r="A493" t="str">
        <f>CONCATENATE(A$2,": ",A$3,list1!A493,"]")</f>
        <v>Производитель: E[TOSOT]</v>
      </c>
      <c r="B493" t="str">
        <f>CONCATENATE(B$2,": ",B$3,list1!B493,"]")</f>
        <v xml:space="preserve"> Тип: S[Мульти сплит система]</v>
      </c>
      <c r="C493" t="str">
        <f>CONCATENATE(C$2,": ",C$3,list1!C493,"]")</f>
        <v xml:space="preserve"> (Сплит система) Холодопроизводительность: N[12]</v>
      </c>
      <c r="D493" t="str">
        <f>CONCATENATE(D$2,": ",D$3,list1!D493,"]")</f>
        <v xml:space="preserve"> (Сплит система) Площадь помещения: N[120]</v>
      </c>
      <c r="E493" t="str">
        <f>CONCATENATE(E$2,": ",E$3,list1!E493,"]")</f>
        <v xml:space="preserve"> (Сплит система) Инвентор: S[да]</v>
      </c>
      <c r="F493" t="str">
        <f>CONCATENATE(F$2,": ",F$3,list1!F493,"]")</f>
        <v xml:space="preserve"> (Сплит система) Теплопроизводительность: N[13]</v>
      </c>
      <c r="G493" t="str">
        <f>CONCATENATE(G$2,": ",G$3,list1!G493,"]")</f>
        <v xml:space="preserve"> (Потребляемая мощность) Охлаждение: N[3.45]</v>
      </c>
      <c r="H493" t="str">
        <f>CONCATENATE(H$2,": ",H$3,list1!H493,"]")</f>
        <v xml:space="preserve"> (Потребляемая мощность) Обогрев: S[3.5]</v>
      </c>
      <c r="I493" t="str">
        <f>CONCATENATE(I$2,": ",I$3,list1!I493,"]")</f>
        <v xml:space="preserve"> (Рабочий ток) Охлаждение: S[]</v>
      </c>
      <c r="J493" t="str">
        <f>CONCATENATE(J$2,": ",J$3,list1!J493,"]")</f>
        <v xml:space="preserve"> (Рабочий ток) Обогрев: S[]</v>
      </c>
      <c r="K493" t="str">
        <f>CONCATENATE(K$2,": ",K$3,list1!K493,"]")</f>
        <v xml:space="preserve"> (Рабочий ток) Напряжение / Частота источника питания: S[1 / 220 / 50]</v>
      </c>
      <c r="L493" t="str">
        <f>CONCATENATE(L$2,": ",L$3,list1!L493,"]")</f>
        <v xml:space="preserve"> (Рабочий ток) Хладагент: S[R32]</v>
      </c>
      <c r="M493" t="str">
        <f>CONCATENATE(M$2,": ",M$3,list1!M493,"]")</f>
        <v xml:space="preserve"> (Рабочий ток) Количество хладагента: N[]</v>
      </c>
      <c r="N493" t="str">
        <f>CONCATENATE(N$2,": ",N$3,list1!N493,"]")</f>
        <v xml:space="preserve"> (Рабочий ток) Объем рециркулируемого воздуха внутреннего блока: S[]</v>
      </c>
      <c r="O493" t="str">
        <f>CONCATENATE(O$2,": ",O$3,list1!O493,"]")</f>
        <v xml:space="preserve"> (Внутренний блок) Размеры (Ш x Г x В): S[]</v>
      </c>
      <c r="P493" t="str">
        <f>CONCATENATE(P$2,": ",P$3,list1!P493,"]")</f>
        <v xml:space="preserve"> (Внутренний блок) Упаковка (Ш x Г x В): S[]</v>
      </c>
      <c r="Q493" t="str">
        <f>CONCATENATE(Q$2,": ",Q$3,list1!Q493,"]")</f>
        <v xml:space="preserve"> (Внутренний блок) Масса (нетто / брутто): S[]</v>
      </c>
      <c r="R493" t="str">
        <f>CONCATENATE(R$2,": ",R$3,list1!R493,"]")</f>
        <v xml:space="preserve"> (Внутренний блок) Уровень шума мин. / макс.: S[]</v>
      </c>
      <c r="S493" t="str">
        <f>CONCATENATE(S$2,": ",S$3,list1!S493,"]")</f>
        <v xml:space="preserve"> (Наружный блок) Марка компрессора: S[Gree]</v>
      </c>
      <c r="T493" t="str">
        <f>CONCATENATE(T$2,": ",T$3,list1!T493,"]")</f>
        <v xml:space="preserve"> (Наружный блок) Размеры (Ш x Г x В): S[]</v>
      </c>
      <c r="U493" t="str">
        <f>CONCATENATE(U$2,": ",U$3,list1!U493,"]")</f>
        <v xml:space="preserve"> (Наружный блок) Упаковка (Ш x Г x В): S[]</v>
      </c>
      <c r="V493" t="str">
        <f>CONCATENATE(V$2,": ",V$3,list1!V493,"]")</f>
        <v xml:space="preserve"> (Наружный блок) Масса (нетто / брутто): S[]</v>
      </c>
      <c r="W493" t="str">
        <f>CONCATENATE(W$2,": ",W$3,list1!W493,"]")</f>
        <v xml:space="preserve"> (Наружный блок) Максимальный уровень шума: N[]</v>
      </c>
      <c r="X493" t="str">
        <f>CONCATENATE(X$2,": ",X$3,list1!X493,"]")</f>
        <v xml:space="preserve"> (Соединительные трубы) Жидкостная линия : N[]</v>
      </c>
      <c r="Y493" t="str">
        <f>CONCATENATE(Y$2,": ",Y$3,list1!Y493,"]")</f>
        <v xml:space="preserve"> (Соединительные трубы) Газовая линия : N[]</v>
      </c>
      <c r="Z493" t="str">
        <f>CONCATENATE(Z$2,": ",Z$3,list1!Z493,"]")</f>
        <v xml:space="preserve"> (Соединительные трубы) Максимальная длина трубопровода: N[75]</v>
      </c>
      <c r="AA493" t="str">
        <f>CONCATENATE(AA$2,": ",AA$3,list1!AA493,"]")</f>
        <v xml:space="preserve"> (Соединительные трубы) Максимальный перепад высот: S[15]</v>
      </c>
      <c r="AB493" t="str">
        <f>CONCATENATE(AB$2,": ",AB$3,list1!AB493,"]")</f>
        <v xml:space="preserve"> (Допустимая темп. наружного воздуха) Охлаждение: S[от -15 до +43]</v>
      </c>
      <c r="AC493" t="str">
        <f>CONCATENATE(AC$2,": ",AC$3,list1!AC493,"]")</f>
        <v xml:space="preserve"> (Допустимая темп. наружного воздуха) Обогрев: S[от -22 до +24]</v>
      </c>
      <c r="AD493" s="6" t="s">
        <v>5173</v>
      </c>
    </row>
    <row r="494" spans="1:30" x14ac:dyDescent="0.25">
      <c r="A494" t="str">
        <f>CONCATENATE(A$2,": ",A$3,list1!A494,"]")</f>
        <v>Производитель: E[TOSOT]</v>
      </c>
      <c r="B494" t="str">
        <f>CONCATENATE(B$2,": ",B$3,list1!B494,"]")</f>
        <v xml:space="preserve"> Тип: S[Мульти сплит система]</v>
      </c>
      <c r="C494" t="str">
        <f>CONCATENATE(C$2,": ",C$3,list1!C494,"]")</f>
        <v xml:space="preserve"> (Сплит система) Холодопроизводительность: N[12.1]</v>
      </c>
      <c r="D494" t="str">
        <f>CONCATENATE(D$2,": ",D$3,list1!D494,"]")</f>
        <v xml:space="preserve"> (Сплит система) Площадь помещения: N[120]</v>
      </c>
      <c r="E494" t="str">
        <f>CONCATENATE(E$2,": ",E$3,list1!E494,"]")</f>
        <v xml:space="preserve"> (Сплит система) Инвентор: S[да]</v>
      </c>
      <c r="F494" t="str">
        <f>CONCATENATE(F$2,": ",F$3,list1!F494,"]")</f>
        <v xml:space="preserve"> (Сплит система) Теплопроизводительность: N[12.5]</v>
      </c>
      <c r="G494" t="str">
        <f>CONCATENATE(G$2,": ",G$3,list1!G494,"]")</f>
        <v xml:space="preserve"> (Потребляемая мощность) Охлаждение: N[4.1]</v>
      </c>
      <c r="H494" t="str">
        <f>CONCATENATE(H$2,": ",H$3,list1!H494,"]")</f>
        <v xml:space="preserve"> (Потребляемая мощность) Обогрев: S[3.7]</v>
      </c>
      <c r="I494" t="str">
        <f>CONCATENATE(I$2,": ",I$3,list1!I494,"]")</f>
        <v xml:space="preserve"> (Рабочий ток) Охлаждение: S[]</v>
      </c>
      <c r="J494" t="str">
        <f>CONCATENATE(J$2,": ",J$3,list1!J494,"]")</f>
        <v xml:space="preserve"> (Рабочий ток) Обогрев: S[]</v>
      </c>
      <c r="K494" t="str">
        <f>CONCATENATE(K$2,": ",K$3,list1!K494,"]")</f>
        <v xml:space="preserve"> (Рабочий ток) Напряжение / Частота источника питания: S[1 / 220 / 50]</v>
      </c>
      <c r="L494" t="str">
        <f>CONCATENATE(L$2,": ",L$3,list1!L494,"]")</f>
        <v xml:space="preserve"> (Рабочий ток) Хладагент: S[R410A]</v>
      </c>
      <c r="M494" t="str">
        <f>CONCATENATE(M$2,": ",M$3,list1!M494,"]")</f>
        <v xml:space="preserve"> (Рабочий ток) Количество хладагента: N[]</v>
      </c>
      <c r="N494" t="str">
        <f>CONCATENATE(N$2,": ",N$3,list1!N494,"]")</f>
        <v xml:space="preserve"> (Рабочий ток) Объем рециркулируемого воздуха внутреннего блока: S[]</v>
      </c>
      <c r="O494" t="str">
        <f>CONCATENATE(O$2,": ",O$3,list1!O494,"]")</f>
        <v xml:space="preserve"> (Внутренний блок) Размеры (Ш x Г x В): S[]</v>
      </c>
      <c r="P494" t="str">
        <f>CONCATENATE(P$2,": ",P$3,list1!P494,"]")</f>
        <v xml:space="preserve"> (Внутренний блок) Упаковка (Ш x Г x В): S[]</v>
      </c>
      <c r="Q494" t="str">
        <f>CONCATENATE(Q$2,": ",Q$3,list1!Q494,"]")</f>
        <v xml:space="preserve"> (Внутренний блок) Масса (нетто / брутто): S[]</v>
      </c>
      <c r="R494" t="str">
        <f>CONCATENATE(R$2,": ",R$3,list1!R494,"]")</f>
        <v xml:space="preserve"> (Внутренний блок) Уровень шума мин. / макс.: S[]</v>
      </c>
      <c r="S494" t="str">
        <f>CONCATENATE(S$2,": ",S$3,list1!S494,"]")</f>
        <v xml:space="preserve"> (Наружный блок) Марка компрессора: S[Gree]</v>
      </c>
      <c r="T494" t="str">
        <f>CONCATENATE(T$2,": ",T$3,list1!T494,"]")</f>
        <v xml:space="preserve"> (Наружный блок) Размеры (Ш x Г x В): S[]</v>
      </c>
      <c r="U494" t="str">
        <f>CONCATENATE(U$2,": ",U$3,list1!U494,"]")</f>
        <v xml:space="preserve"> (Наружный блок) Упаковка (Ш x Г x В): S[]</v>
      </c>
      <c r="V494" t="str">
        <f>CONCATENATE(V$2,": ",V$3,list1!V494,"]")</f>
        <v xml:space="preserve"> (Наружный блок) Масса (нетто / брутто): S[]</v>
      </c>
      <c r="W494" t="str">
        <f>CONCATENATE(W$2,": ",W$3,list1!W494,"]")</f>
        <v xml:space="preserve"> (Наружный блок) Максимальный уровень шума: N[]</v>
      </c>
      <c r="X494" t="str">
        <f>CONCATENATE(X$2,": ",X$3,list1!X494,"]")</f>
        <v xml:space="preserve"> (Соединительные трубы) Жидкостная линия : N[9.5]</v>
      </c>
      <c r="Y494" t="str">
        <f>CONCATENATE(Y$2,": ",Y$3,list1!Y494,"]")</f>
        <v xml:space="preserve"> (Соединительные трубы) Газовая линия : N[16]</v>
      </c>
      <c r="Z494" t="str">
        <f>CONCATENATE(Z$2,": ",Z$3,list1!Z494,"]")</f>
        <v xml:space="preserve"> (Соединительные трубы) Максимальная длина трубопровода: N[115]</v>
      </c>
      <c r="AA494" t="str">
        <f>CONCATENATE(AA$2,": ",AA$3,list1!AA494,"]")</f>
        <v xml:space="preserve"> (Соединительные трубы) Максимальный перепад высот: S[30]</v>
      </c>
      <c r="AB494" t="str">
        <f>CONCATENATE(AB$2,": ",AB$3,list1!AB494,"]")</f>
        <v xml:space="preserve"> (Допустимая темп. наружного воздуха) Охлаждение: S[от 18 до +48]</v>
      </c>
      <c r="AC494" t="str">
        <f>CONCATENATE(AC$2,": ",AC$3,list1!AC494,"]")</f>
        <v xml:space="preserve"> (Допустимая темп. наружного воздуха) Обогрев: S[от -10 до +24]</v>
      </c>
      <c r="AD494" s="6" t="s">
        <v>5173</v>
      </c>
    </row>
    <row r="495" spans="1:30" x14ac:dyDescent="0.25">
      <c r="A495" t="str">
        <f>CONCATENATE(A$2,": ",A$3,list1!A495,"]")</f>
        <v>Производитель: E[TOSOT]</v>
      </c>
      <c r="B495" t="str">
        <f>CONCATENATE(B$2,": ",B$3,list1!B495,"]")</f>
        <v xml:space="preserve"> Тип: S[Мульти сплит система]</v>
      </c>
      <c r="C495" t="str">
        <f>CONCATENATE(C$2,": ",C$3,list1!C495,"]")</f>
        <v xml:space="preserve"> (Сплит система) Холодопроизводительность: N[14]</v>
      </c>
      <c r="D495" t="str">
        <f>CONCATENATE(D$2,": ",D$3,list1!D495,"]")</f>
        <v xml:space="preserve"> (Сплит система) Площадь помещения: N[140]</v>
      </c>
      <c r="E495" t="str">
        <f>CONCATENATE(E$2,": ",E$3,list1!E495,"]")</f>
        <v xml:space="preserve"> (Сплит система) Инвентор: S[да]</v>
      </c>
      <c r="F495" t="str">
        <f>CONCATENATE(F$2,": ",F$3,list1!F495,"]")</f>
        <v xml:space="preserve"> (Сплит система) Теплопроизводительность: N[15.5]</v>
      </c>
      <c r="G495" t="str">
        <f>CONCATENATE(G$2,": ",G$3,list1!G495,"]")</f>
        <v xml:space="preserve"> (Потребляемая мощность) Охлаждение: N[4.9]</v>
      </c>
      <c r="H495" t="str">
        <f>CONCATENATE(H$2,": ",H$3,list1!H495,"]")</f>
        <v xml:space="preserve"> (Потребляемая мощность) Обогрев: S[4.3]</v>
      </c>
      <c r="I495" t="str">
        <f>CONCATENATE(I$2,": ",I$3,list1!I495,"]")</f>
        <v xml:space="preserve"> (Рабочий ток) Охлаждение: S[]</v>
      </c>
      <c r="J495" t="str">
        <f>CONCATENATE(J$2,": ",J$3,list1!J495,"]")</f>
        <v xml:space="preserve"> (Рабочий ток) Обогрев: S[]</v>
      </c>
      <c r="K495" t="str">
        <f>CONCATENATE(K$2,": ",K$3,list1!K495,"]")</f>
        <v xml:space="preserve"> (Рабочий ток) Напряжение / Частота источника питания: S[1 / 220 / 50]</v>
      </c>
      <c r="L495" t="str">
        <f>CONCATENATE(L$2,": ",L$3,list1!L495,"]")</f>
        <v xml:space="preserve"> (Рабочий ток) Хладагент: S[R410A]</v>
      </c>
      <c r="M495" t="str">
        <f>CONCATENATE(M$2,": ",M$3,list1!M495,"]")</f>
        <v xml:space="preserve"> (Рабочий ток) Количество хладагента: N[]</v>
      </c>
      <c r="N495" t="str">
        <f>CONCATENATE(N$2,": ",N$3,list1!N495,"]")</f>
        <v xml:space="preserve"> (Рабочий ток) Объем рециркулируемого воздуха внутреннего блока: S[]</v>
      </c>
      <c r="O495" t="str">
        <f>CONCATENATE(O$2,": ",O$3,list1!O495,"]")</f>
        <v xml:space="preserve"> (Внутренний блок) Размеры (Ш x Г x В): S[]</v>
      </c>
      <c r="P495" t="str">
        <f>CONCATENATE(P$2,": ",P$3,list1!P495,"]")</f>
        <v xml:space="preserve"> (Внутренний блок) Упаковка (Ш x Г x В): S[]</v>
      </c>
      <c r="Q495" t="str">
        <f>CONCATENATE(Q$2,": ",Q$3,list1!Q495,"]")</f>
        <v xml:space="preserve"> (Внутренний блок) Масса (нетто / брутто): S[]</v>
      </c>
      <c r="R495" t="str">
        <f>CONCATENATE(R$2,": ",R$3,list1!R495,"]")</f>
        <v xml:space="preserve"> (Внутренний блок) Уровень шума мин. / макс.: S[]</v>
      </c>
      <c r="S495" t="str">
        <f>CONCATENATE(S$2,": ",S$3,list1!S495,"]")</f>
        <v xml:space="preserve"> (Наружный блок) Марка компрессора: S[Gree]</v>
      </c>
      <c r="T495" t="str">
        <f>CONCATENATE(T$2,": ",T$3,list1!T495,"]")</f>
        <v xml:space="preserve"> (Наружный блок) Размеры (Ш x Г x В): S[]</v>
      </c>
      <c r="U495" t="str">
        <f>CONCATENATE(U$2,": ",U$3,list1!U495,"]")</f>
        <v xml:space="preserve"> (Наружный блок) Упаковка (Ш x Г x В): S[]</v>
      </c>
      <c r="V495" t="str">
        <f>CONCATENATE(V$2,": ",V$3,list1!V495,"]")</f>
        <v xml:space="preserve"> (Наружный блок) Масса (нетто / брутто): S[]</v>
      </c>
      <c r="W495" t="str">
        <f>CONCATENATE(W$2,": ",W$3,list1!W495,"]")</f>
        <v xml:space="preserve"> (Наружный блок) Максимальный уровень шума: N[]</v>
      </c>
      <c r="X495" t="str">
        <f>CONCATENATE(X$2,": ",X$3,list1!X495,"]")</f>
        <v xml:space="preserve"> (Соединительные трубы) Жидкостная линия : N[9.5]</v>
      </c>
      <c r="Y495" t="str">
        <f>CONCATENATE(Y$2,": ",Y$3,list1!Y495,"]")</f>
        <v xml:space="preserve"> (Соединительные трубы) Газовая линия : N[16]</v>
      </c>
      <c r="Z495" t="str">
        <f>CONCATENATE(Z$2,": ",Z$3,list1!Z495,"]")</f>
        <v xml:space="preserve"> (Соединительные трубы) Максимальная длина трубопровода: N[135]</v>
      </c>
      <c r="AA495" t="str">
        <f>CONCATENATE(AA$2,": ",AA$3,list1!AA495,"]")</f>
        <v xml:space="preserve"> (Соединительные трубы) Максимальный перепад высот: S[30]</v>
      </c>
      <c r="AB495" t="str">
        <f>CONCATENATE(AB$2,": ",AB$3,list1!AB495,"]")</f>
        <v xml:space="preserve"> (Допустимая темп. наружного воздуха) Охлаждение: S[от 18 до +48]</v>
      </c>
      <c r="AC495" t="str">
        <f>CONCATENATE(AC$2,": ",AC$3,list1!AC495,"]")</f>
        <v xml:space="preserve"> (Допустимая темп. наружного воздуха) Обогрев: S[от -10 до +24]</v>
      </c>
      <c r="AD495" s="6" t="s">
        <v>5173</v>
      </c>
    </row>
    <row r="496" spans="1:30" x14ac:dyDescent="0.25">
      <c r="A496" t="str">
        <f>CONCATENATE(A$2,": ",A$3,list1!A496,"]")</f>
        <v>Производитель: E[TOSOT]</v>
      </c>
      <c r="B496" t="str">
        <f>CONCATENATE(B$2,": ",B$3,list1!B496,"]")</f>
        <v xml:space="preserve"> Тип: S[Мульти сплит система]</v>
      </c>
      <c r="C496" t="str">
        <f>CONCATENATE(C$2,": ",C$3,list1!C496,"]")</f>
        <v xml:space="preserve"> (Сплит система) Холодопроизводительность: N[14]</v>
      </c>
      <c r="D496" t="str">
        <f>CONCATENATE(D$2,": ",D$3,list1!D496,"]")</f>
        <v xml:space="preserve"> (Сплит система) Площадь помещения: N[140]</v>
      </c>
      <c r="E496" t="str">
        <f>CONCATENATE(E$2,": ",E$3,list1!E496,"]")</f>
        <v xml:space="preserve"> (Сплит система) Инвентор: S[да]</v>
      </c>
      <c r="F496" t="str">
        <f>CONCATENATE(F$2,": ",F$3,list1!F496,"]")</f>
        <v xml:space="preserve"> (Сплит система) Теплопроизводительность: N[16]</v>
      </c>
      <c r="G496" t="str">
        <f>CONCATENATE(G$2,": ",G$3,list1!G496,"]")</f>
        <v xml:space="preserve"> (Потребляемая мощность) Охлаждение: N[4.4]</v>
      </c>
      <c r="H496" t="str">
        <f>CONCATENATE(H$2,": ",H$3,list1!H496,"]")</f>
        <v xml:space="preserve"> (Потребляемая мощность) Обогрев: S[4.25]</v>
      </c>
      <c r="I496" t="str">
        <f>CONCATENATE(I$2,": ",I$3,list1!I496,"]")</f>
        <v xml:space="preserve"> (Рабочий ток) Охлаждение: S[]</v>
      </c>
      <c r="J496" t="str">
        <f>CONCATENATE(J$2,": ",J$3,list1!J496,"]")</f>
        <v xml:space="preserve"> (Рабочий ток) Обогрев: S[]</v>
      </c>
      <c r="K496" t="str">
        <f>CONCATENATE(K$2,": ",K$3,list1!K496,"]")</f>
        <v xml:space="preserve"> (Рабочий ток) Напряжение / Частота источника питания: S[3 / 380 / 50]</v>
      </c>
      <c r="L496" t="str">
        <f>CONCATENATE(L$2,": ",L$3,list1!L496,"]")</f>
        <v xml:space="preserve"> (Рабочий ток) Хладагент: S[R410A]</v>
      </c>
      <c r="M496" t="str">
        <f>CONCATENATE(M$2,": ",M$3,list1!M496,"]")</f>
        <v xml:space="preserve"> (Рабочий ток) Количество хладагента: N[]</v>
      </c>
      <c r="N496" t="str">
        <f>CONCATENATE(N$2,": ",N$3,list1!N496,"]")</f>
        <v xml:space="preserve"> (Рабочий ток) Объем рециркулируемого воздуха внутреннего блока: S[]</v>
      </c>
      <c r="O496" t="str">
        <f>CONCATENATE(O$2,": ",O$3,list1!O496,"]")</f>
        <v xml:space="preserve"> (Внутренний блок) Размеры (Ш x Г x В): S[]</v>
      </c>
      <c r="P496" t="str">
        <f>CONCATENATE(P$2,": ",P$3,list1!P496,"]")</f>
        <v xml:space="preserve"> (Внутренний блок) Упаковка (Ш x Г x В): S[]</v>
      </c>
      <c r="Q496" t="str">
        <f>CONCATENATE(Q$2,": ",Q$3,list1!Q496,"]")</f>
        <v xml:space="preserve"> (Внутренний блок) Масса (нетто / брутто): S[]</v>
      </c>
      <c r="R496" t="str">
        <f>CONCATENATE(R$2,": ",R$3,list1!R496,"]")</f>
        <v xml:space="preserve"> (Внутренний блок) Уровень шума мин. / макс.: S[]</v>
      </c>
      <c r="S496" t="str">
        <f>CONCATENATE(S$2,": ",S$3,list1!S496,"]")</f>
        <v xml:space="preserve"> (Наружный блок) Марка компрессора: S[Gree]</v>
      </c>
      <c r="T496" t="str">
        <f>CONCATENATE(T$2,": ",T$3,list1!T496,"]")</f>
        <v xml:space="preserve"> (Наружный блок) Размеры (Ш x Г x В): S[]</v>
      </c>
      <c r="U496" t="str">
        <f>CONCATENATE(U$2,": ",U$3,list1!U496,"]")</f>
        <v xml:space="preserve"> (Наружный блок) Упаковка (Ш x Г x В): S[]</v>
      </c>
      <c r="V496" t="str">
        <f>CONCATENATE(V$2,": ",V$3,list1!V496,"]")</f>
        <v xml:space="preserve"> (Наружный блок) Масса (нетто / брутто): S[]</v>
      </c>
      <c r="W496" t="str">
        <f>CONCATENATE(W$2,": ",W$3,list1!W496,"]")</f>
        <v xml:space="preserve"> (Наружный блок) Максимальный уровень шума: N[]</v>
      </c>
      <c r="X496" t="str">
        <f>CONCATENATE(X$2,": ",X$3,list1!X496,"]")</f>
        <v xml:space="preserve"> (Соединительные трубы) Жидкостная линия : N[9.5]</v>
      </c>
      <c r="Y496" t="str">
        <f>CONCATENATE(Y$2,": ",Y$3,list1!Y496,"]")</f>
        <v xml:space="preserve"> (Соединительные трубы) Газовая линия : N[16]</v>
      </c>
      <c r="Z496" t="str">
        <f>CONCATENATE(Z$2,": ",Z$3,list1!Z496,"]")</f>
        <v xml:space="preserve"> (Соединительные трубы) Максимальная длина трубопровода: N[135]</v>
      </c>
      <c r="AA496" t="str">
        <f>CONCATENATE(AA$2,": ",AA$3,list1!AA496,"]")</f>
        <v xml:space="preserve"> (Соединительные трубы) Максимальный перепад высот: S[30]</v>
      </c>
      <c r="AB496" t="str">
        <f>CONCATENATE(AB$2,": ",AB$3,list1!AB496,"]")</f>
        <v xml:space="preserve"> (Допустимая темп. наружного воздуха) Охлаждение: S[от 10 до +48]</v>
      </c>
      <c r="AC496" t="str">
        <f>CONCATENATE(AC$2,": ",AC$3,list1!AC496,"]")</f>
        <v xml:space="preserve"> (Допустимая темп. наружного воздуха) Обогрев: S[от -15 до +27]</v>
      </c>
      <c r="AD496" s="6" t="s">
        <v>5173</v>
      </c>
    </row>
    <row r="497" spans="1:30" x14ac:dyDescent="0.25">
      <c r="A497" t="str">
        <f>CONCATENATE(A$2,": ",A$3,list1!A497,"]")</f>
        <v>Производитель: E[TOSOT]</v>
      </c>
      <c r="B497" t="str">
        <f>CONCATENATE(B$2,": ",B$3,list1!B497,"]")</f>
        <v xml:space="preserve"> Тип: S[Мульти сплит система]</v>
      </c>
      <c r="C497" t="str">
        <f>CONCATENATE(C$2,": ",C$3,list1!C497,"]")</f>
        <v xml:space="preserve"> (Сплит система) Холодопроизводительность: N[15.5]</v>
      </c>
      <c r="D497" t="str">
        <f>CONCATENATE(D$2,": ",D$3,list1!D497,"]")</f>
        <v xml:space="preserve"> (Сплит система) Площадь помещения: N[150]</v>
      </c>
      <c r="E497" t="str">
        <f>CONCATENATE(E$2,": ",E$3,list1!E497,"]")</f>
        <v xml:space="preserve"> (Сплит система) Инвентор: S[да]</v>
      </c>
      <c r="F497" t="str">
        <f>CONCATENATE(F$2,": ",F$3,list1!F497,"]")</f>
        <v xml:space="preserve"> (Сплит система) Теплопроизводительность: N[17.5]</v>
      </c>
      <c r="G497" t="str">
        <f>CONCATENATE(G$2,": ",G$3,list1!G497,"]")</f>
        <v xml:space="preserve"> (Потребляемая мощность) Охлаждение: N[5.3]</v>
      </c>
      <c r="H497" t="str">
        <f>CONCATENATE(H$2,": ",H$3,list1!H497,"]")</f>
        <v xml:space="preserve"> (Потребляемая мощность) Обогрев: S[4.8]</v>
      </c>
      <c r="I497" t="str">
        <f>CONCATENATE(I$2,": ",I$3,list1!I497,"]")</f>
        <v xml:space="preserve"> (Рабочий ток) Охлаждение: S[]</v>
      </c>
      <c r="J497" t="str">
        <f>CONCATENATE(J$2,": ",J$3,list1!J497,"]")</f>
        <v xml:space="preserve"> (Рабочий ток) Обогрев: S[]</v>
      </c>
      <c r="K497" t="str">
        <f>CONCATENATE(K$2,": ",K$3,list1!K497,"]")</f>
        <v xml:space="preserve"> (Рабочий ток) Напряжение / Частота источника питания: S[1 / 220 / 50]</v>
      </c>
      <c r="L497" t="str">
        <f>CONCATENATE(L$2,": ",L$3,list1!L497,"]")</f>
        <v xml:space="preserve"> (Рабочий ток) Хладагент: S[R410A]</v>
      </c>
      <c r="M497" t="str">
        <f>CONCATENATE(M$2,": ",M$3,list1!M497,"]")</f>
        <v xml:space="preserve"> (Рабочий ток) Количество хладагента: N[]</v>
      </c>
      <c r="N497" t="str">
        <f>CONCATENATE(N$2,": ",N$3,list1!N497,"]")</f>
        <v xml:space="preserve"> (Рабочий ток) Объем рециркулируемого воздуха внутреннего блока: S[]</v>
      </c>
      <c r="O497" t="str">
        <f>CONCATENATE(O$2,": ",O$3,list1!O497,"]")</f>
        <v xml:space="preserve"> (Внутренний блок) Размеры (Ш x Г x В): S[]</v>
      </c>
      <c r="P497" t="str">
        <f>CONCATENATE(P$2,": ",P$3,list1!P497,"]")</f>
        <v xml:space="preserve"> (Внутренний блок) Упаковка (Ш x Г x В): S[]</v>
      </c>
      <c r="Q497" t="str">
        <f>CONCATENATE(Q$2,": ",Q$3,list1!Q497,"]")</f>
        <v xml:space="preserve"> (Внутренний блок) Масса (нетто / брутто): S[]</v>
      </c>
      <c r="R497" t="str">
        <f>CONCATENATE(R$2,": ",R$3,list1!R497,"]")</f>
        <v xml:space="preserve"> (Внутренний блок) Уровень шума мин. / макс.: S[]</v>
      </c>
      <c r="S497" t="str">
        <f>CONCATENATE(S$2,": ",S$3,list1!S497,"]")</f>
        <v xml:space="preserve"> (Наружный блок) Марка компрессора: S[Gree]</v>
      </c>
      <c r="T497" t="str">
        <f>CONCATENATE(T$2,": ",T$3,list1!T497,"]")</f>
        <v xml:space="preserve"> (Наружный блок) Размеры (Ш x Г x В): S[]</v>
      </c>
      <c r="U497" t="str">
        <f>CONCATENATE(U$2,": ",U$3,list1!U497,"]")</f>
        <v xml:space="preserve"> (Наружный блок) Упаковка (Ш x Г x В): S[]</v>
      </c>
      <c r="V497" t="str">
        <f>CONCATENATE(V$2,": ",V$3,list1!V497,"]")</f>
        <v xml:space="preserve"> (Наружный блок) Масса (нетто / брутто): S[]</v>
      </c>
      <c r="W497" t="str">
        <f>CONCATENATE(W$2,": ",W$3,list1!W497,"]")</f>
        <v xml:space="preserve"> (Наружный блок) Максимальный уровень шума: N[]</v>
      </c>
      <c r="X497" t="str">
        <f>CONCATENATE(X$2,": ",X$3,list1!X497,"]")</f>
        <v xml:space="preserve"> (Соединительные трубы) Жидкостная линия : N[9.5]</v>
      </c>
      <c r="Y497" t="str">
        <f>CONCATENATE(Y$2,": ",Y$3,list1!Y497,"]")</f>
        <v xml:space="preserve"> (Соединительные трубы) Газовая линия : N[16]</v>
      </c>
      <c r="Z497" t="str">
        <f>CONCATENATE(Z$2,": ",Z$3,list1!Z497,"]")</f>
        <v xml:space="preserve"> (Соединительные трубы) Максимальная длина трубопровода: N[145]</v>
      </c>
      <c r="AA497" t="str">
        <f>CONCATENATE(AA$2,": ",AA$3,list1!AA497,"]")</f>
        <v xml:space="preserve"> (Соединительные трубы) Максимальный перепад высот: S[30]</v>
      </c>
      <c r="AB497" t="str">
        <f>CONCATENATE(AB$2,": ",AB$3,list1!AB497,"]")</f>
        <v xml:space="preserve"> (Допустимая темп. наружного воздуха) Охлаждение: S[от 18 до +48]</v>
      </c>
      <c r="AC497" t="str">
        <f>CONCATENATE(AC$2,": ",AC$3,list1!AC497,"]")</f>
        <v xml:space="preserve"> (Допустимая темп. наружного воздуха) Обогрев: S[от -10 до +24]</v>
      </c>
      <c r="AD497" s="6" t="s">
        <v>5173</v>
      </c>
    </row>
    <row r="498" spans="1:30" x14ac:dyDescent="0.25">
      <c r="A498" t="str">
        <f>CONCATENATE(A$2,": ",A$3,list1!A498,"]")</f>
        <v>Производитель: E[TOSOT]</v>
      </c>
      <c r="B498" t="str">
        <f>CONCATENATE(B$2,": ",B$3,list1!B498,"]")</f>
        <v xml:space="preserve"> Тип: S[Мульти сплит система]</v>
      </c>
      <c r="C498" t="str">
        <f>CONCATENATE(C$2,": ",C$3,list1!C498,"]")</f>
        <v xml:space="preserve"> (Сплит система) Холодопроизводительность: N[16]</v>
      </c>
      <c r="D498" t="str">
        <f>CONCATENATE(D$2,": ",D$3,list1!D498,"]")</f>
        <v xml:space="preserve"> (Сплит система) Площадь помещения: N[160]</v>
      </c>
      <c r="E498" t="str">
        <f>CONCATENATE(E$2,": ",E$3,list1!E498,"]")</f>
        <v xml:space="preserve"> (Сплит система) Инвентор: S[да]</v>
      </c>
      <c r="F498" t="str">
        <f>CONCATENATE(F$2,": ",F$3,list1!F498,"]")</f>
        <v xml:space="preserve"> (Сплит система) Теплопроизводительность: N[18]</v>
      </c>
      <c r="G498" t="str">
        <f>CONCATENATE(G$2,": ",G$3,list1!G498,"]")</f>
        <v xml:space="preserve"> (Потребляемая мощность) Охлаждение: N[5]</v>
      </c>
      <c r="H498" t="str">
        <f>CONCATENATE(H$2,": ",H$3,list1!H498,"]")</f>
        <v xml:space="preserve"> (Потребляемая мощность) Обогрев: S[4.7]</v>
      </c>
      <c r="I498" t="str">
        <f>CONCATENATE(I$2,": ",I$3,list1!I498,"]")</f>
        <v xml:space="preserve"> (Рабочий ток) Охлаждение: S[]</v>
      </c>
      <c r="J498" t="str">
        <f>CONCATENATE(J$2,": ",J$3,list1!J498,"]")</f>
        <v xml:space="preserve"> (Рабочий ток) Обогрев: S[]</v>
      </c>
      <c r="K498" t="str">
        <f>CONCATENATE(K$2,": ",K$3,list1!K498,"]")</f>
        <v xml:space="preserve"> (Рабочий ток) Напряжение / Частота источника питания: S[3 / 380 / 50]</v>
      </c>
      <c r="L498" t="str">
        <f>CONCATENATE(L$2,": ",L$3,list1!L498,"]")</f>
        <v xml:space="preserve"> (Рабочий ток) Хладагент: S[R410A]</v>
      </c>
      <c r="M498" t="str">
        <f>CONCATENATE(M$2,": ",M$3,list1!M498,"]")</f>
        <v xml:space="preserve"> (Рабочий ток) Количество хладагента: N[]</v>
      </c>
      <c r="N498" t="str">
        <f>CONCATENATE(N$2,": ",N$3,list1!N498,"]")</f>
        <v xml:space="preserve"> (Рабочий ток) Объем рециркулируемого воздуха внутреннего блока: S[]</v>
      </c>
      <c r="O498" t="str">
        <f>CONCATENATE(O$2,": ",O$3,list1!O498,"]")</f>
        <v xml:space="preserve"> (Внутренний блок) Размеры (Ш x Г x В): S[]</v>
      </c>
      <c r="P498" t="str">
        <f>CONCATENATE(P$2,": ",P$3,list1!P498,"]")</f>
        <v xml:space="preserve"> (Внутренний блок) Упаковка (Ш x Г x В): S[]</v>
      </c>
      <c r="Q498" t="str">
        <f>CONCATENATE(Q$2,": ",Q$3,list1!Q498,"]")</f>
        <v xml:space="preserve"> (Внутренний блок) Масса (нетто / брутто): S[]</v>
      </c>
      <c r="R498" t="str">
        <f>CONCATENATE(R$2,": ",R$3,list1!R498,"]")</f>
        <v xml:space="preserve"> (Внутренний блок) Уровень шума мин. / макс.: S[]</v>
      </c>
      <c r="S498" t="str">
        <f>CONCATENATE(S$2,": ",S$3,list1!S498,"]")</f>
        <v xml:space="preserve"> (Наружный блок) Марка компрессора: S[Gree]</v>
      </c>
      <c r="T498" t="str">
        <f>CONCATENATE(T$2,": ",T$3,list1!T498,"]")</f>
        <v xml:space="preserve"> (Наружный блок) Размеры (Ш x Г x В): S[]</v>
      </c>
      <c r="U498" t="str">
        <f>CONCATENATE(U$2,": ",U$3,list1!U498,"]")</f>
        <v xml:space="preserve"> (Наружный блок) Упаковка (Ш x Г x В): S[]</v>
      </c>
      <c r="V498" t="str">
        <f>CONCATENATE(V$2,": ",V$3,list1!V498,"]")</f>
        <v xml:space="preserve"> (Наружный блок) Масса (нетто / брутто): S[]</v>
      </c>
      <c r="W498" t="str">
        <f>CONCATENATE(W$2,": ",W$3,list1!W498,"]")</f>
        <v xml:space="preserve"> (Наружный блок) Максимальный уровень шума: N[]</v>
      </c>
      <c r="X498" t="str">
        <f>CONCATENATE(X$2,": ",X$3,list1!X498,"]")</f>
        <v xml:space="preserve"> (Соединительные трубы) Жидкостная линия : N[9.5]</v>
      </c>
      <c r="Y498" t="str">
        <f>CONCATENATE(Y$2,": ",Y$3,list1!Y498,"]")</f>
        <v xml:space="preserve"> (Соединительные трубы) Газовая линия : N[19]</v>
      </c>
      <c r="Z498" t="str">
        <f>CONCATENATE(Z$2,": ",Z$3,list1!Z498,"]")</f>
        <v xml:space="preserve"> (Соединительные трубы) Максимальная длина трубопровода: N[145]</v>
      </c>
      <c r="AA498" t="str">
        <f>CONCATENATE(AA$2,": ",AA$3,list1!AA498,"]")</f>
        <v xml:space="preserve"> (Соединительные трубы) Максимальный перепад высот: S[30]</v>
      </c>
      <c r="AB498" t="str">
        <f>CONCATENATE(AB$2,": ",AB$3,list1!AB498,"]")</f>
        <v xml:space="preserve"> (Допустимая темп. наружного воздуха) Охлаждение: S[от 10 до +48]</v>
      </c>
      <c r="AC498" t="str">
        <f>CONCATENATE(AC$2,": ",AC$3,list1!AC498,"]")</f>
        <v xml:space="preserve"> (Допустимая темп. наружного воздуха) Обогрев: S[от -15 до +27]</v>
      </c>
      <c r="AD498" s="6" t="s">
        <v>5173</v>
      </c>
    </row>
  </sheetData>
  <autoFilter ref="B4:AD498"/>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D503"/>
  <sheetViews>
    <sheetView tabSelected="1" topLeftCell="A79" workbookViewId="0">
      <selection activeCell="A102" sqref="A102"/>
    </sheetView>
  </sheetViews>
  <sheetFormatPr defaultRowHeight="15" x14ac:dyDescent="0.25"/>
  <cols>
    <col min="1" max="1" width="22.85546875" customWidth="1"/>
    <col min="2" max="2" width="24.28515625" customWidth="1"/>
    <col min="3" max="7" width="17.7109375" customWidth="1"/>
    <col min="28" max="28" width="55.28515625" customWidth="1"/>
    <col min="29" max="29" width="9.140625" style="1"/>
  </cols>
  <sheetData>
    <row r="1" spans="1:30" x14ac:dyDescent="0.25">
      <c r="A1" t="s">
        <v>5804</v>
      </c>
      <c r="B1" t="s">
        <v>2154</v>
      </c>
      <c r="C1" t="s">
        <v>2155</v>
      </c>
      <c r="D1" t="s">
        <v>2156</v>
      </c>
      <c r="E1" t="s">
        <v>2157</v>
      </c>
      <c r="F1" t="s">
        <v>2158</v>
      </c>
      <c r="G1" t="s">
        <v>2159</v>
      </c>
      <c r="H1" t="s">
        <v>2160</v>
      </c>
      <c r="I1" t="s">
        <v>2161</v>
      </c>
      <c r="J1" t="s">
        <v>2162</v>
      </c>
      <c r="K1" t="s">
        <v>2163</v>
      </c>
      <c r="L1" t="s">
        <v>2164</v>
      </c>
      <c r="M1" t="s">
        <v>2165</v>
      </c>
      <c r="N1" t="s">
        <v>2166</v>
      </c>
      <c r="O1" t="s">
        <v>5250</v>
      </c>
      <c r="P1" t="s">
        <v>5251</v>
      </c>
      <c r="Q1" t="s">
        <v>2169</v>
      </c>
      <c r="R1" t="s">
        <v>2170</v>
      </c>
      <c r="S1" t="s">
        <v>2171</v>
      </c>
      <c r="T1" t="s">
        <v>5252</v>
      </c>
      <c r="U1" t="s">
        <v>5253</v>
      </c>
      <c r="V1" t="s">
        <v>2174</v>
      </c>
      <c r="W1" t="s">
        <v>2175</v>
      </c>
      <c r="X1" t="s">
        <v>2176</v>
      </c>
      <c r="Y1" t="s">
        <v>2177</v>
      </c>
      <c r="Z1" t="s">
        <v>2178</v>
      </c>
      <c r="AA1" t="s">
        <v>2179</v>
      </c>
      <c r="AB1" t="s">
        <v>2180</v>
      </c>
      <c r="AC1" s="1" t="s">
        <v>2181</v>
      </c>
      <c r="AD1" s="14" t="s">
        <v>3750</v>
      </c>
    </row>
    <row r="2" spans="1:30" x14ac:dyDescent="0.25">
      <c r="A2" t="s">
        <v>5807</v>
      </c>
      <c r="B2" t="s">
        <v>3766</v>
      </c>
      <c r="C2" t="s">
        <v>3795</v>
      </c>
      <c r="D2" t="s">
        <v>3796</v>
      </c>
      <c r="E2" t="s">
        <v>3797</v>
      </c>
      <c r="F2" t="s">
        <v>3798</v>
      </c>
      <c r="G2" t="s">
        <v>5246</v>
      </c>
      <c r="H2" t="s">
        <v>5247</v>
      </c>
      <c r="I2" t="s">
        <v>3772</v>
      </c>
      <c r="J2" t="s">
        <v>3773</v>
      </c>
      <c r="K2" t="s">
        <v>3799</v>
      </c>
      <c r="L2" t="s">
        <v>3800</v>
      </c>
      <c r="M2" t="s">
        <v>3776</v>
      </c>
      <c r="N2" t="s">
        <v>3777</v>
      </c>
      <c r="O2" t="s">
        <v>5254</v>
      </c>
      <c r="P2" s="15" t="s">
        <v>5255</v>
      </c>
      <c r="Q2" t="s">
        <v>3801</v>
      </c>
      <c r="R2" t="s">
        <v>3802</v>
      </c>
      <c r="S2" t="s">
        <v>3803</v>
      </c>
      <c r="T2" t="s">
        <v>5256</v>
      </c>
      <c r="U2" t="s">
        <v>5257</v>
      </c>
      <c r="V2" t="s">
        <v>3792</v>
      </c>
      <c r="W2" t="s">
        <v>3782</v>
      </c>
      <c r="X2" t="s">
        <v>3804</v>
      </c>
      <c r="Y2" t="s">
        <v>3805</v>
      </c>
      <c r="Z2" t="s">
        <v>5147</v>
      </c>
      <c r="AA2" t="s">
        <v>5148</v>
      </c>
      <c r="AB2" t="s">
        <v>3806</v>
      </c>
      <c r="AC2" s="1" t="s">
        <v>3807</v>
      </c>
      <c r="AD2" s="6" t="s">
        <v>5808</v>
      </c>
    </row>
    <row r="3" spans="1:30" x14ac:dyDescent="0.25">
      <c r="A3" t="s">
        <v>5807</v>
      </c>
      <c r="B3" t="s">
        <v>3766</v>
      </c>
      <c r="C3" t="s">
        <v>3808</v>
      </c>
      <c r="D3" t="s">
        <v>3809</v>
      </c>
      <c r="E3" t="s">
        <v>3797</v>
      </c>
      <c r="F3" t="s">
        <v>3810</v>
      </c>
      <c r="G3" t="s">
        <v>3811</v>
      </c>
      <c r="H3" t="s">
        <v>3812</v>
      </c>
      <c r="I3" t="s">
        <v>3772</v>
      </c>
      <c r="J3" t="s">
        <v>3773</v>
      </c>
      <c r="K3" t="s">
        <v>3799</v>
      </c>
      <c r="L3" t="s">
        <v>3800</v>
      </c>
      <c r="M3" t="s">
        <v>3776</v>
      </c>
      <c r="N3" t="s">
        <v>3777</v>
      </c>
      <c r="O3" t="s">
        <v>5254</v>
      </c>
      <c r="P3" s="15" t="s">
        <v>5255</v>
      </c>
      <c r="Q3" t="s">
        <v>3801</v>
      </c>
      <c r="R3" t="s">
        <v>3802</v>
      </c>
      <c r="S3" t="s">
        <v>3803</v>
      </c>
      <c r="T3" t="s">
        <v>5256</v>
      </c>
      <c r="U3" t="s">
        <v>5257</v>
      </c>
      <c r="V3" t="s">
        <v>3792</v>
      </c>
      <c r="W3" t="s">
        <v>3782</v>
      </c>
      <c r="X3" t="s">
        <v>3804</v>
      </c>
      <c r="Y3" t="s">
        <v>3805</v>
      </c>
      <c r="Z3" t="s">
        <v>5147</v>
      </c>
      <c r="AA3" t="s">
        <v>5148</v>
      </c>
      <c r="AB3" t="s">
        <v>3806</v>
      </c>
      <c r="AC3" s="1" t="s">
        <v>3807</v>
      </c>
      <c r="AD3" s="6" t="s">
        <v>5809</v>
      </c>
    </row>
    <row r="4" spans="1:30" x14ac:dyDescent="0.25">
      <c r="A4" t="s">
        <v>5807</v>
      </c>
      <c r="B4" t="s">
        <v>3766</v>
      </c>
      <c r="C4" t="s">
        <v>3813</v>
      </c>
      <c r="D4" t="s">
        <v>3814</v>
      </c>
      <c r="E4" t="s">
        <v>3797</v>
      </c>
      <c r="F4" t="s">
        <v>3815</v>
      </c>
      <c r="G4" t="s">
        <v>3816</v>
      </c>
      <c r="H4" t="s">
        <v>3817</v>
      </c>
      <c r="I4" t="s">
        <v>3772</v>
      </c>
      <c r="J4" t="s">
        <v>3773</v>
      </c>
      <c r="K4" t="s">
        <v>3799</v>
      </c>
      <c r="L4" t="s">
        <v>3800</v>
      </c>
      <c r="M4" t="s">
        <v>3776</v>
      </c>
      <c r="N4" t="s">
        <v>3777</v>
      </c>
      <c r="O4" t="s">
        <v>5254</v>
      </c>
      <c r="P4" t="s">
        <v>5255</v>
      </c>
      <c r="Q4" t="s">
        <v>3801</v>
      </c>
      <c r="R4" t="s">
        <v>3802</v>
      </c>
      <c r="S4" t="s">
        <v>3803</v>
      </c>
      <c r="T4" t="s">
        <v>5256</v>
      </c>
      <c r="U4" t="s">
        <v>5257</v>
      </c>
      <c r="V4" t="s">
        <v>3818</v>
      </c>
      <c r="W4" t="s">
        <v>3782</v>
      </c>
      <c r="X4" t="s">
        <v>3804</v>
      </c>
      <c r="Y4" t="s">
        <v>3805</v>
      </c>
      <c r="Z4" t="s">
        <v>5147</v>
      </c>
      <c r="AA4" t="s">
        <v>5148</v>
      </c>
      <c r="AB4" t="s">
        <v>3806</v>
      </c>
      <c r="AC4" s="1" t="s">
        <v>3807</v>
      </c>
      <c r="AD4" s="6" t="s">
        <v>5810</v>
      </c>
    </row>
    <row r="5" spans="1:30" x14ac:dyDescent="0.25">
      <c r="A5" t="s">
        <v>5807</v>
      </c>
      <c r="B5" t="s">
        <v>3766</v>
      </c>
      <c r="C5" t="s">
        <v>3819</v>
      </c>
      <c r="D5" t="s">
        <v>3820</v>
      </c>
      <c r="E5" t="s">
        <v>3797</v>
      </c>
      <c r="F5" t="s">
        <v>3821</v>
      </c>
      <c r="G5" t="s">
        <v>3822</v>
      </c>
      <c r="H5" t="s">
        <v>3823</v>
      </c>
      <c r="I5" t="s">
        <v>3772</v>
      </c>
      <c r="J5" t="s">
        <v>3773</v>
      </c>
      <c r="K5" t="s">
        <v>3799</v>
      </c>
      <c r="L5" t="s">
        <v>3800</v>
      </c>
      <c r="M5" t="s">
        <v>3776</v>
      </c>
      <c r="N5" t="s">
        <v>3777</v>
      </c>
      <c r="O5" t="s">
        <v>5254</v>
      </c>
      <c r="P5" t="s">
        <v>5255</v>
      </c>
      <c r="Q5" t="s">
        <v>3801</v>
      </c>
      <c r="R5" t="s">
        <v>3824</v>
      </c>
      <c r="S5" t="s">
        <v>3803</v>
      </c>
      <c r="T5" t="s">
        <v>5258</v>
      </c>
      <c r="U5" t="s">
        <v>5259</v>
      </c>
      <c r="V5" t="s">
        <v>3825</v>
      </c>
      <c r="W5" t="s">
        <v>3782</v>
      </c>
      <c r="X5" t="s">
        <v>3804</v>
      </c>
      <c r="Y5" t="s">
        <v>3826</v>
      </c>
      <c r="Z5" t="s">
        <v>5147</v>
      </c>
      <c r="AA5" t="s">
        <v>5148</v>
      </c>
      <c r="AB5" t="s">
        <v>3806</v>
      </c>
      <c r="AC5" s="1" t="s">
        <v>3807</v>
      </c>
      <c r="AD5" s="6" t="s">
        <v>5811</v>
      </c>
    </row>
    <row r="6" spans="1:30" x14ac:dyDescent="0.25">
      <c r="A6" t="s">
        <v>5807</v>
      </c>
      <c r="B6" t="s">
        <v>3766</v>
      </c>
      <c r="C6" t="s">
        <v>3795</v>
      </c>
      <c r="D6" t="s">
        <v>3796</v>
      </c>
      <c r="E6" t="s">
        <v>3797</v>
      </c>
      <c r="F6" t="s">
        <v>3810</v>
      </c>
      <c r="G6" t="s">
        <v>3832</v>
      </c>
      <c r="H6" t="s">
        <v>3833</v>
      </c>
      <c r="I6" t="s">
        <v>3772</v>
      </c>
      <c r="J6" t="s">
        <v>3773</v>
      </c>
      <c r="K6" t="s">
        <v>3799</v>
      </c>
      <c r="L6" t="s">
        <v>3827</v>
      </c>
      <c r="M6" t="s">
        <v>3776</v>
      </c>
      <c r="N6" t="s">
        <v>3777</v>
      </c>
      <c r="O6" t="s">
        <v>5260</v>
      </c>
      <c r="P6" t="s">
        <v>5261</v>
      </c>
      <c r="Q6" t="s">
        <v>3828</v>
      </c>
      <c r="R6" t="s">
        <v>3829</v>
      </c>
      <c r="S6" t="s">
        <v>3780</v>
      </c>
      <c r="T6" t="s">
        <v>5262</v>
      </c>
      <c r="U6" t="s">
        <v>5263</v>
      </c>
      <c r="V6" t="s">
        <v>3830</v>
      </c>
      <c r="W6" t="s">
        <v>3782</v>
      </c>
      <c r="X6" t="s">
        <v>3804</v>
      </c>
      <c r="Y6" t="s">
        <v>3805</v>
      </c>
      <c r="Z6" t="s">
        <v>5147</v>
      </c>
      <c r="AA6" t="s">
        <v>5148</v>
      </c>
      <c r="AB6" t="s">
        <v>3831</v>
      </c>
      <c r="AC6" s="1" t="s">
        <v>3807</v>
      </c>
      <c r="AD6" s="6" t="s">
        <v>6269</v>
      </c>
    </row>
    <row r="7" spans="1:30" x14ac:dyDescent="0.25">
      <c r="A7" t="s">
        <v>5807</v>
      </c>
      <c r="B7" t="s">
        <v>3766</v>
      </c>
      <c r="C7" t="s">
        <v>3795</v>
      </c>
      <c r="D7" t="s">
        <v>3796</v>
      </c>
      <c r="E7" t="s">
        <v>3797</v>
      </c>
      <c r="F7" t="s">
        <v>3810</v>
      </c>
      <c r="G7" t="s">
        <v>3832</v>
      </c>
      <c r="H7" t="s">
        <v>3833</v>
      </c>
      <c r="I7" t="s">
        <v>3772</v>
      </c>
      <c r="J7" t="s">
        <v>3773</v>
      </c>
      <c r="K7" t="s">
        <v>3799</v>
      </c>
      <c r="L7" t="s">
        <v>3827</v>
      </c>
      <c r="M7" t="s">
        <v>3776</v>
      </c>
      <c r="N7" t="s">
        <v>3777</v>
      </c>
      <c r="O7" t="s">
        <v>5260</v>
      </c>
      <c r="P7" t="s">
        <v>5261</v>
      </c>
      <c r="Q7" t="s">
        <v>3828</v>
      </c>
      <c r="R7" t="s">
        <v>3829</v>
      </c>
      <c r="S7" t="s">
        <v>3780</v>
      </c>
      <c r="T7" t="s">
        <v>5262</v>
      </c>
      <c r="U7" t="s">
        <v>5263</v>
      </c>
      <c r="V7" t="s">
        <v>3830</v>
      </c>
      <c r="W7" t="s">
        <v>3782</v>
      </c>
      <c r="X7" t="s">
        <v>3804</v>
      </c>
      <c r="Y7" t="s">
        <v>3805</v>
      </c>
      <c r="Z7" t="s">
        <v>5147</v>
      </c>
      <c r="AA7" t="s">
        <v>5148</v>
      </c>
      <c r="AB7" t="s">
        <v>3831</v>
      </c>
      <c r="AC7" s="1" t="s">
        <v>3807</v>
      </c>
      <c r="AD7" s="6" t="s">
        <v>6269</v>
      </c>
    </row>
    <row r="8" spans="1:30" x14ac:dyDescent="0.25">
      <c r="A8" t="s">
        <v>5807</v>
      </c>
      <c r="B8" t="s">
        <v>3766</v>
      </c>
      <c r="C8" t="s">
        <v>3808</v>
      </c>
      <c r="D8" t="s">
        <v>3809</v>
      </c>
      <c r="E8" t="s">
        <v>3797</v>
      </c>
      <c r="F8" t="s">
        <v>4527</v>
      </c>
      <c r="G8" t="s">
        <v>3834</v>
      </c>
      <c r="H8" t="s">
        <v>3835</v>
      </c>
      <c r="I8" t="s">
        <v>3772</v>
      </c>
      <c r="J8" t="s">
        <v>3773</v>
      </c>
      <c r="K8" t="s">
        <v>3799</v>
      </c>
      <c r="L8" t="s">
        <v>3827</v>
      </c>
      <c r="M8" t="s">
        <v>3776</v>
      </c>
      <c r="N8" t="s">
        <v>3777</v>
      </c>
      <c r="O8" t="s">
        <v>5260</v>
      </c>
      <c r="P8" t="s">
        <v>5261</v>
      </c>
      <c r="Q8" t="s">
        <v>3828</v>
      </c>
      <c r="R8" t="s">
        <v>3829</v>
      </c>
      <c r="S8" t="s">
        <v>3780</v>
      </c>
      <c r="T8" t="s">
        <v>5262</v>
      </c>
      <c r="U8" t="s">
        <v>5263</v>
      </c>
      <c r="V8" t="s">
        <v>3830</v>
      </c>
      <c r="W8" t="s">
        <v>3782</v>
      </c>
      <c r="X8" t="s">
        <v>3804</v>
      </c>
      <c r="Y8" t="s">
        <v>3805</v>
      </c>
      <c r="Z8" t="s">
        <v>5147</v>
      </c>
      <c r="AA8" t="s">
        <v>5148</v>
      </c>
      <c r="AB8" t="s">
        <v>3831</v>
      </c>
      <c r="AC8" s="1" t="s">
        <v>3807</v>
      </c>
      <c r="AD8" s="6" t="s">
        <v>6271</v>
      </c>
    </row>
    <row r="9" spans="1:30" x14ac:dyDescent="0.25">
      <c r="A9" t="s">
        <v>5807</v>
      </c>
      <c r="B9" t="s">
        <v>3766</v>
      </c>
      <c r="C9" t="s">
        <v>3808</v>
      </c>
      <c r="D9" t="s">
        <v>3809</v>
      </c>
      <c r="E9" t="s">
        <v>3797</v>
      </c>
      <c r="F9" t="s">
        <v>4527</v>
      </c>
      <c r="G9" t="s">
        <v>3834</v>
      </c>
      <c r="H9" t="s">
        <v>3835</v>
      </c>
      <c r="I9" t="s">
        <v>3772</v>
      </c>
      <c r="J9" t="s">
        <v>3773</v>
      </c>
      <c r="K9" t="s">
        <v>3799</v>
      </c>
      <c r="L9" t="s">
        <v>3827</v>
      </c>
      <c r="M9" t="s">
        <v>3776</v>
      </c>
      <c r="N9" t="s">
        <v>3777</v>
      </c>
      <c r="O9" t="s">
        <v>5260</v>
      </c>
      <c r="P9" t="s">
        <v>5261</v>
      </c>
      <c r="Q9" t="s">
        <v>3828</v>
      </c>
      <c r="R9" t="s">
        <v>3829</v>
      </c>
      <c r="S9" t="s">
        <v>3780</v>
      </c>
      <c r="T9" t="s">
        <v>5262</v>
      </c>
      <c r="U9" t="s">
        <v>5263</v>
      </c>
      <c r="V9" t="s">
        <v>3830</v>
      </c>
      <c r="W9" t="s">
        <v>3782</v>
      </c>
      <c r="X9" t="s">
        <v>3804</v>
      </c>
      <c r="Y9" t="s">
        <v>3805</v>
      </c>
      <c r="Z9" t="s">
        <v>5147</v>
      </c>
      <c r="AA9" t="s">
        <v>5148</v>
      </c>
      <c r="AB9" t="s">
        <v>3831</v>
      </c>
      <c r="AC9" s="1" t="s">
        <v>3807</v>
      </c>
      <c r="AD9" s="6" t="s">
        <v>6271</v>
      </c>
    </row>
    <row r="10" spans="1:30" x14ac:dyDescent="0.25">
      <c r="A10" t="s">
        <v>5807</v>
      </c>
      <c r="B10" t="s">
        <v>3766</v>
      </c>
      <c r="C10" t="s">
        <v>6273</v>
      </c>
      <c r="D10" t="s">
        <v>3836</v>
      </c>
      <c r="E10" t="s">
        <v>3797</v>
      </c>
      <c r="F10" t="s">
        <v>4507</v>
      </c>
      <c r="G10" t="s">
        <v>3839</v>
      </c>
      <c r="H10" t="s">
        <v>3840</v>
      </c>
      <c r="I10" t="s">
        <v>3772</v>
      </c>
      <c r="J10" t="s">
        <v>3773</v>
      </c>
      <c r="K10" t="s">
        <v>3799</v>
      </c>
      <c r="L10" t="s">
        <v>3827</v>
      </c>
      <c r="M10" t="s">
        <v>3776</v>
      </c>
      <c r="N10" t="s">
        <v>3777</v>
      </c>
      <c r="O10" t="s">
        <v>5260</v>
      </c>
      <c r="P10" s="15" t="s">
        <v>5261</v>
      </c>
      <c r="Q10" t="s">
        <v>3828</v>
      </c>
      <c r="R10" t="s">
        <v>3837</v>
      </c>
      <c r="S10" t="s">
        <v>3780</v>
      </c>
      <c r="T10" t="s">
        <v>5262</v>
      </c>
      <c r="U10" t="s">
        <v>5263</v>
      </c>
      <c r="V10" t="s">
        <v>3838</v>
      </c>
      <c r="W10" t="s">
        <v>3782</v>
      </c>
      <c r="X10" t="s">
        <v>3804</v>
      </c>
      <c r="Y10" t="s">
        <v>3805</v>
      </c>
      <c r="Z10" t="s">
        <v>5147</v>
      </c>
      <c r="AA10" t="s">
        <v>5148</v>
      </c>
      <c r="AB10" t="s">
        <v>3831</v>
      </c>
      <c r="AC10" s="1" t="s">
        <v>3807</v>
      </c>
      <c r="AD10" s="6" t="s">
        <v>6274</v>
      </c>
    </row>
    <row r="11" spans="1:30" x14ac:dyDescent="0.25">
      <c r="A11" t="s">
        <v>5807</v>
      </c>
      <c r="B11" t="s">
        <v>3766</v>
      </c>
      <c r="C11" t="s">
        <v>6273</v>
      </c>
      <c r="D11" t="s">
        <v>3836</v>
      </c>
      <c r="E11" t="s">
        <v>3797</v>
      </c>
      <c r="F11" t="s">
        <v>4507</v>
      </c>
      <c r="G11" t="s">
        <v>3839</v>
      </c>
      <c r="H11" t="s">
        <v>3840</v>
      </c>
      <c r="I11" t="s">
        <v>3772</v>
      </c>
      <c r="J11" t="s">
        <v>3773</v>
      </c>
      <c r="K11" t="s">
        <v>3799</v>
      </c>
      <c r="L11" t="s">
        <v>3827</v>
      </c>
      <c r="M11" t="s">
        <v>3776</v>
      </c>
      <c r="N11" t="s">
        <v>3777</v>
      </c>
      <c r="O11" t="s">
        <v>5260</v>
      </c>
      <c r="P11" s="15" t="s">
        <v>5261</v>
      </c>
      <c r="Q11" t="s">
        <v>3828</v>
      </c>
      <c r="R11" t="s">
        <v>3837</v>
      </c>
      <c r="S11" t="s">
        <v>3780</v>
      </c>
      <c r="T11" t="s">
        <v>5262</v>
      </c>
      <c r="U11" t="s">
        <v>5263</v>
      </c>
      <c r="V11" t="s">
        <v>3838</v>
      </c>
      <c r="W11" t="s">
        <v>3782</v>
      </c>
      <c r="X11" t="s">
        <v>3804</v>
      </c>
      <c r="Y11" t="s">
        <v>3805</v>
      </c>
      <c r="Z11" t="s">
        <v>5147</v>
      </c>
      <c r="AA11" t="s">
        <v>5148</v>
      </c>
      <c r="AB11" t="s">
        <v>3831</v>
      </c>
      <c r="AC11" s="1" t="s">
        <v>3807</v>
      </c>
      <c r="AD11" s="6" t="s">
        <v>6274</v>
      </c>
    </row>
    <row r="12" spans="1:30" x14ac:dyDescent="0.25">
      <c r="A12" t="s">
        <v>5807</v>
      </c>
      <c r="B12" t="s">
        <v>3766</v>
      </c>
      <c r="C12" t="s">
        <v>6276</v>
      </c>
      <c r="D12" t="s">
        <v>3841</v>
      </c>
      <c r="E12" t="s">
        <v>3797</v>
      </c>
      <c r="F12" t="s">
        <v>6277</v>
      </c>
      <c r="G12" t="s">
        <v>6278</v>
      </c>
      <c r="H12" t="s">
        <v>6279</v>
      </c>
      <c r="I12" t="s">
        <v>3772</v>
      </c>
      <c r="J12" t="s">
        <v>3773</v>
      </c>
      <c r="K12" t="s">
        <v>3799</v>
      </c>
      <c r="L12" t="s">
        <v>3827</v>
      </c>
      <c r="M12" t="s">
        <v>3776</v>
      </c>
      <c r="N12" t="s">
        <v>3777</v>
      </c>
      <c r="O12" t="s">
        <v>5264</v>
      </c>
      <c r="P12" s="15" t="s">
        <v>5265</v>
      </c>
      <c r="Q12" t="s">
        <v>3842</v>
      </c>
      <c r="R12" t="s">
        <v>3843</v>
      </c>
      <c r="S12" t="s">
        <v>3780</v>
      </c>
      <c r="T12" t="s">
        <v>5266</v>
      </c>
      <c r="U12" t="s">
        <v>5267</v>
      </c>
      <c r="V12" t="s">
        <v>3844</v>
      </c>
      <c r="W12" t="s">
        <v>3782</v>
      </c>
      <c r="X12" t="s">
        <v>3804</v>
      </c>
      <c r="Y12" t="s">
        <v>3805</v>
      </c>
      <c r="Z12" t="s">
        <v>5149</v>
      </c>
      <c r="AA12" t="s">
        <v>5150</v>
      </c>
      <c r="AB12" t="s">
        <v>3831</v>
      </c>
      <c r="AC12" s="1" t="s">
        <v>3807</v>
      </c>
      <c r="AD12" s="6" t="s">
        <v>6280</v>
      </c>
    </row>
    <row r="13" spans="1:30" x14ac:dyDescent="0.25">
      <c r="A13" t="s">
        <v>5807</v>
      </c>
      <c r="B13" t="s">
        <v>3766</v>
      </c>
      <c r="C13" t="s">
        <v>6276</v>
      </c>
      <c r="D13" t="s">
        <v>3841</v>
      </c>
      <c r="E13" t="s">
        <v>3797</v>
      </c>
      <c r="F13" t="s">
        <v>6277</v>
      </c>
      <c r="G13" t="s">
        <v>6278</v>
      </c>
      <c r="H13" t="s">
        <v>6279</v>
      </c>
      <c r="I13" t="s">
        <v>3772</v>
      </c>
      <c r="J13" t="s">
        <v>3773</v>
      </c>
      <c r="K13" t="s">
        <v>3799</v>
      </c>
      <c r="L13" t="s">
        <v>3827</v>
      </c>
      <c r="M13" t="s">
        <v>3776</v>
      </c>
      <c r="N13" t="s">
        <v>3777</v>
      </c>
      <c r="O13" t="s">
        <v>5264</v>
      </c>
      <c r="P13" s="15" t="s">
        <v>5265</v>
      </c>
      <c r="Q13" t="s">
        <v>3842</v>
      </c>
      <c r="R13" t="s">
        <v>3843</v>
      </c>
      <c r="S13" t="s">
        <v>3780</v>
      </c>
      <c r="T13" t="s">
        <v>5266</v>
      </c>
      <c r="U13" t="s">
        <v>5267</v>
      </c>
      <c r="V13" t="s">
        <v>3845</v>
      </c>
      <c r="W13" t="s">
        <v>3782</v>
      </c>
      <c r="X13" t="s">
        <v>3804</v>
      </c>
      <c r="Y13" t="s">
        <v>3805</v>
      </c>
      <c r="Z13" t="s">
        <v>5149</v>
      </c>
      <c r="AA13" t="s">
        <v>5150</v>
      </c>
      <c r="AB13" t="s">
        <v>3831</v>
      </c>
      <c r="AC13" s="1" t="s">
        <v>3807</v>
      </c>
      <c r="AD13" s="6" t="s">
        <v>6282</v>
      </c>
    </row>
    <row r="14" spans="1:30" x14ac:dyDescent="0.25">
      <c r="A14" t="s">
        <v>5807</v>
      </c>
      <c r="B14" t="s">
        <v>3766</v>
      </c>
      <c r="C14" t="s">
        <v>4994</v>
      </c>
      <c r="D14" t="s">
        <v>3846</v>
      </c>
      <c r="E14" t="s">
        <v>3797</v>
      </c>
      <c r="F14" t="s">
        <v>4075</v>
      </c>
      <c r="G14" t="s">
        <v>6284</v>
      </c>
      <c r="H14" t="s">
        <v>6285</v>
      </c>
      <c r="I14" t="s">
        <v>3772</v>
      </c>
      <c r="J14" t="s">
        <v>3773</v>
      </c>
      <c r="K14" t="s">
        <v>3799</v>
      </c>
      <c r="L14" t="s">
        <v>3827</v>
      </c>
      <c r="M14" t="s">
        <v>3776</v>
      </c>
      <c r="N14" t="s">
        <v>3777</v>
      </c>
      <c r="O14" t="s">
        <v>5264</v>
      </c>
      <c r="P14" s="15" t="s">
        <v>5265</v>
      </c>
      <c r="Q14" t="s">
        <v>3847</v>
      </c>
      <c r="R14" t="s">
        <v>3848</v>
      </c>
      <c r="S14" t="s">
        <v>3780</v>
      </c>
      <c r="T14" t="s">
        <v>5268</v>
      </c>
      <c r="U14" t="s">
        <v>5269</v>
      </c>
      <c r="V14" t="s">
        <v>3849</v>
      </c>
      <c r="W14" t="s">
        <v>3782</v>
      </c>
      <c r="X14" t="s">
        <v>3804</v>
      </c>
      <c r="Y14" t="s">
        <v>3826</v>
      </c>
      <c r="Z14" t="s">
        <v>5151</v>
      </c>
      <c r="AA14" t="s">
        <v>5152</v>
      </c>
      <c r="AB14" t="s">
        <v>3831</v>
      </c>
      <c r="AC14" s="1" t="s">
        <v>3807</v>
      </c>
      <c r="AD14" s="6" t="s">
        <v>6286</v>
      </c>
    </row>
    <row r="15" spans="1:30" x14ac:dyDescent="0.25">
      <c r="A15" t="s">
        <v>5807</v>
      </c>
      <c r="B15" t="s">
        <v>3766</v>
      </c>
      <c r="C15" t="s">
        <v>4994</v>
      </c>
      <c r="D15" t="s">
        <v>3846</v>
      </c>
      <c r="E15" t="s">
        <v>3797</v>
      </c>
      <c r="F15" t="s">
        <v>4075</v>
      </c>
      <c r="G15" t="s">
        <v>6284</v>
      </c>
      <c r="H15" t="s">
        <v>6285</v>
      </c>
      <c r="I15" t="s">
        <v>3772</v>
      </c>
      <c r="J15" t="s">
        <v>3773</v>
      </c>
      <c r="K15" t="s">
        <v>3799</v>
      </c>
      <c r="L15" t="s">
        <v>3827</v>
      </c>
      <c r="M15" t="s">
        <v>3776</v>
      </c>
      <c r="N15" t="s">
        <v>3777</v>
      </c>
      <c r="O15" t="s">
        <v>5264</v>
      </c>
      <c r="P15" s="15" t="s">
        <v>5265</v>
      </c>
      <c r="Q15" t="s">
        <v>3847</v>
      </c>
      <c r="R15" t="s">
        <v>3848</v>
      </c>
      <c r="S15" t="s">
        <v>3780</v>
      </c>
      <c r="T15" t="s">
        <v>5268</v>
      </c>
      <c r="U15" t="s">
        <v>5269</v>
      </c>
      <c r="V15" t="s">
        <v>3849</v>
      </c>
      <c r="W15" t="s">
        <v>3782</v>
      </c>
      <c r="X15" t="s">
        <v>3804</v>
      </c>
      <c r="Y15" t="s">
        <v>3826</v>
      </c>
      <c r="Z15" t="s">
        <v>5151</v>
      </c>
      <c r="AA15" t="s">
        <v>5152</v>
      </c>
      <c r="AB15" t="s">
        <v>3831</v>
      </c>
      <c r="AC15" s="1" t="s">
        <v>3807</v>
      </c>
      <c r="AD15" s="6" t="s">
        <v>6286</v>
      </c>
    </row>
    <row r="16" spans="1:30" x14ac:dyDescent="0.25">
      <c r="A16" t="s">
        <v>5807</v>
      </c>
      <c r="B16" t="s">
        <v>3766</v>
      </c>
      <c r="C16" t="s">
        <v>3795</v>
      </c>
      <c r="D16" t="s">
        <v>3796</v>
      </c>
      <c r="E16" t="s">
        <v>3797</v>
      </c>
      <c r="F16" t="s">
        <v>3798</v>
      </c>
      <c r="G16" t="s">
        <v>6288</v>
      </c>
      <c r="H16" t="s">
        <v>6289</v>
      </c>
      <c r="I16" t="s">
        <v>3772</v>
      </c>
      <c r="J16" t="s">
        <v>3773</v>
      </c>
      <c r="K16" t="s">
        <v>3850</v>
      </c>
      <c r="L16" t="s">
        <v>3827</v>
      </c>
      <c r="M16" t="s">
        <v>3776</v>
      </c>
      <c r="N16" t="s">
        <v>3777</v>
      </c>
      <c r="O16" t="s">
        <v>5270</v>
      </c>
      <c r="P16" t="s">
        <v>5271</v>
      </c>
      <c r="Q16" t="s">
        <v>3847</v>
      </c>
      <c r="R16" t="s">
        <v>3851</v>
      </c>
      <c r="S16" t="s">
        <v>3780</v>
      </c>
      <c r="T16" t="s">
        <v>5262</v>
      </c>
      <c r="U16" t="s">
        <v>5272</v>
      </c>
      <c r="V16" t="s">
        <v>3852</v>
      </c>
      <c r="W16" t="s">
        <v>3782</v>
      </c>
      <c r="X16" t="s">
        <v>3804</v>
      </c>
      <c r="Y16" t="s">
        <v>3805</v>
      </c>
      <c r="Z16" t="s">
        <v>5147</v>
      </c>
      <c r="AA16" t="s">
        <v>5148</v>
      </c>
      <c r="AB16" t="s">
        <v>3831</v>
      </c>
      <c r="AC16" s="1" t="s">
        <v>3807</v>
      </c>
      <c r="AD16" s="6" t="s">
        <v>6290</v>
      </c>
    </row>
    <row r="17" spans="1:30" x14ac:dyDescent="0.25">
      <c r="A17" t="s">
        <v>5807</v>
      </c>
      <c r="B17" t="s">
        <v>3766</v>
      </c>
      <c r="C17" t="s">
        <v>3808</v>
      </c>
      <c r="D17" t="s">
        <v>3809</v>
      </c>
      <c r="E17" t="s">
        <v>3797</v>
      </c>
      <c r="F17" t="s">
        <v>3810</v>
      </c>
      <c r="G17" t="s">
        <v>6292</v>
      </c>
      <c r="H17" t="s">
        <v>6293</v>
      </c>
      <c r="I17" t="s">
        <v>3772</v>
      </c>
      <c r="J17" t="s">
        <v>3773</v>
      </c>
      <c r="K17" t="s">
        <v>3850</v>
      </c>
      <c r="L17" t="s">
        <v>3827</v>
      </c>
      <c r="M17" t="s">
        <v>3776</v>
      </c>
      <c r="N17" t="s">
        <v>3777</v>
      </c>
      <c r="O17" t="s">
        <v>5270</v>
      </c>
      <c r="P17" t="s">
        <v>5271</v>
      </c>
      <c r="Q17" t="s">
        <v>3847</v>
      </c>
      <c r="R17" t="s">
        <v>3853</v>
      </c>
      <c r="S17" t="s">
        <v>3780</v>
      </c>
      <c r="T17" t="s">
        <v>5262</v>
      </c>
      <c r="U17" t="s">
        <v>5272</v>
      </c>
      <c r="V17" t="s">
        <v>3852</v>
      </c>
      <c r="W17" t="s">
        <v>3782</v>
      </c>
      <c r="X17" t="s">
        <v>3804</v>
      </c>
      <c r="Y17" t="s">
        <v>3805</v>
      </c>
      <c r="Z17" t="s">
        <v>5147</v>
      </c>
      <c r="AA17" t="s">
        <v>5148</v>
      </c>
      <c r="AB17" t="s">
        <v>3831</v>
      </c>
      <c r="AC17" s="1" t="s">
        <v>3807</v>
      </c>
      <c r="AD17" s="6" t="s">
        <v>6294</v>
      </c>
    </row>
    <row r="18" spans="1:30" x14ac:dyDescent="0.25">
      <c r="A18" t="s">
        <v>5807</v>
      </c>
      <c r="B18" t="s">
        <v>3766</v>
      </c>
      <c r="C18" t="s">
        <v>3813</v>
      </c>
      <c r="D18" t="s">
        <v>3814</v>
      </c>
      <c r="E18" t="s">
        <v>3797</v>
      </c>
      <c r="F18" t="s">
        <v>3815</v>
      </c>
      <c r="G18" t="s">
        <v>6296</v>
      </c>
      <c r="H18" t="s">
        <v>6297</v>
      </c>
      <c r="I18" t="s">
        <v>3772</v>
      </c>
      <c r="J18" t="s">
        <v>3773</v>
      </c>
      <c r="K18" t="s">
        <v>3850</v>
      </c>
      <c r="L18" t="s">
        <v>3827</v>
      </c>
      <c r="M18" t="s">
        <v>3776</v>
      </c>
      <c r="N18" t="s">
        <v>3777</v>
      </c>
      <c r="O18" t="s">
        <v>5270</v>
      </c>
      <c r="P18" t="s">
        <v>5271</v>
      </c>
      <c r="Q18" t="s">
        <v>3847</v>
      </c>
      <c r="R18" t="s">
        <v>3854</v>
      </c>
      <c r="S18" t="s">
        <v>3780</v>
      </c>
      <c r="T18" t="s">
        <v>5262</v>
      </c>
      <c r="U18" t="s">
        <v>5272</v>
      </c>
      <c r="V18" t="s">
        <v>3855</v>
      </c>
      <c r="W18" t="s">
        <v>3782</v>
      </c>
      <c r="X18" t="s">
        <v>3804</v>
      </c>
      <c r="Y18" t="s">
        <v>3805</v>
      </c>
      <c r="Z18" t="s">
        <v>5147</v>
      </c>
      <c r="AA18" t="s">
        <v>5148</v>
      </c>
      <c r="AB18" t="s">
        <v>3831</v>
      </c>
      <c r="AC18" s="1" t="s">
        <v>3807</v>
      </c>
      <c r="AD18" s="6" t="s">
        <v>6298</v>
      </c>
    </row>
    <row r="19" spans="1:30" x14ac:dyDescent="0.25">
      <c r="A19" t="s">
        <v>5807</v>
      </c>
      <c r="B19" t="s">
        <v>3766</v>
      </c>
      <c r="C19" t="s">
        <v>3819</v>
      </c>
      <c r="D19" t="s">
        <v>3820</v>
      </c>
      <c r="E19" t="s">
        <v>3797</v>
      </c>
      <c r="F19" t="s">
        <v>3821</v>
      </c>
      <c r="G19" t="s">
        <v>6300</v>
      </c>
      <c r="H19" t="s">
        <v>4049</v>
      </c>
      <c r="I19" t="s">
        <v>3772</v>
      </c>
      <c r="J19" t="s">
        <v>3773</v>
      </c>
      <c r="K19" t="s">
        <v>3850</v>
      </c>
      <c r="L19" t="s">
        <v>3827</v>
      </c>
      <c r="M19" t="s">
        <v>3776</v>
      </c>
      <c r="N19" t="s">
        <v>3777</v>
      </c>
      <c r="O19" t="s">
        <v>5270</v>
      </c>
      <c r="P19" t="s">
        <v>5271</v>
      </c>
      <c r="Q19" t="s">
        <v>3856</v>
      </c>
      <c r="R19" t="s">
        <v>3857</v>
      </c>
      <c r="S19" t="s">
        <v>3780</v>
      </c>
      <c r="T19" t="s">
        <v>5266</v>
      </c>
      <c r="U19" t="s">
        <v>5267</v>
      </c>
      <c r="V19" t="s">
        <v>3858</v>
      </c>
      <c r="W19" t="s">
        <v>3782</v>
      </c>
      <c r="X19" t="s">
        <v>3804</v>
      </c>
      <c r="Y19" t="s">
        <v>3805</v>
      </c>
      <c r="Z19" t="s">
        <v>5147</v>
      </c>
      <c r="AA19" t="s">
        <v>5148</v>
      </c>
      <c r="AB19" t="s">
        <v>3831</v>
      </c>
      <c r="AC19" s="1" t="s">
        <v>3807</v>
      </c>
      <c r="AD19" s="6" t="s">
        <v>6301</v>
      </c>
    </row>
    <row r="20" spans="1:30" x14ac:dyDescent="0.25">
      <c r="A20" t="s">
        <v>5807</v>
      </c>
      <c r="B20" t="s">
        <v>3766</v>
      </c>
      <c r="C20" t="s">
        <v>6276</v>
      </c>
      <c r="D20" t="s">
        <v>3841</v>
      </c>
      <c r="E20" t="s">
        <v>3797</v>
      </c>
      <c r="F20" t="s">
        <v>6277</v>
      </c>
      <c r="G20" t="s">
        <v>6303</v>
      </c>
      <c r="H20" t="s">
        <v>3943</v>
      </c>
      <c r="I20" t="s">
        <v>3772</v>
      </c>
      <c r="J20" t="s">
        <v>3773</v>
      </c>
      <c r="K20" t="s">
        <v>3799</v>
      </c>
      <c r="L20" t="s">
        <v>3827</v>
      </c>
      <c r="M20" t="s">
        <v>3776</v>
      </c>
      <c r="N20" t="s">
        <v>3777</v>
      </c>
      <c r="O20" t="s">
        <v>5273</v>
      </c>
      <c r="P20" t="s">
        <v>5274</v>
      </c>
      <c r="Q20" t="s">
        <v>3859</v>
      </c>
      <c r="R20" t="s">
        <v>3860</v>
      </c>
      <c r="S20" t="s">
        <v>3780</v>
      </c>
      <c r="T20" t="s">
        <v>5268</v>
      </c>
      <c r="U20" t="s">
        <v>5269</v>
      </c>
      <c r="V20" t="s">
        <v>3861</v>
      </c>
      <c r="W20" t="s">
        <v>3782</v>
      </c>
      <c r="X20" t="s">
        <v>3804</v>
      </c>
      <c r="Y20" t="s">
        <v>3826</v>
      </c>
      <c r="Z20" t="s">
        <v>5149</v>
      </c>
      <c r="AA20" t="s">
        <v>5150</v>
      </c>
      <c r="AB20" t="s">
        <v>3831</v>
      </c>
      <c r="AC20" s="1" t="s">
        <v>3807</v>
      </c>
      <c r="AD20" s="6" t="s">
        <v>6304</v>
      </c>
    </row>
    <row r="21" spans="1:30" x14ac:dyDescent="0.25">
      <c r="A21" t="s">
        <v>5807</v>
      </c>
      <c r="B21" t="s">
        <v>3766</v>
      </c>
      <c r="C21" t="s">
        <v>3862</v>
      </c>
      <c r="D21" t="s">
        <v>3863</v>
      </c>
      <c r="E21" t="s">
        <v>3797</v>
      </c>
      <c r="F21" t="s">
        <v>3864</v>
      </c>
      <c r="G21" t="s">
        <v>6303</v>
      </c>
      <c r="H21" t="s">
        <v>3943</v>
      </c>
      <c r="I21" t="s">
        <v>3772</v>
      </c>
      <c r="J21" t="s">
        <v>3773</v>
      </c>
      <c r="K21" t="s">
        <v>3799</v>
      </c>
      <c r="L21" t="s">
        <v>3827</v>
      </c>
      <c r="M21" t="s">
        <v>3776</v>
      </c>
      <c r="N21" t="s">
        <v>3777</v>
      </c>
      <c r="O21" t="s">
        <v>5273</v>
      </c>
      <c r="P21" t="s">
        <v>5275</v>
      </c>
      <c r="Q21" t="s">
        <v>3859</v>
      </c>
      <c r="R21" t="s">
        <v>3860</v>
      </c>
      <c r="S21" t="s">
        <v>3780</v>
      </c>
      <c r="T21" t="s">
        <v>5268</v>
      </c>
      <c r="U21" t="s">
        <v>5269</v>
      </c>
      <c r="V21" t="s">
        <v>3861</v>
      </c>
      <c r="W21" t="s">
        <v>3782</v>
      </c>
      <c r="X21" t="s">
        <v>3804</v>
      </c>
      <c r="Y21" t="s">
        <v>3826</v>
      </c>
      <c r="Z21" t="s">
        <v>5149</v>
      </c>
      <c r="AA21" t="s">
        <v>5150</v>
      </c>
      <c r="AB21" t="s">
        <v>3831</v>
      </c>
      <c r="AC21" s="1" t="s">
        <v>3807</v>
      </c>
      <c r="AD21" s="6" t="s">
        <v>6306</v>
      </c>
    </row>
    <row r="22" spans="1:30" x14ac:dyDescent="0.25">
      <c r="A22" t="s">
        <v>5807</v>
      </c>
      <c r="B22" t="s">
        <v>3766</v>
      </c>
      <c r="C22" t="s">
        <v>4994</v>
      </c>
      <c r="D22" t="s">
        <v>3846</v>
      </c>
      <c r="E22" t="s">
        <v>3797</v>
      </c>
      <c r="F22" t="s">
        <v>4075</v>
      </c>
      <c r="G22" t="s">
        <v>6308</v>
      </c>
      <c r="H22" t="s">
        <v>6309</v>
      </c>
      <c r="I22" t="s">
        <v>3772</v>
      </c>
      <c r="J22" t="s">
        <v>3773</v>
      </c>
      <c r="K22" t="s">
        <v>3799</v>
      </c>
      <c r="L22" t="s">
        <v>3827</v>
      </c>
      <c r="M22" t="s">
        <v>3776</v>
      </c>
      <c r="N22" t="s">
        <v>3777</v>
      </c>
      <c r="O22" t="s">
        <v>5273</v>
      </c>
      <c r="P22" t="s">
        <v>5274</v>
      </c>
      <c r="Q22" t="s">
        <v>3859</v>
      </c>
      <c r="R22" t="s">
        <v>3865</v>
      </c>
      <c r="S22" t="s">
        <v>3780</v>
      </c>
      <c r="T22" t="s">
        <v>5276</v>
      </c>
      <c r="U22" t="s">
        <v>5277</v>
      </c>
      <c r="V22" t="s">
        <v>3866</v>
      </c>
      <c r="W22" t="s">
        <v>3782</v>
      </c>
      <c r="X22" t="s">
        <v>3804</v>
      </c>
      <c r="Y22" t="s">
        <v>3826</v>
      </c>
      <c r="Z22" t="s">
        <v>5151</v>
      </c>
      <c r="AA22" t="s">
        <v>5152</v>
      </c>
      <c r="AB22" t="s">
        <v>3831</v>
      </c>
      <c r="AC22" s="1" t="s">
        <v>3807</v>
      </c>
      <c r="AD22" s="6" t="s">
        <v>6310</v>
      </c>
    </row>
    <row r="23" spans="1:30" x14ac:dyDescent="0.25">
      <c r="A23" t="s">
        <v>5807</v>
      </c>
      <c r="B23" t="s">
        <v>3766</v>
      </c>
      <c r="C23" t="s">
        <v>3867</v>
      </c>
      <c r="D23" t="s">
        <v>3868</v>
      </c>
      <c r="E23" t="s">
        <v>3797</v>
      </c>
      <c r="F23" t="s">
        <v>3869</v>
      </c>
      <c r="G23" t="s">
        <v>6308</v>
      </c>
      <c r="H23" t="s">
        <v>6309</v>
      </c>
      <c r="I23" t="s">
        <v>3772</v>
      </c>
      <c r="J23" t="s">
        <v>3773</v>
      </c>
      <c r="K23" t="s">
        <v>3799</v>
      </c>
      <c r="L23" t="s">
        <v>3827</v>
      </c>
      <c r="M23" t="s">
        <v>3776</v>
      </c>
      <c r="N23" t="s">
        <v>3777</v>
      </c>
      <c r="O23" t="s">
        <v>5273</v>
      </c>
      <c r="P23" s="15" t="s">
        <v>5275</v>
      </c>
      <c r="Q23" t="s">
        <v>3859</v>
      </c>
      <c r="R23" t="s">
        <v>3865</v>
      </c>
      <c r="S23" t="s">
        <v>3780</v>
      </c>
      <c r="T23" t="s">
        <v>5276</v>
      </c>
      <c r="U23" t="s">
        <v>5277</v>
      </c>
      <c r="V23" t="s">
        <v>3866</v>
      </c>
      <c r="W23" t="s">
        <v>3782</v>
      </c>
      <c r="X23" t="s">
        <v>3804</v>
      </c>
      <c r="Y23" t="s">
        <v>3826</v>
      </c>
      <c r="Z23" t="s">
        <v>5151</v>
      </c>
      <c r="AA23" t="s">
        <v>5152</v>
      </c>
      <c r="AB23" t="s">
        <v>3831</v>
      </c>
      <c r="AC23" s="1" t="s">
        <v>3807</v>
      </c>
      <c r="AD23" s="6" t="s">
        <v>6312</v>
      </c>
    </row>
    <row r="24" spans="1:30" x14ac:dyDescent="0.25">
      <c r="A24" t="s">
        <v>5807</v>
      </c>
      <c r="B24" t="s">
        <v>3766</v>
      </c>
      <c r="C24" t="s">
        <v>3795</v>
      </c>
      <c r="D24" t="s">
        <v>3796</v>
      </c>
      <c r="E24" t="s">
        <v>3797</v>
      </c>
      <c r="F24" t="s">
        <v>3798</v>
      </c>
      <c r="G24" t="s">
        <v>6288</v>
      </c>
      <c r="H24" t="s">
        <v>6289</v>
      </c>
      <c r="I24" t="s">
        <v>3772</v>
      </c>
      <c r="J24" t="s">
        <v>3773</v>
      </c>
      <c r="K24" t="s">
        <v>3799</v>
      </c>
      <c r="L24" t="s">
        <v>3827</v>
      </c>
      <c r="M24" t="s">
        <v>3776</v>
      </c>
      <c r="N24" t="s">
        <v>3777</v>
      </c>
      <c r="O24" t="s">
        <v>5278</v>
      </c>
      <c r="P24" t="s">
        <v>5279</v>
      </c>
      <c r="Q24" t="s">
        <v>3870</v>
      </c>
      <c r="R24" t="s">
        <v>3851</v>
      </c>
      <c r="S24" t="s">
        <v>3780</v>
      </c>
      <c r="T24" t="s">
        <v>5262</v>
      </c>
      <c r="U24" t="s">
        <v>5272</v>
      </c>
      <c r="V24" t="s">
        <v>3871</v>
      </c>
      <c r="W24" t="s">
        <v>3782</v>
      </c>
      <c r="X24" t="s">
        <v>3804</v>
      </c>
      <c r="Y24" t="s">
        <v>3805</v>
      </c>
      <c r="Z24" t="s">
        <v>5147</v>
      </c>
      <c r="AA24" t="s">
        <v>5148</v>
      </c>
      <c r="AB24" t="s">
        <v>3831</v>
      </c>
      <c r="AC24" s="1" t="s">
        <v>3807</v>
      </c>
      <c r="AD24" s="6" t="s">
        <v>6314</v>
      </c>
    </row>
    <row r="25" spans="1:30" x14ac:dyDescent="0.25">
      <c r="A25" t="s">
        <v>5807</v>
      </c>
      <c r="B25" t="s">
        <v>3766</v>
      </c>
      <c r="C25" t="s">
        <v>3795</v>
      </c>
      <c r="D25" t="s">
        <v>3796</v>
      </c>
      <c r="E25" t="s">
        <v>3797</v>
      </c>
      <c r="F25" t="s">
        <v>3798</v>
      </c>
      <c r="G25" t="s">
        <v>6288</v>
      </c>
      <c r="H25" t="s">
        <v>6289</v>
      </c>
      <c r="I25" t="s">
        <v>3772</v>
      </c>
      <c r="J25" t="s">
        <v>3773</v>
      </c>
      <c r="K25" t="s">
        <v>3799</v>
      </c>
      <c r="L25" t="s">
        <v>3827</v>
      </c>
      <c r="M25" t="s">
        <v>3776</v>
      </c>
      <c r="N25" t="s">
        <v>3777</v>
      </c>
      <c r="O25" t="s">
        <v>5278</v>
      </c>
      <c r="P25" t="s">
        <v>5279</v>
      </c>
      <c r="Q25" t="s">
        <v>3870</v>
      </c>
      <c r="R25" t="s">
        <v>3851</v>
      </c>
      <c r="S25" t="s">
        <v>3780</v>
      </c>
      <c r="T25" t="s">
        <v>5262</v>
      </c>
      <c r="U25" t="s">
        <v>5272</v>
      </c>
      <c r="V25" t="s">
        <v>3871</v>
      </c>
      <c r="W25" t="s">
        <v>3782</v>
      </c>
      <c r="X25" t="s">
        <v>3804</v>
      </c>
      <c r="Y25" t="s">
        <v>3805</v>
      </c>
      <c r="Z25" t="s">
        <v>5147</v>
      </c>
      <c r="AA25" t="s">
        <v>5148</v>
      </c>
      <c r="AB25" t="s">
        <v>3831</v>
      </c>
      <c r="AC25" s="1" t="s">
        <v>3807</v>
      </c>
      <c r="AD25" s="6" t="s">
        <v>6314</v>
      </c>
    </row>
    <row r="26" spans="1:30" x14ac:dyDescent="0.25">
      <c r="A26" t="s">
        <v>5807</v>
      </c>
      <c r="B26" t="s">
        <v>3766</v>
      </c>
      <c r="C26" t="s">
        <v>3808</v>
      </c>
      <c r="D26" t="s">
        <v>3809</v>
      </c>
      <c r="E26" t="s">
        <v>3797</v>
      </c>
      <c r="F26" t="s">
        <v>3810</v>
      </c>
      <c r="G26" t="s">
        <v>6292</v>
      </c>
      <c r="H26" t="s">
        <v>6293</v>
      </c>
      <c r="I26" t="s">
        <v>3772</v>
      </c>
      <c r="J26" t="s">
        <v>3773</v>
      </c>
      <c r="K26" t="s">
        <v>3799</v>
      </c>
      <c r="L26" t="s">
        <v>3827</v>
      </c>
      <c r="M26" t="s">
        <v>3776</v>
      </c>
      <c r="N26" t="s">
        <v>3777</v>
      </c>
      <c r="O26" t="s">
        <v>5278</v>
      </c>
      <c r="P26" t="s">
        <v>5279</v>
      </c>
      <c r="Q26" t="s">
        <v>3870</v>
      </c>
      <c r="R26" t="s">
        <v>3853</v>
      </c>
      <c r="S26" t="s">
        <v>3780</v>
      </c>
      <c r="T26" t="s">
        <v>5262</v>
      </c>
      <c r="U26" t="s">
        <v>5272</v>
      </c>
      <c r="V26" t="s">
        <v>3871</v>
      </c>
      <c r="W26" t="s">
        <v>3782</v>
      </c>
      <c r="X26" t="s">
        <v>3804</v>
      </c>
      <c r="Y26" t="s">
        <v>3805</v>
      </c>
      <c r="Z26" t="s">
        <v>5147</v>
      </c>
      <c r="AA26" t="s">
        <v>5148</v>
      </c>
      <c r="AB26" t="s">
        <v>3831</v>
      </c>
      <c r="AC26" s="1" t="s">
        <v>3807</v>
      </c>
      <c r="AD26" s="6" t="s">
        <v>6316</v>
      </c>
    </row>
    <row r="27" spans="1:30" x14ac:dyDescent="0.25">
      <c r="A27" t="s">
        <v>5807</v>
      </c>
      <c r="B27" t="s">
        <v>3766</v>
      </c>
      <c r="C27" t="s">
        <v>3808</v>
      </c>
      <c r="D27" t="s">
        <v>3809</v>
      </c>
      <c r="E27" t="s">
        <v>3797</v>
      </c>
      <c r="F27" t="s">
        <v>3810</v>
      </c>
      <c r="G27" t="s">
        <v>6292</v>
      </c>
      <c r="H27" t="s">
        <v>6293</v>
      </c>
      <c r="I27" t="s">
        <v>3772</v>
      </c>
      <c r="J27" t="s">
        <v>3773</v>
      </c>
      <c r="K27" t="s">
        <v>3799</v>
      </c>
      <c r="L27" t="s">
        <v>3827</v>
      </c>
      <c r="M27" t="s">
        <v>3776</v>
      </c>
      <c r="N27" t="s">
        <v>3777</v>
      </c>
      <c r="O27" t="s">
        <v>5278</v>
      </c>
      <c r="P27" t="s">
        <v>5279</v>
      </c>
      <c r="Q27" t="s">
        <v>3870</v>
      </c>
      <c r="R27" t="s">
        <v>3853</v>
      </c>
      <c r="S27" t="s">
        <v>3780</v>
      </c>
      <c r="T27" t="s">
        <v>5262</v>
      </c>
      <c r="U27" t="s">
        <v>5272</v>
      </c>
      <c r="V27" t="s">
        <v>3871</v>
      </c>
      <c r="W27" t="s">
        <v>3782</v>
      </c>
      <c r="X27" t="s">
        <v>3804</v>
      </c>
      <c r="Y27" t="s">
        <v>3805</v>
      </c>
      <c r="Z27" t="s">
        <v>5147</v>
      </c>
      <c r="AA27" t="s">
        <v>5148</v>
      </c>
      <c r="AB27" t="s">
        <v>3831</v>
      </c>
      <c r="AC27" s="1" t="s">
        <v>3807</v>
      </c>
      <c r="AD27" s="6" t="s">
        <v>6316</v>
      </c>
    </row>
    <row r="28" spans="1:30" x14ac:dyDescent="0.25">
      <c r="A28" t="s">
        <v>5807</v>
      </c>
      <c r="B28" t="s">
        <v>3766</v>
      </c>
      <c r="C28" t="s">
        <v>3813</v>
      </c>
      <c r="D28" t="s">
        <v>3814</v>
      </c>
      <c r="E28" t="s">
        <v>3797</v>
      </c>
      <c r="F28" t="s">
        <v>3815</v>
      </c>
      <c r="G28" t="s">
        <v>6296</v>
      </c>
      <c r="H28" t="s">
        <v>6297</v>
      </c>
      <c r="I28" t="s">
        <v>3772</v>
      </c>
      <c r="J28" t="s">
        <v>3773</v>
      </c>
      <c r="K28" t="s">
        <v>3799</v>
      </c>
      <c r="L28" t="s">
        <v>3827</v>
      </c>
      <c r="M28" t="s">
        <v>3776</v>
      </c>
      <c r="N28" t="s">
        <v>3777</v>
      </c>
      <c r="O28" t="s">
        <v>5278</v>
      </c>
      <c r="P28" t="s">
        <v>5279</v>
      </c>
      <c r="Q28" t="s">
        <v>3870</v>
      </c>
      <c r="R28" t="s">
        <v>3854</v>
      </c>
      <c r="S28" t="s">
        <v>3780</v>
      </c>
      <c r="T28" t="s">
        <v>5262</v>
      </c>
      <c r="U28" t="s">
        <v>5272</v>
      </c>
      <c r="V28" t="s">
        <v>3872</v>
      </c>
      <c r="W28" t="s">
        <v>3782</v>
      </c>
      <c r="X28" t="s">
        <v>3804</v>
      </c>
      <c r="Y28" t="s">
        <v>3805</v>
      </c>
      <c r="Z28" t="s">
        <v>5147</v>
      </c>
      <c r="AA28" t="s">
        <v>5148</v>
      </c>
      <c r="AB28" t="s">
        <v>3831</v>
      </c>
      <c r="AC28" s="1" t="s">
        <v>3807</v>
      </c>
      <c r="AD28" s="6" t="s">
        <v>6318</v>
      </c>
    </row>
    <row r="29" spans="1:30" x14ac:dyDescent="0.25">
      <c r="A29" t="s">
        <v>5807</v>
      </c>
      <c r="B29" t="s">
        <v>3766</v>
      </c>
      <c r="C29" t="s">
        <v>3813</v>
      </c>
      <c r="D29" t="s">
        <v>3814</v>
      </c>
      <c r="E29" t="s">
        <v>3797</v>
      </c>
      <c r="F29" t="s">
        <v>3815</v>
      </c>
      <c r="G29" t="s">
        <v>6296</v>
      </c>
      <c r="H29" t="s">
        <v>6297</v>
      </c>
      <c r="I29" t="s">
        <v>3772</v>
      </c>
      <c r="J29" t="s">
        <v>3773</v>
      </c>
      <c r="K29" t="s">
        <v>3799</v>
      </c>
      <c r="L29" t="s">
        <v>3827</v>
      </c>
      <c r="M29" t="s">
        <v>3776</v>
      </c>
      <c r="N29" t="s">
        <v>3777</v>
      </c>
      <c r="O29" t="s">
        <v>5278</v>
      </c>
      <c r="P29" t="s">
        <v>5279</v>
      </c>
      <c r="Q29" t="s">
        <v>3870</v>
      </c>
      <c r="R29" t="s">
        <v>3854</v>
      </c>
      <c r="S29" t="s">
        <v>3780</v>
      </c>
      <c r="T29" t="s">
        <v>5262</v>
      </c>
      <c r="U29" t="s">
        <v>5272</v>
      </c>
      <c r="V29" t="s">
        <v>3872</v>
      </c>
      <c r="W29" t="s">
        <v>3782</v>
      </c>
      <c r="X29" t="s">
        <v>3804</v>
      </c>
      <c r="Y29" t="s">
        <v>3805</v>
      </c>
      <c r="Z29" t="s">
        <v>5147</v>
      </c>
      <c r="AA29" t="s">
        <v>5148</v>
      </c>
      <c r="AB29" t="s">
        <v>3831</v>
      </c>
      <c r="AC29" s="1" t="s">
        <v>3807</v>
      </c>
      <c r="AD29" s="6" t="s">
        <v>6318</v>
      </c>
    </row>
    <row r="30" spans="1:30" x14ac:dyDescent="0.25">
      <c r="A30" t="s">
        <v>5807</v>
      </c>
      <c r="B30" t="s">
        <v>3766</v>
      </c>
      <c r="C30" t="s">
        <v>3819</v>
      </c>
      <c r="D30" t="s">
        <v>3820</v>
      </c>
      <c r="E30" t="s">
        <v>3797</v>
      </c>
      <c r="F30" t="s">
        <v>3821</v>
      </c>
      <c r="G30" t="s">
        <v>6300</v>
      </c>
      <c r="H30" t="s">
        <v>4049</v>
      </c>
      <c r="I30" t="s">
        <v>3772</v>
      </c>
      <c r="J30" t="s">
        <v>3773</v>
      </c>
      <c r="K30" t="s">
        <v>3799</v>
      </c>
      <c r="L30" t="s">
        <v>3827</v>
      </c>
      <c r="M30" t="s">
        <v>3776</v>
      </c>
      <c r="N30" t="s">
        <v>3777</v>
      </c>
      <c r="O30" t="s">
        <v>5278</v>
      </c>
      <c r="P30" t="s">
        <v>5279</v>
      </c>
      <c r="Q30" t="s">
        <v>3873</v>
      </c>
      <c r="R30" t="s">
        <v>3857</v>
      </c>
      <c r="S30" t="s">
        <v>3780</v>
      </c>
      <c r="T30" t="s">
        <v>5266</v>
      </c>
      <c r="U30" t="s">
        <v>5267</v>
      </c>
      <c r="V30" t="s">
        <v>3858</v>
      </c>
      <c r="W30" t="s">
        <v>3782</v>
      </c>
      <c r="X30" t="s">
        <v>3804</v>
      </c>
      <c r="Y30" t="s">
        <v>3805</v>
      </c>
      <c r="Z30" t="s">
        <v>5147</v>
      </c>
      <c r="AA30" t="s">
        <v>5148</v>
      </c>
      <c r="AB30" t="s">
        <v>3831</v>
      </c>
      <c r="AC30" s="1" t="s">
        <v>3807</v>
      </c>
      <c r="AD30" s="6" t="s">
        <v>6320</v>
      </c>
    </row>
    <row r="31" spans="1:30" x14ac:dyDescent="0.25">
      <c r="A31" t="s">
        <v>5807</v>
      </c>
      <c r="B31" t="s">
        <v>3766</v>
      </c>
      <c r="C31" t="s">
        <v>3819</v>
      </c>
      <c r="D31" t="s">
        <v>3820</v>
      </c>
      <c r="E31" t="s">
        <v>3797</v>
      </c>
      <c r="F31" t="s">
        <v>3821</v>
      </c>
      <c r="G31" t="s">
        <v>6300</v>
      </c>
      <c r="H31" t="s">
        <v>4049</v>
      </c>
      <c r="I31" t="s">
        <v>3772</v>
      </c>
      <c r="J31" t="s">
        <v>3773</v>
      </c>
      <c r="K31" t="s">
        <v>3799</v>
      </c>
      <c r="L31" t="s">
        <v>3827</v>
      </c>
      <c r="M31" t="s">
        <v>3776</v>
      </c>
      <c r="N31" t="s">
        <v>3777</v>
      </c>
      <c r="O31" t="s">
        <v>5278</v>
      </c>
      <c r="P31" t="s">
        <v>5279</v>
      </c>
      <c r="Q31" t="s">
        <v>3873</v>
      </c>
      <c r="R31" t="s">
        <v>3857</v>
      </c>
      <c r="S31" t="s">
        <v>3780</v>
      </c>
      <c r="T31" t="s">
        <v>5266</v>
      </c>
      <c r="U31" t="s">
        <v>5267</v>
      </c>
      <c r="V31" t="s">
        <v>3858</v>
      </c>
      <c r="W31" t="s">
        <v>3782</v>
      </c>
      <c r="X31" t="s">
        <v>3804</v>
      </c>
      <c r="Y31" t="s">
        <v>3805</v>
      </c>
      <c r="Z31" t="s">
        <v>5147</v>
      </c>
      <c r="AA31" t="s">
        <v>5148</v>
      </c>
      <c r="AB31" t="s">
        <v>3831</v>
      </c>
      <c r="AC31" s="1" t="s">
        <v>3807</v>
      </c>
      <c r="AD31" s="6" t="s">
        <v>6320</v>
      </c>
    </row>
    <row r="32" spans="1:30" x14ac:dyDescent="0.25">
      <c r="A32" t="s">
        <v>5807</v>
      </c>
      <c r="B32" t="s">
        <v>3766</v>
      </c>
      <c r="C32" t="s">
        <v>3808</v>
      </c>
      <c r="D32" t="s">
        <v>3809</v>
      </c>
      <c r="E32" t="s">
        <v>3797</v>
      </c>
      <c r="F32" t="s">
        <v>6322</v>
      </c>
      <c r="G32" t="s">
        <v>3874</v>
      </c>
      <c r="H32" t="s">
        <v>3833</v>
      </c>
      <c r="I32" t="s">
        <v>3772</v>
      </c>
      <c r="J32" t="s">
        <v>3773</v>
      </c>
      <c r="K32" t="s">
        <v>3799</v>
      </c>
      <c r="L32" t="s">
        <v>3827</v>
      </c>
      <c r="M32" t="s">
        <v>3776</v>
      </c>
      <c r="N32" t="s">
        <v>3777</v>
      </c>
      <c r="O32" t="s">
        <v>5280</v>
      </c>
      <c r="P32" t="s">
        <v>5281</v>
      </c>
      <c r="Q32" t="s">
        <v>3875</v>
      </c>
      <c r="R32" t="s">
        <v>3876</v>
      </c>
      <c r="S32" t="s">
        <v>3780</v>
      </c>
      <c r="T32" t="s">
        <v>5282</v>
      </c>
      <c r="U32" t="s">
        <v>5283</v>
      </c>
      <c r="V32" t="s">
        <v>3877</v>
      </c>
      <c r="W32" t="s">
        <v>3782</v>
      </c>
      <c r="X32" t="s">
        <v>3804</v>
      </c>
      <c r="Y32" t="s">
        <v>3805</v>
      </c>
      <c r="Z32" t="s">
        <v>5153</v>
      </c>
      <c r="AA32" t="s">
        <v>5154</v>
      </c>
      <c r="AB32" t="s">
        <v>3806</v>
      </c>
      <c r="AC32" s="1" t="s">
        <v>3807</v>
      </c>
      <c r="AD32" s="6" t="s">
        <v>6323</v>
      </c>
    </row>
    <row r="33" spans="1:30" x14ac:dyDescent="0.25">
      <c r="A33" t="s">
        <v>5807</v>
      </c>
      <c r="B33" t="s">
        <v>3766</v>
      </c>
      <c r="C33" t="s">
        <v>6273</v>
      </c>
      <c r="D33" t="s">
        <v>3836</v>
      </c>
      <c r="E33" t="s">
        <v>3797</v>
      </c>
      <c r="F33" t="s">
        <v>3864</v>
      </c>
      <c r="G33" t="s">
        <v>3878</v>
      </c>
      <c r="H33" t="s">
        <v>3817</v>
      </c>
      <c r="I33" t="s">
        <v>3772</v>
      </c>
      <c r="J33" t="s">
        <v>3773</v>
      </c>
      <c r="K33" t="s">
        <v>3799</v>
      </c>
      <c r="L33" t="s">
        <v>3827</v>
      </c>
      <c r="M33" t="s">
        <v>3776</v>
      </c>
      <c r="N33" t="s">
        <v>3777</v>
      </c>
      <c r="O33" t="s">
        <v>5280</v>
      </c>
      <c r="P33" t="s">
        <v>5281</v>
      </c>
      <c r="Q33" t="s">
        <v>3875</v>
      </c>
      <c r="R33" t="s">
        <v>3876</v>
      </c>
      <c r="S33" t="s">
        <v>3780</v>
      </c>
      <c r="T33" t="s">
        <v>5282</v>
      </c>
      <c r="U33" t="s">
        <v>5283</v>
      </c>
      <c r="V33" t="s">
        <v>3877</v>
      </c>
      <c r="W33" t="s">
        <v>3782</v>
      </c>
      <c r="X33" t="s">
        <v>3804</v>
      </c>
      <c r="Y33" t="s">
        <v>3805</v>
      </c>
      <c r="Z33" t="s">
        <v>5153</v>
      </c>
      <c r="AA33" t="s">
        <v>5154</v>
      </c>
      <c r="AB33" t="s">
        <v>3806</v>
      </c>
      <c r="AC33" s="1" t="s">
        <v>3807</v>
      </c>
      <c r="AD33" s="6" t="s">
        <v>6325</v>
      </c>
    </row>
    <row r="34" spans="1:30" x14ac:dyDescent="0.25">
      <c r="A34" t="s">
        <v>5807</v>
      </c>
      <c r="B34" t="s">
        <v>3766</v>
      </c>
      <c r="C34" t="s">
        <v>6276</v>
      </c>
      <c r="D34" t="s">
        <v>3841</v>
      </c>
      <c r="E34" t="s">
        <v>3797</v>
      </c>
      <c r="F34" t="s">
        <v>6277</v>
      </c>
      <c r="G34" t="s">
        <v>3879</v>
      </c>
      <c r="H34" t="s">
        <v>3880</v>
      </c>
      <c r="I34" t="s">
        <v>3772</v>
      </c>
      <c r="J34" t="s">
        <v>3773</v>
      </c>
      <c r="K34" t="s">
        <v>3799</v>
      </c>
      <c r="L34" t="s">
        <v>3800</v>
      </c>
      <c r="M34" t="s">
        <v>3776</v>
      </c>
      <c r="N34" t="s">
        <v>3777</v>
      </c>
      <c r="O34" t="s">
        <v>5284</v>
      </c>
      <c r="P34" t="s">
        <v>5285</v>
      </c>
      <c r="Q34" t="s">
        <v>3881</v>
      </c>
      <c r="R34" t="s">
        <v>3882</v>
      </c>
      <c r="S34" t="s">
        <v>3883</v>
      </c>
      <c r="T34" t="s">
        <v>5286</v>
      </c>
      <c r="U34" t="s">
        <v>5287</v>
      </c>
      <c r="V34" t="s">
        <v>3884</v>
      </c>
      <c r="W34" t="s">
        <v>3782</v>
      </c>
      <c r="X34" t="s">
        <v>3804</v>
      </c>
      <c r="Y34" t="s">
        <v>3826</v>
      </c>
      <c r="Z34" t="s">
        <v>5149</v>
      </c>
      <c r="AA34" t="s">
        <v>5150</v>
      </c>
      <c r="AB34" t="s">
        <v>3831</v>
      </c>
      <c r="AC34" s="1" t="s">
        <v>3807</v>
      </c>
      <c r="AD34" s="6" t="s">
        <v>6327</v>
      </c>
    </row>
    <row r="35" spans="1:30" x14ac:dyDescent="0.25">
      <c r="A35" t="s">
        <v>5807</v>
      </c>
      <c r="B35" t="s">
        <v>3766</v>
      </c>
      <c r="C35" t="s">
        <v>6329</v>
      </c>
      <c r="D35" t="s">
        <v>3885</v>
      </c>
      <c r="E35" t="s">
        <v>3797</v>
      </c>
      <c r="F35" t="s">
        <v>4973</v>
      </c>
      <c r="G35" t="s">
        <v>3886</v>
      </c>
      <c r="H35" t="s">
        <v>3887</v>
      </c>
      <c r="I35" t="s">
        <v>3772</v>
      </c>
      <c r="J35" t="s">
        <v>3773</v>
      </c>
      <c r="K35" t="s">
        <v>3799</v>
      </c>
      <c r="L35" t="s">
        <v>3800</v>
      </c>
      <c r="M35" t="s">
        <v>3776</v>
      </c>
      <c r="N35" t="s">
        <v>3777</v>
      </c>
      <c r="O35" t="s">
        <v>5284</v>
      </c>
      <c r="P35" t="s">
        <v>5285</v>
      </c>
      <c r="Q35" t="s">
        <v>3881</v>
      </c>
      <c r="R35" t="s">
        <v>3888</v>
      </c>
      <c r="S35" t="s">
        <v>3883</v>
      </c>
      <c r="T35" t="s">
        <v>5288</v>
      </c>
      <c r="U35" t="s">
        <v>5289</v>
      </c>
      <c r="V35" t="s">
        <v>3889</v>
      </c>
      <c r="W35" t="s">
        <v>3782</v>
      </c>
      <c r="X35" t="s">
        <v>3890</v>
      </c>
      <c r="Y35" t="s">
        <v>3891</v>
      </c>
      <c r="Z35" t="s">
        <v>5155</v>
      </c>
      <c r="AA35" t="s">
        <v>5156</v>
      </c>
      <c r="AB35" t="s">
        <v>3831</v>
      </c>
      <c r="AC35" s="1" t="s">
        <v>3807</v>
      </c>
      <c r="AD35" s="6" t="s">
        <v>6330</v>
      </c>
    </row>
    <row r="36" spans="1:30" x14ac:dyDescent="0.25">
      <c r="A36" t="s">
        <v>5807</v>
      </c>
      <c r="B36" t="s">
        <v>3766</v>
      </c>
      <c r="C36" t="s">
        <v>6329</v>
      </c>
      <c r="D36" t="s">
        <v>3885</v>
      </c>
      <c r="E36" t="s">
        <v>3797</v>
      </c>
      <c r="F36" t="s">
        <v>4973</v>
      </c>
      <c r="G36" t="s">
        <v>3892</v>
      </c>
      <c r="H36" t="s">
        <v>3893</v>
      </c>
      <c r="I36" t="s">
        <v>3772</v>
      </c>
      <c r="J36" t="s">
        <v>3773</v>
      </c>
      <c r="K36" t="s">
        <v>3799</v>
      </c>
      <c r="L36" t="s">
        <v>3827</v>
      </c>
      <c r="M36" t="s">
        <v>3776</v>
      </c>
      <c r="N36" t="s">
        <v>3777</v>
      </c>
      <c r="O36" t="s">
        <v>5290</v>
      </c>
      <c r="P36" t="s">
        <v>5291</v>
      </c>
      <c r="Q36" t="s">
        <v>3894</v>
      </c>
      <c r="R36" t="s">
        <v>3895</v>
      </c>
      <c r="S36" t="s">
        <v>3883</v>
      </c>
      <c r="T36" t="s">
        <v>5292</v>
      </c>
      <c r="U36" t="s">
        <v>5293</v>
      </c>
      <c r="V36" t="s">
        <v>3896</v>
      </c>
      <c r="W36" t="s">
        <v>3782</v>
      </c>
      <c r="X36" t="s">
        <v>3890</v>
      </c>
      <c r="Y36" t="s">
        <v>3891</v>
      </c>
      <c r="Z36" t="s">
        <v>5155</v>
      </c>
      <c r="AA36" t="s">
        <v>5156</v>
      </c>
      <c r="AB36" t="s">
        <v>3897</v>
      </c>
      <c r="AC36" s="1" t="s">
        <v>3807</v>
      </c>
      <c r="AD36" s="6" t="s">
        <v>6332</v>
      </c>
    </row>
    <row r="37" spans="1:30" x14ac:dyDescent="0.25">
      <c r="A37" t="s">
        <v>5807</v>
      </c>
      <c r="B37" t="s">
        <v>3766</v>
      </c>
      <c r="C37" t="s">
        <v>6334</v>
      </c>
      <c r="D37" t="s">
        <v>3898</v>
      </c>
      <c r="E37" t="s">
        <v>3797</v>
      </c>
      <c r="F37" t="s">
        <v>6335</v>
      </c>
      <c r="G37" t="s">
        <v>3899</v>
      </c>
      <c r="H37" t="s">
        <v>3900</v>
      </c>
      <c r="I37" t="s">
        <v>3772</v>
      </c>
      <c r="J37" t="s">
        <v>3773</v>
      </c>
      <c r="K37" t="s">
        <v>3799</v>
      </c>
      <c r="L37" t="s">
        <v>3827</v>
      </c>
      <c r="M37" t="s">
        <v>3776</v>
      </c>
      <c r="N37" t="s">
        <v>3777</v>
      </c>
      <c r="O37" t="s">
        <v>5290</v>
      </c>
      <c r="P37" t="s">
        <v>5291</v>
      </c>
      <c r="Q37" t="s">
        <v>3894</v>
      </c>
      <c r="R37" t="s">
        <v>3895</v>
      </c>
      <c r="S37" t="s">
        <v>3883</v>
      </c>
      <c r="T37" t="s">
        <v>5292</v>
      </c>
      <c r="U37" t="s">
        <v>5293</v>
      </c>
      <c r="V37" t="s">
        <v>3896</v>
      </c>
      <c r="W37" t="s">
        <v>3782</v>
      </c>
      <c r="X37" t="s">
        <v>3890</v>
      </c>
      <c r="Y37" t="s">
        <v>3891</v>
      </c>
      <c r="Z37" t="s">
        <v>5155</v>
      </c>
      <c r="AA37" t="s">
        <v>5156</v>
      </c>
      <c r="AB37" t="s">
        <v>3897</v>
      </c>
      <c r="AC37" s="1" t="s">
        <v>3807</v>
      </c>
      <c r="AD37" s="6" t="s">
        <v>6336</v>
      </c>
    </row>
    <row r="38" spans="1:30" x14ac:dyDescent="0.25">
      <c r="A38" t="s">
        <v>5807</v>
      </c>
      <c r="B38" t="s">
        <v>3901</v>
      </c>
      <c r="C38" t="s">
        <v>6338</v>
      </c>
      <c r="D38" t="s">
        <v>3902</v>
      </c>
      <c r="E38" t="s">
        <v>3797</v>
      </c>
      <c r="F38" t="s">
        <v>4956</v>
      </c>
      <c r="G38" t="s">
        <v>3903</v>
      </c>
      <c r="H38" t="s">
        <v>3904</v>
      </c>
      <c r="I38" t="s">
        <v>3772</v>
      </c>
      <c r="J38" t="s">
        <v>3773</v>
      </c>
      <c r="K38" t="s">
        <v>3850</v>
      </c>
      <c r="L38" t="s">
        <v>3827</v>
      </c>
      <c r="M38" t="s">
        <v>3776</v>
      </c>
      <c r="N38" t="s">
        <v>3777</v>
      </c>
      <c r="O38" t="s">
        <v>5294</v>
      </c>
      <c r="P38" t="s">
        <v>5295</v>
      </c>
      <c r="Q38" t="s">
        <v>3905</v>
      </c>
      <c r="R38" t="s">
        <v>3906</v>
      </c>
      <c r="S38" t="s">
        <v>3780</v>
      </c>
      <c r="T38" t="s">
        <v>5296</v>
      </c>
      <c r="U38" t="s">
        <v>5297</v>
      </c>
      <c r="V38" t="s">
        <v>3907</v>
      </c>
      <c r="W38" t="s">
        <v>3782</v>
      </c>
      <c r="X38" t="s">
        <v>3890</v>
      </c>
      <c r="Y38" t="s">
        <v>3891</v>
      </c>
      <c r="Z38" t="s">
        <v>5155</v>
      </c>
      <c r="AA38" t="s">
        <v>5156</v>
      </c>
      <c r="AB38" t="s">
        <v>3897</v>
      </c>
      <c r="AC38" s="1" t="s">
        <v>3807</v>
      </c>
      <c r="AD38" s="6" t="s">
        <v>6339</v>
      </c>
    </row>
    <row r="39" spans="1:30" x14ac:dyDescent="0.25">
      <c r="A39" t="s">
        <v>5807</v>
      </c>
      <c r="B39" t="s">
        <v>3901</v>
      </c>
      <c r="C39" t="s">
        <v>6338</v>
      </c>
      <c r="D39" t="s">
        <v>3902</v>
      </c>
      <c r="E39" t="s">
        <v>3797</v>
      </c>
      <c r="F39" t="s">
        <v>4956</v>
      </c>
      <c r="G39" t="s">
        <v>3903</v>
      </c>
      <c r="H39" t="s">
        <v>3904</v>
      </c>
      <c r="I39" t="s">
        <v>3772</v>
      </c>
      <c r="J39" t="s">
        <v>3773</v>
      </c>
      <c r="K39" t="s">
        <v>3908</v>
      </c>
      <c r="L39" t="s">
        <v>3827</v>
      </c>
      <c r="M39" t="s">
        <v>3776</v>
      </c>
      <c r="N39" t="s">
        <v>3777</v>
      </c>
      <c r="O39" t="s">
        <v>5294</v>
      </c>
      <c r="P39" t="s">
        <v>5295</v>
      </c>
      <c r="Q39" t="s">
        <v>3905</v>
      </c>
      <c r="R39" t="s">
        <v>3906</v>
      </c>
      <c r="S39" t="s">
        <v>3780</v>
      </c>
      <c r="T39" t="s">
        <v>5298</v>
      </c>
      <c r="U39" t="s">
        <v>5297</v>
      </c>
      <c r="V39" t="s">
        <v>3909</v>
      </c>
      <c r="W39" t="s">
        <v>3782</v>
      </c>
      <c r="X39" t="s">
        <v>3890</v>
      </c>
      <c r="Y39" t="s">
        <v>3891</v>
      </c>
      <c r="Z39" t="s">
        <v>5155</v>
      </c>
      <c r="AA39" t="s">
        <v>5156</v>
      </c>
      <c r="AB39" t="s">
        <v>3897</v>
      </c>
      <c r="AC39" s="1" t="s">
        <v>3807</v>
      </c>
      <c r="AD39" s="6" t="s">
        <v>6341</v>
      </c>
    </row>
    <row r="40" spans="1:30" x14ac:dyDescent="0.25">
      <c r="A40" t="s">
        <v>5807</v>
      </c>
      <c r="B40" t="s">
        <v>3901</v>
      </c>
      <c r="C40" t="s">
        <v>6343</v>
      </c>
      <c r="D40" t="s">
        <v>3910</v>
      </c>
      <c r="E40" t="s">
        <v>3797</v>
      </c>
      <c r="F40" t="s">
        <v>5033</v>
      </c>
      <c r="G40" t="s">
        <v>3911</v>
      </c>
      <c r="H40" t="s">
        <v>3912</v>
      </c>
      <c r="I40" t="s">
        <v>3772</v>
      </c>
      <c r="J40" t="s">
        <v>3773</v>
      </c>
      <c r="K40" t="s">
        <v>3850</v>
      </c>
      <c r="L40" t="s">
        <v>3827</v>
      </c>
      <c r="M40" t="s">
        <v>3776</v>
      </c>
      <c r="N40" t="s">
        <v>3777</v>
      </c>
      <c r="O40" t="s">
        <v>5294</v>
      </c>
      <c r="P40" t="s">
        <v>5295</v>
      </c>
      <c r="Q40" t="s">
        <v>3905</v>
      </c>
      <c r="R40" t="s">
        <v>3906</v>
      </c>
      <c r="S40" t="s">
        <v>3780</v>
      </c>
      <c r="T40" t="s">
        <v>5298</v>
      </c>
      <c r="U40" t="s">
        <v>5297</v>
      </c>
      <c r="V40" t="s">
        <v>3907</v>
      </c>
      <c r="W40" t="s">
        <v>3782</v>
      </c>
      <c r="X40" t="s">
        <v>3890</v>
      </c>
      <c r="Y40" t="s">
        <v>3891</v>
      </c>
      <c r="Z40" t="s">
        <v>5155</v>
      </c>
      <c r="AA40" t="s">
        <v>5156</v>
      </c>
      <c r="AB40" t="s">
        <v>3897</v>
      </c>
      <c r="AC40" s="1" t="s">
        <v>3807</v>
      </c>
      <c r="AD40" s="6" t="s">
        <v>6344</v>
      </c>
    </row>
    <row r="41" spans="1:30" x14ac:dyDescent="0.25">
      <c r="A41" t="s">
        <v>5807</v>
      </c>
      <c r="B41" t="s">
        <v>3901</v>
      </c>
      <c r="C41" t="s">
        <v>6343</v>
      </c>
      <c r="D41" t="s">
        <v>3910</v>
      </c>
      <c r="E41" t="s">
        <v>3797</v>
      </c>
      <c r="F41" t="s">
        <v>5033</v>
      </c>
      <c r="G41" t="s">
        <v>3911</v>
      </c>
      <c r="H41" t="s">
        <v>3912</v>
      </c>
      <c r="I41" t="s">
        <v>3772</v>
      </c>
      <c r="J41" t="s">
        <v>3773</v>
      </c>
      <c r="K41" t="s">
        <v>3908</v>
      </c>
      <c r="L41" t="s">
        <v>3827</v>
      </c>
      <c r="M41" t="s">
        <v>3776</v>
      </c>
      <c r="N41" t="s">
        <v>3777</v>
      </c>
      <c r="O41" t="s">
        <v>5294</v>
      </c>
      <c r="P41" t="s">
        <v>5295</v>
      </c>
      <c r="Q41" t="s">
        <v>3905</v>
      </c>
      <c r="R41" t="s">
        <v>3906</v>
      </c>
      <c r="S41" t="s">
        <v>3780</v>
      </c>
      <c r="T41" t="s">
        <v>5298</v>
      </c>
      <c r="U41" t="s">
        <v>5297</v>
      </c>
      <c r="V41" t="s">
        <v>3909</v>
      </c>
      <c r="W41" t="s">
        <v>3782</v>
      </c>
      <c r="X41" t="s">
        <v>3890</v>
      </c>
      <c r="Y41" t="s">
        <v>3891</v>
      </c>
      <c r="Z41" t="s">
        <v>5155</v>
      </c>
      <c r="AA41" t="s">
        <v>5156</v>
      </c>
      <c r="AB41" t="s">
        <v>3897</v>
      </c>
      <c r="AC41" s="1" t="s">
        <v>3807</v>
      </c>
      <c r="AD41" s="6" t="s">
        <v>6346</v>
      </c>
    </row>
    <row r="42" spans="1:30" x14ac:dyDescent="0.25">
      <c r="A42" t="s">
        <v>5807</v>
      </c>
      <c r="B42" t="s">
        <v>3901</v>
      </c>
      <c r="C42" t="s">
        <v>4074</v>
      </c>
      <c r="D42" t="s">
        <v>3913</v>
      </c>
      <c r="E42" t="s">
        <v>3797</v>
      </c>
      <c r="F42" t="s">
        <v>6348</v>
      </c>
      <c r="G42" t="s">
        <v>3914</v>
      </c>
      <c r="H42" t="s">
        <v>3915</v>
      </c>
      <c r="I42" t="s">
        <v>3772</v>
      </c>
      <c r="J42" t="s">
        <v>3773</v>
      </c>
      <c r="K42" t="s">
        <v>3799</v>
      </c>
      <c r="L42" t="s">
        <v>3827</v>
      </c>
      <c r="M42" t="s">
        <v>3776</v>
      </c>
      <c r="N42" t="s">
        <v>3777</v>
      </c>
      <c r="O42" t="s">
        <v>5299</v>
      </c>
      <c r="P42" t="s">
        <v>5300</v>
      </c>
      <c r="Q42" t="s">
        <v>3916</v>
      </c>
      <c r="R42" t="s">
        <v>3917</v>
      </c>
      <c r="S42" t="s">
        <v>3780</v>
      </c>
      <c r="T42" t="s">
        <v>5268</v>
      </c>
      <c r="U42" t="s">
        <v>5269</v>
      </c>
      <c r="V42" t="s">
        <v>3849</v>
      </c>
      <c r="W42" t="s">
        <v>3782</v>
      </c>
      <c r="X42" t="s">
        <v>3804</v>
      </c>
      <c r="Y42" t="s">
        <v>3826</v>
      </c>
      <c r="Z42" t="s">
        <v>5149</v>
      </c>
      <c r="AA42" t="s">
        <v>5150</v>
      </c>
      <c r="AB42" t="s">
        <v>3831</v>
      </c>
      <c r="AC42" s="1" t="s">
        <v>3807</v>
      </c>
      <c r="AD42" s="6" t="s">
        <v>6349</v>
      </c>
    </row>
    <row r="43" spans="1:30" x14ac:dyDescent="0.25">
      <c r="A43" t="s">
        <v>5807</v>
      </c>
      <c r="B43" t="s">
        <v>3901</v>
      </c>
      <c r="C43" t="s">
        <v>4853</v>
      </c>
      <c r="D43" t="s">
        <v>3918</v>
      </c>
      <c r="E43" t="s">
        <v>3797</v>
      </c>
      <c r="F43" t="s">
        <v>6351</v>
      </c>
      <c r="G43" t="s">
        <v>3919</v>
      </c>
      <c r="H43" t="s">
        <v>3920</v>
      </c>
      <c r="I43" t="s">
        <v>3772</v>
      </c>
      <c r="J43" t="s">
        <v>3773</v>
      </c>
      <c r="K43" t="s">
        <v>3799</v>
      </c>
      <c r="L43" t="s">
        <v>3827</v>
      </c>
      <c r="M43" t="s">
        <v>3776</v>
      </c>
      <c r="N43" t="s">
        <v>3777</v>
      </c>
      <c r="O43" t="s">
        <v>5299</v>
      </c>
      <c r="P43" t="s">
        <v>5300</v>
      </c>
      <c r="Q43" t="s">
        <v>3921</v>
      </c>
      <c r="R43" t="s">
        <v>3922</v>
      </c>
      <c r="S43" t="s">
        <v>3780</v>
      </c>
      <c r="T43" t="s">
        <v>5292</v>
      </c>
      <c r="U43" t="s">
        <v>5293</v>
      </c>
      <c r="V43" t="s">
        <v>3923</v>
      </c>
      <c r="W43" t="s">
        <v>3782</v>
      </c>
      <c r="X43" t="s">
        <v>3890</v>
      </c>
      <c r="Y43" t="s">
        <v>3891</v>
      </c>
      <c r="Z43" t="s">
        <v>5151</v>
      </c>
      <c r="AA43" t="s">
        <v>5156</v>
      </c>
      <c r="AB43" t="s">
        <v>3831</v>
      </c>
      <c r="AC43" s="1" t="s">
        <v>3807</v>
      </c>
      <c r="AD43" s="6" t="s">
        <v>6352</v>
      </c>
    </row>
    <row r="44" spans="1:30" x14ac:dyDescent="0.25">
      <c r="A44" t="s">
        <v>5807</v>
      </c>
      <c r="B44" t="s">
        <v>3901</v>
      </c>
      <c r="C44" t="s">
        <v>4865</v>
      </c>
      <c r="D44" t="s">
        <v>3924</v>
      </c>
      <c r="E44" t="s">
        <v>3797</v>
      </c>
      <c r="F44" t="s">
        <v>6354</v>
      </c>
      <c r="G44" t="s">
        <v>3925</v>
      </c>
      <c r="H44" t="s">
        <v>3926</v>
      </c>
      <c r="I44" t="s">
        <v>3772</v>
      </c>
      <c r="J44" t="s">
        <v>3773</v>
      </c>
      <c r="K44" t="s">
        <v>3799</v>
      </c>
      <c r="L44" t="s">
        <v>3827</v>
      </c>
      <c r="M44" t="s">
        <v>3776</v>
      </c>
      <c r="N44" t="s">
        <v>3777</v>
      </c>
      <c r="O44" t="s">
        <v>5299</v>
      </c>
      <c r="P44" t="s">
        <v>5300</v>
      </c>
      <c r="Q44" t="s">
        <v>3921</v>
      </c>
      <c r="R44" t="s">
        <v>3922</v>
      </c>
      <c r="S44" t="s">
        <v>3780</v>
      </c>
      <c r="T44" t="s">
        <v>5292</v>
      </c>
      <c r="U44" t="s">
        <v>5293</v>
      </c>
      <c r="V44" t="s">
        <v>3923</v>
      </c>
      <c r="W44" t="s">
        <v>3782</v>
      </c>
      <c r="X44" t="s">
        <v>3890</v>
      </c>
      <c r="Y44" t="s">
        <v>3891</v>
      </c>
      <c r="Z44" t="s">
        <v>5151</v>
      </c>
      <c r="AA44" t="s">
        <v>5156</v>
      </c>
      <c r="AB44" t="s">
        <v>3831</v>
      </c>
      <c r="AC44" s="1" t="s">
        <v>3807</v>
      </c>
      <c r="AD44" s="6" t="s">
        <v>6355</v>
      </c>
    </row>
    <row r="45" spans="1:30" x14ac:dyDescent="0.25">
      <c r="A45" t="s">
        <v>5807</v>
      </c>
      <c r="B45" t="s">
        <v>3901</v>
      </c>
      <c r="C45" t="s">
        <v>4865</v>
      </c>
      <c r="D45" t="s">
        <v>3924</v>
      </c>
      <c r="E45" t="s">
        <v>3797</v>
      </c>
      <c r="F45" t="s">
        <v>6354</v>
      </c>
      <c r="G45" t="s">
        <v>3925</v>
      </c>
      <c r="H45" t="s">
        <v>3926</v>
      </c>
      <c r="I45" t="s">
        <v>3772</v>
      </c>
      <c r="J45" t="s">
        <v>3773</v>
      </c>
      <c r="K45" t="s">
        <v>3927</v>
      </c>
      <c r="L45" t="s">
        <v>3827</v>
      </c>
      <c r="M45" t="s">
        <v>3776</v>
      </c>
      <c r="N45" t="s">
        <v>3777</v>
      </c>
      <c r="O45" t="s">
        <v>5299</v>
      </c>
      <c r="P45" t="s">
        <v>5300</v>
      </c>
      <c r="Q45" t="s">
        <v>3921</v>
      </c>
      <c r="R45" t="s">
        <v>3922</v>
      </c>
      <c r="S45" t="s">
        <v>3780</v>
      </c>
      <c r="T45" t="s">
        <v>5292</v>
      </c>
      <c r="U45" t="s">
        <v>5293</v>
      </c>
      <c r="V45" t="s">
        <v>3928</v>
      </c>
      <c r="W45" t="s">
        <v>3782</v>
      </c>
      <c r="X45" t="s">
        <v>3890</v>
      </c>
      <c r="Y45" t="s">
        <v>3891</v>
      </c>
      <c r="Z45" t="s">
        <v>5151</v>
      </c>
      <c r="AA45" t="s">
        <v>5156</v>
      </c>
      <c r="AB45" t="s">
        <v>3831</v>
      </c>
      <c r="AC45" s="1" t="s">
        <v>3807</v>
      </c>
      <c r="AD45" s="6" t="s">
        <v>6357</v>
      </c>
    </row>
    <row r="46" spans="1:30" x14ac:dyDescent="0.25">
      <c r="A46" t="s">
        <v>5807</v>
      </c>
      <c r="B46" t="s">
        <v>3901</v>
      </c>
      <c r="C46" t="s">
        <v>6338</v>
      </c>
      <c r="D46" t="s">
        <v>3902</v>
      </c>
      <c r="E46" t="s">
        <v>3797</v>
      </c>
      <c r="F46" t="s">
        <v>4956</v>
      </c>
      <c r="G46" t="s">
        <v>3929</v>
      </c>
      <c r="H46" t="s">
        <v>3912</v>
      </c>
      <c r="I46" t="s">
        <v>3772</v>
      </c>
      <c r="J46" t="s">
        <v>3773</v>
      </c>
      <c r="K46" t="s">
        <v>3799</v>
      </c>
      <c r="L46" t="s">
        <v>3827</v>
      </c>
      <c r="M46" t="s">
        <v>3776</v>
      </c>
      <c r="N46" t="s">
        <v>3777</v>
      </c>
      <c r="O46" t="s">
        <v>5299</v>
      </c>
      <c r="P46" t="s">
        <v>5300</v>
      </c>
      <c r="Q46" t="s">
        <v>3930</v>
      </c>
      <c r="R46" t="s">
        <v>3931</v>
      </c>
      <c r="S46" t="s">
        <v>3780</v>
      </c>
      <c r="T46" t="s">
        <v>5298</v>
      </c>
      <c r="U46" t="s">
        <v>5297</v>
      </c>
      <c r="V46" t="s">
        <v>3932</v>
      </c>
      <c r="W46" t="s">
        <v>3782</v>
      </c>
      <c r="X46" t="s">
        <v>3890</v>
      </c>
      <c r="Y46" t="s">
        <v>3891</v>
      </c>
      <c r="Z46" t="s">
        <v>5151</v>
      </c>
      <c r="AA46" t="s">
        <v>5156</v>
      </c>
      <c r="AB46" t="s">
        <v>3831</v>
      </c>
      <c r="AC46" s="1" t="s">
        <v>3807</v>
      </c>
      <c r="AD46" s="6" t="s">
        <v>6359</v>
      </c>
    </row>
    <row r="47" spans="1:30" x14ac:dyDescent="0.25">
      <c r="A47" t="s">
        <v>5807</v>
      </c>
      <c r="B47" t="s">
        <v>3901</v>
      </c>
      <c r="C47" t="s">
        <v>6338</v>
      </c>
      <c r="D47" t="s">
        <v>3902</v>
      </c>
      <c r="E47" t="s">
        <v>3797</v>
      </c>
      <c r="F47" t="s">
        <v>4956</v>
      </c>
      <c r="G47" t="s">
        <v>3929</v>
      </c>
      <c r="H47" t="s">
        <v>3912</v>
      </c>
      <c r="I47" t="s">
        <v>3772</v>
      </c>
      <c r="J47" t="s">
        <v>3773</v>
      </c>
      <c r="K47" t="s">
        <v>3927</v>
      </c>
      <c r="L47" t="s">
        <v>3827</v>
      </c>
      <c r="M47" t="s">
        <v>3776</v>
      </c>
      <c r="N47" t="s">
        <v>3777</v>
      </c>
      <c r="O47" t="s">
        <v>5299</v>
      </c>
      <c r="P47" t="s">
        <v>5300</v>
      </c>
      <c r="Q47" t="s">
        <v>3930</v>
      </c>
      <c r="R47" t="s">
        <v>3931</v>
      </c>
      <c r="S47" t="s">
        <v>3780</v>
      </c>
      <c r="T47" t="s">
        <v>5298</v>
      </c>
      <c r="U47" t="s">
        <v>5297</v>
      </c>
      <c r="V47" t="s">
        <v>3933</v>
      </c>
      <c r="W47" t="s">
        <v>3782</v>
      </c>
      <c r="X47" t="s">
        <v>3890</v>
      </c>
      <c r="Y47" t="s">
        <v>3891</v>
      </c>
      <c r="Z47" t="s">
        <v>5151</v>
      </c>
      <c r="AA47" t="s">
        <v>5156</v>
      </c>
      <c r="AB47" t="s">
        <v>3831</v>
      </c>
      <c r="AC47" s="1" t="s">
        <v>3807</v>
      </c>
      <c r="AD47" s="6" t="s">
        <v>6361</v>
      </c>
    </row>
    <row r="48" spans="1:30" x14ac:dyDescent="0.25">
      <c r="A48" t="s">
        <v>5807</v>
      </c>
      <c r="B48" t="s">
        <v>3901</v>
      </c>
      <c r="C48" t="s">
        <v>3813</v>
      </c>
      <c r="D48" t="s">
        <v>3814</v>
      </c>
      <c r="E48" t="s">
        <v>3797</v>
      </c>
      <c r="F48" t="s">
        <v>4484</v>
      </c>
      <c r="G48" t="s">
        <v>3934</v>
      </c>
      <c r="H48" t="s">
        <v>3935</v>
      </c>
      <c r="I48" t="s">
        <v>3772</v>
      </c>
      <c r="J48" t="s">
        <v>3773</v>
      </c>
      <c r="K48" t="s">
        <v>3850</v>
      </c>
      <c r="L48" t="s">
        <v>3827</v>
      </c>
      <c r="M48" t="s">
        <v>3776</v>
      </c>
      <c r="N48" t="s">
        <v>3777</v>
      </c>
      <c r="O48" t="s">
        <v>5301</v>
      </c>
      <c r="P48" t="s">
        <v>5302</v>
      </c>
      <c r="Q48" t="s">
        <v>3936</v>
      </c>
      <c r="R48" t="s">
        <v>3937</v>
      </c>
      <c r="S48" t="s">
        <v>3780</v>
      </c>
      <c r="T48" t="s">
        <v>5266</v>
      </c>
      <c r="U48" t="s">
        <v>5267</v>
      </c>
      <c r="V48" t="s">
        <v>3844</v>
      </c>
      <c r="W48" t="s">
        <v>3782</v>
      </c>
      <c r="X48" t="s">
        <v>3804</v>
      </c>
      <c r="Y48" t="s">
        <v>3805</v>
      </c>
      <c r="Z48" t="s">
        <v>5149</v>
      </c>
      <c r="AA48" t="s">
        <v>5150</v>
      </c>
      <c r="AB48" t="s">
        <v>3897</v>
      </c>
      <c r="AC48" s="1" t="s">
        <v>3807</v>
      </c>
      <c r="AD48" s="6" t="s">
        <v>6363</v>
      </c>
    </row>
    <row r="49" spans="1:30" x14ac:dyDescent="0.25">
      <c r="A49" t="s">
        <v>5807</v>
      </c>
      <c r="B49" t="s">
        <v>3901</v>
      </c>
      <c r="C49" t="s">
        <v>6365</v>
      </c>
      <c r="D49" t="s">
        <v>3938</v>
      </c>
      <c r="E49" t="s">
        <v>3797</v>
      </c>
      <c r="F49" t="s">
        <v>3864</v>
      </c>
      <c r="G49" t="s">
        <v>3939</v>
      </c>
      <c r="H49" t="s">
        <v>3940</v>
      </c>
      <c r="I49" t="s">
        <v>3772</v>
      </c>
      <c r="J49" t="s">
        <v>3773</v>
      </c>
      <c r="K49" t="s">
        <v>3850</v>
      </c>
      <c r="L49" t="s">
        <v>3827</v>
      </c>
      <c r="M49" t="s">
        <v>3776</v>
      </c>
      <c r="N49" t="s">
        <v>3777</v>
      </c>
      <c r="O49" t="s">
        <v>5301</v>
      </c>
      <c r="P49" t="s">
        <v>5302</v>
      </c>
      <c r="Q49" t="s">
        <v>3936</v>
      </c>
      <c r="R49" t="s">
        <v>3941</v>
      </c>
      <c r="S49" t="s">
        <v>3780</v>
      </c>
      <c r="T49" t="s">
        <v>5266</v>
      </c>
      <c r="U49" t="s">
        <v>5267</v>
      </c>
      <c r="V49" t="s">
        <v>3844</v>
      </c>
      <c r="W49" t="s">
        <v>3782</v>
      </c>
      <c r="X49" t="s">
        <v>3804</v>
      </c>
      <c r="Y49" t="s">
        <v>3805</v>
      </c>
      <c r="Z49" t="s">
        <v>5149</v>
      </c>
      <c r="AA49" t="s">
        <v>5150</v>
      </c>
      <c r="AB49" t="s">
        <v>3897</v>
      </c>
      <c r="AC49" s="1" t="s">
        <v>3807</v>
      </c>
      <c r="AD49" s="6" t="s">
        <v>6366</v>
      </c>
    </row>
    <row r="50" spans="1:30" x14ac:dyDescent="0.25">
      <c r="A50" t="s">
        <v>5807</v>
      </c>
      <c r="B50" t="s">
        <v>3901</v>
      </c>
      <c r="C50" t="s">
        <v>6276</v>
      </c>
      <c r="D50" t="s">
        <v>3841</v>
      </c>
      <c r="E50" t="s">
        <v>3797</v>
      </c>
      <c r="F50" t="s">
        <v>6368</v>
      </c>
      <c r="G50" t="s">
        <v>3942</v>
      </c>
      <c r="H50" t="s">
        <v>3943</v>
      </c>
      <c r="I50" t="s">
        <v>3772</v>
      </c>
      <c r="J50" t="s">
        <v>3773</v>
      </c>
      <c r="K50" t="s">
        <v>3850</v>
      </c>
      <c r="L50" t="s">
        <v>3827</v>
      </c>
      <c r="M50" t="s">
        <v>3776</v>
      </c>
      <c r="N50" t="s">
        <v>3777</v>
      </c>
      <c r="O50" t="s">
        <v>5303</v>
      </c>
      <c r="P50" t="s">
        <v>5304</v>
      </c>
      <c r="Q50" t="s">
        <v>3944</v>
      </c>
      <c r="R50" t="s">
        <v>3945</v>
      </c>
      <c r="S50" t="s">
        <v>3780</v>
      </c>
      <c r="T50" t="s">
        <v>5268</v>
      </c>
      <c r="U50" t="s">
        <v>5269</v>
      </c>
      <c r="V50" t="s">
        <v>3861</v>
      </c>
      <c r="W50" t="s">
        <v>3782</v>
      </c>
      <c r="X50" t="s">
        <v>3804</v>
      </c>
      <c r="Y50" t="s">
        <v>3826</v>
      </c>
      <c r="Z50" t="s">
        <v>5151</v>
      </c>
      <c r="AA50" t="s">
        <v>5150</v>
      </c>
      <c r="AB50" t="s">
        <v>3897</v>
      </c>
      <c r="AC50" s="1" t="s">
        <v>3807</v>
      </c>
      <c r="AD50" s="6" t="s">
        <v>6369</v>
      </c>
    </row>
    <row r="51" spans="1:30" x14ac:dyDescent="0.25">
      <c r="A51" t="s">
        <v>5807</v>
      </c>
      <c r="B51" t="s">
        <v>3901</v>
      </c>
      <c r="C51" t="s">
        <v>4074</v>
      </c>
      <c r="D51" t="s">
        <v>3913</v>
      </c>
      <c r="E51" t="s">
        <v>3797</v>
      </c>
      <c r="F51" t="s">
        <v>6348</v>
      </c>
      <c r="G51" t="s">
        <v>3946</v>
      </c>
      <c r="H51" t="s">
        <v>3947</v>
      </c>
      <c r="I51" t="s">
        <v>3772</v>
      </c>
      <c r="J51" t="s">
        <v>3773</v>
      </c>
      <c r="K51" t="s">
        <v>3850</v>
      </c>
      <c r="L51" t="s">
        <v>3827</v>
      </c>
      <c r="M51" t="s">
        <v>3776</v>
      </c>
      <c r="N51" t="s">
        <v>3777</v>
      </c>
      <c r="O51" t="s">
        <v>5303</v>
      </c>
      <c r="P51" t="s">
        <v>5304</v>
      </c>
      <c r="Q51" t="s">
        <v>3948</v>
      </c>
      <c r="R51" t="s">
        <v>3949</v>
      </c>
      <c r="S51" t="s">
        <v>3780</v>
      </c>
      <c r="T51" t="s">
        <v>5276</v>
      </c>
      <c r="U51" t="s">
        <v>5277</v>
      </c>
      <c r="V51" t="s">
        <v>3950</v>
      </c>
      <c r="W51" t="s">
        <v>3782</v>
      </c>
      <c r="X51" t="s">
        <v>3804</v>
      </c>
      <c r="Y51" t="s">
        <v>3826</v>
      </c>
      <c r="Z51" t="s">
        <v>5151</v>
      </c>
      <c r="AA51" t="s">
        <v>5152</v>
      </c>
      <c r="AB51" t="s">
        <v>3897</v>
      </c>
      <c r="AC51" s="1" t="s">
        <v>3807</v>
      </c>
      <c r="AD51" s="6" t="s">
        <v>6371</v>
      </c>
    </row>
    <row r="52" spans="1:30" x14ac:dyDescent="0.25">
      <c r="A52" t="s">
        <v>5807</v>
      </c>
      <c r="B52" t="s">
        <v>3901</v>
      </c>
      <c r="C52" t="s">
        <v>4853</v>
      </c>
      <c r="D52" t="s">
        <v>3918</v>
      </c>
      <c r="E52" t="s">
        <v>3797</v>
      </c>
      <c r="F52" t="s">
        <v>6351</v>
      </c>
      <c r="G52" t="s">
        <v>3951</v>
      </c>
      <c r="H52" t="s">
        <v>3952</v>
      </c>
      <c r="I52" t="s">
        <v>3772</v>
      </c>
      <c r="J52" t="s">
        <v>3773</v>
      </c>
      <c r="K52" t="s">
        <v>3850</v>
      </c>
      <c r="L52" t="s">
        <v>3827</v>
      </c>
      <c r="M52" t="s">
        <v>3776</v>
      </c>
      <c r="N52" t="s">
        <v>3777</v>
      </c>
      <c r="O52" t="s">
        <v>5303</v>
      </c>
      <c r="P52" t="s">
        <v>5304</v>
      </c>
      <c r="Q52" t="s">
        <v>3953</v>
      </c>
      <c r="R52" t="s">
        <v>3954</v>
      </c>
      <c r="S52" t="s">
        <v>3780</v>
      </c>
      <c r="T52" t="s">
        <v>5292</v>
      </c>
      <c r="U52" t="s">
        <v>5293</v>
      </c>
      <c r="V52" t="s">
        <v>3896</v>
      </c>
      <c r="W52" t="s">
        <v>3782</v>
      </c>
      <c r="X52" t="s">
        <v>3890</v>
      </c>
      <c r="Y52" t="s">
        <v>3891</v>
      </c>
      <c r="Z52" t="s">
        <v>5155</v>
      </c>
      <c r="AA52" t="s">
        <v>5156</v>
      </c>
      <c r="AB52" t="s">
        <v>3897</v>
      </c>
      <c r="AC52" s="1" t="s">
        <v>3807</v>
      </c>
      <c r="AD52" s="6" t="s">
        <v>6373</v>
      </c>
    </row>
    <row r="53" spans="1:30" x14ac:dyDescent="0.25">
      <c r="A53" t="s">
        <v>5807</v>
      </c>
      <c r="B53" t="s">
        <v>3901</v>
      </c>
      <c r="C53" t="s">
        <v>4865</v>
      </c>
      <c r="D53" t="s">
        <v>3924</v>
      </c>
      <c r="E53" t="s">
        <v>3797</v>
      </c>
      <c r="F53" t="s">
        <v>6354</v>
      </c>
      <c r="G53" t="s">
        <v>3955</v>
      </c>
      <c r="H53" t="s">
        <v>3956</v>
      </c>
      <c r="I53" t="s">
        <v>3772</v>
      </c>
      <c r="J53" t="s">
        <v>3773</v>
      </c>
      <c r="K53" t="s">
        <v>3850</v>
      </c>
      <c r="L53" t="s">
        <v>3827</v>
      </c>
      <c r="M53" t="s">
        <v>3776</v>
      </c>
      <c r="N53" t="s">
        <v>3777</v>
      </c>
      <c r="O53" t="s">
        <v>5305</v>
      </c>
      <c r="P53" t="s">
        <v>5306</v>
      </c>
      <c r="Q53" t="s">
        <v>3957</v>
      </c>
      <c r="R53" t="s">
        <v>3958</v>
      </c>
      <c r="S53" t="s">
        <v>3780</v>
      </c>
      <c r="T53" t="s">
        <v>5292</v>
      </c>
      <c r="U53" t="s">
        <v>5293</v>
      </c>
      <c r="V53" t="s">
        <v>3896</v>
      </c>
      <c r="W53" t="s">
        <v>3782</v>
      </c>
      <c r="X53" t="s">
        <v>3890</v>
      </c>
      <c r="Y53" t="s">
        <v>3891</v>
      </c>
      <c r="Z53" t="s">
        <v>5155</v>
      </c>
      <c r="AA53" t="s">
        <v>5156</v>
      </c>
      <c r="AB53" t="s">
        <v>3897</v>
      </c>
      <c r="AC53" s="1" t="s">
        <v>3807</v>
      </c>
      <c r="AD53" s="6" t="s">
        <v>6375</v>
      </c>
    </row>
    <row r="54" spans="1:30" x14ac:dyDescent="0.25">
      <c r="A54" t="s">
        <v>5807</v>
      </c>
      <c r="B54" t="s">
        <v>3901</v>
      </c>
      <c r="C54" t="s">
        <v>6338</v>
      </c>
      <c r="D54" t="s">
        <v>3902</v>
      </c>
      <c r="E54" t="s">
        <v>3797</v>
      </c>
      <c r="F54" t="s">
        <v>4956</v>
      </c>
      <c r="G54" t="s">
        <v>3959</v>
      </c>
      <c r="H54" t="s">
        <v>3960</v>
      </c>
      <c r="I54" t="s">
        <v>3772</v>
      </c>
      <c r="J54" t="s">
        <v>3773</v>
      </c>
      <c r="K54" t="s">
        <v>3850</v>
      </c>
      <c r="L54" t="s">
        <v>3827</v>
      </c>
      <c r="M54" t="s">
        <v>3776</v>
      </c>
      <c r="N54" t="s">
        <v>3777</v>
      </c>
      <c r="O54" t="s">
        <v>5305</v>
      </c>
      <c r="P54" t="s">
        <v>5306</v>
      </c>
      <c r="Q54" t="s">
        <v>3957</v>
      </c>
      <c r="R54" t="s">
        <v>3961</v>
      </c>
      <c r="S54" t="s">
        <v>3780</v>
      </c>
      <c r="T54" t="s">
        <v>5296</v>
      </c>
      <c r="U54" t="s">
        <v>5297</v>
      </c>
      <c r="V54" t="s">
        <v>3907</v>
      </c>
      <c r="W54" t="s">
        <v>3782</v>
      </c>
      <c r="X54" t="s">
        <v>3890</v>
      </c>
      <c r="Y54" t="s">
        <v>3891</v>
      </c>
      <c r="Z54" t="s">
        <v>5155</v>
      </c>
      <c r="AA54" t="s">
        <v>5156</v>
      </c>
      <c r="AB54" t="s">
        <v>3897</v>
      </c>
      <c r="AC54" s="1" t="s">
        <v>3807</v>
      </c>
      <c r="AD54" s="6" t="s">
        <v>6377</v>
      </c>
    </row>
    <row r="55" spans="1:30" x14ac:dyDescent="0.25">
      <c r="A55" t="s">
        <v>5807</v>
      </c>
      <c r="B55" t="s">
        <v>3901</v>
      </c>
      <c r="C55" t="s">
        <v>6343</v>
      </c>
      <c r="D55" t="s">
        <v>3910</v>
      </c>
      <c r="E55" t="s">
        <v>3797</v>
      </c>
      <c r="F55" t="s">
        <v>5033</v>
      </c>
      <c r="G55" t="s">
        <v>3962</v>
      </c>
      <c r="H55" t="s">
        <v>3963</v>
      </c>
      <c r="I55" t="s">
        <v>3772</v>
      </c>
      <c r="J55" t="s">
        <v>3773</v>
      </c>
      <c r="K55" t="s">
        <v>3850</v>
      </c>
      <c r="L55" t="s">
        <v>3827</v>
      </c>
      <c r="M55" t="s">
        <v>3776</v>
      </c>
      <c r="N55" t="s">
        <v>3777</v>
      </c>
      <c r="O55" t="s">
        <v>5305</v>
      </c>
      <c r="P55" t="s">
        <v>5306</v>
      </c>
      <c r="Q55" t="s">
        <v>3957</v>
      </c>
      <c r="R55" t="s">
        <v>3961</v>
      </c>
      <c r="S55" t="s">
        <v>3780</v>
      </c>
      <c r="T55" t="s">
        <v>5298</v>
      </c>
      <c r="U55" t="s">
        <v>5297</v>
      </c>
      <c r="V55" t="s">
        <v>3907</v>
      </c>
      <c r="W55" t="s">
        <v>3782</v>
      </c>
      <c r="X55" t="s">
        <v>3890</v>
      </c>
      <c r="Y55" t="s">
        <v>3891</v>
      </c>
      <c r="Z55" t="s">
        <v>5155</v>
      </c>
      <c r="AA55" t="s">
        <v>5156</v>
      </c>
      <c r="AB55" t="s">
        <v>3897</v>
      </c>
      <c r="AC55" s="1" t="s">
        <v>3807</v>
      </c>
      <c r="AD55" s="6" t="s">
        <v>6379</v>
      </c>
    </row>
    <row r="56" spans="1:30" x14ac:dyDescent="0.25">
      <c r="A56" t="s">
        <v>5807</v>
      </c>
      <c r="B56" t="s">
        <v>3901</v>
      </c>
      <c r="C56" t="s">
        <v>4119</v>
      </c>
      <c r="D56" t="s">
        <v>3902</v>
      </c>
      <c r="E56" t="s">
        <v>3797</v>
      </c>
      <c r="F56" t="s">
        <v>4121</v>
      </c>
      <c r="G56" t="s">
        <v>4122</v>
      </c>
      <c r="H56" t="s">
        <v>4123</v>
      </c>
      <c r="I56" t="s">
        <v>3772</v>
      </c>
      <c r="J56" t="s">
        <v>3773</v>
      </c>
      <c r="K56" t="s">
        <v>3927</v>
      </c>
      <c r="L56" t="s">
        <v>3800</v>
      </c>
      <c r="M56" t="s">
        <v>3776</v>
      </c>
      <c r="N56" t="s">
        <v>3777</v>
      </c>
      <c r="O56" t="s">
        <v>5294</v>
      </c>
      <c r="P56" t="s">
        <v>5295</v>
      </c>
      <c r="Q56" t="s">
        <v>3905</v>
      </c>
      <c r="R56" t="s">
        <v>3906</v>
      </c>
      <c r="S56" t="s">
        <v>3964</v>
      </c>
      <c r="T56" t="s">
        <v>5307</v>
      </c>
      <c r="U56" t="s">
        <v>5308</v>
      </c>
      <c r="V56" t="s">
        <v>3965</v>
      </c>
      <c r="W56" t="s">
        <v>3782</v>
      </c>
      <c r="X56" t="s">
        <v>3890</v>
      </c>
      <c r="Y56" t="s">
        <v>3891</v>
      </c>
      <c r="Z56" t="s">
        <v>5157</v>
      </c>
      <c r="AA56" t="s">
        <v>5156</v>
      </c>
      <c r="AB56" t="s">
        <v>3897</v>
      </c>
      <c r="AC56" s="1" t="s">
        <v>3807</v>
      </c>
      <c r="AD56" s="6" t="s">
        <v>6381</v>
      </c>
    </row>
    <row r="57" spans="1:30" x14ac:dyDescent="0.25">
      <c r="A57" t="s">
        <v>5807</v>
      </c>
      <c r="B57" t="s">
        <v>3901</v>
      </c>
      <c r="C57" t="s">
        <v>4119</v>
      </c>
      <c r="D57" t="s">
        <v>3902</v>
      </c>
      <c r="E57" t="s">
        <v>3797</v>
      </c>
      <c r="F57" t="s">
        <v>4121</v>
      </c>
      <c r="G57" t="s">
        <v>4967</v>
      </c>
      <c r="H57" t="s">
        <v>6383</v>
      </c>
      <c r="I57" t="s">
        <v>3772</v>
      </c>
      <c r="J57" t="s">
        <v>3773</v>
      </c>
      <c r="K57" t="s">
        <v>3850</v>
      </c>
      <c r="L57" t="s">
        <v>3800</v>
      </c>
      <c r="M57" t="s">
        <v>3776</v>
      </c>
      <c r="N57" t="s">
        <v>3777</v>
      </c>
      <c r="O57" t="s">
        <v>5294</v>
      </c>
      <c r="P57" t="s">
        <v>5295</v>
      </c>
      <c r="Q57" t="s">
        <v>3905</v>
      </c>
      <c r="R57" t="s">
        <v>3906</v>
      </c>
      <c r="S57" t="s">
        <v>3883</v>
      </c>
      <c r="T57" t="s">
        <v>5307</v>
      </c>
      <c r="U57" t="s">
        <v>5308</v>
      </c>
      <c r="V57" t="s">
        <v>3966</v>
      </c>
      <c r="W57" t="s">
        <v>3782</v>
      </c>
      <c r="X57" t="s">
        <v>3890</v>
      </c>
      <c r="Y57" t="s">
        <v>3891</v>
      </c>
      <c r="Z57" t="s">
        <v>5155</v>
      </c>
      <c r="AA57" t="s">
        <v>5156</v>
      </c>
      <c r="AB57" t="s">
        <v>3897</v>
      </c>
      <c r="AC57" s="1" t="s">
        <v>3807</v>
      </c>
      <c r="AD57" s="6" t="s">
        <v>6384</v>
      </c>
    </row>
    <row r="58" spans="1:30" x14ac:dyDescent="0.25">
      <c r="A58" t="s">
        <v>5807</v>
      </c>
      <c r="B58" t="s">
        <v>3901</v>
      </c>
      <c r="C58" t="s">
        <v>4066</v>
      </c>
      <c r="D58" t="s">
        <v>3967</v>
      </c>
      <c r="E58" t="s">
        <v>3797</v>
      </c>
      <c r="F58" t="s">
        <v>4067</v>
      </c>
      <c r="G58" t="s">
        <v>4068</v>
      </c>
      <c r="H58" t="s">
        <v>4069</v>
      </c>
      <c r="I58" t="s">
        <v>3772</v>
      </c>
      <c r="J58" t="s">
        <v>3773</v>
      </c>
      <c r="K58" t="s">
        <v>3927</v>
      </c>
      <c r="L58" t="s">
        <v>3800</v>
      </c>
      <c r="M58" t="s">
        <v>3776</v>
      </c>
      <c r="N58" t="s">
        <v>3777</v>
      </c>
      <c r="O58" t="s">
        <v>5294</v>
      </c>
      <c r="P58" t="s">
        <v>5295</v>
      </c>
      <c r="Q58" t="s">
        <v>3905</v>
      </c>
      <c r="R58" t="s">
        <v>3906</v>
      </c>
      <c r="S58" t="s">
        <v>3964</v>
      </c>
      <c r="T58" t="s">
        <v>5307</v>
      </c>
      <c r="U58" t="s">
        <v>5308</v>
      </c>
      <c r="V58" t="s">
        <v>3965</v>
      </c>
      <c r="W58" t="s">
        <v>3782</v>
      </c>
      <c r="X58" t="s">
        <v>3890</v>
      </c>
      <c r="Y58" t="s">
        <v>3891</v>
      </c>
      <c r="Z58" t="s">
        <v>5157</v>
      </c>
      <c r="AA58" t="s">
        <v>5156</v>
      </c>
      <c r="AB58" t="s">
        <v>3897</v>
      </c>
      <c r="AC58" s="1" t="s">
        <v>3807</v>
      </c>
      <c r="AD58" s="6" t="s">
        <v>6386</v>
      </c>
    </row>
    <row r="59" spans="1:30" x14ac:dyDescent="0.25">
      <c r="A59" t="s">
        <v>5807</v>
      </c>
      <c r="B59" t="s">
        <v>3901</v>
      </c>
      <c r="C59" t="s">
        <v>3767</v>
      </c>
      <c r="D59" t="s">
        <v>3768</v>
      </c>
      <c r="E59" t="s">
        <v>3797</v>
      </c>
      <c r="F59" t="s">
        <v>3769</v>
      </c>
      <c r="G59" t="s">
        <v>3770</v>
      </c>
      <c r="H59" t="s">
        <v>3771</v>
      </c>
      <c r="I59" t="s">
        <v>3772</v>
      </c>
      <c r="J59" t="s">
        <v>3773</v>
      </c>
      <c r="K59" t="s">
        <v>3774</v>
      </c>
      <c r="L59" t="s">
        <v>3775</v>
      </c>
      <c r="M59" t="s">
        <v>3776</v>
      </c>
      <c r="N59" t="s">
        <v>3777</v>
      </c>
      <c r="O59" t="s">
        <v>5294</v>
      </c>
      <c r="P59" t="s">
        <v>5295</v>
      </c>
      <c r="Q59" t="s">
        <v>3905</v>
      </c>
      <c r="R59" t="s">
        <v>3779</v>
      </c>
      <c r="S59" t="s">
        <v>3780</v>
      </c>
      <c r="T59" t="s">
        <v>5307</v>
      </c>
      <c r="U59" t="s">
        <v>5308</v>
      </c>
      <c r="V59" t="s">
        <v>3966</v>
      </c>
      <c r="W59" t="s">
        <v>3782</v>
      </c>
      <c r="X59" t="s">
        <v>3783</v>
      </c>
      <c r="Y59" t="s">
        <v>3784</v>
      </c>
      <c r="Z59" t="s">
        <v>3785</v>
      </c>
      <c r="AA59" t="s">
        <v>3786</v>
      </c>
      <c r="AB59" t="s">
        <v>3787</v>
      </c>
      <c r="AC59" s="1" t="s">
        <v>3788</v>
      </c>
      <c r="AD59" s="6" t="s">
        <v>5812</v>
      </c>
    </row>
    <row r="60" spans="1:30" x14ac:dyDescent="0.25">
      <c r="A60" t="s">
        <v>5807</v>
      </c>
      <c r="B60" t="s">
        <v>3901</v>
      </c>
      <c r="C60" t="s">
        <v>5018</v>
      </c>
      <c r="D60" t="s">
        <v>3968</v>
      </c>
      <c r="E60" t="s">
        <v>3797</v>
      </c>
      <c r="F60" t="s">
        <v>6388</v>
      </c>
      <c r="G60" t="s">
        <v>6389</v>
      </c>
      <c r="H60" t="s">
        <v>6390</v>
      </c>
      <c r="I60" t="s">
        <v>3772</v>
      </c>
      <c r="J60" t="s">
        <v>3773</v>
      </c>
      <c r="K60" t="s">
        <v>3927</v>
      </c>
      <c r="L60" t="s">
        <v>3800</v>
      </c>
      <c r="M60" t="s">
        <v>3776</v>
      </c>
      <c r="N60" t="s">
        <v>3777</v>
      </c>
      <c r="O60" t="s">
        <v>5309</v>
      </c>
      <c r="P60" t="s">
        <v>5310</v>
      </c>
      <c r="Q60" t="s">
        <v>3969</v>
      </c>
      <c r="R60" t="s">
        <v>3970</v>
      </c>
      <c r="S60" t="s">
        <v>3964</v>
      </c>
      <c r="T60" t="s">
        <v>5307</v>
      </c>
      <c r="U60" t="s">
        <v>5308</v>
      </c>
      <c r="V60" t="s">
        <v>3965</v>
      </c>
      <c r="W60" t="s">
        <v>3782</v>
      </c>
      <c r="X60" t="s">
        <v>3890</v>
      </c>
      <c r="Y60" t="s">
        <v>3891</v>
      </c>
      <c r="Z60" t="s">
        <v>5157</v>
      </c>
      <c r="AA60" t="s">
        <v>5156</v>
      </c>
      <c r="AB60" t="s">
        <v>3897</v>
      </c>
      <c r="AC60" s="1" t="s">
        <v>3807</v>
      </c>
      <c r="AD60" s="6" t="s">
        <v>6391</v>
      </c>
    </row>
    <row r="61" spans="1:30" x14ac:dyDescent="0.25">
      <c r="A61" t="s">
        <v>5807</v>
      </c>
      <c r="B61" t="s">
        <v>3901</v>
      </c>
      <c r="C61" t="s">
        <v>4070</v>
      </c>
      <c r="D61" t="s">
        <v>3971</v>
      </c>
      <c r="E61" t="s">
        <v>3797</v>
      </c>
      <c r="F61" t="s">
        <v>4071</v>
      </c>
      <c r="G61" t="s">
        <v>3972</v>
      </c>
      <c r="H61" t="s">
        <v>3973</v>
      </c>
      <c r="I61" t="s">
        <v>3772</v>
      </c>
      <c r="J61" t="s">
        <v>3773</v>
      </c>
      <c r="K61" t="s">
        <v>3927</v>
      </c>
      <c r="L61" t="s">
        <v>3800</v>
      </c>
      <c r="M61" t="s">
        <v>3776</v>
      </c>
      <c r="N61" t="s">
        <v>3777</v>
      </c>
      <c r="O61" t="s">
        <v>5311</v>
      </c>
      <c r="P61" t="s">
        <v>5312</v>
      </c>
      <c r="Q61" t="s">
        <v>3974</v>
      </c>
      <c r="R61" t="s">
        <v>3975</v>
      </c>
      <c r="S61" t="s">
        <v>3780</v>
      </c>
      <c r="T61" t="s">
        <v>5313</v>
      </c>
      <c r="U61" t="s">
        <v>5314</v>
      </c>
      <c r="V61" t="s">
        <v>3976</v>
      </c>
      <c r="W61" t="s">
        <v>3782</v>
      </c>
      <c r="X61" t="s">
        <v>3977</v>
      </c>
      <c r="Y61" t="s">
        <v>3978</v>
      </c>
      <c r="Z61" t="s">
        <v>5158</v>
      </c>
      <c r="AA61" t="s">
        <v>5156</v>
      </c>
      <c r="AB61" t="s">
        <v>3897</v>
      </c>
      <c r="AC61" s="1" t="s">
        <v>3979</v>
      </c>
      <c r="AD61" s="6" t="s">
        <v>6393</v>
      </c>
    </row>
    <row r="62" spans="1:30" x14ac:dyDescent="0.25">
      <c r="A62" t="s">
        <v>5807</v>
      </c>
      <c r="B62" t="s">
        <v>3901</v>
      </c>
      <c r="C62" t="s">
        <v>4072</v>
      </c>
      <c r="D62" t="s">
        <v>3980</v>
      </c>
      <c r="E62" t="s">
        <v>3797</v>
      </c>
      <c r="F62" t="s">
        <v>4073</v>
      </c>
      <c r="G62" t="s">
        <v>3981</v>
      </c>
      <c r="H62" t="s">
        <v>3982</v>
      </c>
      <c r="I62" t="s">
        <v>3772</v>
      </c>
      <c r="J62" t="s">
        <v>3773</v>
      </c>
      <c r="K62" t="s">
        <v>3927</v>
      </c>
      <c r="L62" t="s">
        <v>3800</v>
      </c>
      <c r="M62" t="s">
        <v>3776</v>
      </c>
      <c r="N62" t="s">
        <v>3777</v>
      </c>
      <c r="O62" t="s">
        <v>5311</v>
      </c>
      <c r="P62" t="s">
        <v>5312</v>
      </c>
      <c r="Q62" t="s">
        <v>3983</v>
      </c>
      <c r="R62" t="s">
        <v>3984</v>
      </c>
      <c r="S62" t="s">
        <v>3780</v>
      </c>
      <c r="T62" t="s">
        <v>5313</v>
      </c>
      <c r="U62" t="s">
        <v>5314</v>
      </c>
      <c r="V62" t="s">
        <v>3985</v>
      </c>
      <c r="W62" t="s">
        <v>3782</v>
      </c>
      <c r="X62" t="s">
        <v>3977</v>
      </c>
      <c r="Y62" t="s">
        <v>3978</v>
      </c>
      <c r="Z62" t="s">
        <v>5158</v>
      </c>
      <c r="AA62" t="s">
        <v>5156</v>
      </c>
      <c r="AB62" t="s">
        <v>3897</v>
      </c>
      <c r="AC62" s="1" t="s">
        <v>3979</v>
      </c>
      <c r="AD62" s="6" t="s">
        <v>6395</v>
      </c>
    </row>
    <row r="63" spans="1:30" x14ac:dyDescent="0.25">
      <c r="A63" t="s">
        <v>5807</v>
      </c>
      <c r="B63" t="s">
        <v>3901</v>
      </c>
      <c r="C63" t="s">
        <v>3808</v>
      </c>
      <c r="D63" t="s">
        <v>3809</v>
      </c>
      <c r="E63" t="s">
        <v>3797</v>
      </c>
      <c r="F63" t="s">
        <v>6397</v>
      </c>
      <c r="G63" t="s">
        <v>3986</v>
      </c>
      <c r="H63" t="s">
        <v>3987</v>
      </c>
      <c r="I63" t="s">
        <v>3772</v>
      </c>
      <c r="J63" t="s">
        <v>3773</v>
      </c>
      <c r="K63" t="s">
        <v>3799</v>
      </c>
      <c r="L63" t="s">
        <v>3827</v>
      </c>
      <c r="M63" t="s">
        <v>3776</v>
      </c>
      <c r="N63" t="s">
        <v>3777</v>
      </c>
      <c r="O63" t="s">
        <v>5315</v>
      </c>
      <c r="P63" t="s">
        <v>5316</v>
      </c>
      <c r="Q63" t="s">
        <v>3988</v>
      </c>
      <c r="R63" t="s">
        <v>3989</v>
      </c>
      <c r="S63" t="s">
        <v>3780</v>
      </c>
      <c r="T63" t="s">
        <v>5262</v>
      </c>
      <c r="U63" t="s">
        <v>5272</v>
      </c>
      <c r="V63" t="s">
        <v>3990</v>
      </c>
      <c r="W63" t="s">
        <v>3782</v>
      </c>
      <c r="X63" t="s">
        <v>3804</v>
      </c>
      <c r="Y63" t="s">
        <v>3805</v>
      </c>
      <c r="Z63" t="s">
        <v>5153</v>
      </c>
      <c r="AA63" t="s">
        <v>5148</v>
      </c>
      <c r="AB63" t="s">
        <v>3831</v>
      </c>
      <c r="AC63" s="1" t="s">
        <v>3807</v>
      </c>
      <c r="AD63" s="6" t="s">
        <v>6398</v>
      </c>
    </row>
    <row r="64" spans="1:30" x14ac:dyDescent="0.25">
      <c r="A64" t="s">
        <v>5807</v>
      </c>
      <c r="B64" t="s">
        <v>3901</v>
      </c>
      <c r="C64" t="s">
        <v>3813</v>
      </c>
      <c r="D64" t="s">
        <v>3814</v>
      </c>
      <c r="E64" t="s">
        <v>3797</v>
      </c>
      <c r="F64" t="s">
        <v>4484</v>
      </c>
      <c r="G64" t="s">
        <v>3991</v>
      </c>
      <c r="H64" t="s">
        <v>3992</v>
      </c>
      <c r="I64" t="s">
        <v>3772</v>
      </c>
      <c r="J64" t="s">
        <v>3773</v>
      </c>
      <c r="K64" t="s">
        <v>3799</v>
      </c>
      <c r="L64" t="s">
        <v>3827</v>
      </c>
      <c r="M64" t="s">
        <v>3776</v>
      </c>
      <c r="N64" t="s">
        <v>3777</v>
      </c>
      <c r="O64" t="s">
        <v>5315</v>
      </c>
      <c r="P64" t="s">
        <v>5316</v>
      </c>
      <c r="Q64" t="s">
        <v>3988</v>
      </c>
      <c r="R64" t="s">
        <v>3993</v>
      </c>
      <c r="S64" t="s">
        <v>3780</v>
      </c>
      <c r="T64" t="s">
        <v>5262</v>
      </c>
      <c r="U64" t="s">
        <v>5272</v>
      </c>
      <c r="V64" t="s">
        <v>3872</v>
      </c>
      <c r="W64" t="s">
        <v>3782</v>
      </c>
      <c r="X64" t="s">
        <v>3804</v>
      </c>
      <c r="Y64" t="s">
        <v>3805</v>
      </c>
      <c r="Z64" t="s">
        <v>5153</v>
      </c>
      <c r="AA64" t="s">
        <v>5148</v>
      </c>
      <c r="AB64" t="s">
        <v>3831</v>
      </c>
      <c r="AC64" s="1" t="s">
        <v>3807</v>
      </c>
      <c r="AD64" s="6" t="s">
        <v>6400</v>
      </c>
    </row>
    <row r="65" spans="1:30" x14ac:dyDescent="0.25">
      <c r="A65" t="s">
        <v>5807</v>
      </c>
      <c r="B65" t="s">
        <v>3901</v>
      </c>
      <c r="C65" t="s">
        <v>6365</v>
      </c>
      <c r="D65" t="s">
        <v>3938</v>
      </c>
      <c r="E65" t="s">
        <v>3797</v>
      </c>
      <c r="F65" t="s">
        <v>3864</v>
      </c>
      <c r="G65" t="s">
        <v>3994</v>
      </c>
      <c r="H65" t="s">
        <v>3995</v>
      </c>
      <c r="I65" t="s">
        <v>3772</v>
      </c>
      <c r="J65" t="s">
        <v>3773</v>
      </c>
      <c r="K65" t="s">
        <v>3799</v>
      </c>
      <c r="L65" t="s">
        <v>3827</v>
      </c>
      <c r="M65" t="s">
        <v>3776</v>
      </c>
      <c r="N65" t="s">
        <v>3777</v>
      </c>
      <c r="O65" t="s">
        <v>5315</v>
      </c>
      <c r="P65" t="s">
        <v>5316</v>
      </c>
      <c r="Q65" t="s">
        <v>3988</v>
      </c>
      <c r="R65" t="s">
        <v>3996</v>
      </c>
      <c r="S65" t="s">
        <v>3780</v>
      </c>
      <c r="T65" t="s">
        <v>5266</v>
      </c>
      <c r="U65" t="s">
        <v>5267</v>
      </c>
      <c r="V65" t="s">
        <v>3997</v>
      </c>
      <c r="W65" t="s">
        <v>3782</v>
      </c>
      <c r="X65" t="s">
        <v>3804</v>
      </c>
      <c r="Y65" t="s">
        <v>3805</v>
      </c>
      <c r="Z65" t="s">
        <v>5147</v>
      </c>
      <c r="AA65" t="s">
        <v>5148</v>
      </c>
      <c r="AB65" t="s">
        <v>3831</v>
      </c>
      <c r="AC65" s="1" t="s">
        <v>3807</v>
      </c>
      <c r="AD65" s="6" t="s">
        <v>6402</v>
      </c>
    </row>
    <row r="66" spans="1:30" x14ac:dyDescent="0.25">
      <c r="A66" t="s">
        <v>5807</v>
      </c>
      <c r="B66" t="s">
        <v>3901</v>
      </c>
      <c r="C66" t="s">
        <v>6276</v>
      </c>
      <c r="D66" t="s">
        <v>3841</v>
      </c>
      <c r="E66" t="s">
        <v>3797</v>
      </c>
      <c r="F66" t="s">
        <v>6368</v>
      </c>
      <c r="G66" t="s">
        <v>3998</v>
      </c>
      <c r="H66" t="s">
        <v>3880</v>
      </c>
      <c r="I66" t="s">
        <v>3772</v>
      </c>
      <c r="J66" t="s">
        <v>3773</v>
      </c>
      <c r="K66" t="s">
        <v>3799</v>
      </c>
      <c r="L66" t="s">
        <v>3827</v>
      </c>
      <c r="M66" t="s">
        <v>3776</v>
      </c>
      <c r="N66" t="s">
        <v>3777</v>
      </c>
      <c r="O66" t="s">
        <v>5317</v>
      </c>
      <c r="P66" t="s">
        <v>5318</v>
      </c>
      <c r="Q66" t="s">
        <v>3999</v>
      </c>
      <c r="R66" t="s">
        <v>4000</v>
      </c>
      <c r="S66" t="s">
        <v>3780</v>
      </c>
      <c r="T66" t="s">
        <v>5266</v>
      </c>
      <c r="U66" t="s">
        <v>5267</v>
      </c>
      <c r="V66" t="s">
        <v>3845</v>
      </c>
      <c r="W66" t="s">
        <v>3782</v>
      </c>
      <c r="X66" t="s">
        <v>3804</v>
      </c>
      <c r="Y66" t="s">
        <v>3826</v>
      </c>
      <c r="Z66" t="s">
        <v>5147</v>
      </c>
      <c r="AA66" t="s">
        <v>5148</v>
      </c>
      <c r="AB66" t="s">
        <v>3831</v>
      </c>
      <c r="AC66" s="1" t="s">
        <v>3807</v>
      </c>
      <c r="AD66" s="6" t="s">
        <v>6946</v>
      </c>
    </row>
    <row r="67" spans="1:30" x14ac:dyDescent="0.25">
      <c r="A67" t="s">
        <v>5807</v>
      </c>
      <c r="B67" t="s">
        <v>4001</v>
      </c>
      <c r="C67" t="s">
        <v>4853</v>
      </c>
      <c r="D67" t="s">
        <v>3918</v>
      </c>
      <c r="E67" t="s">
        <v>3797</v>
      </c>
      <c r="F67" t="s">
        <v>6351</v>
      </c>
      <c r="G67" t="s">
        <v>3951</v>
      </c>
      <c r="H67" t="s">
        <v>3920</v>
      </c>
      <c r="I67" t="s">
        <v>3772</v>
      </c>
      <c r="J67" t="s">
        <v>3773</v>
      </c>
      <c r="K67" t="s">
        <v>3850</v>
      </c>
      <c r="L67" t="s">
        <v>3800</v>
      </c>
      <c r="M67" t="s">
        <v>3776</v>
      </c>
      <c r="N67" t="s">
        <v>3777</v>
      </c>
      <c r="O67" t="s">
        <v>5319</v>
      </c>
      <c r="P67" t="s">
        <v>5320</v>
      </c>
      <c r="Q67" t="s">
        <v>4002</v>
      </c>
      <c r="R67" t="s">
        <v>4003</v>
      </c>
      <c r="S67" t="s">
        <v>3883</v>
      </c>
      <c r="T67" t="s">
        <v>5288</v>
      </c>
      <c r="U67" t="s">
        <v>5289</v>
      </c>
      <c r="V67" t="s">
        <v>3889</v>
      </c>
      <c r="W67" t="s">
        <v>3782</v>
      </c>
      <c r="X67" t="s">
        <v>3890</v>
      </c>
      <c r="Y67" t="s">
        <v>3891</v>
      </c>
      <c r="Z67" t="s">
        <v>5155</v>
      </c>
      <c r="AA67" t="s">
        <v>5156</v>
      </c>
      <c r="AB67" t="s">
        <v>3897</v>
      </c>
      <c r="AC67" s="1" t="s">
        <v>3807</v>
      </c>
      <c r="AD67" s="6" t="s">
        <v>6404</v>
      </c>
    </row>
    <row r="68" spans="1:30" x14ac:dyDescent="0.25">
      <c r="A68" t="s">
        <v>5807</v>
      </c>
      <c r="B68" t="s">
        <v>4001</v>
      </c>
      <c r="C68" t="s">
        <v>4062</v>
      </c>
      <c r="D68" t="s">
        <v>4004</v>
      </c>
      <c r="E68" t="s">
        <v>3797</v>
      </c>
      <c r="F68" t="s">
        <v>4063</v>
      </c>
      <c r="G68" t="s">
        <v>4148</v>
      </c>
      <c r="H68" t="s">
        <v>6406</v>
      </c>
      <c r="I68" t="s">
        <v>3772</v>
      </c>
      <c r="J68" t="s">
        <v>3773</v>
      </c>
      <c r="K68" t="s">
        <v>3927</v>
      </c>
      <c r="L68" t="s">
        <v>3800</v>
      </c>
      <c r="M68" t="s">
        <v>3776</v>
      </c>
      <c r="N68" t="s">
        <v>3777</v>
      </c>
      <c r="O68" t="s">
        <v>5319</v>
      </c>
      <c r="P68" t="s">
        <v>5320</v>
      </c>
      <c r="Q68" t="s">
        <v>4002</v>
      </c>
      <c r="R68" t="s">
        <v>4005</v>
      </c>
      <c r="S68" t="s">
        <v>3964</v>
      </c>
      <c r="T68" t="s">
        <v>5307</v>
      </c>
      <c r="U68" t="s">
        <v>5308</v>
      </c>
      <c r="V68" t="s">
        <v>3965</v>
      </c>
      <c r="W68" t="s">
        <v>3782</v>
      </c>
      <c r="X68" t="s">
        <v>3890</v>
      </c>
      <c r="Y68" t="s">
        <v>3891</v>
      </c>
      <c r="Z68" t="s">
        <v>5157</v>
      </c>
      <c r="AA68" t="s">
        <v>5156</v>
      </c>
      <c r="AB68" t="s">
        <v>3897</v>
      </c>
      <c r="AC68" s="1" t="s">
        <v>3807</v>
      </c>
      <c r="AD68" s="6" t="s">
        <v>6407</v>
      </c>
    </row>
    <row r="69" spans="1:30" x14ac:dyDescent="0.25">
      <c r="A69" t="s">
        <v>5807</v>
      </c>
      <c r="B69" t="s">
        <v>4001</v>
      </c>
      <c r="C69" t="s">
        <v>4062</v>
      </c>
      <c r="D69" t="s">
        <v>4004</v>
      </c>
      <c r="E69" t="s">
        <v>3797</v>
      </c>
      <c r="F69" t="s">
        <v>4063</v>
      </c>
      <c r="G69" t="s">
        <v>6409</v>
      </c>
      <c r="H69" t="s">
        <v>6410</v>
      </c>
      <c r="I69" t="s">
        <v>3772</v>
      </c>
      <c r="J69" t="s">
        <v>3773</v>
      </c>
      <c r="K69" t="s">
        <v>3850</v>
      </c>
      <c r="L69" t="s">
        <v>3800</v>
      </c>
      <c r="M69" t="s">
        <v>3776</v>
      </c>
      <c r="N69" t="s">
        <v>3777</v>
      </c>
      <c r="O69" t="s">
        <v>5319</v>
      </c>
      <c r="P69" t="s">
        <v>5320</v>
      </c>
      <c r="Q69" t="s">
        <v>4002</v>
      </c>
      <c r="R69" t="s">
        <v>4006</v>
      </c>
      <c r="S69" t="s">
        <v>3883</v>
      </c>
      <c r="T69" t="s">
        <v>5288</v>
      </c>
      <c r="U69" t="s">
        <v>5289</v>
      </c>
      <c r="V69" t="s">
        <v>3889</v>
      </c>
      <c r="W69" t="s">
        <v>3782</v>
      </c>
      <c r="X69" t="s">
        <v>3890</v>
      </c>
      <c r="Y69" t="s">
        <v>3891</v>
      </c>
      <c r="Z69" t="s">
        <v>5155</v>
      </c>
      <c r="AA69" t="s">
        <v>5156</v>
      </c>
      <c r="AB69" t="s">
        <v>3897</v>
      </c>
      <c r="AC69" s="1" t="s">
        <v>3807</v>
      </c>
      <c r="AD69" s="6" t="s">
        <v>6411</v>
      </c>
    </row>
    <row r="70" spans="1:30" x14ac:dyDescent="0.25">
      <c r="A70" t="s">
        <v>5807</v>
      </c>
      <c r="B70" t="s">
        <v>4001</v>
      </c>
      <c r="C70" t="s">
        <v>4119</v>
      </c>
      <c r="D70" t="s">
        <v>3902</v>
      </c>
      <c r="E70" t="s">
        <v>3797</v>
      </c>
      <c r="F70" t="s">
        <v>4121</v>
      </c>
      <c r="G70" t="s">
        <v>6413</v>
      </c>
      <c r="H70" t="s">
        <v>6414</v>
      </c>
      <c r="I70" t="s">
        <v>3772</v>
      </c>
      <c r="J70" t="s">
        <v>3773</v>
      </c>
      <c r="K70" t="s">
        <v>3927</v>
      </c>
      <c r="L70" t="s">
        <v>3800</v>
      </c>
      <c r="M70" t="s">
        <v>3776</v>
      </c>
      <c r="N70" t="s">
        <v>3777</v>
      </c>
      <c r="O70" t="s">
        <v>5319</v>
      </c>
      <c r="P70" t="s">
        <v>5320</v>
      </c>
      <c r="Q70" t="s">
        <v>4002</v>
      </c>
      <c r="R70" t="s">
        <v>4007</v>
      </c>
      <c r="S70" t="s">
        <v>3964</v>
      </c>
      <c r="T70" t="s">
        <v>5307</v>
      </c>
      <c r="U70" t="s">
        <v>5308</v>
      </c>
      <c r="V70" t="s">
        <v>3965</v>
      </c>
      <c r="W70" t="s">
        <v>3782</v>
      </c>
      <c r="X70" t="s">
        <v>3890</v>
      </c>
      <c r="Y70" t="s">
        <v>3891</v>
      </c>
      <c r="Z70" t="s">
        <v>5157</v>
      </c>
      <c r="AA70" t="s">
        <v>5156</v>
      </c>
      <c r="AB70" t="s">
        <v>3897</v>
      </c>
      <c r="AC70" s="1" t="s">
        <v>3807</v>
      </c>
      <c r="AD70" s="6" t="s">
        <v>6415</v>
      </c>
    </row>
    <row r="71" spans="1:30" x14ac:dyDescent="0.25">
      <c r="A71" t="s">
        <v>5807</v>
      </c>
      <c r="B71" t="s">
        <v>4001</v>
      </c>
      <c r="C71" t="s">
        <v>4119</v>
      </c>
      <c r="D71" t="s">
        <v>3902</v>
      </c>
      <c r="E71" t="s">
        <v>3797</v>
      </c>
      <c r="F71" t="s">
        <v>4121</v>
      </c>
      <c r="G71" t="s">
        <v>6417</v>
      </c>
      <c r="H71" t="s">
        <v>4023</v>
      </c>
      <c r="I71" t="s">
        <v>3772</v>
      </c>
      <c r="J71" t="s">
        <v>3773</v>
      </c>
      <c r="K71" t="s">
        <v>3850</v>
      </c>
      <c r="L71" t="s">
        <v>3800</v>
      </c>
      <c r="M71" t="s">
        <v>3776</v>
      </c>
      <c r="N71" t="s">
        <v>3777</v>
      </c>
      <c r="O71" t="s">
        <v>5319</v>
      </c>
      <c r="P71" t="s">
        <v>5320</v>
      </c>
      <c r="Q71" t="s">
        <v>4002</v>
      </c>
      <c r="R71" t="s">
        <v>4007</v>
      </c>
      <c r="S71" t="s">
        <v>3883</v>
      </c>
      <c r="T71" t="s">
        <v>5307</v>
      </c>
      <c r="U71" t="s">
        <v>5308</v>
      </c>
      <c r="V71" t="s">
        <v>3966</v>
      </c>
      <c r="W71" t="s">
        <v>3782</v>
      </c>
      <c r="X71" t="s">
        <v>3890</v>
      </c>
      <c r="Y71" t="s">
        <v>3891</v>
      </c>
      <c r="Z71" t="s">
        <v>5155</v>
      </c>
      <c r="AA71" t="s">
        <v>5156</v>
      </c>
      <c r="AB71" t="s">
        <v>3897</v>
      </c>
      <c r="AC71" s="1" t="s">
        <v>3807</v>
      </c>
      <c r="AD71" s="6" t="s">
        <v>6418</v>
      </c>
    </row>
    <row r="72" spans="1:30" x14ac:dyDescent="0.25">
      <c r="A72" t="s">
        <v>5807</v>
      </c>
      <c r="B72" t="s">
        <v>4001</v>
      </c>
      <c r="C72" t="s">
        <v>4066</v>
      </c>
      <c r="D72" t="s">
        <v>3967</v>
      </c>
      <c r="E72" t="s">
        <v>3797</v>
      </c>
      <c r="F72" t="s">
        <v>4067</v>
      </c>
      <c r="G72" t="s">
        <v>6420</v>
      </c>
      <c r="H72" t="s">
        <v>6421</v>
      </c>
      <c r="I72" t="s">
        <v>3772</v>
      </c>
      <c r="J72" t="s">
        <v>3773</v>
      </c>
      <c r="K72" t="s">
        <v>3927</v>
      </c>
      <c r="L72" t="s">
        <v>3800</v>
      </c>
      <c r="M72" t="s">
        <v>3776</v>
      </c>
      <c r="N72" t="s">
        <v>3777</v>
      </c>
      <c r="O72" t="s">
        <v>5319</v>
      </c>
      <c r="P72" t="s">
        <v>5320</v>
      </c>
      <c r="Q72" t="s">
        <v>4002</v>
      </c>
      <c r="R72" t="s">
        <v>4008</v>
      </c>
      <c r="S72" t="s">
        <v>3964</v>
      </c>
      <c r="T72" t="s">
        <v>5307</v>
      </c>
      <c r="U72" t="s">
        <v>5308</v>
      </c>
      <c r="V72" t="s">
        <v>3965</v>
      </c>
      <c r="W72" t="s">
        <v>3782</v>
      </c>
      <c r="X72" t="s">
        <v>3890</v>
      </c>
      <c r="Y72" t="s">
        <v>3891</v>
      </c>
      <c r="Z72" t="s">
        <v>5157</v>
      </c>
      <c r="AA72" t="s">
        <v>5156</v>
      </c>
      <c r="AB72" t="s">
        <v>3897</v>
      </c>
      <c r="AC72" s="1" t="s">
        <v>3807</v>
      </c>
      <c r="AD72" s="6" t="s">
        <v>6422</v>
      </c>
    </row>
    <row r="73" spans="1:30" x14ac:dyDescent="0.25">
      <c r="A73" t="s">
        <v>5807</v>
      </c>
      <c r="B73" t="s">
        <v>4001</v>
      </c>
      <c r="C73" t="s">
        <v>6424</v>
      </c>
      <c r="D73" t="s">
        <v>3910</v>
      </c>
      <c r="E73" t="s">
        <v>3797</v>
      </c>
      <c r="F73" t="s">
        <v>4067</v>
      </c>
      <c r="G73" t="s">
        <v>3962</v>
      </c>
      <c r="H73" t="s">
        <v>6425</v>
      </c>
      <c r="I73" t="s">
        <v>3772</v>
      </c>
      <c r="J73" t="s">
        <v>3773</v>
      </c>
      <c r="K73" t="s">
        <v>3850</v>
      </c>
      <c r="L73" t="s">
        <v>3800</v>
      </c>
      <c r="M73" t="s">
        <v>3776</v>
      </c>
      <c r="N73" t="s">
        <v>3777</v>
      </c>
      <c r="O73" t="s">
        <v>5319</v>
      </c>
      <c r="P73" t="s">
        <v>5320</v>
      </c>
      <c r="Q73" t="s">
        <v>4002</v>
      </c>
      <c r="R73" t="s">
        <v>4008</v>
      </c>
      <c r="S73" t="s">
        <v>3883</v>
      </c>
      <c r="T73" t="s">
        <v>5307</v>
      </c>
      <c r="U73" t="s">
        <v>5308</v>
      </c>
      <c r="V73" t="s">
        <v>3966</v>
      </c>
      <c r="W73" t="s">
        <v>3782</v>
      </c>
      <c r="X73" t="s">
        <v>3890</v>
      </c>
      <c r="Y73" t="s">
        <v>3891</v>
      </c>
      <c r="Z73" t="s">
        <v>5155</v>
      </c>
      <c r="AA73" t="s">
        <v>5156</v>
      </c>
      <c r="AB73" t="s">
        <v>3897</v>
      </c>
      <c r="AC73" s="1" t="s">
        <v>3807</v>
      </c>
      <c r="AD73" s="6" t="s">
        <v>6426</v>
      </c>
    </row>
    <row r="74" spans="1:30" x14ac:dyDescent="0.25">
      <c r="A74" t="s">
        <v>5807</v>
      </c>
      <c r="B74" t="s">
        <v>4001</v>
      </c>
      <c r="C74" t="s">
        <v>6276</v>
      </c>
      <c r="D74" t="s">
        <v>3841</v>
      </c>
      <c r="E74" t="s">
        <v>3797</v>
      </c>
      <c r="F74" t="s">
        <v>6368</v>
      </c>
      <c r="G74" t="s">
        <v>4009</v>
      </c>
      <c r="H74" t="s">
        <v>4010</v>
      </c>
      <c r="I74" t="s">
        <v>3772</v>
      </c>
      <c r="J74" t="s">
        <v>3773</v>
      </c>
      <c r="K74" t="s">
        <v>3799</v>
      </c>
      <c r="L74" t="s">
        <v>3827</v>
      </c>
      <c r="M74" t="s">
        <v>3776</v>
      </c>
      <c r="N74" t="s">
        <v>3777</v>
      </c>
      <c r="O74" t="s">
        <v>5321</v>
      </c>
      <c r="P74" t="s">
        <v>5322</v>
      </c>
      <c r="Q74" t="s">
        <v>4011</v>
      </c>
      <c r="R74" t="s">
        <v>4012</v>
      </c>
      <c r="S74" t="s">
        <v>3780</v>
      </c>
      <c r="T74" t="s">
        <v>5266</v>
      </c>
      <c r="U74" t="s">
        <v>5267</v>
      </c>
      <c r="V74" t="s">
        <v>3845</v>
      </c>
      <c r="W74" t="s">
        <v>3782</v>
      </c>
      <c r="X74" t="s">
        <v>3804</v>
      </c>
      <c r="Y74" t="s">
        <v>3826</v>
      </c>
      <c r="Z74" t="s">
        <v>5147</v>
      </c>
      <c r="AA74" t="s">
        <v>5148</v>
      </c>
      <c r="AB74" t="s">
        <v>3831</v>
      </c>
      <c r="AC74" s="1" t="s">
        <v>3807</v>
      </c>
      <c r="AD74" s="6" t="s">
        <v>6428</v>
      </c>
    </row>
    <row r="75" spans="1:30" x14ac:dyDescent="0.25">
      <c r="A75" t="s">
        <v>5807</v>
      </c>
      <c r="B75" t="s">
        <v>4001</v>
      </c>
      <c r="C75" t="s">
        <v>4074</v>
      </c>
      <c r="D75" t="s">
        <v>3913</v>
      </c>
      <c r="E75" t="s">
        <v>3797</v>
      </c>
      <c r="F75" t="s">
        <v>6348</v>
      </c>
      <c r="G75" t="s">
        <v>4013</v>
      </c>
      <c r="H75" t="s">
        <v>4014</v>
      </c>
      <c r="I75" t="s">
        <v>3772</v>
      </c>
      <c r="J75" t="s">
        <v>3773</v>
      </c>
      <c r="K75" t="s">
        <v>3799</v>
      </c>
      <c r="L75" t="s">
        <v>3827</v>
      </c>
      <c r="M75" t="s">
        <v>3776</v>
      </c>
      <c r="N75" t="s">
        <v>3777</v>
      </c>
      <c r="O75" t="s">
        <v>5321</v>
      </c>
      <c r="P75" t="s">
        <v>5322</v>
      </c>
      <c r="Q75" t="s">
        <v>4011</v>
      </c>
      <c r="R75" t="s">
        <v>4015</v>
      </c>
      <c r="S75" t="s">
        <v>3780</v>
      </c>
      <c r="T75" t="s">
        <v>5268</v>
      </c>
      <c r="U75" t="s">
        <v>5269</v>
      </c>
      <c r="V75" t="s">
        <v>3849</v>
      </c>
      <c r="W75" t="s">
        <v>3782</v>
      </c>
      <c r="X75" t="s">
        <v>3804</v>
      </c>
      <c r="Y75" t="s">
        <v>3826</v>
      </c>
      <c r="Z75" t="s">
        <v>5149</v>
      </c>
      <c r="AA75" t="s">
        <v>5150</v>
      </c>
      <c r="AB75" t="s">
        <v>3831</v>
      </c>
      <c r="AC75" s="1" t="s">
        <v>3807</v>
      </c>
      <c r="AD75" s="6" t="s">
        <v>6430</v>
      </c>
    </row>
    <row r="76" spans="1:30" x14ac:dyDescent="0.25">
      <c r="A76" t="s">
        <v>5807</v>
      </c>
      <c r="B76" t="s">
        <v>4001</v>
      </c>
      <c r="C76" t="s">
        <v>4853</v>
      </c>
      <c r="D76" t="s">
        <v>3918</v>
      </c>
      <c r="E76" t="s">
        <v>3797</v>
      </c>
      <c r="F76" t="s">
        <v>6351</v>
      </c>
      <c r="G76" t="s">
        <v>4016</v>
      </c>
      <c r="H76" t="s">
        <v>4017</v>
      </c>
      <c r="I76" t="s">
        <v>3772</v>
      </c>
      <c r="J76" t="s">
        <v>3773</v>
      </c>
      <c r="K76" t="s">
        <v>3799</v>
      </c>
      <c r="L76" t="s">
        <v>3827</v>
      </c>
      <c r="M76" t="s">
        <v>3776</v>
      </c>
      <c r="N76" t="s">
        <v>3777</v>
      </c>
      <c r="O76" t="s">
        <v>5321</v>
      </c>
      <c r="P76" t="s">
        <v>5322</v>
      </c>
      <c r="Q76" t="s">
        <v>4011</v>
      </c>
      <c r="R76" t="s">
        <v>4018</v>
      </c>
      <c r="S76" t="s">
        <v>3780</v>
      </c>
      <c r="T76" t="s">
        <v>5292</v>
      </c>
      <c r="U76" t="s">
        <v>5293</v>
      </c>
      <c r="V76" t="s">
        <v>3923</v>
      </c>
      <c r="W76" t="s">
        <v>3782</v>
      </c>
      <c r="X76" t="s">
        <v>3890</v>
      </c>
      <c r="Y76" t="s">
        <v>3891</v>
      </c>
      <c r="Z76" t="s">
        <v>5151</v>
      </c>
      <c r="AA76" t="s">
        <v>5156</v>
      </c>
      <c r="AB76" t="s">
        <v>3831</v>
      </c>
      <c r="AC76" s="1" t="s">
        <v>3807</v>
      </c>
      <c r="AD76" s="6" t="s">
        <v>6432</v>
      </c>
    </row>
    <row r="77" spans="1:30" x14ac:dyDescent="0.25">
      <c r="A77" t="s">
        <v>5807</v>
      </c>
      <c r="B77" t="s">
        <v>4001</v>
      </c>
      <c r="C77" t="s">
        <v>4865</v>
      </c>
      <c r="D77" t="s">
        <v>3924</v>
      </c>
      <c r="E77" t="s">
        <v>3797</v>
      </c>
      <c r="F77" t="s">
        <v>6354</v>
      </c>
      <c r="G77" t="s">
        <v>4019</v>
      </c>
      <c r="H77" t="s">
        <v>4020</v>
      </c>
      <c r="I77" t="s">
        <v>3772</v>
      </c>
      <c r="J77" t="s">
        <v>3773</v>
      </c>
      <c r="K77" t="s">
        <v>3799</v>
      </c>
      <c r="L77" t="s">
        <v>3827</v>
      </c>
      <c r="M77" t="s">
        <v>3776</v>
      </c>
      <c r="N77" t="s">
        <v>3777</v>
      </c>
      <c r="O77" t="s">
        <v>5321</v>
      </c>
      <c r="P77" t="s">
        <v>5322</v>
      </c>
      <c r="Q77" t="s">
        <v>4011</v>
      </c>
      <c r="R77" t="s">
        <v>4021</v>
      </c>
      <c r="S77" t="s">
        <v>3780</v>
      </c>
      <c r="T77" t="s">
        <v>5292</v>
      </c>
      <c r="U77" t="s">
        <v>5293</v>
      </c>
      <c r="V77" t="s">
        <v>3923</v>
      </c>
      <c r="W77" t="s">
        <v>3782</v>
      </c>
      <c r="X77" t="s">
        <v>3890</v>
      </c>
      <c r="Y77" t="s">
        <v>3891</v>
      </c>
      <c r="Z77" t="s">
        <v>5151</v>
      </c>
      <c r="AA77" t="s">
        <v>5156</v>
      </c>
      <c r="AB77" t="s">
        <v>3831</v>
      </c>
      <c r="AC77" s="1" t="s">
        <v>3807</v>
      </c>
      <c r="AD77" s="6" t="s">
        <v>6434</v>
      </c>
    </row>
    <row r="78" spans="1:30" x14ac:dyDescent="0.25">
      <c r="A78" t="s">
        <v>5807</v>
      </c>
      <c r="B78" t="s">
        <v>4001</v>
      </c>
      <c r="C78" t="s">
        <v>4865</v>
      </c>
      <c r="D78" t="s">
        <v>3924</v>
      </c>
      <c r="E78" t="s">
        <v>3797</v>
      </c>
      <c r="F78" t="s">
        <v>6354</v>
      </c>
      <c r="G78" t="s">
        <v>4019</v>
      </c>
      <c r="H78" t="s">
        <v>4020</v>
      </c>
      <c r="I78" t="s">
        <v>3772</v>
      </c>
      <c r="J78" t="s">
        <v>3773</v>
      </c>
      <c r="K78" t="s">
        <v>3927</v>
      </c>
      <c r="L78" t="s">
        <v>3827</v>
      </c>
      <c r="M78" t="s">
        <v>3776</v>
      </c>
      <c r="N78" t="s">
        <v>3777</v>
      </c>
      <c r="O78" t="s">
        <v>5321</v>
      </c>
      <c r="P78" t="s">
        <v>5322</v>
      </c>
      <c r="Q78" t="s">
        <v>4011</v>
      </c>
      <c r="R78" t="s">
        <v>4021</v>
      </c>
      <c r="S78" t="s">
        <v>3780</v>
      </c>
      <c r="T78" t="s">
        <v>5292</v>
      </c>
      <c r="U78" t="s">
        <v>5293</v>
      </c>
      <c r="V78" t="s">
        <v>3928</v>
      </c>
      <c r="W78" t="s">
        <v>3782</v>
      </c>
      <c r="X78" t="s">
        <v>3890</v>
      </c>
      <c r="Y78" t="s">
        <v>3891</v>
      </c>
      <c r="Z78" t="s">
        <v>5151</v>
      </c>
      <c r="AA78" t="s">
        <v>5156</v>
      </c>
      <c r="AB78" t="s">
        <v>3831</v>
      </c>
      <c r="AC78" s="1" t="s">
        <v>3807</v>
      </c>
      <c r="AD78" s="6" t="s">
        <v>6436</v>
      </c>
    </row>
    <row r="79" spans="1:30" x14ac:dyDescent="0.25">
      <c r="A79" t="s">
        <v>5807</v>
      </c>
      <c r="B79" t="s">
        <v>4001</v>
      </c>
      <c r="C79" t="s">
        <v>6338</v>
      </c>
      <c r="D79" t="s">
        <v>3902</v>
      </c>
      <c r="E79" t="s">
        <v>3797</v>
      </c>
      <c r="F79" t="s">
        <v>4956</v>
      </c>
      <c r="G79" t="s">
        <v>4022</v>
      </c>
      <c r="H79" t="s">
        <v>4023</v>
      </c>
      <c r="I79" t="s">
        <v>3772</v>
      </c>
      <c r="J79" t="s">
        <v>3773</v>
      </c>
      <c r="K79" t="s">
        <v>3799</v>
      </c>
      <c r="L79" t="s">
        <v>3827</v>
      </c>
      <c r="M79" t="s">
        <v>3776</v>
      </c>
      <c r="N79" t="s">
        <v>3777</v>
      </c>
      <c r="O79" t="s">
        <v>5321</v>
      </c>
      <c r="P79" t="s">
        <v>5322</v>
      </c>
      <c r="Q79" t="s">
        <v>4011</v>
      </c>
      <c r="R79" t="s">
        <v>4024</v>
      </c>
      <c r="S79" t="s">
        <v>3780</v>
      </c>
      <c r="T79" t="s">
        <v>5298</v>
      </c>
      <c r="U79" t="s">
        <v>5297</v>
      </c>
      <c r="V79" t="s">
        <v>3932</v>
      </c>
      <c r="W79" t="s">
        <v>3782</v>
      </c>
      <c r="X79" t="s">
        <v>3890</v>
      </c>
      <c r="Y79" t="s">
        <v>3891</v>
      </c>
      <c r="Z79" t="s">
        <v>5151</v>
      </c>
      <c r="AA79" t="s">
        <v>5156</v>
      </c>
      <c r="AB79" t="s">
        <v>3831</v>
      </c>
      <c r="AC79" s="1" t="s">
        <v>3807</v>
      </c>
      <c r="AD79" s="6" t="s">
        <v>6438</v>
      </c>
    </row>
    <row r="80" spans="1:30" x14ac:dyDescent="0.25">
      <c r="A80" t="s">
        <v>5807</v>
      </c>
      <c r="B80" t="s">
        <v>4001</v>
      </c>
      <c r="C80" t="s">
        <v>6338</v>
      </c>
      <c r="D80" t="s">
        <v>3902</v>
      </c>
      <c r="E80" t="s">
        <v>3797</v>
      </c>
      <c r="F80" t="s">
        <v>4956</v>
      </c>
      <c r="G80" t="s">
        <v>4022</v>
      </c>
      <c r="H80" t="s">
        <v>4023</v>
      </c>
      <c r="I80" t="s">
        <v>3772</v>
      </c>
      <c r="J80" t="s">
        <v>3773</v>
      </c>
      <c r="K80" t="s">
        <v>3927</v>
      </c>
      <c r="L80" t="s">
        <v>3827</v>
      </c>
      <c r="M80" t="s">
        <v>3776</v>
      </c>
      <c r="N80" t="s">
        <v>3777</v>
      </c>
      <c r="O80" t="s">
        <v>5321</v>
      </c>
      <c r="P80" t="s">
        <v>5322</v>
      </c>
      <c r="Q80" t="s">
        <v>4011</v>
      </c>
      <c r="R80" t="s">
        <v>4024</v>
      </c>
      <c r="S80" t="s">
        <v>3780</v>
      </c>
      <c r="T80" t="s">
        <v>5298</v>
      </c>
      <c r="U80" t="s">
        <v>5297</v>
      </c>
      <c r="V80" t="s">
        <v>3933</v>
      </c>
      <c r="W80" t="s">
        <v>3782</v>
      </c>
      <c r="X80" t="s">
        <v>3890</v>
      </c>
      <c r="Y80" t="s">
        <v>3891</v>
      </c>
      <c r="Z80" t="s">
        <v>5151</v>
      </c>
      <c r="AA80" t="s">
        <v>5156</v>
      </c>
      <c r="AB80" t="s">
        <v>3831</v>
      </c>
      <c r="AC80" s="1" t="s">
        <v>3807</v>
      </c>
      <c r="AD80" s="6" t="s">
        <v>6440</v>
      </c>
    </row>
    <row r="81" spans="1:30" x14ac:dyDescent="0.25">
      <c r="A81" t="s">
        <v>5807</v>
      </c>
      <c r="B81" t="s">
        <v>4001</v>
      </c>
      <c r="C81" t="s">
        <v>6343</v>
      </c>
      <c r="D81" t="s">
        <v>3910</v>
      </c>
      <c r="E81" t="s">
        <v>3797</v>
      </c>
      <c r="F81" t="s">
        <v>5033</v>
      </c>
      <c r="G81" t="s">
        <v>4025</v>
      </c>
      <c r="H81" t="s">
        <v>4026</v>
      </c>
      <c r="I81" t="s">
        <v>3772</v>
      </c>
      <c r="J81" t="s">
        <v>3773</v>
      </c>
      <c r="K81" t="s">
        <v>3799</v>
      </c>
      <c r="L81" t="s">
        <v>3827</v>
      </c>
      <c r="M81" t="s">
        <v>3776</v>
      </c>
      <c r="N81" t="s">
        <v>3777</v>
      </c>
      <c r="O81" t="s">
        <v>5321</v>
      </c>
      <c r="P81" t="s">
        <v>5322</v>
      </c>
      <c r="Q81" t="s">
        <v>4011</v>
      </c>
      <c r="R81" t="s">
        <v>4027</v>
      </c>
      <c r="S81" t="s">
        <v>3780</v>
      </c>
      <c r="T81" t="s">
        <v>5298</v>
      </c>
      <c r="U81" t="s">
        <v>5297</v>
      </c>
      <c r="V81" t="s">
        <v>4028</v>
      </c>
      <c r="W81" t="s">
        <v>3782</v>
      </c>
      <c r="X81" t="s">
        <v>3890</v>
      </c>
      <c r="Y81" t="s">
        <v>3891</v>
      </c>
      <c r="Z81" t="s">
        <v>5151</v>
      </c>
      <c r="AA81" t="s">
        <v>5156</v>
      </c>
      <c r="AB81" t="s">
        <v>3831</v>
      </c>
      <c r="AC81" s="1" t="s">
        <v>3807</v>
      </c>
      <c r="AD81" s="6" t="s">
        <v>6442</v>
      </c>
    </row>
    <row r="82" spans="1:30" x14ac:dyDescent="0.25">
      <c r="A82" t="s">
        <v>5807</v>
      </c>
      <c r="B82" t="s">
        <v>4001</v>
      </c>
      <c r="C82" t="s">
        <v>6343</v>
      </c>
      <c r="D82" t="s">
        <v>3910</v>
      </c>
      <c r="E82" t="s">
        <v>3797</v>
      </c>
      <c r="F82" t="s">
        <v>5033</v>
      </c>
      <c r="G82" t="s">
        <v>4025</v>
      </c>
      <c r="H82" t="s">
        <v>4026</v>
      </c>
      <c r="I82" t="s">
        <v>3772</v>
      </c>
      <c r="J82" t="s">
        <v>3773</v>
      </c>
      <c r="K82" t="s">
        <v>3927</v>
      </c>
      <c r="L82" t="s">
        <v>3827</v>
      </c>
      <c r="M82" t="s">
        <v>3776</v>
      </c>
      <c r="N82" t="s">
        <v>3777</v>
      </c>
      <c r="O82" t="s">
        <v>5321</v>
      </c>
      <c r="P82" t="s">
        <v>5322</v>
      </c>
      <c r="Q82" t="s">
        <v>4011</v>
      </c>
      <c r="R82" t="s">
        <v>4027</v>
      </c>
      <c r="S82" t="s">
        <v>3780</v>
      </c>
      <c r="T82" t="s">
        <v>5298</v>
      </c>
      <c r="U82" t="s">
        <v>5297</v>
      </c>
      <c r="V82" t="s">
        <v>4029</v>
      </c>
      <c r="W82" t="s">
        <v>3782</v>
      </c>
      <c r="X82" t="s">
        <v>3890</v>
      </c>
      <c r="Y82" t="s">
        <v>3891</v>
      </c>
      <c r="Z82" t="s">
        <v>5151</v>
      </c>
      <c r="AA82" t="s">
        <v>5156</v>
      </c>
      <c r="AB82" t="s">
        <v>3831</v>
      </c>
      <c r="AC82" s="1" t="s">
        <v>3807</v>
      </c>
      <c r="AD82" s="6" t="s">
        <v>6444</v>
      </c>
    </row>
    <row r="83" spans="1:30" x14ac:dyDescent="0.25">
      <c r="A83" t="s">
        <v>5807</v>
      </c>
      <c r="B83" t="s">
        <v>4001</v>
      </c>
      <c r="C83" t="s">
        <v>3813</v>
      </c>
      <c r="D83" t="s">
        <v>3814</v>
      </c>
      <c r="E83" t="s">
        <v>3797</v>
      </c>
      <c r="F83" t="s">
        <v>4484</v>
      </c>
      <c r="G83" t="s">
        <v>4586</v>
      </c>
      <c r="H83" t="s">
        <v>6446</v>
      </c>
      <c r="I83" t="s">
        <v>3772</v>
      </c>
      <c r="J83" t="s">
        <v>3773</v>
      </c>
      <c r="K83" t="s">
        <v>3850</v>
      </c>
      <c r="L83" t="s">
        <v>3800</v>
      </c>
      <c r="M83" t="s">
        <v>3776</v>
      </c>
      <c r="N83" t="s">
        <v>3777</v>
      </c>
      <c r="O83" t="s">
        <v>5323</v>
      </c>
      <c r="P83" t="s">
        <v>5324</v>
      </c>
      <c r="Q83" t="s">
        <v>4030</v>
      </c>
      <c r="R83" t="s">
        <v>4031</v>
      </c>
      <c r="S83" t="s">
        <v>3964</v>
      </c>
      <c r="T83" t="s">
        <v>5325</v>
      </c>
      <c r="U83" t="s">
        <v>5326</v>
      </c>
      <c r="V83" t="s">
        <v>4032</v>
      </c>
      <c r="W83" t="s">
        <v>3782</v>
      </c>
      <c r="X83" t="s">
        <v>3804</v>
      </c>
      <c r="Y83" t="s">
        <v>3805</v>
      </c>
      <c r="Z83" t="s">
        <v>5149</v>
      </c>
      <c r="AA83" t="s">
        <v>5148</v>
      </c>
      <c r="AB83" t="s">
        <v>3831</v>
      </c>
      <c r="AC83" s="1" t="s">
        <v>3807</v>
      </c>
      <c r="AD83" s="6" t="s">
        <v>6447</v>
      </c>
    </row>
    <row r="84" spans="1:30" x14ac:dyDescent="0.25">
      <c r="A84" t="s">
        <v>5807</v>
      </c>
      <c r="B84" t="s">
        <v>4001</v>
      </c>
      <c r="C84" t="s">
        <v>6365</v>
      </c>
      <c r="D84" t="s">
        <v>3938</v>
      </c>
      <c r="E84" t="s">
        <v>3797</v>
      </c>
      <c r="F84" t="s">
        <v>3864</v>
      </c>
      <c r="G84" t="s">
        <v>6449</v>
      </c>
      <c r="H84" t="s">
        <v>6450</v>
      </c>
      <c r="I84" t="s">
        <v>3772</v>
      </c>
      <c r="J84" t="s">
        <v>3773</v>
      </c>
      <c r="K84" t="s">
        <v>3850</v>
      </c>
      <c r="L84" t="s">
        <v>3800</v>
      </c>
      <c r="M84" t="s">
        <v>3776</v>
      </c>
      <c r="N84" t="s">
        <v>3777</v>
      </c>
      <c r="O84" t="s">
        <v>5323</v>
      </c>
      <c r="P84" t="s">
        <v>5324</v>
      </c>
      <c r="Q84" t="s">
        <v>4030</v>
      </c>
      <c r="R84" t="s">
        <v>4031</v>
      </c>
      <c r="S84" t="s">
        <v>3964</v>
      </c>
      <c r="T84" t="s">
        <v>5325</v>
      </c>
      <c r="U84" t="s">
        <v>5326</v>
      </c>
      <c r="V84" t="s">
        <v>4032</v>
      </c>
      <c r="W84" t="s">
        <v>3782</v>
      </c>
      <c r="X84" t="s">
        <v>3804</v>
      </c>
      <c r="Y84" t="s">
        <v>3826</v>
      </c>
      <c r="Z84" t="s">
        <v>5149</v>
      </c>
      <c r="AA84" t="s">
        <v>5148</v>
      </c>
      <c r="AB84" t="s">
        <v>3831</v>
      </c>
      <c r="AC84" s="1" t="s">
        <v>3807</v>
      </c>
      <c r="AD84" s="6" t="s">
        <v>6451</v>
      </c>
    </row>
    <row r="85" spans="1:30" x14ac:dyDescent="0.25">
      <c r="A85" t="s">
        <v>5807</v>
      </c>
      <c r="B85" t="s">
        <v>4001</v>
      </c>
      <c r="C85" t="s">
        <v>6276</v>
      </c>
      <c r="D85" t="s">
        <v>3841</v>
      </c>
      <c r="E85" t="s">
        <v>3797</v>
      </c>
      <c r="F85" t="s">
        <v>6368</v>
      </c>
      <c r="G85" t="s">
        <v>6453</v>
      </c>
      <c r="H85" t="s">
        <v>4010</v>
      </c>
      <c r="I85" t="s">
        <v>3772</v>
      </c>
      <c r="J85" t="s">
        <v>3773</v>
      </c>
      <c r="K85" t="s">
        <v>3850</v>
      </c>
      <c r="L85" t="s">
        <v>3800</v>
      </c>
      <c r="M85" t="s">
        <v>3776</v>
      </c>
      <c r="N85" t="s">
        <v>3777</v>
      </c>
      <c r="O85" t="s">
        <v>5323</v>
      </c>
      <c r="P85" t="s">
        <v>5324</v>
      </c>
      <c r="Q85" t="s">
        <v>4030</v>
      </c>
      <c r="R85" t="s">
        <v>4033</v>
      </c>
      <c r="S85" t="s">
        <v>3964</v>
      </c>
      <c r="T85" t="s">
        <v>5268</v>
      </c>
      <c r="U85" t="s">
        <v>5269</v>
      </c>
      <c r="V85" t="s">
        <v>3861</v>
      </c>
      <c r="W85" t="s">
        <v>3782</v>
      </c>
      <c r="X85" t="s">
        <v>3804</v>
      </c>
      <c r="Y85" t="s">
        <v>3826</v>
      </c>
      <c r="Z85" t="s">
        <v>5149</v>
      </c>
      <c r="AA85" t="s">
        <v>5148</v>
      </c>
      <c r="AB85" t="s">
        <v>3831</v>
      </c>
      <c r="AC85" s="1" t="s">
        <v>3807</v>
      </c>
      <c r="AD85" s="6" t="s">
        <v>6454</v>
      </c>
    </row>
    <row r="86" spans="1:30" x14ac:dyDescent="0.25">
      <c r="A86" t="s">
        <v>5807</v>
      </c>
      <c r="B86" t="s">
        <v>4001</v>
      </c>
      <c r="C86" t="s">
        <v>4074</v>
      </c>
      <c r="D86" t="s">
        <v>3913</v>
      </c>
      <c r="E86" t="s">
        <v>3797</v>
      </c>
      <c r="F86" t="s">
        <v>4075</v>
      </c>
      <c r="G86" t="s">
        <v>4076</v>
      </c>
      <c r="H86" t="s">
        <v>4077</v>
      </c>
      <c r="I86" t="s">
        <v>3772</v>
      </c>
      <c r="J86" t="s">
        <v>3773</v>
      </c>
      <c r="K86" t="s">
        <v>3850</v>
      </c>
      <c r="L86" t="s">
        <v>3800</v>
      </c>
      <c r="M86" t="s">
        <v>3776</v>
      </c>
      <c r="N86" t="s">
        <v>3777</v>
      </c>
      <c r="O86" t="s">
        <v>5323</v>
      </c>
      <c r="P86" t="s">
        <v>5324</v>
      </c>
      <c r="Q86" t="s">
        <v>4030</v>
      </c>
      <c r="R86" t="s">
        <v>4034</v>
      </c>
      <c r="S86" t="s">
        <v>3964</v>
      </c>
      <c r="T86" t="s">
        <v>5276</v>
      </c>
      <c r="U86" t="s">
        <v>5277</v>
      </c>
      <c r="V86" t="s">
        <v>4035</v>
      </c>
      <c r="W86" t="s">
        <v>3782</v>
      </c>
      <c r="X86" t="s">
        <v>3804</v>
      </c>
      <c r="Y86" t="s">
        <v>3891</v>
      </c>
      <c r="Z86" t="s">
        <v>5151</v>
      </c>
      <c r="AA86" t="s">
        <v>5150</v>
      </c>
      <c r="AB86" t="s">
        <v>3831</v>
      </c>
      <c r="AC86" s="1" t="s">
        <v>3807</v>
      </c>
      <c r="AD86" s="6" t="s">
        <v>6456</v>
      </c>
    </row>
    <row r="87" spans="1:30" x14ac:dyDescent="0.25">
      <c r="A87" t="s">
        <v>5807</v>
      </c>
      <c r="B87" t="s">
        <v>4001</v>
      </c>
      <c r="C87" t="s">
        <v>3813</v>
      </c>
      <c r="D87" t="s">
        <v>3814</v>
      </c>
      <c r="E87" t="s">
        <v>3797</v>
      </c>
      <c r="F87" t="s">
        <v>4484</v>
      </c>
      <c r="G87" t="s">
        <v>3991</v>
      </c>
      <c r="H87" t="s">
        <v>3992</v>
      </c>
      <c r="I87" t="s">
        <v>3772</v>
      </c>
      <c r="J87" t="s">
        <v>3773</v>
      </c>
      <c r="K87" t="s">
        <v>3799</v>
      </c>
      <c r="L87" t="s">
        <v>3827</v>
      </c>
      <c r="M87" t="s">
        <v>3776</v>
      </c>
      <c r="N87" t="s">
        <v>3777</v>
      </c>
      <c r="O87" t="s">
        <v>5327</v>
      </c>
      <c r="P87" t="s">
        <v>5328</v>
      </c>
      <c r="Q87" t="s">
        <v>3778</v>
      </c>
      <c r="R87" t="s">
        <v>4031</v>
      </c>
      <c r="S87" t="s">
        <v>3780</v>
      </c>
      <c r="T87" t="s">
        <v>5262</v>
      </c>
      <c r="U87" t="s">
        <v>5272</v>
      </c>
      <c r="V87" t="s">
        <v>3872</v>
      </c>
      <c r="W87" t="s">
        <v>3782</v>
      </c>
      <c r="X87" t="s">
        <v>3804</v>
      </c>
      <c r="Y87" t="s">
        <v>3805</v>
      </c>
      <c r="Z87" t="s">
        <v>5153</v>
      </c>
      <c r="AA87" t="s">
        <v>5148</v>
      </c>
      <c r="AB87" t="s">
        <v>3831</v>
      </c>
      <c r="AC87" s="1" t="s">
        <v>3807</v>
      </c>
      <c r="AD87" s="6" t="s">
        <v>6458</v>
      </c>
    </row>
    <row r="88" spans="1:30" x14ac:dyDescent="0.25">
      <c r="A88" t="s">
        <v>5807</v>
      </c>
      <c r="B88" t="s">
        <v>4001</v>
      </c>
      <c r="C88" t="s">
        <v>6365</v>
      </c>
      <c r="D88" t="s">
        <v>3938</v>
      </c>
      <c r="E88" t="s">
        <v>3797</v>
      </c>
      <c r="F88" t="s">
        <v>3864</v>
      </c>
      <c r="G88" t="s">
        <v>3994</v>
      </c>
      <c r="H88" t="s">
        <v>3995</v>
      </c>
      <c r="I88" t="s">
        <v>3772</v>
      </c>
      <c r="J88" t="s">
        <v>3773</v>
      </c>
      <c r="K88" t="s">
        <v>3799</v>
      </c>
      <c r="L88" t="s">
        <v>3827</v>
      </c>
      <c r="M88" t="s">
        <v>3776</v>
      </c>
      <c r="N88" t="s">
        <v>3777</v>
      </c>
      <c r="O88" t="s">
        <v>5327</v>
      </c>
      <c r="P88" t="s">
        <v>5328</v>
      </c>
      <c r="Q88" t="s">
        <v>3778</v>
      </c>
      <c r="R88" t="s">
        <v>4036</v>
      </c>
      <c r="S88" t="s">
        <v>3780</v>
      </c>
      <c r="T88" t="s">
        <v>5266</v>
      </c>
      <c r="U88" t="s">
        <v>5267</v>
      </c>
      <c r="V88" t="s">
        <v>3997</v>
      </c>
      <c r="W88" t="s">
        <v>3782</v>
      </c>
      <c r="X88" t="s">
        <v>3804</v>
      </c>
      <c r="Y88" t="s">
        <v>3805</v>
      </c>
      <c r="Z88" t="s">
        <v>5147</v>
      </c>
      <c r="AA88" t="s">
        <v>5148</v>
      </c>
      <c r="AB88" t="s">
        <v>3831</v>
      </c>
      <c r="AC88" s="1" t="s">
        <v>3807</v>
      </c>
      <c r="AD88" s="6" t="s">
        <v>6460</v>
      </c>
    </row>
    <row r="89" spans="1:30" x14ac:dyDescent="0.25">
      <c r="A89" t="s">
        <v>5807</v>
      </c>
      <c r="B89" t="s">
        <v>4001</v>
      </c>
      <c r="C89" t="s">
        <v>6276</v>
      </c>
      <c r="D89" t="s">
        <v>3841</v>
      </c>
      <c r="E89" t="s">
        <v>3797</v>
      </c>
      <c r="F89" t="s">
        <v>6368</v>
      </c>
      <c r="G89" t="s">
        <v>4037</v>
      </c>
      <c r="H89" t="s">
        <v>4038</v>
      </c>
      <c r="I89" t="s">
        <v>3772</v>
      </c>
      <c r="J89" t="s">
        <v>3773</v>
      </c>
      <c r="K89" t="s">
        <v>3799</v>
      </c>
      <c r="L89" t="s">
        <v>3827</v>
      </c>
      <c r="M89" t="s">
        <v>3776</v>
      </c>
      <c r="N89" t="s">
        <v>3777</v>
      </c>
      <c r="O89" t="s">
        <v>5327</v>
      </c>
      <c r="P89" t="s">
        <v>5328</v>
      </c>
      <c r="Q89" t="s">
        <v>3778</v>
      </c>
      <c r="R89" t="s">
        <v>4033</v>
      </c>
      <c r="S89" t="s">
        <v>3780</v>
      </c>
      <c r="T89" t="s">
        <v>5266</v>
      </c>
      <c r="U89" t="s">
        <v>5267</v>
      </c>
      <c r="V89" t="s">
        <v>3845</v>
      </c>
      <c r="W89" t="s">
        <v>3782</v>
      </c>
      <c r="X89" t="s">
        <v>3804</v>
      </c>
      <c r="Y89" t="s">
        <v>3826</v>
      </c>
      <c r="Z89" t="s">
        <v>5147</v>
      </c>
      <c r="AA89" t="s">
        <v>5148</v>
      </c>
      <c r="AB89" t="s">
        <v>3831</v>
      </c>
      <c r="AC89" s="1" t="s">
        <v>3807</v>
      </c>
      <c r="AD89" s="6" t="s">
        <v>6462</v>
      </c>
    </row>
    <row r="90" spans="1:30" x14ac:dyDescent="0.25">
      <c r="A90" t="s">
        <v>5807</v>
      </c>
      <c r="B90" t="s">
        <v>4001</v>
      </c>
      <c r="C90" t="s">
        <v>4074</v>
      </c>
      <c r="D90" t="s">
        <v>3913</v>
      </c>
      <c r="E90" t="s">
        <v>3797</v>
      </c>
      <c r="F90" t="s">
        <v>6348</v>
      </c>
      <c r="G90" t="s">
        <v>4039</v>
      </c>
      <c r="H90" t="s">
        <v>4040</v>
      </c>
      <c r="I90" t="s">
        <v>3772</v>
      </c>
      <c r="J90" t="s">
        <v>3773</v>
      </c>
      <c r="K90" t="s">
        <v>3799</v>
      </c>
      <c r="L90" t="s">
        <v>3827</v>
      </c>
      <c r="M90" t="s">
        <v>3776</v>
      </c>
      <c r="N90" t="s">
        <v>3777</v>
      </c>
      <c r="O90" t="s">
        <v>5327</v>
      </c>
      <c r="P90" t="s">
        <v>5328</v>
      </c>
      <c r="Q90" t="s">
        <v>3778</v>
      </c>
      <c r="R90" t="s">
        <v>4034</v>
      </c>
      <c r="S90" t="s">
        <v>3780</v>
      </c>
      <c r="T90" t="s">
        <v>5268</v>
      </c>
      <c r="U90" t="s">
        <v>5269</v>
      </c>
      <c r="V90" t="s">
        <v>3849</v>
      </c>
      <c r="W90" t="s">
        <v>3782</v>
      </c>
      <c r="X90" t="s">
        <v>3804</v>
      </c>
      <c r="Y90" t="s">
        <v>3826</v>
      </c>
      <c r="Z90" t="s">
        <v>5149</v>
      </c>
      <c r="AA90" t="s">
        <v>5150</v>
      </c>
      <c r="AB90" t="s">
        <v>3831</v>
      </c>
      <c r="AC90" s="1" t="s">
        <v>3807</v>
      </c>
      <c r="AD90" s="6" t="s">
        <v>6464</v>
      </c>
    </row>
    <row r="91" spans="1:30" x14ac:dyDescent="0.25">
      <c r="A91" t="s">
        <v>5807</v>
      </c>
      <c r="B91" t="s">
        <v>4041</v>
      </c>
      <c r="C91" t="s">
        <v>3808</v>
      </c>
      <c r="D91" t="s">
        <v>3809</v>
      </c>
      <c r="E91" t="s">
        <v>3797</v>
      </c>
      <c r="F91" t="s">
        <v>3815</v>
      </c>
      <c r="G91" t="s">
        <v>4042</v>
      </c>
      <c r="H91" t="s">
        <v>4043</v>
      </c>
      <c r="I91" t="s">
        <v>3772</v>
      </c>
      <c r="J91" t="s">
        <v>3773</v>
      </c>
      <c r="K91" t="s">
        <v>3799</v>
      </c>
      <c r="L91" t="s">
        <v>3827</v>
      </c>
      <c r="M91" t="s">
        <v>3776</v>
      </c>
      <c r="N91" t="s">
        <v>3777</v>
      </c>
      <c r="O91" t="s">
        <v>5329</v>
      </c>
      <c r="P91" t="s">
        <v>5330</v>
      </c>
      <c r="Q91" t="s">
        <v>3881</v>
      </c>
      <c r="R91" t="s">
        <v>4044</v>
      </c>
      <c r="S91" t="s">
        <v>3780</v>
      </c>
      <c r="T91" t="s">
        <v>5266</v>
      </c>
      <c r="U91" t="s">
        <v>5267</v>
      </c>
      <c r="V91" t="s">
        <v>3858</v>
      </c>
      <c r="W91" t="s">
        <v>3782</v>
      </c>
      <c r="X91" t="s">
        <v>3804</v>
      </c>
      <c r="Y91" t="s">
        <v>3805</v>
      </c>
      <c r="Z91" t="s">
        <v>5147</v>
      </c>
      <c r="AA91" t="s">
        <v>5148</v>
      </c>
      <c r="AB91" t="s">
        <v>3831</v>
      </c>
      <c r="AC91" s="1" t="s">
        <v>3807</v>
      </c>
      <c r="AD91" s="6" t="s">
        <v>6466</v>
      </c>
    </row>
    <row r="92" spans="1:30" x14ac:dyDescent="0.25">
      <c r="A92" t="s">
        <v>5807</v>
      </c>
      <c r="B92" t="s">
        <v>4041</v>
      </c>
      <c r="C92" t="s">
        <v>3813</v>
      </c>
      <c r="D92" t="s">
        <v>3814</v>
      </c>
      <c r="E92" t="s">
        <v>3797</v>
      </c>
      <c r="F92" t="s">
        <v>6468</v>
      </c>
      <c r="G92" t="s">
        <v>4045</v>
      </c>
      <c r="H92" t="s">
        <v>4046</v>
      </c>
      <c r="I92" t="s">
        <v>3772</v>
      </c>
      <c r="J92" t="s">
        <v>3773</v>
      </c>
      <c r="K92" t="s">
        <v>3799</v>
      </c>
      <c r="L92" t="s">
        <v>3827</v>
      </c>
      <c r="M92" t="s">
        <v>3776</v>
      </c>
      <c r="N92" t="s">
        <v>3777</v>
      </c>
      <c r="O92" t="s">
        <v>5329</v>
      </c>
      <c r="P92" t="s">
        <v>5330</v>
      </c>
      <c r="Q92" t="s">
        <v>3881</v>
      </c>
      <c r="R92" t="s">
        <v>4044</v>
      </c>
      <c r="S92" t="s">
        <v>3780</v>
      </c>
      <c r="T92" t="s">
        <v>5266</v>
      </c>
      <c r="U92" t="s">
        <v>5267</v>
      </c>
      <c r="V92" t="s">
        <v>3858</v>
      </c>
      <c r="W92" t="s">
        <v>3782</v>
      </c>
      <c r="X92" t="s">
        <v>3804</v>
      </c>
      <c r="Y92" t="s">
        <v>3805</v>
      </c>
      <c r="Z92" t="s">
        <v>5147</v>
      </c>
      <c r="AA92" t="s">
        <v>5148</v>
      </c>
      <c r="AB92" t="s">
        <v>3831</v>
      </c>
      <c r="AC92" s="1" t="s">
        <v>3807</v>
      </c>
      <c r="AD92" s="6" t="s">
        <v>6469</v>
      </c>
    </row>
    <row r="93" spans="1:30" x14ac:dyDescent="0.25">
      <c r="A93" t="s">
        <v>5807</v>
      </c>
      <c r="B93" t="s">
        <v>4041</v>
      </c>
      <c r="C93" t="s">
        <v>6471</v>
      </c>
      <c r="D93" t="s">
        <v>4047</v>
      </c>
      <c r="E93" t="s">
        <v>3797</v>
      </c>
      <c r="F93" t="s">
        <v>5045</v>
      </c>
      <c r="G93" t="s">
        <v>4048</v>
      </c>
      <c r="H93" t="s">
        <v>4049</v>
      </c>
      <c r="I93" t="s">
        <v>3772</v>
      </c>
      <c r="J93" t="s">
        <v>3773</v>
      </c>
      <c r="K93" t="s">
        <v>3799</v>
      </c>
      <c r="L93" t="s">
        <v>3827</v>
      </c>
      <c r="M93" t="s">
        <v>3776</v>
      </c>
      <c r="N93" t="s">
        <v>3777</v>
      </c>
      <c r="O93" t="s">
        <v>5329</v>
      </c>
      <c r="P93" t="s">
        <v>5330</v>
      </c>
      <c r="Q93" t="s">
        <v>3881</v>
      </c>
      <c r="R93" t="s">
        <v>4050</v>
      </c>
      <c r="S93" t="s">
        <v>3780</v>
      </c>
      <c r="T93" t="s">
        <v>5268</v>
      </c>
      <c r="U93" t="s">
        <v>5269</v>
      </c>
      <c r="V93" t="s">
        <v>3849</v>
      </c>
      <c r="W93" t="s">
        <v>3782</v>
      </c>
      <c r="X93" t="s">
        <v>3804</v>
      </c>
      <c r="Y93" t="s">
        <v>3805</v>
      </c>
      <c r="Z93" t="s">
        <v>5147</v>
      </c>
      <c r="AA93" t="s">
        <v>5148</v>
      </c>
      <c r="AB93" t="s">
        <v>3831</v>
      </c>
      <c r="AC93" s="1" t="s">
        <v>3807</v>
      </c>
      <c r="AD93" s="6" t="s">
        <v>6472</v>
      </c>
    </row>
    <row r="94" spans="1:30" x14ac:dyDescent="0.25">
      <c r="A94" t="s">
        <v>5807</v>
      </c>
      <c r="B94" t="s">
        <v>4041</v>
      </c>
      <c r="C94" t="s">
        <v>6276</v>
      </c>
      <c r="D94" t="s">
        <v>3841</v>
      </c>
      <c r="E94" t="s">
        <v>3797</v>
      </c>
      <c r="F94" t="s">
        <v>6368</v>
      </c>
      <c r="G94" t="s">
        <v>3998</v>
      </c>
      <c r="H94" t="s">
        <v>3880</v>
      </c>
      <c r="I94" t="s">
        <v>3772</v>
      </c>
      <c r="J94" t="s">
        <v>3773</v>
      </c>
      <c r="K94" t="s">
        <v>3799</v>
      </c>
      <c r="L94" t="s">
        <v>3827</v>
      </c>
      <c r="M94" t="s">
        <v>3776</v>
      </c>
      <c r="N94" t="s">
        <v>3777</v>
      </c>
      <c r="O94" t="s">
        <v>5331</v>
      </c>
      <c r="P94" t="s">
        <v>5332</v>
      </c>
      <c r="Q94" t="s">
        <v>4051</v>
      </c>
      <c r="R94" t="s">
        <v>4052</v>
      </c>
      <c r="S94" t="s">
        <v>3780</v>
      </c>
      <c r="T94" t="s">
        <v>5266</v>
      </c>
      <c r="U94" t="s">
        <v>5267</v>
      </c>
      <c r="V94" t="s">
        <v>3845</v>
      </c>
      <c r="W94" t="s">
        <v>3782</v>
      </c>
      <c r="X94" t="s">
        <v>3804</v>
      </c>
      <c r="Y94" t="s">
        <v>3826</v>
      </c>
      <c r="Z94" t="s">
        <v>5147</v>
      </c>
      <c r="AA94" t="s">
        <v>5148</v>
      </c>
      <c r="AB94" t="s">
        <v>3831</v>
      </c>
      <c r="AC94" s="1" t="s">
        <v>3807</v>
      </c>
      <c r="AD94" s="6" t="s">
        <v>6474</v>
      </c>
    </row>
    <row r="95" spans="1:30" x14ac:dyDescent="0.25">
      <c r="A95" t="s">
        <v>5807</v>
      </c>
      <c r="B95" t="s">
        <v>4041</v>
      </c>
      <c r="C95" t="s">
        <v>4074</v>
      </c>
      <c r="D95" t="s">
        <v>3913</v>
      </c>
      <c r="E95" t="s">
        <v>3797</v>
      </c>
      <c r="F95" t="s">
        <v>6348</v>
      </c>
      <c r="G95" t="s">
        <v>3914</v>
      </c>
      <c r="H95" t="s">
        <v>3915</v>
      </c>
      <c r="I95" t="s">
        <v>3772</v>
      </c>
      <c r="J95" t="s">
        <v>3773</v>
      </c>
      <c r="K95" t="s">
        <v>3799</v>
      </c>
      <c r="L95" t="s">
        <v>3827</v>
      </c>
      <c r="M95" t="s">
        <v>3776</v>
      </c>
      <c r="N95" t="s">
        <v>3777</v>
      </c>
      <c r="O95" t="s">
        <v>5333</v>
      </c>
      <c r="P95" t="s">
        <v>5334</v>
      </c>
      <c r="Q95" t="s">
        <v>4053</v>
      </c>
      <c r="R95" t="s">
        <v>4054</v>
      </c>
      <c r="S95" t="s">
        <v>3780</v>
      </c>
      <c r="T95" t="s">
        <v>5268</v>
      </c>
      <c r="U95" t="s">
        <v>5269</v>
      </c>
      <c r="V95" t="s">
        <v>3849</v>
      </c>
      <c r="W95" t="s">
        <v>3782</v>
      </c>
      <c r="X95" t="s">
        <v>3804</v>
      </c>
      <c r="Y95" t="s">
        <v>3826</v>
      </c>
      <c r="Z95" t="s">
        <v>5149</v>
      </c>
      <c r="AA95" t="s">
        <v>5150</v>
      </c>
      <c r="AB95" t="s">
        <v>3831</v>
      </c>
      <c r="AC95" s="1" t="s">
        <v>3807</v>
      </c>
      <c r="AD95" s="6" t="s">
        <v>6476</v>
      </c>
    </row>
    <row r="96" spans="1:30" x14ac:dyDescent="0.25">
      <c r="A96" t="s">
        <v>5807</v>
      </c>
      <c r="B96" t="s">
        <v>4041</v>
      </c>
      <c r="C96" t="s">
        <v>4853</v>
      </c>
      <c r="D96" t="s">
        <v>3918</v>
      </c>
      <c r="E96" t="s">
        <v>3797</v>
      </c>
      <c r="F96" t="s">
        <v>6351</v>
      </c>
      <c r="G96" t="s">
        <v>3919</v>
      </c>
      <c r="H96" t="s">
        <v>4055</v>
      </c>
      <c r="I96" t="s">
        <v>3772</v>
      </c>
      <c r="J96" t="s">
        <v>3773</v>
      </c>
      <c r="K96" t="s">
        <v>3799</v>
      </c>
      <c r="L96" t="s">
        <v>3827</v>
      </c>
      <c r="M96" t="s">
        <v>3776</v>
      </c>
      <c r="N96" t="s">
        <v>3777</v>
      </c>
      <c r="O96" t="s">
        <v>5333</v>
      </c>
      <c r="P96" t="s">
        <v>5334</v>
      </c>
      <c r="Q96" t="s">
        <v>4053</v>
      </c>
      <c r="R96" t="s">
        <v>4056</v>
      </c>
      <c r="S96" t="s">
        <v>3780</v>
      </c>
      <c r="T96" t="s">
        <v>5292</v>
      </c>
      <c r="U96" t="s">
        <v>5293</v>
      </c>
      <c r="V96" t="s">
        <v>3923</v>
      </c>
      <c r="W96" t="s">
        <v>3782</v>
      </c>
      <c r="X96" t="s">
        <v>3890</v>
      </c>
      <c r="Y96" t="s">
        <v>3891</v>
      </c>
      <c r="Z96" t="s">
        <v>5151</v>
      </c>
      <c r="AA96" t="s">
        <v>5156</v>
      </c>
      <c r="AB96" t="s">
        <v>3831</v>
      </c>
      <c r="AC96" s="1" t="s">
        <v>3807</v>
      </c>
      <c r="AD96" s="6" t="s">
        <v>6478</v>
      </c>
    </row>
    <row r="97" spans="1:30" x14ac:dyDescent="0.25">
      <c r="A97" t="s">
        <v>5807</v>
      </c>
      <c r="B97" t="s">
        <v>4041</v>
      </c>
      <c r="C97" t="s">
        <v>4865</v>
      </c>
      <c r="D97" t="s">
        <v>3924</v>
      </c>
      <c r="E97" t="s">
        <v>3797</v>
      </c>
      <c r="F97" t="s">
        <v>6354</v>
      </c>
      <c r="G97" t="s">
        <v>3925</v>
      </c>
      <c r="H97" t="s">
        <v>3926</v>
      </c>
      <c r="I97" t="s">
        <v>3772</v>
      </c>
      <c r="J97" t="s">
        <v>3773</v>
      </c>
      <c r="K97" t="s">
        <v>3799</v>
      </c>
      <c r="L97" t="s">
        <v>3827</v>
      </c>
      <c r="M97" t="s">
        <v>3776</v>
      </c>
      <c r="N97" t="s">
        <v>3777</v>
      </c>
      <c r="O97" t="s">
        <v>5335</v>
      </c>
      <c r="P97" t="s">
        <v>5336</v>
      </c>
      <c r="Q97" t="s">
        <v>4057</v>
      </c>
      <c r="R97" t="s">
        <v>4058</v>
      </c>
      <c r="S97" t="s">
        <v>3780</v>
      </c>
      <c r="T97" t="s">
        <v>5292</v>
      </c>
      <c r="U97" t="s">
        <v>5293</v>
      </c>
      <c r="V97" t="s">
        <v>3923</v>
      </c>
      <c r="W97" t="s">
        <v>3782</v>
      </c>
      <c r="X97" t="s">
        <v>3890</v>
      </c>
      <c r="Y97" t="s">
        <v>3891</v>
      </c>
      <c r="Z97" t="s">
        <v>5151</v>
      </c>
      <c r="AA97" t="s">
        <v>5156</v>
      </c>
      <c r="AB97" t="s">
        <v>3831</v>
      </c>
      <c r="AC97" s="1" t="s">
        <v>3807</v>
      </c>
      <c r="AD97" s="6" t="s">
        <v>6480</v>
      </c>
    </row>
    <row r="98" spans="1:30" x14ac:dyDescent="0.25">
      <c r="A98" t="s">
        <v>5807</v>
      </c>
      <c r="B98" t="s">
        <v>4041</v>
      </c>
      <c r="C98" t="s">
        <v>4865</v>
      </c>
      <c r="D98" t="s">
        <v>3924</v>
      </c>
      <c r="E98" t="s">
        <v>3797</v>
      </c>
      <c r="F98" t="s">
        <v>6354</v>
      </c>
      <c r="G98" t="s">
        <v>3925</v>
      </c>
      <c r="H98" t="s">
        <v>3926</v>
      </c>
      <c r="I98" t="s">
        <v>3772</v>
      </c>
      <c r="J98" t="s">
        <v>3773</v>
      </c>
      <c r="K98" t="s">
        <v>3927</v>
      </c>
      <c r="L98" t="s">
        <v>3827</v>
      </c>
      <c r="M98" t="s">
        <v>3776</v>
      </c>
      <c r="N98" t="s">
        <v>3777</v>
      </c>
      <c r="O98" t="s">
        <v>5335</v>
      </c>
      <c r="P98" t="s">
        <v>5336</v>
      </c>
      <c r="Q98" t="s">
        <v>4057</v>
      </c>
      <c r="R98" t="s">
        <v>4058</v>
      </c>
      <c r="S98" t="s">
        <v>3780</v>
      </c>
      <c r="T98" t="s">
        <v>5292</v>
      </c>
      <c r="U98" t="s">
        <v>5293</v>
      </c>
      <c r="V98" t="s">
        <v>3928</v>
      </c>
      <c r="W98" t="s">
        <v>3782</v>
      </c>
      <c r="X98" t="s">
        <v>3890</v>
      </c>
      <c r="Y98" t="s">
        <v>3891</v>
      </c>
      <c r="Z98" t="s">
        <v>5151</v>
      </c>
      <c r="AA98" t="s">
        <v>5156</v>
      </c>
      <c r="AB98" t="s">
        <v>3831</v>
      </c>
      <c r="AC98" s="1" t="s">
        <v>3807</v>
      </c>
      <c r="AD98" s="6" t="s">
        <v>6482</v>
      </c>
    </row>
    <row r="99" spans="1:30" x14ac:dyDescent="0.25">
      <c r="A99" t="s">
        <v>5807</v>
      </c>
      <c r="B99" t="s">
        <v>4041</v>
      </c>
      <c r="C99" t="s">
        <v>6338</v>
      </c>
      <c r="D99" t="s">
        <v>3902</v>
      </c>
      <c r="E99" t="s">
        <v>3797</v>
      </c>
      <c r="F99" t="s">
        <v>4956</v>
      </c>
      <c r="G99" t="s">
        <v>3929</v>
      </c>
      <c r="H99" t="s">
        <v>3912</v>
      </c>
      <c r="I99" t="s">
        <v>3772</v>
      </c>
      <c r="J99" t="s">
        <v>3773</v>
      </c>
      <c r="K99" t="s">
        <v>3799</v>
      </c>
      <c r="L99" t="s">
        <v>3827</v>
      </c>
      <c r="M99" t="s">
        <v>3776</v>
      </c>
      <c r="N99" t="s">
        <v>3777</v>
      </c>
      <c r="O99" t="s">
        <v>5335</v>
      </c>
      <c r="P99" t="s">
        <v>5336</v>
      </c>
      <c r="Q99" t="s">
        <v>4057</v>
      </c>
      <c r="R99" t="s">
        <v>4059</v>
      </c>
      <c r="S99" t="s">
        <v>3780</v>
      </c>
      <c r="T99" t="s">
        <v>5298</v>
      </c>
      <c r="U99" t="s">
        <v>5297</v>
      </c>
      <c r="V99" t="s">
        <v>3932</v>
      </c>
      <c r="W99" t="s">
        <v>3782</v>
      </c>
      <c r="X99" t="s">
        <v>3890</v>
      </c>
      <c r="Y99" t="s">
        <v>3891</v>
      </c>
      <c r="Z99" t="s">
        <v>5151</v>
      </c>
      <c r="AA99" t="s">
        <v>5156</v>
      </c>
      <c r="AB99" t="s">
        <v>3831</v>
      </c>
      <c r="AC99" s="1" t="s">
        <v>3807</v>
      </c>
      <c r="AD99" s="6" t="s">
        <v>6484</v>
      </c>
    </row>
    <row r="100" spans="1:30" x14ac:dyDescent="0.25">
      <c r="A100" t="s">
        <v>5807</v>
      </c>
      <c r="B100" t="s">
        <v>4041</v>
      </c>
      <c r="C100" t="s">
        <v>6338</v>
      </c>
      <c r="D100" t="s">
        <v>3902</v>
      </c>
      <c r="E100" t="s">
        <v>3797</v>
      </c>
      <c r="F100" t="s">
        <v>4956</v>
      </c>
      <c r="G100" t="s">
        <v>3929</v>
      </c>
      <c r="H100" t="s">
        <v>3912</v>
      </c>
      <c r="I100" t="s">
        <v>3772</v>
      </c>
      <c r="J100" t="s">
        <v>3773</v>
      </c>
      <c r="K100" t="s">
        <v>3927</v>
      </c>
      <c r="L100" t="s">
        <v>3827</v>
      </c>
      <c r="M100" t="s">
        <v>3776</v>
      </c>
      <c r="N100" t="s">
        <v>3777</v>
      </c>
      <c r="O100" t="s">
        <v>5335</v>
      </c>
      <c r="P100" t="s">
        <v>5336</v>
      </c>
      <c r="Q100" t="s">
        <v>4057</v>
      </c>
      <c r="R100" t="s">
        <v>4059</v>
      </c>
      <c r="S100" t="s">
        <v>3780</v>
      </c>
      <c r="T100" t="s">
        <v>5298</v>
      </c>
      <c r="U100" t="s">
        <v>5297</v>
      </c>
      <c r="V100" t="s">
        <v>3933</v>
      </c>
      <c r="W100" t="s">
        <v>3782</v>
      </c>
      <c r="X100" t="s">
        <v>3890</v>
      </c>
      <c r="Y100" t="s">
        <v>3891</v>
      </c>
      <c r="Z100" t="s">
        <v>5151</v>
      </c>
      <c r="AA100" t="s">
        <v>5156</v>
      </c>
      <c r="AB100" t="s">
        <v>3831</v>
      </c>
      <c r="AC100" s="1" t="s">
        <v>3807</v>
      </c>
      <c r="AD100" s="6" t="s">
        <v>6486</v>
      </c>
    </row>
    <row r="101" spans="1:30" x14ac:dyDescent="0.25">
      <c r="A101" t="s">
        <v>5807</v>
      </c>
      <c r="B101" t="s">
        <v>4041</v>
      </c>
      <c r="C101" t="s">
        <v>6338</v>
      </c>
      <c r="D101" t="s">
        <v>3902</v>
      </c>
      <c r="E101" t="s">
        <v>3797</v>
      </c>
      <c r="F101" t="s">
        <v>4956</v>
      </c>
      <c r="G101" t="s">
        <v>3929</v>
      </c>
      <c r="H101" t="s">
        <v>3912</v>
      </c>
      <c r="I101" t="s">
        <v>3772</v>
      </c>
      <c r="J101" t="s">
        <v>3773</v>
      </c>
      <c r="K101" t="s">
        <v>3799</v>
      </c>
      <c r="L101" t="s">
        <v>3827</v>
      </c>
      <c r="M101" t="s">
        <v>3776</v>
      </c>
      <c r="N101" t="s">
        <v>3777</v>
      </c>
      <c r="O101" t="s">
        <v>5335</v>
      </c>
      <c r="P101" t="s">
        <v>5336</v>
      </c>
      <c r="Q101" t="s">
        <v>4057</v>
      </c>
      <c r="R101" t="s">
        <v>4060</v>
      </c>
      <c r="S101" t="s">
        <v>3780</v>
      </c>
      <c r="T101" t="s">
        <v>5298</v>
      </c>
      <c r="U101" t="s">
        <v>5297</v>
      </c>
      <c r="V101" t="s">
        <v>4028</v>
      </c>
      <c r="W101" t="s">
        <v>3782</v>
      </c>
      <c r="X101" t="s">
        <v>3890</v>
      </c>
      <c r="Y101" t="s">
        <v>3891</v>
      </c>
      <c r="Z101" t="s">
        <v>5151</v>
      </c>
      <c r="AA101" t="s">
        <v>5156</v>
      </c>
      <c r="AB101" t="s">
        <v>3831</v>
      </c>
      <c r="AC101" s="1" t="s">
        <v>3807</v>
      </c>
      <c r="AD101" s="6" t="s">
        <v>6488</v>
      </c>
    </row>
    <row r="102" spans="1:30" x14ac:dyDescent="0.25">
      <c r="A102" t="s">
        <v>5807</v>
      </c>
      <c r="B102" t="s">
        <v>4041</v>
      </c>
      <c r="C102" t="s">
        <v>3767</v>
      </c>
      <c r="D102" t="s">
        <v>3768</v>
      </c>
      <c r="E102" t="s">
        <v>3797</v>
      </c>
      <c r="F102" t="s">
        <v>3769</v>
      </c>
      <c r="G102" t="s">
        <v>3770</v>
      </c>
      <c r="H102" t="s">
        <v>3771</v>
      </c>
      <c r="I102" t="s">
        <v>3772</v>
      </c>
      <c r="J102" t="s">
        <v>3773</v>
      </c>
      <c r="K102" t="s">
        <v>3927</v>
      </c>
      <c r="L102" t="s">
        <v>3827</v>
      </c>
      <c r="M102" t="s">
        <v>3776</v>
      </c>
      <c r="N102" t="s">
        <v>3777</v>
      </c>
      <c r="O102" t="s">
        <v>5335</v>
      </c>
      <c r="P102" t="s">
        <v>5336</v>
      </c>
      <c r="Q102" t="s">
        <v>4057</v>
      </c>
      <c r="R102" t="s">
        <v>3779</v>
      </c>
      <c r="S102" t="s">
        <v>3780</v>
      </c>
      <c r="T102" t="s">
        <v>5298</v>
      </c>
      <c r="U102" t="s">
        <v>5297</v>
      </c>
      <c r="V102" t="s">
        <v>4029</v>
      </c>
      <c r="W102" t="s">
        <v>3782</v>
      </c>
      <c r="X102" t="s">
        <v>3783</v>
      </c>
      <c r="Y102" t="s">
        <v>3784</v>
      </c>
      <c r="Z102" t="s">
        <v>3785</v>
      </c>
      <c r="AA102" t="s">
        <v>3786</v>
      </c>
      <c r="AB102" t="s">
        <v>3831</v>
      </c>
      <c r="AC102" s="1" t="s">
        <v>3807</v>
      </c>
      <c r="AD102" s="6" t="s">
        <v>5813</v>
      </c>
    </row>
    <row r="103" spans="1:30" x14ac:dyDescent="0.25">
      <c r="A103" t="s">
        <v>5807</v>
      </c>
      <c r="B103" t="s">
        <v>4061</v>
      </c>
      <c r="C103" t="s">
        <v>4062</v>
      </c>
      <c r="D103" t="s">
        <v>4004</v>
      </c>
      <c r="E103" t="s">
        <v>3797</v>
      </c>
      <c r="F103" t="s">
        <v>4063</v>
      </c>
      <c r="G103" t="s">
        <v>4064</v>
      </c>
      <c r="H103" t="s">
        <v>4065</v>
      </c>
      <c r="I103" t="s">
        <v>3772</v>
      </c>
      <c r="J103" t="s">
        <v>3773</v>
      </c>
      <c r="K103" t="s">
        <v>3927</v>
      </c>
      <c r="L103" t="s">
        <v>3800</v>
      </c>
      <c r="M103" t="s">
        <v>3776</v>
      </c>
      <c r="N103" t="s">
        <v>3777</v>
      </c>
      <c r="O103" t="s">
        <v>5327</v>
      </c>
      <c r="P103" t="s">
        <v>5328</v>
      </c>
      <c r="Q103" t="s">
        <v>3778</v>
      </c>
      <c r="R103" t="s">
        <v>3779</v>
      </c>
      <c r="S103" t="s">
        <v>3964</v>
      </c>
      <c r="T103" t="s">
        <v>5337</v>
      </c>
      <c r="U103" t="s">
        <v>5338</v>
      </c>
      <c r="V103" t="s">
        <v>3781</v>
      </c>
      <c r="W103" t="s">
        <v>3782</v>
      </c>
      <c r="X103" t="s">
        <v>3890</v>
      </c>
      <c r="Y103" t="s">
        <v>3891</v>
      </c>
      <c r="Z103" t="s">
        <v>5157</v>
      </c>
      <c r="AA103" t="s">
        <v>5156</v>
      </c>
      <c r="AB103" t="s">
        <v>3897</v>
      </c>
      <c r="AC103" s="1" t="s">
        <v>3807</v>
      </c>
      <c r="AD103" s="6" t="s">
        <v>5814</v>
      </c>
    </row>
    <row r="104" spans="1:30" x14ac:dyDescent="0.25">
      <c r="A104" t="s">
        <v>5807</v>
      </c>
      <c r="B104" t="s">
        <v>4061</v>
      </c>
      <c r="C104" t="s">
        <v>4066</v>
      </c>
      <c r="D104" t="s">
        <v>3967</v>
      </c>
      <c r="E104" t="s">
        <v>3797</v>
      </c>
      <c r="F104" t="s">
        <v>4067</v>
      </c>
      <c r="G104" t="s">
        <v>4068</v>
      </c>
      <c r="H104" t="s">
        <v>4069</v>
      </c>
      <c r="I104" t="s">
        <v>3772</v>
      </c>
      <c r="J104" t="s">
        <v>3773</v>
      </c>
      <c r="K104" t="s">
        <v>3927</v>
      </c>
      <c r="L104" t="s">
        <v>3800</v>
      </c>
      <c r="M104" t="s">
        <v>3776</v>
      </c>
      <c r="N104" t="s">
        <v>3777</v>
      </c>
      <c r="O104" t="s">
        <v>5327</v>
      </c>
      <c r="P104" t="s">
        <v>5328</v>
      </c>
      <c r="Q104" t="s">
        <v>3778</v>
      </c>
      <c r="R104" t="s">
        <v>3779</v>
      </c>
      <c r="S104" t="s">
        <v>3964</v>
      </c>
      <c r="T104" t="s">
        <v>5337</v>
      </c>
      <c r="U104" t="s">
        <v>5338</v>
      </c>
      <c r="V104" t="s">
        <v>3781</v>
      </c>
      <c r="W104" t="s">
        <v>3782</v>
      </c>
      <c r="X104" t="s">
        <v>3890</v>
      </c>
      <c r="Y104" t="s">
        <v>3891</v>
      </c>
      <c r="Z104" t="s">
        <v>5157</v>
      </c>
      <c r="AA104" t="s">
        <v>5156</v>
      </c>
      <c r="AB104" t="s">
        <v>3897</v>
      </c>
      <c r="AC104" s="1" t="s">
        <v>3807</v>
      </c>
      <c r="AD104" s="6" t="s">
        <v>5815</v>
      </c>
    </row>
    <row r="105" spans="1:30" x14ac:dyDescent="0.25">
      <c r="A105" t="s">
        <v>5807</v>
      </c>
      <c r="B105" t="s">
        <v>4061</v>
      </c>
      <c r="C105" t="s">
        <v>4070</v>
      </c>
      <c r="D105" t="s">
        <v>3971</v>
      </c>
      <c r="E105" t="s">
        <v>3797</v>
      </c>
      <c r="F105" t="s">
        <v>4071</v>
      </c>
      <c r="G105" t="s">
        <v>3972</v>
      </c>
      <c r="H105" t="s">
        <v>3973</v>
      </c>
      <c r="I105" t="s">
        <v>3772</v>
      </c>
      <c r="J105" t="s">
        <v>3773</v>
      </c>
      <c r="K105" t="s">
        <v>3927</v>
      </c>
      <c r="L105" t="s">
        <v>3800</v>
      </c>
      <c r="M105" t="s">
        <v>3776</v>
      </c>
      <c r="N105" t="s">
        <v>3777</v>
      </c>
      <c r="O105" t="s">
        <v>5327</v>
      </c>
      <c r="P105" t="s">
        <v>5328</v>
      </c>
      <c r="Q105" t="s">
        <v>3778</v>
      </c>
      <c r="R105" t="s">
        <v>3779</v>
      </c>
      <c r="S105" t="s">
        <v>3780</v>
      </c>
      <c r="T105" t="s">
        <v>5337</v>
      </c>
      <c r="U105" t="s">
        <v>5338</v>
      </c>
      <c r="V105" t="s">
        <v>3781</v>
      </c>
      <c r="W105" t="s">
        <v>3782</v>
      </c>
      <c r="X105" t="s">
        <v>3977</v>
      </c>
      <c r="Y105" t="s">
        <v>3978</v>
      </c>
      <c r="Z105" t="s">
        <v>5158</v>
      </c>
      <c r="AA105" t="s">
        <v>5156</v>
      </c>
      <c r="AB105" t="s">
        <v>3897</v>
      </c>
      <c r="AC105" s="1" t="s">
        <v>3979</v>
      </c>
      <c r="AD105" s="6" t="s">
        <v>5816</v>
      </c>
    </row>
    <row r="106" spans="1:30" x14ac:dyDescent="0.25">
      <c r="A106" t="s">
        <v>5807</v>
      </c>
      <c r="B106" t="s">
        <v>4061</v>
      </c>
      <c r="C106" t="s">
        <v>4072</v>
      </c>
      <c r="D106" t="s">
        <v>3980</v>
      </c>
      <c r="E106" t="s">
        <v>3797</v>
      </c>
      <c r="F106" t="s">
        <v>4073</v>
      </c>
      <c r="G106" t="s">
        <v>3981</v>
      </c>
      <c r="H106" t="s">
        <v>3982</v>
      </c>
      <c r="I106" t="s">
        <v>3772</v>
      </c>
      <c r="J106" t="s">
        <v>3773</v>
      </c>
      <c r="K106" t="s">
        <v>3927</v>
      </c>
      <c r="L106" t="s">
        <v>3800</v>
      </c>
      <c r="M106" t="s">
        <v>3776</v>
      </c>
      <c r="N106" t="s">
        <v>3777</v>
      </c>
      <c r="O106" t="s">
        <v>5327</v>
      </c>
      <c r="P106" t="s">
        <v>5328</v>
      </c>
      <c r="Q106" t="s">
        <v>3778</v>
      </c>
      <c r="R106" t="s">
        <v>3779</v>
      </c>
      <c r="S106" t="s">
        <v>3780</v>
      </c>
      <c r="T106" t="s">
        <v>5337</v>
      </c>
      <c r="U106" t="s">
        <v>5338</v>
      </c>
      <c r="V106" t="s">
        <v>3781</v>
      </c>
      <c r="W106" t="s">
        <v>3782</v>
      </c>
      <c r="X106" t="s">
        <v>3977</v>
      </c>
      <c r="Y106" t="s">
        <v>3978</v>
      </c>
      <c r="Z106" t="s">
        <v>5158</v>
      </c>
      <c r="AA106" t="s">
        <v>5156</v>
      </c>
      <c r="AB106" t="s">
        <v>3897</v>
      </c>
      <c r="AC106" s="1" t="s">
        <v>3979</v>
      </c>
      <c r="AD106" s="6" t="s">
        <v>5817</v>
      </c>
    </row>
    <row r="107" spans="1:30" x14ac:dyDescent="0.25">
      <c r="A107" t="s">
        <v>5807</v>
      </c>
      <c r="B107" t="s">
        <v>3901</v>
      </c>
      <c r="C107" t="s">
        <v>4074</v>
      </c>
      <c r="D107" t="s">
        <v>3913</v>
      </c>
      <c r="E107" t="s">
        <v>3797</v>
      </c>
      <c r="F107" t="s">
        <v>4075</v>
      </c>
      <c r="G107" t="s">
        <v>4076</v>
      </c>
      <c r="H107" t="s">
        <v>4077</v>
      </c>
      <c r="I107" t="s">
        <v>3772</v>
      </c>
      <c r="J107" t="s">
        <v>3773</v>
      </c>
      <c r="K107" t="s">
        <v>3799</v>
      </c>
      <c r="L107" t="s">
        <v>3800</v>
      </c>
      <c r="M107" t="s">
        <v>3776</v>
      </c>
      <c r="N107" t="s">
        <v>3777</v>
      </c>
      <c r="O107" t="s">
        <v>5339</v>
      </c>
      <c r="P107" t="s">
        <v>5300</v>
      </c>
      <c r="Q107" t="s">
        <v>5174</v>
      </c>
      <c r="R107" t="s">
        <v>3779</v>
      </c>
      <c r="S107" t="s">
        <v>3780</v>
      </c>
      <c r="T107" t="s">
        <v>5340</v>
      </c>
      <c r="U107" t="s">
        <v>5341</v>
      </c>
      <c r="V107" t="s">
        <v>5175</v>
      </c>
      <c r="W107" t="s">
        <v>3782</v>
      </c>
      <c r="X107" t="s">
        <v>3804</v>
      </c>
      <c r="Y107" t="s">
        <v>3891</v>
      </c>
      <c r="Z107" t="s">
        <v>5151</v>
      </c>
      <c r="AA107" t="s">
        <v>5150</v>
      </c>
      <c r="AB107" t="s">
        <v>3787</v>
      </c>
      <c r="AC107" s="1" t="s">
        <v>3788</v>
      </c>
      <c r="AD107" s="6" t="s">
        <v>5818</v>
      </c>
    </row>
    <row r="108" spans="1:30" x14ac:dyDescent="0.25">
      <c r="A108" t="s">
        <v>5807</v>
      </c>
      <c r="B108" t="s">
        <v>3901</v>
      </c>
      <c r="C108" t="s">
        <v>4078</v>
      </c>
      <c r="D108" t="s">
        <v>4079</v>
      </c>
      <c r="E108" t="s">
        <v>3797</v>
      </c>
      <c r="F108" t="s">
        <v>3869</v>
      </c>
      <c r="G108" t="s">
        <v>4080</v>
      </c>
      <c r="H108" t="s">
        <v>4081</v>
      </c>
      <c r="I108" t="s">
        <v>3772</v>
      </c>
      <c r="J108" t="s">
        <v>3773</v>
      </c>
      <c r="K108" t="s">
        <v>3850</v>
      </c>
      <c r="L108" t="s">
        <v>3800</v>
      </c>
      <c r="M108" t="s">
        <v>3776</v>
      </c>
      <c r="N108" t="s">
        <v>3777</v>
      </c>
      <c r="O108" t="s">
        <v>5339</v>
      </c>
      <c r="P108" t="s">
        <v>5300</v>
      </c>
      <c r="Q108" t="s">
        <v>5174</v>
      </c>
      <c r="R108" t="s">
        <v>3779</v>
      </c>
      <c r="S108" t="s">
        <v>3780</v>
      </c>
      <c r="T108" t="s">
        <v>5340</v>
      </c>
      <c r="U108" t="s">
        <v>5341</v>
      </c>
      <c r="V108" t="s">
        <v>5175</v>
      </c>
      <c r="W108" t="s">
        <v>3782</v>
      </c>
      <c r="X108" t="s">
        <v>3804</v>
      </c>
      <c r="Y108" t="s">
        <v>3891</v>
      </c>
      <c r="Z108" t="s">
        <v>3785</v>
      </c>
      <c r="AA108" t="s">
        <v>3786</v>
      </c>
      <c r="AB108" t="s">
        <v>3787</v>
      </c>
      <c r="AC108" s="1" t="s">
        <v>3788</v>
      </c>
      <c r="AD108" s="6" t="s">
        <v>5819</v>
      </c>
    </row>
    <row r="109" spans="1:30" x14ac:dyDescent="0.25">
      <c r="A109" t="s">
        <v>5807</v>
      </c>
      <c r="B109" t="s">
        <v>3901</v>
      </c>
      <c r="C109" t="s">
        <v>3795</v>
      </c>
      <c r="D109" t="s">
        <v>3796</v>
      </c>
      <c r="E109" t="s">
        <v>3797</v>
      </c>
      <c r="F109" t="s">
        <v>3769</v>
      </c>
      <c r="G109" t="s">
        <v>4082</v>
      </c>
      <c r="H109" t="s">
        <v>4083</v>
      </c>
      <c r="I109" t="s">
        <v>3772</v>
      </c>
      <c r="J109" t="s">
        <v>3773</v>
      </c>
      <c r="K109" t="s">
        <v>3799</v>
      </c>
      <c r="L109" t="s">
        <v>3827</v>
      </c>
      <c r="M109" t="s">
        <v>3776</v>
      </c>
      <c r="N109" t="s">
        <v>3777</v>
      </c>
      <c r="O109" t="s">
        <v>5342</v>
      </c>
      <c r="P109" t="s">
        <v>5316</v>
      </c>
      <c r="Q109" t="s">
        <v>5176</v>
      </c>
      <c r="R109" t="s">
        <v>4084</v>
      </c>
      <c r="S109" t="s">
        <v>3780</v>
      </c>
      <c r="T109" t="s">
        <v>5343</v>
      </c>
      <c r="U109" t="s">
        <v>5344</v>
      </c>
      <c r="V109" t="s">
        <v>5177</v>
      </c>
      <c r="W109" t="s">
        <v>3782</v>
      </c>
      <c r="X109" t="s">
        <v>3804</v>
      </c>
      <c r="Y109" t="s">
        <v>3805</v>
      </c>
      <c r="Z109" t="s">
        <v>3785</v>
      </c>
      <c r="AA109" t="s">
        <v>3786</v>
      </c>
      <c r="AB109" t="s">
        <v>3787</v>
      </c>
      <c r="AC109" s="1" t="s">
        <v>3788</v>
      </c>
      <c r="AD109" s="6" t="s">
        <v>5820</v>
      </c>
    </row>
    <row r="110" spans="1:30" x14ac:dyDescent="0.25">
      <c r="A110" t="s">
        <v>5807</v>
      </c>
      <c r="B110" t="s">
        <v>3901</v>
      </c>
      <c r="C110" t="s">
        <v>3795</v>
      </c>
      <c r="D110" t="s">
        <v>3796</v>
      </c>
      <c r="E110" t="s">
        <v>3797</v>
      </c>
      <c r="F110" t="s">
        <v>3798</v>
      </c>
      <c r="G110" t="s">
        <v>4082</v>
      </c>
      <c r="H110" t="s">
        <v>4083</v>
      </c>
      <c r="I110" t="s">
        <v>3772</v>
      </c>
      <c r="J110" t="s">
        <v>3773</v>
      </c>
      <c r="K110" t="s">
        <v>3850</v>
      </c>
      <c r="L110" t="s">
        <v>3800</v>
      </c>
      <c r="M110" t="s">
        <v>3776</v>
      </c>
      <c r="N110" t="s">
        <v>3777</v>
      </c>
      <c r="O110" t="s">
        <v>5342</v>
      </c>
      <c r="P110" t="s">
        <v>5316</v>
      </c>
      <c r="Q110" t="s">
        <v>5178</v>
      </c>
      <c r="R110" t="s">
        <v>4084</v>
      </c>
      <c r="S110" t="s">
        <v>3780</v>
      </c>
      <c r="T110" t="s">
        <v>5343</v>
      </c>
      <c r="U110" t="s">
        <v>5344</v>
      </c>
      <c r="V110" t="s">
        <v>5179</v>
      </c>
      <c r="W110" t="s">
        <v>3782</v>
      </c>
      <c r="X110" t="s">
        <v>3804</v>
      </c>
      <c r="Y110" t="s">
        <v>3805</v>
      </c>
      <c r="Z110" t="s">
        <v>3785</v>
      </c>
      <c r="AA110" t="s">
        <v>3786</v>
      </c>
      <c r="AB110" t="s">
        <v>3787</v>
      </c>
      <c r="AC110" s="1" t="s">
        <v>3788</v>
      </c>
      <c r="AD110" s="6" t="s">
        <v>5821</v>
      </c>
    </row>
    <row r="111" spans="1:30" x14ac:dyDescent="0.25">
      <c r="A111" t="s">
        <v>5807</v>
      </c>
      <c r="B111" t="s">
        <v>3901</v>
      </c>
      <c r="C111" t="s">
        <v>3808</v>
      </c>
      <c r="D111" t="s">
        <v>3809</v>
      </c>
      <c r="E111" t="s">
        <v>3797</v>
      </c>
      <c r="F111" t="s">
        <v>3810</v>
      </c>
      <c r="G111" t="s">
        <v>4085</v>
      </c>
      <c r="H111" t="s">
        <v>4086</v>
      </c>
      <c r="I111" t="s">
        <v>3772</v>
      </c>
      <c r="J111" t="s">
        <v>3773</v>
      </c>
      <c r="K111" t="s">
        <v>3799</v>
      </c>
      <c r="L111" t="s">
        <v>3800</v>
      </c>
      <c r="M111" t="s">
        <v>3776</v>
      </c>
      <c r="N111" t="s">
        <v>3777</v>
      </c>
      <c r="O111" t="s">
        <v>5342</v>
      </c>
      <c r="P111" t="s">
        <v>5316</v>
      </c>
      <c r="Q111" t="s">
        <v>5180</v>
      </c>
      <c r="R111" t="s">
        <v>4087</v>
      </c>
      <c r="S111" t="s">
        <v>3780</v>
      </c>
      <c r="T111" t="s">
        <v>5343</v>
      </c>
      <c r="U111" t="s">
        <v>5344</v>
      </c>
      <c r="V111" t="s">
        <v>5181</v>
      </c>
      <c r="W111" t="s">
        <v>3782</v>
      </c>
      <c r="X111" t="s">
        <v>3804</v>
      </c>
      <c r="Y111" t="s">
        <v>3805</v>
      </c>
      <c r="Z111" t="s">
        <v>3785</v>
      </c>
      <c r="AA111" t="s">
        <v>3786</v>
      </c>
      <c r="AB111" t="s">
        <v>3787</v>
      </c>
      <c r="AC111" s="1" t="s">
        <v>3788</v>
      </c>
      <c r="AD111" s="6" t="s">
        <v>5822</v>
      </c>
    </row>
    <row r="112" spans="1:30" x14ac:dyDescent="0.25">
      <c r="A112" t="s">
        <v>5807</v>
      </c>
      <c r="B112" t="s">
        <v>3901</v>
      </c>
      <c r="C112" t="s">
        <v>3813</v>
      </c>
      <c r="D112" t="s">
        <v>3814</v>
      </c>
      <c r="E112" t="s">
        <v>3797</v>
      </c>
      <c r="F112" t="s">
        <v>3815</v>
      </c>
      <c r="G112" t="s">
        <v>4088</v>
      </c>
      <c r="H112" t="s">
        <v>4089</v>
      </c>
      <c r="I112" t="s">
        <v>3772</v>
      </c>
      <c r="J112" t="s">
        <v>3773</v>
      </c>
      <c r="K112" t="s">
        <v>3799</v>
      </c>
      <c r="L112" t="s">
        <v>3800</v>
      </c>
      <c r="M112" t="s">
        <v>3776</v>
      </c>
      <c r="N112" t="s">
        <v>3777</v>
      </c>
      <c r="O112" t="s">
        <v>5342</v>
      </c>
      <c r="P112" t="s">
        <v>5316</v>
      </c>
      <c r="Q112" t="s">
        <v>5182</v>
      </c>
      <c r="R112" t="s">
        <v>3779</v>
      </c>
      <c r="S112" t="s">
        <v>3780</v>
      </c>
      <c r="T112" t="s">
        <v>5343</v>
      </c>
      <c r="U112" t="s">
        <v>5344</v>
      </c>
      <c r="V112" t="s">
        <v>5183</v>
      </c>
      <c r="W112" t="s">
        <v>3782</v>
      </c>
      <c r="X112" t="s">
        <v>3804</v>
      </c>
      <c r="Y112" t="s">
        <v>3805</v>
      </c>
      <c r="Z112" t="s">
        <v>5149</v>
      </c>
      <c r="AA112" t="s">
        <v>5148</v>
      </c>
      <c r="AB112" t="s">
        <v>3831</v>
      </c>
      <c r="AC112" s="1" t="s">
        <v>3807</v>
      </c>
      <c r="AD112" s="6" t="s">
        <v>5823</v>
      </c>
    </row>
    <row r="113" spans="1:30" x14ac:dyDescent="0.25">
      <c r="A113" t="s">
        <v>5807</v>
      </c>
      <c r="B113" t="s">
        <v>3901</v>
      </c>
      <c r="C113" t="s">
        <v>3819</v>
      </c>
      <c r="D113" t="s">
        <v>3820</v>
      </c>
      <c r="E113" t="s">
        <v>3797</v>
      </c>
      <c r="F113" t="s">
        <v>3821</v>
      </c>
      <c r="G113" t="s">
        <v>4090</v>
      </c>
      <c r="H113" t="s">
        <v>4091</v>
      </c>
      <c r="I113" t="s">
        <v>3772</v>
      </c>
      <c r="J113" t="s">
        <v>3773</v>
      </c>
      <c r="K113" t="s">
        <v>3799</v>
      </c>
      <c r="L113" t="s">
        <v>3775</v>
      </c>
      <c r="M113" t="s">
        <v>3776</v>
      </c>
      <c r="N113" t="s">
        <v>3777</v>
      </c>
      <c r="O113" t="s">
        <v>5342</v>
      </c>
      <c r="P113" t="s">
        <v>5316</v>
      </c>
      <c r="Q113" t="s">
        <v>5182</v>
      </c>
      <c r="R113" t="s">
        <v>3779</v>
      </c>
      <c r="S113" t="s">
        <v>3780</v>
      </c>
      <c r="T113" t="s">
        <v>5343</v>
      </c>
      <c r="U113" t="s">
        <v>5344</v>
      </c>
      <c r="V113" t="s">
        <v>5183</v>
      </c>
      <c r="W113" t="s">
        <v>3782</v>
      </c>
      <c r="X113" t="s">
        <v>3804</v>
      </c>
      <c r="Y113" t="s">
        <v>3826</v>
      </c>
      <c r="Z113" t="s">
        <v>5149</v>
      </c>
      <c r="AA113" t="s">
        <v>5148</v>
      </c>
      <c r="AB113" t="s">
        <v>3787</v>
      </c>
      <c r="AC113" s="1" t="s">
        <v>3788</v>
      </c>
      <c r="AD113" s="6" t="s">
        <v>5824</v>
      </c>
    </row>
    <row r="114" spans="1:30" x14ac:dyDescent="0.25">
      <c r="A114" t="s">
        <v>5807</v>
      </c>
      <c r="B114" t="s">
        <v>3901</v>
      </c>
      <c r="C114" t="s">
        <v>3862</v>
      </c>
      <c r="D114" t="s">
        <v>3863</v>
      </c>
      <c r="E114" t="s">
        <v>3797</v>
      </c>
      <c r="F114" t="s">
        <v>3864</v>
      </c>
      <c r="G114" t="s">
        <v>4092</v>
      </c>
      <c r="H114" t="s">
        <v>4093</v>
      </c>
      <c r="I114" t="s">
        <v>3772</v>
      </c>
      <c r="J114" t="s">
        <v>3773</v>
      </c>
      <c r="K114" t="s">
        <v>3799</v>
      </c>
      <c r="L114" t="s">
        <v>3775</v>
      </c>
      <c r="M114" t="s">
        <v>3776</v>
      </c>
      <c r="N114" t="s">
        <v>3777</v>
      </c>
      <c r="O114" t="s">
        <v>5345</v>
      </c>
      <c r="P114" t="s">
        <v>5318</v>
      </c>
      <c r="Q114" t="s">
        <v>5184</v>
      </c>
      <c r="R114" t="s">
        <v>3779</v>
      </c>
      <c r="S114" t="s">
        <v>3780</v>
      </c>
      <c r="T114" t="s">
        <v>5346</v>
      </c>
      <c r="U114" t="s">
        <v>5347</v>
      </c>
      <c r="V114" t="s">
        <v>5185</v>
      </c>
      <c r="W114" t="s">
        <v>3782</v>
      </c>
      <c r="X114" t="s">
        <v>3804</v>
      </c>
      <c r="Y114" t="s">
        <v>3826</v>
      </c>
      <c r="Z114" t="s">
        <v>5149</v>
      </c>
      <c r="AA114" t="s">
        <v>5148</v>
      </c>
      <c r="AB114" t="s">
        <v>3787</v>
      </c>
      <c r="AC114" s="1" t="s">
        <v>3788</v>
      </c>
      <c r="AD114" s="6" t="s">
        <v>5825</v>
      </c>
    </row>
    <row r="115" spans="1:30" x14ac:dyDescent="0.25">
      <c r="A115" t="s">
        <v>5807</v>
      </c>
      <c r="B115" t="s">
        <v>4001</v>
      </c>
      <c r="C115" t="s">
        <v>3795</v>
      </c>
      <c r="D115" t="s">
        <v>3796</v>
      </c>
      <c r="E115" t="s">
        <v>3797</v>
      </c>
      <c r="F115" t="s">
        <v>3798</v>
      </c>
      <c r="G115" t="s">
        <v>4094</v>
      </c>
      <c r="H115" t="s">
        <v>4095</v>
      </c>
      <c r="I115" t="s">
        <v>3772</v>
      </c>
      <c r="J115" t="s">
        <v>3773</v>
      </c>
      <c r="K115" t="s">
        <v>3799</v>
      </c>
      <c r="L115" t="s">
        <v>3827</v>
      </c>
      <c r="M115" t="s">
        <v>3776</v>
      </c>
      <c r="N115" t="s">
        <v>3777</v>
      </c>
      <c r="O115" t="s">
        <v>5327</v>
      </c>
      <c r="P115" t="s">
        <v>5328</v>
      </c>
      <c r="Q115" t="s">
        <v>3778</v>
      </c>
      <c r="R115" t="s">
        <v>4096</v>
      </c>
      <c r="S115" t="s">
        <v>3780</v>
      </c>
      <c r="T115" t="s">
        <v>5337</v>
      </c>
      <c r="U115" t="s">
        <v>5338</v>
      </c>
      <c r="V115" t="s">
        <v>3781</v>
      </c>
      <c r="W115" t="s">
        <v>3782</v>
      </c>
      <c r="X115" t="s">
        <v>3804</v>
      </c>
      <c r="Y115" t="s">
        <v>3805</v>
      </c>
      <c r="Z115" t="s">
        <v>3785</v>
      </c>
      <c r="AA115" t="s">
        <v>3786</v>
      </c>
      <c r="AB115" t="s">
        <v>3787</v>
      </c>
      <c r="AC115" s="1" t="s">
        <v>3788</v>
      </c>
      <c r="AD115" s="6" t="s">
        <v>5826</v>
      </c>
    </row>
    <row r="116" spans="1:30" x14ac:dyDescent="0.25">
      <c r="A116" t="s">
        <v>5807</v>
      </c>
      <c r="B116" t="s">
        <v>4001</v>
      </c>
      <c r="C116" t="s">
        <v>3808</v>
      </c>
      <c r="D116" t="s">
        <v>3809</v>
      </c>
      <c r="E116" t="s">
        <v>3797</v>
      </c>
      <c r="F116" t="s">
        <v>3810</v>
      </c>
      <c r="G116" t="s">
        <v>4094</v>
      </c>
      <c r="H116" t="s">
        <v>4095</v>
      </c>
      <c r="I116" t="s">
        <v>3772</v>
      </c>
      <c r="J116" t="s">
        <v>3773</v>
      </c>
      <c r="K116" t="s">
        <v>3799</v>
      </c>
      <c r="L116" t="s">
        <v>3827</v>
      </c>
      <c r="M116" t="s">
        <v>3776</v>
      </c>
      <c r="N116" t="s">
        <v>3777</v>
      </c>
      <c r="O116" t="s">
        <v>5327</v>
      </c>
      <c r="P116" t="s">
        <v>5328</v>
      </c>
      <c r="Q116" t="s">
        <v>3778</v>
      </c>
      <c r="R116" t="s">
        <v>4096</v>
      </c>
      <c r="S116" t="s">
        <v>3780</v>
      </c>
      <c r="T116" t="s">
        <v>5337</v>
      </c>
      <c r="U116" t="s">
        <v>5338</v>
      </c>
      <c r="V116" t="s">
        <v>3781</v>
      </c>
      <c r="W116" t="s">
        <v>3782</v>
      </c>
      <c r="X116" t="s">
        <v>3804</v>
      </c>
      <c r="Y116" t="s">
        <v>3805</v>
      </c>
      <c r="Z116" t="s">
        <v>3785</v>
      </c>
      <c r="AA116" t="s">
        <v>3786</v>
      </c>
      <c r="AB116" t="s">
        <v>3787</v>
      </c>
      <c r="AC116" s="1" t="s">
        <v>3788</v>
      </c>
      <c r="AD116" s="6" t="s">
        <v>5827</v>
      </c>
    </row>
    <row r="117" spans="1:30" x14ac:dyDescent="0.25">
      <c r="A117" t="s">
        <v>5807</v>
      </c>
      <c r="B117" t="s">
        <v>4001</v>
      </c>
      <c r="C117" t="s">
        <v>3813</v>
      </c>
      <c r="D117" t="s">
        <v>3814</v>
      </c>
      <c r="E117" t="s">
        <v>3797</v>
      </c>
      <c r="F117" t="s">
        <v>3815</v>
      </c>
      <c r="G117" t="s">
        <v>4097</v>
      </c>
      <c r="H117" t="s">
        <v>4098</v>
      </c>
      <c r="I117" t="s">
        <v>3772</v>
      </c>
      <c r="J117" t="s">
        <v>3773</v>
      </c>
      <c r="K117" t="s">
        <v>3799</v>
      </c>
      <c r="L117" t="s">
        <v>3775</v>
      </c>
      <c r="M117" t="s">
        <v>3776</v>
      </c>
      <c r="N117" t="s">
        <v>3777</v>
      </c>
      <c r="O117" t="s">
        <v>5327</v>
      </c>
      <c r="P117" t="s">
        <v>5328</v>
      </c>
      <c r="Q117" t="s">
        <v>3778</v>
      </c>
      <c r="R117" t="s">
        <v>3779</v>
      </c>
      <c r="S117" t="s">
        <v>3780</v>
      </c>
      <c r="T117" t="s">
        <v>5337</v>
      </c>
      <c r="U117" t="s">
        <v>5338</v>
      </c>
      <c r="V117" t="s">
        <v>3781</v>
      </c>
      <c r="W117" t="s">
        <v>3782</v>
      </c>
      <c r="X117" t="s">
        <v>3804</v>
      </c>
      <c r="Y117" t="s">
        <v>3805</v>
      </c>
      <c r="Z117" t="s">
        <v>5153</v>
      </c>
      <c r="AA117" t="s">
        <v>5148</v>
      </c>
      <c r="AB117" t="s">
        <v>3787</v>
      </c>
      <c r="AC117" s="1" t="s">
        <v>3788</v>
      </c>
      <c r="AD117" s="6" t="s">
        <v>5828</v>
      </c>
    </row>
    <row r="118" spans="1:30" x14ac:dyDescent="0.25">
      <c r="A118" t="s">
        <v>5807</v>
      </c>
      <c r="B118" t="s">
        <v>4001</v>
      </c>
      <c r="C118" t="s">
        <v>3819</v>
      </c>
      <c r="D118" t="s">
        <v>3820</v>
      </c>
      <c r="E118" t="s">
        <v>3797</v>
      </c>
      <c r="F118" t="s">
        <v>3821</v>
      </c>
      <c r="G118" t="s">
        <v>4099</v>
      </c>
      <c r="H118" t="s">
        <v>4100</v>
      </c>
      <c r="I118" t="s">
        <v>3772</v>
      </c>
      <c r="J118" t="s">
        <v>3773</v>
      </c>
      <c r="K118" t="s">
        <v>3799</v>
      </c>
      <c r="L118" t="s">
        <v>3775</v>
      </c>
      <c r="M118" t="s">
        <v>3776</v>
      </c>
      <c r="N118" t="s">
        <v>3777</v>
      </c>
      <c r="O118" t="s">
        <v>5327</v>
      </c>
      <c r="P118" t="s">
        <v>5328</v>
      </c>
      <c r="Q118" t="s">
        <v>3778</v>
      </c>
      <c r="R118" t="s">
        <v>3779</v>
      </c>
      <c r="S118" t="s">
        <v>3780</v>
      </c>
      <c r="T118" t="s">
        <v>5337</v>
      </c>
      <c r="U118" t="s">
        <v>5338</v>
      </c>
      <c r="V118" t="s">
        <v>3781</v>
      </c>
      <c r="W118" t="s">
        <v>3782</v>
      </c>
      <c r="X118" t="s">
        <v>3804</v>
      </c>
      <c r="Y118" t="s">
        <v>3805</v>
      </c>
      <c r="Z118" t="s">
        <v>5147</v>
      </c>
      <c r="AA118" t="s">
        <v>5148</v>
      </c>
      <c r="AB118" t="s">
        <v>3787</v>
      </c>
      <c r="AC118" s="1" t="s">
        <v>3788</v>
      </c>
      <c r="AD118" s="6" t="s">
        <v>5829</v>
      </c>
    </row>
    <row r="119" spans="1:30" x14ac:dyDescent="0.25">
      <c r="A119" t="s">
        <v>5807</v>
      </c>
      <c r="B119" t="s">
        <v>4001</v>
      </c>
      <c r="C119" t="s">
        <v>3862</v>
      </c>
      <c r="D119" t="s">
        <v>3863</v>
      </c>
      <c r="E119" t="s">
        <v>3797</v>
      </c>
      <c r="F119" t="s">
        <v>3864</v>
      </c>
      <c r="G119" t="s">
        <v>4101</v>
      </c>
      <c r="H119" t="s">
        <v>4102</v>
      </c>
      <c r="I119" t="s">
        <v>3772</v>
      </c>
      <c r="J119" t="s">
        <v>3773</v>
      </c>
      <c r="K119" t="s">
        <v>3799</v>
      </c>
      <c r="L119" t="s">
        <v>3775</v>
      </c>
      <c r="M119" t="s">
        <v>3776</v>
      </c>
      <c r="N119" t="s">
        <v>3777</v>
      </c>
      <c r="O119" t="s">
        <v>5327</v>
      </c>
      <c r="P119" t="s">
        <v>5328</v>
      </c>
      <c r="Q119" t="s">
        <v>3778</v>
      </c>
      <c r="R119" t="s">
        <v>3779</v>
      </c>
      <c r="S119" t="s">
        <v>3780</v>
      </c>
      <c r="T119" t="s">
        <v>5337</v>
      </c>
      <c r="U119" t="s">
        <v>5338</v>
      </c>
      <c r="V119" t="s">
        <v>3781</v>
      </c>
      <c r="W119" t="s">
        <v>3782</v>
      </c>
      <c r="X119" t="s">
        <v>3804</v>
      </c>
      <c r="Y119" t="s">
        <v>3826</v>
      </c>
      <c r="Z119" t="s">
        <v>5147</v>
      </c>
      <c r="AA119" t="s">
        <v>5148</v>
      </c>
      <c r="AB119" t="s">
        <v>3787</v>
      </c>
      <c r="AC119" s="1" t="s">
        <v>3788</v>
      </c>
      <c r="AD119" s="6" t="s">
        <v>5830</v>
      </c>
    </row>
    <row r="120" spans="1:30" x14ac:dyDescent="0.25">
      <c r="A120" t="s">
        <v>5807</v>
      </c>
      <c r="B120" t="s">
        <v>4001</v>
      </c>
      <c r="C120" t="s">
        <v>3795</v>
      </c>
      <c r="D120" t="s">
        <v>3796</v>
      </c>
      <c r="E120" t="s">
        <v>3797</v>
      </c>
      <c r="F120" t="s">
        <v>3798</v>
      </c>
      <c r="G120" t="s">
        <v>4094</v>
      </c>
      <c r="H120" t="s">
        <v>4095</v>
      </c>
      <c r="I120" t="s">
        <v>3772</v>
      </c>
      <c r="J120" t="s">
        <v>3773</v>
      </c>
      <c r="K120" t="s">
        <v>3850</v>
      </c>
      <c r="L120" t="s">
        <v>3800</v>
      </c>
      <c r="M120" t="s">
        <v>3776</v>
      </c>
      <c r="N120" t="s">
        <v>3777</v>
      </c>
      <c r="O120" t="s">
        <v>5348</v>
      </c>
      <c r="P120" t="s">
        <v>5349</v>
      </c>
      <c r="Q120" t="s">
        <v>5186</v>
      </c>
      <c r="R120" t="s">
        <v>4103</v>
      </c>
      <c r="S120" t="s">
        <v>3780</v>
      </c>
      <c r="T120" t="s">
        <v>5350</v>
      </c>
      <c r="U120" t="s">
        <v>5351</v>
      </c>
      <c r="V120" t="s">
        <v>5187</v>
      </c>
      <c r="W120" t="s">
        <v>3782</v>
      </c>
      <c r="X120" t="s">
        <v>3804</v>
      </c>
      <c r="Y120" t="s">
        <v>3805</v>
      </c>
      <c r="Z120" t="s">
        <v>3785</v>
      </c>
      <c r="AA120" t="s">
        <v>3786</v>
      </c>
      <c r="AB120" t="s">
        <v>3787</v>
      </c>
      <c r="AC120" s="1" t="s">
        <v>3788</v>
      </c>
      <c r="AD120" s="6" t="s">
        <v>5831</v>
      </c>
    </row>
    <row r="121" spans="1:30" x14ac:dyDescent="0.25">
      <c r="A121" t="s">
        <v>5807</v>
      </c>
      <c r="B121" t="s">
        <v>4001</v>
      </c>
      <c r="C121" t="s">
        <v>4104</v>
      </c>
      <c r="D121" t="s">
        <v>4105</v>
      </c>
      <c r="E121" t="s">
        <v>3797</v>
      </c>
      <c r="F121" t="s">
        <v>4106</v>
      </c>
      <c r="G121" t="s">
        <v>4107</v>
      </c>
      <c r="H121" t="s">
        <v>4108</v>
      </c>
      <c r="I121" t="s">
        <v>3772</v>
      </c>
      <c r="J121" t="s">
        <v>3773</v>
      </c>
      <c r="K121" t="s">
        <v>3799</v>
      </c>
      <c r="L121" t="s">
        <v>3775</v>
      </c>
      <c r="M121" t="s">
        <v>3776</v>
      </c>
      <c r="N121" t="s">
        <v>3777</v>
      </c>
      <c r="O121" t="s">
        <v>5348</v>
      </c>
      <c r="P121" t="s">
        <v>5349</v>
      </c>
      <c r="Q121" t="s">
        <v>5188</v>
      </c>
      <c r="R121" t="s">
        <v>3779</v>
      </c>
      <c r="S121" t="s">
        <v>3780</v>
      </c>
      <c r="T121" t="s">
        <v>5350</v>
      </c>
      <c r="U121" t="s">
        <v>5351</v>
      </c>
      <c r="V121" t="s">
        <v>5189</v>
      </c>
      <c r="W121" t="s">
        <v>3782</v>
      </c>
      <c r="X121" t="s">
        <v>3804</v>
      </c>
      <c r="Y121" t="s">
        <v>3891</v>
      </c>
      <c r="Z121" t="s">
        <v>3785</v>
      </c>
      <c r="AA121" t="s">
        <v>3786</v>
      </c>
      <c r="AB121" t="s">
        <v>3787</v>
      </c>
      <c r="AC121" s="1" t="s">
        <v>3788</v>
      </c>
      <c r="AD121" s="6" t="s">
        <v>5832</v>
      </c>
    </row>
    <row r="122" spans="1:30" x14ac:dyDescent="0.25">
      <c r="A122" t="s">
        <v>5807</v>
      </c>
      <c r="B122" t="s">
        <v>4041</v>
      </c>
      <c r="C122" t="s">
        <v>3819</v>
      </c>
      <c r="D122" t="s">
        <v>3820</v>
      </c>
      <c r="E122" t="s">
        <v>3797</v>
      </c>
      <c r="F122" t="s">
        <v>3821</v>
      </c>
      <c r="G122" t="s">
        <v>4109</v>
      </c>
      <c r="H122" t="s">
        <v>4110</v>
      </c>
      <c r="I122" t="s">
        <v>3772</v>
      </c>
      <c r="J122" t="s">
        <v>3773</v>
      </c>
      <c r="K122" t="s">
        <v>3799</v>
      </c>
      <c r="L122" t="s">
        <v>3775</v>
      </c>
      <c r="M122" t="s">
        <v>3776</v>
      </c>
      <c r="N122" t="s">
        <v>3777</v>
      </c>
      <c r="O122" t="s">
        <v>5352</v>
      </c>
      <c r="P122" t="s">
        <v>5353</v>
      </c>
      <c r="Q122" t="s">
        <v>5190</v>
      </c>
      <c r="R122" t="s">
        <v>3779</v>
      </c>
      <c r="S122" t="s">
        <v>3780</v>
      </c>
      <c r="T122" t="s">
        <v>5354</v>
      </c>
      <c r="U122" t="s">
        <v>5355</v>
      </c>
      <c r="V122" t="s">
        <v>5191</v>
      </c>
      <c r="W122" t="s">
        <v>3782</v>
      </c>
      <c r="X122" t="s">
        <v>3804</v>
      </c>
      <c r="Y122" t="s">
        <v>3826</v>
      </c>
      <c r="Z122" t="s">
        <v>3785</v>
      </c>
      <c r="AA122" t="s">
        <v>3786</v>
      </c>
      <c r="AB122" t="s">
        <v>3787</v>
      </c>
      <c r="AC122" s="1" t="s">
        <v>3788</v>
      </c>
      <c r="AD122" s="6" t="s">
        <v>5833</v>
      </c>
    </row>
    <row r="123" spans="1:30" x14ac:dyDescent="0.25">
      <c r="A123" t="s">
        <v>5807</v>
      </c>
      <c r="B123" t="s">
        <v>4041</v>
      </c>
      <c r="C123" t="s">
        <v>3862</v>
      </c>
      <c r="D123" t="s">
        <v>3863</v>
      </c>
      <c r="E123" t="s">
        <v>3797</v>
      </c>
      <c r="F123" t="s">
        <v>3864</v>
      </c>
      <c r="G123" t="s">
        <v>4111</v>
      </c>
      <c r="H123" t="s">
        <v>4112</v>
      </c>
      <c r="I123" t="s">
        <v>3772</v>
      </c>
      <c r="J123" t="s">
        <v>3773</v>
      </c>
      <c r="K123" t="s">
        <v>3799</v>
      </c>
      <c r="L123" t="s">
        <v>3775</v>
      </c>
      <c r="M123" t="s">
        <v>3776</v>
      </c>
      <c r="N123" t="s">
        <v>3777</v>
      </c>
      <c r="O123" t="s">
        <v>5356</v>
      </c>
      <c r="P123" t="s">
        <v>5357</v>
      </c>
      <c r="Q123" t="s">
        <v>5190</v>
      </c>
      <c r="R123" t="s">
        <v>3779</v>
      </c>
      <c r="S123" t="s">
        <v>3780</v>
      </c>
      <c r="T123" t="s">
        <v>5358</v>
      </c>
      <c r="U123" t="s">
        <v>5359</v>
      </c>
      <c r="V123" t="s">
        <v>5191</v>
      </c>
      <c r="W123" t="s">
        <v>3782</v>
      </c>
      <c r="X123" t="s">
        <v>3804</v>
      </c>
      <c r="Y123" t="s">
        <v>3826</v>
      </c>
      <c r="Z123" t="s">
        <v>5149</v>
      </c>
      <c r="AA123" t="s">
        <v>5148</v>
      </c>
      <c r="AB123" t="s">
        <v>3787</v>
      </c>
      <c r="AC123" s="1" t="s">
        <v>3788</v>
      </c>
      <c r="AD123" s="6" t="s">
        <v>5834</v>
      </c>
    </row>
    <row r="124" spans="1:30" x14ac:dyDescent="0.25">
      <c r="A124" t="s">
        <v>5807</v>
      </c>
      <c r="B124" t="s">
        <v>4041</v>
      </c>
      <c r="C124" t="s">
        <v>4078</v>
      </c>
      <c r="D124" t="s">
        <v>4079</v>
      </c>
      <c r="E124" t="s">
        <v>3797</v>
      </c>
      <c r="F124" t="s">
        <v>3869</v>
      </c>
      <c r="G124" t="s">
        <v>4113</v>
      </c>
      <c r="H124" t="s">
        <v>4114</v>
      </c>
      <c r="I124" t="s">
        <v>3772</v>
      </c>
      <c r="J124" t="s">
        <v>3773</v>
      </c>
      <c r="K124" t="s">
        <v>3799</v>
      </c>
      <c r="L124" t="s">
        <v>3775</v>
      </c>
      <c r="M124" t="s">
        <v>3776</v>
      </c>
      <c r="N124" t="s">
        <v>3777</v>
      </c>
      <c r="O124" t="s">
        <v>5360</v>
      </c>
      <c r="P124" t="s">
        <v>5361</v>
      </c>
      <c r="Q124" t="s">
        <v>5192</v>
      </c>
      <c r="R124" t="s">
        <v>3779</v>
      </c>
      <c r="S124" t="s">
        <v>3780</v>
      </c>
      <c r="T124" t="s">
        <v>5362</v>
      </c>
      <c r="U124" t="s">
        <v>5363</v>
      </c>
      <c r="V124" t="s">
        <v>5193</v>
      </c>
      <c r="W124" t="s">
        <v>3782</v>
      </c>
      <c r="X124" t="s">
        <v>3804</v>
      </c>
      <c r="Y124" t="s">
        <v>3891</v>
      </c>
      <c r="Z124" t="s">
        <v>3785</v>
      </c>
      <c r="AA124" t="s">
        <v>3786</v>
      </c>
      <c r="AB124" t="s">
        <v>3787</v>
      </c>
      <c r="AC124" s="1" t="s">
        <v>3788</v>
      </c>
      <c r="AD124" s="6" t="s">
        <v>5835</v>
      </c>
    </row>
    <row r="125" spans="1:30" x14ac:dyDescent="0.25">
      <c r="A125" t="s">
        <v>5807</v>
      </c>
      <c r="B125" t="s">
        <v>4041</v>
      </c>
      <c r="C125" t="s">
        <v>4074</v>
      </c>
      <c r="D125" t="s">
        <v>3913</v>
      </c>
      <c r="E125" t="s">
        <v>3797</v>
      </c>
      <c r="F125" t="s">
        <v>4075</v>
      </c>
      <c r="G125" t="s">
        <v>4076</v>
      </c>
      <c r="H125" t="s">
        <v>4077</v>
      </c>
      <c r="I125" t="s">
        <v>3772</v>
      </c>
      <c r="J125" t="s">
        <v>3773</v>
      </c>
      <c r="K125" t="s">
        <v>3799</v>
      </c>
      <c r="L125" t="s">
        <v>3775</v>
      </c>
      <c r="M125" t="s">
        <v>3776</v>
      </c>
      <c r="N125" t="s">
        <v>3777</v>
      </c>
      <c r="O125" t="s">
        <v>5356</v>
      </c>
      <c r="P125" t="s">
        <v>5357</v>
      </c>
      <c r="Q125" t="s">
        <v>5190</v>
      </c>
      <c r="R125" t="s">
        <v>3779</v>
      </c>
      <c r="S125" t="s">
        <v>3780</v>
      </c>
      <c r="T125" t="s">
        <v>5358</v>
      </c>
      <c r="U125" t="s">
        <v>5359</v>
      </c>
      <c r="V125" t="s">
        <v>5191</v>
      </c>
      <c r="W125" t="s">
        <v>3782</v>
      </c>
      <c r="X125" t="s">
        <v>3804</v>
      </c>
      <c r="Y125" t="s">
        <v>3891</v>
      </c>
      <c r="Z125" t="s">
        <v>5151</v>
      </c>
      <c r="AA125" t="s">
        <v>5150</v>
      </c>
      <c r="AB125" t="s">
        <v>3787</v>
      </c>
      <c r="AC125" s="1" t="s">
        <v>3788</v>
      </c>
      <c r="AD125" s="6" t="s">
        <v>5836</v>
      </c>
    </row>
    <row r="126" spans="1:30" x14ac:dyDescent="0.25">
      <c r="A126" t="s">
        <v>5807</v>
      </c>
      <c r="B126" t="s">
        <v>4041</v>
      </c>
      <c r="C126" t="s">
        <v>3808</v>
      </c>
      <c r="D126" t="s">
        <v>3809</v>
      </c>
      <c r="E126" t="s">
        <v>3797</v>
      </c>
      <c r="F126" t="s">
        <v>3810</v>
      </c>
      <c r="G126" t="s">
        <v>4115</v>
      </c>
      <c r="H126" t="s">
        <v>4116</v>
      </c>
      <c r="I126" t="s">
        <v>3772</v>
      </c>
      <c r="J126" t="s">
        <v>3773</v>
      </c>
      <c r="K126" t="s">
        <v>3850</v>
      </c>
      <c r="L126" t="s">
        <v>3800</v>
      </c>
      <c r="M126" t="s">
        <v>3776</v>
      </c>
      <c r="N126" t="s">
        <v>3777</v>
      </c>
      <c r="O126" t="s">
        <v>5364</v>
      </c>
      <c r="P126" t="s">
        <v>5330</v>
      </c>
      <c r="Q126" t="s">
        <v>4781</v>
      </c>
      <c r="R126" t="s">
        <v>3779</v>
      </c>
      <c r="S126" t="s">
        <v>3780</v>
      </c>
      <c r="T126" t="s">
        <v>5365</v>
      </c>
      <c r="U126" t="s">
        <v>5366</v>
      </c>
      <c r="V126" t="s">
        <v>5194</v>
      </c>
      <c r="W126" t="s">
        <v>3782</v>
      </c>
      <c r="X126" t="s">
        <v>3804</v>
      </c>
      <c r="Y126" t="s">
        <v>3805</v>
      </c>
      <c r="Z126" t="s">
        <v>3785</v>
      </c>
      <c r="AA126" t="s">
        <v>3786</v>
      </c>
      <c r="AB126" t="s">
        <v>3787</v>
      </c>
      <c r="AC126" s="1" t="s">
        <v>3788</v>
      </c>
      <c r="AD126" s="6" t="s">
        <v>5837</v>
      </c>
    </row>
    <row r="127" spans="1:30" x14ac:dyDescent="0.25">
      <c r="A127" t="s">
        <v>5807</v>
      </c>
      <c r="B127" t="s">
        <v>4041</v>
      </c>
      <c r="C127" t="s">
        <v>3813</v>
      </c>
      <c r="D127" t="s">
        <v>3814</v>
      </c>
      <c r="E127" t="s">
        <v>3797</v>
      </c>
      <c r="F127" t="s">
        <v>3815</v>
      </c>
      <c r="G127" t="s">
        <v>4117</v>
      </c>
      <c r="H127" t="s">
        <v>4118</v>
      </c>
      <c r="I127" t="s">
        <v>3772</v>
      </c>
      <c r="J127" t="s">
        <v>3773</v>
      </c>
      <c r="K127" t="s">
        <v>3850</v>
      </c>
      <c r="L127" t="s">
        <v>3800</v>
      </c>
      <c r="M127" t="s">
        <v>3776</v>
      </c>
      <c r="N127" t="s">
        <v>3777</v>
      </c>
      <c r="O127" t="s">
        <v>5364</v>
      </c>
      <c r="P127" t="s">
        <v>5330</v>
      </c>
      <c r="Q127" t="s">
        <v>4781</v>
      </c>
      <c r="R127" t="s">
        <v>3779</v>
      </c>
      <c r="S127" t="s">
        <v>3780</v>
      </c>
      <c r="T127" t="s">
        <v>5365</v>
      </c>
      <c r="U127" t="s">
        <v>5366</v>
      </c>
      <c r="V127" t="s">
        <v>5194</v>
      </c>
      <c r="W127" t="s">
        <v>3782</v>
      </c>
      <c r="X127" t="s">
        <v>3804</v>
      </c>
      <c r="Y127" t="s">
        <v>3805</v>
      </c>
      <c r="Z127" t="s">
        <v>3785</v>
      </c>
      <c r="AA127" t="s">
        <v>3786</v>
      </c>
      <c r="AB127" t="s">
        <v>3787</v>
      </c>
      <c r="AC127" s="1" t="s">
        <v>3788</v>
      </c>
      <c r="AD127" s="6" t="s">
        <v>5838</v>
      </c>
    </row>
    <row r="128" spans="1:30" x14ac:dyDescent="0.25">
      <c r="A128" t="s">
        <v>5807</v>
      </c>
      <c r="B128" t="s">
        <v>4041</v>
      </c>
      <c r="C128" t="s">
        <v>3819</v>
      </c>
      <c r="D128" t="s">
        <v>3820</v>
      </c>
      <c r="E128" t="s">
        <v>3797</v>
      </c>
      <c r="F128" t="s">
        <v>3821</v>
      </c>
      <c r="G128" t="s">
        <v>4097</v>
      </c>
      <c r="H128" t="s">
        <v>4098</v>
      </c>
      <c r="I128" t="s">
        <v>3772</v>
      </c>
      <c r="J128" t="s">
        <v>3773</v>
      </c>
      <c r="K128" t="s">
        <v>3799</v>
      </c>
      <c r="L128" t="s">
        <v>3800</v>
      </c>
      <c r="M128" t="s">
        <v>3776</v>
      </c>
      <c r="N128" t="s">
        <v>3777</v>
      </c>
      <c r="O128" t="s">
        <v>5364</v>
      </c>
      <c r="P128" t="s">
        <v>5330</v>
      </c>
      <c r="Q128" t="s">
        <v>4781</v>
      </c>
      <c r="R128" t="s">
        <v>3779</v>
      </c>
      <c r="S128" t="s">
        <v>3780</v>
      </c>
      <c r="T128" t="s">
        <v>5365</v>
      </c>
      <c r="U128" t="s">
        <v>5366</v>
      </c>
      <c r="V128" t="s">
        <v>5194</v>
      </c>
      <c r="W128" t="s">
        <v>3782</v>
      </c>
      <c r="X128" t="s">
        <v>3804</v>
      </c>
      <c r="Y128" t="s">
        <v>3826</v>
      </c>
      <c r="Z128" t="s">
        <v>3785</v>
      </c>
      <c r="AA128" t="s">
        <v>3786</v>
      </c>
      <c r="AB128" t="s">
        <v>3787</v>
      </c>
      <c r="AC128" s="1" t="s">
        <v>3788</v>
      </c>
      <c r="AD128" s="6" t="s">
        <v>5839</v>
      </c>
    </row>
    <row r="129" spans="1:30" x14ac:dyDescent="0.25">
      <c r="A129" t="s">
        <v>5807</v>
      </c>
      <c r="B129" t="s">
        <v>4061</v>
      </c>
      <c r="C129" t="s">
        <v>4119</v>
      </c>
      <c r="D129" t="s">
        <v>4120</v>
      </c>
      <c r="E129" t="s">
        <v>3797</v>
      </c>
      <c r="F129" t="s">
        <v>4121</v>
      </c>
      <c r="G129" t="s">
        <v>4122</v>
      </c>
      <c r="H129" t="s">
        <v>4123</v>
      </c>
      <c r="I129" t="s">
        <v>3772</v>
      </c>
      <c r="J129" t="s">
        <v>3773</v>
      </c>
      <c r="K129" t="s">
        <v>3927</v>
      </c>
      <c r="L129" t="s">
        <v>3800</v>
      </c>
      <c r="M129" t="s">
        <v>3776</v>
      </c>
      <c r="N129" t="s">
        <v>3777</v>
      </c>
      <c r="O129" t="s">
        <v>5327</v>
      </c>
      <c r="P129" t="s">
        <v>5328</v>
      </c>
      <c r="Q129" t="s">
        <v>3778</v>
      </c>
      <c r="R129" t="s">
        <v>3779</v>
      </c>
      <c r="S129" t="s">
        <v>3964</v>
      </c>
      <c r="T129" t="s">
        <v>5337</v>
      </c>
      <c r="U129" t="s">
        <v>5338</v>
      </c>
      <c r="V129" t="s">
        <v>3781</v>
      </c>
      <c r="W129" t="s">
        <v>3782</v>
      </c>
      <c r="X129" t="s">
        <v>3890</v>
      </c>
      <c r="Y129" t="s">
        <v>3891</v>
      </c>
      <c r="Z129" t="s">
        <v>5157</v>
      </c>
      <c r="AA129" t="s">
        <v>5156</v>
      </c>
      <c r="AB129" t="s">
        <v>3897</v>
      </c>
      <c r="AC129" s="1" t="s">
        <v>3807</v>
      </c>
      <c r="AD129" s="6" t="s">
        <v>5840</v>
      </c>
    </row>
    <row r="130" spans="1:30" x14ac:dyDescent="0.25">
      <c r="A130" t="s">
        <v>5807</v>
      </c>
      <c r="B130" t="s">
        <v>4061</v>
      </c>
      <c r="C130" t="s">
        <v>3819</v>
      </c>
      <c r="D130" t="s">
        <v>3820</v>
      </c>
      <c r="E130" t="s">
        <v>3797</v>
      </c>
      <c r="F130" t="s">
        <v>6490</v>
      </c>
      <c r="G130" t="s">
        <v>3816</v>
      </c>
      <c r="H130" t="s">
        <v>4124</v>
      </c>
      <c r="I130" t="s">
        <v>3772</v>
      </c>
      <c r="J130" t="s">
        <v>3773</v>
      </c>
      <c r="K130" t="s">
        <v>3799</v>
      </c>
      <c r="L130" t="s">
        <v>3827</v>
      </c>
      <c r="M130" t="s">
        <v>3776</v>
      </c>
      <c r="N130" t="s">
        <v>3777</v>
      </c>
      <c r="O130" t="s">
        <v>5327</v>
      </c>
      <c r="P130" t="s">
        <v>5328</v>
      </c>
      <c r="Q130" t="s">
        <v>3778</v>
      </c>
      <c r="R130" t="s">
        <v>3779</v>
      </c>
      <c r="S130" t="s">
        <v>3780</v>
      </c>
      <c r="T130" t="s">
        <v>5337</v>
      </c>
      <c r="U130" t="s">
        <v>5338</v>
      </c>
      <c r="V130" t="s">
        <v>3781</v>
      </c>
      <c r="W130" t="s">
        <v>3782</v>
      </c>
      <c r="X130" t="s">
        <v>3783</v>
      </c>
      <c r="Y130" t="s">
        <v>3784</v>
      </c>
      <c r="Z130" t="s">
        <v>5151</v>
      </c>
      <c r="AA130" t="s">
        <v>5148</v>
      </c>
      <c r="AB130" t="s">
        <v>3831</v>
      </c>
      <c r="AC130" s="1" t="s">
        <v>3807</v>
      </c>
      <c r="AD130" s="6" t="s">
        <v>6948</v>
      </c>
    </row>
    <row r="131" spans="1:30" x14ac:dyDescent="0.25">
      <c r="A131" t="s">
        <v>5807</v>
      </c>
      <c r="B131" t="s">
        <v>4061</v>
      </c>
      <c r="C131" t="s">
        <v>3862</v>
      </c>
      <c r="D131" t="s">
        <v>3863</v>
      </c>
      <c r="E131" t="s">
        <v>3797</v>
      </c>
      <c r="F131" t="s">
        <v>4609</v>
      </c>
      <c r="G131" t="s">
        <v>4125</v>
      </c>
      <c r="H131" t="s">
        <v>4046</v>
      </c>
      <c r="I131" t="s">
        <v>3772</v>
      </c>
      <c r="J131" t="s">
        <v>3773</v>
      </c>
      <c r="K131" t="s">
        <v>3799</v>
      </c>
      <c r="L131" t="s">
        <v>3827</v>
      </c>
      <c r="M131" t="s">
        <v>3776</v>
      </c>
      <c r="N131" t="s">
        <v>3777</v>
      </c>
      <c r="O131" t="s">
        <v>5327</v>
      </c>
      <c r="P131" t="s">
        <v>5328</v>
      </c>
      <c r="Q131" t="s">
        <v>3778</v>
      </c>
      <c r="R131" t="s">
        <v>3779</v>
      </c>
      <c r="S131" t="s">
        <v>3780</v>
      </c>
      <c r="T131" t="s">
        <v>5337</v>
      </c>
      <c r="U131" t="s">
        <v>5338</v>
      </c>
      <c r="V131" t="s">
        <v>3781</v>
      </c>
      <c r="W131" t="s">
        <v>3782</v>
      </c>
      <c r="X131" t="s">
        <v>3783</v>
      </c>
      <c r="Y131" t="s">
        <v>3784</v>
      </c>
      <c r="Z131" t="s">
        <v>5151</v>
      </c>
      <c r="AA131" t="s">
        <v>5148</v>
      </c>
      <c r="AB131" t="s">
        <v>3831</v>
      </c>
      <c r="AC131" s="1" t="s">
        <v>3807</v>
      </c>
      <c r="AD131" s="6" t="s">
        <v>6950</v>
      </c>
    </row>
    <row r="132" spans="1:30" x14ac:dyDescent="0.25">
      <c r="A132" t="s">
        <v>5807</v>
      </c>
      <c r="B132" t="s">
        <v>4061</v>
      </c>
      <c r="C132" t="s">
        <v>4739</v>
      </c>
      <c r="D132" t="s">
        <v>4126</v>
      </c>
      <c r="E132" t="s">
        <v>3797</v>
      </c>
      <c r="F132" t="s">
        <v>6491</v>
      </c>
      <c r="G132" t="s">
        <v>4127</v>
      </c>
      <c r="H132" t="s">
        <v>4128</v>
      </c>
      <c r="I132" t="s">
        <v>3772</v>
      </c>
      <c r="J132" t="s">
        <v>3773</v>
      </c>
      <c r="K132" t="s">
        <v>3799</v>
      </c>
      <c r="L132" t="s">
        <v>3827</v>
      </c>
      <c r="M132" t="s">
        <v>3776</v>
      </c>
      <c r="N132" t="s">
        <v>3777</v>
      </c>
      <c r="O132" t="s">
        <v>5327</v>
      </c>
      <c r="P132" t="s">
        <v>5328</v>
      </c>
      <c r="Q132" t="s">
        <v>3778</v>
      </c>
      <c r="R132" t="s">
        <v>3779</v>
      </c>
      <c r="S132" t="s">
        <v>3780</v>
      </c>
      <c r="T132" t="s">
        <v>5337</v>
      </c>
      <c r="U132" t="s">
        <v>5338</v>
      </c>
      <c r="V132" t="s">
        <v>3781</v>
      </c>
      <c r="W132" t="s">
        <v>3782</v>
      </c>
      <c r="X132" t="s">
        <v>3783</v>
      </c>
      <c r="Y132" t="s">
        <v>3784</v>
      </c>
      <c r="Z132" t="s">
        <v>5155</v>
      </c>
      <c r="AA132" t="s">
        <v>5148</v>
      </c>
      <c r="AB132" t="s">
        <v>3831</v>
      </c>
      <c r="AC132" s="1" t="s">
        <v>3807</v>
      </c>
      <c r="AD132" s="6" t="s">
        <v>6952</v>
      </c>
    </row>
    <row r="133" spans="1:30" x14ac:dyDescent="0.25">
      <c r="A133" t="s">
        <v>5807</v>
      </c>
      <c r="B133" t="s">
        <v>4061</v>
      </c>
      <c r="C133" t="s">
        <v>4074</v>
      </c>
      <c r="D133" t="s">
        <v>3913</v>
      </c>
      <c r="E133" t="s">
        <v>3797</v>
      </c>
      <c r="F133" t="s">
        <v>4075</v>
      </c>
      <c r="G133" t="s">
        <v>4129</v>
      </c>
      <c r="H133" t="s">
        <v>4130</v>
      </c>
      <c r="I133" t="s">
        <v>3772</v>
      </c>
      <c r="J133" t="s">
        <v>3773</v>
      </c>
      <c r="K133" t="s">
        <v>3799</v>
      </c>
      <c r="L133" t="s">
        <v>3827</v>
      </c>
      <c r="M133" t="s">
        <v>3776</v>
      </c>
      <c r="N133" t="s">
        <v>3777</v>
      </c>
      <c r="O133" t="s">
        <v>5327</v>
      </c>
      <c r="P133" t="s">
        <v>5328</v>
      </c>
      <c r="Q133" t="s">
        <v>3778</v>
      </c>
      <c r="R133" t="s">
        <v>3779</v>
      </c>
      <c r="S133" t="s">
        <v>3780</v>
      </c>
      <c r="T133" t="s">
        <v>5337</v>
      </c>
      <c r="U133" t="s">
        <v>5338</v>
      </c>
      <c r="V133" t="s">
        <v>3781</v>
      </c>
      <c r="W133" t="s">
        <v>3782</v>
      </c>
      <c r="X133" t="s">
        <v>3783</v>
      </c>
      <c r="Y133" t="s">
        <v>3784</v>
      </c>
      <c r="Z133" t="s">
        <v>5155</v>
      </c>
      <c r="AA133" t="s">
        <v>5148</v>
      </c>
      <c r="AB133" t="s">
        <v>3831</v>
      </c>
      <c r="AC133" s="1" t="s">
        <v>3807</v>
      </c>
      <c r="AD133" s="6" t="s">
        <v>6954</v>
      </c>
    </row>
    <row r="134" spans="1:30" x14ac:dyDescent="0.25">
      <c r="A134" t="s">
        <v>5807</v>
      </c>
      <c r="B134" t="s">
        <v>4061</v>
      </c>
      <c r="C134" t="s">
        <v>6329</v>
      </c>
      <c r="D134" t="s">
        <v>3885</v>
      </c>
      <c r="E134" t="s">
        <v>3797</v>
      </c>
      <c r="F134" t="s">
        <v>6492</v>
      </c>
      <c r="G134" t="s">
        <v>4131</v>
      </c>
      <c r="H134" t="s">
        <v>4132</v>
      </c>
      <c r="I134" t="s">
        <v>3772</v>
      </c>
      <c r="J134" t="s">
        <v>3773</v>
      </c>
      <c r="K134" t="s">
        <v>3799</v>
      </c>
      <c r="L134" t="s">
        <v>3827</v>
      </c>
      <c r="M134" t="s">
        <v>3776</v>
      </c>
      <c r="N134" t="s">
        <v>3777</v>
      </c>
      <c r="O134" t="s">
        <v>5327</v>
      </c>
      <c r="P134" t="s">
        <v>5328</v>
      </c>
      <c r="Q134" t="s">
        <v>3778</v>
      </c>
      <c r="R134" t="s">
        <v>3779</v>
      </c>
      <c r="S134" t="s">
        <v>3780</v>
      </c>
      <c r="T134" t="s">
        <v>5337</v>
      </c>
      <c r="U134" t="s">
        <v>5338</v>
      </c>
      <c r="V134" t="s">
        <v>3781</v>
      </c>
      <c r="W134" t="s">
        <v>3782</v>
      </c>
      <c r="X134" t="s">
        <v>3783</v>
      </c>
      <c r="Y134" t="s">
        <v>3784</v>
      </c>
      <c r="Z134" t="s">
        <v>5159</v>
      </c>
      <c r="AA134" t="s">
        <v>5148</v>
      </c>
      <c r="AB134" t="s">
        <v>3831</v>
      </c>
      <c r="AC134" s="1" t="s">
        <v>3807</v>
      </c>
      <c r="AD134" s="6" t="s">
        <v>6956</v>
      </c>
    </row>
    <row r="135" spans="1:30" x14ac:dyDescent="0.25">
      <c r="A135" t="s">
        <v>5807</v>
      </c>
      <c r="B135" t="s">
        <v>4061</v>
      </c>
      <c r="C135" t="s">
        <v>4865</v>
      </c>
      <c r="D135" t="s">
        <v>3924</v>
      </c>
      <c r="E135" t="s">
        <v>3797</v>
      </c>
      <c r="F135" t="s">
        <v>6493</v>
      </c>
      <c r="G135" t="s">
        <v>4133</v>
      </c>
      <c r="H135" t="s">
        <v>4134</v>
      </c>
      <c r="I135" t="s">
        <v>3772</v>
      </c>
      <c r="J135" t="s">
        <v>3773</v>
      </c>
      <c r="K135" t="s">
        <v>3799</v>
      </c>
      <c r="L135" t="s">
        <v>3827</v>
      </c>
      <c r="M135" t="s">
        <v>3776</v>
      </c>
      <c r="N135" t="s">
        <v>3777</v>
      </c>
      <c r="O135" t="s">
        <v>5327</v>
      </c>
      <c r="P135" t="s">
        <v>5328</v>
      </c>
      <c r="Q135" t="s">
        <v>3778</v>
      </c>
      <c r="R135" t="s">
        <v>3779</v>
      </c>
      <c r="S135" t="s">
        <v>3780</v>
      </c>
      <c r="T135" t="s">
        <v>5337</v>
      </c>
      <c r="U135" t="s">
        <v>5338</v>
      </c>
      <c r="V135" t="s">
        <v>3781</v>
      </c>
      <c r="W135" t="s">
        <v>3782</v>
      </c>
      <c r="X135" t="s">
        <v>3783</v>
      </c>
      <c r="Y135" t="s">
        <v>3784</v>
      </c>
      <c r="Z135" t="s">
        <v>5157</v>
      </c>
      <c r="AA135" t="s">
        <v>5148</v>
      </c>
      <c r="AB135" t="s">
        <v>4135</v>
      </c>
      <c r="AC135" s="1" t="s">
        <v>3807</v>
      </c>
      <c r="AD135" s="6" t="s">
        <v>6958</v>
      </c>
    </row>
    <row r="136" spans="1:30" x14ac:dyDescent="0.25">
      <c r="A136" t="s">
        <v>5807</v>
      </c>
      <c r="B136" t="s">
        <v>4061</v>
      </c>
      <c r="C136" t="s">
        <v>3819</v>
      </c>
      <c r="D136" t="s">
        <v>3820</v>
      </c>
      <c r="E136" t="s">
        <v>3797</v>
      </c>
      <c r="F136" t="s">
        <v>6490</v>
      </c>
      <c r="G136" t="s">
        <v>3991</v>
      </c>
      <c r="H136" t="s">
        <v>4136</v>
      </c>
      <c r="I136" t="s">
        <v>3772</v>
      </c>
      <c r="J136" t="s">
        <v>3773</v>
      </c>
      <c r="K136" t="s">
        <v>3850</v>
      </c>
      <c r="L136" t="s">
        <v>4137</v>
      </c>
      <c r="M136" t="s">
        <v>3776</v>
      </c>
      <c r="N136" t="s">
        <v>3777</v>
      </c>
      <c r="O136" t="s">
        <v>5327</v>
      </c>
      <c r="P136" t="s">
        <v>5328</v>
      </c>
      <c r="Q136" t="s">
        <v>3778</v>
      </c>
      <c r="R136" t="s">
        <v>3779</v>
      </c>
      <c r="S136" t="s">
        <v>3964</v>
      </c>
      <c r="T136" t="s">
        <v>5337</v>
      </c>
      <c r="U136" t="s">
        <v>5338</v>
      </c>
      <c r="V136" t="s">
        <v>3781</v>
      </c>
      <c r="W136" t="s">
        <v>3782</v>
      </c>
      <c r="X136" t="s">
        <v>3783</v>
      </c>
      <c r="Y136" t="s">
        <v>3784</v>
      </c>
      <c r="Z136" t="s">
        <v>5151</v>
      </c>
      <c r="AA136" t="s">
        <v>5148</v>
      </c>
      <c r="AB136" t="s">
        <v>4138</v>
      </c>
      <c r="AC136" s="1" t="s">
        <v>3807</v>
      </c>
      <c r="AD136" s="6" t="s">
        <v>6960</v>
      </c>
    </row>
    <row r="137" spans="1:30" x14ac:dyDescent="0.25">
      <c r="A137" t="s">
        <v>5807</v>
      </c>
      <c r="B137" t="s">
        <v>4061</v>
      </c>
      <c r="C137" t="s">
        <v>3862</v>
      </c>
      <c r="D137" t="s">
        <v>3863</v>
      </c>
      <c r="E137" t="s">
        <v>3797</v>
      </c>
      <c r="F137" t="s">
        <v>4609</v>
      </c>
      <c r="G137" t="s">
        <v>4139</v>
      </c>
      <c r="H137" t="s">
        <v>4049</v>
      </c>
      <c r="I137" t="s">
        <v>3772</v>
      </c>
      <c r="J137" t="s">
        <v>3773</v>
      </c>
      <c r="K137" t="s">
        <v>3850</v>
      </c>
      <c r="L137" t="s">
        <v>4137</v>
      </c>
      <c r="M137" t="s">
        <v>3776</v>
      </c>
      <c r="N137" t="s">
        <v>3777</v>
      </c>
      <c r="O137" t="s">
        <v>5327</v>
      </c>
      <c r="P137" t="s">
        <v>5328</v>
      </c>
      <c r="Q137" t="s">
        <v>3778</v>
      </c>
      <c r="R137" t="s">
        <v>3779</v>
      </c>
      <c r="S137" t="s">
        <v>3883</v>
      </c>
      <c r="T137" t="s">
        <v>5337</v>
      </c>
      <c r="U137" t="s">
        <v>5338</v>
      </c>
      <c r="V137" t="s">
        <v>3781</v>
      </c>
      <c r="W137" t="s">
        <v>3782</v>
      </c>
      <c r="X137" t="s">
        <v>3783</v>
      </c>
      <c r="Y137" t="s">
        <v>3784</v>
      </c>
      <c r="Z137" t="s">
        <v>5151</v>
      </c>
      <c r="AA137" t="s">
        <v>5148</v>
      </c>
      <c r="AB137" t="s">
        <v>4138</v>
      </c>
      <c r="AC137" s="1" t="s">
        <v>3807</v>
      </c>
      <c r="AD137" s="6" t="s">
        <v>6962</v>
      </c>
    </row>
    <row r="138" spans="1:30" x14ac:dyDescent="0.25">
      <c r="A138" t="s">
        <v>5807</v>
      </c>
      <c r="B138" t="s">
        <v>4061</v>
      </c>
      <c r="C138" t="s">
        <v>4739</v>
      </c>
      <c r="D138" t="s">
        <v>4126</v>
      </c>
      <c r="E138" t="s">
        <v>3797</v>
      </c>
      <c r="F138" t="s">
        <v>6491</v>
      </c>
      <c r="G138" t="s">
        <v>4140</v>
      </c>
      <c r="H138" t="s">
        <v>4141</v>
      </c>
      <c r="I138" t="s">
        <v>3772</v>
      </c>
      <c r="J138" t="s">
        <v>3773</v>
      </c>
      <c r="K138" t="s">
        <v>3850</v>
      </c>
      <c r="L138" t="s">
        <v>4137</v>
      </c>
      <c r="M138" t="s">
        <v>3776</v>
      </c>
      <c r="N138" t="s">
        <v>3777</v>
      </c>
      <c r="O138" t="s">
        <v>5327</v>
      </c>
      <c r="P138" t="s">
        <v>5328</v>
      </c>
      <c r="Q138" t="s">
        <v>3778</v>
      </c>
      <c r="R138" t="s">
        <v>3779</v>
      </c>
      <c r="S138" t="s">
        <v>3964</v>
      </c>
      <c r="T138" t="s">
        <v>5337</v>
      </c>
      <c r="U138" t="s">
        <v>5338</v>
      </c>
      <c r="V138" t="s">
        <v>3781</v>
      </c>
      <c r="W138" t="s">
        <v>3782</v>
      </c>
      <c r="X138" t="s">
        <v>3783</v>
      </c>
      <c r="Y138" t="s">
        <v>3784</v>
      </c>
      <c r="Z138" t="s">
        <v>5155</v>
      </c>
      <c r="AA138" t="s">
        <v>5148</v>
      </c>
      <c r="AB138" t="s">
        <v>3831</v>
      </c>
      <c r="AC138" s="1" t="s">
        <v>3807</v>
      </c>
      <c r="AD138" s="6" t="s">
        <v>6964</v>
      </c>
    </row>
    <row r="139" spans="1:30" x14ac:dyDescent="0.25">
      <c r="A139" t="s">
        <v>5807</v>
      </c>
      <c r="B139" t="s">
        <v>4061</v>
      </c>
      <c r="C139" t="s">
        <v>4074</v>
      </c>
      <c r="D139" t="s">
        <v>3913</v>
      </c>
      <c r="E139" t="s">
        <v>3797</v>
      </c>
      <c r="F139" t="s">
        <v>4075</v>
      </c>
      <c r="G139" t="s">
        <v>4142</v>
      </c>
      <c r="H139" t="s">
        <v>3915</v>
      </c>
      <c r="I139" t="s">
        <v>3772</v>
      </c>
      <c r="J139" t="s">
        <v>3773</v>
      </c>
      <c r="K139" t="s">
        <v>3850</v>
      </c>
      <c r="L139" t="s">
        <v>4137</v>
      </c>
      <c r="M139" t="s">
        <v>3776</v>
      </c>
      <c r="N139" t="s">
        <v>3777</v>
      </c>
      <c r="O139" t="s">
        <v>5327</v>
      </c>
      <c r="P139" t="s">
        <v>5328</v>
      </c>
      <c r="Q139" t="s">
        <v>3778</v>
      </c>
      <c r="R139" t="s">
        <v>3779</v>
      </c>
      <c r="S139" t="s">
        <v>3964</v>
      </c>
      <c r="T139" t="s">
        <v>5337</v>
      </c>
      <c r="U139" t="s">
        <v>5338</v>
      </c>
      <c r="V139" t="s">
        <v>3781</v>
      </c>
      <c r="W139" t="s">
        <v>3782</v>
      </c>
      <c r="X139" t="s">
        <v>3783</v>
      </c>
      <c r="Y139" t="s">
        <v>3784</v>
      </c>
      <c r="Z139" t="s">
        <v>5155</v>
      </c>
      <c r="AA139" t="s">
        <v>5148</v>
      </c>
      <c r="AB139" t="s">
        <v>3831</v>
      </c>
      <c r="AC139" s="1" t="s">
        <v>3807</v>
      </c>
      <c r="AD139" s="6" t="s">
        <v>6966</v>
      </c>
    </row>
    <row r="140" spans="1:30" x14ac:dyDescent="0.25">
      <c r="A140" t="s">
        <v>5807</v>
      </c>
      <c r="B140" t="s">
        <v>4061</v>
      </c>
      <c r="C140" t="s">
        <v>6329</v>
      </c>
      <c r="D140" t="s">
        <v>3885</v>
      </c>
      <c r="E140" t="s">
        <v>3797</v>
      </c>
      <c r="F140" t="s">
        <v>6492</v>
      </c>
      <c r="G140" t="s">
        <v>4143</v>
      </c>
      <c r="H140" t="s">
        <v>4144</v>
      </c>
      <c r="I140" t="s">
        <v>3772</v>
      </c>
      <c r="J140" t="s">
        <v>3773</v>
      </c>
      <c r="K140" t="s">
        <v>3850</v>
      </c>
      <c r="L140" t="s">
        <v>4137</v>
      </c>
      <c r="M140" t="s">
        <v>3776</v>
      </c>
      <c r="N140" t="s">
        <v>3777</v>
      </c>
      <c r="O140" t="s">
        <v>5327</v>
      </c>
      <c r="P140" t="s">
        <v>5328</v>
      </c>
      <c r="Q140" t="s">
        <v>3778</v>
      </c>
      <c r="R140" t="s">
        <v>3779</v>
      </c>
      <c r="S140" t="s">
        <v>4145</v>
      </c>
      <c r="T140" t="s">
        <v>5337</v>
      </c>
      <c r="U140" t="s">
        <v>5338</v>
      </c>
      <c r="V140" t="s">
        <v>3781</v>
      </c>
      <c r="W140" t="s">
        <v>3782</v>
      </c>
      <c r="X140" t="s">
        <v>3783</v>
      </c>
      <c r="Y140" t="s">
        <v>3784</v>
      </c>
      <c r="Z140" t="s">
        <v>5159</v>
      </c>
      <c r="AA140" t="s">
        <v>5148</v>
      </c>
      <c r="AB140" t="s">
        <v>3831</v>
      </c>
      <c r="AC140" s="1" t="s">
        <v>4146</v>
      </c>
      <c r="AD140" s="6" t="s">
        <v>6968</v>
      </c>
    </row>
    <row r="141" spans="1:30" x14ac:dyDescent="0.25">
      <c r="A141" t="s">
        <v>5807</v>
      </c>
      <c r="B141" t="s">
        <v>4061</v>
      </c>
      <c r="C141" t="s">
        <v>4062</v>
      </c>
      <c r="D141" t="s">
        <v>4147</v>
      </c>
      <c r="E141" t="s">
        <v>3797</v>
      </c>
      <c r="F141" t="s">
        <v>4660</v>
      </c>
      <c r="G141" t="s">
        <v>4148</v>
      </c>
      <c r="H141" t="s">
        <v>4149</v>
      </c>
      <c r="I141" t="s">
        <v>3772</v>
      </c>
      <c r="J141" t="s">
        <v>3773</v>
      </c>
      <c r="K141" t="s">
        <v>3850</v>
      </c>
      <c r="L141" t="s">
        <v>4137</v>
      </c>
      <c r="M141" t="s">
        <v>3776</v>
      </c>
      <c r="N141" t="s">
        <v>3777</v>
      </c>
      <c r="O141" t="s">
        <v>5327</v>
      </c>
      <c r="P141" t="s">
        <v>5328</v>
      </c>
      <c r="Q141" t="s">
        <v>3778</v>
      </c>
      <c r="R141" t="s">
        <v>3779</v>
      </c>
      <c r="S141" t="s">
        <v>3883</v>
      </c>
      <c r="T141" t="s">
        <v>5337</v>
      </c>
      <c r="U141" t="s">
        <v>5338</v>
      </c>
      <c r="V141" t="s">
        <v>3781</v>
      </c>
      <c r="W141" t="s">
        <v>3782</v>
      </c>
      <c r="X141" t="s">
        <v>3783</v>
      </c>
      <c r="Y141" t="s">
        <v>3784</v>
      </c>
      <c r="Z141" t="s">
        <v>5160</v>
      </c>
      <c r="AA141" t="s">
        <v>5148</v>
      </c>
      <c r="AB141" t="s">
        <v>3831</v>
      </c>
      <c r="AC141" s="1" t="s">
        <v>3807</v>
      </c>
      <c r="AD141" s="6" t="s">
        <v>6970</v>
      </c>
    </row>
    <row r="142" spans="1:30" x14ac:dyDescent="0.25">
      <c r="A142" t="s">
        <v>5807</v>
      </c>
      <c r="B142" t="s">
        <v>4061</v>
      </c>
      <c r="C142" t="s">
        <v>4119</v>
      </c>
      <c r="D142" t="s">
        <v>3902</v>
      </c>
      <c r="E142" t="s">
        <v>3797</v>
      </c>
      <c r="F142" t="s">
        <v>4956</v>
      </c>
      <c r="G142" t="s">
        <v>4150</v>
      </c>
      <c r="H142" t="s">
        <v>3960</v>
      </c>
      <c r="I142" t="s">
        <v>3772</v>
      </c>
      <c r="J142" t="s">
        <v>3773</v>
      </c>
      <c r="K142" t="s">
        <v>3799</v>
      </c>
      <c r="L142" t="s">
        <v>4137</v>
      </c>
      <c r="M142" t="s">
        <v>3776</v>
      </c>
      <c r="N142" t="s">
        <v>3777</v>
      </c>
      <c r="O142" t="s">
        <v>5327</v>
      </c>
      <c r="P142" t="s">
        <v>5328</v>
      </c>
      <c r="Q142" t="s">
        <v>3778</v>
      </c>
      <c r="R142" t="s">
        <v>3779</v>
      </c>
      <c r="S142" t="s">
        <v>3883</v>
      </c>
      <c r="T142" t="s">
        <v>5337</v>
      </c>
      <c r="U142" t="s">
        <v>5338</v>
      </c>
      <c r="V142" t="s">
        <v>3781</v>
      </c>
      <c r="W142" t="s">
        <v>3782</v>
      </c>
      <c r="X142" t="s">
        <v>3783</v>
      </c>
      <c r="Y142" t="s">
        <v>3784</v>
      </c>
      <c r="Z142" t="s">
        <v>5160</v>
      </c>
      <c r="AA142" t="s">
        <v>5148</v>
      </c>
      <c r="AB142" t="s">
        <v>3831</v>
      </c>
      <c r="AC142" s="1" t="s">
        <v>3807</v>
      </c>
      <c r="AD142" s="6" t="s">
        <v>6972</v>
      </c>
    </row>
    <row r="143" spans="1:30" x14ac:dyDescent="0.25">
      <c r="A143" t="s">
        <v>5807</v>
      </c>
      <c r="B143" t="s">
        <v>4061</v>
      </c>
      <c r="C143" t="s">
        <v>4066</v>
      </c>
      <c r="D143" t="s">
        <v>3967</v>
      </c>
      <c r="E143" t="s">
        <v>3797</v>
      </c>
      <c r="F143" t="s">
        <v>4067</v>
      </c>
      <c r="G143" t="s">
        <v>4151</v>
      </c>
      <c r="H143" t="s">
        <v>4152</v>
      </c>
      <c r="I143" t="s">
        <v>3772</v>
      </c>
      <c r="J143" t="s">
        <v>3773</v>
      </c>
      <c r="K143" t="s">
        <v>3850</v>
      </c>
      <c r="L143" t="s">
        <v>4137</v>
      </c>
      <c r="M143" t="s">
        <v>3776</v>
      </c>
      <c r="N143" t="s">
        <v>3777</v>
      </c>
      <c r="O143" t="s">
        <v>5327</v>
      </c>
      <c r="P143" t="s">
        <v>5328</v>
      </c>
      <c r="Q143" t="s">
        <v>3778</v>
      </c>
      <c r="R143" t="s">
        <v>3779</v>
      </c>
      <c r="S143" t="s">
        <v>4153</v>
      </c>
      <c r="T143" t="s">
        <v>5337</v>
      </c>
      <c r="U143" t="s">
        <v>5338</v>
      </c>
      <c r="V143" t="s">
        <v>3781</v>
      </c>
      <c r="W143" t="s">
        <v>3782</v>
      </c>
      <c r="X143" t="s">
        <v>3890</v>
      </c>
      <c r="Y143" t="s">
        <v>3891</v>
      </c>
      <c r="Z143" t="s">
        <v>5161</v>
      </c>
      <c r="AA143" t="s">
        <v>5156</v>
      </c>
      <c r="AB143" t="s">
        <v>4154</v>
      </c>
      <c r="AC143" s="1" t="s">
        <v>3807</v>
      </c>
      <c r="AD143" s="6" t="s">
        <v>5841</v>
      </c>
    </row>
    <row r="144" spans="1:30" x14ac:dyDescent="0.25">
      <c r="A144" t="s">
        <v>5842</v>
      </c>
      <c r="B144" t="s">
        <v>3766</v>
      </c>
      <c r="C144" t="s">
        <v>4235</v>
      </c>
      <c r="D144" t="s">
        <v>3796</v>
      </c>
      <c r="E144" t="s">
        <v>3797</v>
      </c>
      <c r="F144" t="s">
        <v>4774</v>
      </c>
      <c r="G144" t="s">
        <v>4533</v>
      </c>
      <c r="H144" t="s">
        <v>6494</v>
      </c>
      <c r="I144" t="s">
        <v>3772</v>
      </c>
      <c r="J144" t="s">
        <v>3773</v>
      </c>
      <c r="K144" t="s">
        <v>3850</v>
      </c>
      <c r="L144" t="s">
        <v>3800</v>
      </c>
      <c r="M144" t="s">
        <v>3776</v>
      </c>
      <c r="N144" t="s">
        <v>3777</v>
      </c>
      <c r="O144" t="s">
        <v>5367</v>
      </c>
      <c r="P144" t="s">
        <v>5368</v>
      </c>
      <c r="Q144" t="s">
        <v>4155</v>
      </c>
      <c r="R144" t="s">
        <v>4156</v>
      </c>
      <c r="S144" t="s">
        <v>4157</v>
      </c>
      <c r="T144" t="s">
        <v>5369</v>
      </c>
      <c r="U144" t="s">
        <v>5370</v>
      </c>
      <c r="V144" t="s">
        <v>4158</v>
      </c>
      <c r="W144" t="s">
        <v>3782</v>
      </c>
      <c r="X144" t="s">
        <v>3804</v>
      </c>
      <c r="Y144" t="s">
        <v>3805</v>
      </c>
      <c r="Z144" t="s">
        <v>5149</v>
      </c>
      <c r="AA144" t="s">
        <v>5154</v>
      </c>
      <c r="AB144" t="s">
        <v>3787</v>
      </c>
      <c r="AC144" s="1" t="s">
        <v>4159</v>
      </c>
      <c r="AD144" s="6" t="s">
        <v>6495</v>
      </c>
    </row>
    <row r="145" spans="1:30" x14ac:dyDescent="0.25">
      <c r="A145" t="s">
        <v>5842</v>
      </c>
      <c r="B145" t="s">
        <v>3766</v>
      </c>
      <c r="C145" t="s">
        <v>4235</v>
      </c>
      <c r="D145" t="s">
        <v>3796</v>
      </c>
      <c r="E145" t="s">
        <v>3797</v>
      </c>
      <c r="F145" t="s">
        <v>4173</v>
      </c>
      <c r="G145" t="s">
        <v>4237</v>
      </c>
      <c r="H145" t="s">
        <v>6497</v>
      </c>
      <c r="I145" t="s">
        <v>3772</v>
      </c>
      <c r="J145" t="s">
        <v>3773</v>
      </c>
      <c r="K145" t="s">
        <v>3850</v>
      </c>
      <c r="L145" t="s">
        <v>3800</v>
      </c>
      <c r="M145" t="s">
        <v>3776</v>
      </c>
      <c r="N145" t="s">
        <v>3777</v>
      </c>
      <c r="O145" t="s">
        <v>5367</v>
      </c>
      <c r="P145" t="s">
        <v>5368</v>
      </c>
      <c r="Q145" t="s">
        <v>4160</v>
      </c>
      <c r="R145" t="s">
        <v>4161</v>
      </c>
      <c r="S145" t="s">
        <v>4157</v>
      </c>
      <c r="T145" t="s">
        <v>5371</v>
      </c>
      <c r="U145" t="s">
        <v>5372</v>
      </c>
      <c r="V145" t="s">
        <v>4162</v>
      </c>
      <c r="W145" t="s">
        <v>3782</v>
      </c>
      <c r="X145" t="s">
        <v>3804</v>
      </c>
      <c r="Y145" t="s">
        <v>3805</v>
      </c>
      <c r="Z145" t="s">
        <v>5149</v>
      </c>
      <c r="AA145" t="s">
        <v>5154</v>
      </c>
      <c r="AB145" t="s">
        <v>3787</v>
      </c>
      <c r="AC145" s="1" t="s">
        <v>3807</v>
      </c>
      <c r="AD145" s="6" t="s">
        <v>6498</v>
      </c>
    </row>
    <row r="146" spans="1:30" x14ac:dyDescent="0.25">
      <c r="A146" t="s">
        <v>5842</v>
      </c>
      <c r="B146" t="s">
        <v>3766</v>
      </c>
      <c r="C146" t="s">
        <v>4189</v>
      </c>
      <c r="D146" t="s">
        <v>4163</v>
      </c>
      <c r="E146" t="s">
        <v>3797</v>
      </c>
      <c r="F146" t="s">
        <v>4240</v>
      </c>
      <c r="G146" t="s">
        <v>4533</v>
      </c>
      <c r="H146" t="s">
        <v>6494</v>
      </c>
      <c r="I146" t="s">
        <v>3772</v>
      </c>
      <c r="J146" t="s">
        <v>3773</v>
      </c>
      <c r="K146" t="s">
        <v>3850</v>
      </c>
      <c r="L146" t="s">
        <v>3800</v>
      </c>
      <c r="M146" t="s">
        <v>3776</v>
      </c>
      <c r="N146" t="s">
        <v>3777</v>
      </c>
      <c r="O146" t="s">
        <v>5367</v>
      </c>
      <c r="P146" t="s">
        <v>5368</v>
      </c>
      <c r="Q146" t="s">
        <v>4155</v>
      </c>
      <c r="R146" t="s">
        <v>4156</v>
      </c>
      <c r="S146" t="s">
        <v>4157</v>
      </c>
      <c r="T146" t="s">
        <v>5369</v>
      </c>
      <c r="U146" t="s">
        <v>5370</v>
      </c>
      <c r="V146" t="s">
        <v>4158</v>
      </c>
      <c r="W146" t="s">
        <v>3782</v>
      </c>
      <c r="X146" t="s">
        <v>3804</v>
      </c>
      <c r="Y146" t="s">
        <v>3805</v>
      </c>
      <c r="Z146" t="s">
        <v>5149</v>
      </c>
      <c r="AA146" t="s">
        <v>5154</v>
      </c>
      <c r="AB146" t="s">
        <v>3787</v>
      </c>
      <c r="AC146" s="1" t="s">
        <v>4159</v>
      </c>
      <c r="AD146" s="6" t="s">
        <v>6500</v>
      </c>
    </row>
    <row r="147" spans="1:30" x14ac:dyDescent="0.25">
      <c r="A147" t="s">
        <v>5842</v>
      </c>
      <c r="B147" t="s">
        <v>3766</v>
      </c>
      <c r="C147" t="s">
        <v>4189</v>
      </c>
      <c r="D147" t="s">
        <v>4163</v>
      </c>
      <c r="E147" t="s">
        <v>3797</v>
      </c>
      <c r="F147" t="s">
        <v>4468</v>
      </c>
      <c r="G147" t="s">
        <v>4533</v>
      </c>
      <c r="H147" t="s">
        <v>6502</v>
      </c>
      <c r="I147" t="s">
        <v>3772</v>
      </c>
      <c r="J147" t="s">
        <v>3773</v>
      </c>
      <c r="K147" t="s">
        <v>3850</v>
      </c>
      <c r="L147" t="s">
        <v>3800</v>
      </c>
      <c r="M147" t="s">
        <v>3776</v>
      </c>
      <c r="N147" t="s">
        <v>3777</v>
      </c>
      <c r="O147" t="s">
        <v>5367</v>
      </c>
      <c r="P147" t="s">
        <v>5368</v>
      </c>
      <c r="Q147" t="s">
        <v>4160</v>
      </c>
      <c r="R147" t="s">
        <v>4161</v>
      </c>
      <c r="S147" t="s">
        <v>4157</v>
      </c>
      <c r="T147" t="s">
        <v>5371</v>
      </c>
      <c r="U147" t="s">
        <v>5372</v>
      </c>
      <c r="V147" t="s">
        <v>4162</v>
      </c>
      <c r="W147" t="s">
        <v>3782</v>
      </c>
      <c r="X147" t="s">
        <v>3804</v>
      </c>
      <c r="Y147" t="s">
        <v>3805</v>
      </c>
      <c r="Z147" t="s">
        <v>5149</v>
      </c>
      <c r="AA147" t="s">
        <v>5154</v>
      </c>
      <c r="AB147" t="s">
        <v>3787</v>
      </c>
      <c r="AC147" s="1" t="s">
        <v>3807</v>
      </c>
      <c r="AD147" s="6" t="s">
        <v>6503</v>
      </c>
    </row>
    <row r="148" spans="1:30" x14ac:dyDescent="0.25">
      <c r="A148" t="s">
        <v>5842</v>
      </c>
      <c r="B148" t="s">
        <v>3766</v>
      </c>
      <c r="C148" t="s">
        <v>6505</v>
      </c>
      <c r="D148" t="s">
        <v>4164</v>
      </c>
      <c r="E148" t="s">
        <v>3797</v>
      </c>
      <c r="F148" t="s">
        <v>4585</v>
      </c>
      <c r="G148" t="s">
        <v>6506</v>
      </c>
      <c r="H148" t="s">
        <v>6507</v>
      </c>
      <c r="I148" t="s">
        <v>3772</v>
      </c>
      <c r="J148" t="s">
        <v>3773</v>
      </c>
      <c r="K148" t="s">
        <v>3850</v>
      </c>
      <c r="L148" t="s">
        <v>3800</v>
      </c>
      <c r="M148" t="s">
        <v>3776</v>
      </c>
      <c r="N148" t="s">
        <v>3777</v>
      </c>
      <c r="O148" t="s">
        <v>5367</v>
      </c>
      <c r="P148" t="s">
        <v>5373</v>
      </c>
      <c r="Q148" t="s">
        <v>4155</v>
      </c>
      <c r="R148" t="s">
        <v>4165</v>
      </c>
      <c r="S148" t="s">
        <v>4157</v>
      </c>
      <c r="T148" t="s">
        <v>5374</v>
      </c>
      <c r="U148" t="s">
        <v>5375</v>
      </c>
      <c r="V148" t="s">
        <v>4166</v>
      </c>
      <c r="W148" t="s">
        <v>3782</v>
      </c>
      <c r="X148" t="s">
        <v>3804</v>
      </c>
      <c r="Y148" t="s">
        <v>3805</v>
      </c>
      <c r="Z148" t="s">
        <v>5149</v>
      </c>
      <c r="AA148" t="s">
        <v>5154</v>
      </c>
      <c r="AB148" t="s">
        <v>3787</v>
      </c>
      <c r="AC148" s="1" t="s">
        <v>4159</v>
      </c>
      <c r="AD148" s="6" t="s">
        <v>6508</v>
      </c>
    </row>
    <row r="149" spans="1:30" x14ac:dyDescent="0.25">
      <c r="A149" t="s">
        <v>5842</v>
      </c>
      <c r="B149" t="s">
        <v>3766</v>
      </c>
      <c r="C149" t="s">
        <v>6510</v>
      </c>
      <c r="D149" t="s">
        <v>4167</v>
      </c>
      <c r="E149" t="s">
        <v>3797</v>
      </c>
      <c r="F149" t="s">
        <v>6511</v>
      </c>
      <c r="G149" t="s">
        <v>6512</v>
      </c>
      <c r="H149" t="s">
        <v>6513</v>
      </c>
      <c r="I149" t="s">
        <v>3772</v>
      </c>
      <c r="J149" t="s">
        <v>3773</v>
      </c>
      <c r="K149" t="s">
        <v>3850</v>
      </c>
      <c r="L149" t="s">
        <v>3800</v>
      </c>
      <c r="M149" t="s">
        <v>3776</v>
      </c>
      <c r="N149" t="s">
        <v>3777</v>
      </c>
      <c r="O149" t="s">
        <v>5367</v>
      </c>
      <c r="P149" t="s">
        <v>5368</v>
      </c>
      <c r="Q149" t="s">
        <v>4155</v>
      </c>
      <c r="R149" t="s">
        <v>4168</v>
      </c>
      <c r="S149" t="s">
        <v>4157</v>
      </c>
      <c r="T149" t="s">
        <v>5371</v>
      </c>
      <c r="U149" t="s">
        <v>5372</v>
      </c>
      <c r="V149" t="s">
        <v>4169</v>
      </c>
      <c r="W149" t="s">
        <v>3782</v>
      </c>
      <c r="X149" t="s">
        <v>3804</v>
      </c>
      <c r="Y149" t="s">
        <v>3805</v>
      </c>
      <c r="Z149" t="s">
        <v>5149</v>
      </c>
      <c r="AA149" t="s">
        <v>5154</v>
      </c>
      <c r="AB149" t="s">
        <v>3787</v>
      </c>
      <c r="AC149" s="1" t="s">
        <v>4159</v>
      </c>
      <c r="AD149" s="6" t="s">
        <v>6514</v>
      </c>
    </row>
    <row r="150" spans="1:30" x14ac:dyDescent="0.25">
      <c r="A150" t="s">
        <v>5842</v>
      </c>
      <c r="B150" t="s">
        <v>3766</v>
      </c>
      <c r="C150" t="s">
        <v>4170</v>
      </c>
      <c r="D150" t="s">
        <v>4171</v>
      </c>
      <c r="E150" t="s">
        <v>4172</v>
      </c>
      <c r="F150" t="s">
        <v>4173</v>
      </c>
      <c r="G150" t="s">
        <v>4174</v>
      </c>
      <c r="H150" t="s">
        <v>4175</v>
      </c>
      <c r="I150" t="s">
        <v>3772</v>
      </c>
      <c r="J150" t="s">
        <v>3773</v>
      </c>
      <c r="K150" t="s">
        <v>3850</v>
      </c>
      <c r="L150" t="s">
        <v>3800</v>
      </c>
      <c r="M150" t="s">
        <v>3776</v>
      </c>
      <c r="N150" t="s">
        <v>3777</v>
      </c>
      <c r="O150" t="s">
        <v>5376</v>
      </c>
      <c r="P150" t="s">
        <v>5377</v>
      </c>
      <c r="Q150" t="s">
        <v>4176</v>
      </c>
      <c r="R150" t="s">
        <v>4177</v>
      </c>
      <c r="S150" t="s">
        <v>4157</v>
      </c>
      <c r="T150" t="s">
        <v>5374</v>
      </c>
      <c r="U150" t="s">
        <v>5378</v>
      </c>
      <c r="V150" t="s">
        <v>4178</v>
      </c>
      <c r="W150" t="s">
        <v>3782</v>
      </c>
      <c r="X150" t="s">
        <v>3804</v>
      </c>
      <c r="Y150" t="s">
        <v>3805</v>
      </c>
      <c r="Z150" t="s">
        <v>5147</v>
      </c>
      <c r="AA150" t="s">
        <v>5162</v>
      </c>
      <c r="AB150" t="s">
        <v>4179</v>
      </c>
      <c r="AC150" s="1" t="s">
        <v>4180</v>
      </c>
      <c r="AD150" s="6" t="s">
        <v>5843</v>
      </c>
    </row>
    <row r="151" spans="1:30" x14ac:dyDescent="0.25">
      <c r="A151" t="s">
        <v>5842</v>
      </c>
      <c r="B151" t="s">
        <v>3766</v>
      </c>
      <c r="C151" t="s">
        <v>4181</v>
      </c>
      <c r="D151" t="s">
        <v>4182</v>
      </c>
      <c r="E151" t="s">
        <v>4172</v>
      </c>
      <c r="F151" t="s">
        <v>4183</v>
      </c>
      <c r="G151" t="s">
        <v>4184</v>
      </c>
      <c r="H151" t="s">
        <v>4185</v>
      </c>
      <c r="I151" t="s">
        <v>3772</v>
      </c>
      <c r="J151" t="s">
        <v>3773</v>
      </c>
      <c r="K151" t="s">
        <v>3850</v>
      </c>
      <c r="L151" t="s">
        <v>3800</v>
      </c>
      <c r="M151" t="s">
        <v>3776</v>
      </c>
      <c r="N151" t="s">
        <v>3777</v>
      </c>
      <c r="O151" t="s">
        <v>5376</v>
      </c>
      <c r="P151" t="s">
        <v>5377</v>
      </c>
      <c r="Q151" t="s">
        <v>4186</v>
      </c>
      <c r="R151" t="s">
        <v>4187</v>
      </c>
      <c r="S151" t="s">
        <v>4157</v>
      </c>
      <c r="T151" t="s">
        <v>5371</v>
      </c>
      <c r="U151" t="s">
        <v>5372</v>
      </c>
      <c r="V151" t="s">
        <v>4188</v>
      </c>
      <c r="W151" t="s">
        <v>3782</v>
      </c>
      <c r="X151" t="s">
        <v>3804</v>
      </c>
      <c r="Y151" t="s">
        <v>3805</v>
      </c>
      <c r="Z151" t="s">
        <v>5147</v>
      </c>
      <c r="AA151" t="s">
        <v>5162</v>
      </c>
      <c r="AB151" t="s">
        <v>4179</v>
      </c>
      <c r="AC151" s="1" t="s">
        <v>4180</v>
      </c>
      <c r="AD151" s="6" t="s">
        <v>5844</v>
      </c>
    </row>
    <row r="152" spans="1:30" x14ac:dyDescent="0.25">
      <c r="A152" t="s">
        <v>5842</v>
      </c>
      <c r="B152" t="s">
        <v>3766</v>
      </c>
      <c r="C152" t="s">
        <v>4189</v>
      </c>
      <c r="D152" t="s">
        <v>4163</v>
      </c>
      <c r="E152" t="s">
        <v>4172</v>
      </c>
      <c r="F152" t="s">
        <v>4190</v>
      </c>
      <c r="G152" t="s">
        <v>4191</v>
      </c>
      <c r="H152" t="s">
        <v>4192</v>
      </c>
      <c r="I152" t="s">
        <v>3772</v>
      </c>
      <c r="J152" t="s">
        <v>3773</v>
      </c>
      <c r="K152" t="s">
        <v>3850</v>
      </c>
      <c r="L152" t="s">
        <v>3800</v>
      </c>
      <c r="M152" t="s">
        <v>3776</v>
      </c>
      <c r="N152" t="s">
        <v>3777</v>
      </c>
      <c r="O152" t="s">
        <v>5376</v>
      </c>
      <c r="P152" t="s">
        <v>5377</v>
      </c>
      <c r="Q152" t="s">
        <v>4193</v>
      </c>
      <c r="R152" t="s">
        <v>4194</v>
      </c>
      <c r="S152" t="s">
        <v>4157</v>
      </c>
      <c r="T152" t="s">
        <v>5371</v>
      </c>
      <c r="U152" t="s">
        <v>5372</v>
      </c>
      <c r="V152" t="s">
        <v>4195</v>
      </c>
      <c r="W152" t="s">
        <v>3782</v>
      </c>
      <c r="X152" t="s">
        <v>3804</v>
      </c>
      <c r="Y152" t="s">
        <v>3805</v>
      </c>
      <c r="Z152" t="s">
        <v>5147</v>
      </c>
      <c r="AA152" t="s">
        <v>5162</v>
      </c>
      <c r="AB152" t="s">
        <v>4179</v>
      </c>
      <c r="AC152" s="1" t="s">
        <v>4180</v>
      </c>
      <c r="AD152" s="6" t="s">
        <v>5845</v>
      </c>
    </row>
    <row r="153" spans="1:30" x14ac:dyDescent="0.25">
      <c r="A153" t="s">
        <v>5842</v>
      </c>
      <c r="B153" t="s">
        <v>3766</v>
      </c>
      <c r="C153" t="s">
        <v>4196</v>
      </c>
      <c r="D153" t="s">
        <v>3814</v>
      </c>
      <c r="E153" t="s">
        <v>4172</v>
      </c>
      <c r="F153" t="s">
        <v>4197</v>
      </c>
      <c r="G153" t="s">
        <v>4198</v>
      </c>
      <c r="H153" t="s">
        <v>4199</v>
      </c>
      <c r="I153" t="s">
        <v>3772</v>
      </c>
      <c r="J153" t="s">
        <v>3773</v>
      </c>
      <c r="K153" t="s">
        <v>3850</v>
      </c>
      <c r="L153" t="s">
        <v>3800</v>
      </c>
      <c r="M153" t="s">
        <v>3776</v>
      </c>
      <c r="N153" t="s">
        <v>3777</v>
      </c>
      <c r="O153" t="s">
        <v>5379</v>
      </c>
      <c r="P153" t="s">
        <v>5380</v>
      </c>
      <c r="Q153" t="s">
        <v>4200</v>
      </c>
      <c r="R153" t="s">
        <v>4201</v>
      </c>
      <c r="S153" t="s">
        <v>4157</v>
      </c>
      <c r="T153" t="s">
        <v>5381</v>
      </c>
      <c r="U153" t="s">
        <v>5382</v>
      </c>
      <c r="V153" t="s">
        <v>4202</v>
      </c>
      <c r="W153" t="s">
        <v>3782</v>
      </c>
      <c r="X153" t="s">
        <v>3804</v>
      </c>
      <c r="Y153" t="s">
        <v>3826</v>
      </c>
      <c r="Z153" t="s">
        <v>5147</v>
      </c>
      <c r="AA153" t="s">
        <v>5162</v>
      </c>
      <c r="AB153" t="s">
        <v>4179</v>
      </c>
      <c r="AC153" s="1" t="s">
        <v>4180</v>
      </c>
      <c r="AD153" s="6" t="s">
        <v>5846</v>
      </c>
    </row>
    <row r="154" spans="1:30" x14ac:dyDescent="0.25">
      <c r="A154" t="s">
        <v>5842</v>
      </c>
      <c r="B154" t="s">
        <v>3766</v>
      </c>
      <c r="C154" t="s">
        <v>4203</v>
      </c>
      <c r="D154" t="s">
        <v>4204</v>
      </c>
      <c r="E154" t="s">
        <v>4172</v>
      </c>
      <c r="F154" t="s">
        <v>4205</v>
      </c>
      <c r="G154" t="s">
        <v>4206</v>
      </c>
      <c r="H154" t="s">
        <v>4207</v>
      </c>
      <c r="I154" t="s">
        <v>3772</v>
      </c>
      <c r="J154" t="s">
        <v>3773</v>
      </c>
      <c r="K154" t="s">
        <v>3850</v>
      </c>
      <c r="L154" t="s">
        <v>3800</v>
      </c>
      <c r="M154" t="s">
        <v>3776</v>
      </c>
      <c r="N154" t="s">
        <v>3777</v>
      </c>
      <c r="O154" t="s">
        <v>5383</v>
      </c>
      <c r="P154" t="s">
        <v>5384</v>
      </c>
      <c r="Q154" t="s">
        <v>4208</v>
      </c>
      <c r="R154" t="s">
        <v>4209</v>
      </c>
      <c r="S154" t="s">
        <v>4157</v>
      </c>
      <c r="T154" t="s">
        <v>5381</v>
      </c>
      <c r="U154" t="s">
        <v>5385</v>
      </c>
      <c r="V154" t="s">
        <v>4210</v>
      </c>
      <c r="W154" t="s">
        <v>3782</v>
      </c>
      <c r="X154" t="s">
        <v>3804</v>
      </c>
      <c r="Y154" t="s">
        <v>3826</v>
      </c>
      <c r="Z154" t="s">
        <v>5149</v>
      </c>
      <c r="AA154" t="s">
        <v>5154</v>
      </c>
      <c r="AB154" t="s">
        <v>4179</v>
      </c>
      <c r="AC154" s="1" t="s">
        <v>4180</v>
      </c>
      <c r="AD154" s="6" t="s">
        <v>5847</v>
      </c>
    </row>
    <row r="155" spans="1:30" x14ac:dyDescent="0.25">
      <c r="A155" t="s">
        <v>5842</v>
      </c>
      <c r="B155" t="s">
        <v>3766</v>
      </c>
      <c r="C155" t="s">
        <v>4211</v>
      </c>
      <c r="D155" t="s">
        <v>3868</v>
      </c>
      <c r="E155" t="s">
        <v>4172</v>
      </c>
      <c r="F155" t="s">
        <v>4212</v>
      </c>
      <c r="G155" t="s">
        <v>4213</v>
      </c>
      <c r="H155" t="s">
        <v>4214</v>
      </c>
      <c r="I155" t="s">
        <v>3772</v>
      </c>
      <c r="J155" t="s">
        <v>3773</v>
      </c>
      <c r="K155" t="s">
        <v>3850</v>
      </c>
      <c r="L155" t="s">
        <v>3800</v>
      </c>
      <c r="M155" t="s">
        <v>3776</v>
      </c>
      <c r="N155" t="s">
        <v>3777</v>
      </c>
      <c r="O155" t="s">
        <v>5386</v>
      </c>
      <c r="P155" t="s">
        <v>5387</v>
      </c>
      <c r="Q155" t="s">
        <v>4215</v>
      </c>
      <c r="R155" t="s">
        <v>4216</v>
      </c>
      <c r="S155" t="s">
        <v>4157</v>
      </c>
      <c r="T155" t="s">
        <v>5388</v>
      </c>
      <c r="U155" t="s">
        <v>5389</v>
      </c>
      <c r="V155" t="s">
        <v>4217</v>
      </c>
      <c r="W155" t="s">
        <v>3782</v>
      </c>
      <c r="X155" t="s">
        <v>3890</v>
      </c>
      <c r="Y155" t="s">
        <v>4218</v>
      </c>
      <c r="Z155" t="s">
        <v>5149</v>
      </c>
      <c r="AA155" t="s">
        <v>5154</v>
      </c>
      <c r="AB155" t="s">
        <v>4179</v>
      </c>
      <c r="AC155" s="1" t="s">
        <v>4180</v>
      </c>
      <c r="AD155" s="6" t="s">
        <v>5848</v>
      </c>
    </row>
    <row r="156" spans="1:30" x14ac:dyDescent="0.25">
      <c r="A156" t="s">
        <v>5842</v>
      </c>
      <c r="B156" t="s">
        <v>3766</v>
      </c>
      <c r="C156" t="s">
        <v>4219</v>
      </c>
      <c r="D156" t="s">
        <v>4220</v>
      </c>
      <c r="E156" t="s">
        <v>4172</v>
      </c>
      <c r="F156" t="s">
        <v>4221</v>
      </c>
      <c r="G156" t="s">
        <v>4222</v>
      </c>
      <c r="H156" t="s">
        <v>4223</v>
      </c>
      <c r="I156" t="s">
        <v>3772</v>
      </c>
      <c r="J156" t="s">
        <v>3773</v>
      </c>
      <c r="K156" t="s">
        <v>3850</v>
      </c>
      <c r="L156" t="s">
        <v>3800</v>
      </c>
      <c r="M156" t="s">
        <v>3776</v>
      </c>
      <c r="N156" t="s">
        <v>3777</v>
      </c>
      <c r="O156" t="s">
        <v>5390</v>
      </c>
      <c r="P156" t="s">
        <v>5391</v>
      </c>
      <c r="Q156" t="s">
        <v>4224</v>
      </c>
      <c r="R156" t="s">
        <v>4225</v>
      </c>
      <c r="S156" t="s">
        <v>4157</v>
      </c>
      <c r="T156" t="s">
        <v>5392</v>
      </c>
      <c r="U156" t="s">
        <v>5393</v>
      </c>
      <c r="V156" t="s">
        <v>4226</v>
      </c>
      <c r="W156" t="s">
        <v>3782</v>
      </c>
      <c r="X156" t="s">
        <v>3890</v>
      </c>
      <c r="Y156" t="s">
        <v>4218</v>
      </c>
      <c r="Z156" t="s">
        <v>5149</v>
      </c>
      <c r="AA156" t="s">
        <v>5154</v>
      </c>
      <c r="AB156" t="s">
        <v>4227</v>
      </c>
      <c r="AC156" s="1" t="s">
        <v>4180</v>
      </c>
      <c r="AD156" s="6" t="s">
        <v>5849</v>
      </c>
    </row>
    <row r="157" spans="1:30" x14ac:dyDescent="0.25">
      <c r="A157" t="s">
        <v>5842</v>
      </c>
      <c r="B157" t="s">
        <v>3766</v>
      </c>
      <c r="C157" t="s">
        <v>4228</v>
      </c>
      <c r="D157" t="s">
        <v>4004</v>
      </c>
      <c r="E157" t="s">
        <v>4172</v>
      </c>
      <c r="F157" t="s">
        <v>4229</v>
      </c>
      <c r="G157" t="s">
        <v>4230</v>
      </c>
      <c r="H157" t="s">
        <v>4231</v>
      </c>
      <c r="I157" t="s">
        <v>3772</v>
      </c>
      <c r="J157" t="s">
        <v>3773</v>
      </c>
      <c r="K157" t="s">
        <v>3850</v>
      </c>
      <c r="L157" t="s">
        <v>3800</v>
      </c>
      <c r="M157" t="s">
        <v>3776</v>
      </c>
      <c r="N157" t="s">
        <v>3777</v>
      </c>
      <c r="O157" t="s">
        <v>5394</v>
      </c>
      <c r="P157" t="s">
        <v>5391</v>
      </c>
      <c r="Q157" t="s">
        <v>4232</v>
      </c>
      <c r="R157" t="s">
        <v>4233</v>
      </c>
      <c r="S157" t="s">
        <v>4157</v>
      </c>
      <c r="T157" t="s">
        <v>5392</v>
      </c>
      <c r="U157" t="s">
        <v>5393</v>
      </c>
      <c r="V157" t="s">
        <v>4234</v>
      </c>
      <c r="W157" t="s">
        <v>3782</v>
      </c>
      <c r="X157" t="s">
        <v>3890</v>
      </c>
      <c r="Y157" t="s">
        <v>4218</v>
      </c>
      <c r="Z157" t="s">
        <v>5149</v>
      </c>
      <c r="AA157" t="s">
        <v>5154</v>
      </c>
      <c r="AB157" t="s">
        <v>4179</v>
      </c>
      <c r="AC157" s="1" t="s">
        <v>4180</v>
      </c>
      <c r="AD157" s="6" t="s">
        <v>5850</v>
      </c>
    </row>
    <row r="158" spans="1:30" x14ac:dyDescent="0.25">
      <c r="A158" t="s">
        <v>5842</v>
      </c>
      <c r="B158" t="s">
        <v>3766</v>
      </c>
      <c r="C158" t="s">
        <v>4235</v>
      </c>
      <c r="D158" t="s">
        <v>4236</v>
      </c>
      <c r="E158" t="s">
        <v>4172</v>
      </c>
      <c r="F158" t="s">
        <v>4173</v>
      </c>
      <c r="G158" t="s">
        <v>4237</v>
      </c>
      <c r="H158" t="s">
        <v>4175</v>
      </c>
      <c r="I158" t="s">
        <v>3772</v>
      </c>
      <c r="J158" t="s">
        <v>3773</v>
      </c>
      <c r="K158" t="s">
        <v>3850</v>
      </c>
      <c r="L158" t="s">
        <v>3827</v>
      </c>
      <c r="M158" t="s">
        <v>3776</v>
      </c>
      <c r="N158" t="s">
        <v>3777</v>
      </c>
      <c r="O158" t="s">
        <v>5376</v>
      </c>
      <c r="P158" s="15" t="s">
        <v>5377</v>
      </c>
      <c r="Q158" t="s">
        <v>4186</v>
      </c>
      <c r="R158" t="s">
        <v>4238</v>
      </c>
      <c r="S158" t="s">
        <v>4157</v>
      </c>
      <c r="T158" t="s">
        <v>5371</v>
      </c>
      <c r="U158" t="s">
        <v>5372</v>
      </c>
      <c r="V158" t="s">
        <v>4239</v>
      </c>
      <c r="W158" t="s">
        <v>3782</v>
      </c>
      <c r="X158" t="s">
        <v>3804</v>
      </c>
      <c r="Y158" t="s">
        <v>3805</v>
      </c>
      <c r="Z158" t="s">
        <v>5147</v>
      </c>
      <c r="AA158" t="s">
        <v>5162</v>
      </c>
      <c r="AB158" t="s">
        <v>4179</v>
      </c>
      <c r="AC158" s="1" t="s">
        <v>4180</v>
      </c>
      <c r="AD158" s="6" t="s">
        <v>5851</v>
      </c>
    </row>
    <row r="159" spans="1:30" x14ac:dyDescent="0.25">
      <c r="A159" t="s">
        <v>5842</v>
      </c>
      <c r="B159" t="s">
        <v>3766</v>
      </c>
      <c r="C159" t="s">
        <v>4189</v>
      </c>
      <c r="D159" t="s">
        <v>4163</v>
      </c>
      <c r="E159" t="s">
        <v>4172</v>
      </c>
      <c r="F159" t="s">
        <v>4240</v>
      </c>
      <c r="G159" t="s">
        <v>4191</v>
      </c>
      <c r="H159" t="s">
        <v>3812</v>
      </c>
      <c r="I159" t="s">
        <v>3772</v>
      </c>
      <c r="J159" t="s">
        <v>3773</v>
      </c>
      <c r="K159" t="s">
        <v>3850</v>
      </c>
      <c r="L159" t="s">
        <v>3827</v>
      </c>
      <c r="M159" t="s">
        <v>3776</v>
      </c>
      <c r="N159" t="s">
        <v>3777</v>
      </c>
      <c r="O159" t="s">
        <v>5376</v>
      </c>
      <c r="P159" t="s">
        <v>5377</v>
      </c>
      <c r="Q159" t="s">
        <v>4186</v>
      </c>
      <c r="R159" t="s">
        <v>4238</v>
      </c>
      <c r="S159" t="s">
        <v>4157</v>
      </c>
      <c r="T159" t="s">
        <v>5371</v>
      </c>
      <c r="U159" t="s">
        <v>5372</v>
      </c>
      <c r="V159" t="s">
        <v>4241</v>
      </c>
      <c r="W159" t="s">
        <v>3782</v>
      </c>
      <c r="X159" t="s">
        <v>3804</v>
      </c>
      <c r="Y159" t="s">
        <v>3805</v>
      </c>
      <c r="Z159" t="s">
        <v>5147</v>
      </c>
      <c r="AA159" t="s">
        <v>5162</v>
      </c>
      <c r="AB159" t="s">
        <v>4179</v>
      </c>
      <c r="AC159" s="1" t="s">
        <v>4180</v>
      </c>
      <c r="AD159" s="6" t="s">
        <v>5852</v>
      </c>
    </row>
    <row r="160" spans="1:30" x14ac:dyDescent="0.25">
      <c r="A160" t="s">
        <v>5842</v>
      </c>
      <c r="B160" t="s">
        <v>3766</v>
      </c>
      <c r="C160" t="s">
        <v>4196</v>
      </c>
      <c r="D160" t="s">
        <v>3814</v>
      </c>
      <c r="E160" t="s">
        <v>4172</v>
      </c>
      <c r="F160" t="s">
        <v>4242</v>
      </c>
      <c r="G160" t="s">
        <v>4243</v>
      </c>
      <c r="H160" t="s">
        <v>4244</v>
      </c>
      <c r="I160" t="s">
        <v>3772</v>
      </c>
      <c r="J160" t="s">
        <v>3773</v>
      </c>
      <c r="K160" t="s">
        <v>3850</v>
      </c>
      <c r="L160" t="s">
        <v>3827</v>
      </c>
      <c r="M160" t="s">
        <v>3776</v>
      </c>
      <c r="N160" t="s">
        <v>3777</v>
      </c>
      <c r="O160" t="s">
        <v>5379</v>
      </c>
      <c r="P160" t="s">
        <v>5380</v>
      </c>
      <c r="Q160" t="s">
        <v>4245</v>
      </c>
      <c r="R160" t="s">
        <v>4246</v>
      </c>
      <c r="S160" t="s">
        <v>4157</v>
      </c>
      <c r="T160" t="s">
        <v>5371</v>
      </c>
      <c r="U160" t="s">
        <v>5372</v>
      </c>
      <c r="V160" t="s">
        <v>4247</v>
      </c>
      <c r="W160" t="s">
        <v>3782</v>
      </c>
      <c r="X160" t="s">
        <v>3804</v>
      </c>
      <c r="Y160" t="s">
        <v>3826</v>
      </c>
      <c r="Z160" t="s">
        <v>5147</v>
      </c>
      <c r="AA160" t="s">
        <v>5162</v>
      </c>
      <c r="AB160" t="s">
        <v>4179</v>
      </c>
      <c r="AC160" s="1" t="s">
        <v>4180</v>
      </c>
      <c r="AD160" s="6" t="s">
        <v>5853</v>
      </c>
    </row>
    <row r="161" spans="1:30" x14ac:dyDescent="0.25">
      <c r="A161" t="s">
        <v>5842</v>
      </c>
      <c r="B161" t="s">
        <v>3766</v>
      </c>
      <c r="C161" t="s">
        <v>4203</v>
      </c>
      <c r="D161" t="s">
        <v>4204</v>
      </c>
      <c r="E161" t="s">
        <v>4172</v>
      </c>
      <c r="F161" t="s">
        <v>4248</v>
      </c>
      <c r="G161" t="s">
        <v>4249</v>
      </c>
      <c r="H161" t="s">
        <v>4250</v>
      </c>
      <c r="I161" t="s">
        <v>3772</v>
      </c>
      <c r="J161" t="s">
        <v>3773</v>
      </c>
      <c r="K161" t="s">
        <v>3850</v>
      </c>
      <c r="L161" t="s">
        <v>3827</v>
      </c>
      <c r="M161" t="s">
        <v>3776</v>
      </c>
      <c r="N161" t="s">
        <v>3777</v>
      </c>
      <c r="O161" t="s">
        <v>5383</v>
      </c>
      <c r="P161" t="s">
        <v>5384</v>
      </c>
      <c r="Q161" t="s">
        <v>4251</v>
      </c>
      <c r="R161" t="s">
        <v>4252</v>
      </c>
      <c r="S161" t="s">
        <v>4157</v>
      </c>
      <c r="T161" t="s">
        <v>5395</v>
      </c>
      <c r="U161" t="s">
        <v>5396</v>
      </c>
      <c r="V161" t="s">
        <v>4253</v>
      </c>
      <c r="W161" t="s">
        <v>3782</v>
      </c>
      <c r="X161" t="s">
        <v>3804</v>
      </c>
      <c r="Y161" t="s">
        <v>3826</v>
      </c>
      <c r="Z161" t="s">
        <v>5149</v>
      </c>
      <c r="AA161" t="s">
        <v>5154</v>
      </c>
      <c r="AB161" t="s">
        <v>4179</v>
      </c>
      <c r="AC161" s="1" t="s">
        <v>4180</v>
      </c>
      <c r="AD161" s="6" t="s">
        <v>5854</v>
      </c>
    </row>
    <row r="162" spans="1:30" x14ac:dyDescent="0.25">
      <c r="A162" t="s">
        <v>5842</v>
      </c>
      <c r="B162" t="s">
        <v>3766</v>
      </c>
      <c r="C162" t="s">
        <v>4211</v>
      </c>
      <c r="D162" t="s">
        <v>3868</v>
      </c>
      <c r="E162" t="s">
        <v>4172</v>
      </c>
      <c r="F162" t="s">
        <v>4254</v>
      </c>
      <c r="G162" t="s">
        <v>4255</v>
      </c>
      <c r="H162" t="s">
        <v>4256</v>
      </c>
      <c r="I162" t="s">
        <v>3772</v>
      </c>
      <c r="J162" t="s">
        <v>3773</v>
      </c>
      <c r="K162" t="s">
        <v>3850</v>
      </c>
      <c r="L162" t="s">
        <v>3827</v>
      </c>
      <c r="M162" t="s">
        <v>3776</v>
      </c>
      <c r="N162" t="s">
        <v>3777</v>
      </c>
      <c r="O162" t="s">
        <v>5386</v>
      </c>
      <c r="P162" t="s">
        <v>5397</v>
      </c>
      <c r="Q162" t="s">
        <v>4257</v>
      </c>
      <c r="R162" t="s">
        <v>4258</v>
      </c>
      <c r="S162" t="s">
        <v>4157</v>
      </c>
      <c r="T162" t="s">
        <v>5398</v>
      </c>
      <c r="U162" t="s">
        <v>5399</v>
      </c>
      <c r="V162" t="s">
        <v>4259</v>
      </c>
      <c r="W162" t="s">
        <v>3782</v>
      </c>
      <c r="X162" t="s">
        <v>3890</v>
      </c>
      <c r="Y162" t="s">
        <v>4218</v>
      </c>
      <c r="Z162" t="s">
        <v>5149</v>
      </c>
      <c r="AA162" t="s">
        <v>5154</v>
      </c>
      <c r="AB162" t="s">
        <v>4179</v>
      </c>
      <c r="AC162" s="1" t="s">
        <v>4180</v>
      </c>
      <c r="AD162" s="6" t="s">
        <v>5855</v>
      </c>
    </row>
    <row r="163" spans="1:30" x14ac:dyDescent="0.25">
      <c r="A163" t="s">
        <v>5842</v>
      </c>
      <c r="B163" t="s">
        <v>3766</v>
      </c>
      <c r="C163" t="s">
        <v>4189</v>
      </c>
      <c r="D163" t="s">
        <v>4163</v>
      </c>
      <c r="E163" t="s">
        <v>3797</v>
      </c>
      <c r="F163" t="s">
        <v>4468</v>
      </c>
      <c r="G163" t="s">
        <v>6516</v>
      </c>
      <c r="H163" t="s">
        <v>4810</v>
      </c>
      <c r="I163" t="s">
        <v>3772</v>
      </c>
      <c r="J163" t="s">
        <v>3773</v>
      </c>
      <c r="K163" t="s">
        <v>3850</v>
      </c>
      <c r="L163" t="s">
        <v>3800</v>
      </c>
      <c r="M163" t="s">
        <v>3776</v>
      </c>
      <c r="N163" t="s">
        <v>3777</v>
      </c>
      <c r="O163" t="s">
        <v>5379</v>
      </c>
      <c r="P163" t="s">
        <v>5400</v>
      </c>
      <c r="Q163" t="s">
        <v>4260</v>
      </c>
      <c r="R163" t="s">
        <v>4261</v>
      </c>
      <c r="S163" t="s">
        <v>4157</v>
      </c>
      <c r="T163" t="s">
        <v>5401</v>
      </c>
      <c r="U163" t="s">
        <v>5402</v>
      </c>
      <c r="V163" t="s">
        <v>4262</v>
      </c>
      <c r="W163" t="s">
        <v>3782</v>
      </c>
      <c r="X163" t="s">
        <v>3804</v>
      </c>
      <c r="Y163" t="s">
        <v>3805</v>
      </c>
      <c r="Z163" t="s">
        <v>5149</v>
      </c>
      <c r="AA163" t="s">
        <v>5154</v>
      </c>
      <c r="AB163" t="s">
        <v>4263</v>
      </c>
      <c r="AC163" s="1" t="s">
        <v>4159</v>
      </c>
      <c r="AD163" s="6" t="s">
        <v>6517</v>
      </c>
    </row>
    <row r="164" spans="1:30" x14ac:dyDescent="0.25">
      <c r="A164" t="s">
        <v>5842</v>
      </c>
      <c r="B164" t="s">
        <v>3766</v>
      </c>
      <c r="C164" t="s">
        <v>4196</v>
      </c>
      <c r="D164" t="s">
        <v>3814</v>
      </c>
      <c r="E164" t="s">
        <v>3797</v>
      </c>
      <c r="F164" t="s">
        <v>4197</v>
      </c>
      <c r="G164" t="s">
        <v>6519</v>
      </c>
      <c r="H164" t="s">
        <v>6520</v>
      </c>
      <c r="I164" t="s">
        <v>3772</v>
      </c>
      <c r="J164" t="s">
        <v>3773</v>
      </c>
      <c r="K164" t="s">
        <v>3850</v>
      </c>
      <c r="L164" t="s">
        <v>3800</v>
      </c>
      <c r="M164" t="s">
        <v>3776</v>
      </c>
      <c r="N164" t="s">
        <v>3777</v>
      </c>
      <c r="O164" t="s">
        <v>5379</v>
      </c>
      <c r="P164" t="s">
        <v>5400</v>
      </c>
      <c r="Q164" t="s">
        <v>4260</v>
      </c>
      <c r="R164" t="s">
        <v>4261</v>
      </c>
      <c r="S164" t="s">
        <v>4157</v>
      </c>
      <c r="T164" t="s">
        <v>5401</v>
      </c>
      <c r="U164" t="s">
        <v>5402</v>
      </c>
      <c r="V164" t="s">
        <v>4262</v>
      </c>
      <c r="W164" t="s">
        <v>3782</v>
      </c>
      <c r="X164" t="s">
        <v>3804</v>
      </c>
      <c r="Y164" t="s">
        <v>3805</v>
      </c>
      <c r="Z164" t="s">
        <v>5149</v>
      </c>
      <c r="AA164" t="s">
        <v>5154</v>
      </c>
      <c r="AB164" t="s">
        <v>4263</v>
      </c>
      <c r="AC164" s="1" t="s">
        <v>4159</v>
      </c>
      <c r="AD164" s="6" t="s">
        <v>6521</v>
      </c>
    </row>
    <row r="165" spans="1:30" x14ac:dyDescent="0.25">
      <c r="A165" t="s">
        <v>5842</v>
      </c>
      <c r="B165" t="s">
        <v>3766</v>
      </c>
      <c r="C165" t="s">
        <v>6523</v>
      </c>
      <c r="D165" t="s">
        <v>4163</v>
      </c>
      <c r="E165" t="s">
        <v>3797</v>
      </c>
      <c r="F165" t="s">
        <v>6524</v>
      </c>
      <c r="G165" t="s">
        <v>6525</v>
      </c>
      <c r="H165" t="s">
        <v>6526</v>
      </c>
      <c r="I165" t="s">
        <v>3772</v>
      </c>
      <c r="J165" t="s">
        <v>3773</v>
      </c>
      <c r="K165" t="s">
        <v>3850</v>
      </c>
      <c r="L165" t="s">
        <v>3827</v>
      </c>
      <c r="M165" t="s">
        <v>3776</v>
      </c>
      <c r="N165" t="s">
        <v>3777</v>
      </c>
      <c r="O165" t="s">
        <v>5403</v>
      </c>
      <c r="P165" t="s">
        <v>5404</v>
      </c>
      <c r="Q165" t="s">
        <v>4264</v>
      </c>
      <c r="R165" t="s">
        <v>4265</v>
      </c>
      <c r="S165" t="s">
        <v>4266</v>
      </c>
      <c r="T165" t="s">
        <v>5405</v>
      </c>
      <c r="U165" t="s">
        <v>5406</v>
      </c>
      <c r="V165" t="s">
        <v>4267</v>
      </c>
      <c r="W165" t="s">
        <v>3782</v>
      </c>
      <c r="X165" t="s">
        <v>3804</v>
      </c>
      <c r="Y165" t="s">
        <v>3805</v>
      </c>
      <c r="Z165" t="s">
        <v>5153</v>
      </c>
      <c r="AA165" t="s">
        <v>5154</v>
      </c>
      <c r="AB165" t="s">
        <v>4268</v>
      </c>
      <c r="AC165" s="1" t="s">
        <v>3807</v>
      </c>
      <c r="AD165" s="6" t="s">
        <v>6527</v>
      </c>
    </row>
    <row r="166" spans="1:30" x14ac:dyDescent="0.25">
      <c r="A166" t="s">
        <v>5842</v>
      </c>
      <c r="B166" t="s">
        <v>3766</v>
      </c>
      <c r="C166" t="s">
        <v>3813</v>
      </c>
      <c r="D166" t="s">
        <v>3814</v>
      </c>
      <c r="E166" t="s">
        <v>3797</v>
      </c>
      <c r="F166" t="s">
        <v>3815</v>
      </c>
      <c r="G166" t="s">
        <v>6529</v>
      </c>
      <c r="H166" t="s">
        <v>6530</v>
      </c>
      <c r="I166" t="s">
        <v>3772</v>
      </c>
      <c r="J166" t="s">
        <v>3773</v>
      </c>
      <c r="K166" t="s">
        <v>3850</v>
      </c>
      <c r="L166" t="s">
        <v>3827</v>
      </c>
      <c r="M166" t="s">
        <v>3776</v>
      </c>
      <c r="N166" t="s">
        <v>3777</v>
      </c>
      <c r="O166" t="s">
        <v>5407</v>
      </c>
      <c r="P166" t="s">
        <v>5408</v>
      </c>
      <c r="Q166" t="s">
        <v>4269</v>
      </c>
      <c r="R166" t="s">
        <v>4270</v>
      </c>
      <c r="S166" t="s">
        <v>4266</v>
      </c>
      <c r="T166" t="s">
        <v>5409</v>
      </c>
      <c r="U166" t="s">
        <v>5410</v>
      </c>
      <c r="V166" t="s">
        <v>4271</v>
      </c>
      <c r="W166" t="s">
        <v>3782</v>
      </c>
      <c r="X166" t="s">
        <v>3804</v>
      </c>
      <c r="Y166" t="s">
        <v>3805</v>
      </c>
      <c r="Z166" t="s">
        <v>5153</v>
      </c>
      <c r="AA166" t="s">
        <v>5154</v>
      </c>
      <c r="AB166" t="s">
        <v>4268</v>
      </c>
      <c r="AC166" s="1" t="s">
        <v>3807</v>
      </c>
      <c r="AD166" s="6" t="s">
        <v>6531</v>
      </c>
    </row>
    <row r="167" spans="1:30" x14ac:dyDescent="0.25">
      <c r="A167" t="s">
        <v>5842</v>
      </c>
      <c r="B167" t="s">
        <v>3766</v>
      </c>
      <c r="C167" t="s">
        <v>5110</v>
      </c>
      <c r="D167" t="s">
        <v>4272</v>
      </c>
      <c r="E167" t="s">
        <v>3797</v>
      </c>
      <c r="F167" t="s">
        <v>5045</v>
      </c>
      <c r="G167" t="s">
        <v>6533</v>
      </c>
      <c r="H167" t="s">
        <v>6450</v>
      </c>
      <c r="I167" t="s">
        <v>3772</v>
      </c>
      <c r="J167" t="s">
        <v>3773</v>
      </c>
      <c r="K167" t="s">
        <v>3850</v>
      </c>
      <c r="L167" t="s">
        <v>3827</v>
      </c>
      <c r="M167" t="s">
        <v>3776</v>
      </c>
      <c r="N167" t="s">
        <v>3777</v>
      </c>
      <c r="O167" t="s">
        <v>5411</v>
      </c>
      <c r="P167" t="s">
        <v>5412</v>
      </c>
      <c r="Q167" t="s">
        <v>4273</v>
      </c>
      <c r="R167" t="s">
        <v>4274</v>
      </c>
      <c r="S167" t="s">
        <v>4266</v>
      </c>
      <c r="T167" t="s">
        <v>5409</v>
      </c>
      <c r="U167" t="s">
        <v>5410</v>
      </c>
      <c r="V167" t="s">
        <v>4275</v>
      </c>
      <c r="W167" t="s">
        <v>3782</v>
      </c>
      <c r="X167" t="s">
        <v>3804</v>
      </c>
      <c r="Y167" t="s">
        <v>3805</v>
      </c>
      <c r="Z167" t="s">
        <v>5149</v>
      </c>
      <c r="AA167" t="s">
        <v>5154</v>
      </c>
      <c r="AB167" t="s">
        <v>4268</v>
      </c>
      <c r="AC167" s="1" t="s">
        <v>3807</v>
      </c>
      <c r="AD167" s="6" t="s">
        <v>6534</v>
      </c>
    </row>
    <row r="168" spans="1:30" x14ac:dyDescent="0.25">
      <c r="A168" t="s">
        <v>5842</v>
      </c>
      <c r="B168" t="s">
        <v>3766</v>
      </c>
      <c r="C168" t="s">
        <v>5114</v>
      </c>
      <c r="D168" t="s">
        <v>4276</v>
      </c>
      <c r="E168" t="s">
        <v>3797</v>
      </c>
      <c r="F168" t="s">
        <v>5115</v>
      </c>
      <c r="G168" t="s">
        <v>4851</v>
      </c>
      <c r="H168" t="s">
        <v>6536</v>
      </c>
      <c r="I168" t="s">
        <v>3772</v>
      </c>
      <c r="J168" t="s">
        <v>3773</v>
      </c>
      <c r="K168" t="s">
        <v>3850</v>
      </c>
      <c r="L168" t="s">
        <v>3827</v>
      </c>
      <c r="M168" t="s">
        <v>3776</v>
      </c>
      <c r="N168" t="s">
        <v>3777</v>
      </c>
      <c r="O168" t="s">
        <v>5411</v>
      </c>
      <c r="P168" t="s">
        <v>5412</v>
      </c>
      <c r="Q168" t="s">
        <v>4273</v>
      </c>
      <c r="R168" t="s">
        <v>4277</v>
      </c>
      <c r="S168" t="s">
        <v>4266</v>
      </c>
      <c r="T168" t="s">
        <v>5413</v>
      </c>
      <c r="U168" t="s">
        <v>5414</v>
      </c>
      <c r="V168" t="s">
        <v>4278</v>
      </c>
      <c r="W168" t="s">
        <v>3782</v>
      </c>
      <c r="X168" t="s">
        <v>3804</v>
      </c>
      <c r="Y168" t="s">
        <v>3826</v>
      </c>
      <c r="Z168" t="s">
        <v>5149</v>
      </c>
      <c r="AA168" t="s">
        <v>5154</v>
      </c>
      <c r="AB168" t="s">
        <v>4268</v>
      </c>
      <c r="AC168" s="1" t="s">
        <v>3807</v>
      </c>
      <c r="AD168" s="6" t="s">
        <v>6537</v>
      </c>
    </row>
    <row r="169" spans="1:30" x14ac:dyDescent="0.25">
      <c r="A169" t="s">
        <v>5842</v>
      </c>
      <c r="B169" t="s">
        <v>3766</v>
      </c>
      <c r="C169" t="s">
        <v>4189</v>
      </c>
      <c r="D169" t="s">
        <v>4163</v>
      </c>
      <c r="E169" t="s">
        <v>3797</v>
      </c>
      <c r="F169" t="s">
        <v>4468</v>
      </c>
      <c r="G169" t="s">
        <v>6539</v>
      </c>
      <c r="H169" t="s">
        <v>6502</v>
      </c>
      <c r="I169" t="s">
        <v>3772</v>
      </c>
      <c r="J169" t="s">
        <v>3773</v>
      </c>
      <c r="K169" t="s">
        <v>3850</v>
      </c>
      <c r="L169" t="s">
        <v>3827</v>
      </c>
      <c r="M169" t="s">
        <v>3776</v>
      </c>
      <c r="N169" t="s">
        <v>3777</v>
      </c>
      <c r="O169" t="s">
        <v>5415</v>
      </c>
      <c r="P169" t="s">
        <v>5377</v>
      </c>
      <c r="Q169" t="s">
        <v>4279</v>
      </c>
      <c r="R169" t="s">
        <v>4280</v>
      </c>
      <c r="S169" t="s">
        <v>4157</v>
      </c>
      <c r="T169" t="s">
        <v>5416</v>
      </c>
      <c r="U169" t="s">
        <v>5372</v>
      </c>
      <c r="V169" t="s">
        <v>4281</v>
      </c>
      <c r="W169" t="s">
        <v>3782</v>
      </c>
      <c r="X169" t="s">
        <v>3804</v>
      </c>
      <c r="Y169" t="s">
        <v>3805</v>
      </c>
      <c r="Z169" t="s">
        <v>5149</v>
      </c>
      <c r="AA169" t="s">
        <v>5154</v>
      </c>
      <c r="AB169" t="s">
        <v>4263</v>
      </c>
      <c r="AC169" s="1" t="s">
        <v>3807</v>
      </c>
      <c r="AD169" s="6" t="s">
        <v>6540</v>
      </c>
    </row>
    <row r="170" spans="1:30" x14ac:dyDescent="0.25">
      <c r="A170" t="s">
        <v>5842</v>
      </c>
      <c r="B170" t="s">
        <v>3766</v>
      </c>
      <c r="C170" t="s">
        <v>4196</v>
      </c>
      <c r="D170" t="s">
        <v>3814</v>
      </c>
      <c r="E170" t="s">
        <v>3797</v>
      </c>
      <c r="F170" t="s">
        <v>4507</v>
      </c>
      <c r="G170" t="s">
        <v>6542</v>
      </c>
      <c r="H170" t="s">
        <v>6543</v>
      </c>
      <c r="I170" t="s">
        <v>3772</v>
      </c>
      <c r="J170" t="s">
        <v>3773</v>
      </c>
      <c r="K170" t="s">
        <v>3850</v>
      </c>
      <c r="L170" t="s">
        <v>3827</v>
      </c>
      <c r="M170" t="s">
        <v>3776</v>
      </c>
      <c r="N170" t="s">
        <v>3777</v>
      </c>
      <c r="O170" t="s">
        <v>5417</v>
      </c>
      <c r="P170" t="s">
        <v>5418</v>
      </c>
      <c r="Q170" t="s">
        <v>4282</v>
      </c>
      <c r="R170" t="s">
        <v>4283</v>
      </c>
      <c r="S170" t="s">
        <v>4157</v>
      </c>
      <c r="T170" t="s">
        <v>5371</v>
      </c>
      <c r="U170" t="s">
        <v>5372</v>
      </c>
      <c r="V170" t="s">
        <v>4284</v>
      </c>
      <c r="W170" t="s">
        <v>3782</v>
      </c>
      <c r="X170" t="s">
        <v>3804</v>
      </c>
      <c r="Y170" t="s">
        <v>3805</v>
      </c>
      <c r="Z170" t="s">
        <v>5149</v>
      </c>
      <c r="AA170" t="s">
        <v>5154</v>
      </c>
      <c r="AB170" t="s">
        <v>4263</v>
      </c>
      <c r="AC170" s="1" t="s">
        <v>3807</v>
      </c>
      <c r="AD170" s="6" t="s">
        <v>6544</v>
      </c>
    </row>
    <row r="171" spans="1:30" x14ac:dyDescent="0.25">
      <c r="A171" t="s">
        <v>5842</v>
      </c>
      <c r="B171" t="s">
        <v>3766</v>
      </c>
      <c r="C171" t="s">
        <v>4203</v>
      </c>
      <c r="D171" t="s">
        <v>3841</v>
      </c>
      <c r="E171" t="s">
        <v>3797</v>
      </c>
      <c r="F171" t="s">
        <v>4248</v>
      </c>
      <c r="G171" t="s">
        <v>4987</v>
      </c>
      <c r="H171" t="s">
        <v>6546</v>
      </c>
      <c r="I171" t="s">
        <v>3772</v>
      </c>
      <c r="J171" t="s">
        <v>3773</v>
      </c>
      <c r="K171" t="s">
        <v>3850</v>
      </c>
      <c r="L171" t="s">
        <v>3827</v>
      </c>
      <c r="M171" t="s">
        <v>3776</v>
      </c>
      <c r="N171" t="s">
        <v>3777</v>
      </c>
      <c r="O171" t="s">
        <v>5419</v>
      </c>
      <c r="P171" t="s">
        <v>5420</v>
      </c>
      <c r="Q171" t="s">
        <v>4285</v>
      </c>
      <c r="R171" t="s">
        <v>4286</v>
      </c>
      <c r="S171" t="s">
        <v>4157</v>
      </c>
      <c r="T171" t="s">
        <v>5421</v>
      </c>
      <c r="U171" t="s">
        <v>5422</v>
      </c>
      <c r="V171" t="s">
        <v>4287</v>
      </c>
      <c r="W171" t="s">
        <v>3782</v>
      </c>
      <c r="X171" t="s">
        <v>3804</v>
      </c>
      <c r="Y171" t="s">
        <v>3826</v>
      </c>
      <c r="Z171" t="s">
        <v>5151</v>
      </c>
      <c r="AA171" t="s">
        <v>5150</v>
      </c>
      <c r="AB171" t="s">
        <v>4263</v>
      </c>
      <c r="AC171" s="1" t="s">
        <v>3807</v>
      </c>
      <c r="AD171" s="6" t="s">
        <v>6547</v>
      </c>
    </row>
    <row r="172" spans="1:30" x14ac:dyDescent="0.25">
      <c r="A172" t="s">
        <v>5842</v>
      </c>
      <c r="B172" t="s">
        <v>3766</v>
      </c>
      <c r="C172" t="s">
        <v>4211</v>
      </c>
      <c r="D172" t="s">
        <v>3868</v>
      </c>
      <c r="E172" t="s">
        <v>3797</v>
      </c>
      <c r="F172" t="s">
        <v>4254</v>
      </c>
      <c r="G172" t="s">
        <v>4255</v>
      </c>
      <c r="H172" t="s">
        <v>4256</v>
      </c>
      <c r="I172" t="s">
        <v>3772</v>
      </c>
      <c r="J172" t="s">
        <v>3773</v>
      </c>
      <c r="K172" t="s">
        <v>3850</v>
      </c>
      <c r="L172" t="s">
        <v>3827</v>
      </c>
      <c r="M172" t="s">
        <v>3776</v>
      </c>
      <c r="N172" t="s">
        <v>3777</v>
      </c>
      <c r="O172" t="s">
        <v>5423</v>
      </c>
      <c r="P172" t="s">
        <v>5424</v>
      </c>
      <c r="Q172" t="s">
        <v>4288</v>
      </c>
      <c r="R172" t="s">
        <v>4289</v>
      </c>
      <c r="S172" t="s">
        <v>4157</v>
      </c>
      <c r="T172" t="s">
        <v>5425</v>
      </c>
      <c r="U172" t="s">
        <v>5399</v>
      </c>
      <c r="V172" t="s">
        <v>4290</v>
      </c>
      <c r="W172" t="s">
        <v>3782</v>
      </c>
      <c r="X172" t="s">
        <v>3890</v>
      </c>
      <c r="Y172" t="s">
        <v>4218</v>
      </c>
      <c r="Z172" t="s">
        <v>5155</v>
      </c>
      <c r="AA172" t="s">
        <v>5152</v>
      </c>
      <c r="AB172" t="s">
        <v>4263</v>
      </c>
      <c r="AC172" s="1" t="s">
        <v>3807</v>
      </c>
      <c r="AD172" s="6" t="s">
        <v>6549</v>
      </c>
    </row>
    <row r="173" spans="1:30" x14ac:dyDescent="0.25">
      <c r="A173" t="s">
        <v>5842</v>
      </c>
      <c r="B173" t="s">
        <v>3766</v>
      </c>
      <c r="C173" t="s">
        <v>4189</v>
      </c>
      <c r="D173" t="s">
        <v>4163</v>
      </c>
      <c r="E173" t="s">
        <v>3797</v>
      </c>
      <c r="F173" t="s">
        <v>4468</v>
      </c>
      <c r="G173" t="s">
        <v>6551</v>
      </c>
      <c r="H173" t="s">
        <v>6552</v>
      </c>
      <c r="I173" t="s">
        <v>3772</v>
      </c>
      <c r="J173" t="s">
        <v>3773</v>
      </c>
      <c r="K173" t="s">
        <v>3850</v>
      </c>
      <c r="L173" t="s">
        <v>3827</v>
      </c>
      <c r="M173" t="s">
        <v>3776</v>
      </c>
      <c r="N173" t="s">
        <v>3777</v>
      </c>
      <c r="O173" t="s">
        <v>5426</v>
      </c>
      <c r="P173" t="s">
        <v>5427</v>
      </c>
      <c r="Q173" t="s">
        <v>4291</v>
      </c>
      <c r="R173" t="s">
        <v>4292</v>
      </c>
      <c r="S173" t="s">
        <v>4157</v>
      </c>
      <c r="T173" t="s">
        <v>5381</v>
      </c>
      <c r="U173" t="s">
        <v>5382</v>
      </c>
      <c r="V173" t="s">
        <v>4293</v>
      </c>
      <c r="W173" t="s">
        <v>3782</v>
      </c>
      <c r="X173" t="s">
        <v>3804</v>
      </c>
      <c r="Y173" t="s">
        <v>3805</v>
      </c>
      <c r="Z173" t="s">
        <v>5149</v>
      </c>
      <c r="AA173" t="s">
        <v>5154</v>
      </c>
      <c r="AB173" t="s">
        <v>4263</v>
      </c>
      <c r="AC173" s="1" t="s">
        <v>4159</v>
      </c>
      <c r="AD173" s="6" t="s">
        <v>6553</v>
      </c>
    </row>
    <row r="174" spans="1:30" x14ac:dyDescent="0.25">
      <c r="A174" t="s">
        <v>5842</v>
      </c>
      <c r="B174" t="s">
        <v>3766</v>
      </c>
      <c r="C174" t="s">
        <v>4196</v>
      </c>
      <c r="D174" t="s">
        <v>3814</v>
      </c>
      <c r="E174" t="s">
        <v>3797</v>
      </c>
      <c r="F174" t="s">
        <v>4484</v>
      </c>
      <c r="G174" t="s">
        <v>6555</v>
      </c>
      <c r="H174" t="s">
        <v>6556</v>
      </c>
      <c r="I174" t="s">
        <v>3772</v>
      </c>
      <c r="J174" t="s">
        <v>3773</v>
      </c>
      <c r="K174" t="s">
        <v>3850</v>
      </c>
      <c r="L174" t="s">
        <v>3827</v>
      </c>
      <c r="M174" t="s">
        <v>3776</v>
      </c>
      <c r="N174" t="s">
        <v>3777</v>
      </c>
      <c r="O174" t="s">
        <v>5428</v>
      </c>
      <c r="P174" t="s">
        <v>5429</v>
      </c>
      <c r="Q174" t="s">
        <v>4294</v>
      </c>
      <c r="R174" t="s">
        <v>4295</v>
      </c>
      <c r="S174" t="s">
        <v>4157</v>
      </c>
      <c r="T174" t="s">
        <v>5381</v>
      </c>
      <c r="U174" t="s">
        <v>5382</v>
      </c>
      <c r="V174" t="s">
        <v>4296</v>
      </c>
      <c r="W174" t="s">
        <v>3782</v>
      </c>
      <c r="X174" t="s">
        <v>3804</v>
      </c>
      <c r="Y174" t="s">
        <v>3805</v>
      </c>
      <c r="Z174" t="s">
        <v>5149</v>
      </c>
      <c r="AA174" t="s">
        <v>5154</v>
      </c>
      <c r="AB174" t="s">
        <v>4263</v>
      </c>
      <c r="AC174" s="1" t="s">
        <v>4159</v>
      </c>
      <c r="AD174" s="6" t="s">
        <v>6557</v>
      </c>
    </row>
    <row r="175" spans="1:30" x14ac:dyDescent="0.25">
      <c r="A175" t="s">
        <v>5842</v>
      </c>
      <c r="B175" t="s">
        <v>3766</v>
      </c>
      <c r="C175" t="s">
        <v>4203</v>
      </c>
      <c r="D175" t="s">
        <v>3841</v>
      </c>
      <c r="E175" t="s">
        <v>3797</v>
      </c>
      <c r="F175" t="s">
        <v>4248</v>
      </c>
      <c r="G175" t="s">
        <v>6559</v>
      </c>
      <c r="H175" t="s">
        <v>6560</v>
      </c>
      <c r="I175" t="s">
        <v>3772</v>
      </c>
      <c r="J175" t="s">
        <v>3773</v>
      </c>
      <c r="K175" t="s">
        <v>3850</v>
      </c>
      <c r="L175" t="s">
        <v>3827</v>
      </c>
      <c r="M175" t="s">
        <v>3776</v>
      </c>
      <c r="N175" t="s">
        <v>3777</v>
      </c>
      <c r="O175" t="s">
        <v>5430</v>
      </c>
      <c r="P175" t="s">
        <v>5431</v>
      </c>
      <c r="Q175" t="s">
        <v>4297</v>
      </c>
      <c r="R175" t="s">
        <v>4298</v>
      </c>
      <c r="S175" t="s">
        <v>4157</v>
      </c>
      <c r="T175" t="s">
        <v>5401</v>
      </c>
      <c r="U175" t="s">
        <v>5432</v>
      </c>
      <c r="V175" t="s">
        <v>4299</v>
      </c>
      <c r="W175" t="s">
        <v>3782</v>
      </c>
      <c r="X175" t="s">
        <v>3804</v>
      </c>
      <c r="Y175" t="s">
        <v>3826</v>
      </c>
      <c r="Z175" t="s">
        <v>5151</v>
      </c>
      <c r="AA175" t="s">
        <v>5150</v>
      </c>
      <c r="AB175" t="s">
        <v>4263</v>
      </c>
      <c r="AC175" s="1" t="s">
        <v>4159</v>
      </c>
      <c r="AD175" s="6" t="s">
        <v>6561</v>
      </c>
    </row>
    <row r="176" spans="1:30" x14ac:dyDescent="0.25">
      <c r="A176" t="s">
        <v>5842</v>
      </c>
      <c r="B176" t="s">
        <v>3766</v>
      </c>
      <c r="C176" t="s">
        <v>4500</v>
      </c>
      <c r="D176" t="s">
        <v>4300</v>
      </c>
      <c r="E176" t="s">
        <v>3797</v>
      </c>
      <c r="F176" t="s">
        <v>4212</v>
      </c>
      <c r="G176" t="s">
        <v>6563</v>
      </c>
      <c r="H176" t="s">
        <v>4132</v>
      </c>
      <c r="I176" t="s">
        <v>3772</v>
      </c>
      <c r="J176" t="s">
        <v>3773</v>
      </c>
      <c r="K176" t="s">
        <v>3850</v>
      </c>
      <c r="L176" t="s">
        <v>3827</v>
      </c>
      <c r="M176" t="s">
        <v>3776</v>
      </c>
      <c r="N176" t="s">
        <v>3777</v>
      </c>
      <c r="O176" t="s">
        <v>5433</v>
      </c>
      <c r="P176" s="15" t="s">
        <v>5434</v>
      </c>
      <c r="Q176" t="s">
        <v>4301</v>
      </c>
      <c r="R176" t="s">
        <v>4302</v>
      </c>
      <c r="S176" t="s">
        <v>4157</v>
      </c>
      <c r="T176" t="s">
        <v>5388</v>
      </c>
      <c r="U176" t="s">
        <v>5389</v>
      </c>
      <c r="V176" t="s">
        <v>4303</v>
      </c>
      <c r="W176" t="s">
        <v>3782</v>
      </c>
      <c r="X176" t="s">
        <v>3890</v>
      </c>
      <c r="Y176" t="s">
        <v>4218</v>
      </c>
      <c r="Z176" t="s">
        <v>5155</v>
      </c>
      <c r="AA176" t="s">
        <v>5152</v>
      </c>
      <c r="AB176" t="s">
        <v>4263</v>
      </c>
      <c r="AC176" s="1" t="s">
        <v>4159</v>
      </c>
      <c r="AD176" s="6" t="s">
        <v>6564</v>
      </c>
    </row>
    <row r="177" spans="1:30" x14ac:dyDescent="0.25">
      <c r="A177" t="s">
        <v>5842</v>
      </c>
      <c r="B177" t="s">
        <v>3766</v>
      </c>
      <c r="C177" t="s">
        <v>4189</v>
      </c>
      <c r="D177" t="s">
        <v>4163</v>
      </c>
      <c r="E177" t="s">
        <v>3797</v>
      </c>
      <c r="F177" t="s">
        <v>4468</v>
      </c>
      <c r="G177" t="s">
        <v>6566</v>
      </c>
      <c r="H177" t="s">
        <v>4192</v>
      </c>
      <c r="I177" t="s">
        <v>3772</v>
      </c>
      <c r="J177" t="s">
        <v>3773</v>
      </c>
      <c r="K177" t="s">
        <v>3850</v>
      </c>
      <c r="L177" t="s">
        <v>3827</v>
      </c>
      <c r="M177" t="s">
        <v>3776</v>
      </c>
      <c r="N177" t="s">
        <v>3777</v>
      </c>
      <c r="O177" t="s">
        <v>5435</v>
      </c>
      <c r="P177" s="15" t="s">
        <v>5436</v>
      </c>
      <c r="Q177" t="s">
        <v>4304</v>
      </c>
      <c r="R177" t="s">
        <v>4305</v>
      </c>
      <c r="S177" t="s">
        <v>4157</v>
      </c>
      <c r="T177" t="s">
        <v>5381</v>
      </c>
      <c r="U177" t="s">
        <v>5382</v>
      </c>
      <c r="V177" t="s">
        <v>4296</v>
      </c>
      <c r="W177" t="s">
        <v>3782</v>
      </c>
      <c r="X177" t="s">
        <v>3804</v>
      </c>
      <c r="Y177" t="s">
        <v>3805</v>
      </c>
      <c r="Z177" t="s">
        <v>5149</v>
      </c>
      <c r="AA177" t="s">
        <v>5154</v>
      </c>
      <c r="AB177" t="s">
        <v>4263</v>
      </c>
      <c r="AC177" s="1" t="s">
        <v>4159</v>
      </c>
      <c r="AD177" s="6" t="s">
        <v>6567</v>
      </c>
    </row>
    <row r="178" spans="1:30" x14ac:dyDescent="0.25">
      <c r="A178" t="s">
        <v>5842</v>
      </c>
      <c r="B178" t="s">
        <v>3766</v>
      </c>
      <c r="C178" t="s">
        <v>4189</v>
      </c>
      <c r="D178" t="s">
        <v>4163</v>
      </c>
      <c r="E178" t="s">
        <v>3797</v>
      </c>
      <c r="F178" t="s">
        <v>4468</v>
      </c>
      <c r="G178" t="s">
        <v>6569</v>
      </c>
      <c r="H178" t="s">
        <v>6570</v>
      </c>
      <c r="I178" t="s">
        <v>3772</v>
      </c>
      <c r="J178" t="s">
        <v>3773</v>
      </c>
      <c r="K178" t="s">
        <v>3850</v>
      </c>
      <c r="L178" t="s">
        <v>3827</v>
      </c>
      <c r="M178" t="s">
        <v>3776</v>
      </c>
      <c r="N178" t="s">
        <v>3777</v>
      </c>
      <c r="O178" t="s">
        <v>5435</v>
      </c>
      <c r="P178" s="15" t="s">
        <v>5436</v>
      </c>
      <c r="Q178" t="s">
        <v>4306</v>
      </c>
      <c r="R178" t="s">
        <v>4307</v>
      </c>
      <c r="S178" t="s">
        <v>4157</v>
      </c>
      <c r="T178" t="s">
        <v>5395</v>
      </c>
      <c r="U178" t="s">
        <v>5396</v>
      </c>
      <c r="V178" t="s">
        <v>4308</v>
      </c>
      <c r="W178" t="s">
        <v>3782</v>
      </c>
      <c r="X178" t="s">
        <v>3804</v>
      </c>
      <c r="Y178" t="s">
        <v>3805</v>
      </c>
      <c r="Z178" t="s">
        <v>5149</v>
      </c>
      <c r="AA178" t="s">
        <v>5154</v>
      </c>
      <c r="AB178" t="s">
        <v>4263</v>
      </c>
      <c r="AC178" s="1" t="s">
        <v>4159</v>
      </c>
      <c r="AD178" s="6" t="s">
        <v>6571</v>
      </c>
    </row>
    <row r="179" spans="1:30" x14ac:dyDescent="0.25">
      <c r="A179" t="s">
        <v>5842</v>
      </c>
      <c r="B179" t="s">
        <v>3766</v>
      </c>
      <c r="C179" t="s">
        <v>4196</v>
      </c>
      <c r="D179" t="s">
        <v>3814</v>
      </c>
      <c r="E179" t="s">
        <v>3797</v>
      </c>
      <c r="F179" t="s">
        <v>4197</v>
      </c>
      <c r="G179" t="s">
        <v>6573</v>
      </c>
      <c r="H179" t="s">
        <v>6450</v>
      </c>
      <c r="I179" t="s">
        <v>3772</v>
      </c>
      <c r="J179" t="s">
        <v>3773</v>
      </c>
      <c r="K179" t="s">
        <v>3850</v>
      </c>
      <c r="L179" t="s">
        <v>3827</v>
      </c>
      <c r="M179" t="s">
        <v>3776</v>
      </c>
      <c r="N179" t="s">
        <v>3777</v>
      </c>
      <c r="O179" t="s">
        <v>5435</v>
      </c>
      <c r="P179" s="15" t="s">
        <v>5437</v>
      </c>
      <c r="Q179" t="s">
        <v>4304</v>
      </c>
      <c r="R179" t="s">
        <v>4305</v>
      </c>
      <c r="S179" t="s">
        <v>4157</v>
      </c>
      <c r="T179" t="s">
        <v>5381</v>
      </c>
      <c r="U179" t="s">
        <v>5382</v>
      </c>
      <c r="V179" t="s">
        <v>4296</v>
      </c>
      <c r="W179" t="s">
        <v>3782</v>
      </c>
      <c r="X179" t="s">
        <v>3804</v>
      </c>
      <c r="Y179" t="s">
        <v>3805</v>
      </c>
      <c r="Z179" t="s">
        <v>5149</v>
      </c>
      <c r="AA179" t="s">
        <v>5154</v>
      </c>
      <c r="AB179" t="s">
        <v>4263</v>
      </c>
      <c r="AC179" s="1" t="s">
        <v>4159</v>
      </c>
      <c r="AD179" s="6" t="s">
        <v>6574</v>
      </c>
    </row>
    <row r="180" spans="1:30" x14ac:dyDescent="0.25">
      <c r="A180" t="s">
        <v>5842</v>
      </c>
      <c r="B180" t="s">
        <v>3766</v>
      </c>
      <c r="C180" t="s">
        <v>4196</v>
      </c>
      <c r="D180" t="s">
        <v>3814</v>
      </c>
      <c r="E180" t="s">
        <v>3797</v>
      </c>
      <c r="F180" t="s">
        <v>4197</v>
      </c>
      <c r="G180" t="s">
        <v>6576</v>
      </c>
      <c r="H180" t="s">
        <v>4136</v>
      </c>
      <c r="I180" t="s">
        <v>3772</v>
      </c>
      <c r="J180" t="s">
        <v>3773</v>
      </c>
      <c r="K180" t="s">
        <v>3850</v>
      </c>
      <c r="L180" t="s">
        <v>3827</v>
      </c>
      <c r="M180" t="s">
        <v>3776</v>
      </c>
      <c r="N180" t="s">
        <v>3777</v>
      </c>
      <c r="O180" t="s">
        <v>5435</v>
      </c>
      <c r="P180" s="15" t="s">
        <v>5436</v>
      </c>
      <c r="Q180" t="s">
        <v>4306</v>
      </c>
      <c r="R180" t="s">
        <v>4307</v>
      </c>
      <c r="S180" t="s">
        <v>4157</v>
      </c>
      <c r="T180" t="s">
        <v>5395</v>
      </c>
      <c r="U180" t="s">
        <v>5396</v>
      </c>
      <c r="V180" t="s">
        <v>4308</v>
      </c>
      <c r="W180" t="s">
        <v>3782</v>
      </c>
      <c r="X180" t="s">
        <v>3804</v>
      </c>
      <c r="Y180" t="s">
        <v>3805</v>
      </c>
      <c r="Z180" t="s">
        <v>5149</v>
      </c>
      <c r="AA180" t="s">
        <v>5154</v>
      </c>
      <c r="AB180" t="s">
        <v>4263</v>
      </c>
      <c r="AC180" s="1" t="s">
        <v>4159</v>
      </c>
      <c r="AD180" s="6" t="s">
        <v>6577</v>
      </c>
    </row>
    <row r="181" spans="1:30" x14ac:dyDescent="0.25">
      <c r="A181" t="s">
        <v>5842</v>
      </c>
      <c r="B181" t="s">
        <v>3766</v>
      </c>
      <c r="C181" t="s">
        <v>4189</v>
      </c>
      <c r="D181" t="s">
        <v>4163</v>
      </c>
      <c r="E181" t="s">
        <v>3797</v>
      </c>
      <c r="F181" t="s">
        <v>4468</v>
      </c>
      <c r="G181" t="s">
        <v>6579</v>
      </c>
      <c r="H181" t="s">
        <v>6580</v>
      </c>
      <c r="I181" t="s">
        <v>3772</v>
      </c>
      <c r="J181" t="s">
        <v>3773</v>
      </c>
      <c r="K181" t="s">
        <v>3850</v>
      </c>
      <c r="L181" t="s">
        <v>3827</v>
      </c>
      <c r="M181" t="s">
        <v>3776</v>
      </c>
      <c r="N181" t="s">
        <v>3777</v>
      </c>
      <c r="O181" t="s">
        <v>5438</v>
      </c>
      <c r="P181" s="15" t="s">
        <v>5439</v>
      </c>
      <c r="Q181" t="s">
        <v>4309</v>
      </c>
      <c r="R181" t="s">
        <v>4310</v>
      </c>
      <c r="S181" t="s">
        <v>4157</v>
      </c>
      <c r="T181" t="s">
        <v>5395</v>
      </c>
      <c r="U181" t="s">
        <v>5396</v>
      </c>
      <c r="V181" t="s">
        <v>4311</v>
      </c>
      <c r="W181" t="s">
        <v>3782</v>
      </c>
      <c r="X181" t="s">
        <v>3804</v>
      </c>
      <c r="Y181" t="s">
        <v>3805</v>
      </c>
      <c r="Z181" t="s">
        <v>5149</v>
      </c>
      <c r="AA181" t="s">
        <v>5154</v>
      </c>
      <c r="AB181" t="s">
        <v>4263</v>
      </c>
      <c r="AC181" s="1" t="s">
        <v>3807</v>
      </c>
      <c r="AD181" s="6" t="s">
        <v>6581</v>
      </c>
    </row>
    <row r="182" spans="1:30" x14ac:dyDescent="0.25">
      <c r="A182" t="s">
        <v>5842</v>
      </c>
      <c r="B182" t="s">
        <v>3766</v>
      </c>
      <c r="C182" t="s">
        <v>4196</v>
      </c>
      <c r="D182" t="s">
        <v>3814</v>
      </c>
      <c r="E182" t="s">
        <v>3797</v>
      </c>
      <c r="F182" t="s">
        <v>4197</v>
      </c>
      <c r="G182" t="s">
        <v>6583</v>
      </c>
      <c r="H182" t="s">
        <v>4124</v>
      </c>
      <c r="I182" t="s">
        <v>3772</v>
      </c>
      <c r="J182" t="s">
        <v>3773</v>
      </c>
      <c r="K182" t="s">
        <v>3850</v>
      </c>
      <c r="L182" t="s">
        <v>3827</v>
      </c>
      <c r="M182" t="s">
        <v>3776</v>
      </c>
      <c r="N182" t="s">
        <v>3777</v>
      </c>
      <c r="O182" t="s">
        <v>5438</v>
      </c>
      <c r="P182" s="15" t="s">
        <v>5439</v>
      </c>
      <c r="Q182" t="s">
        <v>4309</v>
      </c>
      <c r="R182" t="s">
        <v>4310</v>
      </c>
      <c r="S182" t="s">
        <v>4157</v>
      </c>
      <c r="T182" t="s">
        <v>5395</v>
      </c>
      <c r="U182" t="s">
        <v>5396</v>
      </c>
      <c r="V182" t="s">
        <v>4311</v>
      </c>
      <c r="W182" t="s">
        <v>3782</v>
      </c>
      <c r="X182" t="s">
        <v>3804</v>
      </c>
      <c r="Y182" t="s">
        <v>3805</v>
      </c>
      <c r="Z182" t="s">
        <v>5149</v>
      </c>
      <c r="AA182" t="s">
        <v>5154</v>
      </c>
      <c r="AB182" t="s">
        <v>4263</v>
      </c>
      <c r="AC182" s="1" t="s">
        <v>3807</v>
      </c>
      <c r="AD182" s="6" t="s">
        <v>6584</v>
      </c>
    </row>
    <row r="183" spans="1:30" x14ac:dyDescent="0.25">
      <c r="A183" t="s">
        <v>5842</v>
      </c>
      <c r="B183" t="s">
        <v>3901</v>
      </c>
      <c r="C183" t="s">
        <v>4312</v>
      </c>
      <c r="D183" t="s">
        <v>4313</v>
      </c>
      <c r="E183" t="s">
        <v>3797</v>
      </c>
      <c r="F183" t="s">
        <v>4314</v>
      </c>
      <c r="G183" t="s">
        <v>4315</v>
      </c>
      <c r="H183" t="s">
        <v>4316</v>
      </c>
      <c r="I183" t="s">
        <v>3772</v>
      </c>
      <c r="J183" t="s">
        <v>3773</v>
      </c>
      <c r="K183" t="s">
        <v>3908</v>
      </c>
      <c r="L183" t="s">
        <v>3800</v>
      </c>
      <c r="M183" t="s">
        <v>3776</v>
      </c>
      <c r="N183" t="s">
        <v>3777</v>
      </c>
      <c r="O183" t="s">
        <v>5440</v>
      </c>
      <c r="P183" s="15" t="s">
        <v>5441</v>
      </c>
      <c r="Q183" t="s">
        <v>4317</v>
      </c>
      <c r="R183" t="s">
        <v>4318</v>
      </c>
      <c r="S183" t="s">
        <v>4157</v>
      </c>
      <c r="T183" t="s">
        <v>5442</v>
      </c>
      <c r="U183" t="s">
        <v>5443</v>
      </c>
      <c r="V183" t="s">
        <v>4319</v>
      </c>
      <c r="W183" t="s">
        <v>3782</v>
      </c>
      <c r="X183" t="s">
        <v>3890</v>
      </c>
      <c r="Y183" t="s">
        <v>3784</v>
      </c>
      <c r="Z183" t="s">
        <v>5155</v>
      </c>
      <c r="AA183" t="s">
        <v>5152</v>
      </c>
      <c r="AB183" t="s">
        <v>4320</v>
      </c>
      <c r="AC183" s="1" t="s">
        <v>4321</v>
      </c>
      <c r="AD183" s="6" t="s">
        <v>6974</v>
      </c>
    </row>
    <row r="184" spans="1:30" x14ac:dyDescent="0.25">
      <c r="A184" t="s">
        <v>5842</v>
      </c>
      <c r="B184" t="s">
        <v>4001</v>
      </c>
      <c r="C184" t="s">
        <v>4211</v>
      </c>
      <c r="D184" t="s">
        <v>3868</v>
      </c>
      <c r="E184" t="s">
        <v>3797</v>
      </c>
      <c r="F184" t="s">
        <v>4212</v>
      </c>
      <c r="G184" t="s">
        <v>6586</v>
      </c>
      <c r="H184" t="s">
        <v>6587</v>
      </c>
      <c r="I184" t="s">
        <v>3772</v>
      </c>
      <c r="J184" t="s">
        <v>3773</v>
      </c>
      <c r="K184" t="s">
        <v>3850</v>
      </c>
      <c r="L184" t="s">
        <v>3800</v>
      </c>
      <c r="M184" t="s">
        <v>3776</v>
      </c>
      <c r="N184" t="s">
        <v>3777</v>
      </c>
      <c r="O184" t="s">
        <v>5444</v>
      </c>
      <c r="P184" s="15" t="s">
        <v>5445</v>
      </c>
      <c r="Q184" t="s">
        <v>4322</v>
      </c>
      <c r="R184" t="s">
        <v>4323</v>
      </c>
      <c r="S184" t="s">
        <v>4157</v>
      </c>
      <c r="T184" t="s">
        <v>5388</v>
      </c>
      <c r="U184" t="s">
        <v>5389</v>
      </c>
      <c r="V184" t="s">
        <v>4324</v>
      </c>
      <c r="W184" t="s">
        <v>3782</v>
      </c>
      <c r="X184" t="s">
        <v>3890</v>
      </c>
      <c r="Y184" t="s">
        <v>4325</v>
      </c>
      <c r="Z184" t="s">
        <v>5149</v>
      </c>
      <c r="AA184" t="s">
        <v>5148</v>
      </c>
      <c r="AB184" t="s">
        <v>4263</v>
      </c>
      <c r="AC184" s="1" t="s">
        <v>3807</v>
      </c>
      <c r="AD184" s="6" t="s">
        <v>6588</v>
      </c>
    </row>
    <row r="185" spans="1:30" x14ac:dyDescent="0.25">
      <c r="A185" t="s">
        <v>5842</v>
      </c>
      <c r="B185" t="s">
        <v>4001</v>
      </c>
      <c r="C185" t="s">
        <v>6590</v>
      </c>
      <c r="D185" t="s">
        <v>4326</v>
      </c>
      <c r="E185" t="s">
        <v>3797</v>
      </c>
      <c r="F185" t="s">
        <v>4436</v>
      </c>
      <c r="G185" t="s">
        <v>6591</v>
      </c>
      <c r="H185" t="s">
        <v>6592</v>
      </c>
      <c r="I185" t="s">
        <v>3772</v>
      </c>
      <c r="J185" t="s">
        <v>3773</v>
      </c>
      <c r="K185" t="s">
        <v>3850</v>
      </c>
      <c r="L185" t="s">
        <v>3800</v>
      </c>
      <c r="M185" t="s">
        <v>3776</v>
      </c>
      <c r="N185" t="s">
        <v>3777</v>
      </c>
      <c r="O185" t="s">
        <v>5444</v>
      </c>
      <c r="P185" t="s">
        <v>5445</v>
      </c>
      <c r="Q185" t="s">
        <v>4327</v>
      </c>
      <c r="R185" t="s">
        <v>4328</v>
      </c>
      <c r="S185" t="s">
        <v>4157</v>
      </c>
      <c r="T185" t="s">
        <v>5398</v>
      </c>
      <c r="U185" t="s">
        <v>5446</v>
      </c>
      <c r="V185" t="s">
        <v>4329</v>
      </c>
      <c r="W185" t="s">
        <v>3782</v>
      </c>
      <c r="X185" t="s">
        <v>3890</v>
      </c>
      <c r="Y185" t="s">
        <v>4218</v>
      </c>
      <c r="Z185" t="s">
        <v>5149</v>
      </c>
      <c r="AA185" t="s">
        <v>5148</v>
      </c>
      <c r="AB185" t="s">
        <v>4263</v>
      </c>
      <c r="AC185" s="1" t="s">
        <v>3807</v>
      </c>
      <c r="AD185" s="6" t="s">
        <v>6593</v>
      </c>
    </row>
    <row r="186" spans="1:30" x14ac:dyDescent="0.25">
      <c r="A186" t="s">
        <v>5842</v>
      </c>
      <c r="B186" t="s">
        <v>4001</v>
      </c>
      <c r="C186" t="s">
        <v>4659</v>
      </c>
      <c r="D186" t="s">
        <v>4004</v>
      </c>
      <c r="E186" t="s">
        <v>3797</v>
      </c>
      <c r="F186" t="s">
        <v>6595</v>
      </c>
      <c r="G186" t="s">
        <v>6596</v>
      </c>
      <c r="H186" t="s">
        <v>4231</v>
      </c>
      <c r="I186" t="s">
        <v>3772</v>
      </c>
      <c r="J186" t="s">
        <v>3773</v>
      </c>
      <c r="K186" t="s">
        <v>3908</v>
      </c>
      <c r="L186" t="s">
        <v>3800</v>
      </c>
      <c r="M186" t="s">
        <v>3776</v>
      </c>
      <c r="N186" t="s">
        <v>3777</v>
      </c>
      <c r="O186" t="s">
        <v>5444</v>
      </c>
      <c r="P186" t="s">
        <v>5445</v>
      </c>
      <c r="Q186" t="s">
        <v>4322</v>
      </c>
      <c r="R186" t="s">
        <v>4330</v>
      </c>
      <c r="S186" t="s">
        <v>4157</v>
      </c>
      <c r="T186" t="s">
        <v>5392</v>
      </c>
      <c r="U186" t="s">
        <v>5447</v>
      </c>
      <c r="V186" t="s">
        <v>4331</v>
      </c>
      <c r="W186" t="s">
        <v>3782</v>
      </c>
      <c r="X186" t="s">
        <v>3890</v>
      </c>
      <c r="Y186" t="s">
        <v>4332</v>
      </c>
      <c r="Z186" t="s">
        <v>5151</v>
      </c>
      <c r="AA186" t="s">
        <v>5150</v>
      </c>
      <c r="AB186" t="s">
        <v>4263</v>
      </c>
      <c r="AC186" s="1" t="s">
        <v>3807</v>
      </c>
      <c r="AD186" s="6" t="s">
        <v>6597</v>
      </c>
    </row>
    <row r="187" spans="1:30" x14ac:dyDescent="0.25">
      <c r="A187" t="s">
        <v>5842</v>
      </c>
      <c r="B187" t="s">
        <v>4001</v>
      </c>
      <c r="C187" t="s">
        <v>4659</v>
      </c>
      <c r="D187" t="s">
        <v>4004</v>
      </c>
      <c r="E187" t="s">
        <v>4172</v>
      </c>
      <c r="F187" t="s">
        <v>6595</v>
      </c>
      <c r="G187" t="s">
        <v>6599</v>
      </c>
      <c r="H187" t="s">
        <v>6600</v>
      </c>
      <c r="I187" t="s">
        <v>3772</v>
      </c>
      <c r="J187" t="s">
        <v>3773</v>
      </c>
      <c r="K187" t="s">
        <v>3908</v>
      </c>
      <c r="L187" t="s">
        <v>3800</v>
      </c>
      <c r="M187" t="s">
        <v>3776</v>
      </c>
      <c r="N187" t="s">
        <v>3777</v>
      </c>
      <c r="O187" t="s">
        <v>5444</v>
      </c>
      <c r="P187" t="s">
        <v>5445</v>
      </c>
      <c r="Q187" t="s">
        <v>4327</v>
      </c>
      <c r="R187" t="s">
        <v>4333</v>
      </c>
      <c r="S187" t="s">
        <v>4157</v>
      </c>
      <c r="T187" t="s">
        <v>5392</v>
      </c>
      <c r="U187" t="s">
        <v>5393</v>
      </c>
      <c r="V187" t="s">
        <v>4331</v>
      </c>
      <c r="W187" t="s">
        <v>3782</v>
      </c>
      <c r="X187" t="s">
        <v>3890</v>
      </c>
      <c r="Y187" t="s">
        <v>4218</v>
      </c>
      <c r="Z187" t="s">
        <v>5151</v>
      </c>
      <c r="AA187" t="s">
        <v>5150</v>
      </c>
      <c r="AB187" t="s">
        <v>4263</v>
      </c>
      <c r="AC187" s="1" t="s">
        <v>3807</v>
      </c>
      <c r="AD187" s="6" t="s">
        <v>6601</v>
      </c>
    </row>
    <row r="188" spans="1:30" x14ac:dyDescent="0.25">
      <c r="A188" t="s">
        <v>5842</v>
      </c>
      <c r="B188" t="s">
        <v>4001</v>
      </c>
      <c r="C188" t="s">
        <v>6603</v>
      </c>
      <c r="D188" t="s">
        <v>4334</v>
      </c>
      <c r="E188" t="s">
        <v>3797</v>
      </c>
      <c r="F188" t="s">
        <v>6604</v>
      </c>
      <c r="G188" t="s">
        <v>6605</v>
      </c>
      <c r="H188" t="s">
        <v>6606</v>
      </c>
      <c r="I188" t="s">
        <v>3772</v>
      </c>
      <c r="J188" t="s">
        <v>3773</v>
      </c>
      <c r="K188" t="s">
        <v>3908</v>
      </c>
      <c r="L188" t="s">
        <v>3800</v>
      </c>
      <c r="M188" t="s">
        <v>3776</v>
      </c>
      <c r="N188" t="s">
        <v>3777</v>
      </c>
      <c r="O188" t="s">
        <v>5444</v>
      </c>
      <c r="P188" t="s">
        <v>5445</v>
      </c>
      <c r="Q188" t="s">
        <v>4327</v>
      </c>
      <c r="R188" t="s">
        <v>4335</v>
      </c>
      <c r="S188" t="s">
        <v>4157</v>
      </c>
      <c r="T188" t="s">
        <v>5392</v>
      </c>
      <c r="U188" t="s">
        <v>5393</v>
      </c>
      <c r="V188" t="s">
        <v>4331</v>
      </c>
      <c r="W188" t="s">
        <v>3782</v>
      </c>
      <c r="X188" t="s">
        <v>3890</v>
      </c>
      <c r="Y188" t="s">
        <v>4218</v>
      </c>
      <c r="Z188" t="s">
        <v>5151</v>
      </c>
      <c r="AA188" t="s">
        <v>5150</v>
      </c>
      <c r="AB188" t="s">
        <v>4263</v>
      </c>
      <c r="AC188" s="1" t="s">
        <v>3807</v>
      </c>
      <c r="AD188" s="6" t="s">
        <v>6607</v>
      </c>
    </row>
    <row r="189" spans="1:30" x14ac:dyDescent="0.25">
      <c r="A189" t="s">
        <v>5842</v>
      </c>
      <c r="B189" t="s">
        <v>4001</v>
      </c>
      <c r="C189" t="s">
        <v>6609</v>
      </c>
      <c r="D189" t="s">
        <v>3910</v>
      </c>
      <c r="E189" t="s">
        <v>3797</v>
      </c>
      <c r="F189" t="s">
        <v>4664</v>
      </c>
      <c r="G189" t="s">
        <v>6610</v>
      </c>
      <c r="H189" t="s">
        <v>6611</v>
      </c>
      <c r="I189" t="s">
        <v>3772</v>
      </c>
      <c r="J189" t="s">
        <v>3773</v>
      </c>
      <c r="K189" t="s">
        <v>3908</v>
      </c>
      <c r="L189" t="s">
        <v>3800</v>
      </c>
      <c r="M189" t="s">
        <v>3776</v>
      </c>
      <c r="N189" t="s">
        <v>3777</v>
      </c>
      <c r="O189" t="s">
        <v>5444</v>
      </c>
      <c r="P189" t="s">
        <v>5445</v>
      </c>
      <c r="Q189" t="s">
        <v>4322</v>
      </c>
      <c r="R189" t="s">
        <v>4336</v>
      </c>
      <c r="S189" t="s">
        <v>4157</v>
      </c>
      <c r="T189" t="s">
        <v>5392</v>
      </c>
      <c r="U189" t="s">
        <v>5447</v>
      </c>
      <c r="V189" t="s">
        <v>4337</v>
      </c>
      <c r="W189" t="s">
        <v>3782</v>
      </c>
      <c r="X189" t="s">
        <v>3890</v>
      </c>
      <c r="Y189" t="s">
        <v>4332</v>
      </c>
      <c r="Z189" t="s">
        <v>5155</v>
      </c>
      <c r="AA189" t="s">
        <v>5152</v>
      </c>
      <c r="AB189" t="s">
        <v>4263</v>
      </c>
      <c r="AC189" s="1" t="s">
        <v>3807</v>
      </c>
      <c r="AD189" s="6" t="s">
        <v>6612</v>
      </c>
    </row>
    <row r="190" spans="1:30" x14ac:dyDescent="0.25">
      <c r="A190" t="s">
        <v>5842</v>
      </c>
      <c r="B190" t="s">
        <v>4001</v>
      </c>
      <c r="C190" t="s">
        <v>6614</v>
      </c>
      <c r="D190" t="s">
        <v>3910</v>
      </c>
      <c r="E190" t="s">
        <v>3797</v>
      </c>
      <c r="F190" t="s">
        <v>6615</v>
      </c>
      <c r="G190" t="s">
        <v>6616</v>
      </c>
      <c r="H190" t="s">
        <v>6617</v>
      </c>
      <c r="I190" t="s">
        <v>3772</v>
      </c>
      <c r="J190" t="s">
        <v>3773</v>
      </c>
      <c r="K190" t="s">
        <v>3908</v>
      </c>
      <c r="L190" t="s">
        <v>3800</v>
      </c>
      <c r="M190" t="s">
        <v>3776</v>
      </c>
      <c r="N190" t="s">
        <v>3777</v>
      </c>
      <c r="O190" t="s">
        <v>5444</v>
      </c>
      <c r="P190" t="s">
        <v>5445</v>
      </c>
      <c r="Q190" t="s">
        <v>4327</v>
      </c>
      <c r="R190" t="s">
        <v>4338</v>
      </c>
      <c r="S190" t="s">
        <v>4157</v>
      </c>
      <c r="T190" t="s">
        <v>5392</v>
      </c>
      <c r="U190" t="s">
        <v>5393</v>
      </c>
      <c r="V190" t="s">
        <v>4339</v>
      </c>
      <c r="W190" t="s">
        <v>3782</v>
      </c>
      <c r="X190" t="s">
        <v>3890</v>
      </c>
      <c r="Y190" t="s">
        <v>4218</v>
      </c>
      <c r="Z190" t="s">
        <v>5155</v>
      </c>
      <c r="AA190" t="s">
        <v>5156</v>
      </c>
      <c r="AB190" t="s">
        <v>4263</v>
      </c>
      <c r="AC190" s="1" t="s">
        <v>3807</v>
      </c>
      <c r="AD190" s="6" t="s">
        <v>6618</v>
      </c>
    </row>
    <row r="191" spans="1:30" x14ac:dyDescent="0.25">
      <c r="A191" t="s">
        <v>5842</v>
      </c>
      <c r="B191" t="s">
        <v>4001</v>
      </c>
      <c r="C191" t="s">
        <v>4670</v>
      </c>
      <c r="D191" t="s">
        <v>4340</v>
      </c>
      <c r="E191" t="s">
        <v>3797</v>
      </c>
      <c r="F191" t="s">
        <v>5039</v>
      </c>
      <c r="G191" t="s">
        <v>6620</v>
      </c>
      <c r="H191" t="s">
        <v>6621</v>
      </c>
      <c r="I191" t="s">
        <v>3772</v>
      </c>
      <c r="J191" t="s">
        <v>3773</v>
      </c>
      <c r="K191" t="s">
        <v>3908</v>
      </c>
      <c r="L191" t="s">
        <v>3800</v>
      </c>
      <c r="M191" t="s">
        <v>3776</v>
      </c>
      <c r="N191" t="s">
        <v>3777</v>
      </c>
      <c r="O191" t="s">
        <v>5444</v>
      </c>
      <c r="P191" t="s">
        <v>5445</v>
      </c>
      <c r="Q191" t="s">
        <v>4322</v>
      </c>
      <c r="R191" t="s">
        <v>4341</v>
      </c>
      <c r="S191" t="s">
        <v>4157</v>
      </c>
      <c r="T191" t="s">
        <v>5448</v>
      </c>
      <c r="U191" t="s">
        <v>5449</v>
      </c>
      <c r="V191" t="s">
        <v>4342</v>
      </c>
      <c r="W191" t="s">
        <v>3782</v>
      </c>
      <c r="X191" t="s">
        <v>3890</v>
      </c>
      <c r="Y191" t="s">
        <v>4332</v>
      </c>
      <c r="Z191" t="s">
        <v>5155</v>
      </c>
      <c r="AA191" t="s">
        <v>5152</v>
      </c>
      <c r="AB191" t="s">
        <v>4263</v>
      </c>
      <c r="AC191" s="1" t="s">
        <v>3807</v>
      </c>
      <c r="AD191" s="6" t="s">
        <v>6622</v>
      </c>
    </row>
    <row r="192" spans="1:30" x14ac:dyDescent="0.25">
      <c r="A192" t="s">
        <v>5842</v>
      </c>
      <c r="B192" t="s">
        <v>4001</v>
      </c>
      <c r="C192" t="s">
        <v>4670</v>
      </c>
      <c r="D192" t="s">
        <v>4340</v>
      </c>
      <c r="E192" t="s">
        <v>3797</v>
      </c>
      <c r="F192" t="s">
        <v>4751</v>
      </c>
      <c r="G192" t="s">
        <v>6624</v>
      </c>
      <c r="H192" t="s">
        <v>6625</v>
      </c>
      <c r="I192" t="s">
        <v>3772</v>
      </c>
      <c r="J192" t="s">
        <v>3773</v>
      </c>
      <c r="K192" t="s">
        <v>3908</v>
      </c>
      <c r="L192" t="s">
        <v>3800</v>
      </c>
      <c r="M192" t="s">
        <v>3776</v>
      </c>
      <c r="N192" t="s">
        <v>3777</v>
      </c>
      <c r="O192" t="s">
        <v>5444</v>
      </c>
      <c r="P192" t="s">
        <v>5445</v>
      </c>
      <c r="Q192" t="s">
        <v>4327</v>
      </c>
      <c r="R192" t="s">
        <v>4343</v>
      </c>
      <c r="S192" t="s">
        <v>4157</v>
      </c>
      <c r="T192" t="s">
        <v>5450</v>
      </c>
      <c r="U192" t="s">
        <v>5449</v>
      </c>
      <c r="V192" t="s">
        <v>4344</v>
      </c>
      <c r="W192" t="s">
        <v>3782</v>
      </c>
      <c r="X192" t="s">
        <v>3890</v>
      </c>
      <c r="Y192" t="s">
        <v>4218</v>
      </c>
      <c r="Z192" t="s">
        <v>5155</v>
      </c>
      <c r="AA192" t="s">
        <v>5156</v>
      </c>
      <c r="AB192" t="s">
        <v>4263</v>
      </c>
      <c r="AC192" s="1" t="s">
        <v>3807</v>
      </c>
      <c r="AD192" s="6" t="s">
        <v>6626</v>
      </c>
    </row>
    <row r="193" spans="1:30" x14ac:dyDescent="0.25">
      <c r="A193" t="s">
        <v>5842</v>
      </c>
      <c r="B193" t="s">
        <v>4001</v>
      </c>
      <c r="C193" t="s">
        <v>4196</v>
      </c>
      <c r="D193" t="s">
        <v>3814</v>
      </c>
      <c r="E193" t="s">
        <v>3797</v>
      </c>
      <c r="F193" t="s">
        <v>4484</v>
      </c>
      <c r="G193" t="s">
        <v>6628</v>
      </c>
      <c r="H193" t="s">
        <v>6629</v>
      </c>
      <c r="I193" t="s">
        <v>3772</v>
      </c>
      <c r="J193" t="s">
        <v>3773</v>
      </c>
      <c r="K193" t="s">
        <v>3850</v>
      </c>
      <c r="L193" t="s">
        <v>3800</v>
      </c>
      <c r="M193" t="s">
        <v>3776</v>
      </c>
      <c r="N193" t="s">
        <v>3777</v>
      </c>
      <c r="O193" t="s">
        <v>5451</v>
      </c>
      <c r="P193" t="s">
        <v>5452</v>
      </c>
      <c r="Q193" t="s">
        <v>4345</v>
      </c>
      <c r="R193" t="s">
        <v>4346</v>
      </c>
      <c r="S193" t="s">
        <v>4157</v>
      </c>
      <c r="T193" t="s">
        <v>5401</v>
      </c>
      <c r="U193" t="s">
        <v>5432</v>
      </c>
      <c r="V193" t="s">
        <v>4347</v>
      </c>
      <c r="W193" t="s">
        <v>3782</v>
      </c>
      <c r="X193" t="s">
        <v>3804</v>
      </c>
      <c r="Y193" t="s">
        <v>3805</v>
      </c>
      <c r="Z193" t="s">
        <v>5149</v>
      </c>
      <c r="AA193" t="s">
        <v>5154</v>
      </c>
      <c r="AB193" t="s">
        <v>4263</v>
      </c>
      <c r="AC193" s="1" t="s">
        <v>3807</v>
      </c>
      <c r="AD193" s="6" t="s">
        <v>6630</v>
      </c>
    </row>
    <row r="194" spans="1:30" x14ac:dyDescent="0.25">
      <c r="A194" t="s">
        <v>5842</v>
      </c>
      <c r="B194" t="s">
        <v>4001</v>
      </c>
      <c r="C194" t="s">
        <v>6632</v>
      </c>
      <c r="D194" t="s">
        <v>4348</v>
      </c>
      <c r="E194" t="s">
        <v>3797</v>
      </c>
      <c r="F194" t="s">
        <v>6633</v>
      </c>
      <c r="G194" t="s">
        <v>6634</v>
      </c>
      <c r="H194" t="s">
        <v>6635</v>
      </c>
      <c r="I194" t="s">
        <v>3772</v>
      </c>
      <c r="J194" t="s">
        <v>3773</v>
      </c>
      <c r="K194" t="s">
        <v>3850</v>
      </c>
      <c r="L194" t="s">
        <v>3800</v>
      </c>
      <c r="M194" t="s">
        <v>3776</v>
      </c>
      <c r="N194" t="s">
        <v>3777</v>
      </c>
      <c r="O194" t="s">
        <v>5451</v>
      </c>
      <c r="P194" t="s">
        <v>5452</v>
      </c>
      <c r="Q194" t="s">
        <v>4345</v>
      </c>
      <c r="R194" t="s">
        <v>4349</v>
      </c>
      <c r="S194" t="s">
        <v>4157</v>
      </c>
      <c r="T194" t="s">
        <v>5395</v>
      </c>
      <c r="U194" t="s">
        <v>5396</v>
      </c>
      <c r="V194" t="s">
        <v>4350</v>
      </c>
      <c r="W194" t="s">
        <v>3782</v>
      </c>
      <c r="X194" t="s">
        <v>3804</v>
      </c>
      <c r="Y194" t="s">
        <v>3805</v>
      </c>
      <c r="Z194" t="s">
        <v>5149</v>
      </c>
      <c r="AA194" t="s">
        <v>5154</v>
      </c>
      <c r="AB194" t="s">
        <v>4263</v>
      </c>
      <c r="AC194" s="1" t="s">
        <v>3807</v>
      </c>
      <c r="AD194" s="6" t="s">
        <v>6636</v>
      </c>
    </row>
    <row r="195" spans="1:30" x14ac:dyDescent="0.25">
      <c r="A195" t="s">
        <v>5842</v>
      </c>
      <c r="B195" t="s">
        <v>4001</v>
      </c>
      <c r="C195" t="s">
        <v>4203</v>
      </c>
      <c r="D195" t="s">
        <v>3841</v>
      </c>
      <c r="E195" t="s">
        <v>3797</v>
      </c>
      <c r="F195" t="s">
        <v>4248</v>
      </c>
      <c r="G195" t="s">
        <v>4987</v>
      </c>
      <c r="H195" t="s">
        <v>3995</v>
      </c>
      <c r="I195" t="s">
        <v>3772</v>
      </c>
      <c r="J195" t="s">
        <v>3773</v>
      </c>
      <c r="K195" t="s">
        <v>3850</v>
      </c>
      <c r="L195" t="s">
        <v>3800</v>
      </c>
      <c r="M195" t="s">
        <v>3776</v>
      </c>
      <c r="N195" t="s">
        <v>3777</v>
      </c>
      <c r="O195" t="s">
        <v>5451</v>
      </c>
      <c r="P195" t="s">
        <v>5452</v>
      </c>
      <c r="Q195" t="s">
        <v>4345</v>
      </c>
      <c r="R195" t="s">
        <v>4351</v>
      </c>
      <c r="S195" t="s">
        <v>4157</v>
      </c>
      <c r="T195" t="s">
        <v>5401</v>
      </c>
      <c r="U195" t="s">
        <v>5432</v>
      </c>
      <c r="V195" t="s">
        <v>4352</v>
      </c>
      <c r="W195" t="s">
        <v>3782</v>
      </c>
      <c r="X195" t="s">
        <v>3804</v>
      </c>
      <c r="Y195" t="s">
        <v>3826</v>
      </c>
      <c r="Z195" t="s">
        <v>5151</v>
      </c>
      <c r="AA195" t="s">
        <v>5150</v>
      </c>
      <c r="AB195" t="s">
        <v>4263</v>
      </c>
      <c r="AC195" s="1" t="s">
        <v>3807</v>
      </c>
      <c r="AD195" s="6" t="s">
        <v>6638</v>
      </c>
    </row>
    <row r="196" spans="1:30" x14ac:dyDescent="0.25">
      <c r="A196" t="s">
        <v>5842</v>
      </c>
      <c r="B196" t="s">
        <v>4001</v>
      </c>
      <c r="C196" t="s">
        <v>4203</v>
      </c>
      <c r="D196" t="s">
        <v>3841</v>
      </c>
      <c r="E196" t="s">
        <v>3797</v>
      </c>
      <c r="F196" t="s">
        <v>4248</v>
      </c>
      <c r="G196" t="s">
        <v>6640</v>
      </c>
      <c r="H196" t="s">
        <v>6641</v>
      </c>
      <c r="I196" t="s">
        <v>3772</v>
      </c>
      <c r="J196" t="s">
        <v>3773</v>
      </c>
      <c r="K196" t="s">
        <v>3850</v>
      </c>
      <c r="L196" t="s">
        <v>3800</v>
      </c>
      <c r="M196" t="s">
        <v>3776</v>
      </c>
      <c r="N196" t="s">
        <v>3777</v>
      </c>
      <c r="O196" t="s">
        <v>5451</v>
      </c>
      <c r="P196" t="s">
        <v>5452</v>
      </c>
      <c r="Q196" t="s">
        <v>4345</v>
      </c>
      <c r="R196" t="s">
        <v>4353</v>
      </c>
      <c r="S196" t="s">
        <v>4157</v>
      </c>
      <c r="T196" t="s">
        <v>5453</v>
      </c>
      <c r="U196" t="s">
        <v>5422</v>
      </c>
      <c r="V196" t="s">
        <v>4354</v>
      </c>
      <c r="W196" t="s">
        <v>3782</v>
      </c>
      <c r="X196" t="s">
        <v>3804</v>
      </c>
      <c r="Y196" t="s">
        <v>3826</v>
      </c>
      <c r="Z196" t="s">
        <v>5151</v>
      </c>
      <c r="AA196" t="s">
        <v>5150</v>
      </c>
      <c r="AB196" t="s">
        <v>4263</v>
      </c>
      <c r="AC196" s="1" t="s">
        <v>3807</v>
      </c>
      <c r="AD196" s="6" t="s">
        <v>6642</v>
      </c>
    </row>
    <row r="197" spans="1:30" x14ac:dyDescent="0.25">
      <c r="A197" t="s">
        <v>5842</v>
      </c>
      <c r="B197" t="s">
        <v>4041</v>
      </c>
      <c r="C197" t="s">
        <v>4203</v>
      </c>
      <c r="D197" t="s">
        <v>3841</v>
      </c>
      <c r="E197" t="s">
        <v>3797</v>
      </c>
      <c r="F197" t="s">
        <v>6644</v>
      </c>
      <c r="G197" t="s">
        <v>6645</v>
      </c>
      <c r="H197" t="s">
        <v>6646</v>
      </c>
      <c r="I197" t="s">
        <v>3772</v>
      </c>
      <c r="J197" t="s">
        <v>3773</v>
      </c>
      <c r="K197" t="s">
        <v>3850</v>
      </c>
      <c r="L197" t="s">
        <v>3800</v>
      </c>
      <c r="M197" t="s">
        <v>3776</v>
      </c>
      <c r="N197" t="s">
        <v>3777</v>
      </c>
      <c r="O197" t="s">
        <v>5454</v>
      </c>
      <c r="P197" t="s">
        <v>5455</v>
      </c>
      <c r="Q197" t="s">
        <v>4355</v>
      </c>
      <c r="R197" t="s">
        <v>4356</v>
      </c>
      <c r="S197" t="s">
        <v>4157</v>
      </c>
      <c r="T197" t="s">
        <v>5401</v>
      </c>
      <c r="U197" t="s">
        <v>5432</v>
      </c>
      <c r="V197" t="s">
        <v>4357</v>
      </c>
      <c r="W197" t="s">
        <v>3782</v>
      </c>
      <c r="X197" t="s">
        <v>3804</v>
      </c>
      <c r="Y197" t="s">
        <v>3826</v>
      </c>
      <c r="Z197" t="s">
        <v>5151</v>
      </c>
      <c r="AA197" t="s">
        <v>5150</v>
      </c>
      <c r="AB197" t="s">
        <v>4263</v>
      </c>
      <c r="AC197" s="1" t="s">
        <v>3807</v>
      </c>
      <c r="AD197" s="6" t="s">
        <v>6647</v>
      </c>
    </row>
    <row r="198" spans="1:30" x14ac:dyDescent="0.25">
      <c r="A198" t="s">
        <v>5842</v>
      </c>
      <c r="B198" t="s">
        <v>4041</v>
      </c>
      <c r="C198" t="s">
        <v>4203</v>
      </c>
      <c r="D198" t="s">
        <v>3841</v>
      </c>
      <c r="E198" t="s">
        <v>3797</v>
      </c>
      <c r="F198" t="s">
        <v>4248</v>
      </c>
      <c r="G198" t="s">
        <v>6649</v>
      </c>
      <c r="H198" t="s">
        <v>4543</v>
      </c>
      <c r="I198" t="s">
        <v>3772</v>
      </c>
      <c r="J198" t="s">
        <v>3773</v>
      </c>
      <c r="K198" t="s">
        <v>3850</v>
      </c>
      <c r="L198" t="s">
        <v>3800</v>
      </c>
      <c r="M198" t="s">
        <v>3776</v>
      </c>
      <c r="N198" t="s">
        <v>3777</v>
      </c>
      <c r="O198" t="s">
        <v>5454</v>
      </c>
      <c r="P198" t="s">
        <v>5455</v>
      </c>
      <c r="Q198" t="s">
        <v>4355</v>
      </c>
      <c r="R198" t="s">
        <v>4358</v>
      </c>
      <c r="S198" t="s">
        <v>4157</v>
      </c>
      <c r="T198" t="s">
        <v>5401</v>
      </c>
      <c r="U198" t="s">
        <v>5432</v>
      </c>
      <c r="V198" t="s">
        <v>4352</v>
      </c>
      <c r="W198" t="s">
        <v>3782</v>
      </c>
      <c r="X198" t="s">
        <v>3804</v>
      </c>
      <c r="Y198" t="s">
        <v>3826</v>
      </c>
      <c r="Z198" t="s">
        <v>5151</v>
      </c>
      <c r="AA198" t="s">
        <v>5150</v>
      </c>
      <c r="AB198" t="s">
        <v>4263</v>
      </c>
      <c r="AC198" s="1" t="s">
        <v>3807</v>
      </c>
      <c r="AD198" s="6" t="s">
        <v>6650</v>
      </c>
    </row>
    <row r="199" spans="1:30" x14ac:dyDescent="0.25">
      <c r="A199" t="s">
        <v>5842</v>
      </c>
      <c r="B199" t="s">
        <v>4041</v>
      </c>
      <c r="C199" t="s">
        <v>4203</v>
      </c>
      <c r="D199" t="s">
        <v>3841</v>
      </c>
      <c r="E199" t="s">
        <v>3797</v>
      </c>
      <c r="F199" t="s">
        <v>4509</v>
      </c>
      <c r="G199" t="s">
        <v>6640</v>
      </c>
      <c r="H199" t="s">
        <v>4543</v>
      </c>
      <c r="I199" t="s">
        <v>3772</v>
      </c>
      <c r="J199" t="s">
        <v>3773</v>
      </c>
      <c r="K199" t="s">
        <v>3850</v>
      </c>
      <c r="L199" t="s">
        <v>3800</v>
      </c>
      <c r="M199" t="s">
        <v>3776</v>
      </c>
      <c r="N199" t="s">
        <v>3777</v>
      </c>
      <c r="O199" t="s">
        <v>5454</v>
      </c>
      <c r="P199" t="s">
        <v>5456</v>
      </c>
      <c r="Q199" t="s">
        <v>4355</v>
      </c>
      <c r="R199" t="s">
        <v>4359</v>
      </c>
      <c r="S199" t="s">
        <v>4157</v>
      </c>
      <c r="T199" t="s">
        <v>5453</v>
      </c>
      <c r="U199" t="s">
        <v>5422</v>
      </c>
      <c r="V199" t="s">
        <v>4354</v>
      </c>
      <c r="W199" t="s">
        <v>3782</v>
      </c>
      <c r="X199" t="s">
        <v>3804</v>
      </c>
      <c r="Y199" t="s">
        <v>3826</v>
      </c>
      <c r="Z199" t="s">
        <v>5151</v>
      </c>
      <c r="AA199" t="s">
        <v>5150</v>
      </c>
      <c r="AB199" t="s">
        <v>4263</v>
      </c>
      <c r="AC199" s="1" t="s">
        <v>3807</v>
      </c>
      <c r="AD199" s="6" t="s">
        <v>6652</v>
      </c>
    </row>
    <row r="200" spans="1:30" x14ac:dyDescent="0.25">
      <c r="A200" t="s">
        <v>5842</v>
      </c>
      <c r="B200" t="s">
        <v>4041</v>
      </c>
      <c r="C200" t="s">
        <v>4211</v>
      </c>
      <c r="D200" t="s">
        <v>3868</v>
      </c>
      <c r="E200" t="s">
        <v>3797</v>
      </c>
      <c r="F200" t="s">
        <v>4212</v>
      </c>
      <c r="G200" t="s">
        <v>6654</v>
      </c>
      <c r="H200" t="s">
        <v>4995</v>
      </c>
      <c r="I200" t="s">
        <v>3772</v>
      </c>
      <c r="J200" t="s">
        <v>3773</v>
      </c>
      <c r="K200" t="s">
        <v>3850</v>
      </c>
      <c r="L200" t="s">
        <v>3800</v>
      </c>
      <c r="M200" t="s">
        <v>3776</v>
      </c>
      <c r="N200" t="s">
        <v>3777</v>
      </c>
      <c r="O200" t="s">
        <v>5454</v>
      </c>
      <c r="P200" t="s">
        <v>5456</v>
      </c>
      <c r="Q200" t="s">
        <v>4360</v>
      </c>
      <c r="R200" t="s">
        <v>4361</v>
      </c>
      <c r="S200" t="s">
        <v>4157</v>
      </c>
      <c r="T200" t="s">
        <v>5388</v>
      </c>
      <c r="U200" t="s">
        <v>5457</v>
      </c>
      <c r="V200" t="s">
        <v>4362</v>
      </c>
      <c r="W200" t="s">
        <v>3782</v>
      </c>
      <c r="X200" t="s">
        <v>3890</v>
      </c>
      <c r="Y200" t="s">
        <v>4218</v>
      </c>
      <c r="Z200" t="s">
        <v>5155</v>
      </c>
      <c r="AA200" t="s">
        <v>5152</v>
      </c>
      <c r="AB200" t="s">
        <v>4263</v>
      </c>
      <c r="AC200" s="1" t="s">
        <v>3807</v>
      </c>
      <c r="AD200" s="6" t="s">
        <v>6655</v>
      </c>
    </row>
    <row r="201" spans="1:30" x14ac:dyDescent="0.25">
      <c r="A201" t="s">
        <v>5842</v>
      </c>
      <c r="B201" t="s">
        <v>4041</v>
      </c>
      <c r="C201" t="s">
        <v>4500</v>
      </c>
      <c r="D201" t="s">
        <v>4300</v>
      </c>
      <c r="E201" t="s">
        <v>3797</v>
      </c>
      <c r="F201" t="s">
        <v>4221</v>
      </c>
      <c r="G201" t="s">
        <v>6657</v>
      </c>
      <c r="H201" t="s">
        <v>6658</v>
      </c>
      <c r="I201" t="s">
        <v>3772</v>
      </c>
      <c r="J201" t="s">
        <v>3773</v>
      </c>
      <c r="K201" t="s">
        <v>3850</v>
      </c>
      <c r="L201" t="s">
        <v>3800</v>
      </c>
      <c r="M201" t="s">
        <v>3776</v>
      </c>
      <c r="N201" t="s">
        <v>3777</v>
      </c>
      <c r="O201" t="s">
        <v>5454</v>
      </c>
      <c r="P201" t="s">
        <v>5456</v>
      </c>
      <c r="Q201" t="s">
        <v>4363</v>
      </c>
      <c r="R201" t="s">
        <v>4361</v>
      </c>
      <c r="S201" t="s">
        <v>4157</v>
      </c>
      <c r="T201" t="s">
        <v>5398</v>
      </c>
      <c r="U201" t="s">
        <v>5399</v>
      </c>
      <c r="V201" t="s">
        <v>4364</v>
      </c>
      <c r="W201" t="s">
        <v>3782</v>
      </c>
      <c r="X201" t="s">
        <v>3890</v>
      </c>
      <c r="Y201" t="s">
        <v>4218</v>
      </c>
      <c r="Z201" t="s">
        <v>5155</v>
      </c>
      <c r="AA201" t="s">
        <v>5152</v>
      </c>
      <c r="AB201" t="s">
        <v>4263</v>
      </c>
      <c r="AC201" s="1" t="s">
        <v>3807</v>
      </c>
      <c r="AD201" s="6" t="s">
        <v>6659</v>
      </c>
    </row>
    <row r="202" spans="1:30" x14ac:dyDescent="0.25">
      <c r="A202" t="s">
        <v>5842</v>
      </c>
      <c r="B202" t="s">
        <v>4041</v>
      </c>
      <c r="C202" t="s">
        <v>4659</v>
      </c>
      <c r="D202" t="s">
        <v>4004</v>
      </c>
      <c r="E202" t="s">
        <v>3797</v>
      </c>
      <c r="F202" t="s">
        <v>6595</v>
      </c>
      <c r="G202" t="s">
        <v>6661</v>
      </c>
      <c r="H202" t="s">
        <v>6662</v>
      </c>
      <c r="I202" t="s">
        <v>3772</v>
      </c>
      <c r="J202" t="s">
        <v>3773</v>
      </c>
      <c r="K202" t="s">
        <v>3908</v>
      </c>
      <c r="L202" t="s">
        <v>3800</v>
      </c>
      <c r="M202" t="s">
        <v>3776</v>
      </c>
      <c r="N202" t="s">
        <v>3777</v>
      </c>
      <c r="O202" t="s">
        <v>5458</v>
      </c>
      <c r="P202" t="s">
        <v>5459</v>
      </c>
      <c r="Q202" t="s">
        <v>4365</v>
      </c>
      <c r="R202" t="s">
        <v>4366</v>
      </c>
      <c r="S202" t="s">
        <v>4157</v>
      </c>
      <c r="T202" t="s">
        <v>5392</v>
      </c>
      <c r="U202" t="s">
        <v>5447</v>
      </c>
      <c r="V202" t="s">
        <v>4331</v>
      </c>
      <c r="W202" t="s">
        <v>3782</v>
      </c>
      <c r="X202" t="s">
        <v>3890</v>
      </c>
      <c r="Y202" t="s">
        <v>4332</v>
      </c>
      <c r="Z202" t="s">
        <v>5151</v>
      </c>
      <c r="AA202" t="s">
        <v>5150</v>
      </c>
      <c r="AB202" t="s">
        <v>4263</v>
      </c>
      <c r="AC202" s="1" t="s">
        <v>3807</v>
      </c>
      <c r="AD202" s="6" t="s">
        <v>6663</v>
      </c>
    </row>
    <row r="203" spans="1:30" x14ac:dyDescent="0.25">
      <c r="A203" t="s">
        <v>5842</v>
      </c>
      <c r="B203" t="s">
        <v>4041</v>
      </c>
      <c r="C203" t="s">
        <v>4659</v>
      </c>
      <c r="D203" t="s">
        <v>4004</v>
      </c>
      <c r="E203" t="s">
        <v>3797</v>
      </c>
      <c r="F203" t="s">
        <v>6665</v>
      </c>
      <c r="G203" t="s">
        <v>6666</v>
      </c>
      <c r="H203" t="s">
        <v>6667</v>
      </c>
      <c r="I203" t="s">
        <v>3772</v>
      </c>
      <c r="J203" t="s">
        <v>3773</v>
      </c>
      <c r="K203" t="s">
        <v>3908</v>
      </c>
      <c r="L203" t="s">
        <v>3800</v>
      </c>
      <c r="M203" t="s">
        <v>3776</v>
      </c>
      <c r="N203" t="s">
        <v>3777</v>
      </c>
      <c r="O203" t="s">
        <v>5460</v>
      </c>
      <c r="P203" t="s">
        <v>5461</v>
      </c>
      <c r="Q203" t="s">
        <v>4367</v>
      </c>
      <c r="R203" t="s">
        <v>4368</v>
      </c>
      <c r="S203" t="s">
        <v>4157</v>
      </c>
      <c r="T203" t="s">
        <v>5392</v>
      </c>
      <c r="U203" t="s">
        <v>5393</v>
      </c>
      <c r="V203" t="s">
        <v>4331</v>
      </c>
      <c r="W203" t="s">
        <v>3782</v>
      </c>
      <c r="X203" t="s">
        <v>3890</v>
      </c>
      <c r="Y203" t="s">
        <v>4218</v>
      </c>
      <c r="Z203" t="s">
        <v>5151</v>
      </c>
      <c r="AA203" t="s">
        <v>5150</v>
      </c>
      <c r="AB203" t="s">
        <v>4263</v>
      </c>
      <c r="AC203" s="1" t="s">
        <v>3807</v>
      </c>
      <c r="AD203" s="6" t="s">
        <v>6668</v>
      </c>
    </row>
    <row r="204" spans="1:30" x14ac:dyDescent="0.25">
      <c r="A204" t="s">
        <v>5842</v>
      </c>
      <c r="B204" t="s">
        <v>4041</v>
      </c>
      <c r="C204" t="s">
        <v>6603</v>
      </c>
      <c r="D204" t="s">
        <v>4334</v>
      </c>
      <c r="E204" t="s">
        <v>3797</v>
      </c>
      <c r="F204" t="s">
        <v>6604</v>
      </c>
      <c r="G204" t="s">
        <v>6605</v>
      </c>
      <c r="H204" t="s">
        <v>6670</v>
      </c>
      <c r="I204" t="s">
        <v>3772</v>
      </c>
      <c r="J204" t="s">
        <v>3773</v>
      </c>
      <c r="K204" t="s">
        <v>3908</v>
      </c>
      <c r="L204" t="s">
        <v>3800</v>
      </c>
      <c r="M204" t="s">
        <v>3776</v>
      </c>
      <c r="N204" t="s">
        <v>3777</v>
      </c>
      <c r="O204" t="s">
        <v>5460</v>
      </c>
      <c r="P204" t="s">
        <v>5461</v>
      </c>
      <c r="Q204" t="s">
        <v>4367</v>
      </c>
      <c r="R204" t="s">
        <v>4368</v>
      </c>
      <c r="S204" t="s">
        <v>4157</v>
      </c>
      <c r="T204" t="s">
        <v>5392</v>
      </c>
      <c r="U204" t="s">
        <v>5393</v>
      </c>
      <c r="V204" t="s">
        <v>4331</v>
      </c>
      <c r="W204" t="s">
        <v>3782</v>
      </c>
      <c r="X204" t="s">
        <v>3890</v>
      </c>
      <c r="Y204" t="s">
        <v>4218</v>
      </c>
      <c r="Z204" t="s">
        <v>5151</v>
      </c>
      <c r="AA204" t="s">
        <v>5150</v>
      </c>
      <c r="AB204" t="s">
        <v>4263</v>
      </c>
      <c r="AC204" s="1" t="s">
        <v>3807</v>
      </c>
      <c r="AD204" s="6" t="s">
        <v>6671</v>
      </c>
    </row>
    <row r="205" spans="1:30" x14ac:dyDescent="0.25">
      <c r="A205" t="s">
        <v>5842</v>
      </c>
      <c r="B205" t="s">
        <v>4041</v>
      </c>
      <c r="C205" t="s">
        <v>4448</v>
      </c>
      <c r="D205" t="s">
        <v>3967</v>
      </c>
      <c r="E205" t="s">
        <v>3797</v>
      </c>
      <c r="F205" t="s">
        <v>4664</v>
      </c>
      <c r="G205" t="s">
        <v>6673</v>
      </c>
      <c r="H205" t="s">
        <v>6674</v>
      </c>
      <c r="I205" t="s">
        <v>3772</v>
      </c>
      <c r="J205" t="s">
        <v>3773</v>
      </c>
      <c r="K205" t="s">
        <v>3908</v>
      </c>
      <c r="L205" t="s">
        <v>3800</v>
      </c>
      <c r="M205" t="s">
        <v>3776</v>
      </c>
      <c r="N205" t="s">
        <v>3777</v>
      </c>
      <c r="O205" t="s">
        <v>5460</v>
      </c>
      <c r="P205" t="s">
        <v>5461</v>
      </c>
      <c r="Q205" t="s">
        <v>4369</v>
      </c>
      <c r="R205" t="s">
        <v>4370</v>
      </c>
      <c r="S205" t="s">
        <v>4157</v>
      </c>
      <c r="T205" t="s">
        <v>5392</v>
      </c>
      <c r="U205" t="s">
        <v>5447</v>
      </c>
      <c r="V205" t="s">
        <v>4337</v>
      </c>
      <c r="W205" t="s">
        <v>3782</v>
      </c>
      <c r="X205" t="s">
        <v>3890</v>
      </c>
      <c r="Y205" t="s">
        <v>4332</v>
      </c>
      <c r="Z205" t="s">
        <v>5155</v>
      </c>
      <c r="AA205" t="s">
        <v>5152</v>
      </c>
      <c r="AB205" t="s">
        <v>4263</v>
      </c>
      <c r="AC205" s="1" t="s">
        <v>3807</v>
      </c>
      <c r="AD205" s="6" t="s">
        <v>6675</v>
      </c>
    </row>
    <row r="206" spans="1:30" x14ac:dyDescent="0.25">
      <c r="A206" t="s">
        <v>5842</v>
      </c>
      <c r="B206" t="s">
        <v>4041</v>
      </c>
      <c r="C206" t="s">
        <v>4448</v>
      </c>
      <c r="D206" t="s">
        <v>3967</v>
      </c>
      <c r="E206" t="s">
        <v>3797</v>
      </c>
      <c r="F206" t="s">
        <v>6615</v>
      </c>
      <c r="G206" t="s">
        <v>6677</v>
      </c>
      <c r="H206" t="s">
        <v>6617</v>
      </c>
      <c r="I206" t="s">
        <v>3772</v>
      </c>
      <c r="J206" t="s">
        <v>3773</v>
      </c>
      <c r="K206" t="s">
        <v>3908</v>
      </c>
      <c r="L206" t="s">
        <v>3800</v>
      </c>
      <c r="M206" t="s">
        <v>3776</v>
      </c>
      <c r="N206" t="s">
        <v>3777</v>
      </c>
      <c r="O206" t="s">
        <v>5460</v>
      </c>
      <c r="P206" t="s">
        <v>5461</v>
      </c>
      <c r="Q206" t="s">
        <v>4371</v>
      </c>
      <c r="R206" t="s">
        <v>4372</v>
      </c>
      <c r="S206" t="s">
        <v>4157</v>
      </c>
      <c r="T206" t="s">
        <v>5392</v>
      </c>
      <c r="U206" t="s">
        <v>5393</v>
      </c>
      <c r="V206" t="s">
        <v>4339</v>
      </c>
      <c r="W206" t="s">
        <v>3782</v>
      </c>
      <c r="X206" t="s">
        <v>3890</v>
      </c>
      <c r="Y206" t="s">
        <v>4218</v>
      </c>
      <c r="Z206" t="s">
        <v>5155</v>
      </c>
      <c r="AA206" t="s">
        <v>5156</v>
      </c>
      <c r="AB206" t="s">
        <v>4263</v>
      </c>
      <c r="AC206" s="1" t="s">
        <v>3807</v>
      </c>
      <c r="AD206" s="6" t="s">
        <v>6678</v>
      </c>
    </row>
    <row r="207" spans="1:30" x14ac:dyDescent="0.25">
      <c r="A207" t="s">
        <v>5842</v>
      </c>
      <c r="B207" t="s">
        <v>4041</v>
      </c>
      <c r="C207" t="s">
        <v>4670</v>
      </c>
      <c r="D207" t="s">
        <v>4340</v>
      </c>
      <c r="E207" t="s">
        <v>3797</v>
      </c>
      <c r="F207" t="s">
        <v>5039</v>
      </c>
      <c r="G207" t="s">
        <v>6620</v>
      </c>
      <c r="H207" t="s">
        <v>4963</v>
      </c>
      <c r="I207" t="s">
        <v>3772</v>
      </c>
      <c r="J207" t="s">
        <v>3773</v>
      </c>
      <c r="K207" t="s">
        <v>3908</v>
      </c>
      <c r="L207" t="s">
        <v>3800</v>
      </c>
      <c r="M207" t="s">
        <v>3776</v>
      </c>
      <c r="N207" t="s">
        <v>3777</v>
      </c>
      <c r="O207" t="s">
        <v>5460</v>
      </c>
      <c r="P207" t="s">
        <v>5461</v>
      </c>
      <c r="Q207" t="s">
        <v>4373</v>
      </c>
      <c r="R207" t="s">
        <v>4374</v>
      </c>
      <c r="S207" t="s">
        <v>4157</v>
      </c>
      <c r="T207" t="s">
        <v>5448</v>
      </c>
      <c r="U207" t="s">
        <v>5449</v>
      </c>
      <c r="V207" t="s">
        <v>4342</v>
      </c>
      <c r="W207" t="s">
        <v>3782</v>
      </c>
      <c r="X207" t="s">
        <v>3890</v>
      </c>
      <c r="Y207" t="s">
        <v>4332</v>
      </c>
      <c r="Z207" t="s">
        <v>5155</v>
      </c>
      <c r="AA207" t="s">
        <v>5152</v>
      </c>
      <c r="AB207" t="s">
        <v>4263</v>
      </c>
      <c r="AC207" s="1" t="s">
        <v>3807</v>
      </c>
      <c r="AD207" s="6" t="s">
        <v>6680</v>
      </c>
    </row>
    <row r="208" spans="1:30" x14ac:dyDescent="0.25">
      <c r="A208" t="s">
        <v>5842</v>
      </c>
      <c r="B208" t="s">
        <v>4041</v>
      </c>
      <c r="C208" t="s">
        <v>4670</v>
      </c>
      <c r="D208" t="s">
        <v>4340</v>
      </c>
      <c r="E208" t="s">
        <v>3797</v>
      </c>
      <c r="F208" t="s">
        <v>6682</v>
      </c>
      <c r="G208" t="s">
        <v>6624</v>
      </c>
      <c r="H208" t="s">
        <v>6683</v>
      </c>
      <c r="I208" t="s">
        <v>3772</v>
      </c>
      <c r="J208" t="s">
        <v>3773</v>
      </c>
      <c r="K208" t="s">
        <v>3908</v>
      </c>
      <c r="L208" t="s">
        <v>3800</v>
      </c>
      <c r="M208" t="s">
        <v>3776</v>
      </c>
      <c r="N208" t="s">
        <v>3777</v>
      </c>
      <c r="O208" t="s">
        <v>5460</v>
      </c>
      <c r="P208" t="s">
        <v>5461</v>
      </c>
      <c r="Q208" t="s">
        <v>4375</v>
      </c>
      <c r="R208" t="s">
        <v>4376</v>
      </c>
      <c r="S208" t="s">
        <v>4157</v>
      </c>
      <c r="T208" t="s">
        <v>5450</v>
      </c>
      <c r="U208" t="s">
        <v>5449</v>
      </c>
      <c r="V208" t="s">
        <v>4344</v>
      </c>
      <c r="W208" t="s">
        <v>3782</v>
      </c>
      <c r="X208" t="s">
        <v>3890</v>
      </c>
      <c r="Y208" t="s">
        <v>4218</v>
      </c>
      <c r="Z208" t="s">
        <v>5155</v>
      </c>
      <c r="AA208" t="s">
        <v>5156</v>
      </c>
      <c r="AB208" t="s">
        <v>4263</v>
      </c>
      <c r="AC208" s="1" t="s">
        <v>3807</v>
      </c>
      <c r="AD208" s="6" t="s">
        <v>6684</v>
      </c>
    </row>
    <row r="209" spans="1:30" x14ac:dyDescent="0.25">
      <c r="A209" t="s">
        <v>5842</v>
      </c>
      <c r="B209" t="s">
        <v>3901</v>
      </c>
      <c r="C209" t="s">
        <v>4196</v>
      </c>
      <c r="D209" t="s">
        <v>3814</v>
      </c>
      <c r="E209" t="s">
        <v>3797</v>
      </c>
      <c r="F209" t="s">
        <v>4197</v>
      </c>
      <c r="G209" t="s">
        <v>3939</v>
      </c>
      <c r="H209" t="s">
        <v>6686</v>
      </c>
      <c r="I209" t="s">
        <v>3772</v>
      </c>
      <c r="J209" t="s">
        <v>3773</v>
      </c>
      <c r="K209" t="s">
        <v>3850</v>
      </c>
      <c r="L209" t="s">
        <v>3800</v>
      </c>
      <c r="M209" t="s">
        <v>3776</v>
      </c>
      <c r="N209" t="s">
        <v>3777</v>
      </c>
      <c r="O209" t="s">
        <v>5462</v>
      </c>
      <c r="P209" t="s">
        <v>5463</v>
      </c>
      <c r="Q209" t="s">
        <v>4377</v>
      </c>
      <c r="R209" t="s">
        <v>4378</v>
      </c>
      <c r="S209" t="s">
        <v>4157</v>
      </c>
      <c r="T209" t="s">
        <v>5401</v>
      </c>
      <c r="U209" t="s">
        <v>5432</v>
      </c>
      <c r="V209" t="s">
        <v>4347</v>
      </c>
      <c r="W209" t="s">
        <v>3782</v>
      </c>
      <c r="X209" t="s">
        <v>3804</v>
      </c>
      <c r="Y209" t="s">
        <v>3805</v>
      </c>
      <c r="Z209" t="s">
        <v>5149</v>
      </c>
      <c r="AA209" t="s">
        <v>5154</v>
      </c>
      <c r="AB209" t="s">
        <v>4263</v>
      </c>
      <c r="AC209" s="1" t="s">
        <v>3807</v>
      </c>
      <c r="AD209" s="6" t="s">
        <v>6687</v>
      </c>
    </row>
    <row r="210" spans="1:30" x14ac:dyDescent="0.25">
      <c r="A210" t="s">
        <v>5842</v>
      </c>
      <c r="B210" t="s">
        <v>3901</v>
      </c>
      <c r="C210" t="s">
        <v>6632</v>
      </c>
      <c r="D210" t="s">
        <v>4348</v>
      </c>
      <c r="E210" t="s">
        <v>3797</v>
      </c>
      <c r="F210" t="s">
        <v>6633</v>
      </c>
      <c r="G210" t="s">
        <v>6689</v>
      </c>
      <c r="H210" t="s">
        <v>6690</v>
      </c>
      <c r="I210" t="s">
        <v>3772</v>
      </c>
      <c r="J210" t="s">
        <v>3773</v>
      </c>
      <c r="K210" t="s">
        <v>3850</v>
      </c>
      <c r="L210" t="s">
        <v>3800</v>
      </c>
      <c r="M210" t="s">
        <v>3776</v>
      </c>
      <c r="N210" t="s">
        <v>3777</v>
      </c>
      <c r="O210" t="s">
        <v>5464</v>
      </c>
      <c r="P210" t="s">
        <v>5465</v>
      </c>
      <c r="Q210" t="s">
        <v>4379</v>
      </c>
      <c r="R210" t="s">
        <v>4380</v>
      </c>
      <c r="S210" t="s">
        <v>4157</v>
      </c>
      <c r="T210" t="s">
        <v>5395</v>
      </c>
      <c r="U210" t="s">
        <v>5396</v>
      </c>
      <c r="V210" t="s">
        <v>4350</v>
      </c>
      <c r="W210" t="s">
        <v>3782</v>
      </c>
      <c r="X210" t="s">
        <v>3804</v>
      </c>
      <c r="Y210" t="s">
        <v>3805</v>
      </c>
      <c r="Z210" t="s">
        <v>5149</v>
      </c>
      <c r="AA210" t="s">
        <v>5154</v>
      </c>
      <c r="AB210" t="s">
        <v>4263</v>
      </c>
      <c r="AC210" s="1" t="s">
        <v>3807</v>
      </c>
      <c r="AD210" s="6" t="s">
        <v>6691</v>
      </c>
    </row>
    <row r="211" spans="1:30" x14ac:dyDescent="0.25">
      <c r="A211" t="s">
        <v>5842</v>
      </c>
      <c r="B211" t="s">
        <v>3901</v>
      </c>
      <c r="C211" t="s">
        <v>4203</v>
      </c>
      <c r="D211" t="s">
        <v>3841</v>
      </c>
      <c r="E211" t="s">
        <v>3797</v>
      </c>
      <c r="F211" t="s">
        <v>4509</v>
      </c>
      <c r="G211" t="s">
        <v>6693</v>
      </c>
      <c r="H211" t="s">
        <v>6694</v>
      </c>
      <c r="I211" t="s">
        <v>3772</v>
      </c>
      <c r="J211" t="s">
        <v>3773</v>
      </c>
      <c r="K211" t="s">
        <v>3850</v>
      </c>
      <c r="L211" t="s">
        <v>3800</v>
      </c>
      <c r="M211" t="s">
        <v>3776</v>
      </c>
      <c r="N211" t="s">
        <v>3777</v>
      </c>
      <c r="O211" t="s">
        <v>5466</v>
      </c>
      <c r="P211" t="s">
        <v>5467</v>
      </c>
      <c r="Q211" t="s">
        <v>4381</v>
      </c>
      <c r="R211" t="s">
        <v>4382</v>
      </c>
      <c r="S211" t="s">
        <v>4157</v>
      </c>
      <c r="T211" t="s">
        <v>5401</v>
      </c>
      <c r="U211" t="s">
        <v>5432</v>
      </c>
      <c r="V211" t="s">
        <v>4352</v>
      </c>
      <c r="W211" t="s">
        <v>3782</v>
      </c>
      <c r="X211" t="s">
        <v>3804</v>
      </c>
      <c r="Y211" t="s">
        <v>3826</v>
      </c>
      <c r="Z211" t="s">
        <v>5151</v>
      </c>
      <c r="AA211" t="s">
        <v>5150</v>
      </c>
      <c r="AB211" t="s">
        <v>4263</v>
      </c>
      <c r="AC211" s="1" t="s">
        <v>3807</v>
      </c>
      <c r="AD211" s="6" t="s">
        <v>6695</v>
      </c>
    </row>
    <row r="212" spans="1:30" x14ac:dyDescent="0.25">
      <c r="A212" t="s">
        <v>5842</v>
      </c>
      <c r="B212" t="s">
        <v>3901</v>
      </c>
      <c r="C212" t="s">
        <v>4203</v>
      </c>
      <c r="D212" t="s">
        <v>3841</v>
      </c>
      <c r="E212" t="s">
        <v>3797</v>
      </c>
      <c r="F212" t="s">
        <v>4248</v>
      </c>
      <c r="G212" t="s">
        <v>6640</v>
      </c>
      <c r="H212" t="s">
        <v>6697</v>
      </c>
      <c r="I212" t="s">
        <v>3772</v>
      </c>
      <c r="J212" t="s">
        <v>3773</v>
      </c>
      <c r="K212" t="s">
        <v>3850</v>
      </c>
      <c r="L212" t="s">
        <v>3800</v>
      </c>
      <c r="M212" t="s">
        <v>3776</v>
      </c>
      <c r="N212" t="s">
        <v>3777</v>
      </c>
      <c r="O212" t="s">
        <v>5466</v>
      </c>
      <c r="P212" t="s">
        <v>5467</v>
      </c>
      <c r="Q212" t="s">
        <v>4383</v>
      </c>
      <c r="R212" t="s">
        <v>4384</v>
      </c>
      <c r="S212" t="s">
        <v>4157</v>
      </c>
      <c r="T212" t="s">
        <v>5453</v>
      </c>
      <c r="U212" t="s">
        <v>5422</v>
      </c>
      <c r="V212" t="s">
        <v>4354</v>
      </c>
      <c r="W212" t="s">
        <v>3782</v>
      </c>
      <c r="X212" t="s">
        <v>3804</v>
      </c>
      <c r="Y212" t="s">
        <v>3826</v>
      </c>
      <c r="Z212" t="s">
        <v>5151</v>
      </c>
      <c r="AA212" t="s">
        <v>5150</v>
      </c>
      <c r="AB212" t="s">
        <v>4263</v>
      </c>
      <c r="AC212" s="1" t="s">
        <v>3807</v>
      </c>
      <c r="AD212" s="6" t="s">
        <v>6698</v>
      </c>
    </row>
    <row r="213" spans="1:30" x14ac:dyDescent="0.25">
      <c r="A213" t="s">
        <v>5842</v>
      </c>
      <c r="B213" t="s">
        <v>3901</v>
      </c>
      <c r="C213" t="s">
        <v>4211</v>
      </c>
      <c r="D213" t="s">
        <v>3868</v>
      </c>
      <c r="E213" t="s">
        <v>3797</v>
      </c>
      <c r="F213" t="s">
        <v>4212</v>
      </c>
      <c r="G213" t="s">
        <v>6700</v>
      </c>
      <c r="H213" t="s">
        <v>4995</v>
      </c>
      <c r="I213" t="s">
        <v>3772</v>
      </c>
      <c r="J213" t="s">
        <v>3773</v>
      </c>
      <c r="K213" t="s">
        <v>3850</v>
      </c>
      <c r="L213" t="s">
        <v>3800</v>
      </c>
      <c r="M213" t="s">
        <v>3776</v>
      </c>
      <c r="N213" t="s">
        <v>3777</v>
      </c>
      <c r="O213" t="s">
        <v>5468</v>
      </c>
      <c r="P213" t="s">
        <v>5469</v>
      </c>
      <c r="Q213" t="s">
        <v>4385</v>
      </c>
      <c r="R213" t="s">
        <v>4386</v>
      </c>
      <c r="S213" t="s">
        <v>4157</v>
      </c>
      <c r="T213" t="s">
        <v>5388</v>
      </c>
      <c r="U213" t="s">
        <v>5457</v>
      </c>
      <c r="V213" t="s">
        <v>4362</v>
      </c>
      <c r="W213" t="s">
        <v>3782</v>
      </c>
      <c r="X213" t="s">
        <v>3890</v>
      </c>
      <c r="Y213" t="s">
        <v>4218</v>
      </c>
      <c r="Z213" t="s">
        <v>5155</v>
      </c>
      <c r="AA213" t="s">
        <v>5152</v>
      </c>
      <c r="AB213" t="s">
        <v>4263</v>
      </c>
      <c r="AC213" s="1" t="s">
        <v>3807</v>
      </c>
      <c r="AD213" s="6" t="s">
        <v>6701</v>
      </c>
    </row>
    <row r="214" spans="1:30" x14ac:dyDescent="0.25">
      <c r="A214" t="s">
        <v>5842</v>
      </c>
      <c r="B214" t="s">
        <v>3901</v>
      </c>
      <c r="C214" t="s">
        <v>4500</v>
      </c>
      <c r="D214" t="s">
        <v>4300</v>
      </c>
      <c r="E214" t="s">
        <v>3797</v>
      </c>
      <c r="F214" t="s">
        <v>4221</v>
      </c>
      <c r="G214" t="s">
        <v>6657</v>
      </c>
      <c r="H214" t="s">
        <v>6658</v>
      </c>
      <c r="I214" t="s">
        <v>3772</v>
      </c>
      <c r="J214" t="s">
        <v>3773</v>
      </c>
      <c r="K214" t="s">
        <v>3850</v>
      </c>
      <c r="L214" t="s">
        <v>3800</v>
      </c>
      <c r="M214" t="s">
        <v>3776</v>
      </c>
      <c r="N214" t="s">
        <v>3777</v>
      </c>
      <c r="O214" t="s">
        <v>5468</v>
      </c>
      <c r="P214" t="s">
        <v>5470</v>
      </c>
      <c r="Q214" t="s">
        <v>4387</v>
      </c>
      <c r="R214" t="s">
        <v>4388</v>
      </c>
      <c r="S214" t="s">
        <v>4157</v>
      </c>
      <c r="T214" t="s">
        <v>5398</v>
      </c>
      <c r="U214" t="s">
        <v>5399</v>
      </c>
      <c r="V214" t="s">
        <v>4364</v>
      </c>
      <c r="W214" t="s">
        <v>3782</v>
      </c>
      <c r="X214" t="s">
        <v>3890</v>
      </c>
      <c r="Y214" t="s">
        <v>4218</v>
      </c>
      <c r="Z214" t="s">
        <v>5155</v>
      </c>
      <c r="AA214" t="s">
        <v>5152</v>
      </c>
      <c r="AB214" t="s">
        <v>4263</v>
      </c>
      <c r="AC214" s="1" t="s">
        <v>3807</v>
      </c>
      <c r="AD214" s="6" t="s">
        <v>6703</v>
      </c>
    </row>
    <row r="215" spans="1:30" x14ac:dyDescent="0.25">
      <c r="A215" t="s">
        <v>5842</v>
      </c>
      <c r="B215" t="s">
        <v>3901</v>
      </c>
      <c r="C215" t="s">
        <v>4659</v>
      </c>
      <c r="D215" t="s">
        <v>4004</v>
      </c>
      <c r="E215" t="s">
        <v>3797</v>
      </c>
      <c r="F215" t="s">
        <v>6595</v>
      </c>
      <c r="G215" t="s">
        <v>6705</v>
      </c>
      <c r="H215" t="s">
        <v>6662</v>
      </c>
      <c r="I215" t="s">
        <v>3772</v>
      </c>
      <c r="J215" t="s">
        <v>3773</v>
      </c>
      <c r="K215" t="s">
        <v>3908</v>
      </c>
      <c r="L215" t="s">
        <v>3800</v>
      </c>
      <c r="M215" t="s">
        <v>3776</v>
      </c>
      <c r="N215" t="s">
        <v>3777</v>
      </c>
      <c r="O215" t="s">
        <v>5468</v>
      </c>
      <c r="P215" t="s">
        <v>5470</v>
      </c>
      <c r="Q215" t="s">
        <v>4389</v>
      </c>
      <c r="R215" t="s">
        <v>4390</v>
      </c>
      <c r="S215" t="s">
        <v>4157</v>
      </c>
      <c r="T215" t="s">
        <v>5392</v>
      </c>
      <c r="U215" t="s">
        <v>5447</v>
      </c>
      <c r="V215" t="s">
        <v>4331</v>
      </c>
      <c r="W215" t="s">
        <v>3782</v>
      </c>
      <c r="X215" t="s">
        <v>3890</v>
      </c>
      <c r="Y215" t="s">
        <v>4332</v>
      </c>
      <c r="Z215" t="s">
        <v>5151</v>
      </c>
      <c r="AA215" t="s">
        <v>5150</v>
      </c>
      <c r="AB215" t="s">
        <v>4263</v>
      </c>
      <c r="AC215" s="1" t="s">
        <v>3807</v>
      </c>
      <c r="AD215" s="6" t="s">
        <v>6706</v>
      </c>
    </row>
    <row r="216" spans="1:30" x14ac:dyDescent="0.25">
      <c r="A216" t="s">
        <v>5842</v>
      </c>
      <c r="B216" t="s">
        <v>3901</v>
      </c>
      <c r="C216" t="s">
        <v>6603</v>
      </c>
      <c r="D216" t="s">
        <v>4334</v>
      </c>
      <c r="E216" t="s">
        <v>3797</v>
      </c>
      <c r="F216" t="s">
        <v>6604</v>
      </c>
      <c r="G216" t="s">
        <v>6605</v>
      </c>
      <c r="H216" t="s">
        <v>6708</v>
      </c>
      <c r="I216" t="s">
        <v>3772</v>
      </c>
      <c r="J216" t="s">
        <v>3773</v>
      </c>
      <c r="K216" t="s">
        <v>3908</v>
      </c>
      <c r="L216" t="s">
        <v>3800</v>
      </c>
      <c r="M216" t="s">
        <v>3776</v>
      </c>
      <c r="N216" t="s">
        <v>3777</v>
      </c>
      <c r="O216" t="s">
        <v>5471</v>
      </c>
      <c r="P216" t="s">
        <v>5472</v>
      </c>
      <c r="Q216" t="s">
        <v>4391</v>
      </c>
      <c r="R216" t="s">
        <v>4392</v>
      </c>
      <c r="S216" t="s">
        <v>4157</v>
      </c>
      <c r="T216" t="s">
        <v>5392</v>
      </c>
      <c r="U216" t="s">
        <v>5393</v>
      </c>
      <c r="V216" t="s">
        <v>4331</v>
      </c>
      <c r="W216" t="s">
        <v>3782</v>
      </c>
      <c r="X216" t="s">
        <v>3890</v>
      </c>
      <c r="Y216" t="s">
        <v>4218</v>
      </c>
      <c r="Z216" t="s">
        <v>5151</v>
      </c>
      <c r="AA216" t="s">
        <v>5150</v>
      </c>
      <c r="AB216" t="s">
        <v>4263</v>
      </c>
      <c r="AC216" s="1" t="s">
        <v>3807</v>
      </c>
      <c r="AD216" s="6" t="s">
        <v>6709</v>
      </c>
    </row>
    <row r="217" spans="1:30" x14ac:dyDescent="0.25">
      <c r="A217" t="s">
        <v>5842</v>
      </c>
      <c r="B217" t="s">
        <v>3901</v>
      </c>
      <c r="C217" t="s">
        <v>4448</v>
      </c>
      <c r="D217" t="s">
        <v>3967</v>
      </c>
      <c r="E217" t="s">
        <v>3797</v>
      </c>
      <c r="F217" t="s">
        <v>4664</v>
      </c>
      <c r="G217" t="s">
        <v>6711</v>
      </c>
      <c r="H217" t="s">
        <v>6712</v>
      </c>
      <c r="I217" t="s">
        <v>3772</v>
      </c>
      <c r="J217" t="s">
        <v>3773</v>
      </c>
      <c r="K217" t="s">
        <v>3908</v>
      </c>
      <c r="L217" t="s">
        <v>3800</v>
      </c>
      <c r="M217" t="s">
        <v>3776</v>
      </c>
      <c r="N217" t="s">
        <v>3777</v>
      </c>
      <c r="O217" t="s">
        <v>5473</v>
      </c>
      <c r="P217" t="s">
        <v>5474</v>
      </c>
      <c r="Q217" t="s">
        <v>4393</v>
      </c>
      <c r="R217" t="s">
        <v>4394</v>
      </c>
      <c r="S217" t="s">
        <v>4157</v>
      </c>
      <c r="T217" t="s">
        <v>5392</v>
      </c>
      <c r="U217" t="s">
        <v>5447</v>
      </c>
      <c r="V217" t="s">
        <v>4337</v>
      </c>
      <c r="W217" t="s">
        <v>3782</v>
      </c>
      <c r="X217" t="s">
        <v>3890</v>
      </c>
      <c r="Y217" t="s">
        <v>4332</v>
      </c>
      <c r="Z217" t="s">
        <v>5155</v>
      </c>
      <c r="AA217" t="s">
        <v>5152</v>
      </c>
      <c r="AB217" t="s">
        <v>4263</v>
      </c>
      <c r="AC217" s="1" t="s">
        <v>3807</v>
      </c>
      <c r="AD217" s="6" t="s">
        <v>6713</v>
      </c>
    </row>
    <row r="218" spans="1:30" x14ac:dyDescent="0.25">
      <c r="A218" t="s">
        <v>5842</v>
      </c>
      <c r="B218" t="s">
        <v>3901</v>
      </c>
      <c r="C218" t="s">
        <v>4448</v>
      </c>
      <c r="D218" t="s">
        <v>3967</v>
      </c>
      <c r="E218" t="s">
        <v>3797</v>
      </c>
      <c r="F218" t="s">
        <v>6615</v>
      </c>
      <c r="G218" t="s">
        <v>6715</v>
      </c>
      <c r="H218" t="s">
        <v>6716</v>
      </c>
      <c r="I218" t="s">
        <v>3772</v>
      </c>
      <c r="J218" t="s">
        <v>3773</v>
      </c>
      <c r="K218" t="s">
        <v>3908</v>
      </c>
      <c r="L218" t="s">
        <v>3800</v>
      </c>
      <c r="M218" t="s">
        <v>3776</v>
      </c>
      <c r="N218" t="s">
        <v>3777</v>
      </c>
      <c r="O218" t="s">
        <v>5473</v>
      </c>
      <c r="P218" t="s">
        <v>5474</v>
      </c>
      <c r="Q218" t="s">
        <v>4395</v>
      </c>
      <c r="R218" t="s">
        <v>4396</v>
      </c>
      <c r="S218" t="s">
        <v>4157</v>
      </c>
      <c r="T218" t="s">
        <v>5392</v>
      </c>
      <c r="U218" t="s">
        <v>5393</v>
      </c>
      <c r="V218" t="s">
        <v>4339</v>
      </c>
      <c r="W218" t="s">
        <v>3782</v>
      </c>
      <c r="X218" t="s">
        <v>3890</v>
      </c>
      <c r="Y218" t="s">
        <v>4218</v>
      </c>
      <c r="Z218" t="s">
        <v>5155</v>
      </c>
      <c r="AA218" t="s">
        <v>5156</v>
      </c>
      <c r="AB218" t="s">
        <v>4263</v>
      </c>
      <c r="AC218" s="1" t="s">
        <v>3807</v>
      </c>
      <c r="AD218" s="6" t="s">
        <v>6717</v>
      </c>
    </row>
    <row r="219" spans="1:30" x14ac:dyDescent="0.25">
      <c r="A219" t="s">
        <v>5842</v>
      </c>
      <c r="B219" t="s">
        <v>3901</v>
      </c>
      <c r="C219" t="s">
        <v>4670</v>
      </c>
      <c r="D219" t="s">
        <v>4340</v>
      </c>
      <c r="E219" t="s">
        <v>3797</v>
      </c>
      <c r="F219" t="s">
        <v>5039</v>
      </c>
      <c r="G219" t="s">
        <v>6719</v>
      </c>
      <c r="H219" t="s">
        <v>6720</v>
      </c>
      <c r="I219" t="s">
        <v>3772</v>
      </c>
      <c r="J219" t="s">
        <v>3773</v>
      </c>
      <c r="K219" t="s">
        <v>3908</v>
      </c>
      <c r="L219" t="s">
        <v>3800</v>
      </c>
      <c r="M219" t="s">
        <v>3776</v>
      </c>
      <c r="N219" t="s">
        <v>3777</v>
      </c>
      <c r="O219" t="s">
        <v>5473</v>
      </c>
      <c r="P219" t="s">
        <v>5474</v>
      </c>
      <c r="Q219" t="s">
        <v>4397</v>
      </c>
      <c r="R219" t="s">
        <v>4398</v>
      </c>
      <c r="S219" t="s">
        <v>4157</v>
      </c>
      <c r="T219" t="s">
        <v>5448</v>
      </c>
      <c r="U219" t="s">
        <v>5449</v>
      </c>
      <c r="V219" t="s">
        <v>4342</v>
      </c>
      <c r="W219" t="s">
        <v>3782</v>
      </c>
      <c r="X219" t="s">
        <v>3890</v>
      </c>
      <c r="Y219" t="s">
        <v>4332</v>
      </c>
      <c r="Z219" t="s">
        <v>5155</v>
      </c>
      <c r="AA219" t="s">
        <v>5152</v>
      </c>
      <c r="AB219" t="s">
        <v>4263</v>
      </c>
      <c r="AC219" s="1" t="s">
        <v>3807</v>
      </c>
      <c r="AD219" s="6" t="s">
        <v>6721</v>
      </c>
    </row>
    <row r="220" spans="1:30" x14ac:dyDescent="0.25">
      <c r="A220" t="s">
        <v>5842</v>
      </c>
      <c r="B220" t="s">
        <v>3901</v>
      </c>
      <c r="C220" t="s">
        <v>4670</v>
      </c>
      <c r="D220" t="s">
        <v>4340</v>
      </c>
      <c r="E220" t="s">
        <v>3797</v>
      </c>
      <c r="F220" t="s">
        <v>6723</v>
      </c>
      <c r="G220" t="s">
        <v>6624</v>
      </c>
      <c r="H220" t="s">
        <v>6724</v>
      </c>
      <c r="I220" t="s">
        <v>3772</v>
      </c>
      <c r="J220" t="s">
        <v>3773</v>
      </c>
      <c r="K220" t="s">
        <v>3908</v>
      </c>
      <c r="L220" t="s">
        <v>3800</v>
      </c>
      <c r="M220" t="s">
        <v>3776</v>
      </c>
      <c r="N220" t="s">
        <v>3777</v>
      </c>
      <c r="O220" t="s">
        <v>5473</v>
      </c>
      <c r="P220" t="s">
        <v>5474</v>
      </c>
      <c r="Q220" t="s">
        <v>4399</v>
      </c>
      <c r="R220" t="s">
        <v>4400</v>
      </c>
      <c r="S220" t="s">
        <v>4157</v>
      </c>
      <c r="T220" t="s">
        <v>5450</v>
      </c>
      <c r="U220" t="s">
        <v>5449</v>
      </c>
      <c r="V220" t="s">
        <v>4344</v>
      </c>
      <c r="W220" t="s">
        <v>3782</v>
      </c>
      <c r="X220" t="s">
        <v>3890</v>
      </c>
      <c r="Y220" t="s">
        <v>4218</v>
      </c>
      <c r="Z220" t="s">
        <v>5155</v>
      </c>
      <c r="AA220" t="s">
        <v>5156</v>
      </c>
      <c r="AB220" t="s">
        <v>4263</v>
      </c>
      <c r="AC220" s="1" t="s">
        <v>3807</v>
      </c>
      <c r="AD220" s="6" t="s">
        <v>6725</v>
      </c>
    </row>
    <row r="221" spans="1:30" x14ac:dyDescent="0.25">
      <c r="A221" t="s">
        <v>5842</v>
      </c>
      <c r="B221" t="s">
        <v>3901</v>
      </c>
      <c r="C221" t="s">
        <v>4401</v>
      </c>
      <c r="D221" t="s">
        <v>4402</v>
      </c>
      <c r="E221" t="s">
        <v>4172</v>
      </c>
      <c r="F221" t="s">
        <v>4403</v>
      </c>
      <c r="G221" t="s">
        <v>4404</v>
      </c>
      <c r="H221" t="s">
        <v>4405</v>
      </c>
      <c r="I221" t="s">
        <v>3772</v>
      </c>
      <c r="J221" t="s">
        <v>3773</v>
      </c>
      <c r="K221" t="s">
        <v>3908</v>
      </c>
      <c r="L221" t="s">
        <v>3800</v>
      </c>
      <c r="M221" t="s">
        <v>3776</v>
      </c>
      <c r="N221" t="s">
        <v>3777</v>
      </c>
      <c r="O221" t="s">
        <v>5475</v>
      </c>
      <c r="P221" t="s">
        <v>5476</v>
      </c>
      <c r="Q221" t="s">
        <v>4406</v>
      </c>
      <c r="R221" t="s">
        <v>4407</v>
      </c>
      <c r="S221" t="s">
        <v>4408</v>
      </c>
      <c r="T221" t="s">
        <v>5477</v>
      </c>
      <c r="U221" t="s">
        <v>5478</v>
      </c>
      <c r="V221" t="s">
        <v>4409</v>
      </c>
      <c r="W221" t="s">
        <v>3782</v>
      </c>
      <c r="X221" t="s">
        <v>4410</v>
      </c>
      <c r="Y221" t="s">
        <v>4411</v>
      </c>
      <c r="Z221" t="s">
        <v>5155</v>
      </c>
      <c r="AA221" t="s">
        <v>5152</v>
      </c>
      <c r="AB221" t="s">
        <v>4412</v>
      </c>
      <c r="AC221" s="1" t="s">
        <v>4180</v>
      </c>
      <c r="AD221" s="6" t="s">
        <v>5856</v>
      </c>
    </row>
    <row r="222" spans="1:30" x14ac:dyDescent="0.25">
      <c r="A222" t="s">
        <v>5842</v>
      </c>
      <c r="B222" t="s">
        <v>3901</v>
      </c>
      <c r="C222" t="s">
        <v>4413</v>
      </c>
      <c r="D222" t="s">
        <v>4414</v>
      </c>
      <c r="E222" t="s">
        <v>4172</v>
      </c>
      <c r="F222" t="s">
        <v>4415</v>
      </c>
      <c r="G222" t="s">
        <v>4416</v>
      </c>
      <c r="H222" t="s">
        <v>4417</v>
      </c>
      <c r="I222" t="s">
        <v>3772</v>
      </c>
      <c r="J222" t="s">
        <v>3773</v>
      </c>
      <c r="K222" t="s">
        <v>3908</v>
      </c>
      <c r="L222" t="s">
        <v>3800</v>
      </c>
      <c r="M222" t="s">
        <v>3776</v>
      </c>
      <c r="N222" t="s">
        <v>3777</v>
      </c>
      <c r="O222" t="s">
        <v>5475</v>
      </c>
      <c r="P222" t="s">
        <v>5476</v>
      </c>
      <c r="Q222" t="s">
        <v>4418</v>
      </c>
      <c r="R222" t="s">
        <v>4419</v>
      </c>
      <c r="S222" t="s">
        <v>4408</v>
      </c>
      <c r="T222" t="s">
        <v>5479</v>
      </c>
      <c r="U222" t="s">
        <v>5480</v>
      </c>
      <c r="V222" t="s">
        <v>4420</v>
      </c>
      <c r="W222" t="s">
        <v>3782</v>
      </c>
      <c r="X222" t="s">
        <v>4410</v>
      </c>
      <c r="Y222" t="s">
        <v>4421</v>
      </c>
      <c r="Z222" t="s">
        <v>5155</v>
      </c>
      <c r="AA222" t="s">
        <v>5152</v>
      </c>
      <c r="AB222" t="s">
        <v>4412</v>
      </c>
      <c r="AC222" s="1" t="s">
        <v>4180</v>
      </c>
      <c r="AD222" s="6" t="s">
        <v>5857</v>
      </c>
    </row>
    <row r="223" spans="1:30" x14ac:dyDescent="0.25">
      <c r="A223" t="s">
        <v>5842</v>
      </c>
      <c r="B223" t="s">
        <v>3901</v>
      </c>
      <c r="C223" t="s">
        <v>4422</v>
      </c>
      <c r="D223" t="s">
        <v>4423</v>
      </c>
      <c r="E223" t="s">
        <v>4172</v>
      </c>
      <c r="F223" t="s">
        <v>4424</v>
      </c>
      <c r="G223" t="s">
        <v>4425</v>
      </c>
      <c r="H223" t="s">
        <v>4426</v>
      </c>
      <c r="I223" t="s">
        <v>3772</v>
      </c>
      <c r="J223" t="s">
        <v>3773</v>
      </c>
      <c r="K223" t="s">
        <v>3908</v>
      </c>
      <c r="L223" t="s">
        <v>3800</v>
      </c>
      <c r="M223" t="s">
        <v>3776</v>
      </c>
      <c r="N223" t="s">
        <v>3777</v>
      </c>
      <c r="O223" t="s">
        <v>5481</v>
      </c>
      <c r="P223" t="s">
        <v>5482</v>
      </c>
      <c r="Q223" t="s">
        <v>4427</v>
      </c>
      <c r="R223" t="s">
        <v>4428</v>
      </c>
      <c r="S223" t="s">
        <v>4429</v>
      </c>
      <c r="T223" t="s">
        <v>5483</v>
      </c>
      <c r="U223" t="s">
        <v>5484</v>
      </c>
      <c r="V223" t="s">
        <v>4430</v>
      </c>
      <c r="W223" t="s">
        <v>3782</v>
      </c>
      <c r="X223" t="s">
        <v>3977</v>
      </c>
      <c r="Y223" t="s">
        <v>3978</v>
      </c>
      <c r="Z223" t="s">
        <v>5155</v>
      </c>
      <c r="AA223" t="s">
        <v>5152</v>
      </c>
      <c r="AB223" t="s">
        <v>4412</v>
      </c>
      <c r="AC223" s="1" t="s">
        <v>4180</v>
      </c>
      <c r="AD223" s="6" t="s">
        <v>5858</v>
      </c>
    </row>
    <row r="224" spans="1:30" x14ac:dyDescent="0.25">
      <c r="A224" t="s">
        <v>5842</v>
      </c>
      <c r="B224" t="s">
        <v>4431</v>
      </c>
      <c r="C224" t="s">
        <v>4211</v>
      </c>
      <c r="D224" t="s">
        <v>3868</v>
      </c>
      <c r="E224" t="s">
        <v>4172</v>
      </c>
      <c r="F224" t="s">
        <v>4212</v>
      </c>
      <c r="G224" t="s">
        <v>4432</v>
      </c>
      <c r="H224" t="s">
        <v>6864</v>
      </c>
      <c r="I224" t="s">
        <v>3772</v>
      </c>
      <c r="J224" t="s">
        <v>3773</v>
      </c>
      <c r="K224" t="s">
        <v>3850</v>
      </c>
      <c r="L224" t="s">
        <v>3800</v>
      </c>
      <c r="M224" t="s">
        <v>3776</v>
      </c>
      <c r="N224" t="s">
        <v>3777</v>
      </c>
      <c r="O224" t="s">
        <v>5485</v>
      </c>
      <c r="P224" t="s">
        <v>5486</v>
      </c>
      <c r="Q224" t="s">
        <v>4433</v>
      </c>
      <c r="R224" t="s">
        <v>4434</v>
      </c>
      <c r="S224" t="s">
        <v>4157</v>
      </c>
      <c r="T224" t="s">
        <v>5388</v>
      </c>
      <c r="U224" t="s">
        <v>5389</v>
      </c>
      <c r="V224" t="s">
        <v>4435</v>
      </c>
      <c r="W224" t="s">
        <v>3782</v>
      </c>
      <c r="X224" t="s">
        <v>3890</v>
      </c>
      <c r="Y224" t="s">
        <v>4218</v>
      </c>
      <c r="Z224" t="s">
        <v>5149</v>
      </c>
      <c r="AA224" t="s">
        <v>5148</v>
      </c>
      <c r="AB224" t="s">
        <v>4268</v>
      </c>
      <c r="AC224" s="1" t="s">
        <v>4180</v>
      </c>
      <c r="AD224" s="6" t="s">
        <v>6928</v>
      </c>
    </row>
    <row r="225" spans="1:30" x14ac:dyDescent="0.25">
      <c r="A225" t="s">
        <v>5842</v>
      </c>
      <c r="B225" t="s">
        <v>4431</v>
      </c>
      <c r="C225" t="s">
        <v>4211</v>
      </c>
      <c r="D225" t="s">
        <v>3868</v>
      </c>
      <c r="E225" t="s">
        <v>4172</v>
      </c>
      <c r="F225" t="s">
        <v>4436</v>
      </c>
      <c r="G225" t="s">
        <v>4437</v>
      </c>
      <c r="H225" t="s">
        <v>4438</v>
      </c>
      <c r="I225" t="s">
        <v>3772</v>
      </c>
      <c r="J225" t="s">
        <v>3773</v>
      </c>
      <c r="K225" t="s">
        <v>3850</v>
      </c>
      <c r="L225" t="s">
        <v>3800</v>
      </c>
      <c r="M225" t="s">
        <v>3776</v>
      </c>
      <c r="N225" t="s">
        <v>3777</v>
      </c>
      <c r="O225" t="s">
        <v>5485</v>
      </c>
      <c r="P225" t="s">
        <v>5487</v>
      </c>
      <c r="Q225" t="s">
        <v>4439</v>
      </c>
      <c r="R225" t="s">
        <v>4440</v>
      </c>
      <c r="S225" t="s">
        <v>4157</v>
      </c>
      <c r="T225" t="s">
        <v>5398</v>
      </c>
      <c r="U225" t="s">
        <v>5399</v>
      </c>
      <c r="V225" t="s">
        <v>4441</v>
      </c>
      <c r="W225" t="s">
        <v>3782</v>
      </c>
      <c r="X225" t="s">
        <v>3890</v>
      </c>
      <c r="Y225" t="s">
        <v>4218</v>
      </c>
      <c r="Z225" t="s">
        <v>5149</v>
      </c>
      <c r="AA225" t="s">
        <v>5148</v>
      </c>
      <c r="AB225" t="s">
        <v>4179</v>
      </c>
      <c r="AC225" s="1" t="s">
        <v>4180</v>
      </c>
      <c r="AD225" s="6" t="s">
        <v>5859</v>
      </c>
    </row>
    <row r="226" spans="1:30" x14ac:dyDescent="0.25">
      <c r="A226" t="s">
        <v>5842</v>
      </c>
      <c r="B226" t="s">
        <v>4431</v>
      </c>
      <c r="C226" t="s">
        <v>4442</v>
      </c>
      <c r="D226" t="s">
        <v>4443</v>
      </c>
      <c r="E226" t="s">
        <v>4172</v>
      </c>
      <c r="F226" t="s">
        <v>4690</v>
      </c>
      <c r="G226" t="s">
        <v>4444</v>
      </c>
      <c r="H226" t="s">
        <v>6930</v>
      </c>
      <c r="I226" t="s">
        <v>3772</v>
      </c>
      <c r="J226" t="s">
        <v>3773</v>
      </c>
      <c r="K226" t="s">
        <v>3908</v>
      </c>
      <c r="L226" t="s">
        <v>3800</v>
      </c>
      <c r="M226" t="s">
        <v>3776</v>
      </c>
      <c r="N226" t="s">
        <v>3777</v>
      </c>
      <c r="O226" t="s">
        <v>5488</v>
      </c>
      <c r="P226" t="s">
        <v>5489</v>
      </c>
      <c r="Q226" t="s">
        <v>4445</v>
      </c>
      <c r="R226" t="s">
        <v>4446</v>
      </c>
      <c r="S226" t="s">
        <v>3803</v>
      </c>
      <c r="T226" t="s">
        <v>5490</v>
      </c>
      <c r="U226" t="s">
        <v>5491</v>
      </c>
      <c r="V226" t="s">
        <v>4447</v>
      </c>
      <c r="W226" t="s">
        <v>3782</v>
      </c>
      <c r="X226" t="s">
        <v>3890</v>
      </c>
      <c r="Y226" t="s">
        <v>4332</v>
      </c>
      <c r="Z226" t="s">
        <v>5155</v>
      </c>
      <c r="AA226" t="s">
        <v>5156</v>
      </c>
      <c r="AB226" t="s">
        <v>4179</v>
      </c>
      <c r="AC226" s="1" t="s">
        <v>4180</v>
      </c>
      <c r="AD226" s="6" t="s">
        <v>6931</v>
      </c>
    </row>
    <row r="227" spans="1:30" x14ac:dyDescent="0.25">
      <c r="A227" t="s">
        <v>5842</v>
      </c>
      <c r="B227" t="s">
        <v>4431</v>
      </c>
      <c r="C227" t="s">
        <v>4448</v>
      </c>
      <c r="D227" t="s">
        <v>4443</v>
      </c>
      <c r="E227" t="s">
        <v>4172</v>
      </c>
      <c r="F227" t="s">
        <v>6933</v>
      </c>
      <c r="G227" t="s">
        <v>4449</v>
      </c>
      <c r="H227" t="s">
        <v>6934</v>
      </c>
      <c r="I227" t="s">
        <v>3772</v>
      </c>
      <c r="J227" t="s">
        <v>3773</v>
      </c>
      <c r="K227" t="s">
        <v>3908</v>
      </c>
      <c r="L227" t="s">
        <v>3800</v>
      </c>
      <c r="M227" t="s">
        <v>3776</v>
      </c>
      <c r="N227" t="s">
        <v>3777</v>
      </c>
      <c r="O227" t="s">
        <v>5492</v>
      </c>
      <c r="P227" t="s">
        <v>5493</v>
      </c>
      <c r="Q227" t="s">
        <v>4450</v>
      </c>
      <c r="R227" t="s">
        <v>4451</v>
      </c>
      <c r="S227" t="s">
        <v>3803</v>
      </c>
      <c r="T227" t="s">
        <v>5490</v>
      </c>
      <c r="U227" t="s">
        <v>5491</v>
      </c>
      <c r="V227" t="s">
        <v>4452</v>
      </c>
      <c r="W227" t="s">
        <v>3782</v>
      </c>
      <c r="X227" t="s">
        <v>3890</v>
      </c>
      <c r="Y227" t="s">
        <v>4332</v>
      </c>
      <c r="Z227" t="s">
        <v>5155</v>
      </c>
      <c r="AA227" t="s">
        <v>5156</v>
      </c>
      <c r="AB227" t="s">
        <v>4179</v>
      </c>
      <c r="AC227" s="1" t="s">
        <v>4180</v>
      </c>
      <c r="AD227" s="6" t="s">
        <v>6935</v>
      </c>
    </row>
    <row r="228" spans="1:30" x14ac:dyDescent="0.25">
      <c r="A228" t="s">
        <v>5842</v>
      </c>
      <c r="B228" t="s">
        <v>4431</v>
      </c>
      <c r="C228" t="s">
        <v>4453</v>
      </c>
      <c r="D228" t="s">
        <v>4454</v>
      </c>
      <c r="E228" t="s">
        <v>4172</v>
      </c>
      <c r="F228" t="s">
        <v>6937</v>
      </c>
      <c r="G228" t="s">
        <v>4455</v>
      </c>
      <c r="H228" t="s">
        <v>6938</v>
      </c>
      <c r="I228" t="s">
        <v>3772</v>
      </c>
      <c r="J228" t="s">
        <v>3773</v>
      </c>
      <c r="K228" t="s">
        <v>3908</v>
      </c>
      <c r="L228" t="s">
        <v>3800</v>
      </c>
      <c r="M228" t="s">
        <v>3776</v>
      </c>
      <c r="N228" t="s">
        <v>3777</v>
      </c>
      <c r="O228" t="s">
        <v>5494</v>
      </c>
      <c r="P228" t="s">
        <v>5495</v>
      </c>
      <c r="Q228" t="s">
        <v>4456</v>
      </c>
      <c r="R228" t="s">
        <v>4457</v>
      </c>
      <c r="S228" t="s">
        <v>3803</v>
      </c>
      <c r="T228" t="s">
        <v>5490</v>
      </c>
      <c r="U228" t="s">
        <v>5491</v>
      </c>
      <c r="V228" t="s">
        <v>4458</v>
      </c>
      <c r="W228" t="s">
        <v>3782</v>
      </c>
      <c r="X228" t="s">
        <v>3977</v>
      </c>
      <c r="Y228" t="s">
        <v>4332</v>
      </c>
      <c r="Z228" t="s">
        <v>5155</v>
      </c>
      <c r="AA228" t="s">
        <v>5156</v>
      </c>
      <c r="AB228" t="s">
        <v>4179</v>
      </c>
      <c r="AC228" s="1" t="s">
        <v>4180</v>
      </c>
      <c r="AD228" s="6" t="s">
        <v>6939</v>
      </c>
    </row>
    <row r="229" spans="1:30" x14ac:dyDescent="0.25">
      <c r="A229" t="s">
        <v>5842</v>
      </c>
      <c r="B229" t="s">
        <v>4431</v>
      </c>
      <c r="C229" t="s">
        <v>4459</v>
      </c>
      <c r="D229" t="s">
        <v>4460</v>
      </c>
      <c r="E229" t="s">
        <v>4172</v>
      </c>
      <c r="F229" t="s">
        <v>6941</v>
      </c>
      <c r="G229" t="s">
        <v>4461</v>
      </c>
      <c r="H229" t="s">
        <v>6942</v>
      </c>
      <c r="I229" t="s">
        <v>3772</v>
      </c>
      <c r="J229" t="s">
        <v>3773</v>
      </c>
      <c r="K229" t="s">
        <v>3908</v>
      </c>
      <c r="L229" t="s">
        <v>3800</v>
      </c>
      <c r="M229" t="s">
        <v>3776</v>
      </c>
      <c r="N229" t="s">
        <v>3777</v>
      </c>
      <c r="O229" t="s">
        <v>5494</v>
      </c>
      <c r="P229" t="s">
        <v>5495</v>
      </c>
      <c r="Q229" t="s">
        <v>4462</v>
      </c>
      <c r="R229" t="s">
        <v>4463</v>
      </c>
      <c r="S229" t="s">
        <v>3803</v>
      </c>
      <c r="T229" t="s">
        <v>5490</v>
      </c>
      <c r="U229" t="s">
        <v>5491</v>
      </c>
      <c r="V229" t="s">
        <v>4464</v>
      </c>
      <c r="W229" t="s">
        <v>3782</v>
      </c>
      <c r="X229" t="s">
        <v>3890</v>
      </c>
      <c r="Y229" t="s">
        <v>4332</v>
      </c>
      <c r="Z229" t="s">
        <v>5155</v>
      </c>
      <c r="AA229" t="s">
        <v>5156</v>
      </c>
      <c r="AB229" t="s">
        <v>4268</v>
      </c>
      <c r="AC229" s="1" t="s">
        <v>4180</v>
      </c>
      <c r="AD229" s="6" t="s">
        <v>6943</v>
      </c>
    </row>
    <row r="230" spans="1:30" x14ac:dyDescent="0.25">
      <c r="A230" t="s">
        <v>5842</v>
      </c>
      <c r="B230" t="s">
        <v>3901</v>
      </c>
      <c r="C230" t="s">
        <v>4235</v>
      </c>
      <c r="D230" t="s">
        <v>4236</v>
      </c>
      <c r="E230" t="s">
        <v>3797</v>
      </c>
      <c r="F230" t="s">
        <v>4173</v>
      </c>
      <c r="G230" t="s">
        <v>4465</v>
      </c>
      <c r="H230" t="s">
        <v>4466</v>
      </c>
      <c r="I230" t="s">
        <v>3772</v>
      </c>
      <c r="J230" t="s">
        <v>3773</v>
      </c>
      <c r="K230" t="s">
        <v>3850</v>
      </c>
      <c r="L230" t="s">
        <v>3800</v>
      </c>
      <c r="M230" t="s">
        <v>3776</v>
      </c>
      <c r="N230" t="s">
        <v>3777</v>
      </c>
      <c r="O230" t="s">
        <v>5496</v>
      </c>
      <c r="P230" t="s">
        <v>5497</v>
      </c>
      <c r="Q230" t="s">
        <v>4377</v>
      </c>
      <c r="R230" t="s">
        <v>4467</v>
      </c>
      <c r="S230" t="s">
        <v>3780</v>
      </c>
      <c r="T230" t="s">
        <v>5498</v>
      </c>
      <c r="U230" t="s">
        <v>5499</v>
      </c>
      <c r="V230" t="s">
        <v>5195</v>
      </c>
      <c r="W230" t="s">
        <v>3782</v>
      </c>
      <c r="X230" t="s">
        <v>3804</v>
      </c>
      <c r="Y230" t="s">
        <v>3805</v>
      </c>
      <c r="Z230" t="s">
        <v>3785</v>
      </c>
      <c r="AA230" t="s">
        <v>3786</v>
      </c>
      <c r="AB230" t="s">
        <v>3787</v>
      </c>
      <c r="AC230" s="1" t="s">
        <v>3788</v>
      </c>
      <c r="AD230" s="6" t="s">
        <v>5860</v>
      </c>
    </row>
    <row r="231" spans="1:30" x14ac:dyDescent="0.25">
      <c r="A231" t="s">
        <v>5842</v>
      </c>
      <c r="B231" t="s">
        <v>3901</v>
      </c>
      <c r="C231" t="s">
        <v>4189</v>
      </c>
      <c r="D231" t="s">
        <v>4163</v>
      </c>
      <c r="E231" t="s">
        <v>3797</v>
      </c>
      <c r="F231" t="s">
        <v>4468</v>
      </c>
      <c r="G231" t="s">
        <v>4469</v>
      </c>
      <c r="H231" t="s">
        <v>4470</v>
      </c>
      <c r="I231" t="s">
        <v>3772</v>
      </c>
      <c r="J231" t="s">
        <v>3773</v>
      </c>
      <c r="K231" t="s">
        <v>3850</v>
      </c>
      <c r="L231" t="s">
        <v>3800</v>
      </c>
      <c r="M231" t="s">
        <v>3776</v>
      </c>
      <c r="N231" t="s">
        <v>3777</v>
      </c>
      <c r="O231" t="s">
        <v>5496</v>
      </c>
      <c r="P231" t="s">
        <v>5497</v>
      </c>
      <c r="Q231" t="s">
        <v>4377</v>
      </c>
      <c r="R231" t="s">
        <v>4467</v>
      </c>
      <c r="S231" t="s">
        <v>3780</v>
      </c>
      <c r="T231" t="s">
        <v>5498</v>
      </c>
      <c r="U231" t="s">
        <v>5499</v>
      </c>
      <c r="V231" t="s">
        <v>5195</v>
      </c>
      <c r="W231" t="s">
        <v>3782</v>
      </c>
      <c r="X231" t="s">
        <v>3804</v>
      </c>
      <c r="Y231" t="s">
        <v>3805</v>
      </c>
      <c r="Z231" t="s">
        <v>3785</v>
      </c>
      <c r="AA231" t="s">
        <v>3786</v>
      </c>
      <c r="AB231" t="s">
        <v>3787</v>
      </c>
      <c r="AC231" s="1" t="s">
        <v>3788</v>
      </c>
      <c r="AD231" s="6" t="s">
        <v>5861</v>
      </c>
    </row>
    <row r="232" spans="1:30" x14ac:dyDescent="0.25">
      <c r="A232" t="s">
        <v>5842</v>
      </c>
      <c r="B232" t="s">
        <v>3901</v>
      </c>
      <c r="C232" t="s">
        <v>4196</v>
      </c>
      <c r="D232" t="s">
        <v>3814</v>
      </c>
      <c r="E232" t="s">
        <v>3797</v>
      </c>
      <c r="F232" t="s">
        <v>4197</v>
      </c>
      <c r="G232" t="s">
        <v>4471</v>
      </c>
      <c r="H232" t="s">
        <v>4472</v>
      </c>
      <c r="I232" t="s">
        <v>3772</v>
      </c>
      <c r="J232" t="s">
        <v>3773</v>
      </c>
      <c r="K232" t="s">
        <v>3850</v>
      </c>
      <c r="L232" t="s">
        <v>3800</v>
      </c>
      <c r="M232" t="s">
        <v>3776</v>
      </c>
      <c r="N232" t="s">
        <v>3777</v>
      </c>
      <c r="O232" t="s">
        <v>5496</v>
      </c>
      <c r="P232" t="s">
        <v>5497</v>
      </c>
      <c r="Q232" t="s">
        <v>4377</v>
      </c>
      <c r="R232" t="s">
        <v>4378</v>
      </c>
      <c r="S232" t="s">
        <v>3780</v>
      </c>
      <c r="T232" t="s">
        <v>5498</v>
      </c>
      <c r="U232" t="s">
        <v>5499</v>
      </c>
      <c r="V232" t="s">
        <v>5195</v>
      </c>
      <c r="W232" t="s">
        <v>3782</v>
      </c>
      <c r="X232" t="s">
        <v>3804</v>
      </c>
      <c r="Y232" t="s">
        <v>3805</v>
      </c>
      <c r="Z232" t="s">
        <v>3785</v>
      </c>
      <c r="AA232" t="s">
        <v>3786</v>
      </c>
      <c r="AB232" t="s">
        <v>3787</v>
      </c>
      <c r="AC232" s="1" t="s">
        <v>3788</v>
      </c>
      <c r="AD232" s="6" t="s">
        <v>5862</v>
      </c>
    </row>
    <row r="233" spans="1:30" x14ac:dyDescent="0.25">
      <c r="A233" t="s">
        <v>5842</v>
      </c>
      <c r="B233" t="s">
        <v>3901</v>
      </c>
      <c r="C233" t="s">
        <v>4196</v>
      </c>
      <c r="D233" t="s">
        <v>3814</v>
      </c>
      <c r="E233" t="s">
        <v>3797</v>
      </c>
      <c r="F233" t="s">
        <v>4197</v>
      </c>
      <c r="G233" t="s">
        <v>4471</v>
      </c>
      <c r="H233" t="s">
        <v>4472</v>
      </c>
      <c r="I233" t="s">
        <v>3772</v>
      </c>
      <c r="J233" t="s">
        <v>3773</v>
      </c>
      <c r="K233" t="s">
        <v>3850</v>
      </c>
      <c r="L233" t="s">
        <v>3827</v>
      </c>
      <c r="M233" t="s">
        <v>3776</v>
      </c>
      <c r="N233" t="s">
        <v>3777</v>
      </c>
      <c r="O233" t="s">
        <v>5500</v>
      </c>
      <c r="P233" t="s">
        <v>5465</v>
      </c>
      <c r="Q233" t="s">
        <v>4379</v>
      </c>
      <c r="R233" t="s">
        <v>4473</v>
      </c>
      <c r="S233" t="s">
        <v>3780</v>
      </c>
      <c r="T233" t="s">
        <v>5501</v>
      </c>
      <c r="U233" t="s">
        <v>5502</v>
      </c>
      <c r="V233" t="s">
        <v>5196</v>
      </c>
      <c r="W233" t="s">
        <v>3782</v>
      </c>
      <c r="X233" t="s">
        <v>3804</v>
      </c>
      <c r="Y233" t="s">
        <v>3805</v>
      </c>
      <c r="Z233" t="s">
        <v>3785</v>
      </c>
      <c r="AA233" t="s">
        <v>3786</v>
      </c>
      <c r="AB233" t="s">
        <v>3787</v>
      </c>
      <c r="AC233" s="1" t="s">
        <v>3788</v>
      </c>
      <c r="AD233" s="6" t="s">
        <v>5863</v>
      </c>
    </row>
    <row r="234" spans="1:30" x14ac:dyDescent="0.25">
      <c r="A234" t="s">
        <v>5842</v>
      </c>
      <c r="B234" t="s">
        <v>3901</v>
      </c>
      <c r="C234" t="s">
        <v>4203</v>
      </c>
      <c r="D234" t="s">
        <v>4204</v>
      </c>
      <c r="E234" t="s">
        <v>3797</v>
      </c>
      <c r="F234" t="s">
        <v>4248</v>
      </c>
      <c r="G234" t="s">
        <v>4474</v>
      </c>
      <c r="H234" t="s">
        <v>4475</v>
      </c>
      <c r="I234" t="s">
        <v>3772</v>
      </c>
      <c r="J234" t="s">
        <v>3773</v>
      </c>
      <c r="K234" t="s">
        <v>3850</v>
      </c>
      <c r="L234" t="s">
        <v>3800</v>
      </c>
      <c r="M234" t="s">
        <v>3776</v>
      </c>
      <c r="N234" t="s">
        <v>3777</v>
      </c>
      <c r="O234" t="s">
        <v>5503</v>
      </c>
      <c r="P234" t="s">
        <v>5467</v>
      </c>
      <c r="Q234" t="s">
        <v>4381</v>
      </c>
      <c r="R234" t="s">
        <v>4476</v>
      </c>
      <c r="S234" t="s">
        <v>3780</v>
      </c>
      <c r="T234" t="s">
        <v>5504</v>
      </c>
      <c r="U234" t="s">
        <v>5505</v>
      </c>
      <c r="V234" t="s">
        <v>5197</v>
      </c>
      <c r="W234" t="s">
        <v>3782</v>
      </c>
      <c r="X234" t="s">
        <v>3804</v>
      </c>
      <c r="Y234" t="s">
        <v>3826</v>
      </c>
      <c r="Z234" t="s">
        <v>3785</v>
      </c>
      <c r="AA234" t="s">
        <v>3786</v>
      </c>
      <c r="AB234" t="s">
        <v>3787</v>
      </c>
      <c r="AC234" s="1" t="s">
        <v>3788</v>
      </c>
      <c r="AD234" s="6" t="s">
        <v>5864</v>
      </c>
    </row>
    <row r="235" spans="1:30" x14ac:dyDescent="0.25">
      <c r="A235" t="s">
        <v>5842</v>
      </c>
      <c r="B235" t="s">
        <v>3901</v>
      </c>
      <c r="C235" t="s">
        <v>4203</v>
      </c>
      <c r="D235" t="s">
        <v>4204</v>
      </c>
      <c r="E235" t="s">
        <v>3797</v>
      </c>
      <c r="F235" t="s">
        <v>4248</v>
      </c>
      <c r="G235" t="s">
        <v>4474</v>
      </c>
      <c r="H235" t="s">
        <v>4475</v>
      </c>
      <c r="I235" t="s">
        <v>3772</v>
      </c>
      <c r="J235" t="s">
        <v>3773</v>
      </c>
      <c r="K235" t="s">
        <v>3850</v>
      </c>
      <c r="L235" t="s">
        <v>3827</v>
      </c>
      <c r="M235" t="s">
        <v>3776</v>
      </c>
      <c r="N235" t="s">
        <v>3777</v>
      </c>
      <c r="O235" t="s">
        <v>5503</v>
      </c>
      <c r="P235" t="s">
        <v>5467</v>
      </c>
      <c r="Q235" t="s">
        <v>4383</v>
      </c>
      <c r="R235" t="s">
        <v>4477</v>
      </c>
      <c r="S235" t="s">
        <v>3780</v>
      </c>
      <c r="T235" t="s">
        <v>5504</v>
      </c>
      <c r="U235" t="s">
        <v>5505</v>
      </c>
      <c r="V235" t="s">
        <v>5198</v>
      </c>
      <c r="W235" t="s">
        <v>3782</v>
      </c>
      <c r="X235" t="s">
        <v>3804</v>
      </c>
      <c r="Y235" t="s">
        <v>3826</v>
      </c>
      <c r="Z235" t="s">
        <v>3785</v>
      </c>
      <c r="AA235" t="s">
        <v>3786</v>
      </c>
      <c r="AB235" t="s">
        <v>3787</v>
      </c>
      <c r="AC235" s="1" t="s">
        <v>3788</v>
      </c>
      <c r="AD235" s="6" t="s">
        <v>5865</v>
      </c>
    </row>
    <row r="236" spans="1:30" x14ac:dyDescent="0.25">
      <c r="A236" t="s">
        <v>5842</v>
      </c>
      <c r="B236" t="s">
        <v>4001</v>
      </c>
      <c r="C236" t="s">
        <v>4478</v>
      </c>
      <c r="D236" t="s">
        <v>4163</v>
      </c>
      <c r="E236" t="s">
        <v>3797</v>
      </c>
      <c r="F236" t="s">
        <v>4479</v>
      </c>
      <c r="G236" t="s">
        <v>4480</v>
      </c>
      <c r="H236" t="s">
        <v>4481</v>
      </c>
      <c r="I236" t="s">
        <v>3772</v>
      </c>
      <c r="J236" t="s">
        <v>3773</v>
      </c>
      <c r="K236" t="s">
        <v>3850</v>
      </c>
      <c r="L236" t="s">
        <v>3775</v>
      </c>
      <c r="M236" t="s">
        <v>3776</v>
      </c>
      <c r="N236" t="s">
        <v>3777</v>
      </c>
      <c r="O236" t="s">
        <v>5327</v>
      </c>
      <c r="P236" t="s">
        <v>5328</v>
      </c>
      <c r="Q236" t="s">
        <v>3778</v>
      </c>
      <c r="R236" t="s">
        <v>3779</v>
      </c>
      <c r="S236" t="s">
        <v>3780</v>
      </c>
      <c r="T236" t="s">
        <v>5337</v>
      </c>
      <c r="U236" t="s">
        <v>5338</v>
      </c>
      <c r="V236" t="s">
        <v>3781</v>
      </c>
      <c r="W236" t="s">
        <v>3782</v>
      </c>
      <c r="X236" t="s">
        <v>3804</v>
      </c>
      <c r="Y236" t="s">
        <v>4482</v>
      </c>
      <c r="Z236" t="s">
        <v>3785</v>
      </c>
      <c r="AA236" t="s">
        <v>3786</v>
      </c>
      <c r="AB236" t="s">
        <v>3787</v>
      </c>
      <c r="AC236" s="1" t="s">
        <v>3788</v>
      </c>
      <c r="AD236" s="6" t="s">
        <v>5866</v>
      </c>
    </row>
    <row r="237" spans="1:30" x14ac:dyDescent="0.25">
      <c r="A237" t="s">
        <v>5842</v>
      </c>
      <c r="B237" t="s">
        <v>4001</v>
      </c>
      <c r="C237" t="s">
        <v>4483</v>
      </c>
      <c r="D237" t="s">
        <v>3814</v>
      </c>
      <c r="E237" t="s">
        <v>3797</v>
      </c>
      <c r="F237" t="s">
        <v>4484</v>
      </c>
      <c r="G237" t="s">
        <v>4480</v>
      </c>
      <c r="H237" t="s">
        <v>4481</v>
      </c>
      <c r="I237" t="s">
        <v>3772</v>
      </c>
      <c r="J237" t="s">
        <v>3773</v>
      </c>
      <c r="K237" t="s">
        <v>3850</v>
      </c>
      <c r="L237" t="s">
        <v>3775</v>
      </c>
      <c r="M237" t="s">
        <v>3776</v>
      </c>
      <c r="N237" t="s">
        <v>3777</v>
      </c>
      <c r="O237" t="s">
        <v>5327</v>
      </c>
      <c r="P237" t="s">
        <v>5328</v>
      </c>
      <c r="Q237" t="s">
        <v>3778</v>
      </c>
      <c r="R237" t="s">
        <v>3779</v>
      </c>
      <c r="S237" t="s">
        <v>3780</v>
      </c>
      <c r="T237" t="s">
        <v>5337</v>
      </c>
      <c r="U237" t="s">
        <v>5338</v>
      </c>
      <c r="V237" t="s">
        <v>3781</v>
      </c>
      <c r="W237" t="s">
        <v>3782</v>
      </c>
      <c r="X237" t="s">
        <v>3804</v>
      </c>
      <c r="Y237" t="s">
        <v>4482</v>
      </c>
      <c r="Z237" t="s">
        <v>3785</v>
      </c>
      <c r="AA237" t="s">
        <v>3786</v>
      </c>
      <c r="AB237" t="s">
        <v>3787</v>
      </c>
      <c r="AC237" s="1" t="s">
        <v>3788</v>
      </c>
      <c r="AD237" s="6" t="s">
        <v>5867</v>
      </c>
    </row>
    <row r="238" spans="1:30" x14ac:dyDescent="0.25">
      <c r="A238" t="s">
        <v>5842</v>
      </c>
      <c r="B238" t="s">
        <v>4001</v>
      </c>
      <c r="C238" t="s">
        <v>3767</v>
      </c>
      <c r="D238" t="s">
        <v>3768</v>
      </c>
      <c r="E238" t="s">
        <v>3797</v>
      </c>
      <c r="F238" t="s">
        <v>3769</v>
      </c>
      <c r="G238" t="s">
        <v>3770</v>
      </c>
      <c r="H238" t="s">
        <v>3771</v>
      </c>
      <c r="I238" t="s">
        <v>3772</v>
      </c>
      <c r="J238" t="s">
        <v>3773</v>
      </c>
      <c r="K238" t="s">
        <v>3774</v>
      </c>
      <c r="L238" t="s">
        <v>3775</v>
      </c>
      <c r="M238" t="s">
        <v>3776</v>
      </c>
      <c r="N238" t="s">
        <v>3777</v>
      </c>
      <c r="O238" t="s">
        <v>5327</v>
      </c>
      <c r="P238" t="s">
        <v>5328</v>
      </c>
      <c r="Q238" t="s">
        <v>3778</v>
      </c>
      <c r="R238" t="s">
        <v>3779</v>
      </c>
      <c r="S238" t="s">
        <v>3780</v>
      </c>
      <c r="T238" t="s">
        <v>5337</v>
      </c>
      <c r="U238" t="s">
        <v>5338</v>
      </c>
      <c r="V238" t="s">
        <v>3781</v>
      </c>
      <c r="W238" t="s">
        <v>3782</v>
      </c>
      <c r="X238" t="s">
        <v>3783</v>
      </c>
      <c r="Y238" t="s">
        <v>3784</v>
      </c>
      <c r="Z238" t="s">
        <v>3785</v>
      </c>
      <c r="AA238" t="s">
        <v>3786</v>
      </c>
      <c r="AB238" t="s">
        <v>3787</v>
      </c>
      <c r="AC238" s="1" t="s">
        <v>3788</v>
      </c>
      <c r="AD238" s="6" t="s">
        <v>5868</v>
      </c>
    </row>
    <row r="239" spans="1:30" x14ac:dyDescent="0.25">
      <c r="A239" t="s">
        <v>5842</v>
      </c>
      <c r="B239" t="s">
        <v>4001</v>
      </c>
      <c r="C239" t="s">
        <v>4485</v>
      </c>
      <c r="D239" t="s">
        <v>4204</v>
      </c>
      <c r="E239" t="s">
        <v>3797</v>
      </c>
      <c r="F239" t="s">
        <v>4486</v>
      </c>
      <c r="G239" t="s">
        <v>4480</v>
      </c>
      <c r="H239" t="s">
        <v>4481</v>
      </c>
      <c r="I239" t="s">
        <v>3772</v>
      </c>
      <c r="J239" t="s">
        <v>3773</v>
      </c>
      <c r="K239" t="s">
        <v>3850</v>
      </c>
      <c r="L239" t="s">
        <v>3775</v>
      </c>
      <c r="M239" t="s">
        <v>3776</v>
      </c>
      <c r="N239" t="s">
        <v>3777</v>
      </c>
      <c r="O239" t="s">
        <v>5327</v>
      </c>
      <c r="P239" t="s">
        <v>5328</v>
      </c>
      <c r="Q239" t="s">
        <v>3778</v>
      </c>
      <c r="R239" t="s">
        <v>3779</v>
      </c>
      <c r="S239" t="s">
        <v>3780</v>
      </c>
      <c r="T239" t="s">
        <v>5337</v>
      </c>
      <c r="U239" t="s">
        <v>5338</v>
      </c>
      <c r="V239" t="s">
        <v>3781</v>
      </c>
      <c r="W239" t="s">
        <v>3782</v>
      </c>
      <c r="X239" t="s">
        <v>3804</v>
      </c>
      <c r="Y239" t="s">
        <v>3826</v>
      </c>
      <c r="Z239" t="s">
        <v>3785</v>
      </c>
      <c r="AA239" t="s">
        <v>3786</v>
      </c>
      <c r="AB239" t="s">
        <v>3787</v>
      </c>
      <c r="AC239" s="1" t="s">
        <v>3788</v>
      </c>
      <c r="AD239" s="6" t="s">
        <v>5869</v>
      </c>
    </row>
    <row r="240" spans="1:30" x14ac:dyDescent="0.25">
      <c r="A240" t="s">
        <v>5842</v>
      </c>
      <c r="B240" t="s">
        <v>4001</v>
      </c>
      <c r="C240" t="s">
        <v>3767</v>
      </c>
      <c r="D240" t="s">
        <v>3768</v>
      </c>
      <c r="E240" t="s">
        <v>3797</v>
      </c>
      <c r="F240" t="s">
        <v>3769</v>
      </c>
      <c r="G240" t="s">
        <v>3770</v>
      </c>
      <c r="H240" t="s">
        <v>3771</v>
      </c>
      <c r="I240" t="s">
        <v>3772</v>
      </c>
      <c r="J240" t="s">
        <v>3773</v>
      </c>
      <c r="K240" t="s">
        <v>3774</v>
      </c>
      <c r="L240" t="s">
        <v>3775</v>
      </c>
      <c r="M240" t="s">
        <v>3776</v>
      </c>
      <c r="N240" t="s">
        <v>3777</v>
      </c>
      <c r="O240" t="s">
        <v>5327</v>
      </c>
      <c r="P240" t="s">
        <v>5328</v>
      </c>
      <c r="Q240" t="s">
        <v>3778</v>
      </c>
      <c r="R240" t="s">
        <v>3779</v>
      </c>
      <c r="S240" t="s">
        <v>3780</v>
      </c>
      <c r="T240" t="s">
        <v>5337</v>
      </c>
      <c r="U240" t="s">
        <v>5338</v>
      </c>
      <c r="V240" t="s">
        <v>3781</v>
      </c>
      <c r="W240" t="s">
        <v>3782</v>
      </c>
      <c r="X240" t="s">
        <v>3783</v>
      </c>
      <c r="Y240" t="s">
        <v>3784</v>
      </c>
      <c r="Z240" t="s">
        <v>3785</v>
      </c>
      <c r="AA240" t="s">
        <v>3786</v>
      </c>
      <c r="AB240" t="s">
        <v>3787</v>
      </c>
      <c r="AC240" s="1" t="s">
        <v>3788</v>
      </c>
      <c r="AD240" s="6" t="s">
        <v>5868</v>
      </c>
    </row>
    <row r="241" spans="1:30" x14ac:dyDescent="0.25">
      <c r="A241" t="s">
        <v>5842</v>
      </c>
      <c r="B241" t="s">
        <v>4061</v>
      </c>
      <c r="C241" t="s">
        <v>4487</v>
      </c>
      <c r="D241" t="s">
        <v>4488</v>
      </c>
      <c r="E241" t="s">
        <v>3797</v>
      </c>
      <c r="F241" t="s">
        <v>4468</v>
      </c>
      <c r="G241" t="s">
        <v>4094</v>
      </c>
      <c r="H241" t="s">
        <v>4095</v>
      </c>
      <c r="I241" t="s">
        <v>3772</v>
      </c>
      <c r="J241" t="s">
        <v>3773</v>
      </c>
      <c r="K241" t="s">
        <v>3850</v>
      </c>
      <c r="L241" t="s">
        <v>4137</v>
      </c>
      <c r="M241" t="s">
        <v>3776</v>
      </c>
      <c r="N241" t="s">
        <v>3777</v>
      </c>
      <c r="O241" t="s">
        <v>5506</v>
      </c>
      <c r="P241" t="s">
        <v>5507</v>
      </c>
      <c r="Q241" t="s">
        <v>5199</v>
      </c>
      <c r="R241" t="s">
        <v>4489</v>
      </c>
      <c r="S241" t="s">
        <v>3780</v>
      </c>
      <c r="T241" t="s">
        <v>5508</v>
      </c>
      <c r="U241" t="s">
        <v>5509</v>
      </c>
      <c r="V241" t="s">
        <v>5200</v>
      </c>
      <c r="W241" t="s">
        <v>3782</v>
      </c>
      <c r="X241" t="s">
        <v>3804</v>
      </c>
      <c r="Y241" t="s">
        <v>3805</v>
      </c>
      <c r="Z241" t="s">
        <v>3785</v>
      </c>
      <c r="AA241" t="s">
        <v>3786</v>
      </c>
      <c r="AB241" t="s">
        <v>3787</v>
      </c>
      <c r="AC241" s="1" t="s">
        <v>3788</v>
      </c>
      <c r="AD241" s="6" t="s">
        <v>5870</v>
      </c>
    </row>
    <row r="242" spans="1:30" x14ac:dyDescent="0.25">
      <c r="A242" t="s">
        <v>5842</v>
      </c>
      <c r="B242" t="s">
        <v>4061</v>
      </c>
      <c r="C242" t="s">
        <v>4196</v>
      </c>
      <c r="D242" t="s">
        <v>3814</v>
      </c>
      <c r="E242" t="s">
        <v>3797</v>
      </c>
      <c r="F242" t="s">
        <v>4197</v>
      </c>
      <c r="G242" t="s">
        <v>4490</v>
      </c>
      <c r="H242" t="s">
        <v>4491</v>
      </c>
      <c r="I242" t="s">
        <v>3772</v>
      </c>
      <c r="J242" t="s">
        <v>3773</v>
      </c>
      <c r="K242" t="s">
        <v>3850</v>
      </c>
      <c r="L242" t="s">
        <v>4137</v>
      </c>
      <c r="M242" t="s">
        <v>3776</v>
      </c>
      <c r="N242" t="s">
        <v>3777</v>
      </c>
      <c r="O242" t="s">
        <v>5510</v>
      </c>
      <c r="P242" t="s">
        <v>5400</v>
      </c>
      <c r="Q242" t="s">
        <v>4260</v>
      </c>
      <c r="R242" t="s">
        <v>4492</v>
      </c>
      <c r="S242" t="s">
        <v>3780</v>
      </c>
      <c r="T242" t="s">
        <v>5511</v>
      </c>
      <c r="U242" t="s">
        <v>5512</v>
      </c>
      <c r="V242" t="s">
        <v>5201</v>
      </c>
      <c r="W242" t="s">
        <v>3782</v>
      </c>
      <c r="X242" t="s">
        <v>3804</v>
      </c>
      <c r="Y242" t="s">
        <v>3805</v>
      </c>
      <c r="Z242" t="s">
        <v>3785</v>
      </c>
      <c r="AA242" t="s">
        <v>3786</v>
      </c>
      <c r="AB242" t="s">
        <v>3787</v>
      </c>
      <c r="AC242" s="1" t="s">
        <v>3788</v>
      </c>
      <c r="AD242" s="6" t="s">
        <v>5871</v>
      </c>
    </row>
    <row r="243" spans="1:30" x14ac:dyDescent="0.25">
      <c r="A243" t="s">
        <v>5842</v>
      </c>
      <c r="B243" t="s">
        <v>4061</v>
      </c>
      <c r="C243" t="s">
        <v>4196</v>
      </c>
      <c r="D243" t="s">
        <v>3814</v>
      </c>
      <c r="E243" t="s">
        <v>3797</v>
      </c>
      <c r="F243" t="s">
        <v>4197</v>
      </c>
      <c r="G243" t="s">
        <v>4097</v>
      </c>
      <c r="H243" t="s">
        <v>4098</v>
      </c>
      <c r="I243" t="s">
        <v>3772</v>
      </c>
      <c r="J243" t="s">
        <v>3773</v>
      </c>
      <c r="K243" t="s">
        <v>3850</v>
      </c>
      <c r="L243" t="s">
        <v>3827</v>
      </c>
      <c r="M243" t="s">
        <v>3776</v>
      </c>
      <c r="N243" t="s">
        <v>3777</v>
      </c>
      <c r="O243" t="s">
        <v>5510</v>
      </c>
      <c r="P243" t="s">
        <v>5400</v>
      </c>
      <c r="Q243" t="s">
        <v>5202</v>
      </c>
      <c r="R243" t="s">
        <v>4493</v>
      </c>
      <c r="S243" t="s">
        <v>3780</v>
      </c>
      <c r="T243" t="s">
        <v>5511</v>
      </c>
      <c r="U243" t="s">
        <v>5512</v>
      </c>
      <c r="V243" t="s">
        <v>5203</v>
      </c>
      <c r="W243" t="s">
        <v>3782</v>
      </c>
      <c r="X243" t="s">
        <v>3804</v>
      </c>
      <c r="Y243" t="s">
        <v>3805</v>
      </c>
      <c r="Z243" t="s">
        <v>3785</v>
      </c>
      <c r="AA243" t="s">
        <v>3786</v>
      </c>
      <c r="AB243" t="s">
        <v>3787</v>
      </c>
      <c r="AC243" s="1" t="s">
        <v>3788</v>
      </c>
      <c r="AD243" s="6" t="s">
        <v>5872</v>
      </c>
    </row>
    <row r="244" spans="1:30" x14ac:dyDescent="0.25">
      <c r="A244" t="s">
        <v>5842</v>
      </c>
      <c r="B244" t="s">
        <v>4061</v>
      </c>
      <c r="C244" t="s">
        <v>4203</v>
      </c>
      <c r="D244" t="s">
        <v>4204</v>
      </c>
      <c r="E244" t="s">
        <v>3797</v>
      </c>
      <c r="F244" t="s">
        <v>4248</v>
      </c>
      <c r="G244" t="s">
        <v>4494</v>
      </c>
      <c r="H244" t="s">
        <v>4495</v>
      </c>
      <c r="I244" t="s">
        <v>3772</v>
      </c>
      <c r="J244" t="s">
        <v>3773</v>
      </c>
      <c r="K244" t="s">
        <v>3850</v>
      </c>
      <c r="L244" t="s">
        <v>4137</v>
      </c>
      <c r="M244" t="s">
        <v>3776</v>
      </c>
      <c r="N244" t="s">
        <v>3777</v>
      </c>
      <c r="O244" t="s">
        <v>5513</v>
      </c>
      <c r="P244" t="s">
        <v>5514</v>
      </c>
      <c r="Q244" t="s">
        <v>5204</v>
      </c>
      <c r="R244" t="s">
        <v>4496</v>
      </c>
      <c r="S244" t="s">
        <v>3780</v>
      </c>
      <c r="T244" t="s">
        <v>5515</v>
      </c>
      <c r="U244" t="s">
        <v>5516</v>
      </c>
      <c r="V244" t="s">
        <v>5205</v>
      </c>
      <c r="W244" t="s">
        <v>3782</v>
      </c>
      <c r="X244" t="s">
        <v>3804</v>
      </c>
      <c r="Y244" t="s">
        <v>3826</v>
      </c>
      <c r="Z244" t="s">
        <v>3785</v>
      </c>
      <c r="AA244" t="s">
        <v>3786</v>
      </c>
      <c r="AB244" t="s">
        <v>3787</v>
      </c>
      <c r="AC244" s="1" t="s">
        <v>3788</v>
      </c>
      <c r="AD244" s="6" t="s">
        <v>5873</v>
      </c>
    </row>
    <row r="245" spans="1:30" x14ac:dyDescent="0.25">
      <c r="A245" t="s">
        <v>5842</v>
      </c>
      <c r="B245" t="s">
        <v>4061</v>
      </c>
      <c r="C245" t="s">
        <v>4203</v>
      </c>
      <c r="D245" t="s">
        <v>4204</v>
      </c>
      <c r="E245" t="s">
        <v>3797</v>
      </c>
      <c r="F245" t="s">
        <v>4248</v>
      </c>
      <c r="G245" t="s">
        <v>4497</v>
      </c>
      <c r="H245" t="s">
        <v>4498</v>
      </c>
      <c r="I245" t="s">
        <v>3772</v>
      </c>
      <c r="J245" t="s">
        <v>3773</v>
      </c>
      <c r="K245" t="s">
        <v>3850</v>
      </c>
      <c r="L245" t="s">
        <v>3827</v>
      </c>
      <c r="M245" t="s">
        <v>3776</v>
      </c>
      <c r="N245" t="s">
        <v>3777</v>
      </c>
      <c r="O245" t="s">
        <v>5513</v>
      </c>
      <c r="P245" t="s">
        <v>5514</v>
      </c>
      <c r="Q245" t="s">
        <v>5206</v>
      </c>
      <c r="R245" t="s">
        <v>4499</v>
      </c>
      <c r="S245" t="s">
        <v>3780</v>
      </c>
      <c r="T245" t="s">
        <v>5515</v>
      </c>
      <c r="U245" t="s">
        <v>5516</v>
      </c>
      <c r="V245" t="s">
        <v>5207</v>
      </c>
      <c r="W245" t="s">
        <v>3782</v>
      </c>
      <c r="X245" t="s">
        <v>3804</v>
      </c>
      <c r="Y245" t="s">
        <v>3826</v>
      </c>
      <c r="Z245" t="s">
        <v>3785</v>
      </c>
      <c r="AA245" t="s">
        <v>3786</v>
      </c>
      <c r="AB245" t="s">
        <v>3787</v>
      </c>
      <c r="AC245" s="1" t="s">
        <v>3788</v>
      </c>
      <c r="AD245" s="6" t="s">
        <v>5874</v>
      </c>
    </row>
    <row r="246" spans="1:30" x14ac:dyDescent="0.25">
      <c r="A246" t="s">
        <v>5842</v>
      </c>
      <c r="B246" t="s">
        <v>4061</v>
      </c>
      <c r="C246" t="s">
        <v>4500</v>
      </c>
      <c r="D246" t="s">
        <v>4300</v>
      </c>
      <c r="E246" t="s">
        <v>3797</v>
      </c>
      <c r="F246" t="s">
        <v>4212</v>
      </c>
      <c r="G246" t="s">
        <v>4497</v>
      </c>
      <c r="H246" t="s">
        <v>4498</v>
      </c>
      <c r="I246" t="s">
        <v>3772</v>
      </c>
      <c r="J246" t="s">
        <v>3773</v>
      </c>
      <c r="K246" t="s">
        <v>3850</v>
      </c>
      <c r="L246" t="s">
        <v>4137</v>
      </c>
      <c r="M246" t="s">
        <v>3776</v>
      </c>
      <c r="N246" t="s">
        <v>3777</v>
      </c>
      <c r="O246" t="s">
        <v>5517</v>
      </c>
      <c r="P246" t="s">
        <v>5424</v>
      </c>
      <c r="Q246" t="s">
        <v>5208</v>
      </c>
      <c r="R246" t="s">
        <v>4501</v>
      </c>
      <c r="S246" t="s">
        <v>3780</v>
      </c>
      <c r="T246" t="s">
        <v>5518</v>
      </c>
      <c r="U246" t="s">
        <v>5519</v>
      </c>
      <c r="V246" t="s">
        <v>5209</v>
      </c>
      <c r="W246" t="s">
        <v>3782</v>
      </c>
      <c r="X246" t="s">
        <v>3890</v>
      </c>
      <c r="Y246" t="s">
        <v>4218</v>
      </c>
      <c r="Z246" t="s">
        <v>3785</v>
      </c>
      <c r="AA246" t="s">
        <v>3786</v>
      </c>
      <c r="AB246" t="s">
        <v>3787</v>
      </c>
      <c r="AC246" s="1" t="s">
        <v>3788</v>
      </c>
      <c r="AD246" s="6" t="s">
        <v>5875</v>
      </c>
    </row>
    <row r="247" spans="1:30" x14ac:dyDescent="0.25">
      <c r="A247" t="s">
        <v>5842</v>
      </c>
      <c r="B247" t="s">
        <v>4061</v>
      </c>
      <c r="C247" t="s">
        <v>4211</v>
      </c>
      <c r="D247" t="s">
        <v>3868</v>
      </c>
      <c r="E247" t="s">
        <v>3797</v>
      </c>
      <c r="F247" t="s">
        <v>4254</v>
      </c>
      <c r="G247" t="s">
        <v>4502</v>
      </c>
      <c r="H247" t="s">
        <v>4503</v>
      </c>
      <c r="I247" t="s">
        <v>3772</v>
      </c>
      <c r="J247" t="s">
        <v>3773</v>
      </c>
      <c r="K247" t="s">
        <v>3850</v>
      </c>
      <c r="L247" t="s">
        <v>3827</v>
      </c>
      <c r="M247" t="s">
        <v>3776</v>
      </c>
      <c r="N247" t="s">
        <v>3777</v>
      </c>
      <c r="O247" t="s">
        <v>5517</v>
      </c>
      <c r="P247" t="s">
        <v>5424</v>
      </c>
      <c r="Q247" t="s">
        <v>5210</v>
      </c>
      <c r="R247" t="s">
        <v>4504</v>
      </c>
      <c r="S247" t="s">
        <v>3780</v>
      </c>
      <c r="T247" t="s">
        <v>5518</v>
      </c>
      <c r="U247" t="s">
        <v>5519</v>
      </c>
      <c r="V247" t="s">
        <v>5211</v>
      </c>
      <c r="W247" t="s">
        <v>3782</v>
      </c>
      <c r="X247" t="s">
        <v>3890</v>
      </c>
      <c r="Y247" t="s">
        <v>4218</v>
      </c>
      <c r="Z247" t="s">
        <v>3785</v>
      </c>
      <c r="AA247" t="s">
        <v>3786</v>
      </c>
      <c r="AB247" t="s">
        <v>3787</v>
      </c>
      <c r="AC247" s="1" t="s">
        <v>3788</v>
      </c>
      <c r="AD247" s="6" t="s">
        <v>5876</v>
      </c>
    </row>
    <row r="248" spans="1:30" x14ac:dyDescent="0.25">
      <c r="A248" t="s">
        <v>5842</v>
      </c>
      <c r="B248" t="s">
        <v>4061</v>
      </c>
      <c r="C248" t="s">
        <v>4505</v>
      </c>
      <c r="D248" t="s">
        <v>4182</v>
      </c>
      <c r="E248" t="s">
        <v>3797</v>
      </c>
      <c r="F248" t="s">
        <v>4479</v>
      </c>
      <c r="G248" t="s">
        <v>4494</v>
      </c>
      <c r="H248" t="s">
        <v>4495</v>
      </c>
      <c r="I248" t="s">
        <v>3772</v>
      </c>
      <c r="J248" t="s">
        <v>3773</v>
      </c>
      <c r="K248" t="s">
        <v>3850</v>
      </c>
      <c r="L248" t="s">
        <v>3800</v>
      </c>
      <c r="M248" t="s">
        <v>3776</v>
      </c>
      <c r="N248" t="s">
        <v>3777</v>
      </c>
      <c r="O248" t="s">
        <v>5506</v>
      </c>
      <c r="P248" t="s">
        <v>5507</v>
      </c>
      <c r="Q248" t="s">
        <v>5212</v>
      </c>
      <c r="R248" t="s">
        <v>3779</v>
      </c>
      <c r="S248" t="s">
        <v>3780</v>
      </c>
      <c r="T248" t="s">
        <v>5508</v>
      </c>
      <c r="U248" t="s">
        <v>5509</v>
      </c>
      <c r="V248" t="s">
        <v>5213</v>
      </c>
      <c r="W248" t="s">
        <v>3782</v>
      </c>
      <c r="X248" t="s">
        <v>3804</v>
      </c>
      <c r="Y248" t="s">
        <v>4482</v>
      </c>
      <c r="Z248" t="s">
        <v>3785</v>
      </c>
      <c r="AA248" t="s">
        <v>3786</v>
      </c>
      <c r="AB248" t="s">
        <v>3787</v>
      </c>
      <c r="AC248" s="1" t="s">
        <v>3788</v>
      </c>
      <c r="AD248" s="6" t="s">
        <v>5877</v>
      </c>
    </row>
    <row r="249" spans="1:30" x14ac:dyDescent="0.25">
      <c r="A249" t="s">
        <v>5842</v>
      </c>
      <c r="B249" t="s">
        <v>4061</v>
      </c>
      <c r="C249" t="s">
        <v>4478</v>
      </c>
      <c r="D249" t="s">
        <v>4163</v>
      </c>
      <c r="E249" t="s">
        <v>3797</v>
      </c>
      <c r="F249" t="s">
        <v>4468</v>
      </c>
      <c r="G249" t="s">
        <v>4117</v>
      </c>
      <c r="H249" t="s">
        <v>4118</v>
      </c>
      <c r="I249" t="s">
        <v>3772</v>
      </c>
      <c r="J249" t="s">
        <v>3773</v>
      </c>
      <c r="K249" t="s">
        <v>3850</v>
      </c>
      <c r="L249" t="s">
        <v>3800</v>
      </c>
      <c r="M249" t="s">
        <v>3776</v>
      </c>
      <c r="N249" t="s">
        <v>3777</v>
      </c>
      <c r="O249" t="s">
        <v>5506</v>
      </c>
      <c r="P249" t="s">
        <v>5507</v>
      </c>
      <c r="Q249" t="s">
        <v>5212</v>
      </c>
      <c r="R249" t="s">
        <v>4506</v>
      </c>
      <c r="S249" t="s">
        <v>3780</v>
      </c>
      <c r="T249" t="s">
        <v>5508</v>
      </c>
      <c r="U249" t="s">
        <v>5509</v>
      </c>
      <c r="V249" t="s">
        <v>5213</v>
      </c>
      <c r="W249" t="s">
        <v>3782</v>
      </c>
      <c r="X249" t="s">
        <v>3804</v>
      </c>
      <c r="Y249" t="s">
        <v>4482</v>
      </c>
      <c r="Z249" t="s">
        <v>3785</v>
      </c>
      <c r="AA249" t="s">
        <v>3786</v>
      </c>
      <c r="AB249" t="s">
        <v>3787</v>
      </c>
      <c r="AC249" s="1" t="s">
        <v>3788</v>
      </c>
      <c r="AD249" s="6" t="s">
        <v>5878</v>
      </c>
    </row>
    <row r="250" spans="1:30" x14ac:dyDescent="0.25">
      <c r="A250" t="s">
        <v>5842</v>
      </c>
      <c r="B250" t="s">
        <v>4061</v>
      </c>
      <c r="C250" t="s">
        <v>4483</v>
      </c>
      <c r="D250" t="s">
        <v>3814</v>
      </c>
      <c r="E250" t="s">
        <v>3797</v>
      </c>
      <c r="F250" t="s">
        <v>4507</v>
      </c>
      <c r="G250" t="s">
        <v>4117</v>
      </c>
      <c r="H250" t="s">
        <v>4118</v>
      </c>
      <c r="I250" t="s">
        <v>3772</v>
      </c>
      <c r="J250" t="s">
        <v>3773</v>
      </c>
      <c r="K250" t="s">
        <v>3850</v>
      </c>
      <c r="L250" t="s">
        <v>3800</v>
      </c>
      <c r="M250" t="s">
        <v>3776</v>
      </c>
      <c r="N250" t="s">
        <v>3777</v>
      </c>
      <c r="O250" t="s">
        <v>5510</v>
      </c>
      <c r="P250" t="s">
        <v>5400</v>
      </c>
      <c r="Q250" t="s">
        <v>4260</v>
      </c>
      <c r="R250" t="s">
        <v>4508</v>
      </c>
      <c r="S250" t="s">
        <v>3780</v>
      </c>
      <c r="T250" t="s">
        <v>5511</v>
      </c>
      <c r="U250" t="s">
        <v>5512</v>
      </c>
      <c r="V250" t="s">
        <v>5201</v>
      </c>
      <c r="W250" t="s">
        <v>3782</v>
      </c>
      <c r="X250" t="s">
        <v>3804</v>
      </c>
      <c r="Y250" t="s">
        <v>4482</v>
      </c>
      <c r="Z250" t="s">
        <v>3785</v>
      </c>
      <c r="AA250" t="s">
        <v>3786</v>
      </c>
      <c r="AB250" t="s">
        <v>3787</v>
      </c>
      <c r="AC250" s="1" t="s">
        <v>3788</v>
      </c>
      <c r="AD250" s="6" t="s">
        <v>5879</v>
      </c>
    </row>
    <row r="251" spans="1:30" x14ac:dyDescent="0.25">
      <c r="A251" t="s">
        <v>5842</v>
      </c>
      <c r="B251" t="s">
        <v>4061</v>
      </c>
      <c r="C251" t="s">
        <v>4485</v>
      </c>
      <c r="D251" t="s">
        <v>4204</v>
      </c>
      <c r="E251" t="s">
        <v>3797</v>
      </c>
      <c r="F251" t="s">
        <v>4509</v>
      </c>
      <c r="G251" t="s">
        <v>4510</v>
      </c>
      <c r="H251" t="s">
        <v>4511</v>
      </c>
      <c r="I251" t="s">
        <v>3772</v>
      </c>
      <c r="J251" t="s">
        <v>3773</v>
      </c>
      <c r="K251" t="s">
        <v>3850</v>
      </c>
      <c r="L251" t="s">
        <v>3800</v>
      </c>
      <c r="M251" t="s">
        <v>3776</v>
      </c>
      <c r="N251" t="s">
        <v>3777</v>
      </c>
      <c r="O251" t="s">
        <v>5520</v>
      </c>
      <c r="P251" t="s">
        <v>5521</v>
      </c>
      <c r="Q251" t="s">
        <v>5214</v>
      </c>
      <c r="R251" t="s">
        <v>3779</v>
      </c>
      <c r="S251" t="s">
        <v>3780</v>
      </c>
      <c r="T251" t="s">
        <v>5522</v>
      </c>
      <c r="U251" t="s">
        <v>5523</v>
      </c>
      <c r="V251" t="s">
        <v>5215</v>
      </c>
      <c r="W251" t="s">
        <v>3782</v>
      </c>
      <c r="X251" t="s">
        <v>3804</v>
      </c>
      <c r="Y251" t="s">
        <v>3826</v>
      </c>
      <c r="Z251" t="s">
        <v>3785</v>
      </c>
      <c r="AA251" t="s">
        <v>3786</v>
      </c>
      <c r="AB251" t="s">
        <v>3787</v>
      </c>
      <c r="AC251" s="1" t="s">
        <v>3788</v>
      </c>
      <c r="AD251" s="6" t="s">
        <v>5880</v>
      </c>
    </row>
    <row r="252" spans="1:30" x14ac:dyDescent="0.25">
      <c r="A252" t="s">
        <v>5842</v>
      </c>
      <c r="B252" t="s">
        <v>4061</v>
      </c>
      <c r="C252" t="s">
        <v>4211</v>
      </c>
      <c r="D252" t="s">
        <v>3868</v>
      </c>
      <c r="E252" t="s">
        <v>3797</v>
      </c>
      <c r="F252" t="s">
        <v>4436</v>
      </c>
      <c r="G252" t="s">
        <v>4512</v>
      </c>
      <c r="H252" t="s">
        <v>4513</v>
      </c>
      <c r="I252" t="s">
        <v>3772</v>
      </c>
      <c r="J252" t="s">
        <v>3773</v>
      </c>
      <c r="K252" t="s">
        <v>3850</v>
      </c>
      <c r="L252" t="s">
        <v>3800</v>
      </c>
      <c r="M252" t="s">
        <v>3776</v>
      </c>
      <c r="N252" t="s">
        <v>3777</v>
      </c>
      <c r="O252" t="s">
        <v>5517</v>
      </c>
      <c r="P252" t="s">
        <v>5524</v>
      </c>
      <c r="Q252" t="s">
        <v>5216</v>
      </c>
      <c r="R252" t="s">
        <v>4514</v>
      </c>
      <c r="S252" t="s">
        <v>3780</v>
      </c>
      <c r="T252" t="s">
        <v>5518</v>
      </c>
      <c r="U252" t="s">
        <v>5525</v>
      </c>
      <c r="V252" t="s">
        <v>5217</v>
      </c>
      <c r="W252" t="s">
        <v>3782</v>
      </c>
      <c r="X252" t="s">
        <v>4515</v>
      </c>
      <c r="Y252" t="s">
        <v>3891</v>
      </c>
      <c r="Z252" t="s">
        <v>3785</v>
      </c>
      <c r="AA252" t="s">
        <v>3786</v>
      </c>
      <c r="AB252" t="s">
        <v>3787</v>
      </c>
      <c r="AC252" s="1" t="s">
        <v>3788</v>
      </c>
      <c r="AD252" s="6" t="s">
        <v>5881</v>
      </c>
    </row>
    <row r="253" spans="1:30" x14ac:dyDescent="0.25">
      <c r="A253" t="s">
        <v>5842</v>
      </c>
      <c r="B253" t="s">
        <v>4061</v>
      </c>
      <c r="C253" t="s">
        <v>6727</v>
      </c>
      <c r="D253" t="s">
        <v>4516</v>
      </c>
      <c r="E253" t="s">
        <v>3797</v>
      </c>
      <c r="F253" t="s">
        <v>6490</v>
      </c>
      <c r="G253" t="s">
        <v>6728</v>
      </c>
      <c r="H253" t="s">
        <v>6729</v>
      </c>
      <c r="I253" t="s">
        <v>3772</v>
      </c>
      <c r="J253" t="s">
        <v>3773</v>
      </c>
      <c r="K253" t="s">
        <v>3850</v>
      </c>
      <c r="L253" t="s">
        <v>3827</v>
      </c>
      <c r="M253" t="s">
        <v>3776</v>
      </c>
      <c r="N253" t="s">
        <v>3777</v>
      </c>
      <c r="O253" t="s">
        <v>5327</v>
      </c>
      <c r="P253" t="s">
        <v>5328</v>
      </c>
      <c r="Q253" t="s">
        <v>3778</v>
      </c>
      <c r="R253" t="s">
        <v>3779</v>
      </c>
      <c r="S253" t="s">
        <v>4157</v>
      </c>
      <c r="T253" t="s">
        <v>5337</v>
      </c>
      <c r="U253" t="s">
        <v>5338</v>
      </c>
      <c r="V253" t="s">
        <v>3781</v>
      </c>
      <c r="W253" t="s">
        <v>3782</v>
      </c>
      <c r="X253" t="s">
        <v>3783</v>
      </c>
      <c r="Y253" t="s">
        <v>3784</v>
      </c>
      <c r="Z253" t="s">
        <v>5163</v>
      </c>
      <c r="AA253" t="s">
        <v>5148</v>
      </c>
      <c r="AB253" t="s">
        <v>4263</v>
      </c>
      <c r="AC253" s="1" t="s">
        <v>3807</v>
      </c>
      <c r="AD253" s="6" t="s">
        <v>6976</v>
      </c>
    </row>
    <row r="254" spans="1:30" x14ac:dyDescent="0.25">
      <c r="A254" t="s">
        <v>5842</v>
      </c>
      <c r="B254" t="s">
        <v>4061</v>
      </c>
      <c r="C254" t="s">
        <v>6727</v>
      </c>
      <c r="D254" t="s">
        <v>4516</v>
      </c>
      <c r="E254" t="s">
        <v>3797</v>
      </c>
      <c r="F254" t="s">
        <v>6490</v>
      </c>
      <c r="G254" t="s">
        <v>6728</v>
      </c>
      <c r="H254" t="s">
        <v>6730</v>
      </c>
      <c r="I254" t="s">
        <v>3772</v>
      </c>
      <c r="J254" t="s">
        <v>3773</v>
      </c>
      <c r="K254" t="s">
        <v>3850</v>
      </c>
      <c r="L254" t="s">
        <v>3827</v>
      </c>
      <c r="M254" t="s">
        <v>3776</v>
      </c>
      <c r="N254" t="s">
        <v>3777</v>
      </c>
      <c r="O254" t="s">
        <v>5327</v>
      </c>
      <c r="P254" t="s">
        <v>5328</v>
      </c>
      <c r="Q254" t="s">
        <v>3778</v>
      </c>
      <c r="R254" t="s">
        <v>3779</v>
      </c>
      <c r="S254" t="s">
        <v>4157</v>
      </c>
      <c r="T254" t="s">
        <v>5337</v>
      </c>
      <c r="U254" t="s">
        <v>5338</v>
      </c>
      <c r="V254" t="s">
        <v>3781</v>
      </c>
      <c r="W254" t="s">
        <v>3782</v>
      </c>
      <c r="X254" t="s">
        <v>3783</v>
      </c>
      <c r="Y254" t="s">
        <v>3784</v>
      </c>
      <c r="Z254" t="s">
        <v>5163</v>
      </c>
      <c r="AA254" t="s">
        <v>5148</v>
      </c>
      <c r="AB254" t="s">
        <v>4263</v>
      </c>
      <c r="AC254" s="1" t="s">
        <v>3807</v>
      </c>
      <c r="AD254" s="6" t="s">
        <v>6978</v>
      </c>
    </row>
    <row r="255" spans="1:30" x14ac:dyDescent="0.25">
      <c r="A255" t="s">
        <v>5842</v>
      </c>
      <c r="B255" t="s">
        <v>4061</v>
      </c>
      <c r="C255" t="s">
        <v>4203</v>
      </c>
      <c r="D255" t="s">
        <v>3841</v>
      </c>
      <c r="E255" t="s">
        <v>3797</v>
      </c>
      <c r="F255" t="s">
        <v>4248</v>
      </c>
      <c r="G255" t="s">
        <v>6645</v>
      </c>
      <c r="H255" t="s">
        <v>4543</v>
      </c>
      <c r="I255" t="s">
        <v>3772</v>
      </c>
      <c r="J255" t="s">
        <v>3773</v>
      </c>
      <c r="K255" t="s">
        <v>3850</v>
      </c>
      <c r="L255" t="s">
        <v>3827</v>
      </c>
      <c r="M255" t="s">
        <v>3776</v>
      </c>
      <c r="N255" t="s">
        <v>3777</v>
      </c>
      <c r="O255" t="s">
        <v>5327</v>
      </c>
      <c r="P255" t="s">
        <v>5328</v>
      </c>
      <c r="Q255" t="s">
        <v>3778</v>
      </c>
      <c r="R255" t="s">
        <v>3779</v>
      </c>
      <c r="S255" t="s">
        <v>4157</v>
      </c>
      <c r="T255" t="s">
        <v>5337</v>
      </c>
      <c r="U255" t="s">
        <v>5338</v>
      </c>
      <c r="V255" t="s">
        <v>3781</v>
      </c>
      <c r="W255" t="s">
        <v>3782</v>
      </c>
      <c r="X255" t="s">
        <v>3783</v>
      </c>
      <c r="Y255" t="s">
        <v>3784</v>
      </c>
      <c r="Z255" t="s">
        <v>5163</v>
      </c>
      <c r="AA255" t="s">
        <v>5148</v>
      </c>
      <c r="AB255" t="s">
        <v>4263</v>
      </c>
      <c r="AC255" s="1" t="s">
        <v>3807</v>
      </c>
      <c r="AD255" s="6" t="s">
        <v>6980</v>
      </c>
    </row>
    <row r="256" spans="1:30" x14ac:dyDescent="0.25">
      <c r="A256" t="s">
        <v>5842</v>
      </c>
      <c r="B256" t="s">
        <v>4061</v>
      </c>
      <c r="C256" t="s">
        <v>4203</v>
      </c>
      <c r="D256" t="s">
        <v>3841</v>
      </c>
      <c r="E256" t="s">
        <v>3797</v>
      </c>
      <c r="F256" t="s">
        <v>4248</v>
      </c>
      <c r="G256" t="s">
        <v>6693</v>
      </c>
      <c r="H256" t="s">
        <v>4543</v>
      </c>
      <c r="I256" t="s">
        <v>3772</v>
      </c>
      <c r="J256" t="s">
        <v>3773</v>
      </c>
      <c r="K256" t="s">
        <v>3850</v>
      </c>
      <c r="L256" t="s">
        <v>3827</v>
      </c>
      <c r="M256" t="s">
        <v>3776</v>
      </c>
      <c r="N256" t="s">
        <v>3777</v>
      </c>
      <c r="O256" t="s">
        <v>5327</v>
      </c>
      <c r="P256" t="s">
        <v>5328</v>
      </c>
      <c r="Q256" t="s">
        <v>3778</v>
      </c>
      <c r="R256" t="s">
        <v>3779</v>
      </c>
      <c r="S256" t="s">
        <v>4157</v>
      </c>
      <c r="T256" t="s">
        <v>5337</v>
      </c>
      <c r="U256" t="s">
        <v>5338</v>
      </c>
      <c r="V256" t="s">
        <v>3781</v>
      </c>
      <c r="W256" t="s">
        <v>3782</v>
      </c>
      <c r="X256" t="s">
        <v>3783</v>
      </c>
      <c r="Y256" t="s">
        <v>3784</v>
      </c>
      <c r="Z256" t="s">
        <v>5163</v>
      </c>
      <c r="AA256" t="s">
        <v>5148</v>
      </c>
      <c r="AB256" t="s">
        <v>4263</v>
      </c>
      <c r="AC256" s="1" t="s">
        <v>3807</v>
      </c>
      <c r="AD256" s="6" t="s">
        <v>6982</v>
      </c>
    </row>
    <row r="257" spans="1:30" x14ac:dyDescent="0.25">
      <c r="A257" t="s">
        <v>5842</v>
      </c>
      <c r="B257" t="s">
        <v>4061</v>
      </c>
      <c r="C257" t="s">
        <v>6731</v>
      </c>
      <c r="D257" t="s">
        <v>4276</v>
      </c>
      <c r="E257" t="s">
        <v>3797</v>
      </c>
      <c r="F257" t="s">
        <v>6732</v>
      </c>
      <c r="G257" t="s">
        <v>6733</v>
      </c>
      <c r="H257" t="s">
        <v>6734</v>
      </c>
      <c r="I257" t="s">
        <v>3772</v>
      </c>
      <c r="J257" t="s">
        <v>3773</v>
      </c>
      <c r="K257" t="s">
        <v>3850</v>
      </c>
      <c r="L257" t="s">
        <v>3827</v>
      </c>
      <c r="M257" t="s">
        <v>3776</v>
      </c>
      <c r="N257" t="s">
        <v>3777</v>
      </c>
      <c r="O257" t="s">
        <v>5327</v>
      </c>
      <c r="P257" t="s">
        <v>5328</v>
      </c>
      <c r="Q257" t="s">
        <v>3778</v>
      </c>
      <c r="R257" t="s">
        <v>3779</v>
      </c>
      <c r="S257" t="s">
        <v>4157</v>
      </c>
      <c r="T257" t="s">
        <v>5337</v>
      </c>
      <c r="U257" t="s">
        <v>5338</v>
      </c>
      <c r="V257" t="s">
        <v>3781</v>
      </c>
      <c r="W257" t="s">
        <v>3782</v>
      </c>
      <c r="X257" t="s">
        <v>3783</v>
      </c>
      <c r="Y257" t="s">
        <v>3784</v>
      </c>
      <c r="Z257" t="s">
        <v>5164</v>
      </c>
      <c r="AA257" t="s">
        <v>5148</v>
      </c>
      <c r="AB257" t="s">
        <v>4263</v>
      </c>
      <c r="AC257" s="1" t="s">
        <v>3807</v>
      </c>
      <c r="AD257" s="6" t="s">
        <v>6984</v>
      </c>
    </row>
    <row r="258" spans="1:30" x14ac:dyDescent="0.25">
      <c r="A258" t="s">
        <v>5842</v>
      </c>
      <c r="B258" t="s">
        <v>4061</v>
      </c>
      <c r="C258" t="s">
        <v>6731</v>
      </c>
      <c r="D258" t="s">
        <v>4276</v>
      </c>
      <c r="E258" t="s">
        <v>3797</v>
      </c>
      <c r="F258" t="s">
        <v>5120</v>
      </c>
      <c r="G258" t="s">
        <v>6735</v>
      </c>
      <c r="H258" t="s">
        <v>6736</v>
      </c>
      <c r="I258" t="s">
        <v>3772</v>
      </c>
      <c r="J258" t="s">
        <v>3773</v>
      </c>
      <c r="K258" t="s">
        <v>3850</v>
      </c>
      <c r="L258" t="s">
        <v>3827</v>
      </c>
      <c r="M258" t="s">
        <v>3776</v>
      </c>
      <c r="N258" t="s">
        <v>3777</v>
      </c>
      <c r="O258" t="s">
        <v>5327</v>
      </c>
      <c r="P258" t="s">
        <v>5328</v>
      </c>
      <c r="Q258" t="s">
        <v>3778</v>
      </c>
      <c r="R258" t="s">
        <v>3779</v>
      </c>
      <c r="S258" t="s">
        <v>4157</v>
      </c>
      <c r="T258" t="s">
        <v>5337</v>
      </c>
      <c r="U258" t="s">
        <v>5338</v>
      </c>
      <c r="V258" t="s">
        <v>3781</v>
      </c>
      <c r="W258" t="s">
        <v>3782</v>
      </c>
      <c r="X258" t="s">
        <v>3783</v>
      </c>
      <c r="Y258" t="s">
        <v>3784</v>
      </c>
      <c r="Z258" t="s">
        <v>5164</v>
      </c>
      <c r="AA258" t="s">
        <v>5148</v>
      </c>
      <c r="AB258" t="s">
        <v>4263</v>
      </c>
      <c r="AC258" s="1" t="s">
        <v>3807</v>
      </c>
      <c r="AD258" s="6" t="s">
        <v>6986</v>
      </c>
    </row>
    <row r="259" spans="1:30" x14ac:dyDescent="0.25">
      <c r="A259" t="s">
        <v>5842</v>
      </c>
      <c r="B259" t="s">
        <v>4061</v>
      </c>
      <c r="C259" t="s">
        <v>6737</v>
      </c>
      <c r="D259" t="s">
        <v>4517</v>
      </c>
      <c r="E259" t="s">
        <v>3797</v>
      </c>
      <c r="F259" t="s">
        <v>6738</v>
      </c>
      <c r="G259" t="s">
        <v>6739</v>
      </c>
      <c r="H259" t="s">
        <v>3893</v>
      </c>
      <c r="I259" t="s">
        <v>3772</v>
      </c>
      <c r="J259" t="s">
        <v>3773</v>
      </c>
      <c r="K259" t="s">
        <v>3850</v>
      </c>
      <c r="L259" t="s">
        <v>3827</v>
      </c>
      <c r="M259" t="s">
        <v>3776</v>
      </c>
      <c r="N259" t="s">
        <v>3777</v>
      </c>
      <c r="O259" t="s">
        <v>5327</v>
      </c>
      <c r="P259" t="s">
        <v>5328</v>
      </c>
      <c r="Q259" t="s">
        <v>3778</v>
      </c>
      <c r="R259" t="s">
        <v>3779</v>
      </c>
      <c r="S259" t="s">
        <v>4157</v>
      </c>
      <c r="T259" t="s">
        <v>5337</v>
      </c>
      <c r="U259" t="s">
        <v>5338</v>
      </c>
      <c r="V259" t="s">
        <v>3781</v>
      </c>
      <c r="W259" t="s">
        <v>3782</v>
      </c>
      <c r="X259" t="s">
        <v>3783</v>
      </c>
      <c r="Y259" t="s">
        <v>3784</v>
      </c>
      <c r="Z259" t="s">
        <v>5164</v>
      </c>
      <c r="AA259" t="s">
        <v>5148</v>
      </c>
      <c r="AB259" t="s">
        <v>4263</v>
      </c>
      <c r="AC259" s="1" t="s">
        <v>3807</v>
      </c>
      <c r="AD259" s="6" t="s">
        <v>6988</v>
      </c>
    </row>
    <row r="260" spans="1:30" x14ac:dyDescent="0.25">
      <c r="A260" t="s">
        <v>5842</v>
      </c>
      <c r="B260" t="s">
        <v>4061</v>
      </c>
      <c r="C260" t="s">
        <v>6737</v>
      </c>
      <c r="D260" t="s">
        <v>4517</v>
      </c>
      <c r="E260" t="s">
        <v>3797</v>
      </c>
      <c r="F260" t="s">
        <v>4436</v>
      </c>
      <c r="G260" t="s">
        <v>6739</v>
      </c>
      <c r="H260" t="s">
        <v>6740</v>
      </c>
      <c r="I260" t="s">
        <v>3772</v>
      </c>
      <c r="J260" t="s">
        <v>3773</v>
      </c>
      <c r="K260" t="s">
        <v>3850</v>
      </c>
      <c r="L260" t="s">
        <v>3827</v>
      </c>
      <c r="M260" t="s">
        <v>3776</v>
      </c>
      <c r="N260" t="s">
        <v>3777</v>
      </c>
      <c r="O260" t="s">
        <v>5327</v>
      </c>
      <c r="P260" t="s">
        <v>5328</v>
      </c>
      <c r="Q260" t="s">
        <v>3778</v>
      </c>
      <c r="R260" t="s">
        <v>3779</v>
      </c>
      <c r="S260" t="s">
        <v>4157</v>
      </c>
      <c r="T260" t="s">
        <v>5337</v>
      </c>
      <c r="U260" t="s">
        <v>5338</v>
      </c>
      <c r="V260" t="s">
        <v>3781</v>
      </c>
      <c r="W260" t="s">
        <v>3782</v>
      </c>
      <c r="X260" t="s">
        <v>3783</v>
      </c>
      <c r="Y260" t="s">
        <v>3784</v>
      </c>
      <c r="Z260" t="s">
        <v>5164</v>
      </c>
      <c r="AA260" t="s">
        <v>5148</v>
      </c>
      <c r="AB260" t="s">
        <v>4263</v>
      </c>
      <c r="AC260" s="1" t="s">
        <v>3807</v>
      </c>
      <c r="AD260" s="6" t="s">
        <v>6990</v>
      </c>
    </row>
    <row r="261" spans="1:30" x14ac:dyDescent="0.25">
      <c r="A261" t="s">
        <v>5842</v>
      </c>
      <c r="B261" t="s">
        <v>4061</v>
      </c>
      <c r="C261" t="s">
        <v>4219</v>
      </c>
      <c r="D261" t="s">
        <v>4220</v>
      </c>
      <c r="E261" t="s">
        <v>3797</v>
      </c>
      <c r="F261" t="s">
        <v>6741</v>
      </c>
      <c r="G261" t="s">
        <v>4133</v>
      </c>
      <c r="H261" t="s">
        <v>4144</v>
      </c>
      <c r="I261" t="s">
        <v>3772</v>
      </c>
      <c r="J261" t="s">
        <v>3773</v>
      </c>
      <c r="K261" t="s">
        <v>3850</v>
      </c>
      <c r="L261" t="s">
        <v>3827</v>
      </c>
      <c r="M261" t="s">
        <v>3776</v>
      </c>
      <c r="N261" t="s">
        <v>3777</v>
      </c>
      <c r="O261" t="s">
        <v>5327</v>
      </c>
      <c r="P261" s="15" t="s">
        <v>5328</v>
      </c>
      <c r="Q261" t="s">
        <v>3778</v>
      </c>
      <c r="R261" t="s">
        <v>3779</v>
      </c>
      <c r="S261" t="s">
        <v>4157</v>
      </c>
      <c r="T261" t="s">
        <v>5337</v>
      </c>
      <c r="U261" t="s">
        <v>5338</v>
      </c>
      <c r="V261" t="s">
        <v>3781</v>
      </c>
      <c r="W261" t="s">
        <v>3782</v>
      </c>
      <c r="X261" t="s">
        <v>3783</v>
      </c>
      <c r="Y261" t="s">
        <v>3784</v>
      </c>
      <c r="Z261" t="s">
        <v>5160</v>
      </c>
      <c r="AA261" t="s">
        <v>5148</v>
      </c>
      <c r="AB261" t="s">
        <v>4263</v>
      </c>
      <c r="AC261" s="1" t="s">
        <v>3807</v>
      </c>
      <c r="AD261" s="6" t="s">
        <v>6992</v>
      </c>
    </row>
    <row r="262" spans="1:30" x14ac:dyDescent="0.25">
      <c r="A262" t="s">
        <v>5842</v>
      </c>
      <c r="B262" t="s">
        <v>4061</v>
      </c>
      <c r="C262" t="s">
        <v>4659</v>
      </c>
      <c r="D262" t="s">
        <v>4004</v>
      </c>
      <c r="E262" t="s">
        <v>3797</v>
      </c>
      <c r="F262" t="s">
        <v>6742</v>
      </c>
      <c r="G262" t="s">
        <v>6743</v>
      </c>
      <c r="H262" t="s">
        <v>6744</v>
      </c>
      <c r="I262" t="s">
        <v>3772</v>
      </c>
      <c r="J262" t="s">
        <v>3773</v>
      </c>
      <c r="K262" t="s">
        <v>3850</v>
      </c>
      <c r="L262" t="s">
        <v>3827</v>
      </c>
      <c r="M262" t="s">
        <v>3776</v>
      </c>
      <c r="N262" t="s">
        <v>3777</v>
      </c>
      <c r="O262" t="s">
        <v>5327</v>
      </c>
      <c r="P262" s="15" t="s">
        <v>5328</v>
      </c>
      <c r="Q262" t="s">
        <v>3778</v>
      </c>
      <c r="R262" t="s">
        <v>3779</v>
      </c>
      <c r="S262" t="s">
        <v>4157</v>
      </c>
      <c r="T262" t="s">
        <v>5337</v>
      </c>
      <c r="U262" t="s">
        <v>5338</v>
      </c>
      <c r="V262" t="s">
        <v>3781</v>
      </c>
      <c r="W262" t="s">
        <v>3782</v>
      </c>
      <c r="X262" t="s">
        <v>3783</v>
      </c>
      <c r="Y262" t="s">
        <v>3784</v>
      </c>
      <c r="Z262" t="s">
        <v>5160</v>
      </c>
      <c r="AA262" t="s">
        <v>5148</v>
      </c>
      <c r="AB262" t="s">
        <v>4263</v>
      </c>
      <c r="AC262" s="1" t="s">
        <v>3807</v>
      </c>
      <c r="AD262" s="6" t="s">
        <v>6994</v>
      </c>
    </row>
    <row r="263" spans="1:30" x14ac:dyDescent="0.25">
      <c r="A263" t="s">
        <v>5842</v>
      </c>
      <c r="B263" t="s">
        <v>4061</v>
      </c>
      <c r="C263" t="s">
        <v>6745</v>
      </c>
      <c r="D263" t="s">
        <v>3902</v>
      </c>
      <c r="E263" t="s">
        <v>3797</v>
      </c>
      <c r="F263" t="s">
        <v>6746</v>
      </c>
      <c r="G263" t="s">
        <v>6747</v>
      </c>
      <c r="H263" t="s">
        <v>5004</v>
      </c>
      <c r="I263" t="s">
        <v>3772</v>
      </c>
      <c r="J263" t="s">
        <v>3773</v>
      </c>
      <c r="K263" t="s">
        <v>3850</v>
      </c>
      <c r="L263" t="s">
        <v>3827</v>
      </c>
      <c r="M263" t="s">
        <v>3776</v>
      </c>
      <c r="N263" t="s">
        <v>3777</v>
      </c>
      <c r="O263" t="s">
        <v>5327</v>
      </c>
      <c r="P263" t="s">
        <v>5328</v>
      </c>
      <c r="Q263" t="s">
        <v>3778</v>
      </c>
      <c r="R263" t="s">
        <v>3779</v>
      </c>
      <c r="S263" t="s">
        <v>4157</v>
      </c>
      <c r="T263" t="s">
        <v>5337</v>
      </c>
      <c r="U263" t="s">
        <v>5338</v>
      </c>
      <c r="V263" t="s">
        <v>3781</v>
      </c>
      <c r="W263" t="s">
        <v>3782</v>
      </c>
      <c r="X263" t="s">
        <v>3783</v>
      </c>
      <c r="Y263" t="s">
        <v>3784</v>
      </c>
      <c r="Z263" t="s">
        <v>5160</v>
      </c>
      <c r="AA263" t="s">
        <v>5148</v>
      </c>
      <c r="AB263" t="s">
        <v>4263</v>
      </c>
      <c r="AC263" s="1" t="s">
        <v>3807</v>
      </c>
      <c r="AD263" s="6" t="s">
        <v>6996</v>
      </c>
    </row>
    <row r="264" spans="1:30" x14ac:dyDescent="0.25">
      <c r="A264" t="s">
        <v>5882</v>
      </c>
      <c r="B264" t="s">
        <v>3766</v>
      </c>
      <c r="C264" t="s">
        <v>4235</v>
      </c>
      <c r="D264" t="s">
        <v>4236</v>
      </c>
      <c r="E264" t="s">
        <v>4172</v>
      </c>
      <c r="F264" t="s">
        <v>4518</v>
      </c>
      <c r="G264" t="s">
        <v>4519</v>
      </c>
      <c r="H264" t="s">
        <v>4520</v>
      </c>
      <c r="I264" t="s">
        <v>3772</v>
      </c>
      <c r="J264" t="s">
        <v>3773</v>
      </c>
      <c r="K264" t="s">
        <v>3850</v>
      </c>
      <c r="L264" t="s">
        <v>3800</v>
      </c>
      <c r="M264" t="s">
        <v>3776</v>
      </c>
      <c r="N264" t="s">
        <v>3777</v>
      </c>
      <c r="O264" t="s">
        <v>5526</v>
      </c>
      <c r="P264" t="s">
        <v>5527</v>
      </c>
      <c r="Q264" t="s">
        <v>4521</v>
      </c>
      <c r="R264" t="s">
        <v>4522</v>
      </c>
      <c r="S264" t="s">
        <v>4157</v>
      </c>
      <c r="T264" t="s">
        <v>5528</v>
      </c>
      <c r="U264" t="s">
        <v>5529</v>
      </c>
      <c r="V264" t="s">
        <v>3852</v>
      </c>
      <c r="W264" t="s">
        <v>3782</v>
      </c>
      <c r="X264" t="s">
        <v>3804</v>
      </c>
      <c r="Y264" t="s">
        <v>3805</v>
      </c>
      <c r="Z264" t="s">
        <v>5153</v>
      </c>
      <c r="AA264" t="s">
        <v>5165</v>
      </c>
      <c r="AB264" t="s">
        <v>4523</v>
      </c>
      <c r="AC264" s="1" t="s">
        <v>4180</v>
      </c>
      <c r="AD264" s="6" t="s">
        <v>5883</v>
      </c>
    </row>
    <row r="265" spans="1:30" x14ac:dyDescent="0.25">
      <c r="A265" t="s">
        <v>5882</v>
      </c>
      <c r="B265" t="s">
        <v>3766</v>
      </c>
      <c r="C265" t="s">
        <v>4170</v>
      </c>
      <c r="D265" t="s">
        <v>4171</v>
      </c>
      <c r="E265" t="s">
        <v>4172</v>
      </c>
      <c r="F265" t="s">
        <v>4518</v>
      </c>
      <c r="G265" t="s">
        <v>4174</v>
      </c>
      <c r="H265" t="s">
        <v>4524</v>
      </c>
      <c r="I265" t="s">
        <v>3772</v>
      </c>
      <c r="J265" t="s">
        <v>3773</v>
      </c>
      <c r="K265" t="s">
        <v>3850</v>
      </c>
      <c r="L265" t="s">
        <v>3800</v>
      </c>
      <c r="M265" t="s">
        <v>3776</v>
      </c>
      <c r="N265" t="s">
        <v>3777</v>
      </c>
      <c r="O265" t="s">
        <v>5530</v>
      </c>
      <c r="P265" t="s">
        <v>5531</v>
      </c>
      <c r="Q265" t="s">
        <v>4160</v>
      </c>
      <c r="R265" t="s">
        <v>4525</v>
      </c>
      <c r="S265" t="s">
        <v>4157</v>
      </c>
      <c r="T265" t="s">
        <v>5532</v>
      </c>
      <c r="U265" t="s">
        <v>5533</v>
      </c>
      <c r="V265" t="s">
        <v>4526</v>
      </c>
      <c r="W265" t="s">
        <v>3782</v>
      </c>
      <c r="X265" t="s">
        <v>3804</v>
      </c>
      <c r="Y265" t="s">
        <v>3805</v>
      </c>
      <c r="Z265" t="s">
        <v>5153</v>
      </c>
      <c r="AA265" t="s">
        <v>5165</v>
      </c>
      <c r="AB265" t="s">
        <v>4523</v>
      </c>
      <c r="AC265" s="1" t="s">
        <v>4180</v>
      </c>
      <c r="AD265" s="6" t="s">
        <v>5884</v>
      </c>
    </row>
    <row r="266" spans="1:30" x14ac:dyDescent="0.25">
      <c r="A266" t="s">
        <v>5882</v>
      </c>
      <c r="B266" t="s">
        <v>3766</v>
      </c>
      <c r="C266" t="s">
        <v>4189</v>
      </c>
      <c r="D266" t="s">
        <v>4163</v>
      </c>
      <c r="E266" t="s">
        <v>4172</v>
      </c>
      <c r="F266" t="s">
        <v>4527</v>
      </c>
      <c r="G266" t="s">
        <v>4528</v>
      </c>
      <c r="H266" t="s">
        <v>4529</v>
      </c>
      <c r="I266" t="s">
        <v>3772</v>
      </c>
      <c r="J266" t="s">
        <v>3773</v>
      </c>
      <c r="K266" t="s">
        <v>3850</v>
      </c>
      <c r="L266" t="s">
        <v>3800</v>
      </c>
      <c r="M266" t="s">
        <v>3776</v>
      </c>
      <c r="N266" t="s">
        <v>3777</v>
      </c>
      <c r="O266" t="s">
        <v>5526</v>
      </c>
      <c r="P266" t="s">
        <v>5527</v>
      </c>
      <c r="Q266" t="s">
        <v>4521</v>
      </c>
      <c r="R266" t="s">
        <v>4530</v>
      </c>
      <c r="S266" t="s">
        <v>4531</v>
      </c>
      <c r="T266" t="s">
        <v>5528</v>
      </c>
      <c r="U266" t="s">
        <v>5529</v>
      </c>
      <c r="V266" t="s">
        <v>3855</v>
      </c>
      <c r="W266" t="s">
        <v>3782</v>
      </c>
      <c r="X266" t="s">
        <v>3804</v>
      </c>
      <c r="Y266" t="s">
        <v>3805</v>
      </c>
      <c r="Z266" t="s">
        <v>5153</v>
      </c>
      <c r="AA266" t="s">
        <v>5165</v>
      </c>
      <c r="AB266" t="s">
        <v>4523</v>
      </c>
      <c r="AC266" s="1" t="s">
        <v>4180</v>
      </c>
      <c r="AD266" s="6" t="s">
        <v>5885</v>
      </c>
    </row>
    <row r="267" spans="1:30" x14ac:dyDescent="0.25">
      <c r="A267" t="s">
        <v>5882</v>
      </c>
      <c r="B267" t="s">
        <v>3766</v>
      </c>
      <c r="C267" t="s">
        <v>4189</v>
      </c>
      <c r="D267" t="s">
        <v>4163</v>
      </c>
      <c r="E267" t="s">
        <v>4172</v>
      </c>
      <c r="F267" t="s">
        <v>4532</v>
      </c>
      <c r="G267" t="s">
        <v>4533</v>
      </c>
      <c r="H267" t="s">
        <v>4534</v>
      </c>
      <c r="I267" t="s">
        <v>3772</v>
      </c>
      <c r="J267" t="s">
        <v>3773</v>
      </c>
      <c r="K267" t="s">
        <v>3850</v>
      </c>
      <c r="L267" t="s">
        <v>3800</v>
      </c>
      <c r="M267" t="s">
        <v>3776</v>
      </c>
      <c r="N267" t="s">
        <v>3777</v>
      </c>
      <c r="O267" t="s">
        <v>5530</v>
      </c>
      <c r="P267" s="15" t="s">
        <v>5531</v>
      </c>
      <c r="Q267" t="s">
        <v>4160</v>
      </c>
      <c r="R267" t="s">
        <v>4525</v>
      </c>
      <c r="S267" t="s">
        <v>4157</v>
      </c>
      <c r="T267" t="s">
        <v>5532</v>
      </c>
      <c r="U267" t="s">
        <v>5533</v>
      </c>
      <c r="V267" t="s">
        <v>3852</v>
      </c>
      <c r="W267" t="s">
        <v>3782</v>
      </c>
      <c r="X267" t="s">
        <v>3804</v>
      </c>
      <c r="Y267" t="s">
        <v>3805</v>
      </c>
      <c r="Z267" t="s">
        <v>5153</v>
      </c>
      <c r="AA267" t="s">
        <v>5165</v>
      </c>
      <c r="AB267" t="s">
        <v>4523</v>
      </c>
      <c r="AC267" s="1" t="s">
        <v>4180</v>
      </c>
      <c r="AD267" s="6" t="s">
        <v>5886</v>
      </c>
    </row>
    <row r="268" spans="1:30" x14ac:dyDescent="0.25">
      <c r="A268" t="s">
        <v>5882</v>
      </c>
      <c r="B268" t="s">
        <v>3766</v>
      </c>
      <c r="C268" t="s">
        <v>4196</v>
      </c>
      <c r="D268" t="s">
        <v>3814</v>
      </c>
      <c r="E268" t="s">
        <v>4172</v>
      </c>
      <c r="F268" t="s">
        <v>4535</v>
      </c>
      <c r="G268" t="s">
        <v>4536</v>
      </c>
      <c r="H268" t="s">
        <v>3817</v>
      </c>
      <c r="I268" t="s">
        <v>3772</v>
      </c>
      <c r="J268" t="s">
        <v>3773</v>
      </c>
      <c r="K268" t="s">
        <v>3850</v>
      </c>
      <c r="L268" t="s">
        <v>3800</v>
      </c>
      <c r="M268" t="s">
        <v>3776</v>
      </c>
      <c r="N268" t="s">
        <v>3777</v>
      </c>
      <c r="O268" t="s">
        <v>5530</v>
      </c>
      <c r="P268" s="15" t="s">
        <v>5534</v>
      </c>
      <c r="Q268" t="s">
        <v>4537</v>
      </c>
      <c r="R268" t="s">
        <v>4538</v>
      </c>
      <c r="S268" t="s">
        <v>4157</v>
      </c>
      <c r="T268" t="s">
        <v>5528</v>
      </c>
      <c r="U268" t="s">
        <v>5529</v>
      </c>
      <c r="V268" t="s">
        <v>4539</v>
      </c>
      <c r="W268" t="s">
        <v>3782</v>
      </c>
      <c r="X268" t="s">
        <v>3804</v>
      </c>
      <c r="Y268" t="s">
        <v>3805</v>
      </c>
      <c r="Z268" t="s">
        <v>5153</v>
      </c>
      <c r="AA268" t="s">
        <v>5165</v>
      </c>
      <c r="AB268" t="s">
        <v>4523</v>
      </c>
      <c r="AC268" s="1" t="s">
        <v>4180</v>
      </c>
      <c r="AD268" s="6" t="s">
        <v>5887</v>
      </c>
    </row>
    <row r="269" spans="1:30" x14ac:dyDescent="0.25">
      <c r="A269" t="s">
        <v>5882</v>
      </c>
      <c r="B269" t="s">
        <v>3766</v>
      </c>
      <c r="C269" t="s">
        <v>4196</v>
      </c>
      <c r="D269" t="s">
        <v>3814</v>
      </c>
      <c r="E269" t="s">
        <v>4172</v>
      </c>
      <c r="F269" t="s">
        <v>4242</v>
      </c>
      <c r="G269" t="s">
        <v>4243</v>
      </c>
      <c r="H269" t="s">
        <v>4540</v>
      </c>
      <c r="I269" t="s">
        <v>3772</v>
      </c>
      <c r="J269" t="s">
        <v>3773</v>
      </c>
      <c r="K269" t="s">
        <v>3850</v>
      </c>
      <c r="L269" t="s">
        <v>3800</v>
      </c>
      <c r="M269" t="s">
        <v>3776</v>
      </c>
      <c r="N269" t="s">
        <v>3777</v>
      </c>
      <c r="O269" t="s">
        <v>5530</v>
      </c>
      <c r="P269" s="15" t="s">
        <v>5531</v>
      </c>
      <c r="Q269" t="s">
        <v>4541</v>
      </c>
      <c r="R269" t="s">
        <v>4525</v>
      </c>
      <c r="S269" t="s">
        <v>4157</v>
      </c>
      <c r="T269" t="s">
        <v>5528</v>
      </c>
      <c r="U269" t="s">
        <v>5529</v>
      </c>
      <c r="V269" t="s">
        <v>3855</v>
      </c>
      <c r="W269" t="s">
        <v>3782</v>
      </c>
      <c r="X269" t="s">
        <v>3804</v>
      </c>
      <c r="Y269" t="s">
        <v>3805</v>
      </c>
      <c r="Z269" t="s">
        <v>5153</v>
      </c>
      <c r="AA269" t="s">
        <v>5165</v>
      </c>
      <c r="AB269" t="s">
        <v>4523</v>
      </c>
      <c r="AC269" s="1" t="s">
        <v>4180</v>
      </c>
      <c r="AD269" s="6" t="s">
        <v>5888</v>
      </c>
    </row>
    <row r="270" spans="1:30" x14ac:dyDescent="0.25">
      <c r="A270" t="s">
        <v>5882</v>
      </c>
      <c r="B270" t="s">
        <v>3766</v>
      </c>
      <c r="C270" t="s">
        <v>4203</v>
      </c>
      <c r="D270" t="s">
        <v>4204</v>
      </c>
      <c r="E270" t="s">
        <v>4172</v>
      </c>
      <c r="F270" t="s">
        <v>4205</v>
      </c>
      <c r="G270" t="s">
        <v>4542</v>
      </c>
      <c r="H270" t="s">
        <v>4543</v>
      </c>
      <c r="I270" t="s">
        <v>3772</v>
      </c>
      <c r="J270" t="s">
        <v>3773</v>
      </c>
      <c r="K270" t="s">
        <v>3850</v>
      </c>
      <c r="L270" t="s">
        <v>3800</v>
      </c>
      <c r="M270" t="s">
        <v>3776</v>
      </c>
      <c r="N270" t="s">
        <v>3777</v>
      </c>
      <c r="O270" t="s">
        <v>5535</v>
      </c>
      <c r="P270" s="15" t="s">
        <v>5536</v>
      </c>
      <c r="Q270" t="s">
        <v>3856</v>
      </c>
      <c r="R270" t="s">
        <v>4544</v>
      </c>
      <c r="S270" t="s">
        <v>4545</v>
      </c>
      <c r="T270" t="s">
        <v>5537</v>
      </c>
      <c r="U270" t="s">
        <v>5538</v>
      </c>
      <c r="V270" t="s">
        <v>3849</v>
      </c>
      <c r="W270" t="s">
        <v>3782</v>
      </c>
      <c r="X270" t="s">
        <v>3804</v>
      </c>
      <c r="Y270" t="s">
        <v>3826</v>
      </c>
      <c r="Z270" t="s">
        <v>5153</v>
      </c>
      <c r="AA270" t="s">
        <v>5165</v>
      </c>
      <c r="AB270" t="s">
        <v>4523</v>
      </c>
      <c r="AC270" s="1" t="s">
        <v>4180</v>
      </c>
      <c r="AD270" s="6" t="s">
        <v>5889</v>
      </c>
    </row>
    <row r="271" spans="1:30" x14ac:dyDescent="0.25">
      <c r="A271" t="s">
        <v>5882</v>
      </c>
      <c r="B271" t="s">
        <v>3766</v>
      </c>
      <c r="C271" t="s">
        <v>4203</v>
      </c>
      <c r="D271" t="s">
        <v>4204</v>
      </c>
      <c r="E271" t="s">
        <v>4172</v>
      </c>
      <c r="F271" t="s">
        <v>4205</v>
      </c>
      <c r="G271" t="s">
        <v>4546</v>
      </c>
      <c r="H271" t="s">
        <v>4543</v>
      </c>
      <c r="I271" t="s">
        <v>3772</v>
      </c>
      <c r="J271" t="s">
        <v>3773</v>
      </c>
      <c r="K271" t="s">
        <v>3850</v>
      </c>
      <c r="L271" t="s">
        <v>3800</v>
      </c>
      <c r="M271" t="s">
        <v>3776</v>
      </c>
      <c r="N271" t="s">
        <v>3777</v>
      </c>
      <c r="O271" t="s">
        <v>5535</v>
      </c>
      <c r="P271" t="s">
        <v>5536</v>
      </c>
      <c r="Q271" t="s">
        <v>4547</v>
      </c>
      <c r="R271" t="s">
        <v>4548</v>
      </c>
      <c r="S271" t="s">
        <v>4545</v>
      </c>
      <c r="T271" t="s">
        <v>5537</v>
      </c>
      <c r="U271" t="s">
        <v>5538</v>
      </c>
      <c r="V271" t="s">
        <v>4549</v>
      </c>
      <c r="W271" t="s">
        <v>3782</v>
      </c>
      <c r="X271" t="s">
        <v>3804</v>
      </c>
      <c r="Y271" t="s">
        <v>3826</v>
      </c>
      <c r="Z271" t="s">
        <v>5153</v>
      </c>
      <c r="AA271" t="s">
        <v>5165</v>
      </c>
      <c r="AB271" t="s">
        <v>4523</v>
      </c>
      <c r="AC271" s="1" t="s">
        <v>4180</v>
      </c>
      <c r="AD271" s="6" t="s">
        <v>5890</v>
      </c>
    </row>
    <row r="272" spans="1:30" x14ac:dyDescent="0.25">
      <c r="A272" t="s">
        <v>5882</v>
      </c>
      <c r="B272" t="s">
        <v>3766</v>
      </c>
      <c r="C272" t="s">
        <v>4211</v>
      </c>
      <c r="D272" t="s">
        <v>3868</v>
      </c>
      <c r="E272" t="s">
        <v>4172</v>
      </c>
      <c r="F272" t="s">
        <v>4550</v>
      </c>
      <c r="G272" t="s">
        <v>4551</v>
      </c>
      <c r="H272" t="s">
        <v>4552</v>
      </c>
      <c r="I272" t="s">
        <v>3772</v>
      </c>
      <c r="J272" t="s">
        <v>3773</v>
      </c>
      <c r="K272" t="s">
        <v>3850</v>
      </c>
      <c r="L272" t="s">
        <v>3800</v>
      </c>
      <c r="M272" t="s">
        <v>3776</v>
      </c>
      <c r="N272" t="s">
        <v>3777</v>
      </c>
      <c r="O272" t="s">
        <v>5539</v>
      </c>
      <c r="P272" s="15" t="s">
        <v>5540</v>
      </c>
      <c r="Q272" t="s">
        <v>4553</v>
      </c>
      <c r="R272" t="s">
        <v>4554</v>
      </c>
      <c r="S272" t="s">
        <v>4157</v>
      </c>
      <c r="T272" t="s">
        <v>5541</v>
      </c>
      <c r="U272" t="s">
        <v>5542</v>
      </c>
      <c r="V272" t="s">
        <v>4555</v>
      </c>
      <c r="W272" t="s">
        <v>3782</v>
      </c>
      <c r="X272" t="s">
        <v>3804</v>
      </c>
      <c r="Y272" t="s">
        <v>3891</v>
      </c>
      <c r="Z272" t="s">
        <v>5153</v>
      </c>
      <c r="AA272" t="s">
        <v>5165</v>
      </c>
      <c r="AB272" t="s">
        <v>4523</v>
      </c>
      <c r="AC272" s="1" t="s">
        <v>4180</v>
      </c>
      <c r="AD272" s="6" t="s">
        <v>5891</v>
      </c>
    </row>
    <row r="273" spans="1:30" x14ac:dyDescent="0.25">
      <c r="A273" t="s">
        <v>5882</v>
      </c>
      <c r="B273" t="s">
        <v>3766</v>
      </c>
      <c r="C273" t="s">
        <v>4211</v>
      </c>
      <c r="D273" t="s">
        <v>3868</v>
      </c>
      <c r="E273" t="s">
        <v>4172</v>
      </c>
      <c r="F273" t="s">
        <v>4550</v>
      </c>
      <c r="G273" t="s">
        <v>3914</v>
      </c>
      <c r="H273" t="s">
        <v>4556</v>
      </c>
      <c r="I273" t="s">
        <v>3772</v>
      </c>
      <c r="J273" t="s">
        <v>3773</v>
      </c>
      <c r="K273" t="s">
        <v>3850</v>
      </c>
      <c r="L273" t="s">
        <v>3800</v>
      </c>
      <c r="M273" t="s">
        <v>3776</v>
      </c>
      <c r="N273" t="s">
        <v>3777</v>
      </c>
      <c r="O273" t="s">
        <v>5539</v>
      </c>
      <c r="P273" s="15" t="s">
        <v>5540</v>
      </c>
      <c r="Q273" t="s">
        <v>4553</v>
      </c>
      <c r="R273" t="s">
        <v>4557</v>
      </c>
      <c r="S273" t="s">
        <v>4545</v>
      </c>
      <c r="T273" t="s">
        <v>5543</v>
      </c>
      <c r="U273" t="s">
        <v>5544</v>
      </c>
      <c r="V273" t="s">
        <v>4558</v>
      </c>
      <c r="W273" t="s">
        <v>3782</v>
      </c>
      <c r="X273" t="s">
        <v>3804</v>
      </c>
      <c r="Y273" t="s">
        <v>3891</v>
      </c>
      <c r="Z273" t="s">
        <v>5153</v>
      </c>
      <c r="AA273" t="s">
        <v>5165</v>
      </c>
      <c r="AB273" t="s">
        <v>4523</v>
      </c>
      <c r="AC273" s="1" t="s">
        <v>4180</v>
      </c>
      <c r="AD273" s="6" t="s">
        <v>5892</v>
      </c>
    </row>
    <row r="274" spans="1:30" x14ac:dyDescent="0.25">
      <c r="A274" t="s">
        <v>5882</v>
      </c>
      <c r="B274" t="s">
        <v>3766</v>
      </c>
      <c r="C274" t="s">
        <v>4219</v>
      </c>
      <c r="D274" t="s">
        <v>4220</v>
      </c>
      <c r="E274" t="s">
        <v>4172</v>
      </c>
      <c r="F274" t="s">
        <v>4559</v>
      </c>
      <c r="G274" t="s">
        <v>4560</v>
      </c>
      <c r="H274" t="s">
        <v>4561</v>
      </c>
      <c r="I274" t="s">
        <v>3772</v>
      </c>
      <c r="J274" t="s">
        <v>3773</v>
      </c>
      <c r="K274" t="s">
        <v>3850</v>
      </c>
      <c r="L274" t="s">
        <v>3800</v>
      </c>
      <c r="M274" t="s">
        <v>3776</v>
      </c>
      <c r="N274" t="s">
        <v>3777</v>
      </c>
      <c r="O274" t="s">
        <v>5545</v>
      </c>
      <c r="P274" t="s">
        <v>5546</v>
      </c>
      <c r="Q274" t="s">
        <v>4377</v>
      </c>
      <c r="R274" t="s">
        <v>4562</v>
      </c>
      <c r="S274" t="s">
        <v>4545</v>
      </c>
      <c r="T274" t="s">
        <v>5547</v>
      </c>
      <c r="U274" t="s">
        <v>5548</v>
      </c>
      <c r="V274" t="s">
        <v>4563</v>
      </c>
      <c r="W274" t="s">
        <v>3782</v>
      </c>
      <c r="X274" t="s">
        <v>3890</v>
      </c>
      <c r="Y274" t="s">
        <v>3891</v>
      </c>
      <c r="Z274" t="s">
        <v>5153</v>
      </c>
      <c r="AA274" t="s">
        <v>5165</v>
      </c>
      <c r="AB274" t="s">
        <v>4523</v>
      </c>
      <c r="AC274" s="1" t="s">
        <v>4180</v>
      </c>
      <c r="AD274" s="6" t="s">
        <v>5893</v>
      </c>
    </row>
    <row r="275" spans="1:30" x14ac:dyDescent="0.25">
      <c r="A275" t="s">
        <v>5882</v>
      </c>
      <c r="B275" t="s">
        <v>3766</v>
      </c>
      <c r="C275" t="s">
        <v>6748</v>
      </c>
      <c r="D275" t="s">
        <v>4163</v>
      </c>
      <c r="E275" t="s">
        <v>3797</v>
      </c>
      <c r="F275" t="s">
        <v>6749</v>
      </c>
      <c r="G275" t="s">
        <v>6750</v>
      </c>
      <c r="H275" t="s">
        <v>6751</v>
      </c>
      <c r="I275" t="s">
        <v>3772</v>
      </c>
      <c r="J275" t="s">
        <v>3773</v>
      </c>
      <c r="K275" t="s">
        <v>3850</v>
      </c>
      <c r="L275" t="s">
        <v>3827</v>
      </c>
      <c r="M275" t="s">
        <v>3776</v>
      </c>
      <c r="N275" t="s">
        <v>3777</v>
      </c>
      <c r="O275" t="s">
        <v>5526</v>
      </c>
      <c r="P275" t="s">
        <v>5549</v>
      </c>
      <c r="Q275" t="s">
        <v>4564</v>
      </c>
      <c r="R275" t="s">
        <v>4565</v>
      </c>
      <c r="S275" t="s">
        <v>4157</v>
      </c>
      <c r="T275" t="s">
        <v>5528</v>
      </c>
      <c r="U275" t="s">
        <v>5529</v>
      </c>
      <c r="V275" t="s">
        <v>3852</v>
      </c>
      <c r="W275" t="s">
        <v>3782</v>
      </c>
      <c r="X275" t="s">
        <v>3804</v>
      </c>
      <c r="Y275" t="s">
        <v>3805</v>
      </c>
      <c r="Z275" t="s">
        <v>5153</v>
      </c>
      <c r="AA275" t="s">
        <v>5165</v>
      </c>
      <c r="AB275" t="s">
        <v>3787</v>
      </c>
      <c r="AC275" s="1" t="s">
        <v>4566</v>
      </c>
      <c r="AD275" s="6" t="s">
        <v>6752</v>
      </c>
    </row>
    <row r="276" spans="1:30" x14ac:dyDescent="0.25">
      <c r="A276" t="s">
        <v>5882</v>
      </c>
      <c r="B276" t="s">
        <v>3766</v>
      </c>
      <c r="C276" t="s">
        <v>6748</v>
      </c>
      <c r="D276" t="s">
        <v>4163</v>
      </c>
      <c r="E276" t="s">
        <v>3797</v>
      </c>
      <c r="F276" t="s">
        <v>6749</v>
      </c>
      <c r="G276" t="s">
        <v>6754</v>
      </c>
      <c r="H276" t="s">
        <v>6755</v>
      </c>
      <c r="I276" t="s">
        <v>3772</v>
      </c>
      <c r="J276" t="s">
        <v>3773</v>
      </c>
      <c r="K276" t="s">
        <v>3850</v>
      </c>
      <c r="L276" t="s">
        <v>3827</v>
      </c>
      <c r="M276" t="s">
        <v>3776</v>
      </c>
      <c r="N276" t="s">
        <v>3777</v>
      </c>
      <c r="O276" t="s">
        <v>5526</v>
      </c>
      <c r="P276" t="s">
        <v>5549</v>
      </c>
      <c r="Q276" t="s">
        <v>4564</v>
      </c>
      <c r="R276" t="s">
        <v>4567</v>
      </c>
      <c r="S276" t="s">
        <v>4531</v>
      </c>
      <c r="T276" t="s">
        <v>5528</v>
      </c>
      <c r="U276" t="s">
        <v>5529</v>
      </c>
      <c r="V276" t="s">
        <v>3852</v>
      </c>
      <c r="W276" t="s">
        <v>3782</v>
      </c>
      <c r="X276" t="s">
        <v>3804</v>
      </c>
      <c r="Y276" t="s">
        <v>3805</v>
      </c>
      <c r="Z276" t="s">
        <v>5149</v>
      </c>
      <c r="AA276" t="s">
        <v>5154</v>
      </c>
      <c r="AB276" t="s">
        <v>4568</v>
      </c>
      <c r="AC276" s="1" t="s">
        <v>4566</v>
      </c>
      <c r="AD276" s="6" t="s">
        <v>6756</v>
      </c>
    </row>
    <row r="277" spans="1:30" x14ac:dyDescent="0.25">
      <c r="A277" t="s">
        <v>5882</v>
      </c>
      <c r="B277" t="s">
        <v>3766</v>
      </c>
      <c r="C277" t="s">
        <v>6273</v>
      </c>
      <c r="D277" t="s">
        <v>3836</v>
      </c>
      <c r="E277" t="s">
        <v>3797</v>
      </c>
      <c r="F277" t="s">
        <v>6758</v>
      </c>
      <c r="G277" t="s">
        <v>6759</v>
      </c>
      <c r="H277" t="s">
        <v>6760</v>
      </c>
      <c r="I277" t="s">
        <v>3772</v>
      </c>
      <c r="J277" t="s">
        <v>3773</v>
      </c>
      <c r="K277" t="s">
        <v>3850</v>
      </c>
      <c r="L277" t="s">
        <v>3827</v>
      </c>
      <c r="M277" t="s">
        <v>3776</v>
      </c>
      <c r="N277" t="s">
        <v>3777</v>
      </c>
      <c r="O277" t="s">
        <v>5530</v>
      </c>
      <c r="P277" s="15" t="s">
        <v>5534</v>
      </c>
      <c r="Q277" t="s">
        <v>4269</v>
      </c>
      <c r="R277" t="s">
        <v>4565</v>
      </c>
      <c r="S277" t="s">
        <v>4157</v>
      </c>
      <c r="T277" t="s">
        <v>5528</v>
      </c>
      <c r="U277" t="s">
        <v>5529</v>
      </c>
      <c r="V277" t="s">
        <v>3852</v>
      </c>
      <c r="W277" t="s">
        <v>3782</v>
      </c>
      <c r="X277" t="s">
        <v>3804</v>
      </c>
      <c r="Y277" t="s">
        <v>3805</v>
      </c>
      <c r="Z277" t="s">
        <v>5153</v>
      </c>
      <c r="AA277" t="s">
        <v>5165</v>
      </c>
      <c r="AB277" t="s">
        <v>3787</v>
      </c>
      <c r="AC277" s="1" t="s">
        <v>4566</v>
      </c>
      <c r="AD277" s="6" t="s">
        <v>6761</v>
      </c>
    </row>
    <row r="278" spans="1:30" x14ac:dyDescent="0.25">
      <c r="A278" t="s">
        <v>5882</v>
      </c>
      <c r="B278" t="s">
        <v>3766</v>
      </c>
      <c r="C278" t="s">
        <v>6273</v>
      </c>
      <c r="D278" t="s">
        <v>3836</v>
      </c>
      <c r="E278" t="s">
        <v>3797</v>
      </c>
      <c r="F278" t="s">
        <v>6758</v>
      </c>
      <c r="G278" t="s">
        <v>4127</v>
      </c>
      <c r="H278" t="s">
        <v>6763</v>
      </c>
      <c r="I278" t="s">
        <v>3772</v>
      </c>
      <c r="J278" t="s">
        <v>3773</v>
      </c>
      <c r="K278" t="s">
        <v>3850</v>
      </c>
      <c r="L278" t="s">
        <v>3827</v>
      </c>
      <c r="M278" t="s">
        <v>3776</v>
      </c>
      <c r="N278" t="s">
        <v>3777</v>
      </c>
      <c r="O278" t="s">
        <v>5530</v>
      </c>
      <c r="P278" t="s">
        <v>5534</v>
      </c>
      <c r="Q278" t="s">
        <v>4269</v>
      </c>
      <c r="R278" t="s">
        <v>4567</v>
      </c>
      <c r="S278" t="s">
        <v>4157</v>
      </c>
      <c r="T278" t="s">
        <v>5528</v>
      </c>
      <c r="U278" t="s">
        <v>5529</v>
      </c>
      <c r="V278" t="s">
        <v>3852</v>
      </c>
      <c r="W278" t="s">
        <v>3782</v>
      </c>
      <c r="X278" t="s">
        <v>3804</v>
      </c>
      <c r="Y278" t="s">
        <v>3805</v>
      </c>
      <c r="Z278" t="s">
        <v>5149</v>
      </c>
      <c r="AA278" t="s">
        <v>5154</v>
      </c>
      <c r="AB278" t="s">
        <v>4568</v>
      </c>
      <c r="AC278" s="1" t="s">
        <v>4566</v>
      </c>
      <c r="AD278" s="6" t="s">
        <v>6764</v>
      </c>
    </row>
    <row r="279" spans="1:30" x14ac:dyDescent="0.25">
      <c r="A279" t="s">
        <v>5882</v>
      </c>
      <c r="B279" t="s">
        <v>3766</v>
      </c>
      <c r="C279" t="s">
        <v>4189</v>
      </c>
      <c r="D279" t="s">
        <v>4163</v>
      </c>
      <c r="E279" t="s">
        <v>3797</v>
      </c>
      <c r="F279" t="s">
        <v>4532</v>
      </c>
      <c r="G279" t="s">
        <v>4528</v>
      </c>
      <c r="H279" t="s">
        <v>4534</v>
      </c>
      <c r="I279" t="s">
        <v>3772</v>
      </c>
      <c r="J279" t="s">
        <v>3773</v>
      </c>
      <c r="K279" t="s">
        <v>3850</v>
      </c>
      <c r="L279" t="s">
        <v>3800</v>
      </c>
      <c r="M279" t="s">
        <v>3776</v>
      </c>
      <c r="N279" t="s">
        <v>3777</v>
      </c>
      <c r="O279" t="s">
        <v>5526</v>
      </c>
      <c r="P279" t="s">
        <v>5527</v>
      </c>
      <c r="Q279" t="s">
        <v>4569</v>
      </c>
      <c r="R279" t="s">
        <v>4570</v>
      </c>
      <c r="S279" t="s">
        <v>4157</v>
      </c>
      <c r="T279" t="s">
        <v>5532</v>
      </c>
      <c r="U279" t="s">
        <v>5533</v>
      </c>
      <c r="V279" t="s">
        <v>4571</v>
      </c>
      <c r="W279" t="s">
        <v>3782</v>
      </c>
      <c r="X279" t="s">
        <v>3804</v>
      </c>
      <c r="Y279" t="s">
        <v>3805</v>
      </c>
      <c r="Z279" t="s">
        <v>5153</v>
      </c>
      <c r="AA279" t="s">
        <v>5165</v>
      </c>
      <c r="AB279" t="s">
        <v>3787</v>
      </c>
      <c r="AC279" s="1" t="s">
        <v>4159</v>
      </c>
      <c r="AD279" s="6" t="s">
        <v>6766</v>
      </c>
    </row>
    <row r="280" spans="1:30" x14ac:dyDescent="0.25">
      <c r="A280" t="s">
        <v>5882</v>
      </c>
      <c r="B280" t="s">
        <v>3766</v>
      </c>
      <c r="C280" t="s">
        <v>4196</v>
      </c>
      <c r="D280" t="s">
        <v>3814</v>
      </c>
      <c r="E280" t="s">
        <v>3797</v>
      </c>
      <c r="F280" t="s">
        <v>4242</v>
      </c>
      <c r="G280" t="s">
        <v>4243</v>
      </c>
      <c r="H280" t="s">
        <v>4540</v>
      </c>
      <c r="I280" t="s">
        <v>3772</v>
      </c>
      <c r="J280" t="s">
        <v>3773</v>
      </c>
      <c r="K280" t="s">
        <v>3850</v>
      </c>
      <c r="L280" t="s">
        <v>3800</v>
      </c>
      <c r="M280" t="s">
        <v>3776</v>
      </c>
      <c r="N280" t="s">
        <v>3777</v>
      </c>
      <c r="O280" t="s">
        <v>5530</v>
      </c>
      <c r="P280" t="s">
        <v>5531</v>
      </c>
      <c r="Q280" t="s">
        <v>4541</v>
      </c>
      <c r="R280" t="s">
        <v>4572</v>
      </c>
      <c r="S280" t="s">
        <v>4157</v>
      </c>
      <c r="T280" t="s">
        <v>5532</v>
      </c>
      <c r="U280" t="s">
        <v>5533</v>
      </c>
      <c r="V280" t="s">
        <v>4573</v>
      </c>
      <c r="W280" t="s">
        <v>3782</v>
      </c>
      <c r="X280" t="s">
        <v>3804</v>
      </c>
      <c r="Y280" t="s">
        <v>3805</v>
      </c>
      <c r="Z280" t="s">
        <v>5153</v>
      </c>
      <c r="AA280" t="s">
        <v>5165</v>
      </c>
      <c r="AB280" t="s">
        <v>3787</v>
      </c>
      <c r="AC280" s="1" t="s">
        <v>4159</v>
      </c>
      <c r="AD280" s="6" t="s">
        <v>6768</v>
      </c>
    </row>
    <row r="281" spans="1:30" x14ac:dyDescent="0.25">
      <c r="A281" t="s">
        <v>5882</v>
      </c>
      <c r="B281" t="s">
        <v>3766</v>
      </c>
      <c r="C281" t="s">
        <v>4203</v>
      </c>
      <c r="D281" t="s">
        <v>3841</v>
      </c>
      <c r="E281" t="s">
        <v>3797</v>
      </c>
      <c r="F281" t="s">
        <v>4205</v>
      </c>
      <c r="G281" t="s">
        <v>4546</v>
      </c>
      <c r="H281" t="s">
        <v>4543</v>
      </c>
      <c r="I281" t="s">
        <v>3772</v>
      </c>
      <c r="J281" t="s">
        <v>3773</v>
      </c>
      <c r="K281" t="s">
        <v>3850</v>
      </c>
      <c r="L281" t="s">
        <v>3800</v>
      </c>
      <c r="M281" t="s">
        <v>3776</v>
      </c>
      <c r="N281" t="s">
        <v>3777</v>
      </c>
      <c r="O281" t="s">
        <v>5535</v>
      </c>
      <c r="P281" t="s">
        <v>5536</v>
      </c>
      <c r="Q281" t="s">
        <v>3856</v>
      </c>
      <c r="R281" t="s">
        <v>4574</v>
      </c>
      <c r="S281" t="s">
        <v>4157</v>
      </c>
      <c r="T281" t="s">
        <v>5537</v>
      </c>
      <c r="U281" t="s">
        <v>5538</v>
      </c>
      <c r="V281" t="s">
        <v>4575</v>
      </c>
      <c r="W281" t="s">
        <v>3782</v>
      </c>
      <c r="X281" t="s">
        <v>3804</v>
      </c>
      <c r="Y281" t="s">
        <v>3805</v>
      </c>
      <c r="Z281" t="s">
        <v>5153</v>
      </c>
      <c r="AA281" t="s">
        <v>5165</v>
      </c>
      <c r="AB281" t="s">
        <v>3787</v>
      </c>
      <c r="AC281" s="1" t="s">
        <v>4159</v>
      </c>
      <c r="AD281" s="6" t="s">
        <v>6770</v>
      </c>
    </row>
    <row r="282" spans="1:30" x14ac:dyDescent="0.25">
      <c r="A282" t="s">
        <v>5882</v>
      </c>
      <c r="B282" t="s">
        <v>3766</v>
      </c>
      <c r="C282" t="s">
        <v>4211</v>
      </c>
      <c r="D282" t="s">
        <v>3868</v>
      </c>
      <c r="E282" t="s">
        <v>3797</v>
      </c>
      <c r="F282" t="s">
        <v>4550</v>
      </c>
      <c r="G282" t="s">
        <v>3914</v>
      </c>
      <c r="H282" t="s">
        <v>4556</v>
      </c>
      <c r="I282" t="s">
        <v>3772</v>
      </c>
      <c r="J282" t="s">
        <v>3773</v>
      </c>
      <c r="K282" t="s">
        <v>3850</v>
      </c>
      <c r="L282" t="s">
        <v>3800</v>
      </c>
      <c r="M282" t="s">
        <v>3776</v>
      </c>
      <c r="N282" t="s">
        <v>3777</v>
      </c>
      <c r="O282" t="s">
        <v>5539</v>
      </c>
      <c r="P282" t="s">
        <v>5540</v>
      </c>
      <c r="Q282" t="s">
        <v>4553</v>
      </c>
      <c r="R282" t="s">
        <v>4576</v>
      </c>
      <c r="S282" t="s">
        <v>4153</v>
      </c>
      <c r="T282" t="s">
        <v>5537</v>
      </c>
      <c r="U282" t="s">
        <v>5538</v>
      </c>
      <c r="V282" t="s">
        <v>3845</v>
      </c>
      <c r="W282" t="s">
        <v>3782</v>
      </c>
      <c r="X282" t="s">
        <v>3804</v>
      </c>
      <c r="Y282" t="s">
        <v>3826</v>
      </c>
      <c r="Z282" t="s">
        <v>5153</v>
      </c>
      <c r="AA282" t="s">
        <v>5165</v>
      </c>
      <c r="AB282" t="s">
        <v>3787</v>
      </c>
      <c r="AC282" s="1" t="s">
        <v>4159</v>
      </c>
      <c r="AD282" s="6" t="s">
        <v>6772</v>
      </c>
    </row>
    <row r="283" spans="1:30" x14ac:dyDescent="0.25">
      <c r="A283" t="s">
        <v>5882</v>
      </c>
      <c r="B283" t="s">
        <v>3766</v>
      </c>
      <c r="C283" t="s">
        <v>4235</v>
      </c>
      <c r="D283" t="s">
        <v>4236</v>
      </c>
      <c r="E283" t="s">
        <v>4172</v>
      </c>
      <c r="F283" t="s">
        <v>4518</v>
      </c>
      <c r="G283" t="s">
        <v>4237</v>
      </c>
      <c r="H283" t="s">
        <v>4524</v>
      </c>
      <c r="I283" t="s">
        <v>3772</v>
      </c>
      <c r="J283" t="s">
        <v>3773</v>
      </c>
      <c r="K283" t="s">
        <v>3850</v>
      </c>
      <c r="L283" t="s">
        <v>3800</v>
      </c>
      <c r="M283" t="s">
        <v>3776</v>
      </c>
      <c r="N283" t="s">
        <v>3777</v>
      </c>
      <c r="O283" t="s">
        <v>5526</v>
      </c>
      <c r="P283" t="s">
        <v>5527</v>
      </c>
      <c r="Q283" t="s">
        <v>4569</v>
      </c>
      <c r="R283" t="s">
        <v>4577</v>
      </c>
      <c r="S283" t="s">
        <v>4157</v>
      </c>
      <c r="T283" t="s">
        <v>5532</v>
      </c>
      <c r="U283" t="s">
        <v>5533</v>
      </c>
      <c r="V283" t="s">
        <v>4578</v>
      </c>
      <c r="W283" t="s">
        <v>3782</v>
      </c>
      <c r="X283" t="s">
        <v>3804</v>
      </c>
      <c r="Y283" t="s">
        <v>3805</v>
      </c>
      <c r="Z283" t="s">
        <v>5153</v>
      </c>
      <c r="AA283" t="s">
        <v>5165</v>
      </c>
      <c r="AB283" t="s">
        <v>4523</v>
      </c>
      <c r="AC283" s="1" t="s">
        <v>4180</v>
      </c>
      <c r="AD283" s="6" t="s">
        <v>5894</v>
      </c>
    </row>
    <row r="284" spans="1:30" x14ac:dyDescent="0.25">
      <c r="A284" t="s">
        <v>5882</v>
      </c>
      <c r="B284" t="s">
        <v>3766</v>
      </c>
      <c r="C284" t="s">
        <v>4579</v>
      </c>
      <c r="D284" t="s">
        <v>4163</v>
      </c>
      <c r="E284" t="s">
        <v>4172</v>
      </c>
      <c r="F284" t="s">
        <v>4580</v>
      </c>
      <c r="G284" t="s">
        <v>4581</v>
      </c>
      <c r="H284" t="s">
        <v>4582</v>
      </c>
      <c r="I284" t="s">
        <v>3772</v>
      </c>
      <c r="J284" t="s">
        <v>3773</v>
      </c>
      <c r="K284" t="s">
        <v>3850</v>
      </c>
      <c r="L284" t="s">
        <v>3800</v>
      </c>
      <c r="M284" t="s">
        <v>3776</v>
      </c>
      <c r="N284" t="s">
        <v>3777</v>
      </c>
      <c r="O284" t="s">
        <v>5526</v>
      </c>
      <c r="P284" t="s">
        <v>5527</v>
      </c>
      <c r="Q284" t="s">
        <v>4569</v>
      </c>
      <c r="R284" t="s">
        <v>4583</v>
      </c>
      <c r="S284" t="s">
        <v>4157</v>
      </c>
      <c r="T284" t="s">
        <v>5532</v>
      </c>
      <c r="U284" t="s">
        <v>5533</v>
      </c>
      <c r="V284" t="s">
        <v>3830</v>
      </c>
      <c r="W284" t="s">
        <v>3782</v>
      </c>
      <c r="X284" t="s">
        <v>3804</v>
      </c>
      <c r="Y284" t="s">
        <v>3805</v>
      </c>
      <c r="Z284" t="s">
        <v>5153</v>
      </c>
      <c r="AA284" t="s">
        <v>5165</v>
      </c>
      <c r="AB284" t="s">
        <v>4523</v>
      </c>
      <c r="AC284" s="1" t="s">
        <v>4180</v>
      </c>
      <c r="AD284" s="6" t="s">
        <v>5895</v>
      </c>
    </row>
    <row r="285" spans="1:30" x14ac:dyDescent="0.25">
      <c r="A285" t="s">
        <v>5882</v>
      </c>
      <c r="B285" t="s">
        <v>3766</v>
      </c>
      <c r="C285" t="s">
        <v>4584</v>
      </c>
      <c r="D285" t="s">
        <v>3836</v>
      </c>
      <c r="E285" t="s">
        <v>4172</v>
      </c>
      <c r="F285" t="s">
        <v>4585</v>
      </c>
      <c r="G285" t="s">
        <v>4586</v>
      </c>
      <c r="H285" t="s">
        <v>4587</v>
      </c>
      <c r="I285" t="s">
        <v>3772</v>
      </c>
      <c r="J285" t="s">
        <v>3773</v>
      </c>
      <c r="K285" t="s">
        <v>3850</v>
      </c>
      <c r="L285" t="s">
        <v>3800</v>
      </c>
      <c r="M285" t="s">
        <v>3776</v>
      </c>
      <c r="N285" t="s">
        <v>3777</v>
      </c>
      <c r="O285" t="s">
        <v>5530</v>
      </c>
      <c r="P285" s="15" t="s">
        <v>5531</v>
      </c>
      <c r="Q285" t="s">
        <v>4541</v>
      </c>
      <c r="R285" t="s">
        <v>4588</v>
      </c>
      <c r="S285" t="s">
        <v>4157</v>
      </c>
      <c r="T285" t="s">
        <v>5528</v>
      </c>
      <c r="U285" t="s">
        <v>5529</v>
      </c>
      <c r="V285" t="s">
        <v>4539</v>
      </c>
      <c r="W285" t="s">
        <v>3782</v>
      </c>
      <c r="X285" t="s">
        <v>3804</v>
      </c>
      <c r="Y285" t="s">
        <v>3805</v>
      </c>
      <c r="Z285" t="s">
        <v>5153</v>
      </c>
      <c r="AA285" t="s">
        <v>5165</v>
      </c>
      <c r="AB285" t="s">
        <v>4523</v>
      </c>
      <c r="AC285" s="1" t="s">
        <v>4180</v>
      </c>
      <c r="AD285" s="6" t="s">
        <v>5896</v>
      </c>
    </row>
    <row r="286" spans="1:30" x14ac:dyDescent="0.25">
      <c r="A286" t="s">
        <v>5882</v>
      </c>
      <c r="B286" t="s">
        <v>3766</v>
      </c>
      <c r="C286" t="s">
        <v>4589</v>
      </c>
      <c r="D286" t="s">
        <v>4590</v>
      </c>
      <c r="E286" t="s">
        <v>4172</v>
      </c>
      <c r="F286" t="s">
        <v>4591</v>
      </c>
      <c r="G286" t="s">
        <v>4592</v>
      </c>
      <c r="H286" t="s">
        <v>4593</v>
      </c>
      <c r="I286" t="s">
        <v>3772</v>
      </c>
      <c r="J286" t="s">
        <v>3773</v>
      </c>
      <c r="K286" t="s">
        <v>3850</v>
      </c>
      <c r="L286" t="s">
        <v>3800</v>
      </c>
      <c r="M286" t="s">
        <v>3776</v>
      </c>
      <c r="N286" t="s">
        <v>3777</v>
      </c>
      <c r="O286" t="s">
        <v>5535</v>
      </c>
      <c r="P286" s="15" t="s">
        <v>5536</v>
      </c>
      <c r="Q286" t="s">
        <v>4547</v>
      </c>
      <c r="R286" t="s">
        <v>4594</v>
      </c>
      <c r="S286" t="s">
        <v>4531</v>
      </c>
      <c r="T286" t="s">
        <v>5550</v>
      </c>
      <c r="U286" t="s">
        <v>5551</v>
      </c>
      <c r="V286" t="s">
        <v>4595</v>
      </c>
      <c r="W286" t="s">
        <v>3782</v>
      </c>
      <c r="X286" t="s">
        <v>3804</v>
      </c>
      <c r="Y286" t="s">
        <v>3826</v>
      </c>
      <c r="Z286" t="s">
        <v>5153</v>
      </c>
      <c r="AA286" t="s">
        <v>5165</v>
      </c>
      <c r="AB286" t="s">
        <v>4523</v>
      </c>
      <c r="AC286" s="1" t="s">
        <v>4180</v>
      </c>
      <c r="AD286" s="6" t="s">
        <v>5897</v>
      </c>
    </row>
    <row r="287" spans="1:30" x14ac:dyDescent="0.25">
      <c r="A287" t="s">
        <v>5882</v>
      </c>
      <c r="B287" t="s">
        <v>3766</v>
      </c>
      <c r="C287" t="s">
        <v>4596</v>
      </c>
      <c r="D287" t="s">
        <v>4597</v>
      </c>
      <c r="E287" t="s">
        <v>4172</v>
      </c>
      <c r="F287" t="s">
        <v>4598</v>
      </c>
      <c r="G287" t="s">
        <v>4599</v>
      </c>
      <c r="H287" t="s">
        <v>4600</v>
      </c>
      <c r="I287" t="s">
        <v>3772</v>
      </c>
      <c r="J287" t="s">
        <v>3773</v>
      </c>
      <c r="K287" t="s">
        <v>3850</v>
      </c>
      <c r="L287" t="s">
        <v>3800</v>
      </c>
      <c r="M287" t="s">
        <v>3776</v>
      </c>
      <c r="N287" t="s">
        <v>3777</v>
      </c>
      <c r="O287" t="s">
        <v>5535</v>
      </c>
      <c r="P287" t="s">
        <v>5536</v>
      </c>
      <c r="Q287" t="s">
        <v>4547</v>
      </c>
      <c r="R287" t="s">
        <v>4601</v>
      </c>
      <c r="S287" t="s">
        <v>4545</v>
      </c>
      <c r="T287" t="s">
        <v>5543</v>
      </c>
      <c r="U287" t="s">
        <v>5544</v>
      </c>
      <c r="V287" t="s">
        <v>4558</v>
      </c>
      <c r="W287" t="s">
        <v>3782</v>
      </c>
      <c r="X287" t="s">
        <v>3804</v>
      </c>
      <c r="Y287" t="s">
        <v>3891</v>
      </c>
      <c r="Z287" t="s">
        <v>5153</v>
      </c>
      <c r="AA287" t="s">
        <v>5165</v>
      </c>
      <c r="AB287" t="s">
        <v>4523</v>
      </c>
      <c r="AC287" s="1" t="s">
        <v>4180</v>
      </c>
      <c r="AD287" s="6" t="s">
        <v>5898</v>
      </c>
    </row>
    <row r="288" spans="1:30" x14ac:dyDescent="0.25">
      <c r="A288" t="s">
        <v>5882</v>
      </c>
      <c r="B288" t="s">
        <v>3766</v>
      </c>
      <c r="C288" t="s">
        <v>4219</v>
      </c>
      <c r="D288" t="s">
        <v>4220</v>
      </c>
      <c r="E288" t="s">
        <v>4172</v>
      </c>
      <c r="F288" t="s">
        <v>4559</v>
      </c>
      <c r="G288" t="s">
        <v>4560</v>
      </c>
      <c r="H288" t="s">
        <v>4602</v>
      </c>
      <c r="I288" t="s">
        <v>3772</v>
      </c>
      <c r="J288" t="s">
        <v>3773</v>
      </c>
      <c r="K288" t="s">
        <v>3850</v>
      </c>
      <c r="L288" t="s">
        <v>3800</v>
      </c>
      <c r="M288" t="s">
        <v>3776</v>
      </c>
      <c r="N288" t="s">
        <v>3777</v>
      </c>
      <c r="O288" t="s">
        <v>5539</v>
      </c>
      <c r="P288" t="s">
        <v>5540</v>
      </c>
      <c r="Q288" t="s">
        <v>4553</v>
      </c>
      <c r="R288" t="s">
        <v>4603</v>
      </c>
      <c r="S288" t="s">
        <v>4157</v>
      </c>
      <c r="T288" t="s">
        <v>5552</v>
      </c>
      <c r="U288" t="s">
        <v>5553</v>
      </c>
      <c r="V288" t="s">
        <v>4555</v>
      </c>
      <c r="W288" t="s">
        <v>3782</v>
      </c>
      <c r="X288" t="s">
        <v>3804</v>
      </c>
      <c r="Y288" t="s">
        <v>3891</v>
      </c>
      <c r="Z288" t="s">
        <v>5153</v>
      </c>
      <c r="AA288" t="s">
        <v>5165</v>
      </c>
      <c r="AB288" t="s">
        <v>4523</v>
      </c>
      <c r="AC288" s="1" t="s">
        <v>4180</v>
      </c>
      <c r="AD288" s="6" t="s">
        <v>5899</v>
      </c>
    </row>
    <row r="289" spans="1:30" x14ac:dyDescent="0.25">
      <c r="A289" t="s">
        <v>5882</v>
      </c>
      <c r="B289" t="s">
        <v>3766</v>
      </c>
      <c r="C289" t="s">
        <v>6748</v>
      </c>
      <c r="D289" t="s">
        <v>4163</v>
      </c>
      <c r="E289" t="s">
        <v>3797</v>
      </c>
      <c r="F289" t="s">
        <v>6749</v>
      </c>
      <c r="G289" t="s">
        <v>6750</v>
      </c>
      <c r="H289" t="s">
        <v>6751</v>
      </c>
      <c r="I289" t="s">
        <v>3772</v>
      </c>
      <c r="J289" t="s">
        <v>3773</v>
      </c>
      <c r="K289" t="s">
        <v>3850</v>
      </c>
      <c r="L289" t="s">
        <v>3827</v>
      </c>
      <c r="M289" t="s">
        <v>3776</v>
      </c>
      <c r="N289" t="s">
        <v>3777</v>
      </c>
      <c r="O289" t="s">
        <v>5526</v>
      </c>
      <c r="P289" t="s">
        <v>5527</v>
      </c>
      <c r="Q289" t="s">
        <v>4569</v>
      </c>
      <c r="R289" t="s">
        <v>4565</v>
      </c>
      <c r="S289" t="s">
        <v>4157</v>
      </c>
      <c r="T289" t="s">
        <v>5528</v>
      </c>
      <c r="U289" t="s">
        <v>5529</v>
      </c>
      <c r="V289" t="s">
        <v>3852</v>
      </c>
      <c r="W289" t="s">
        <v>3782</v>
      </c>
      <c r="X289" t="s">
        <v>3804</v>
      </c>
      <c r="Y289" t="s">
        <v>3805</v>
      </c>
      <c r="Z289" t="s">
        <v>5153</v>
      </c>
      <c r="AA289" t="s">
        <v>5165</v>
      </c>
      <c r="AB289" t="s">
        <v>3787</v>
      </c>
      <c r="AC289" s="1" t="s">
        <v>4566</v>
      </c>
      <c r="AD289" s="6" t="s">
        <v>6774</v>
      </c>
    </row>
    <row r="290" spans="1:30" x14ac:dyDescent="0.25">
      <c r="A290" t="s">
        <v>5882</v>
      </c>
      <c r="B290" t="s">
        <v>3766</v>
      </c>
      <c r="C290" t="s">
        <v>6748</v>
      </c>
      <c r="D290" t="s">
        <v>4163</v>
      </c>
      <c r="E290" t="s">
        <v>3797</v>
      </c>
      <c r="F290" t="s">
        <v>6749</v>
      </c>
      <c r="G290" t="s">
        <v>6754</v>
      </c>
      <c r="H290" t="s">
        <v>6755</v>
      </c>
      <c r="I290" t="s">
        <v>3772</v>
      </c>
      <c r="J290" t="s">
        <v>3773</v>
      </c>
      <c r="K290" t="s">
        <v>3850</v>
      </c>
      <c r="L290" t="s">
        <v>3827</v>
      </c>
      <c r="M290" t="s">
        <v>3776</v>
      </c>
      <c r="N290" t="s">
        <v>3777</v>
      </c>
      <c r="O290" t="s">
        <v>5526</v>
      </c>
      <c r="P290" t="s">
        <v>5527</v>
      </c>
      <c r="Q290" t="s">
        <v>4569</v>
      </c>
      <c r="R290" t="s">
        <v>4567</v>
      </c>
      <c r="S290" t="s">
        <v>4531</v>
      </c>
      <c r="T290" t="s">
        <v>5528</v>
      </c>
      <c r="U290" t="s">
        <v>5529</v>
      </c>
      <c r="V290" t="s">
        <v>3852</v>
      </c>
      <c r="W290" t="s">
        <v>3782</v>
      </c>
      <c r="X290" t="s">
        <v>3804</v>
      </c>
      <c r="Y290" t="s">
        <v>3805</v>
      </c>
      <c r="Z290" t="s">
        <v>5149</v>
      </c>
      <c r="AA290" t="s">
        <v>5154</v>
      </c>
      <c r="AB290" t="s">
        <v>4568</v>
      </c>
      <c r="AC290" s="1" t="s">
        <v>4566</v>
      </c>
      <c r="AD290" s="6" t="s">
        <v>6776</v>
      </c>
    </row>
    <row r="291" spans="1:30" x14ac:dyDescent="0.25">
      <c r="A291" t="s">
        <v>5882</v>
      </c>
      <c r="B291" t="s">
        <v>3766</v>
      </c>
      <c r="C291" t="s">
        <v>6273</v>
      </c>
      <c r="D291" t="s">
        <v>3836</v>
      </c>
      <c r="E291" t="s">
        <v>3797</v>
      </c>
      <c r="F291" t="s">
        <v>6758</v>
      </c>
      <c r="G291" t="s">
        <v>6759</v>
      </c>
      <c r="H291" t="s">
        <v>6760</v>
      </c>
      <c r="I291" t="s">
        <v>3772</v>
      </c>
      <c r="J291" t="s">
        <v>3773</v>
      </c>
      <c r="K291" t="s">
        <v>3850</v>
      </c>
      <c r="L291" t="s">
        <v>3827</v>
      </c>
      <c r="M291" t="s">
        <v>3776</v>
      </c>
      <c r="N291" t="s">
        <v>3777</v>
      </c>
      <c r="O291" t="s">
        <v>5530</v>
      </c>
      <c r="P291" t="s">
        <v>5534</v>
      </c>
      <c r="Q291" t="s">
        <v>3801</v>
      </c>
      <c r="R291" t="s">
        <v>4565</v>
      </c>
      <c r="S291" t="s">
        <v>4157</v>
      </c>
      <c r="T291" t="s">
        <v>5528</v>
      </c>
      <c r="U291" t="s">
        <v>5529</v>
      </c>
      <c r="V291" t="s">
        <v>3852</v>
      </c>
      <c r="W291" t="s">
        <v>3782</v>
      </c>
      <c r="X291" t="s">
        <v>3804</v>
      </c>
      <c r="Y291" t="s">
        <v>3805</v>
      </c>
      <c r="Z291" t="s">
        <v>5153</v>
      </c>
      <c r="AA291" t="s">
        <v>5165</v>
      </c>
      <c r="AB291" t="s">
        <v>3787</v>
      </c>
      <c r="AC291" s="1" t="s">
        <v>4566</v>
      </c>
      <c r="AD291" s="6" t="s">
        <v>6778</v>
      </c>
    </row>
    <row r="292" spans="1:30" x14ac:dyDescent="0.25">
      <c r="A292" t="s">
        <v>5882</v>
      </c>
      <c r="B292" t="s">
        <v>3766</v>
      </c>
      <c r="C292" t="s">
        <v>6273</v>
      </c>
      <c r="D292" t="s">
        <v>3836</v>
      </c>
      <c r="E292" t="s">
        <v>3797</v>
      </c>
      <c r="F292" t="s">
        <v>6758</v>
      </c>
      <c r="G292" t="s">
        <v>4127</v>
      </c>
      <c r="H292" t="s">
        <v>6763</v>
      </c>
      <c r="I292" t="s">
        <v>3772</v>
      </c>
      <c r="J292" t="s">
        <v>3773</v>
      </c>
      <c r="K292" t="s">
        <v>3850</v>
      </c>
      <c r="L292" t="s">
        <v>3827</v>
      </c>
      <c r="M292" t="s">
        <v>3776</v>
      </c>
      <c r="N292" t="s">
        <v>3777</v>
      </c>
      <c r="O292" t="s">
        <v>5530</v>
      </c>
      <c r="P292" t="s">
        <v>5534</v>
      </c>
      <c r="Q292" t="s">
        <v>3801</v>
      </c>
      <c r="R292" t="s">
        <v>4567</v>
      </c>
      <c r="S292" t="s">
        <v>4157</v>
      </c>
      <c r="T292" t="s">
        <v>5528</v>
      </c>
      <c r="U292" t="s">
        <v>5529</v>
      </c>
      <c r="V292" t="s">
        <v>3852</v>
      </c>
      <c r="W292" t="s">
        <v>3782</v>
      </c>
      <c r="X292" t="s">
        <v>3804</v>
      </c>
      <c r="Y292" t="s">
        <v>3805</v>
      </c>
      <c r="Z292" t="s">
        <v>5149</v>
      </c>
      <c r="AA292" t="s">
        <v>5154</v>
      </c>
      <c r="AB292" t="s">
        <v>4568</v>
      </c>
      <c r="AC292" s="1" t="s">
        <v>4566</v>
      </c>
      <c r="AD292" s="6" t="s">
        <v>6780</v>
      </c>
    </row>
    <row r="293" spans="1:30" x14ac:dyDescent="0.25">
      <c r="A293" t="s">
        <v>5882</v>
      </c>
      <c r="B293" t="s">
        <v>3766</v>
      </c>
      <c r="C293" t="s">
        <v>4589</v>
      </c>
      <c r="D293" t="s">
        <v>4590</v>
      </c>
      <c r="E293" t="s">
        <v>3797</v>
      </c>
      <c r="F293" t="s">
        <v>6782</v>
      </c>
      <c r="G293" t="s">
        <v>6783</v>
      </c>
      <c r="H293" t="s">
        <v>6784</v>
      </c>
      <c r="I293" t="s">
        <v>3772</v>
      </c>
      <c r="J293" t="s">
        <v>3773</v>
      </c>
      <c r="K293" t="s">
        <v>3850</v>
      </c>
      <c r="L293" t="s">
        <v>3827</v>
      </c>
      <c r="M293" t="s">
        <v>3776</v>
      </c>
      <c r="N293" t="s">
        <v>3777</v>
      </c>
      <c r="O293" t="s">
        <v>5535</v>
      </c>
      <c r="P293" t="s">
        <v>5536</v>
      </c>
      <c r="Q293" t="s">
        <v>3856</v>
      </c>
      <c r="R293" t="s">
        <v>4604</v>
      </c>
      <c r="S293" t="s">
        <v>4153</v>
      </c>
      <c r="T293" t="s">
        <v>5537</v>
      </c>
      <c r="U293" t="s">
        <v>5538</v>
      </c>
      <c r="V293" t="s">
        <v>3861</v>
      </c>
      <c r="W293" t="s">
        <v>3782</v>
      </c>
      <c r="X293" t="s">
        <v>3804</v>
      </c>
      <c r="Y293" t="s">
        <v>3805</v>
      </c>
      <c r="Z293" t="s">
        <v>5153</v>
      </c>
      <c r="AA293" t="s">
        <v>5165</v>
      </c>
      <c r="AB293" t="s">
        <v>3787</v>
      </c>
      <c r="AC293" s="1" t="s">
        <v>4566</v>
      </c>
      <c r="AD293" s="6" t="s">
        <v>6785</v>
      </c>
    </row>
    <row r="294" spans="1:30" x14ac:dyDescent="0.25">
      <c r="A294" t="s">
        <v>5882</v>
      </c>
      <c r="B294" t="s">
        <v>3766</v>
      </c>
      <c r="C294" t="s">
        <v>6787</v>
      </c>
      <c r="D294" t="s">
        <v>4590</v>
      </c>
      <c r="E294" t="s">
        <v>3797</v>
      </c>
      <c r="F294" t="s">
        <v>6788</v>
      </c>
      <c r="G294" t="s">
        <v>6789</v>
      </c>
      <c r="H294" t="s">
        <v>6790</v>
      </c>
      <c r="I294" t="s">
        <v>3772</v>
      </c>
      <c r="J294" t="s">
        <v>3773</v>
      </c>
      <c r="K294" t="s">
        <v>3850</v>
      </c>
      <c r="L294" t="s">
        <v>3827</v>
      </c>
      <c r="M294" t="s">
        <v>3776</v>
      </c>
      <c r="N294" t="s">
        <v>3777</v>
      </c>
      <c r="O294" t="s">
        <v>5535</v>
      </c>
      <c r="P294" t="s">
        <v>5536</v>
      </c>
      <c r="Q294" t="s">
        <v>3856</v>
      </c>
      <c r="R294" t="s">
        <v>4605</v>
      </c>
      <c r="S294" t="s">
        <v>4153</v>
      </c>
      <c r="T294" t="s">
        <v>5537</v>
      </c>
      <c r="U294" t="s">
        <v>5538</v>
      </c>
      <c r="V294" t="s">
        <v>3861</v>
      </c>
      <c r="W294" t="s">
        <v>3782</v>
      </c>
      <c r="X294" t="s">
        <v>3804</v>
      </c>
      <c r="Y294" t="s">
        <v>3805</v>
      </c>
      <c r="Z294" t="s">
        <v>5149</v>
      </c>
      <c r="AA294" t="s">
        <v>5154</v>
      </c>
      <c r="AB294" t="s">
        <v>4568</v>
      </c>
      <c r="AC294" s="1" t="s">
        <v>4566</v>
      </c>
      <c r="AD294" s="6" t="s">
        <v>6791</v>
      </c>
    </row>
    <row r="295" spans="1:30" x14ac:dyDescent="0.25">
      <c r="A295" t="s">
        <v>5882</v>
      </c>
      <c r="B295" t="s">
        <v>3766</v>
      </c>
      <c r="C295" t="s">
        <v>6793</v>
      </c>
      <c r="D295" t="s">
        <v>3913</v>
      </c>
      <c r="E295" t="s">
        <v>3797</v>
      </c>
      <c r="F295" t="s">
        <v>6794</v>
      </c>
      <c r="G295" t="s">
        <v>6795</v>
      </c>
      <c r="H295" t="s">
        <v>4995</v>
      </c>
      <c r="I295" t="s">
        <v>3772</v>
      </c>
      <c r="J295" t="s">
        <v>3773</v>
      </c>
      <c r="K295" t="s">
        <v>3850</v>
      </c>
      <c r="L295" t="s">
        <v>3827</v>
      </c>
      <c r="M295" t="s">
        <v>3776</v>
      </c>
      <c r="N295" t="s">
        <v>3777</v>
      </c>
      <c r="O295" t="s">
        <v>5539</v>
      </c>
      <c r="P295" t="s">
        <v>5540</v>
      </c>
      <c r="Q295" t="s">
        <v>4553</v>
      </c>
      <c r="R295" t="s">
        <v>4606</v>
      </c>
      <c r="S295" t="s">
        <v>4153</v>
      </c>
      <c r="T295" t="s">
        <v>5554</v>
      </c>
      <c r="U295" t="s">
        <v>5555</v>
      </c>
      <c r="V295" t="s">
        <v>4607</v>
      </c>
      <c r="W295" t="s">
        <v>3782</v>
      </c>
      <c r="X295" t="s">
        <v>3804</v>
      </c>
      <c r="Y295" t="s">
        <v>3826</v>
      </c>
      <c r="Z295" t="s">
        <v>5153</v>
      </c>
      <c r="AA295" t="s">
        <v>5165</v>
      </c>
      <c r="AB295" t="s">
        <v>3787</v>
      </c>
      <c r="AC295" s="1" t="s">
        <v>4566</v>
      </c>
      <c r="AD295" s="6" t="s">
        <v>6796</v>
      </c>
    </row>
    <row r="296" spans="1:30" x14ac:dyDescent="0.25">
      <c r="A296" t="s">
        <v>5882</v>
      </c>
      <c r="B296" t="s">
        <v>3766</v>
      </c>
      <c r="C296" t="s">
        <v>6793</v>
      </c>
      <c r="D296" t="s">
        <v>3913</v>
      </c>
      <c r="E296" t="s">
        <v>3797</v>
      </c>
      <c r="F296" t="s">
        <v>6794</v>
      </c>
      <c r="G296" t="s">
        <v>6798</v>
      </c>
      <c r="H296" t="s">
        <v>6799</v>
      </c>
      <c r="I296" t="s">
        <v>3772</v>
      </c>
      <c r="J296" t="s">
        <v>3773</v>
      </c>
      <c r="K296" t="s">
        <v>3850</v>
      </c>
      <c r="L296" t="s">
        <v>3827</v>
      </c>
      <c r="M296" t="s">
        <v>3776</v>
      </c>
      <c r="N296" t="s">
        <v>3777</v>
      </c>
      <c r="O296" t="s">
        <v>5539</v>
      </c>
      <c r="P296" t="s">
        <v>5540</v>
      </c>
      <c r="Q296" t="s">
        <v>4553</v>
      </c>
      <c r="R296" t="s">
        <v>4608</v>
      </c>
      <c r="S296" t="s">
        <v>4153</v>
      </c>
      <c r="T296" t="s">
        <v>5554</v>
      </c>
      <c r="U296" t="s">
        <v>5555</v>
      </c>
      <c r="V296" t="s">
        <v>4607</v>
      </c>
      <c r="W296" t="s">
        <v>3782</v>
      </c>
      <c r="X296" t="s">
        <v>3804</v>
      </c>
      <c r="Y296" t="s">
        <v>3826</v>
      </c>
      <c r="Z296" t="s">
        <v>5149</v>
      </c>
      <c r="AA296" t="s">
        <v>5154</v>
      </c>
      <c r="AB296" t="s">
        <v>4568</v>
      </c>
      <c r="AC296" s="1" t="s">
        <v>4566</v>
      </c>
      <c r="AD296" s="6" t="s">
        <v>6800</v>
      </c>
    </row>
    <row r="297" spans="1:30" x14ac:dyDescent="0.25">
      <c r="A297" t="s">
        <v>5882</v>
      </c>
      <c r="B297" t="s">
        <v>3901</v>
      </c>
      <c r="C297" t="s">
        <v>4203</v>
      </c>
      <c r="D297" t="s">
        <v>4204</v>
      </c>
      <c r="E297" t="s">
        <v>4172</v>
      </c>
      <c r="F297" t="s">
        <v>4609</v>
      </c>
      <c r="G297" t="s">
        <v>4610</v>
      </c>
      <c r="H297" t="s">
        <v>4611</v>
      </c>
      <c r="I297" t="s">
        <v>3772</v>
      </c>
      <c r="J297" t="s">
        <v>3773</v>
      </c>
      <c r="K297" t="s">
        <v>3850</v>
      </c>
      <c r="L297" t="s">
        <v>3800</v>
      </c>
      <c r="M297" t="s">
        <v>3776</v>
      </c>
      <c r="N297" t="s">
        <v>3777</v>
      </c>
      <c r="O297" t="s">
        <v>5556</v>
      </c>
      <c r="P297" t="s">
        <v>5557</v>
      </c>
      <c r="Q297" t="s">
        <v>4612</v>
      </c>
      <c r="R297" t="s">
        <v>4613</v>
      </c>
      <c r="S297" t="s">
        <v>4545</v>
      </c>
      <c r="T297" t="s">
        <v>5558</v>
      </c>
      <c r="U297" t="s">
        <v>5559</v>
      </c>
      <c r="V297" t="s">
        <v>4614</v>
      </c>
      <c r="W297" t="s">
        <v>3782</v>
      </c>
      <c r="X297" t="s">
        <v>3804</v>
      </c>
      <c r="Y297" t="s">
        <v>3826</v>
      </c>
      <c r="Z297" t="s">
        <v>5147</v>
      </c>
      <c r="AA297" t="s">
        <v>5148</v>
      </c>
      <c r="AB297" t="s">
        <v>4615</v>
      </c>
      <c r="AC297" s="1" t="s">
        <v>3807</v>
      </c>
      <c r="AD297" s="6" t="s">
        <v>5900</v>
      </c>
    </row>
    <row r="298" spans="1:30" x14ac:dyDescent="0.25">
      <c r="A298" t="s">
        <v>5882</v>
      </c>
      <c r="B298" t="s">
        <v>3901</v>
      </c>
      <c r="C298" t="s">
        <v>4211</v>
      </c>
      <c r="D298" t="s">
        <v>3868</v>
      </c>
      <c r="E298" t="s">
        <v>4172</v>
      </c>
      <c r="F298" t="s">
        <v>4616</v>
      </c>
      <c r="G298" t="s">
        <v>4039</v>
      </c>
      <c r="H298" t="s">
        <v>4617</v>
      </c>
      <c r="I298" t="s">
        <v>3772</v>
      </c>
      <c r="J298" t="s">
        <v>3773</v>
      </c>
      <c r="K298" t="s">
        <v>3850</v>
      </c>
      <c r="L298" t="s">
        <v>3800</v>
      </c>
      <c r="M298" t="s">
        <v>3776</v>
      </c>
      <c r="N298" t="s">
        <v>3777</v>
      </c>
      <c r="O298" t="s">
        <v>5556</v>
      </c>
      <c r="P298" t="s">
        <v>5557</v>
      </c>
      <c r="Q298" t="s">
        <v>4618</v>
      </c>
      <c r="R298" t="s">
        <v>4619</v>
      </c>
      <c r="S298" t="s">
        <v>4545</v>
      </c>
      <c r="T298" t="s">
        <v>5560</v>
      </c>
      <c r="U298" t="s">
        <v>5561</v>
      </c>
      <c r="V298" t="s">
        <v>4620</v>
      </c>
      <c r="W298" t="s">
        <v>3782</v>
      </c>
      <c r="X298" t="s">
        <v>3890</v>
      </c>
      <c r="Y298" t="s">
        <v>3891</v>
      </c>
      <c r="Z298" t="s">
        <v>5147</v>
      </c>
      <c r="AA298" t="s">
        <v>5148</v>
      </c>
      <c r="AB298" t="s">
        <v>4615</v>
      </c>
      <c r="AC298" s="1" t="s">
        <v>3807</v>
      </c>
      <c r="AD298" s="6" t="s">
        <v>5901</v>
      </c>
    </row>
    <row r="299" spans="1:30" x14ac:dyDescent="0.25">
      <c r="A299" t="s">
        <v>5882</v>
      </c>
      <c r="B299" t="s">
        <v>3901</v>
      </c>
      <c r="C299" t="s">
        <v>4621</v>
      </c>
      <c r="D299" t="s">
        <v>4622</v>
      </c>
      <c r="E299" t="s">
        <v>4172</v>
      </c>
      <c r="F299" t="s">
        <v>4623</v>
      </c>
      <c r="G299" t="s">
        <v>4624</v>
      </c>
      <c r="H299" t="s">
        <v>4625</v>
      </c>
      <c r="I299" t="s">
        <v>3772</v>
      </c>
      <c r="J299" t="s">
        <v>3773</v>
      </c>
      <c r="K299" t="s">
        <v>3908</v>
      </c>
      <c r="L299" t="s">
        <v>3800</v>
      </c>
      <c r="M299" t="s">
        <v>3776</v>
      </c>
      <c r="N299" t="s">
        <v>3777</v>
      </c>
      <c r="O299" t="s">
        <v>5556</v>
      </c>
      <c r="P299" t="s">
        <v>5557</v>
      </c>
      <c r="Q299" t="s">
        <v>4626</v>
      </c>
      <c r="R299" t="s">
        <v>4627</v>
      </c>
      <c r="S299" t="s">
        <v>4545</v>
      </c>
      <c r="T299" t="s">
        <v>5562</v>
      </c>
      <c r="U299" t="s">
        <v>5563</v>
      </c>
      <c r="V299" t="s">
        <v>4628</v>
      </c>
      <c r="W299" t="s">
        <v>3782</v>
      </c>
      <c r="X299" t="s">
        <v>3890</v>
      </c>
      <c r="Y299" t="s">
        <v>3891</v>
      </c>
      <c r="Z299" t="s">
        <v>5151</v>
      </c>
      <c r="AA299" t="s">
        <v>5150</v>
      </c>
      <c r="AB299" t="s">
        <v>4615</v>
      </c>
      <c r="AC299" s="1" t="s">
        <v>3807</v>
      </c>
      <c r="AD299" s="6" t="s">
        <v>5902</v>
      </c>
    </row>
    <row r="300" spans="1:30" x14ac:dyDescent="0.25">
      <c r="A300" t="s">
        <v>5882</v>
      </c>
      <c r="B300" t="s">
        <v>3901</v>
      </c>
      <c r="C300" t="s">
        <v>4448</v>
      </c>
      <c r="D300" t="s">
        <v>4443</v>
      </c>
      <c r="E300" t="s">
        <v>4172</v>
      </c>
      <c r="F300" t="s">
        <v>4629</v>
      </c>
      <c r="G300" t="s">
        <v>4630</v>
      </c>
      <c r="H300" t="s">
        <v>4631</v>
      </c>
      <c r="I300" t="s">
        <v>3772</v>
      </c>
      <c r="J300" t="s">
        <v>3773</v>
      </c>
      <c r="K300" t="s">
        <v>3908</v>
      </c>
      <c r="L300" t="s">
        <v>3800</v>
      </c>
      <c r="M300" t="s">
        <v>3776</v>
      </c>
      <c r="N300" t="s">
        <v>3777</v>
      </c>
      <c r="O300" t="s">
        <v>5564</v>
      </c>
      <c r="P300" t="s">
        <v>5565</v>
      </c>
      <c r="Q300" t="s">
        <v>4632</v>
      </c>
      <c r="R300" t="s">
        <v>4633</v>
      </c>
      <c r="S300" t="s">
        <v>4545</v>
      </c>
      <c r="T300" t="s">
        <v>5566</v>
      </c>
      <c r="U300" t="s">
        <v>5567</v>
      </c>
      <c r="V300" t="s">
        <v>4634</v>
      </c>
      <c r="W300" t="s">
        <v>3782</v>
      </c>
      <c r="X300" t="s">
        <v>3890</v>
      </c>
      <c r="Y300" t="s">
        <v>4635</v>
      </c>
      <c r="Z300" t="s">
        <v>5155</v>
      </c>
      <c r="AA300" t="s">
        <v>5156</v>
      </c>
      <c r="AB300" t="s">
        <v>4615</v>
      </c>
      <c r="AC300" s="1" t="s">
        <v>3807</v>
      </c>
      <c r="AD300" s="6" t="s">
        <v>5903</v>
      </c>
    </row>
    <row r="301" spans="1:30" x14ac:dyDescent="0.25">
      <c r="A301" t="s">
        <v>5882</v>
      </c>
      <c r="B301" t="s">
        <v>3901</v>
      </c>
      <c r="C301" t="s">
        <v>4636</v>
      </c>
      <c r="D301" t="s">
        <v>4637</v>
      </c>
      <c r="E301" t="s">
        <v>4172</v>
      </c>
      <c r="F301" t="s">
        <v>4638</v>
      </c>
      <c r="G301" t="s">
        <v>4639</v>
      </c>
      <c r="H301" t="s">
        <v>4640</v>
      </c>
      <c r="I301" t="s">
        <v>3772</v>
      </c>
      <c r="J301" t="s">
        <v>3773</v>
      </c>
      <c r="K301" t="s">
        <v>3908</v>
      </c>
      <c r="L301" t="s">
        <v>3800</v>
      </c>
      <c r="M301" t="s">
        <v>3776</v>
      </c>
      <c r="N301" t="s">
        <v>3777</v>
      </c>
      <c r="O301" t="s">
        <v>5564</v>
      </c>
      <c r="P301" t="s">
        <v>5565</v>
      </c>
      <c r="Q301" t="s">
        <v>4641</v>
      </c>
      <c r="R301" t="s">
        <v>4642</v>
      </c>
      <c r="S301" t="s">
        <v>4545</v>
      </c>
      <c r="T301" t="s">
        <v>5566</v>
      </c>
      <c r="U301" t="s">
        <v>5567</v>
      </c>
      <c r="V301" t="s">
        <v>4643</v>
      </c>
      <c r="W301" t="s">
        <v>3782</v>
      </c>
      <c r="X301" t="s">
        <v>3890</v>
      </c>
      <c r="Y301" t="s">
        <v>4635</v>
      </c>
      <c r="Z301" t="s">
        <v>5155</v>
      </c>
      <c r="AA301" t="s">
        <v>5156</v>
      </c>
      <c r="AB301" t="s">
        <v>4615</v>
      </c>
      <c r="AC301" s="1" t="s">
        <v>3807</v>
      </c>
      <c r="AD301" s="6" t="s">
        <v>5904</v>
      </c>
    </row>
    <row r="302" spans="1:30" x14ac:dyDescent="0.25">
      <c r="A302" t="s">
        <v>5882</v>
      </c>
      <c r="B302" t="s">
        <v>3901</v>
      </c>
      <c r="C302" t="s">
        <v>4644</v>
      </c>
      <c r="D302" t="s">
        <v>4204</v>
      </c>
      <c r="E302" t="s">
        <v>4172</v>
      </c>
      <c r="F302" t="s">
        <v>4645</v>
      </c>
      <c r="G302" t="s">
        <v>4646</v>
      </c>
      <c r="H302" t="s">
        <v>4647</v>
      </c>
      <c r="I302" t="s">
        <v>3772</v>
      </c>
      <c r="J302" t="s">
        <v>3773</v>
      </c>
      <c r="K302" t="s">
        <v>3850</v>
      </c>
      <c r="L302" t="s">
        <v>3800</v>
      </c>
      <c r="M302" t="s">
        <v>3776</v>
      </c>
      <c r="N302" t="s">
        <v>3777</v>
      </c>
      <c r="O302" t="s">
        <v>5568</v>
      </c>
      <c r="P302" t="s">
        <v>5569</v>
      </c>
      <c r="Q302" t="s">
        <v>4648</v>
      </c>
      <c r="R302" t="s">
        <v>4649</v>
      </c>
      <c r="S302" t="s">
        <v>4157</v>
      </c>
      <c r="T302" t="s">
        <v>5570</v>
      </c>
      <c r="U302" t="s">
        <v>5571</v>
      </c>
      <c r="V302" t="s">
        <v>3849</v>
      </c>
      <c r="W302" t="s">
        <v>3782</v>
      </c>
      <c r="X302" t="s">
        <v>3804</v>
      </c>
      <c r="Y302" t="s">
        <v>3826</v>
      </c>
      <c r="Z302" t="s">
        <v>5149</v>
      </c>
      <c r="AA302" t="s">
        <v>5148</v>
      </c>
      <c r="AB302" t="s">
        <v>4650</v>
      </c>
      <c r="AC302" s="1" t="s">
        <v>4180</v>
      </c>
      <c r="AD302" s="6" t="s">
        <v>5905</v>
      </c>
    </row>
    <row r="303" spans="1:30" x14ac:dyDescent="0.25">
      <c r="A303" t="s">
        <v>5882</v>
      </c>
      <c r="B303" t="s">
        <v>3901</v>
      </c>
      <c r="C303" t="s">
        <v>4651</v>
      </c>
      <c r="D303" t="s">
        <v>4652</v>
      </c>
      <c r="E303" t="s">
        <v>4172</v>
      </c>
      <c r="F303" t="s">
        <v>4653</v>
      </c>
      <c r="G303" t="s">
        <v>4654</v>
      </c>
      <c r="H303" t="s">
        <v>4655</v>
      </c>
      <c r="I303" t="s">
        <v>3772</v>
      </c>
      <c r="J303" t="s">
        <v>3773</v>
      </c>
      <c r="K303" t="s">
        <v>3850</v>
      </c>
      <c r="L303" t="s">
        <v>3800</v>
      </c>
      <c r="M303" t="s">
        <v>3776</v>
      </c>
      <c r="N303" t="s">
        <v>3777</v>
      </c>
      <c r="O303" t="s">
        <v>5572</v>
      </c>
      <c r="P303" t="s">
        <v>5573</v>
      </c>
      <c r="Q303" t="s">
        <v>4656</v>
      </c>
      <c r="R303" t="s">
        <v>4657</v>
      </c>
      <c r="S303" t="s">
        <v>4157</v>
      </c>
      <c r="T303" t="s">
        <v>5574</v>
      </c>
      <c r="U303" t="s">
        <v>5575</v>
      </c>
      <c r="V303" t="s">
        <v>4658</v>
      </c>
      <c r="W303" t="s">
        <v>3782</v>
      </c>
      <c r="X303" t="s">
        <v>3890</v>
      </c>
      <c r="Y303" t="s">
        <v>3891</v>
      </c>
      <c r="Z303" t="s">
        <v>5151</v>
      </c>
      <c r="AA303" t="s">
        <v>5148</v>
      </c>
      <c r="AB303" t="s">
        <v>4650</v>
      </c>
      <c r="AC303" s="1" t="s">
        <v>4180</v>
      </c>
      <c r="AD303" s="6" t="s">
        <v>5906</v>
      </c>
    </row>
    <row r="304" spans="1:30" x14ac:dyDescent="0.25">
      <c r="A304" t="s">
        <v>5882</v>
      </c>
      <c r="B304" t="s">
        <v>3901</v>
      </c>
      <c r="C304" t="s">
        <v>4659</v>
      </c>
      <c r="D304" t="s">
        <v>4622</v>
      </c>
      <c r="E304" t="s">
        <v>4172</v>
      </c>
      <c r="F304" t="s">
        <v>4660</v>
      </c>
      <c r="G304" t="s">
        <v>4661</v>
      </c>
      <c r="H304" t="s">
        <v>4662</v>
      </c>
      <c r="I304" t="s">
        <v>3772</v>
      </c>
      <c r="J304" t="s">
        <v>3773</v>
      </c>
      <c r="K304" t="s">
        <v>3908</v>
      </c>
      <c r="L304" t="s">
        <v>3800</v>
      </c>
      <c r="M304" t="s">
        <v>3776</v>
      </c>
      <c r="N304" t="s">
        <v>3777</v>
      </c>
      <c r="O304" t="s">
        <v>5576</v>
      </c>
      <c r="P304" t="s">
        <v>5577</v>
      </c>
      <c r="Q304" t="s">
        <v>3948</v>
      </c>
      <c r="R304" t="s">
        <v>4619</v>
      </c>
      <c r="S304" t="s">
        <v>4545</v>
      </c>
      <c r="T304" t="s">
        <v>5578</v>
      </c>
      <c r="U304" t="s">
        <v>5579</v>
      </c>
      <c r="V304" t="s">
        <v>4663</v>
      </c>
      <c r="W304" t="s">
        <v>3782</v>
      </c>
      <c r="X304" t="s">
        <v>3890</v>
      </c>
      <c r="Y304" t="s">
        <v>4635</v>
      </c>
      <c r="Z304" t="s">
        <v>5151</v>
      </c>
      <c r="AA304" t="s">
        <v>5150</v>
      </c>
      <c r="AB304" t="s">
        <v>4650</v>
      </c>
      <c r="AC304" s="1" t="s">
        <v>4180</v>
      </c>
      <c r="AD304" s="6" t="s">
        <v>5907</v>
      </c>
    </row>
    <row r="305" spans="1:30" x14ac:dyDescent="0.25">
      <c r="A305" t="s">
        <v>5882</v>
      </c>
      <c r="B305" t="s">
        <v>3901</v>
      </c>
      <c r="C305" t="s">
        <v>4066</v>
      </c>
      <c r="D305" t="s">
        <v>3967</v>
      </c>
      <c r="E305" t="s">
        <v>4172</v>
      </c>
      <c r="F305" t="s">
        <v>4664</v>
      </c>
      <c r="G305" t="s">
        <v>4665</v>
      </c>
      <c r="H305" t="s">
        <v>4666</v>
      </c>
      <c r="I305" t="s">
        <v>3772</v>
      </c>
      <c r="J305" t="s">
        <v>3773</v>
      </c>
      <c r="K305" t="s">
        <v>3908</v>
      </c>
      <c r="L305" t="s">
        <v>3800</v>
      </c>
      <c r="M305" t="s">
        <v>3776</v>
      </c>
      <c r="N305" t="s">
        <v>3777</v>
      </c>
      <c r="O305" t="s">
        <v>5580</v>
      </c>
      <c r="P305" t="s">
        <v>5581</v>
      </c>
      <c r="Q305" t="s">
        <v>4667</v>
      </c>
      <c r="R305" t="s">
        <v>4668</v>
      </c>
      <c r="S305" t="s">
        <v>4545</v>
      </c>
      <c r="T305" t="s">
        <v>5582</v>
      </c>
      <c r="U305" t="s">
        <v>5583</v>
      </c>
      <c r="V305" t="s">
        <v>4669</v>
      </c>
      <c r="W305" t="s">
        <v>3782</v>
      </c>
      <c r="X305" t="s">
        <v>3890</v>
      </c>
      <c r="Y305" t="s">
        <v>4635</v>
      </c>
      <c r="Z305" t="s">
        <v>5155</v>
      </c>
      <c r="AA305" t="s">
        <v>5156</v>
      </c>
      <c r="AB305" t="s">
        <v>4650</v>
      </c>
      <c r="AC305" s="1" t="s">
        <v>4180</v>
      </c>
      <c r="AD305" s="6" t="s">
        <v>5908</v>
      </c>
    </row>
    <row r="306" spans="1:30" x14ac:dyDescent="0.25">
      <c r="A306" t="s">
        <v>5882</v>
      </c>
      <c r="B306" t="s">
        <v>3901</v>
      </c>
      <c r="C306" t="s">
        <v>4670</v>
      </c>
      <c r="D306" t="s">
        <v>4671</v>
      </c>
      <c r="E306" t="s">
        <v>4172</v>
      </c>
      <c r="F306" t="s">
        <v>4672</v>
      </c>
      <c r="G306" t="s">
        <v>4673</v>
      </c>
      <c r="H306" t="s">
        <v>4674</v>
      </c>
      <c r="I306" t="s">
        <v>3772</v>
      </c>
      <c r="J306" t="s">
        <v>3773</v>
      </c>
      <c r="K306" t="s">
        <v>3908</v>
      </c>
      <c r="L306" t="s">
        <v>3800</v>
      </c>
      <c r="M306" t="s">
        <v>3776</v>
      </c>
      <c r="N306" t="s">
        <v>3777</v>
      </c>
      <c r="O306" t="s">
        <v>5580</v>
      </c>
      <c r="P306" t="s">
        <v>5581</v>
      </c>
      <c r="Q306" t="s">
        <v>4675</v>
      </c>
      <c r="R306" t="s">
        <v>4676</v>
      </c>
      <c r="S306" t="s">
        <v>4545</v>
      </c>
      <c r="T306" t="s">
        <v>5582</v>
      </c>
      <c r="U306" t="s">
        <v>5583</v>
      </c>
      <c r="V306" t="s">
        <v>4677</v>
      </c>
      <c r="W306" t="s">
        <v>3782</v>
      </c>
      <c r="X306" t="s">
        <v>3890</v>
      </c>
      <c r="Y306" t="s">
        <v>4635</v>
      </c>
      <c r="Z306" t="s">
        <v>5155</v>
      </c>
      <c r="AA306" t="s">
        <v>5156</v>
      </c>
      <c r="AB306" t="s">
        <v>4650</v>
      </c>
      <c r="AC306" s="1" t="s">
        <v>4180</v>
      </c>
      <c r="AD306" s="6" t="s">
        <v>5909</v>
      </c>
    </row>
    <row r="307" spans="1:30" x14ac:dyDescent="0.25">
      <c r="A307" t="s">
        <v>5882</v>
      </c>
      <c r="B307" t="s">
        <v>3901</v>
      </c>
      <c r="C307" t="s">
        <v>4203</v>
      </c>
      <c r="D307" t="s">
        <v>4204</v>
      </c>
      <c r="E307" t="s">
        <v>4172</v>
      </c>
      <c r="F307" t="s">
        <v>4609</v>
      </c>
      <c r="G307" t="s">
        <v>4678</v>
      </c>
      <c r="H307" t="s">
        <v>4611</v>
      </c>
      <c r="I307" t="s">
        <v>3772</v>
      </c>
      <c r="J307" t="s">
        <v>3773</v>
      </c>
      <c r="K307" t="s">
        <v>3850</v>
      </c>
      <c r="L307" t="s">
        <v>3800</v>
      </c>
      <c r="M307" t="s">
        <v>3776</v>
      </c>
      <c r="N307" t="s">
        <v>3777</v>
      </c>
      <c r="O307" t="s">
        <v>5584</v>
      </c>
      <c r="P307" t="s">
        <v>5585</v>
      </c>
      <c r="Q307" t="s">
        <v>3875</v>
      </c>
      <c r="R307" t="s">
        <v>4679</v>
      </c>
      <c r="S307" t="s">
        <v>4545</v>
      </c>
      <c r="T307" t="s">
        <v>5558</v>
      </c>
      <c r="U307" t="s">
        <v>5559</v>
      </c>
      <c r="V307" t="s">
        <v>4680</v>
      </c>
      <c r="W307" t="s">
        <v>3782</v>
      </c>
      <c r="X307" t="s">
        <v>3804</v>
      </c>
      <c r="Y307" t="s">
        <v>3826</v>
      </c>
      <c r="Z307" t="s">
        <v>5147</v>
      </c>
      <c r="AA307" t="s">
        <v>5148</v>
      </c>
      <c r="AB307" t="s">
        <v>4615</v>
      </c>
      <c r="AC307" s="1" t="s">
        <v>3807</v>
      </c>
      <c r="AD307" s="6" t="s">
        <v>5910</v>
      </c>
    </row>
    <row r="308" spans="1:30" x14ac:dyDescent="0.25">
      <c r="A308" t="s">
        <v>5882</v>
      </c>
      <c r="B308" t="s">
        <v>3901</v>
      </c>
      <c r="C308" t="s">
        <v>4211</v>
      </c>
      <c r="D308" t="s">
        <v>3868</v>
      </c>
      <c r="E308" t="s">
        <v>4172</v>
      </c>
      <c r="F308" t="s">
        <v>4681</v>
      </c>
      <c r="G308" t="s">
        <v>4682</v>
      </c>
      <c r="H308" t="s">
        <v>4683</v>
      </c>
      <c r="I308" t="s">
        <v>3772</v>
      </c>
      <c r="J308" t="s">
        <v>3773</v>
      </c>
      <c r="K308" t="s">
        <v>3850</v>
      </c>
      <c r="L308" t="s">
        <v>3800</v>
      </c>
      <c r="M308" t="s">
        <v>3776</v>
      </c>
      <c r="N308" t="s">
        <v>3777</v>
      </c>
      <c r="O308" t="s">
        <v>5586</v>
      </c>
      <c r="P308" t="s">
        <v>5587</v>
      </c>
      <c r="Q308" t="s">
        <v>4612</v>
      </c>
      <c r="R308" t="s">
        <v>4684</v>
      </c>
      <c r="S308" t="s">
        <v>4545</v>
      </c>
      <c r="T308" t="s">
        <v>5560</v>
      </c>
      <c r="U308" t="s">
        <v>5561</v>
      </c>
      <c r="V308" t="s">
        <v>4685</v>
      </c>
      <c r="W308" t="s">
        <v>3782</v>
      </c>
      <c r="X308" t="s">
        <v>3890</v>
      </c>
      <c r="Y308" t="s">
        <v>3891</v>
      </c>
      <c r="Z308" t="s">
        <v>5147</v>
      </c>
      <c r="AA308" t="s">
        <v>5148</v>
      </c>
      <c r="AB308" t="s">
        <v>4615</v>
      </c>
      <c r="AC308" s="1" t="s">
        <v>3807</v>
      </c>
      <c r="AD308" s="6" t="s">
        <v>5911</v>
      </c>
    </row>
    <row r="309" spans="1:30" x14ac:dyDescent="0.25">
      <c r="A309" t="s">
        <v>5882</v>
      </c>
      <c r="B309" t="s">
        <v>3901</v>
      </c>
      <c r="C309" t="s">
        <v>4659</v>
      </c>
      <c r="D309" t="s">
        <v>4622</v>
      </c>
      <c r="E309" t="s">
        <v>4172</v>
      </c>
      <c r="F309" t="s">
        <v>4623</v>
      </c>
      <c r="G309" t="s">
        <v>4686</v>
      </c>
      <c r="H309" t="s">
        <v>4687</v>
      </c>
      <c r="I309" t="s">
        <v>3772</v>
      </c>
      <c r="J309" t="s">
        <v>3773</v>
      </c>
      <c r="K309" t="s">
        <v>3908</v>
      </c>
      <c r="L309" t="s">
        <v>3800</v>
      </c>
      <c r="M309" t="s">
        <v>3776</v>
      </c>
      <c r="N309" t="s">
        <v>3777</v>
      </c>
      <c r="O309" t="s">
        <v>5588</v>
      </c>
      <c r="P309" t="s">
        <v>5589</v>
      </c>
      <c r="Q309" t="s">
        <v>4612</v>
      </c>
      <c r="R309" t="s">
        <v>4688</v>
      </c>
      <c r="S309" t="s">
        <v>4266</v>
      </c>
      <c r="T309" t="s">
        <v>5562</v>
      </c>
      <c r="U309" t="s">
        <v>5590</v>
      </c>
      <c r="V309" t="s">
        <v>4689</v>
      </c>
      <c r="W309" t="s">
        <v>3782</v>
      </c>
      <c r="X309" t="s">
        <v>3890</v>
      </c>
      <c r="Y309" t="s">
        <v>3891</v>
      </c>
      <c r="Z309" t="s">
        <v>5151</v>
      </c>
      <c r="AA309" t="s">
        <v>5150</v>
      </c>
      <c r="AB309" t="s">
        <v>4615</v>
      </c>
      <c r="AC309" s="1" t="s">
        <v>3807</v>
      </c>
      <c r="AD309" s="6" t="s">
        <v>5912</v>
      </c>
    </row>
    <row r="310" spans="1:30" x14ac:dyDescent="0.25">
      <c r="A310" t="s">
        <v>5882</v>
      </c>
      <c r="B310" t="s">
        <v>3901</v>
      </c>
      <c r="C310" t="s">
        <v>4448</v>
      </c>
      <c r="D310" t="s">
        <v>4443</v>
      </c>
      <c r="E310" t="s">
        <v>4172</v>
      </c>
      <c r="F310" t="s">
        <v>4690</v>
      </c>
      <c r="G310" t="s">
        <v>4691</v>
      </c>
      <c r="H310" t="s">
        <v>4692</v>
      </c>
      <c r="I310" t="s">
        <v>3772</v>
      </c>
      <c r="J310" t="s">
        <v>3773</v>
      </c>
      <c r="K310" t="s">
        <v>3908</v>
      </c>
      <c r="L310" t="s">
        <v>3800</v>
      </c>
      <c r="M310" t="s">
        <v>3776</v>
      </c>
      <c r="N310" t="s">
        <v>3777</v>
      </c>
      <c r="O310" t="s">
        <v>5591</v>
      </c>
      <c r="P310" t="s">
        <v>5592</v>
      </c>
      <c r="Q310" t="s">
        <v>4693</v>
      </c>
      <c r="R310" t="s">
        <v>4694</v>
      </c>
      <c r="S310" t="s">
        <v>4157</v>
      </c>
      <c r="T310" t="s">
        <v>5593</v>
      </c>
      <c r="U310" t="s">
        <v>5567</v>
      </c>
      <c r="V310" t="s">
        <v>4695</v>
      </c>
      <c r="W310" t="s">
        <v>3782</v>
      </c>
      <c r="X310" t="s">
        <v>3890</v>
      </c>
      <c r="Y310" t="s">
        <v>4635</v>
      </c>
      <c r="Z310" t="s">
        <v>5155</v>
      </c>
      <c r="AA310" t="s">
        <v>5156</v>
      </c>
      <c r="AB310" t="s">
        <v>4615</v>
      </c>
      <c r="AC310" s="1" t="s">
        <v>3807</v>
      </c>
      <c r="AD310" s="6" t="s">
        <v>5913</v>
      </c>
    </row>
    <row r="311" spans="1:30" x14ac:dyDescent="0.25">
      <c r="A311" t="s">
        <v>5882</v>
      </c>
      <c r="B311" t="s">
        <v>3901</v>
      </c>
      <c r="C311" t="s">
        <v>4670</v>
      </c>
      <c r="D311" t="s">
        <v>4671</v>
      </c>
      <c r="E311" t="s">
        <v>4172</v>
      </c>
      <c r="F311" t="s">
        <v>4696</v>
      </c>
      <c r="G311" t="s">
        <v>4697</v>
      </c>
      <c r="H311" t="s">
        <v>4698</v>
      </c>
      <c r="I311" t="s">
        <v>3772</v>
      </c>
      <c r="J311" t="s">
        <v>3773</v>
      </c>
      <c r="K311" t="s">
        <v>3908</v>
      </c>
      <c r="L311" t="s">
        <v>3800</v>
      </c>
      <c r="M311" t="s">
        <v>3776</v>
      </c>
      <c r="N311" t="s">
        <v>3777</v>
      </c>
      <c r="O311" t="s">
        <v>5591</v>
      </c>
      <c r="P311" t="s">
        <v>5592</v>
      </c>
      <c r="Q311" t="s">
        <v>4693</v>
      </c>
      <c r="R311" t="s">
        <v>4694</v>
      </c>
      <c r="S311" t="s">
        <v>4157</v>
      </c>
      <c r="T311" t="s">
        <v>5593</v>
      </c>
      <c r="U311" t="s">
        <v>5567</v>
      </c>
      <c r="V311" t="s">
        <v>4699</v>
      </c>
      <c r="W311" t="s">
        <v>3782</v>
      </c>
      <c r="X311" t="s">
        <v>3890</v>
      </c>
      <c r="Y311" t="s">
        <v>4635</v>
      </c>
      <c r="Z311" t="s">
        <v>5155</v>
      </c>
      <c r="AA311" t="s">
        <v>5156</v>
      </c>
      <c r="AB311" t="s">
        <v>4615</v>
      </c>
      <c r="AC311" s="1" t="s">
        <v>3807</v>
      </c>
      <c r="AD311" s="6" t="s">
        <v>5914</v>
      </c>
    </row>
    <row r="312" spans="1:30" x14ac:dyDescent="0.25">
      <c r="A312" t="s">
        <v>5882</v>
      </c>
      <c r="B312" t="s">
        <v>4001</v>
      </c>
      <c r="C312" t="s">
        <v>4196</v>
      </c>
      <c r="D312" t="s">
        <v>3814</v>
      </c>
      <c r="E312" t="s">
        <v>4172</v>
      </c>
      <c r="F312" t="s">
        <v>4700</v>
      </c>
      <c r="G312" t="s">
        <v>4701</v>
      </c>
      <c r="H312" t="s">
        <v>4046</v>
      </c>
      <c r="I312" t="s">
        <v>3772</v>
      </c>
      <c r="J312" t="s">
        <v>3773</v>
      </c>
      <c r="K312" t="s">
        <v>3850</v>
      </c>
      <c r="L312" t="s">
        <v>3800</v>
      </c>
      <c r="M312" t="s">
        <v>3776</v>
      </c>
      <c r="N312" t="s">
        <v>3777</v>
      </c>
      <c r="O312" t="s">
        <v>5594</v>
      </c>
      <c r="P312" s="15" t="s">
        <v>5595</v>
      </c>
      <c r="Q312" t="s">
        <v>4702</v>
      </c>
      <c r="R312" t="s">
        <v>4703</v>
      </c>
      <c r="S312" t="s">
        <v>4266</v>
      </c>
      <c r="T312" t="s">
        <v>5596</v>
      </c>
      <c r="U312" t="s">
        <v>5597</v>
      </c>
      <c r="V312" t="s">
        <v>4704</v>
      </c>
      <c r="W312" t="s">
        <v>3782</v>
      </c>
      <c r="X312" t="s">
        <v>3804</v>
      </c>
      <c r="Y312" t="s">
        <v>3826</v>
      </c>
      <c r="Z312" t="s">
        <v>5153</v>
      </c>
      <c r="AA312" t="s">
        <v>5154</v>
      </c>
      <c r="AB312" t="s">
        <v>4615</v>
      </c>
      <c r="AC312" s="1" t="s">
        <v>3807</v>
      </c>
      <c r="AD312" s="6" t="s">
        <v>5915</v>
      </c>
    </row>
    <row r="313" spans="1:30" x14ac:dyDescent="0.25">
      <c r="A313" t="s">
        <v>5882</v>
      </c>
      <c r="B313" t="s">
        <v>4001</v>
      </c>
      <c r="C313" t="s">
        <v>4203</v>
      </c>
      <c r="D313" t="s">
        <v>4204</v>
      </c>
      <c r="E313" t="s">
        <v>4172</v>
      </c>
      <c r="F313" t="s">
        <v>4609</v>
      </c>
      <c r="G313" t="s">
        <v>4610</v>
      </c>
      <c r="H313" t="s">
        <v>4705</v>
      </c>
      <c r="I313" t="s">
        <v>3772</v>
      </c>
      <c r="J313" t="s">
        <v>3773</v>
      </c>
      <c r="K313" t="s">
        <v>3850</v>
      </c>
      <c r="L313" t="s">
        <v>3800</v>
      </c>
      <c r="M313" t="s">
        <v>3776</v>
      </c>
      <c r="N313" t="s">
        <v>3777</v>
      </c>
      <c r="O313" t="s">
        <v>5594</v>
      </c>
      <c r="P313" s="15" t="s">
        <v>5595</v>
      </c>
      <c r="Q313" t="s">
        <v>4702</v>
      </c>
      <c r="R313" t="s">
        <v>4706</v>
      </c>
      <c r="S313" t="s">
        <v>4545</v>
      </c>
      <c r="T313" t="s">
        <v>5558</v>
      </c>
      <c r="U313" t="s">
        <v>5559</v>
      </c>
      <c r="V313" t="s">
        <v>4614</v>
      </c>
      <c r="W313" t="s">
        <v>3782</v>
      </c>
      <c r="X313" t="s">
        <v>3804</v>
      </c>
      <c r="Y313" t="s">
        <v>3826</v>
      </c>
      <c r="Z313" t="s">
        <v>5147</v>
      </c>
      <c r="AA313" t="s">
        <v>5148</v>
      </c>
      <c r="AB313" t="s">
        <v>4615</v>
      </c>
      <c r="AC313" s="1" t="s">
        <v>3807</v>
      </c>
      <c r="AD313" s="6" t="s">
        <v>5916</v>
      </c>
    </row>
    <row r="314" spans="1:30" x14ac:dyDescent="0.25">
      <c r="A314" t="s">
        <v>5882</v>
      </c>
      <c r="B314" t="s">
        <v>4001</v>
      </c>
      <c r="C314" t="s">
        <v>4211</v>
      </c>
      <c r="D314" t="s">
        <v>3868</v>
      </c>
      <c r="E314" t="s">
        <v>4172</v>
      </c>
      <c r="F314" t="s">
        <v>4616</v>
      </c>
      <c r="G314" t="s">
        <v>4039</v>
      </c>
      <c r="H314" t="s">
        <v>4561</v>
      </c>
      <c r="I314" t="s">
        <v>3772</v>
      </c>
      <c r="J314" t="s">
        <v>3773</v>
      </c>
      <c r="K314" t="s">
        <v>3850</v>
      </c>
      <c r="L314" t="s">
        <v>3800</v>
      </c>
      <c r="M314" t="s">
        <v>3776</v>
      </c>
      <c r="N314" t="s">
        <v>3777</v>
      </c>
      <c r="O314" t="s">
        <v>5327</v>
      </c>
      <c r="P314" s="15" t="s">
        <v>5328</v>
      </c>
      <c r="Q314" t="s">
        <v>3778</v>
      </c>
      <c r="R314" t="s">
        <v>4707</v>
      </c>
      <c r="S314" t="s">
        <v>4545</v>
      </c>
      <c r="T314" t="s">
        <v>5560</v>
      </c>
      <c r="U314" t="s">
        <v>5561</v>
      </c>
      <c r="V314" t="s">
        <v>4620</v>
      </c>
      <c r="W314" t="s">
        <v>3782</v>
      </c>
      <c r="X314" t="s">
        <v>3890</v>
      </c>
      <c r="Y314" t="s">
        <v>3891</v>
      </c>
      <c r="Z314" t="s">
        <v>5147</v>
      </c>
      <c r="AA314" t="s">
        <v>5148</v>
      </c>
      <c r="AB314" t="s">
        <v>4615</v>
      </c>
      <c r="AC314" s="1" t="s">
        <v>3807</v>
      </c>
      <c r="AD314" s="6" t="s">
        <v>5917</v>
      </c>
    </row>
    <row r="315" spans="1:30" x14ac:dyDescent="0.25">
      <c r="A315" t="s">
        <v>5882</v>
      </c>
      <c r="B315" t="s">
        <v>4001</v>
      </c>
      <c r="C315" t="s">
        <v>4621</v>
      </c>
      <c r="D315" t="s">
        <v>4622</v>
      </c>
      <c r="E315" t="s">
        <v>4172</v>
      </c>
      <c r="F315" t="s">
        <v>4623</v>
      </c>
      <c r="G315" t="s">
        <v>4708</v>
      </c>
      <c r="H315" t="s">
        <v>4625</v>
      </c>
      <c r="I315" t="s">
        <v>3772</v>
      </c>
      <c r="J315" t="s">
        <v>3773</v>
      </c>
      <c r="K315" t="s">
        <v>3908</v>
      </c>
      <c r="L315" t="s">
        <v>3800</v>
      </c>
      <c r="M315" t="s">
        <v>3776</v>
      </c>
      <c r="N315" t="s">
        <v>3777</v>
      </c>
      <c r="O315" t="s">
        <v>5327</v>
      </c>
      <c r="P315" s="15" t="s">
        <v>5328</v>
      </c>
      <c r="Q315" t="s">
        <v>3778</v>
      </c>
      <c r="R315" t="s">
        <v>4709</v>
      </c>
      <c r="S315" t="s">
        <v>4545</v>
      </c>
      <c r="T315" t="s">
        <v>5562</v>
      </c>
      <c r="U315" t="s">
        <v>5563</v>
      </c>
      <c r="V315" t="s">
        <v>4628</v>
      </c>
      <c r="W315" t="s">
        <v>3782</v>
      </c>
      <c r="X315" t="s">
        <v>3890</v>
      </c>
      <c r="Y315" t="s">
        <v>3891</v>
      </c>
      <c r="Z315" t="s">
        <v>5151</v>
      </c>
      <c r="AA315" t="s">
        <v>5150</v>
      </c>
      <c r="AB315" t="s">
        <v>4615</v>
      </c>
      <c r="AC315" s="1" t="s">
        <v>3807</v>
      </c>
      <c r="AD315" s="6" t="s">
        <v>5918</v>
      </c>
    </row>
    <row r="316" spans="1:30" x14ac:dyDescent="0.25">
      <c r="A316" t="s">
        <v>5882</v>
      </c>
      <c r="B316" t="s">
        <v>4001</v>
      </c>
      <c r="C316" t="s">
        <v>4448</v>
      </c>
      <c r="D316" t="s">
        <v>4443</v>
      </c>
      <c r="E316" t="s">
        <v>4172</v>
      </c>
      <c r="F316" t="s">
        <v>4629</v>
      </c>
      <c r="G316" t="s">
        <v>4630</v>
      </c>
      <c r="H316" t="s">
        <v>4631</v>
      </c>
      <c r="I316" t="s">
        <v>3772</v>
      </c>
      <c r="J316" t="s">
        <v>3773</v>
      </c>
      <c r="K316" t="s">
        <v>3908</v>
      </c>
      <c r="L316" t="s">
        <v>3800</v>
      </c>
      <c r="M316" t="s">
        <v>3776</v>
      </c>
      <c r="N316" t="s">
        <v>3777</v>
      </c>
      <c r="O316" t="s">
        <v>5327</v>
      </c>
      <c r="P316" s="15" t="s">
        <v>5328</v>
      </c>
      <c r="Q316" t="s">
        <v>3778</v>
      </c>
      <c r="R316" t="s">
        <v>4710</v>
      </c>
      <c r="S316" t="s">
        <v>4545</v>
      </c>
      <c r="T316" t="s">
        <v>5566</v>
      </c>
      <c r="U316" t="s">
        <v>5567</v>
      </c>
      <c r="V316" t="s">
        <v>4634</v>
      </c>
      <c r="W316" t="s">
        <v>3782</v>
      </c>
      <c r="X316" t="s">
        <v>3890</v>
      </c>
      <c r="Y316" t="s">
        <v>4635</v>
      </c>
      <c r="Z316" t="s">
        <v>5155</v>
      </c>
      <c r="AA316" t="s">
        <v>5156</v>
      </c>
      <c r="AB316" t="s">
        <v>4615</v>
      </c>
      <c r="AC316" s="1" t="s">
        <v>3807</v>
      </c>
      <c r="AD316" s="6" t="s">
        <v>5919</v>
      </c>
    </row>
    <row r="317" spans="1:30" x14ac:dyDescent="0.25">
      <c r="A317" t="s">
        <v>5882</v>
      </c>
      <c r="B317" t="s">
        <v>4001</v>
      </c>
      <c r="C317" t="s">
        <v>4636</v>
      </c>
      <c r="D317" t="s">
        <v>4637</v>
      </c>
      <c r="E317" t="s">
        <v>4172</v>
      </c>
      <c r="F317" t="s">
        <v>4638</v>
      </c>
      <c r="G317" t="s">
        <v>4639</v>
      </c>
      <c r="H317" t="s">
        <v>4640</v>
      </c>
      <c r="I317" t="s">
        <v>3772</v>
      </c>
      <c r="J317" t="s">
        <v>3773</v>
      </c>
      <c r="K317" t="s">
        <v>3908</v>
      </c>
      <c r="L317" t="s">
        <v>3800</v>
      </c>
      <c r="M317" t="s">
        <v>3776</v>
      </c>
      <c r="N317" t="s">
        <v>3777</v>
      </c>
      <c r="O317" t="s">
        <v>5327</v>
      </c>
      <c r="P317" s="15" t="s">
        <v>5328</v>
      </c>
      <c r="Q317" t="s">
        <v>3778</v>
      </c>
      <c r="R317" t="s">
        <v>4710</v>
      </c>
      <c r="S317" t="s">
        <v>4545</v>
      </c>
      <c r="T317" t="s">
        <v>5566</v>
      </c>
      <c r="U317" t="s">
        <v>5567</v>
      </c>
      <c r="V317" t="s">
        <v>4643</v>
      </c>
      <c r="W317" t="s">
        <v>3782</v>
      </c>
      <c r="X317" t="s">
        <v>3890</v>
      </c>
      <c r="Y317" t="s">
        <v>4635</v>
      </c>
      <c r="Z317" t="s">
        <v>5155</v>
      </c>
      <c r="AA317" t="s">
        <v>5156</v>
      </c>
      <c r="AB317" t="s">
        <v>4615</v>
      </c>
      <c r="AC317" s="1" t="s">
        <v>3807</v>
      </c>
      <c r="AD317" s="6" t="s">
        <v>5920</v>
      </c>
    </row>
    <row r="318" spans="1:30" x14ac:dyDescent="0.25">
      <c r="A318" t="s">
        <v>5882</v>
      </c>
      <c r="B318" t="s">
        <v>4001</v>
      </c>
      <c r="C318" t="s">
        <v>4196</v>
      </c>
      <c r="D318" t="s">
        <v>3814</v>
      </c>
      <c r="E318" t="s">
        <v>4172</v>
      </c>
      <c r="F318" t="s">
        <v>4585</v>
      </c>
      <c r="G318" t="s">
        <v>4711</v>
      </c>
      <c r="H318" t="s">
        <v>3992</v>
      </c>
      <c r="I318" t="s">
        <v>3772</v>
      </c>
      <c r="J318" t="s">
        <v>3773</v>
      </c>
      <c r="K318" t="s">
        <v>3850</v>
      </c>
      <c r="L318" t="s">
        <v>3800</v>
      </c>
      <c r="M318" t="s">
        <v>3776</v>
      </c>
      <c r="N318" t="s">
        <v>3777</v>
      </c>
      <c r="O318" t="s">
        <v>5598</v>
      </c>
      <c r="P318" s="15" t="s">
        <v>5599</v>
      </c>
      <c r="Q318" t="s">
        <v>4345</v>
      </c>
      <c r="R318" t="s">
        <v>4384</v>
      </c>
      <c r="S318" t="s">
        <v>4157</v>
      </c>
      <c r="T318" t="s">
        <v>5600</v>
      </c>
      <c r="U318" t="s">
        <v>5601</v>
      </c>
      <c r="V318" t="s">
        <v>4712</v>
      </c>
      <c r="W318" t="s">
        <v>3782</v>
      </c>
      <c r="X318" t="s">
        <v>3804</v>
      </c>
      <c r="Y318" t="s">
        <v>3826</v>
      </c>
      <c r="Z318" t="s">
        <v>5149</v>
      </c>
      <c r="AA318" t="s">
        <v>5148</v>
      </c>
      <c r="AB318" t="s">
        <v>4650</v>
      </c>
      <c r="AC318" s="1" t="s">
        <v>4180</v>
      </c>
      <c r="AD318" s="6" t="s">
        <v>5921</v>
      </c>
    </row>
    <row r="319" spans="1:30" x14ac:dyDescent="0.25">
      <c r="A319" t="s">
        <v>5882</v>
      </c>
      <c r="B319" t="s">
        <v>4001</v>
      </c>
      <c r="C319" t="s">
        <v>4713</v>
      </c>
      <c r="D319" t="s">
        <v>3841</v>
      </c>
      <c r="E319" t="s">
        <v>4172</v>
      </c>
      <c r="F319" t="s">
        <v>4609</v>
      </c>
      <c r="G319" t="s">
        <v>4714</v>
      </c>
      <c r="H319" t="s">
        <v>4715</v>
      </c>
      <c r="I319" t="s">
        <v>3772</v>
      </c>
      <c r="J319" t="s">
        <v>3773</v>
      </c>
      <c r="K319" t="s">
        <v>3850</v>
      </c>
      <c r="L319" t="s">
        <v>3800</v>
      </c>
      <c r="M319" t="s">
        <v>3776</v>
      </c>
      <c r="N319" t="s">
        <v>3777</v>
      </c>
      <c r="O319" t="s">
        <v>5598</v>
      </c>
      <c r="P319" s="15" t="s">
        <v>5599</v>
      </c>
      <c r="Q319" t="s">
        <v>4345</v>
      </c>
      <c r="R319" t="s">
        <v>4384</v>
      </c>
      <c r="S319" t="s">
        <v>4157</v>
      </c>
      <c r="T319" t="s">
        <v>5570</v>
      </c>
      <c r="U319" t="s">
        <v>5571</v>
      </c>
      <c r="V319" t="s">
        <v>3849</v>
      </c>
      <c r="W319" t="s">
        <v>3782</v>
      </c>
      <c r="X319" t="s">
        <v>3804</v>
      </c>
      <c r="Y319" t="s">
        <v>3826</v>
      </c>
      <c r="Z319" t="s">
        <v>5149</v>
      </c>
      <c r="AA319" t="s">
        <v>5148</v>
      </c>
      <c r="AB319" t="s">
        <v>4650</v>
      </c>
      <c r="AC319" s="1" t="s">
        <v>4180</v>
      </c>
      <c r="AD319" s="6" t="s">
        <v>5922</v>
      </c>
    </row>
    <row r="320" spans="1:30" x14ac:dyDescent="0.25">
      <c r="A320" t="s">
        <v>5882</v>
      </c>
      <c r="B320" t="s">
        <v>4001</v>
      </c>
      <c r="C320" t="s">
        <v>4651</v>
      </c>
      <c r="D320" t="s">
        <v>4652</v>
      </c>
      <c r="E320" t="s">
        <v>4172</v>
      </c>
      <c r="F320" t="s">
        <v>4653</v>
      </c>
      <c r="G320" t="s">
        <v>4716</v>
      </c>
      <c r="H320" t="s">
        <v>4717</v>
      </c>
      <c r="I320" t="s">
        <v>3772</v>
      </c>
      <c r="J320" t="s">
        <v>3773</v>
      </c>
      <c r="K320" t="s">
        <v>3850</v>
      </c>
      <c r="L320" t="s">
        <v>3800</v>
      </c>
      <c r="M320" t="s">
        <v>3776</v>
      </c>
      <c r="N320" t="s">
        <v>3777</v>
      </c>
      <c r="O320" t="s">
        <v>5602</v>
      </c>
      <c r="P320" t="s">
        <v>5603</v>
      </c>
      <c r="Q320" t="s">
        <v>4327</v>
      </c>
      <c r="R320" t="s">
        <v>4718</v>
      </c>
      <c r="S320" t="s">
        <v>4157</v>
      </c>
      <c r="T320" t="s">
        <v>5574</v>
      </c>
      <c r="U320" t="s">
        <v>5575</v>
      </c>
      <c r="V320" t="s">
        <v>4658</v>
      </c>
      <c r="W320" t="s">
        <v>3782</v>
      </c>
      <c r="X320" t="s">
        <v>3890</v>
      </c>
      <c r="Y320" t="s">
        <v>3891</v>
      </c>
      <c r="Z320" t="s">
        <v>5151</v>
      </c>
      <c r="AA320" t="s">
        <v>5148</v>
      </c>
      <c r="AB320" t="s">
        <v>4650</v>
      </c>
      <c r="AC320" s="1" t="s">
        <v>4180</v>
      </c>
      <c r="AD320" s="6" t="s">
        <v>5923</v>
      </c>
    </row>
    <row r="321" spans="1:30" x14ac:dyDescent="0.25">
      <c r="A321" t="s">
        <v>5882</v>
      </c>
      <c r="B321" t="s">
        <v>4001</v>
      </c>
      <c r="C321" t="s">
        <v>4651</v>
      </c>
      <c r="D321" t="s">
        <v>4652</v>
      </c>
      <c r="E321" t="s">
        <v>4172</v>
      </c>
      <c r="F321" t="s">
        <v>4653</v>
      </c>
      <c r="G321" t="s">
        <v>4716</v>
      </c>
      <c r="H321" t="s">
        <v>4717</v>
      </c>
      <c r="I321" t="s">
        <v>3772</v>
      </c>
      <c r="J321" t="s">
        <v>3773</v>
      </c>
      <c r="K321" t="s">
        <v>3850</v>
      </c>
      <c r="L321" t="s">
        <v>3800</v>
      </c>
      <c r="M321" t="s">
        <v>3776</v>
      </c>
      <c r="N321" t="s">
        <v>3777</v>
      </c>
      <c r="O321" t="s">
        <v>5602</v>
      </c>
      <c r="P321" t="s">
        <v>5603</v>
      </c>
      <c r="Q321" t="s">
        <v>4327</v>
      </c>
      <c r="R321" t="s">
        <v>4718</v>
      </c>
      <c r="S321" t="s">
        <v>4157</v>
      </c>
      <c r="T321" t="s">
        <v>5574</v>
      </c>
      <c r="U321" t="s">
        <v>5575</v>
      </c>
      <c r="V321" t="s">
        <v>4658</v>
      </c>
      <c r="W321" t="s">
        <v>3782</v>
      </c>
      <c r="X321" t="s">
        <v>3890</v>
      </c>
      <c r="Y321" t="s">
        <v>3891</v>
      </c>
      <c r="Z321" t="s">
        <v>5151</v>
      </c>
      <c r="AA321" t="s">
        <v>5148</v>
      </c>
      <c r="AB321" t="s">
        <v>4650</v>
      </c>
      <c r="AC321" s="1" t="s">
        <v>4180</v>
      </c>
      <c r="AD321" s="6" t="s">
        <v>5923</v>
      </c>
    </row>
    <row r="322" spans="1:30" x14ac:dyDescent="0.25">
      <c r="A322" t="s">
        <v>5882</v>
      </c>
      <c r="B322" t="s">
        <v>4001</v>
      </c>
      <c r="C322" t="s">
        <v>4719</v>
      </c>
      <c r="D322" t="s">
        <v>4720</v>
      </c>
      <c r="E322" t="s">
        <v>4172</v>
      </c>
      <c r="F322" t="s">
        <v>4660</v>
      </c>
      <c r="G322" t="s">
        <v>4721</v>
      </c>
      <c r="H322" t="s">
        <v>4722</v>
      </c>
      <c r="I322" t="s">
        <v>3772</v>
      </c>
      <c r="J322" t="s">
        <v>3773</v>
      </c>
      <c r="K322" t="s">
        <v>3908</v>
      </c>
      <c r="L322" t="s">
        <v>3800</v>
      </c>
      <c r="M322" t="s">
        <v>3776</v>
      </c>
      <c r="N322" t="s">
        <v>3777</v>
      </c>
      <c r="O322" t="s">
        <v>5602</v>
      </c>
      <c r="P322" t="s">
        <v>5603</v>
      </c>
      <c r="Q322" t="s">
        <v>4327</v>
      </c>
      <c r="R322" t="s">
        <v>4723</v>
      </c>
      <c r="S322" t="s">
        <v>4545</v>
      </c>
      <c r="T322" t="s">
        <v>5578</v>
      </c>
      <c r="U322" t="s">
        <v>5579</v>
      </c>
      <c r="V322" t="s">
        <v>4663</v>
      </c>
      <c r="W322" t="s">
        <v>3782</v>
      </c>
      <c r="X322" t="s">
        <v>3890</v>
      </c>
      <c r="Y322" t="s">
        <v>4635</v>
      </c>
      <c r="Z322" t="s">
        <v>5151</v>
      </c>
      <c r="AA322" t="s">
        <v>5150</v>
      </c>
      <c r="AB322" t="s">
        <v>4650</v>
      </c>
      <c r="AC322" s="1" t="s">
        <v>4180</v>
      </c>
      <c r="AD322" s="6" t="s">
        <v>5924</v>
      </c>
    </row>
    <row r="323" spans="1:30" x14ac:dyDescent="0.25">
      <c r="A323" t="s">
        <v>5882</v>
      </c>
      <c r="B323" t="s">
        <v>4001</v>
      </c>
      <c r="C323" t="s">
        <v>4719</v>
      </c>
      <c r="D323" t="s">
        <v>4720</v>
      </c>
      <c r="E323" t="s">
        <v>4172</v>
      </c>
      <c r="F323" t="s">
        <v>4660</v>
      </c>
      <c r="G323" t="s">
        <v>4721</v>
      </c>
      <c r="H323" t="s">
        <v>4722</v>
      </c>
      <c r="I323" t="s">
        <v>3772</v>
      </c>
      <c r="J323" t="s">
        <v>3773</v>
      </c>
      <c r="K323" t="s">
        <v>3908</v>
      </c>
      <c r="L323" t="s">
        <v>3800</v>
      </c>
      <c r="M323" t="s">
        <v>3776</v>
      </c>
      <c r="N323" t="s">
        <v>3777</v>
      </c>
      <c r="O323" t="s">
        <v>5602</v>
      </c>
      <c r="P323" t="s">
        <v>5603</v>
      </c>
      <c r="Q323" t="s">
        <v>4327</v>
      </c>
      <c r="R323" t="s">
        <v>4723</v>
      </c>
      <c r="S323" t="s">
        <v>4545</v>
      </c>
      <c r="T323" t="s">
        <v>5578</v>
      </c>
      <c r="U323" t="s">
        <v>5579</v>
      </c>
      <c r="V323" t="s">
        <v>4663</v>
      </c>
      <c r="W323" t="s">
        <v>3782</v>
      </c>
      <c r="X323" t="s">
        <v>3890</v>
      </c>
      <c r="Y323" t="s">
        <v>4635</v>
      </c>
      <c r="Z323" t="s">
        <v>5151</v>
      </c>
      <c r="AA323" t="s">
        <v>5150</v>
      </c>
      <c r="AB323" t="s">
        <v>4650</v>
      </c>
      <c r="AC323" s="1" t="s">
        <v>4180</v>
      </c>
      <c r="AD323" s="6" t="s">
        <v>5924</v>
      </c>
    </row>
    <row r="324" spans="1:30" x14ac:dyDescent="0.25">
      <c r="A324" t="s">
        <v>5882</v>
      </c>
      <c r="B324" t="s">
        <v>4001</v>
      </c>
      <c r="C324" t="s">
        <v>4066</v>
      </c>
      <c r="D324" t="s">
        <v>3967</v>
      </c>
      <c r="E324" t="s">
        <v>4172</v>
      </c>
      <c r="F324" t="s">
        <v>4664</v>
      </c>
      <c r="G324" t="s">
        <v>4724</v>
      </c>
      <c r="H324" t="s">
        <v>4725</v>
      </c>
      <c r="I324" t="s">
        <v>3772</v>
      </c>
      <c r="J324" t="s">
        <v>3773</v>
      </c>
      <c r="K324" t="s">
        <v>3908</v>
      </c>
      <c r="L324" t="s">
        <v>3800</v>
      </c>
      <c r="M324" t="s">
        <v>3776</v>
      </c>
      <c r="N324" t="s">
        <v>3777</v>
      </c>
      <c r="O324" t="s">
        <v>5602</v>
      </c>
      <c r="P324" t="s">
        <v>5603</v>
      </c>
      <c r="Q324" t="s">
        <v>4327</v>
      </c>
      <c r="R324" t="s">
        <v>4723</v>
      </c>
      <c r="S324" t="s">
        <v>4545</v>
      </c>
      <c r="T324" t="s">
        <v>5582</v>
      </c>
      <c r="U324" t="s">
        <v>5583</v>
      </c>
      <c r="V324" t="s">
        <v>4669</v>
      </c>
      <c r="W324" t="s">
        <v>3782</v>
      </c>
      <c r="X324" t="s">
        <v>3890</v>
      </c>
      <c r="Y324" t="s">
        <v>4635</v>
      </c>
      <c r="Z324" t="s">
        <v>5155</v>
      </c>
      <c r="AA324" t="s">
        <v>5156</v>
      </c>
      <c r="AB324" t="s">
        <v>4650</v>
      </c>
      <c r="AC324" s="1" t="s">
        <v>4180</v>
      </c>
      <c r="AD324" s="6" t="s">
        <v>5925</v>
      </c>
    </row>
    <row r="325" spans="1:30" x14ac:dyDescent="0.25">
      <c r="A325" t="s">
        <v>5882</v>
      </c>
      <c r="B325" t="s">
        <v>4001</v>
      </c>
      <c r="C325" t="s">
        <v>4066</v>
      </c>
      <c r="D325" t="s">
        <v>3967</v>
      </c>
      <c r="E325" t="s">
        <v>4172</v>
      </c>
      <c r="F325" t="s">
        <v>4664</v>
      </c>
      <c r="G325" t="s">
        <v>4724</v>
      </c>
      <c r="H325" t="s">
        <v>4725</v>
      </c>
      <c r="I325" t="s">
        <v>3772</v>
      </c>
      <c r="J325" t="s">
        <v>3773</v>
      </c>
      <c r="K325" t="s">
        <v>3908</v>
      </c>
      <c r="L325" t="s">
        <v>3800</v>
      </c>
      <c r="M325" t="s">
        <v>3776</v>
      </c>
      <c r="N325" t="s">
        <v>3777</v>
      </c>
      <c r="O325" t="s">
        <v>5602</v>
      </c>
      <c r="P325" t="s">
        <v>5603</v>
      </c>
      <c r="Q325" t="s">
        <v>4327</v>
      </c>
      <c r="R325" t="s">
        <v>4723</v>
      </c>
      <c r="S325" t="s">
        <v>4545</v>
      </c>
      <c r="T325" t="s">
        <v>5582</v>
      </c>
      <c r="U325" t="s">
        <v>5583</v>
      </c>
      <c r="V325" t="s">
        <v>4669</v>
      </c>
      <c r="W325" t="s">
        <v>3782</v>
      </c>
      <c r="X325" t="s">
        <v>3890</v>
      </c>
      <c r="Y325" t="s">
        <v>4635</v>
      </c>
      <c r="Z325" t="s">
        <v>5155</v>
      </c>
      <c r="AA325" t="s">
        <v>5156</v>
      </c>
      <c r="AB325" t="s">
        <v>4650</v>
      </c>
      <c r="AC325" s="1" t="s">
        <v>4180</v>
      </c>
      <c r="AD325" s="6" t="s">
        <v>5925</v>
      </c>
    </row>
    <row r="326" spans="1:30" x14ac:dyDescent="0.25">
      <c r="A326" t="s">
        <v>5882</v>
      </c>
      <c r="B326" t="s">
        <v>4001</v>
      </c>
      <c r="C326" t="s">
        <v>4670</v>
      </c>
      <c r="D326" t="s">
        <v>4671</v>
      </c>
      <c r="E326" t="s">
        <v>4172</v>
      </c>
      <c r="F326" t="s">
        <v>4672</v>
      </c>
      <c r="G326" t="s">
        <v>4673</v>
      </c>
      <c r="H326" t="s">
        <v>4726</v>
      </c>
      <c r="I326" t="s">
        <v>3772</v>
      </c>
      <c r="J326" t="s">
        <v>3773</v>
      </c>
      <c r="K326" t="s">
        <v>3908</v>
      </c>
      <c r="L326" t="s">
        <v>3800</v>
      </c>
      <c r="M326" t="s">
        <v>3776</v>
      </c>
      <c r="N326" t="s">
        <v>3777</v>
      </c>
      <c r="O326" t="s">
        <v>5602</v>
      </c>
      <c r="P326" t="s">
        <v>5603</v>
      </c>
      <c r="Q326" t="s">
        <v>4327</v>
      </c>
      <c r="R326" t="s">
        <v>4727</v>
      </c>
      <c r="S326" t="s">
        <v>4545</v>
      </c>
      <c r="T326" t="s">
        <v>5582</v>
      </c>
      <c r="U326" t="s">
        <v>5583</v>
      </c>
      <c r="V326" t="s">
        <v>4677</v>
      </c>
      <c r="W326" t="s">
        <v>3782</v>
      </c>
      <c r="X326" t="s">
        <v>3890</v>
      </c>
      <c r="Y326" t="s">
        <v>4635</v>
      </c>
      <c r="Z326" t="s">
        <v>5155</v>
      </c>
      <c r="AA326" t="s">
        <v>5156</v>
      </c>
      <c r="AB326" t="s">
        <v>4650</v>
      </c>
      <c r="AC326" s="1" t="s">
        <v>4180</v>
      </c>
      <c r="AD326" s="6" t="s">
        <v>5926</v>
      </c>
    </row>
    <row r="327" spans="1:30" x14ac:dyDescent="0.25">
      <c r="A327" t="s">
        <v>5882</v>
      </c>
      <c r="B327" t="s">
        <v>4001</v>
      </c>
      <c r="C327" t="s">
        <v>4670</v>
      </c>
      <c r="D327" t="s">
        <v>4671</v>
      </c>
      <c r="E327" t="s">
        <v>4172</v>
      </c>
      <c r="F327" t="s">
        <v>4672</v>
      </c>
      <c r="G327" t="s">
        <v>4673</v>
      </c>
      <c r="H327" t="s">
        <v>4726</v>
      </c>
      <c r="I327" t="s">
        <v>3772</v>
      </c>
      <c r="J327" t="s">
        <v>3773</v>
      </c>
      <c r="K327" t="s">
        <v>3908</v>
      </c>
      <c r="L327" t="s">
        <v>3800</v>
      </c>
      <c r="M327" t="s">
        <v>3776</v>
      </c>
      <c r="N327" t="s">
        <v>3777</v>
      </c>
      <c r="O327" t="s">
        <v>5602</v>
      </c>
      <c r="P327" t="s">
        <v>5603</v>
      </c>
      <c r="Q327" t="s">
        <v>4327</v>
      </c>
      <c r="R327" t="s">
        <v>4727</v>
      </c>
      <c r="S327" t="s">
        <v>4545</v>
      </c>
      <c r="T327" t="s">
        <v>5582</v>
      </c>
      <c r="U327" t="s">
        <v>5583</v>
      </c>
      <c r="V327" t="s">
        <v>4677</v>
      </c>
      <c r="W327" t="s">
        <v>3782</v>
      </c>
      <c r="X327" t="s">
        <v>3890</v>
      </c>
      <c r="Y327" t="s">
        <v>4635</v>
      </c>
      <c r="Z327" t="s">
        <v>5155</v>
      </c>
      <c r="AA327" t="s">
        <v>5156</v>
      </c>
      <c r="AB327" t="s">
        <v>4650</v>
      </c>
      <c r="AC327" s="1" t="s">
        <v>4180</v>
      </c>
      <c r="AD327" s="6" t="s">
        <v>5926</v>
      </c>
    </row>
    <row r="328" spans="1:30" x14ac:dyDescent="0.25">
      <c r="A328" t="s">
        <v>5882</v>
      </c>
      <c r="B328" t="s">
        <v>4001</v>
      </c>
      <c r="C328" t="s">
        <v>4196</v>
      </c>
      <c r="D328" t="s">
        <v>3814</v>
      </c>
      <c r="E328" t="s">
        <v>4172</v>
      </c>
      <c r="F328" t="s">
        <v>4700</v>
      </c>
      <c r="G328" t="s">
        <v>4728</v>
      </c>
      <c r="H328" t="s">
        <v>4729</v>
      </c>
      <c r="I328" t="s">
        <v>3772</v>
      </c>
      <c r="J328" t="s">
        <v>3773</v>
      </c>
      <c r="K328" t="s">
        <v>3850</v>
      </c>
      <c r="L328" t="s">
        <v>3800</v>
      </c>
      <c r="M328" t="s">
        <v>3776</v>
      </c>
      <c r="N328" t="s">
        <v>3777</v>
      </c>
      <c r="O328" t="s">
        <v>5594</v>
      </c>
      <c r="P328" t="s">
        <v>5595</v>
      </c>
      <c r="Q328" t="s">
        <v>4702</v>
      </c>
      <c r="R328" t="s">
        <v>4730</v>
      </c>
      <c r="S328" t="s">
        <v>4266</v>
      </c>
      <c r="T328" t="s">
        <v>5596</v>
      </c>
      <c r="U328" t="s">
        <v>5604</v>
      </c>
      <c r="V328" t="s">
        <v>4731</v>
      </c>
      <c r="W328" t="s">
        <v>3782</v>
      </c>
      <c r="X328" t="s">
        <v>3804</v>
      </c>
      <c r="Y328" t="s">
        <v>3826</v>
      </c>
      <c r="Z328" t="s">
        <v>5147</v>
      </c>
      <c r="AA328" t="s">
        <v>5148</v>
      </c>
      <c r="AB328" t="s">
        <v>4615</v>
      </c>
      <c r="AC328" s="1" t="s">
        <v>3807</v>
      </c>
      <c r="AD328" s="6" t="s">
        <v>5927</v>
      </c>
    </row>
    <row r="329" spans="1:30" x14ac:dyDescent="0.25">
      <c r="A329" t="s">
        <v>5882</v>
      </c>
      <c r="B329" t="s">
        <v>4001</v>
      </c>
      <c r="C329" t="s">
        <v>4203</v>
      </c>
      <c r="D329" t="s">
        <v>4204</v>
      </c>
      <c r="E329" t="s">
        <v>4172</v>
      </c>
      <c r="F329" t="s">
        <v>4609</v>
      </c>
      <c r="G329" t="s">
        <v>4610</v>
      </c>
      <c r="H329" t="s">
        <v>4611</v>
      </c>
      <c r="I329" t="s">
        <v>3772</v>
      </c>
      <c r="J329" t="s">
        <v>3773</v>
      </c>
      <c r="K329" t="s">
        <v>3850</v>
      </c>
      <c r="L329" t="s">
        <v>3800</v>
      </c>
      <c r="M329" t="s">
        <v>3776</v>
      </c>
      <c r="N329" t="s">
        <v>3777</v>
      </c>
      <c r="O329" t="s">
        <v>5594</v>
      </c>
      <c r="P329" t="s">
        <v>5595</v>
      </c>
      <c r="Q329" t="s">
        <v>4702</v>
      </c>
      <c r="R329" t="s">
        <v>4730</v>
      </c>
      <c r="S329" t="s">
        <v>4545</v>
      </c>
      <c r="T329" t="s">
        <v>5558</v>
      </c>
      <c r="U329" t="s">
        <v>5559</v>
      </c>
      <c r="V329" t="s">
        <v>4680</v>
      </c>
      <c r="W329" t="s">
        <v>3782</v>
      </c>
      <c r="X329" t="s">
        <v>3804</v>
      </c>
      <c r="Y329" t="s">
        <v>3826</v>
      </c>
      <c r="Z329" t="s">
        <v>5147</v>
      </c>
      <c r="AA329" t="s">
        <v>5148</v>
      </c>
      <c r="AB329" t="s">
        <v>4615</v>
      </c>
      <c r="AC329" s="1" t="s">
        <v>3807</v>
      </c>
      <c r="AD329" s="6" t="s">
        <v>5928</v>
      </c>
    </row>
    <row r="330" spans="1:30" x14ac:dyDescent="0.25">
      <c r="A330" t="s">
        <v>5882</v>
      </c>
      <c r="B330" t="s">
        <v>4001</v>
      </c>
      <c r="C330" t="s">
        <v>4211</v>
      </c>
      <c r="D330" t="s">
        <v>3868</v>
      </c>
      <c r="E330" t="s">
        <v>4172</v>
      </c>
      <c r="F330" t="s">
        <v>4732</v>
      </c>
      <c r="G330" t="s">
        <v>4682</v>
      </c>
      <c r="H330" t="s">
        <v>4733</v>
      </c>
      <c r="I330" t="s">
        <v>3772</v>
      </c>
      <c r="J330" t="s">
        <v>3773</v>
      </c>
      <c r="K330" t="s">
        <v>3850</v>
      </c>
      <c r="L330" t="s">
        <v>3800</v>
      </c>
      <c r="M330" t="s">
        <v>3776</v>
      </c>
      <c r="N330" t="s">
        <v>3777</v>
      </c>
      <c r="O330" t="s">
        <v>5444</v>
      </c>
      <c r="P330" t="s">
        <v>5605</v>
      </c>
      <c r="Q330" t="s">
        <v>4734</v>
      </c>
      <c r="R330" t="s">
        <v>4735</v>
      </c>
      <c r="S330" t="s">
        <v>4545</v>
      </c>
      <c r="T330" t="s">
        <v>5560</v>
      </c>
      <c r="U330" t="s">
        <v>5561</v>
      </c>
      <c r="V330" t="s">
        <v>4685</v>
      </c>
      <c r="W330" t="s">
        <v>3782</v>
      </c>
      <c r="X330" t="s">
        <v>3890</v>
      </c>
      <c r="Y330" t="s">
        <v>3891</v>
      </c>
      <c r="Z330" t="s">
        <v>5147</v>
      </c>
      <c r="AA330" t="s">
        <v>5148</v>
      </c>
      <c r="AB330" t="s">
        <v>4615</v>
      </c>
      <c r="AC330" s="1" t="s">
        <v>3807</v>
      </c>
      <c r="AD330" s="6" t="s">
        <v>5929</v>
      </c>
    </row>
    <row r="331" spans="1:30" x14ac:dyDescent="0.25">
      <c r="A331" t="s">
        <v>5882</v>
      </c>
      <c r="B331" t="s">
        <v>4001</v>
      </c>
      <c r="C331" t="s">
        <v>4659</v>
      </c>
      <c r="D331" t="s">
        <v>4622</v>
      </c>
      <c r="E331" t="s">
        <v>4172</v>
      </c>
      <c r="F331" t="s">
        <v>4623</v>
      </c>
      <c r="G331" t="s">
        <v>4686</v>
      </c>
      <c r="H331" t="s">
        <v>4687</v>
      </c>
      <c r="I331" t="s">
        <v>3772</v>
      </c>
      <c r="J331" t="s">
        <v>3773</v>
      </c>
      <c r="K331" t="s">
        <v>3908</v>
      </c>
      <c r="L331" t="s">
        <v>3800</v>
      </c>
      <c r="M331" t="s">
        <v>3776</v>
      </c>
      <c r="N331" t="s">
        <v>3777</v>
      </c>
      <c r="O331" t="s">
        <v>5444</v>
      </c>
      <c r="P331" t="s">
        <v>5605</v>
      </c>
      <c r="Q331" t="s">
        <v>4734</v>
      </c>
      <c r="R331" t="s">
        <v>4736</v>
      </c>
      <c r="S331" t="s">
        <v>4266</v>
      </c>
      <c r="T331" t="s">
        <v>5562</v>
      </c>
      <c r="U331" t="s">
        <v>5590</v>
      </c>
      <c r="V331" t="s">
        <v>4689</v>
      </c>
      <c r="W331" t="s">
        <v>3782</v>
      </c>
      <c r="X331" t="s">
        <v>3890</v>
      </c>
      <c r="Y331" t="s">
        <v>3891</v>
      </c>
      <c r="Z331" t="s">
        <v>5151</v>
      </c>
      <c r="AA331" t="s">
        <v>5150</v>
      </c>
      <c r="AB331" t="s">
        <v>4615</v>
      </c>
      <c r="AC331" s="1" t="s">
        <v>3807</v>
      </c>
      <c r="AD331" s="6" t="s">
        <v>5930</v>
      </c>
    </row>
    <row r="332" spans="1:30" x14ac:dyDescent="0.25">
      <c r="A332" t="s">
        <v>5882</v>
      </c>
      <c r="B332" t="s">
        <v>4001</v>
      </c>
      <c r="C332" t="s">
        <v>4448</v>
      </c>
      <c r="D332" t="s">
        <v>4443</v>
      </c>
      <c r="E332" t="s">
        <v>4172</v>
      </c>
      <c r="F332" t="s">
        <v>4690</v>
      </c>
      <c r="G332" t="s">
        <v>4691</v>
      </c>
      <c r="H332" t="s">
        <v>4737</v>
      </c>
      <c r="I332" t="s">
        <v>3772</v>
      </c>
      <c r="J332" t="s">
        <v>3773</v>
      </c>
      <c r="K332" t="s">
        <v>3908</v>
      </c>
      <c r="L332" t="s">
        <v>3800</v>
      </c>
      <c r="M332" t="s">
        <v>3776</v>
      </c>
      <c r="N332" t="s">
        <v>3777</v>
      </c>
      <c r="O332" t="s">
        <v>5444</v>
      </c>
      <c r="P332" t="s">
        <v>5605</v>
      </c>
      <c r="Q332" t="s">
        <v>4734</v>
      </c>
      <c r="R332" t="s">
        <v>4736</v>
      </c>
      <c r="S332" t="s">
        <v>4157</v>
      </c>
      <c r="T332" t="s">
        <v>5593</v>
      </c>
      <c r="U332" t="s">
        <v>5567</v>
      </c>
      <c r="V332" t="s">
        <v>4695</v>
      </c>
      <c r="W332" t="s">
        <v>3782</v>
      </c>
      <c r="X332" t="s">
        <v>3890</v>
      </c>
      <c r="Y332" t="s">
        <v>4635</v>
      </c>
      <c r="Z332" t="s">
        <v>5155</v>
      </c>
      <c r="AA332" t="s">
        <v>5156</v>
      </c>
      <c r="AB332" t="s">
        <v>4615</v>
      </c>
      <c r="AC332" s="1" t="s">
        <v>3807</v>
      </c>
      <c r="AD332" s="6" t="s">
        <v>5931</v>
      </c>
    </row>
    <row r="333" spans="1:30" x14ac:dyDescent="0.25">
      <c r="A333" t="s">
        <v>5882</v>
      </c>
      <c r="B333" t="s">
        <v>4001</v>
      </c>
      <c r="C333" t="s">
        <v>4670</v>
      </c>
      <c r="D333" t="s">
        <v>4671</v>
      </c>
      <c r="E333" t="s">
        <v>4172</v>
      </c>
      <c r="F333" t="s">
        <v>4696</v>
      </c>
      <c r="G333" t="s">
        <v>4697</v>
      </c>
      <c r="H333" t="s">
        <v>4738</v>
      </c>
      <c r="I333" t="s">
        <v>3772</v>
      </c>
      <c r="J333" t="s">
        <v>3773</v>
      </c>
      <c r="K333" t="s">
        <v>3908</v>
      </c>
      <c r="L333" t="s">
        <v>3800</v>
      </c>
      <c r="M333" t="s">
        <v>3776</v>
      </c>
      <c r="N333" t="s">
        <v>3777</v>
      </c>
      <c r="O333" t="s">
        <v>5444</v>
      </c>
      <c r="P333" t="s">
        <v>5605</v>
      </c>
      <c r="Q333" t="s">
        <v>4734</v>
      </c>
      <c r="R333" t="s">
        <v>4736</v>
      </c>
      <c r="S333" t="s">
        <v>4157</v>
      </c>
      <c r="T333" t="s">
        <v>5593</v>
      </c>
      <c r="U333" t="s">
        <v>5567</v>
      </c>
      <c r="V333" t="s">
        <v>4699</v>
      </c>
      <c r="W333" t="s">
        <v>3782</v>
      </c>
      <c r="X333" t="s">
        <v>3890</v>
      </c>
      <c r="Y333" t="s">
        <v>4635</v>
      </c>
      <c r="Z333" t="s">
        <v>5155</v>
      </c>
      <c r="AA333" t="s">
        <v>5156</v>
      </c>
      <c r="AB333" t="s">
        <v>4615</v>
      </c>
      <c r="AC333" s="1" t="s">
        <v>3807</v>
      </c>
      <c r="AD333" s="6" t="s">
        <v>5932</v>
      </c>
    </row>
    <row r="334" spans="1:30" x14ac:dyDescent="0.25">
      <c r="A334" t="s">
        <v>5882</v>
      </c>
      <c r="B334" t="s">
        <v>4041</v>
      </c>
      <c r="C334" t="s">
        <v>4739</v>
      </c>
      <c r="D334" t="s">
        <v>4126</v>
      </c>
      <c r="E334" t="s">
        <v>4172</v>
      </c>
      <c r="F334" t="s">
        <v>4740</v>
      </c>
      <c r="G334" t="s">
        <v>4741</v>
      </c>
      <c r="H334" t="s">
        <v>4543</v>
      </c>
      <c r="I334" t="s">
        <v>3772</v>
      </c>
      <c r="J334" t="s">
        <v>3773</v>
      </c>
      <c r="K334" t="s">
        <v>3850</v>
      </c>
      <c r="L334" t="s">
        <v>3800</v>
      </c>
      <c r="M334" t="s">
        <v>3776</v>
      </c>
      <c r="N334" t="s">
        <v>3777</v>
      </c>
      <c r="O334" t="s">
        <v>5606</v>
      </c>
      <c r="P334" t="s">
        <v>5607</v>
      </c>
      <c r="Q334" t="s">
        <v>4742</v>
      </c>
      <c r="R334" t="s">
        <v>4649</v>
      </c>
      <c r="S334" t="s">
        <v>4545</v>
      </c>
      <c r="T334" t="s">
        <v>5558</v>
      </c>
      <c r="U334" t="s">
        <v>5559</v>
      </c>
      <c r="V334" t="s">
        <v>4614</v>
      </c>
      <c r="W334" t="s">
        <v>3782</v>
      </c>
      <c r="X334" t="s">
        <v>3804</v>
      </c>
      <c r="Y334" t="s">
        <v>3826</v>
      </c>
      <c r="Z334" t="s">
        <v>5147</v>
      </c>
      <c r="AA334" t="s">
        <v>5148</v>
      </c>
      <c r="AB334" t="s">
        <v>4615</v>
      </c>
      <c r="AC334" s="1" t="s">
        <v>3807</v>
      </c>
      <c r="AD334" s="6" t="s">
        <v>5933</v>
      </c>
    </row>
    <row r="335" spans="1:30" x14ac:dyDescent="0.25">
      <c r="A335" t="s">
        <v>5882</v>
      </c>
      <c r="B335" t="s">
        <v>4041</v>
      </c>
      <c r="C335" t="s">
        <v>4651</v>
      </c>
      <c r="D335" t="s">
        <v>4652</v>
      </c>
      <c r="E335" t="s">
        <v>4172</v>
      </c>
      <c r="F335" t="s">
        <v>4743</v>
      </c>
      <c r="G335" t="s">
        <v>4744</v>
      </c>
      <c r="H335" t="s">
        <v>4745</v>
      </c>
      <c r="I335" t="s">
        <v>3772</v>
      </c>
      <c r="J335" t="s">
        <v>3773</v>
      </c>
      <c r="K335" t="s">
        <v>3850</v>
      </c>
      <c r="L335" t="s">
        <v>3800</v>
      </c>
      <c r="M335" t="s">
        <v>3776</v>
      </c>
      <c r="N335" t="s">
        <v>3777</v>
      </c>
      <c r="O335" t="s">
        <v>5608</v>
      </c>
      <c r="P335" t="s">
        <v>5609</v>
      </c>
      <c r="Q335" t="s">
        <v>4746</v>
      </c>
      <c r="R335" t="s">
        <v>4747</v>
      </c>
      <c r="S335" t="s">
        <v>4545</v>
      </c>
      <c r="T335" t="s">
        <v>5560</v>
      </c>
      <c r="U335" t="s">
        <v>5561</v>
      </c>
      <c r="V335" t="s">
        <v>4620</v>
      </c>
      <c r="W335" t="s">
        <v>3782</v>
      </c>
      <c r="X335" t="s">
        <v>3890</v>
      </c>
      <c r="Y335" t="s">
        <v>3891</v>
      </c>
      <c r="Z335" t="s">
        <v>5147</v>
      </c>
      <c r="AA335" t="s">
        <v>5148</v>
      </c>
      <c r="AB335" t="s">
        <v>4615</v>
      </c>
      <c r="AC335" s="1" t="s">
        <v>3807</v>
      </c>
      <c r="AD335" s="6" t="s">
        <v>5934</v>
      </c>
    </row>
    <row r="336" spans="1:30" x14ac:dyDescent="0.25">
      <c r="A336" t="s">
        <v>5882</v>
      </c>
      <c r="B336" t="s">
        <v>4041</v>
      </c>
      <c r="C336" t="s">
        <v>4621</v>
      </c>
      <c r="D336" t="s">
        <v>4622</v>
      </c>
      <c r="E336" t="s">
        <v>4172</v>
      </c>
      <c r="F336" t="s">
        <v>4623</v>
      </c>
      <c r="G336" t="s">
        <v>4686</v>
      </c>
      <c r="H336" t="s">
        <v>4748</v>
      </c>
      <c r="I336" t="s">
        <v>3772</v>
      </c>
      <c r="J336" t="s">
        <v>3773</v>
      </c>
      <c r="K336" t="s">
        <v>3908</v>
      </c>
      <c r="L336" t="s">
        <v>3800</v>
      </c>
      <c r="M336" t="s">
        <v>3776</v>
      </c>
      <c r="N336" t="s">
        <v>3777</v>
      </c>
      <c r="O336" t="s">
        <v>5608</v>
      </c>
      <c r="P336" t="s">
        <v>5609</v>
      </c>
      <c r="Q336" t="s">
        <v>4746</v>
      </c>
      <c r="R336" t="s">
        <v>4747</v>
      </c>
      <c r="S336" t="s">
        <v>4545</v>
      </c>
      <c r="T336" t="s">
        <v>5562</v>
      </c>
      <c r="U336" t="s">
        <v>5563</v>
      </c>
      <c r="V336" t="s">
        <v>4628</v>
      </c>
      <c r="W336" t="s">
        <v>3782</v>
      </c>
      <c r="X336" t="s">
        <v>3890</v>
      </c>
      <c r="Y336" t="s">
        <v>3891</v>
      </c>
      <c r="Z336" t="s">
        <v>5151</v>
      </c>
      <c r="AA336" t="s">
        <v>5150</v>
      </c>
      <c r="AB336" t="s">
        <v>4615</v>
      </c>
      <c r="AC336" s="1" t="s">
        <v>3807</v>
      </c>
      <c r="AD336" s="6" t="s">
        <v>5935</v>
      </c>
    </row>
    <row r="337" spans="1:30" x14ac:dyDescent="0.25">
      <c r="A337" t="s">
        <v>5882</v>
      </c>
      <c r="B337" t="s">
        <v>4041</v>
      </c>
      <c r="C337" t="s">
        <v>4448</v>
      </c>
      <c r="D337" t="s">
        <v>4443</v>
      </c>
      <c r="E337" t="s">
        <v>4172</v>
      </c>
      <c r="F337" t="s">
        <v>4629</v>
      </c>
      <c r="G337" t="s">
        <v>4630</v>
      </c>
      <c r="H337" t="s">
        <v>4631</v>
      </c>
      <c r="I337" t="s">
        <v>3772</v>
      </c>
      <c r="J337" t="s">
        <v>3773</v>
      </c>
      <c r="K337" t="s">
        <v>3908</v>
      </c>
      <c r="L337" t="s">
        <v>3800</v>
      </c>
      <c r="M337" t="s">
        <v>3776</v>
      </c>
      <c r="N337" t="s">
        <v>3777</v>
      </c>
      <c r="O337" t="s">
        <v>5610</v>
      </c>
      <c r="P337" t="s">
        <v>5611</v>
      </c>
      <c r="Q337" t="s">
        <v>4749</v>
      </c>
      <c r="R337" t="s">
        <v>4750</v>
      </c>
      <c r="S337" t="s">
        <v>4545</v>
      </c>
      <c r="T337" t="s">
        <v>5566</v>
      </c>
      <c r="U337" t="s">
        <v>5567</v>
      </c>
      <c r="V337" t="s">
        <v>4634</v>
      </c>
      <c r="W337" t="s">
        <v>3782</v>
      </c>
      <c r="X337" t="s">
        <v>3890</v>
      </c>
      <c r="Y337" t="s">
        <v>4635</v>
      </c>
      <c r="Z337" t="s">
        <v>5155</v>
      </c>
      <c r="AA337" t="s">
        <v>5156</v>
      </c>
      <c r="AB337" t="s">
        <v>4615</v>
      </c>
      <c r="AC337" s="1" t="s">
        <v>3807</v>
      </c>
      <c r="AD337" s="6" t="s">
        <v>5936</v>
      </c>
    </row>
    <row r="338" spans="1:30" x14ac:dyDescent="0.25">
      <c r="A338" t="s">
        <v>5882</v>
      </c>
      <c r="B338" t="s">
        <v>4041</v>
      </c>
      <c r="C338" t="s">
        <v>4670</v>
      </c>
      <c r="D338" t="s">
        <v>4671</v>
      </c>
      <c r="E338" t="s">
        <v>4172</v>
      </c>
      <c r="F338" t="s">
        <v>4751</v>
      </c>
      <c r="G338" t="s">
        <v>4151</v>
      </c>
      <c r="H338" t="s">
        <v>4752</v>
      </c>
      <c r="I338" t="s">
        <v>3772</v>
      </c>
      <c r="J338" t="s">
        <v>3773</v>
      </c>
      <c r="K338" t="s">
        <v>3908</v>
      </c>
      <c r="L338" t="s">
        <v>3800</v>
      </c>
      <c r="M338" t="s">
        <v>3776</v>
      </c>
      <c r="N338" t="s">
        <v>3777</v>
      </c>
      <c r="O338" t="s">
        <v>5610</v>
      </c>
      <c r="P338" t="s">
        <v>5611</v>
      </c>
      <c r="Q338" t="s">
        <v>4749</v>
      </c>
      <c r="R338" t="s">
        <v>4750</v>
      </c>
      <c r="S338" t="s">
        <v>4545</v>
      </c>
      <c r="T338" t="s">
        <v>5566</v>
      </c>
      <c r="U338" t="s">
        <v>5567</v>
      </c>
      <c r="V338" t="s">
        <v>4643</v>
      </c>
      <c r="W338" t="s">
        <v>3782</v>
      </c>
      <c r="X338" t="s">
        <v>3890</v>
      </c>
      <c r="Y338" t="s">
        <v>4635</v>
      </c>
      <c r="Z338" t="s">
        <v>5155</v>
      </c>
      <c r="AA338" t="s">
        <v>5156</v>
      </c>
      <c r="AB338" t="s">
        <v>4615</v>
      </c>
      <c r="AC338" s="1" t="s">
        <v>3807</v>
      </c>
      <c r="AD338" s="6" t="s">
        <v>5937</v>
      </c>
    </row>
    <row r="339" spans="1:30" x14ac:dyDescent="0.25">
      <c r="A339" t="s">
        <v>5882</v>
      </c>
      <c r="B339" t="s">
        <v>4041</v>
      </c>
      <c r="C339" t="s">
        <v>4644</v>
      </c>
      <c r="D339" t="s">
        <v>4204</v>
      </c>
      <c r="E339" t="s">
        <v>4172</v>
      </c>
      <c r="F339" t="s">
        <v>4645</v>
      </c>
      <c r="G339" t="s">
        <v>4753</v>
      </c>
      <c r="H339" t="s">
        <v>4754</v>
      </c>
      <c r="I339" t="s">
        <v>3772</v>
      </c>
      <c r="J339" t="s">
        <v>3773</v>
      </c>
      <c r="K339" t="s">
        <v>3850</v>
      </c>
      <c r="L339" t="s">
        <v>3800</v>
      </c>
      <c r="M339" t="s">
        <v>3776</v>
      </c>
      <c r="N339" t="s">
        <v>3777</v>
      </c>
      <c r="O339" t="s">
        <v>5612</v>
      </c>
      <c r="P339" t="s">
        <v>5613</v>
      </c>
      <c r="Q339" t="s">
        <v>4755</v>
      </c>
      <c r="R339" t="s">
        <v>4756</v>
      </c>
      <c r="S339" t="s">
        <v>4157</v>
      </c>
      <c r="T339" t="s">
        <v>5570</v>
      </c>
      <c r="U339" t="s">
        <v>5571</v>
      </c>
      <c r="V339" t="s">
        <v>3849</v>
      </c>
      <c r="W339" t="s">
        <v>3782</v>
      </c>
      <c r="X339" t="s">
        <v>3804</v>
      </c>
      <c r="Y339" t="s">
        <v>3826</v>
      </c>
      <c r="Z339" t="s">
        <v>5149</v>
      </c>
      <c r="AA339" t="s">
        <v>5148</v>
      </c>
      <c r="AB339" t="s">
        <v>4650</v>
      </c>
      <c r="AC339" s="1" t="s">
        <v>4180</v>
      </c>
      <c r="AD339" s="6" t="s">
        <v>5938</v>
      </c>
    </row>
    <row r="340" spans="1:30" x14ac:dyDescent="0.25">
      <c r="A340" t="s">
        <v>5882</v>
      </c>
      <c r="B340" t="s">
        <v>4041</v>
      </c>
      <c r="C340" t="s">
        <v>4644</v>
      </c>
      <c r="D340" t="s">
        <v>4204</v>
      </c>
      <c r="E340" t="s">
        <v>4172</v>
      </c>
      <c r="F340" t="s">
        <v>4645</v>
      </c>
      <c r="G340" t="s">
        <v>4753</v>
      </c>
      <c r="H340" t="s">
        <v>4754</v>
      </c>
      <c r="I340" t="s">
        <v>3772</v>
      </c>
      <c r="J340" t="s">
        <v>3773</v>
      </c>
      <c r="K340" t="s">
        <v>3850</v>
      </c>
      <c r="L340" t="s">
        <v>3800</v>
      </c>
      <c r="M340" t="s">
        <v>3776</v>
      </c>
      <c r="N340" t="s">
        <v>3777</v>
      </c>
      <c r="O340" t="s">
        <v>5614</v>
      </c>
      <c r="P340" t="s">
        <v>5615</v>
      </c>
      <c r="Q340" t="s">
        <v>4755</v>
      </c>
      <c r="R340" t="s">
        <v>4756</v>
      </c>
      <c r="S340" t="s">
        <v>4157</v>
      </c>
      <c r="T340" t="s">
        <v>5570</v>
      </c>
      <c r="U340" t="s">
        <v>5571</v>
      </c>
      <c r="V340" t="s">
        <v>3849</v>
      </c>
      <c r="W340" t="s">
        <v>3782</v>
      </c>
      <c r="X340" t="s">
        <v>3804</v>
      </c>
      <c r="Y340" t="s">
        <v>3826</v>
      </c>
      <c r="Z340" t="s">
        <v>5149</v>
      </c>
      <c r="AA340" t="s">
        <v>5148</v>
      </c>
      <c r="AB340" t="s">
        <v>4650</v>
      </c>
      <c r="AC340" s="1" t="s">
        <v>4757</v>
      </c>
      <c r="AD340" s="6" t="s">
        <v>5939</v>
      </c>
    </row>
    <row r="341" spans="1:30" x14ac:dyDescent="0.25">
      <c r="A341" t="s">
        <v>5882</v>
      </c>
      <c r="B341" t="s">
        <v>4041</v>
      </c>
      <c r="C341" t="s">
        <v>4651</v>
      </c>
      <c r="D341" t="s">
        <v>4652</v>
      </c>
      <c r="E341" t="s">
        <v>4172</v>
      </c>
      <c r="F341" t="s">
        <v>4653</v>
      </c>
      <c r="G341" t="s">
        <v>4758</v>
      </c>
      <c r="H341" t="s">
        <v>4759</v>
      </c>
      <c r="I341" t="s">
        <v>3772</v>
      </c>
      <c r="J341" t="s">
        <v>3773</v>
      </c>
      <c r="K341" t="s">
        <v>3850</v>
      </c>
      <c r="L341" t="s">
        <v>3800</v>
      </c>
      <c r="M341" t="s">
        <v>3776</v>
      </c>
      <c r="N341" t="s">
        <v>3777</v>
      </c>
      <c r="O341" t="s">
        <v>5612</v>
      </c>
      <c r="P341" t="s">
        <v>5613</v>
      </c>
      <c r="Q341" t="s">
        <v>4760</v>
      </c>
      <c r="R341" t="s">
        <v>4328</v>
      </c>
      <c r="S341" t="s">
        <v>4157</v>
      </c>
      <c r="T341" t="s">
        <v>5574</v>
      </c>
      <c r="U341" t="s">
        <v>5575</v>
      </c>
      <c r="V341" t="s">
        <v>4658</v>
      </c>
      <c r="W341" t="s">
        <v>3782</v>
      </c>
      <c r="X341" t="s">
        <v>3890</v>
      </c>
      <c r="Y341" t="s">
        <v>3891</v>
      </c>
      <c r="Z341" t="s">
        <v>5151</v>
      </c>
      <c r="AA341" t="s">
        <v>5148</v>
      </c>
      <c r="AB341" t="s">
        <v>4650</v>
      </c>
      <c r="AC341" s="1" t="s">
        <v>4180</v>
      </c>
      <c r="AD341" s="6" t="s">
        <v>5940</v>
      </c>
    </row>
    <row r="342" spans="1:30" x14ac:dyDescent="0.25">
      <c r="A342" t="s">
        <v>5882</v>
      </c>
      <c r="B342" t="s">
        <v>4041</v>
      </c>
      <c r="C342" t="s">
        <v>4651</v>
      </c>
      <c r="D342" t="s">
        <v>4652</v>
      </c>
      <c r="E342" t="s">
        <v>4172</v>
      </c>
      <c r="F342" t="s">
        <v>4653</v>
      </c>
      <c r="G342" t="s">
        <v>4758</v>
      </c>
      <c r="H342" t="s">
        <v>4759</v>
      </c>
      <c r="I342" t="s">
        <v>3772</v>
      </c>
      <c r="J342" t="s">
        <v>3773</v>
      </c>
      <c r="K342" t="s">
        <v>3850</v>
      </c>
      <c r="L342" t="s">
        <v>3800</v>
      </c>
      <c r="M342" t="s">
        <v>3776</v>
      </c>
      <c r="N342" t="s">
        <v>3777</v>
      </c>
      <c r="O342" t="s">
        <v>5614</v>
      </c>
      <c r="P342" t="s">
        <v>5615</v>
      </c>
      <c r="Q342" t="s">
        <v>4760</v>
      </c>
      <c r="R342" t="s">
        <v>4328</v>
      </c>
      <c r="S342" t="s">
        <v>4157</v>
      </c>
      <c r="T342" t="s">
        <v>5574</v>
      </c>
      <c r="U342" t="s">
        <v>5575</v>
      </c>
      <c r="V342" t="s">
        <v>4658</v>
      </c>
      <c r="W342" t="s">
        <v>3782</v>
      </c>
      <c r="X342" t="s">
        <v>3890</v>
      </c>
      <c r="Y342" t="s">
        <v>3891</v>
      </c>
      <c r="Z342" t="s">
        <v>5151</v>
      </c>
      <c r="AA342" t="s">
        <v>5148</v>
      </c>
      <c r="AB342" t="s">
        <v>4650</v>
      </c>
      <c r="AC342" s="1" t="s">
        <v>4757</v>
      </c>
      <c r="AD342" s="6" t="s">
        <v>5941</v>
      </c>
    </row>
    <row r="343" spans="1:30" x14ac:dyDescent="0.25">
      <c r="A343" t="s">
        <v>5882</v>
      </c>
      <c r="B343" t="s">
        <v>4041</v>
      </c>
      <c r="C343" t="s">
        <v>4659</v>
      </c>
      <c r="D343" t="s">
        <v>4622</v>
      </c>
      <c r="E343" t="s">
        <v>4172</v>
      </c>
      <c r="F343" t="s">
        <v>4660</v>
      </c>
      <c r="G343" t="s">
        <v>4761</v>
      </c>
      <c r="H343" t="s">
        <v>4662</v>
      </c>
      <c r="I343" t="s">
        <v>3772</v>
      </c>
      <c r="J343" t="s">
        <v>3773</v>
      </c>
      <c r="K343" t="s">
        <v>3908</v>
      </c>
      <c r="L343" t="s">
        <v>3800</v>
      </c>
      <c r="M343" t="s">
        <v>3776</v>
      </c>
      <c r="N343" t="s">
        <v>3777</v>
      </c>
      <c r="O343" t="s">
        <v>5616</v>
      </c>
      <c r="P343" t="s">
        <v>5617</v>
      </c>
      <c r="Q343" t="s">
        <v>4762</v>
      </c>
      <c r="R343" t="s">
        <v>4328</v>
      </c>
      <c r="S343" t="s">
        <v>4545</v>
      </c>
      <c r="T343" t="s">
        <v>5578</v>
      </c>
      <c r="U343" t="s">
        <v>5579</v>
      </c>
      <c r="V343" t="s">
        <v>4663</v>
      </c>
      <c r="W343" t="s">
        <v>3782</v>
      </c>
      <c r="X343" t="s">
        <v>3890</v>
      </c>
      <c r="Y343" t="s">
        <v>4635</v>
      </c>
      <c r="Z343" t="s">
        <v>5151</v>
      </c>
      <c r="AA343" t="s">
        <v>5150</v>
      </c>
      <c r="AB343" t="s">
        <v>4650</v>
      </c>
      <c r="AC343" s="1" t="s">
        <v>4757</v>
      </c>
      <c r="AD343" s="6" t="s">
        <v>5942</v>
      </c>
    </row>
    <row r="344" spans="1:30" x14ac:dyDescent="0.25">
      <c r="A344" t="s">
        <v>5882</v>
      </c>
      <c r="B344" t="s">
        <v>4041</v>
      </c>
      <c r="C344" t="s">
        <v>4066</v>
      </c>
      <c r="D344" t="s">
        <v>3967</v>
      </c>
      <c r="E344" t="s">
        <v>4172</v>
      </c>
      <c r="F344" t="s">
        <v>4664</v>
      </c>
      <c r="G344" t="s">
        <v>4763</v>
      </c>
      <c r="H344" t="s">
        <v>4764</v>
      </c>
      <c r="I344" t="s">
        <v>3772</v>
      </c>
      <c r="J344" t="s">
        <v>3773</v>
      </c>
      <c r="K344" t="s">
        <v>3908</v>
      </c>
      <c r="L344" t="s">
        <v>3800</v>
      </c>
      <c r="M344" t="s">
        <v>3776</v>
      </c>
      <c r="N344" t="s">
        <v>3777</v>
      </c>
      <c r="O344" t="s">
        <v>5618</v>
      </c>
      <c r="P344" t="s">
        <v>5619</v>
      </c>
      <c r="Q344" t="s">
        <v>4765</v>
      </c>
      <c r="R344" t="s">
        <v>4336</v>
      </c>
      <c r="S344" t="s">
        <v>4545</v>
      </c>
      <c r="T344" t="s">
        <v>5582</v>
      </c>
      <c r="U344" t="s">
        <v>5583</v>
      </c>
      <c r="V344" t="s">
        <v>4669</v>
      </c>
      <c r="W344" t="s">
        <v>3782</v>
      </c>
      <c r="X344" t="s">
        <v>3890</v>
      </c>
      <c r="Y344" t="s">
        <v>4635</v>
      </c>
      <c r="Z344" t="s">
        <v>5155</v>
      </c>
      <c r="AA344" t="s">
        <v>5156</v>
      </c>
      <c r="AB344" t="s">
        <v>4650</v>
      </c>
      <c r="AC344" s="1" t="s">
        <v>4180</v>
      </c>
      <c r="AD344" s="6" t="s">
        <v>5943</v>
      </c>
    </row>
    <row r="345" spans="1:30" x14ac:dyDescent="0.25">
      <c r="A345" t="s">
        <v>5882</v>
      </c>
      <c r="B345" t="s">
        <v>4041</v>
      </c>
      <c r="C345" t="s">
        <v>4066</v>
      </c>
      <c r="D345" t="s">
        <v>3967</v>
      </c>
      <c r="E345" t="s">
        <v>4172</v>
      </c>
      <c r="F345" t="s">
        <v>4664</v>
      </c>
      <c r="G345" t="s">
        <v>4763</v>
      </c>
      <c r="H345" t="s">
        <v>4764</v>
      </c>
      <c r="I345" t="s">
        <v>3772</v>
      </c>
      <c r="J345" t="s">
        <v>3773</v>
      </c>
      <c r="K345" t="s">
        <v>3908</v>
      </c>
      <c r="L345" t="s">
        <v>3800</v>
      </c>
      <c r="M345" t="s">
        <v>3776</v>
      </c>
      <c r="N345" t="s">
        <v>3777</v>
      </c>
      <c r="O345" t="s">
        <v>5620</v>
      </c>
      <c r="P345" t="s">
        <v>5621</v>
      </c>
      <c r="Q345" t="s">
        <v>4765</v>
      </c>
      <c r="R345" t="s">
        <v>4336</v>
      </c>
      <c r="S345" t="s">
        <v>4545</v>
      </c>
      <c r="T345" t="s">
        <v>5582</v>
      </c>
      <c r="U345" t="s">
        <v>5583</v>
      </c>
      <c r="V345" t="s">
        <v>4669</v>
      </c>
      <c r="W345" t="s">
        <v>3782</v>
      </c>
      <c r="X345" t="s">
        <v>3890</v>
      </c>
      <c r="Y345" t="s">
        <v>4635</v>
      </c>
      <c r="Z345" t="s">
        <v>5155</v>
      </c>
      <c r="AA345" t="s">
        <v>5156</v>
      </c>
      <c r="AB345" t="s">
        <v>4650</v>
      </c>
      <c r="AC345" s="1" t="s">
        <v>4757</v>
      </c>
      <c r="AD345" s="6" t="s">
        <v>5944</v>
      </c>
    </row>
    <row r="346" spans="1:30" x14ac:dyDescent="0.25">
      <c r="A346" t="s">
        <v>5882</v>
      </c>
      <c r="B346" t="s">
        <v>4041</v>
      </c>
      <c r="C346" t="s">
        <v>4670</v>
      </c>
      <c r="D346" t="s">
        <v>4671</v>
      </c>
      <c r="E346" t="s">
        <v>4172</v>
      </c>
      <c r="F346" t="s">
        <v>4672</v>
      </c>
      <c r="G346" t="s">
        <v>4766</v>
      </c>
      <c r="H346" t="s">
        <v>4767</v>
      </c>
      <c r="I346" t="s">
        <v>3772</v>
      </c>
      <c r="J346" t="s">
        <v>3773</v>
      </c>
      <c r="K346" t="s">
        <v>3908</v>
      </c>
      <c r="L346" t="s">
        <v>3800</v>
      </c>
      <c r="M346" t="s">
        <v>3776</v>
      </c>
      <c r="N346" t="s">
        <v>3777</v>
      </c>
      <c r="O346" t="s">
        <v>5618</v>
      </c>
      <c r="P346" t="s">
        <v>5619</v>
      </c>
      <c r="Q346" t="s">
        <v>4768</v>
      </c>
      <c r="R346" t="s">
        <v>4336</v>
      </c>
      <c r="S346" t="s">
        <v>4545</v>
      </c>
      <c r="T346" t="s">
        <v>5582</v>
      </c>
      <c r="U346" t="s">
        <v>5583</v>
      </c>
      <c r="V346" t="s">
        <v>4677</v>
      </c>
      <c r="W346" t="s">
        <v>3782</v>
      </c>
      <c r="X346" t="s">
        <v>3890</v>
      </c>
      <c r="Y346" t="s">
        <v>4635</v>
      </c>
      <c r="Z346" t="s">
        <v>5155</v>
      </c>
      <c r="AA346" t="s">
        <v>5156</v>
      </c>
      <c r="AB346" t="s">
        <v>4650</v>
      </c>
      <c r="AC346" s="1" t="s">
        <v>4180</v>
      </c>
      <c r="AD346" s="6" t="s">
        <v>5945</v>
      </c>
    </row>
    <row r="347" spans="1:30" x14ac:dyDescent="0.25">
      <c r="A347" t="s">
        <v>5882</v>
      </c>
      <c r="B347" t="s">
        <v>4041</v>
      </c>
      <c r="C347" t="s">
        <v>4670</v>
      </c>
      <c r="D347" t="s">
        <v>4671</v>
      </c>
      <c r="E347" t="s">
        <v>4172</v>
      </c>
      <c r="F347" t="s">
        <v>4672</v>
      </c>
      <c r="G347" t="s">
        <v>4766</v>
      </c>
      <c r="H347" t="s">
        <v>4767</v>
      </c>
      <c r="I347" t="s">
        <v>3772</v>
      </c>
      <c r="J347" t="s">
        <v>3773</v>
      </c>
      <c r="K347" t="s">
        <v>3908</v>
      </c>
      <c r="L347" t="s">
        <v>3800</v>
      </c>
      <c r="M347" t="s">
        <v>3776</v>
      </c>
      <c r="N347" t="s">
        <v>3777</v>
      </c>
      <c r="O347" t="s">
        <v>5620</v>
      </c>
      <c r="P347" t="s">
        <v>5621</v>
      </c>
      <c r="Q347" t="s">
        <v>4768</v>
      </c>
      <c r="R347" t="s">
        <v>4336</v>
      </c>
      <c r="S347" t="s">
        <v>4545</v>
      </c>
      <c r="T347" t="s">
        <v>5582</v>
      </c>
      <c r="U347" t="s">
        <v>5583</v>
      </c>
      <c r="V347" t="s">
        <v>4677</v>
      </c>
      <c r="W347" t="s">
        <v>3782</v>
      </c>
      <c r="X347" t="s">
        <v>3890</v>
      </c>
      <c r="Y347" t="s">
        <v>4635</v>
      </c>
      <c r="Z347" t="s">
        <v>5155</v>
      </c>
      <c r="AA347" t="s">
        <v>5156</v>
      </c>
      <c r="AB347" t="s">
        <v>4650</v>
      </c>
      <c r="AC347" s="1" t="s">
        <v>4757</v>
      </c>
      <c r="AD347" s="6" t="s">
        <v>5946</v>
      </c>
    </row>
    <row r="348" spans="1:30" x14ac:dyDescent="0.25">
      <c r="A348" t="s">
        <v>5882</v>
      </c>
      <c r="B348" t="s">
        <v>4041</v>
      </c>
      <c r="C348" t="s">
        <v>4203</v>
      </c>
      <c r="D348" t="s">
        <v>4204</v>
      </c>
      <c r="E348" t="s">
        <v>4172</v>
      </c>
      <c r="F348" t="s">
        <v>4609</v>
      </c>
      <c r="G348" t="s">
        <v>4610</v>
      </c>
      <c r="H348" t="s">
        <v>4611</v>
      </c>
      <c r="I348" t="s">
        <v>3772</v>
      </c>
      <c r="J348" t="s">
        <v>3773</v>
      </c>
      <c r="K348" t="s">
        <v>3850</v>
      </c>
      <c r="L348" t="s">
        <v>3800</v>
      </c>
      <c r="M348" t="s">
        <v>3776</v>
      </c>
      <c r="N348" t="s">
        <v>3777</v>
      </c>
      <c r="O348" t="s">
        <v>5622</v>
      </c>
      <c r="P348" t="s">
        <v>5623</v>
      </c>
      <c r="Q348" t="s">
        <v>4656</v>
      </c>
      <c r="R348" t="s">
        <v>4649</v>
      </c>
      <c r="S348" t="s">
        <v>4545</v>
      </c>
      <c r="T348" t="s">
        <v>5558</v>
      </c>
      <c r="U348" t="s">
        <v>5559</v>
      </c>
      <c r="V348" t="s">
        <v>4680</v>
      </c>
      <c r="W348" t="s">
        <v>3782</v>
      </c>
      <c r="X348" t="s">
        <v>3804</v>
      </c>
      <c r="Y348" t="s">
        <v>3826</v>
      </c>
      <c r="Z348" t="s">
        <v>5147</v>
      </c>
      <c r="AA348" t="s">
        <v>5148</v>
      </c>
      <c r="AB348" t="s">
        <v>4615</v>
      </c>
      <c r="AC348" s="1" t="s">
        <v>3807</v>
      </c>
      <c r="AD348" s="6" t="s">
        <v>5947</v>
      </c>
    </row>
    <row r="349" spans="1:30" x14ac:dyDescent="0.25">
      <c r="A349" t="s">
        <v>5882</v>
      </c>
      <c r="B349" t="s">
        <v>4041</v>
      </c>
      <c r="C349" t="s">
        <v>4211</v>
      </c>
      <c r="D349" t="s">
        <v>3868</v>
      </c>
      <c r="E349" t="s">
        <v>4172</v>
      </c>
      <c r="F349" t="s">
        <v>4681</v>
      </c>
      <c r="G349" t="s">
        <v>4682</v>
      </c>
      <c r="H349" t="s">
        <v>4769</v>
      </c>
      <c r="I349" t="s">
        <v>3772</v>
      </c>
      <c r="J349" t="s">
        <v>3773</v>
      </c>
      <c r="K349" t="s">
        <v>3850</v>
      </c>
      <c r="L349" t="s">
        <v>3800</v>
      </c>
      <c r="M349" t="s">
        <v>3776</v>
      </c>
      <c r="N349" t="s">
        <v>3777</v>
      </c>
      <c r="O349" t="s">
        <v>5622</v>
      </c>
      <c r="P349" t="s">
        <v>5623</v>
      </c>
      <c r="Q349" t="s">
        <v>4742</v>
      </c>
      <c r="R349" t="s">
        <v>4770</v>
      </c>
      <c r="S349" t="s">
        <v>4545</v>
      </c>
      <c r="T349" t="s">
        <v>5560</v>
      </c>
      <c r="U349" t="s">
        <v>5561</v>
      </c>
      <c r="V349" t="s">
        <v>4685</v>
      </c>
      <c r="W349" t="s">
        <v>3782</v>
      </c>
      <c r="X349" t="s">
        <v>3890</v>
      </c>
      <c r="Y349" t="s">
        <v>3891</v>
      </c>
      <c r="Z349" t="s">
        <v>5147</v>
      </c>
      <c r="AA349" t="s">
        <v>5148</v>
      </c>
      <c r="AB349" t="s">
        <v>4615</v>
      </c>
      <c r="AC349" s="1" t="s">
        <v>3807</v>
      </c>
      <c r="AD349" s="6" t="s">
        <v>5948</v>
      </c>
    </row>
    <row r="350" spans="1:30" x14ac:dyDescent="0.25">
      <c r="A350" t="s">
        <v>5882</v>
      </c>
      <c r="B350" t="s">
        <v>4041</v>
      </c>
      <c r="C350" t="s">
        <v>4659</v>
      </c>
      <c r="D350" t="s">
        <v>4622</v>
      </c>
      <c r="E350" t="s">
        <v>4172</v>
      </c>
      <c r="F350" t="s">
        <v>4623</v>
      </c>
      <c r="G350" t="s">
        <v>4686</v>
      </c>
      <c r="H350" t="s">
        <v>4771</v>
      </c>
      <c r="I350" t="s">
        <v>3772</v>
      </c>
      <c r="J350" t="s">
        <v>3773</v>
      </c>
      <c r="K350" t="s">
        <v>3908</v>
      </c>
      <c r="L350" t="s">
        <v>3800</v>
      </c>
      <c r="M350" t="s">
        <v>3776</v>
      </c>
      <c r="N350" t="s">
        <v>3777</v>
      </c>
      <c r="O350" t="s">
        <v>5624</v>
      </c>
      <c r="P350" t="s">
        <v>5625</v>
      </c>
      <c r="Q350" t="s">
        <v>4746</v>
      </c>
      <c r="R350" t="s">
        <v>4772</v>
      </c>
      <c r="S350" t="s">
        <v>4266</v>
      </c>
      <c r="T350" t="s">
        <v>5562</v>
      </c>
      <c r="U350" t="s">
        <v>5590</v>
      </c>
      <c r="V350" t="s">
        <v>4689</v>
      </c>
      <c r="W350" t="s">
        <v>3782</v>
      </c>
      <c r="X350" t="s">
        <v>3890</v>
      </c>
      <c r="Y350" t="s">
        <v>3891</v>
      </c>
      <c r="Z350" t="s">
        <v>5151</v>
      </c>
      <c r="AA350" t="s">
        <v>5150</v>
      </c>
      <c r="AB350" t="s">
        <v>4615</v>
      </c>
      <c r="AC350" s="1" t="s">
        <v>3807</v>
      </c>
      <c r="AD350" s="6" t="s">
        <v>5949</v>
      </c>
    </row>
    <row r="351" spans="1:30" x14ac:dyDescent="0.25">
      <c r="A351" t="s">
        <v>5882</v>
      </c>
      <c r="B351" t="s">
        <v>4041</v>
      </c>
      <c r="C351" t="s">
        <v>4448</v>
      </c>
      <c r="D351" t="s">
        <v>4443</v>
      </c>
      <c r="E351" t="s">
        <v>4172</v>
      </c>
      <c r="F351" t="s">
        <v>4690</v>
      </c>
      <c r="G351" t="s">
        <v>4691</v>
      </c>
      <c r="H351" t="s">
        <v>4692</v>
      </c>
      <c r="I351" t="s">
        <v>3772</v>
      </c>
      <c r="J351" t="s">
        <v>3773</v>
      </c>
      <c r="K351" t="s">
        <v>3908</v>
      </c>
      <c r="L351" t="s">
        <v>3800</v>
      </c>
      <c r="M351" t="s">
        <v>3776</v>
      </c>
      <c r="N351" t="s">
        <v>3777</v>
      </c>
      <c r="O351" t="s">
        <v>5610</v>
      </c>
      <c r="P351" t="s">
        <v>5611</v>
      </c>
      <c r="Q351" t="s">
        <v>4749</v>
      </c>
      <c r="R351" t="s">
        <v>4773</v>
      </c>
      <c r="S351" t="s">
        <v>4157</v>
      </c>
      <c r="T351" t="s">
        <v>5593</v>
      </c>
      <c r="U351" t="s">
        <v>5567</v>
      </c>
      <c r="V351" t="s">
        <v>4695</v>
      </c>
      <c r="W351" t="s">
        <v>3782</v>
      </c>
      <c r="X351" t="s">
        <v>3890</v>
      </c>
      <c r="Y351" t="s">
        <v>4635</v>
      </c>
      <c r="Z351" t="s">
        <v>5155</v>
      </c>
      <c r="AA351" t="s">
        <v>5156</v>
      </c>
      <c r="AB351" t="s">
        <v>4615</v>
      </c>
      <c r="AC351" s="1" t="s">
        <v>3807</v>
      </c>
      <c r="AD351" s="6" t="s">
        <v>5950</v>
      </c>
    </row>
    <row r="352" spans="1:30" x14ac:dyDescent="0.25">
      <c r="A352" t="s">
        <v>5882</v>
      </c>
      <c r="B352" t="s">
        <v>4041</v>
      </c>
      <c r="C352" t="s">
        <v>4670</v>
      </c>
      <c r="D352" t="s">
        <v>4671</v>
      </c>
      <c r="E352" t="s">
        <v>4172</v>
      </c>
      <c r="F352" t="s">
        <v>4696</v>
      </c>
      <c r="G352" t="s">
        <v>4697</v>
      </c>
      <c r="H352" t="s">
        <v>4698</v>
      </c>
      <c r="I352" t="s">
        <v>3772</v>
      </c>
      <c r="J352" t="s">
        <v>3773</v>
      </c>
      <c r="K352" t="s">
        <v>3908</v>
      </c>
      <c r="L352" t="s">
        <v>3800</v>
      </c>
      <c r="M352" t="s">
        <v>3776</v>
      </c>
      <c r="N352" t="s">
        <v>3777</v>
      </c>
      <c r="O352" t="s">
        <v>5626</v>
      </c>
      <c r="P352" t="s">
        <v>5627</v>
      </c>
      <c r="Q352" t="s">
        <v>4749</v>
      </c>
      <c r="R352" t="s">
        <v>4773</v>
      </c>
      <c r="S352" t="s">
        <v>4157</v>
      </c>
      <c r="T352" t="s">
        <v>5593</v>
      </c>
      <c r="U352" t="s">
        <v>5567</v>
      </c>
      <c r="V352" t="s">
        <v>4699</v>
      </c>
      <c r="W352" t="s">
        <v>3782</v>
      </c>
      <c r="X352" t="s">
        <v>3890</v>
      </c>
      <c r="Y352" t="s">
        <v>4635</v>
      </c>
      <c r="Z352" t="s">
        <v>5155</v>
      </c>
      <c r="AA352" t="s">
        <v>5156</v>
      </c>
      <c r="AB352" t="s">
        <v>4615</v>
      </c>
      <c r="AC352" s="1" t="s">
        <v>3807</v>
      </c>
      <c r="AD352" s="6" t="s">
        <v>5951</v>
      </c>
    </row>
    <row r="353" spans="1:30" x14ac:dyDescent="0.25">
      <c r="A353" t="s">
        <v>5882</v>
      </c>
      <c r="B353" t="s">
        <v>4061</v>
      </c>
      <c r="C353" t="s">
        <v>4235</v>
      </c>
      <c r="D353" t="s">
        <v>4236</v>
      </c>
      <c r="E353" t="s">
        <v>3797</v>
      </c>
      <c r="F353" t="s">
        <v>4774</v>
      </c>
      <c r="G353" t="s">
        <v>4497</v>
      </c>
      <c r="H353" t="s">
        <v>4498</v>
      </c>
      <c r="I353" t="s">
        <v>3772</v>
      </c>
      <c r="J353" t="s">
        <v>3773</v>
      </c>
      <c r="K353" t="s">
        <v>3850</v>
      </c>
      <c r="L353" t="s">
        <v>3827</v>
      </c>
      <c r="M353" t="s">
        <v>3776</v>
      </c>
      <c r="N353" t="s">
        <v>3777</v>
      </c>
      <c r="O353" t="s">
        <v>5628</v>
      </c>
      <c r="P353" t="s">
        <v>5531</v>
      </c>
      <c r="Q353" t="s">
        <v>5218</v>
      </c>
      <c r="R353" t="s">
        <v>4775</v>
      </c>
      <c r="S353" t="s">
        <v>3780</v>
      </c>
      <c r="T353" t="s">
        <v>5629</v>
      </c>
      <c r="U353" t="s">
        <v>5630</v>
      </c>
      <c r="V353" t="s">
        <v>5219</v>
      </c>
      <c r="W353" t="s">
        <v>3782</v>
      </c>
      <c r="X353" t="s">
        <v>3804</v>
      </c>
      <c r="Y353" t="s">
        <v>3805</v>
      </c>
      <c r="Z353" t="s">
        <v>3785</v>
      </c>
      <c r="AA353" t="s">
        <v>3786</v>
      </c>
      <c r="AB353" t="s">
        <v>3787</v>
      </c>
      <c r="AC353" s="1" t="s">
        <v>3788</v>
      </c>
      <c r="AD353" s="6" t="s">
        <v>5952</v>
      </c>
    </row>
    <row r="354" spans="1:30" x14ac:dyDescent="0.25">
      <c r="A354" t="s">
        <v>5882</v>
      </c>
      <c r="B354" t="s">
        <v>4061</v>
      </c>
      <c r="C354" t="s">
        <v>4189</v>
      </c>
      <c r="D354" t="s">
        <v>4163</v>
      </c>
      <c r="E354" t="s">
        <v>3797</v>
      </c>
      <c r="F354" t="s">
        <v>4240</v>
      </c>
      <c r="G354" t="s">
        <v>4497</v>
      </c>
      <c r="H354" t="s">
        <v>4498</v>
      </c>
      <c r="I354" t="s">
        <v>3772</v>
      </c>
      <c r="J354" t="s">
        <v>3773</v>
      </c>
      <c r="K354" t="s">
        <v>3850</v>
      </c>
      <c r="L354" t="s">
        <v>3827</v>
      </c>
      <c r="M354" t="s">
        <v>3776</v>
      </c>
      <c r="N354" t="s">
        <v>3777</v>
      </c>
      <c r="O354" t="s">
        <v>5628</v>
      </c>
      <c r="P354" t="s">
        <v>5531</v>
      </c>
      <c r="Q354" t="s">
        <v>5218</v>
      </c>
      <c r="R354" t="s">
        <v>4775</v>
      </c>
      <c r="S354" t="s">
        <v>3780</v>
      </c>
      <c r="T354" t="s">
        <v>5629</v>
      </c>
      <c r="U354" t="s">
        <v>5630</v>
      </c>
      <c r="V354" t="s">
        <v>5219</v>
      </c>
      <c r="W354" t="s">
        <v>3782</v>
      </c>
      <c r="X354" t="s">
        <v>3804</v>
      </c>
      <c r="Y354" t="s">
        <v>3805</v>
      </c>
      <c r="Z354" t="s">
        <v>3785</v>
      </c>
      <c r="AA354" t="s">
        <v>3786</v>
      </c>
      <c r="AB354" t="s">
        <v>3787</v>
      </c>
      <c r="AC354" s="1" t="s">
        <v>3788</v>
      </c>
      <c r="AD354" s="6" t="s">
        <v>5953</v>
      </c>
    </row>
    <row r="355" spans="1:30" x14ac:dyDescent="0.25">
      <c r="A355" t="s">
        <v>5882</v>
      </c>
      <c r="B355" t="s">
        <v>4061</v>
      </c>
      <c r="C355" t="s">
        <v>4196</v>
      </c>
      <c r="D355" t="s">
        <v>3814</v>
      </c>
      <c r="E355" t="s">
        <v>3797</v>
      </c>
      <c r="F355" t="s">
        <v>4585</v>
      </c>
      <c r="G355" t="s">
        <v>4497</v>
      </c>
      <c r="H355" t="s">
        <v>4498</v>
      </c>
      <c r="I355" t="s">
        <v>3772</v>
      </c>
      <c r="J355" t="s">
        <v>3773</v>
      </c>
      <c r="K355" t="s">
        <v>3850</v>
      </c>
      <c r="L355" t="s">
        <v>3827</v>
      </c>
      <c r="M355" t="s">
        <v>3776</v>
      </c>
      <c r="N355" t="s">
        <v>3777</v>
      </c>
      <c r="O355" t="s">
        <v>5628</v>
      </c>
      <c r="P355" t="s">
        <v>5531</v>
      </c>
      <c r="Q355" t="s">
        <v>5218</v>
      </c>
      <c r="R355" t="s">
        <v>4775</v>
      </c>
      <c r="S355" t="s">
        <v>3780</v>
      </c>
      <c r="T355" t="s">
        <v>5629</v>
      </c>
      <c r="U355" t="s">
        <v>5630</v>
      </c>
      <c r="V355" t="s">
        <v>5219</v>
      </c>
      <c r="W355" t="s">
        <v>3782</v>
      </c>
      <c r="X355" t="s">
        <v>3804</v>
      </c>
      <c r="Y355" t="s">
        <v>3805</v>
      </c>
      <c r="Z355" t="s">
        <v>3785</v>
      </c>
      <c r="AA355" t="s">
        <v>3786</v>
      </c>
      <c r="AB355" t="s">
        <v>3787</v>
      </c>
      <c r="AC355" s="1" t="s">
        <v>3788</v>
      </c>
      <c r="AD355" s="6" t="s">
        <v>5954</v>
      </c>
    </row>
    <row r="356" spans="1:30" x14ac:dyDescent="0.25">
      <c r="A356" t="s">
        <v>5882</v>
      </c>
      <c r="B356" t="s">
        <v>4061</v>
      </c>
      <c r="C356" t="s">
        <v>4589</v>
      </c>
      <c r="D356" t="s">
        <v>4590</v>
      </c>
      <c r="E356" t="s">
        <v>3797</v>
      </c>
      <c r="F356" t="s">
        <v>4776</v>
      </c>
      <c r="G356" t="s">
        <v>4777</v>
      </c>
      <c r="H356" t="s">
        <v>4778</v>
      </c>
      <c r="I356" t="s">
        <v>3772</v>
      </c>
      <c r="J356" t="s">
        <v>3773</v>
      </c>
      <c r="K356" t="s">
        <v>3850</v>
      </c>
      <c r="L356" t="s">
        <v>3827</v>
      </c>
      <c r="M356" t="s">
        <v>3776</v>
      </c>
      <c r="N356" t="s">
        <v>3777</v>
      </c>
      <c r="O356" t="s">
        <v>5631</v>
      </c>
      <c r="P356" t="s">
        <v>5536</v>
      </c>
      <c r="Q356" t="s">
        <v>3856</v>
      </c>
      <c r="R356" t="s">
        <v>4779</v>
      </c>
      <c r="S356" t="s">
        <v>3780</v>
      </c>
      <c r="T356" t="s">
        <v>5632</v>
      </c>
      <c r="U356" t="s">
        <v>5633</v>
      </c>
      <c r="V356" t="s">
        <v>5220</v>
      </c>
      <c r="W356" t="s">
        <v>3782</v>
      </c>
      <c r="X356" t="s">
        <v>3804</v>
      </c>
      <c r="Y356" t="s">
        <v>3805</v>
      </c>
      <c r="Z356" t="s">
        <v>3785</v>
      </c>
      <c r="AA356" t="s">
        <v>3786</v>
      </c>
      <c r="AB356" t="s">
        <v>3787</v>
      </c>
      <c r="AC356" s="1" t="s">
        <v>3788</v>
      </c>
      <c r="AD356" s="6" t="s">
        <v>5955</v>
      </c>
    </row>
    <row r="357" spans="1:30" x14ac:dyDescent="0.25">
      <c r="A357" t="s">
        <v>5882</v>
      </c>
      <c r="B357" t="s">
        <v>4061</v>
      </c>
      <c r="C357" t="s">
        <v>6727</v>
      </c>
      <c r="D357" t="s">
        <v>4516</v>
      </c>
      <c r="E357" t="s">
        <v>3797</v>
      </c>
      <c r="F357" t="s">
        <v>6802</v>
      </c>
      <c r="G357" t="s">
        <v>6803</v>
      </c>
      <c r="H357" t="s">
        <v>6804</v>
      </c>
      <c r="I357" t="s">
        <v>3772</v>
      </c>
      <c r="J357" t="s">
        <v>3773</v>
      </c>
      <c r="K357" t="s">
        <v>3850</v>
      </c>
      <c r="L357" t="s">
        <v>3827</v>
      </c>
      <c r="M357" t="s">
        <v>3776</v>
      </c>
      <c r="N357" t="s">
        <v>3777</v>
      </c>
      <c r="O357" t="s">
        <v>5327</v>
      </c>
      <c r="P357" t="s">
        <v>5328</v>
      </c>
      <c r="Q357" t="s">
        <v>3778</v>
      </c>
      <c r="R357" t="s">
        <v>3779</v>
      </c>
      <c r="S357" t="s">
        <v>4531</v>
      </c>
      <c r="T357" t="s">
        <v>5337</v>
      </c>
      <c r="U357" t="s">
        <v>5338</v>
      </c>
      <c r="V357" t="s">
        <v>3781</v>
      </c>
      <c r="W357" t="s">
        <v>3782</v>
      </c>
      <c r="X357" t="s">
        <v>3783</v>
      </c>
      <c r="Y357" t="s">
        <v>3784</v>
      </c>
      <c r="Z357" t="s">
        <v>5151</v>
      </c>
      <c r="AA357" t="s">
        <v>5154</v>
      </c>
      <c r="AB357" t="s">
        <v>4568</v>
      </c>
      <c r="AC357" s="1" t="s">
        <v>4566</v>
      </c>
      <c r="AD357" s="6" t="s">
        <v>6998</v>
      </c>
    </row>
    <row r="358" spans="1:30" x14ac:dyDescent="0.25">
      <c r="A358" t="s">
        <v>5882</v>
      </c>
      <c r="B358" t="s">
        <v>4061</v>
      </c>
      <c r="C358" t="s">
        <v>6276</v>
      </c>
      <c r="D358" t="s">
        <v>3841</v>
      </c>
      <c r="E358" t="s">
        <v>3797</v>
      </c>
      <c r="F358" t="s">
        <v>6805</v>
      </c>
      <c r="G358" t="s">
        <v>6806</v>
      </c>
      <c r="H358" t="s">
        <v>3995</v>
      </c>
      <c r="I358" t="s">
        <v>3772</v>
      </c>
      <c r="J358" t="s">
        <v>3773</v>
      </c>
      <c r="K358" t="s">
        <v>3850</v>
      </c>
      <c r="L358" t="s">
        <v>3827</v>
      </c>
      <c r="M358" t="s">
        <v>3776</v>
      </c>
      <c r="N358" t="s">
        <v>3777</v>
      </c>
      <c r="O358" t="s">
        <v>5327</v>
      </c>
      <c r="P358" t="s">
        <v>5328</v>
      </c>
      <c r="Q358" t="s">
        <v>3778</v>
      </c>
      <c r="R358" t="s">
        <v>3779</v>
      </c>
      <c r="S358" t="s">
        <v>4531</v>
      </c>
      <c r="T358" t="s">
        <v>5337</v>
      </c>
      <c r="U358" t="s">
        <v>5338</v>
      </c>
      <c r="V358" t="s">
        <v>3781</v>
      </c>
      <c r="W358" t="s">
        <v>3782</v>
      </c>
      <c r="X358" t="s">
        <v>3783</v>
      </c>
      <c r="Y358" t="s">
        <v>3784</v>
      </c>
      <c r="Z358" t="s">
        <v>5151</v>
      </c>
      <c r="AA358" t="s">
        <v>5154</v>
      </c>
      <c r="AB358" t="s">
        <v>4568</v>
      </c>
      <c r="AC358" s="1" t="s">
        <v>4566</v>
      </c>
      <c r="AD358" s="6" t="s">
        <v>7000</v>
      </c>
    </row>
    <row r="359" spans="1:30" x14ac:dyDescent="0.25">
      <c r="A359" t="s">
        <v>5882</v>
      </c>
      <c r="B359" t="s">
        <v>4061</v>
      </c>
      <c r="C359" t="s">
        <v>4842</v>
      </c>
      <c r="D359" t="s">
        <v>4780</v>
      </c>
      <c r="E359" t="s">
        <v>3797</v>
      </c>
      <c r="F359" t="s">
        <v>6807</v>
      </c>
      <c r="G359" t="s">
        <v>6808</v>
      </c>
      <c r="H359" t="s">
        <v>6809</v>
      </c>
      <c r="I359" t="s">
        <v>3772</v>
      </c>
      <c r="J359" t="s">
        <v>3773</v>
      </c>
      <c r="K359" t="s">
        <v>3850</v>
      </c>
      <c r="L359" t="s">
        <v>3827</v>
      </c>
      <c r="M359" t="s">
        <v>3776</v>
      </c>
      <c r="N359" t="s">
        <v>3777</v>
      </c>
      <c r="O359" t="s">
        <v>5327</v>
      </c>
      <c r="P359" t="s">
        <v>5328</v>
      </c>
      <c r="Q359" t="s">
        <v>3778</v>
      </c>
      <c r="R359" t="s">
        <v>3779</v>
      </c>
      <c r="S359" t="s">
        <v>4153</v>
      </c>
      <c r="T359" t="s">
        <v>5337</v>
      </c>
      <c r="U359" t="s">
        <v>5338</v>
      </c>
      <c r="V359" t="s">
        <v>3781</v>
      </c>
      <c r="W359" t="s">
        <v>3782</v>
      </c>
      <c r="X359" t="s">
        <v>3783</v>
      </c>
      <c r="Y359" t="s">
        <v>3784</v>
      </c>
      <c r="Z359" t="s">
        <v>5166</v>
      </c>
      <c r="AA359" t="s">
        <v>5154</v>
      </c>
      <c r="AB359" t="s">
        <v>4568</v>
      </c>
      <c r="AC359" s="1" t="s">
        <v>4566</v>
      </c>
      <c r="AD359" s="6" t="s">
        <v>7002</v>
      </c>
    </row>
    <row r="360" spans="1:30" x14ac:dyDescent="0.25">
      <c r="A360" t="s">
        <v>5882</v>
      </c>
      <c r="B360" t="s">
        <v>4061</v>
      </c>
      <c r="C360" t="s">
        <v>6810</v>
      </c>
      <c r="D360" t="s">
        <v>4517</v>
      </c>
      <c r="E360" t="s">
        <v>3797</v>
      </c>
      <c r="F360" t="s">
        <v>6811</v>
      </c>
      <c r="G360" t="s">
        <v>6812</v>
      </c>
      <c r="H360" t="s">
        <v>6740</v>
      </c>
      <c r="I360" t="s">
        <v>3772</v>
      </c>
      <c r="J360" t="s">
        <v>3773</v>
      </c>
      <c r="K360" t="s">
        <v>3850</v>
      </c>
      <c r="L360" t="s">
        <v>3827</v>
      </c>
      <c r="M360" t="s">
        <v>3776</v>
      </c>
      <c r="N360" t="s">
        <v>3777</v>
      </c>
      <c r="O360" t="s">
        <v>5327</v>
      </c>
      <c r="P360" t="s">
        <v>5328</v>
      </c>
      <c r="Q360" t="s">
        <v>3778</v>
      </c>
      <c r="R360" t="s">
        <v>3779</v>
      </c>
      <c r="S360" t="s">
        <v>4153</v>
      </c>
      <c r="T360" t="s">
        <v>5337</v>
      </c>
      <c r="U360" t="s">
        <v>5338</v>
      </c>
      <c r="V360" t="s">
        <v>3781</v>
      </c>
      <c r="W360" t="s">
        <v>3782</v>
      </c>
      <c r="X360" t="s">
        <v>3783</v>
      </c>
      <c r="Y360" t="s">
        <v>3784</v>
      </c>
      <c r="Z360" t="s">
        <v>5166</v>
      </c>
      <c r="AA360" t="s">
        <v>5154</v>
      </c>
      <c r="AB360" t="s">
        <v>4568</v>
      </c>
      <c r="AC360" s="1" t="s">
        <v>4566</v>
      </c>
      <c r="AD360" s="6" t="s">
        <v>7004</v>
      </c>
    </row>
    <row r="361" spans="1:30" x14ac:dyDescent="0.25">
      <c r="A361" t="s">
        <v>5956</v>
      </c>
      <c r="B361" t="s">
        <v>3766</v>
      </c>
      <c r="C361" t="s">
        <v>4487</v>
      </c>
      <c r="D361" t="s">
        <v>4488</v>
      </c>
      <c r="E361" t="s">
        <v>3797</v>
      </c>
      <c r="F361" t="s">
        <v>6397</v>
      </c>
      <c r="G361" t="s">
        <v>6579</v>
      </c>
      <c r="H361" t="s">
        <v>6813</v>
      </c>
      <c r="I361" t="s">
        <v>3772</v>
      </c>
      <c r="J361" t="s">
        <v>3773</v>
      </c>
      <c r="K361" t="s">
        <v>3850</v>
      </c>
      <c r="L361" t="s">
        <v>3827</v>
      </c>
      <c r="M361" t="s">
        <v>3776</v>
      </c>
      <c r="N361" t="s">
        <v>3777</v>
      </c>
      <c r="O361" t="s">
        <v>5634</v>
      </c>
      <c r="P361" t="s">
        <v>5635</v>
      </c>
      <c r="Q361" t="s">
        <v>4781</v>
      </c>
      <c r="R361" t="s">
        <v>4782</v>
      </c>
      <c r="S361" t="s">
        <v>4266</v>
      </c>
      <c r="T361" t="s">
        <v>5636</v>
      </c>
      <c r="U361" t="s">
        <v>5637</v>
      </c>
      <c r="V361" t="s">
        <v>4783</v>
      </c>
      <c r="W361" t="s">
        <v>3782</v>
      </c>
      <c r="X361" t="s">
        <v>3804</v>
      </c>
      <c r="Y361" t="s">
        <v>3805</v>
      </c>
      <c r="Z361" t="s">
        <v>5153</v>
      </c>
      <c r="AA361" t="s">
        <v>5154</v>
      </c>
      <c r="AB361" t="s">
        <v>4268</v>
      </c>
      <c r="AC361" s="1" t="s">
        <v>4784</v>
      </c>
      <c r="AD361" s="6" t="s">
        <v>6814</v>
      </c>
    </row>
    <row r="362" spans="1:30" x14ac:dyDescent="0.25">
      <c r="A362" t="s">
        <v>5956</v>
      </c>
      <c r="B362" t="s">
        <v>3766</v>
      </c>
      <c r="C362" t="s">
        <v>3813</v>
      </c>
      <c r="D362" t="s">
        <v>3814</v>
      </c>
      <c r="E362" t="s">
        <v>3797</v>
      </c>
      <c r="F362" t="s">
        <v>4197</v>
      </c>
      <c r="G362" t="s">
        <v>6816</v>
      </c>
      <c r="H362" t="s">
        <v>6817</v>
      </c>
      <c r="I362" t="s">
        <v>3772</v>
      </c>
      <c r="J362" t="s">
        <v>3773</v>
      </c>
      <c r="K362" t="s">
        <v>3850</v>
      </c>
      <c r="L362" t="s">
        <v>3827</v>
      </c>
      <c r="M362" t="s">
        <v>3776</v>
      </c>
      <c r="N362" t="s">
        <v>3777</v>
      </c>
      <c r="O362" t="s">
        <v>5634</v>
      </c>
      <c r="P362" t="s">
        <v>5635</v>
      </c>
      <c r="Q362" t="s">
        <v>4781</v>
      </c>
      <c r="R362" t="s">
        <v>4782</v>
      </c>
      <c r="S362" t="s">
        <v>4266</v>
      </c>
      <c r="T362" t="s">
        <v>5636</v>
      </c>
      <c r="U362" t="s">
        <v>5637</v>
      </c>
      <c r="V362" t="s">
        <v>4783</v>
      </c>
      <c r="W362" t="s">
        <v>3782</v>
      </c>
      <c r="X362" t="s">
        <v>3804</v>
      </c>
      <c r="Y362" t="s">
        <v>3805</v>
      </c>
      <c r="Z362" t="s">
        <v>5153</v>
      </c>
      <c r="AA362" t="s">
        <v>5154</v>
      </c>
      <c r="AB362" t="s">
        <v>4268</v>
      </c>
      <c r="AC362" s="1" t="s">
        <v>4784</v>
      </c>
      <c r="AD362" s="6" t="s">
        <v>6818</v>
      </c>
    </row>
    <row r="363" spans="1:30" x14ac:dyDescent="0.25">
      <c r="A363" t="s">
        <v>5956</v>
      </c>
      <c r="B363" t="s">
        <v>3766</v>
      </c>
      <c r="C363" t="s">
        <v>5117</v>
      </c>
      <c r="D363" t="s">
        <v>4182</v>
      </c>
      <c r="E363" t="s">
        <v>3797</v>
      </c>
      <c r="F363" t="s">
        <v>3810</v>
      </c>
      <c r="G363" t="s">
        <v>6820</v>
      </c>
      <c r="H363" t="s">
        <v>4175</v>
      </c>
      <c r="I363" t="s">
        <v>3772</v>
      </c>
      <c r="J363" t="s">
        <v>3773</v>
      </c>
      <c r="K363" t="s">
        <v>3850</v>
      </c>
      <c r="L363" t="s">
        <v>3827</v>
      </c>
      <c r="M363" t="s">
        <v>3776</v>
      </c>
      <c r="N363" t="s">
        <v>3777</v>
      </c>
      <c r="O363" t="s">
        <v>5638</v>
      </c>
      <c r="P363" t="s">
        <v>5639</v>
      </c>
      <c r="Q363" t="s">
        <v>4785</v>
      </c>
      <c r="R363" t="s">
        <v>4786</v>
      </c>
      <c r="S363" t="s">
        <v>4266</v>
      </c>
      <c r="T363" t="s">
        <v>5405</v>
      </c>
      <c r="U363" t="s">
        <v>5406</v>
      </c>
      <c r="V363" t="s">
        <v>4787</v>
      </c>
      <c r="W363" t="s">
        <v>3782</v>
      </c>
      <c r="X363" t="s">
        <v>3804</v>
      </c>
      <c r="Y363" t="s">
        <v>3805</v>
      </c>
      <c r="Z363" t="s">
        <v>5153</v>
      </c>
      <c r="AA363" t="s">
        <v>5154</v>
      </c>
      <c r="AB363" t="s">
        <v>4179</v>
      </c>
      <c r="AC363" s="1" t="s">
        <v>3807</v>
      </c>
      <c r="AD363" s="6" t="s">
        <v>6821</v>
      </c>
    </row>
    <row r="364" spans="1:30" x14ac:dyDescent="0.25">
      <c r="A364" t="s">
        <v>5956</v>
      </c>
      <c r="B364" t="s">
        <v>3766</v>
      </c>
      <c r="C364" t="s">
        <v>5117</v>
      </c>
      <c r="D364" t="s">
        <v>4182</v>
      </c>
      <c r="E364" t="s">
        <v>3797</v>
      </c>
      <c r="F364" t="s">
        <v>3810</v>
      </c>
      <c r="G364" t="s">
        <v>6820</v>
      </c>
      <c r="H364" t="s">
        <v>4175</v>
      </c>
      <c r="I364" t="s">
        <v>3772</v>
      </c>
      <c r="J364" t="s">
        <v>3773</v>
      </c>
      <c r="K364" t="s">
        <v>3850</v>
      </c>
      <c r="L364" t="s">
        <v>3827</v>
      </c>
      <c r="M364" t="s">
        <v>3776</v>
      </c>
      <c r="N364" t="s">
        <v>3777</v>
      </c>
      <c r="O364" t="s">
        <v>5638</v>
      </c>
      <c r="P364" t="s">
        <v>5640</v>
      </c>
      <c r="Q364" t="s">
        <v>4788</v>
      </c>
      <c r="R364" t="s">
        <v>4789</v>
      </c>
      <c r="S364" t="s">
        <v>4266</v>
      </c>
      <c r="T364" t="s">
        <v>5405</v>
      </c>
      <c r="U364" t="s">
        <v>5406</v>
      </c>
      <c r="V364" t="s">
        <v>4787</v>
      </c>
      <c r="W364" t="s">
        <v>3782</v>
      </c>
      <c r="X364" t="s">
        <v>4790</v>
      </c>
      <c r="Y364" t="s">
        <v>3805</v>
      </c>
      <c r="Z364" t="s">
        <v>5153</v>
      </c>
      <c r="AA364" t="s">
        <v>5154</v>
      </c>
      <c r="AB364" t="s">
        <v>4268</v>
      </c>
      <c r="AC364" s="1" t="s">
        <v>3807</v>
      </c>
      <c r="AD364" s="6" t="s">
        <v>6823</v>
      </c>
    </row>
    <row r="365" spans="1:30" x14ac:dyDescent="0.25">
      <c r="A365" t="s">
        <v>5956</v>
      </c>
      <c r="B365" t="s">
        <v>3766</v>
      </c>
      <c r="C365" t="s">
        <v>3808</v>
      </c>
      <c r="D365" t="s">
        <v>3809</v>
      </c>
      <c r="E365" t="s">
        <v>3797</v>
      </c>
      <c r="F365" t="s">
        <v>4527</v>
      </c>
      <c r="G365" t="s">
        <v>6825</v>
      </c>
      <c r="H365" t="s">
        <v>6826</v>
      </c>
      <c r="I365" t="s">
        <v>3772</v>
      </c>
      <c r="J365" t="s">
        <v>3773</v>
      </c>
      <c r="K365" t="s">
        <v>3850</v>
      </c>
      <c r="L365" t="s">
        <v>3827</v>
      </c>
      <c r="M365" t="s">
        <v>3776</v>
      </c>
      <c r="N365" t="s">
        <v>3777</v>
      </c>
      <c r="O365" t="s">
        <v>5638</v>
      </c>
      <c r="P365" t="s">
        <v>5639</v>
      </c>
      <c r="Q365" t="s">
        <v>4785</v>
      </c>
      <c r="R365" t="s">
        <v>4791</v>
      </c>
      <c r="S365" t="s">
        <v>4266</v>
      </c>
      <c r="T365" t="s">
        <v>5409</v>
      </c>
      <c r="U365" t="s">
        <v>5641</v>
      </c>
      <c r="V365" t="s">
        <v>4792</v>
      </c>
      <c r="W365" t="s">
        <v>3782</v>
      </c>
      <c r="X365" t="s">
        <v>3804</v>
      </c>
      <c r="Y365" t="s">
        <v>3805</v>
      </c>
      <c r="Z365" t="s">
        <v>5153</v>
      </c>
      <c r="AA365" t="s">
        <v>5154</v>
      </c>
      <c r="AB365" t="s">
        <v>4268</v>
      </c>
      <c r="AC365" s="1" t="s">
        <v>3807</v>
      </c>
      <c r="AD365" s="6" t="s">
        <v>6827</v>
      </c>
    </row>
    <row r="366" spans="1:30" x14ac:dyDescent="0.25">
      <c r="A366" t="s">
        <v>5956</v>
      </c>
      <c r="B366" t="s">
        <v>3766</v>
      </c>
      <c r="C366" t="s">
        <v>6523</v>
      </c>
      <c r="D366" t="s">
        <v>4163</v>
      </c>
      <c r="E366" t="s">
        <v>3797</v>
      </c>
      <c r="F366" t="s">
        <v>6524</v>
      </c>
      <c r="G366" t="s">
        <v>6525</v>
      </c>
      <c r="H366" t="s">
        <v>6526</v>
      </c>
      <c r="I366" t="s">
        <v>3772</v>
      </c>
      <c r="J366" t="s">
        <v>3773</v>
      </c>
      <c r="K366" t="s">
        <v>3850</v>
      </c>
      <c r="L366" t="s">
        <v>3827</v>
      </c>
      <c r="M366" t="s">
        <v>3776</v>
      </c>
      <c r="N366" t="s">
        <v>3777</v>
      </c>
      <c r="O366" t="s">
        <v>5638</v>
      </c>
      <c r="P366" t="s">
        <v>5640</v>
      </c>
      <c r="Q366" t="s">
        <v>4785</v>
      </c>
      <c r="R366" t="s">
        <v>4786</v>
      </c>
      <c r="S366" t="s">
        <v>4266</v>
      </c>
      <c r="T366" t="s">
        <v>5405</v>
      </c>
      <c r="U366" t="s">
        <v>5406</v>
      </c>
      <c r="V366" t="s">
        <v>4267</v>
      </c>
      <c r="W366" t="s">
        <v>3782</v>
      </c>
      <c r="X366" t="s">
        <v>4790</v>
      </c>
      <c r="Y366" t="s">
        <v>3805</v>
      </c>
      <c r="Z366" t="s">
        <v>5153</v>
      </c>
      <c r="AA366" t="s">
        <v>5154</v>
      </c>
      <c r="AB366" t="s">
        <v>4268</v>
      </c>
      <c r="AC366" s="1" t="s">
        <v>3807</v>
      </c>
      <c r="AD366" s="6" t="s">
        <v>6829</v>
      </c>
    </row>
    <row r="367" spans="1:30" x14ac:dyDescent="0.25">
      <c r="A367" t="s">
        <v>5956</v>
      </c>
      <c r="B367" t="s">
        <v>3766</v>
      </c>
      <c r="C367" t="s">
        <v>5107</v>
      </c>
      <c r="D367" t="s">
        <v>4164</v>
      </c>
      <c r="E367" t="s">
        <v>3797</v>
      </c>
      <c r="F367" t="s">
        <v>4819</v>
      </c>
      <c r="G367" t="s">
        <v>6831</v>
      </c>
      <c r="H367" t="s">
        <v>6832</v>
      </c>
      <c r="I367" t="s">
        <v>3772</v>
      </c>
      <c r="J367" t="s">
        <v>3773</v>
      </c>
      <c r="K367" t="s">
        <v>3850</v>
      </c>
      <c r="L367" t="s">
        <v>3827</v>
      </c>
      <c r="M367" t="s">
        <v>3776</v>
      </c>
      <c r="N367" t="s">
        <v>3777</v>
      </c>
      <c r="O367" t="s">
        <v>5642</v>
      </c>
      <c r="P367" t="s">
        <v>5643</v>
      </c>
      <c r="Q367" t="s">
        <v>4793</v>
      </c>
      <c r="R367" t="s">
        <v>4270</v>
      </c>
      <c r="S367" t="s">
        <v>4266</v>
      </c>
      <c r="T367" t="s">
        <v>5409</v>
      </c>
      <c r="U367" t="s">
        <v>5641</v>
      </c>
      <c r="V367" t="s">
        <v>4792</v>
      </c>
      <c r="W367" t="s">
        <v>3782</v>
      </c>
      <c r="X367" t="s">
        <v>3804</v>
      </c>
      <c r="Y367" t="s">
        <v>3805</v>
      </c>
      <c r="Z367" t="s">
        <v>5153</v>
      </c>
      <c r="AA367" t="s">
        <v>5154</v>
      </c>
      <c r="AB367" t="s">
        <v>4268</v>
      </c>
      <c r="AC367" s="1" t="s">
        <v>3807</v>
      </c>
      <c r="AD367" s="6" t="s">
        <v>6833</v>
      </c>
    </row>
    <row r="368" spans="1:30" x14ac:dyDescent="0.25">
      <c r="A368" t="s">
        <v>5956</v>
      </c>
      <c r="B368" t="s">
        <v>3766</v>
      </c>
      <c r="C368" t="s">
        <v>3813</v>
      </c>
      <c r="D368" t="s">
        <v>3814</v>
      </c>
      <c r="E368" t="s">
        <v>3797</v>
      </c>
      <c r="F368" t="s">
        <v>3815</v>
      </c>
      <c r="G368" t="s">
        <v>6529</v>
      </c>
      <c r="H368" t="s">
        <v>6530</v>
      </c>
      <c r="I368" t="s">
        <v>3772</v>
      </c>
      <c r="J368" t="s">
        <v>3773</v>
      </c>
      <c r="K368" t="s">
        <v>3850</v>
      </c>
      <c r="L368" t="s">
        <v>3827</v>
      </c>
      <c r="M368" t="s">
        <v>3776</v>
      </c>
      <c r="N368" t="s">
        <v>3777</v>
      </c>
      <c r="O368" t="s">
        <v>5642</v>
      </c>
      <c r="P368" t="s">
        <v>5643</v>
      </c>
      <c r="Q368" t="s">
        <v>4794</v>
      </c>
      <c r="R368" t="s">
        <v>4795</v>
      </c>
      <c r="S368" t="s">
        <v>4266</v>
      </c>
      <c r="T368" t="s">
        <v>5409</v>
      </c>
      <c r="U368" t="s">
        <v>5641</v>
      </c>
      <c r="V368" t="s">
        <v>4792</v>
      </c>
      <c r="W368" t="s">
        <v>3782</v>
      </c>
      <c r="X368" t="s">
        <v>4790</v>
      </c>
      <c r="Y368" t="s">
        <v>3805</v>
      </c>
      <c r="Z368" t="s">
        <v>5153</v>
      </c>
      <c r="AA368" t="s">
        <v>5154</v>
      </c>
      <c r="AB368" t="s">
        <v>4268</v>
      </c>
      <c r="AC368" s="1" t="s">
        <v>3807</v>
      </c>
      <c r="AD368" s="6" t="s">
        <v>6835</v>
      </c>
    </row>
    <row r="369" spans="1:30" x14ac:dyDescent="0.25">
      <c r="A369" t="s">
        <v>5956</v>
      </c>
      <c r="B369" t="s">
        <v>3766</v>
      </c>
      <c r="C369" t="s">
        <v>5110</v>
      </c>
      <c r="D369" t="s">
        <v>4272</v>
      </c>
      <c r="E369" t="s">
        <v>3797</v>
      </c>
      <c r="F369" t="s">
        <v>5045</v>
      </c>
      <c r="G369" t="s">
        <v>6837</v>
      </c>
      <c r="H369" t="s">
        <v>6838</v>
      </c>
      <c r="I369" t="s">
        <v>3772</v>
      </c>
      <c r="J369" t="s">
        <v>3773</v>
      </c>
      <c r="K369" t="s">
        <v>3850</v>
      </c>
      <c r="L369" t="s">
        <v>3827</v>
      </c>
      <c r="M369" t="s">
        <v>3776</v>
      </c>
      <c r="N369" t="s">
        <v>3777</v>
      </c>
      <c r="O369" t="s">
        <v>5644</v>
      </c>
      <c r="P369" t="s">
        <v>5645</v>
      </c>
      <c r="Q369" t="s">
        <v>4781</v>
      </c>
      <c r="R369" t="s">
        <v>4796</v>
      </c>
      <c r="S369" t="s">
        <v>4266</v>
      </c>
      <c r="T369" t="s">
        <v>5636</v>
      </c>
      <c r="U369" t="s">
        <v>5646</v>
      </c>
      <c r="V369" t="s">
        <v>3825</v>
      </c>
      <c r="W369" t="s">
        <v>3782</v>
      </c>
      <c r="X369" t="s">
        <v>3804</v>
      </c>
      <c r="Y369" t="s">
        <v>3805</v>
      </c>
      <c r="Z369" t="s">
        <v>5147</v>
      </c>
      <c r="AA369" t="s">
        <v>5154</v>
      </c>
      <c r="AB369" t="s">
        <v>4268</v>
      </c>
      <c r="AC369" s="1" t="s">
        <v>3807</v>
      </c>
      <c r="AD369" s="6" t="s">
        <v>6839</v>
      </c>
    </row>
    <row r="370" spans="1:30" x14ac:dyDescent="0.25">
      <c r="A370" t="s">
        <v>5956</v>
      </c>
      <c r="B370" t="s">
        <v>3766</v>
      </c>
      <c r="C370" t="s">
        <v>5110</v>
      </c>
      <c r="D370" t="s">
        <v>4272</v>
      </c>
      <c r="E370" t="s">
        <v>3797</v>
      </c>
      <c r="F370" t="s">
        <v>5045</v>
      </c>
      <c r="G370" t="s">
        <v>6533</v>
      </c>
      <c r="H370" t="s">
        <v>6450</v>
      </c>
      <c r="I370" t="s">
        <v>3772</v>
      </c>
      <c r="J370" t="s">
        <v>3773</v>
      </c>
      <c r="K370" t="s">
        <v>3850</v>
      </c>
      <c r="L370" t="s">
        <v>3827</v>
      </c>
      <c r="M370" t="s">
        <v>3776</v>
      </c>
      <c r="N370" t="s">
        <v>3777</v>
      </c>
      <c r="O370" t="s">
        <v>5647</v>
      </c>
      <c r="P370" t="s">
        <v>5648</v>
      </c>
      <c r="Q370" t="s">
        <v>4273</v>
      </c>
      <c r="R370" t="s">
        <v>4274</v>
      </c>
      <c r="S370" t="s">
        <v>4266</v>
      </c>
      <c r="T370" t="s">
        <v>5649</v>
      </c>
      <c r="U370" t="s">
        <v>5410</v>
      </c>
      <c r="V370" t="s">
        <v>4275</v>
      </c>
      <c r="W370" t="s">
        <v>3782</v>
      </c>
      <c r="X370" t="s">
        <v>4790</v>
      </c>
      <c r="Y370" t="s">
        <v>3805</v>
      </c>
      <c r="Z370" t="s">
        <v>5149</v>
      </c>
      <c r="AA370" t="s">
        <v>5154</v>
      </c>
      <c r="AB370" t="s">
        <v>4268</v>
      </c>
      <c r="AC370" s="1" t="s">
        <v>3807</v>
      </c>
      <c r="AD370" s="6" t="s">
        <v>6841</v>
      </c>
    </row>
    <row r="371" spans="1:30" x14ac:dyDescent="0.25">
      <c r="A371" t="s">
        <v>5956</v>
      </c>
      <c r="B371" t="s">
        <v>3766</v>
      </c>
      <c r="C371" t="s">
        <v>5114</v>
      </c>
      <c r="D371" t="s">
        <v>4276</v>
      </c>
      <c r="E371" t="s">
        <v>3797</v>
      </c>
      <c r="F371" t="s">
        <v>5120</v>
      </c>
      <c r="G371" t="s">
        <v>6843</v>
      </c>
      <c r="H371" t="s">
        <v>6844</v>
      </c>
      <c r="I371" t="s">
        <v>3772</v>
      </c>
      <c r="J371" t="s">
        <v>3773</v>
      </c>
      <c r="K371" t="s">
        <v>3850</v>
      </c>
      <c r="L371" t="s">
        <v>3827</v>
      </c>
      <c r="M371" t="s">
        <v>3776</v>
      </c>
      <c r="N371" t="s">
        <v>3777</v>
      </c>
      <c r="O371" t="s">
        <v>5644</v>
      </c>
      <c r="P371" t="s">
        <v>5645</v>
      </c>
      <c r="Q371" t="s">
        <v>4781</v>
      </c>
      <c r="R371" t="s">
        <v>4797</v>
      </c>
      <c r="S371" t="s">
        <v>4266</v>
      </c>
      <c r="T371" t="s">
        <v>5650</v>
      </c>
      <c r="U371" t="s">
        <v>5651</v>
      </c>
      <c r="V371" t="s">
        <v>4798</v>
      </c>
      <c r="W371" t="s">
        <v>3782</v>
      </c>
      <c r="X371" t="s">
        <v>3804</v>
      </c>
      <c r="Y371" t="s">
        <v>4218</v>
      </c>
      <c r="Z371" t="s">
        <v>5149</v>
      </c>
      <c r="AA371" t="s">
        <v>5154</v>
      </c>
      <c r="AB371" t="s">
        <v>4268</v>
      </c>
      <c r="AC371" s="1" t="s">
        <v>3807</v>
      </c>
      <c r="AD371" s="6" t="s">
        <v>6845</v>
      </c>
    </row>
    <row r="372" spans="1:30" x14ac:dyDescent="0.25">
      <c r="A372" t="s">
        <v>5956</v>
      </c>
      <c r="B372" t="s">
        <v>3766</v>
      </c>
      <c r="C372" t="s">
        <v>4842</v>
      </c>
      <c r="D372" t="s">
        <v>4780</v>
      </c>
      <c r="E372" t="s">
        <v>3797</v>
      </c>
      <c r="F372" t="s">
        <v>6807</v>
      </c>
      <c r="G372" t="s">
        <v>6847</v>
      </c>
      <c r="H372" t="s">
        <v>6848</v>
      </c>
      <c r="I372" t="s">
        <v>3772</v>
      </c>
      <c r="J372" t="s">
        <v>3773</v>
      </c>
      <c r="K372" t="s">
        <v>3850</v>
      </c>
      <c r="L372" t="s">
        <v>3827</v>
      </c>
      <c r="M372" t="s">
        <v>3776</v>
      </c>
      <c r="N372" t="s">
        <v>3777</v>
      </c>
      <c r="O372" t="s">
        <v>5647</v>
      </c>
      <c r="P372" t="s">
        <v>5645</v>
      </c>
      <c r="Q372" t="s">
        <v>4781</v>
      </c>
      <c r="R372" t="s">
        <v>4799</v>
      </c>
      <c r="S372" t="s">
        <v>4266</v>
      </c>
      <c r="T372" t="s">
        <v>5413</v>
      </c>
      <c r="U372" t="s">
        <v>5414</v>
      </c>
      <c r="V372" t="s">
        <v>4800</v>
      </c>
      <c r="W372" t="s">
        <v>3782</v>
      </c>
      <c r="X372" t="s">
        <v>4790</v>
      </c>
      <c r="Y372" t="s">
        <v>4801</v>
      </c>
      <c r="Z372" t="s">
        <v>5149</v>
      </c>
      <c r="AA372" t="s">
        <v>5154</v>
      </c>
      <c r="AB372" t="s">
        <v>4268</v>
      </c>
      <c r="AC372" s="1" t="s">
        <v>3807</v>
      </c>
      <c r="AD372" s="6" t="s">
        <v>6849</v>
      </c>
    </row>
    <row r="373" spans="1:30" x14ac:dyDescent="0.25">
      <c r="A373" t="s">
        <v>5956</v>
      </c>
      <c r="B373" t="s">
        <v>3766</v>
      </c>
      <c r="C373" t="s">
        <v>4802</v>
      </c>
      <c r="D373" t="s">
        <v>4182</v>
      </c>
      <c r="E373" t="s">
        <v>4172</v>
      </c>
      <c r="F373" t="s">
        <v>4803</v>
      </c>
      <c r="G373" t="s">
        <v>4804</v>
      </c>
      <c r="H373" t="s">
        <v>4805</v>
      </c>
      <c r="I373" t="s">
        <v>3772</v>
      </c>
      <c r="J373" t="s">
        <v>3773</v>
      </c>
      <c r="K373" t="s">
        <v>3850</v>
      </c>
      <c r="L373" t="s">
        <v>3800</v>
      </c>
      <c r="M373" t="s">
        <v>3776</v>
      </c>
      <c r="N373" t="s">
        <v>3777</v>
      </c>
      <c r="O373" t="s">
        <v>5652</v>
      </c>
      <c r="P373" t="s">
        <v>5653</v>
      </c>
      <c r="Q373" t="s">
        <v>4806</v>
      </c>
      <c r="R373" t="s">
        <v>4807</v>
      </c>
      <c r="S373" t="s">
        <v>4266</v>
      </c>
      <c r="T373" t="s">
        <v>5654</v>
      </c>
      <c r="U373" t="s">
        <v>5655</v>
      </c>
      <c r="V373" t="s">
        <v>4808</v>
      </c>
      <c r="W373" t="s">
        <v>3782</v>
      </c>
      <c r="X373" t="s">
        <v>3804</v>
      </c>
      <c r="Y373" t="s">
        <v>3805</v>
      </c>
      <c r="Z373" t="s">
        <v>5153</v>
      </c>
      <c r="AA373" t="s">
        <v>5154</v>
      </c>
      <c r="AB373" t="s">
        <v>4179</v>
      </c>
      <c r="AC373" s="1" t="s">
        <v>3807</v>
      </c>
      <c r="AD373" s="6" t="s">
        <v>5957</v>
      </c>
    </row>
    <row r="374" spans="1:30" x14ac:dyDescent="0.25">
      <c r="A374" t="s">
        <v>5956</v>
      </c>
      <c r="B374" t="s">
        <v>3766</v>
      </c>
      <c r="C374" t="s">
        <v>4802</v>
      </c>
      <c r="D374" t="s">
        <v>4182</v>
      </c>
      <c r="E374" t="s">
        <v>4172</v>
      </c>
      <c r="F374" t="s">
        <v>4809</v>
      </c>
      <c r="G374" t="s">
        <v>4804</v>
      </c>
      <c r="H374" t="s">
        <v>4810</v>
      </c>
      <c r="I374" t="s">
        <v>3772</v>
      </c>
      <c r="J374" t="s">
        <v>3773</v>
      </c>
      <c r="K374" t="s">
        <v>3850</v>
      </c>
      <c r="L374" t="s">
        <v>3800</v>
      </c>
      <c r="M374" t="s">
        <v>3776</v>
      </c>
      <c r="N374" t="s">
        <v>3777</v>
      </c>
      <c r="O374" t="s">
        <v>5652</v>
      </c>
      <c r="P374" t="s">
        <v>5653</v>
      </c>
      <c r="Q374" t="s">
        <v>4806</v>
      </c>
      <c r="R374" t="s">
        <v>4811</v>
      </c>
      <c r="S374" t="s">
        <v>4266</v>
      </c>
      <c r="T374" t="s">
        <v>5405</v>
      </c>
      <c r="U374" t="s">
        <v>5406</v>
      </c>
      <c r="V374" t="s">
        <v>4812</v>
      </c>
      <c r="W374" t="s">
        <v>3782</v>
      </c>
      <c r="X374" t="s">
        <v>3804</v>
      </c>
      <c r="Y374" t="s">
        <v>3805</v>
      </c>
      <c r="Z374" t="s">
        <v>5153</v>
      </c>
      <c r="AA374" t="s">
        <v>5154</v>
      </c>
      <c r="AB374" t="s">
        <v>4179</v>
      </c>
      <c r="AC374" s="1" t="s">
        <v>3807</v>
      </c>
      <c r="AD374" s="6" t="s">
        <v>5958</v>
      </c>
    </row>
    <row r="375" spans="1:30" x14ac:dyDescent="0.25">
      <c r="A375" t="s">
        <v>5956</v>
      </c>
      <c r="B375" t="s">
        <v>3766</v>
      </c>
      <c r="C375" t="s">
        <v>4579</v>
      </c>
      <c r="D375" t="s">
        <v>4163</v>
      </c>
      <c r="E375" t="s">
        <v>4172</v>
      </c>
      <c r="F375" t="s">
        <v>4813</v>
      </c>
      <c r="G375" t="s">
        <v>4581</v>
      </c>
      <c r="H375" t="s">
        <v>4814</v>
      </c>
      <c r="I375" t="s">
        <v>3772</v>
      </c>
      <c r="J375" t="s">
        <v>3773</v>
      </c>
      <c r="K375" t="s">
        <v>3850</v>
      </c>
      <c r="L375" t="s">
        <v>3800</v>
      </c>
      <c r="M375" t="s">
        <v>3776</v>
      </c>
      <c r="N375" t="s">
        <v>3777</v>
      </c>
      <c r="O375" t="s">
        <v>5652</v>
      </c>
      <c r="P375" t="s">
        <v>5653</v>
      </c>
      <c r="Q375" t="s">
        <v>4806</v>
      </c>
      <c r="R375" t="s">
        <v>4815</v>
      </c>
      <c r="S375" t="s">
        <v>4266</v>
      </c>
      <c r="T375" t="s">
        <v>5654</v>
      </c>
      <c r="U375" t="s">
        <v>5655</v>
      </c>
      <c r="V375" t="s">
        <v>3838</v>
      </c>
      <c r="W375" t="s">
        <v>3782</v>
      </c>
      <c r="X375" t="s">
        <v>3804</v>
      </c>
      <c r="Y375" t="s">
        <v>3805</v>
      </c>
      <c r="Z375" t="s">
        <v>5153</v>
      </c>
      <c r="AA375" t="s">
        <v>5154</v>
      </c>
      <c r="AB375" t="s">
        <v>4179</v>
      </c>
      <c r="AC375" s="1" t="s">
        <v>3807</v>
      </c>
      <c r="AD375" s="6" t="s">
        <v>5959</v>
      </c>
    </row>
    <row r="376" spans="1:30" x14ac:dyDescent="0.25">
      <c r="A376" t="s">
        <v>5956</v>
      </c>
      <c r="B376" t="s">
        <v>3766</v>
      </c>
      <c r="C376" t="s">
        <v>4579</v>
      </c>
      <c r="D376" t="s">
        <v>4163</v>
      </c>
      <c r="E376" t="s">
        <v>4172</v>
      </c>
      <c r="F376" t="s">
        <v>4813</v>
      </c>
      <c r="G376" t="s">
        <v>4581</v>
      </c>
      <c r="H376" t="s">
        <v>4814</v>
      </c>
      <c r="I376" t="s">
        <v>3772</v>
      </c>
      <c r="J376" t="s">
        <v>3773</v>
      </c>
      <c r="K376" t="s">
        <v>3850</v>
      </c>
      <c r="L376" t="s">
        <v>3800</v>
      </c>
      <c r="M376" t="s">
        <v>3776</v>
      </c>
      <c r="N376" t="s">
        <v>3777</v>
      </c>
      <c r="O376" t="s">
        <v>5652</v>
      </c>
      <c r="P376" t="s">
        <v>5653</v>
      </c>
      <c r="Q376" t="s">
        <v>4816</v>
      </c>
      <c r="R376" t="s">
        <v>4811</v>
      </c>
      <c r="S376" t="s">
        <v>4266</v>
      </c>
      <c r="T376" t="s">
        <v>5405</v>
      </c>
      <c r="U376" t="s">
        <v>5406</v>
      </c>
      <c r="V376" t="s">
        <v>4817</v>
      </c>
      <c r="W376" t="s">
        <v>3782</v>
      </c>
      <c r="X376" t="s">
        <v>3804</v>
      </c>
      <c r="Y376" t="s">
        <v>3805</v>
      </c>
      <c r="Z376" t="s">
        <v>5153</v>
      </c>
      <c r="AA376" t="s">
        <v>5154</v>
      </c>
      <c r="AB376" t="s">
        <v>4179</v>
      </c>
      <c r="AC376" s="1" t="s">
        <v>3807</v>
      </c>
      <c r="AD376" s="6" t="s">
        <v>5960</v>
      </c>
    </row>
    <row r="377" spans="1:30" x14ac:dyDescent="0.25">
      <c r="A377" t="s">
        <v>5956</v>
      </c>
      <c r="B377" t="s">
        <v>3766</v>
      </c>
      <c r="C377" t="s">
        <v>4818</v>
      </c>
      <c r="D377" t="s">
        <v>4167</v>
      </c>
      <c r="E377" t="s">
        <v>4172</v>
      </c>
      <c r="F377" t="s">
        <v>4819</v>
      </c>
      <c r="G377" t="s">
        <v>4820</v>
      </c>
      <c r="H377" t="s">
        <v>4821</v>
      </c>
      <c r="I377" t="s">
        <v>3772</v>
      </c>
      <c r="J377" t="s">
        <v>3773</v>
      </c>
      <c r="K377" t="s">
        <v>3850</v>
      </c>
      <c r="L377" t="s">
        <v>3800</v>
      </c>
      <c r="M377" t="s">
        <v>3776</v>
      </c>
      <c r="N377" t="s">
        <v>3777</v>
      </c>
      <c r="O377" t="s">
        <v>5656</v>
      </c>
      <c r="P377" t="s">
        <v>5657</v>
      </c>
      <c r="Q377" t="s">
        <v>4822</v>
      </c>
      <c r="R377" t="s">
        <v>4823</v>
      </c>
      <c r="S377" t="s">
        <v>4266</v>
      </c>
      <c r="T377" t="s">
        <v>5658</v>
      </c>
      <c r="U377" t="s">
        <v>5659</v>
      </c>
      <c r="V377" t="s">
        <v>4824</v>
      </c>
      <c r="W377" t="s">
        <v>3782</v>
      </c>
      <c r="X377" t="s">
        <v>3804</v>
      </c>
      <c r="Y377" t="s">
        <v>3826</v>
      </c>
      <c r="Z377" t="s">
        <v>5147</v>
      </c>
      <c r="AA377" t="s">
        <v>5154</v>
      </c>
      <c r="AB377" t="s">
        <v>4179</v>
      </c>
      <c r="AC377" s="1" t="s">
        <v>3807</v>
      </c>
      <c r="AD377" s="6" t="s">
        <v>5961</v>
      </c>
    </row>
    <row r="378" spans="1:30" x14ac:dyDescent="0.25">
      <c r="A378" t="s">
        <v>5956</v>
      </c>
      <c r="B378" t="s">
        <v>3766</v>
      </c>
      <c r="C378" t="s">
        <v>4818</v>
      </c>
      <c r="D378" t="s">
        <v>4167</v>
      </c>
      <c r="E378" t="s">
        <v>4172</v>
      </c>
      <c r="F378" t="s">
        <v>4819</v>
      </c>
      <c r="G378" t="s">
        <v>4825</v>
      </c>
      <c r="H378" t="s">
        <v>4826</v>
      </c>
      <c r="I378" t="s">
        <v>3772</v>
      </c>
      <c r="J378" t="s">
        <v>3773</v>
      </c>
      <c r="K378" t="s">
        <v>3850</v>
      </c>
      <c r="L378" t="s">
        <v>3800</v>
      </c>
      <c r="M378" t="s">
        <v>3776</v>
      </c>
      <c r="N378" t="s">
        <v>3777</v>
      </c>
      <c r="O378" t="s">
        <v>5656</v>
      </c>
      <c r="P378" t="s">
        <v>5657</v>
      </c>
      <c r="Q378" t="s">
        <v>4794</v>
      </c>
      <c r="R378" t="s">
        <v>4827</v>
      </c>
      <c r="S378" t="s">
        <v>4266</v>
      </c>
      <c r="T378" t="s">
        <v>5649</v>
      </c>
      <c r="U378" t="s">
        <v>5410</v>
      </c>
      <c r="V378" t="s">
        <v>4828</v>
      </c>
      <c r="W378" t="s">
        <v>3782</v>
      </c>
      <c r="X378" t="s">
        <v>3804</v>
      </c>
      <c r="Y378" t="s">
        <v>3826</v>
      </c>
      <c r="Z378" t="s">
        <v>5147</v>
      </c>
      <c r="AA378" t="s">
        <v>5154</v>
      </c>
      <c r="AB378" t="s">
        <v>4179</v>
      </c>
      <c r="AC378" s="1" t="s">
        <v>3807</v>
      </c>
      <c r="AD378" s="6" t="s">
        <v>5962</v>
      </c>
    </row>
    <row r="379" spans="1:30" x14ac:dyDescent="0.25">
      <c r="A379" t="s">
        <v>5956</v>
      </c>
      <c r="B379" t="s">
        <v>3766</v>
      </c>
      <c r="C379" t="s">
        <v>4829</v>
      </c>
      <c r="D379" t="s">
        <v>4830</v>
      </c>
      <c r="E379" t="s">
        <v>4172</v>
      </c>
      <c r="F379" t="s">
        <v>4831</v>
      </c>
      <c r="G379" t="s">
        <v>4832</v>
      </c>
      <c r="H379" t="s">
        <v>4833</v>
      </c>
      <c r="I379" t="s">
        <v>3772</v>
      </c>
      <c r="J379" t="s">
        <v>3773</v>
      </c>
      <c r="K379" t="s">
        <v>3850</v>
      </c>
      <c r="L379" t="s">
        <v>3800</v>
      </c>
      <c r="M379" t="s">
        <v>3776</v>
      </c>
      <c r="N379" t="s">
        <v>3777</v>
      </c>
      <c r="O379" t="s">
        <v>5660</v>
      </c>
      <c r="P379" t="s">
        <v>5661</v>
      </c>
      <c r="Q379" t="s">
        <v>4834</v>
      </c>
      <c r="R379" t="s">
        <v>4835</v>
      </c>
      <c r="S379" t="s">
        <v>4266</v>
      </c>
      <c r="T379" t="s">
        <v>5662</v>
      </c>
      <c r="U379" t="s">
        <v>5663</v>
      </c>
      <c r="V379" t="s">
        <v>4836</v>
      </c>
      <c r="W379" t="s">
        <v>3782</v>
      </c>
      <c r="X379" t="s">
        <v>3804</v>
      </c>
      <c r="Y379" t="s">
        <v>3826</v>
      </c>
      <c r="Z379" t="s">
        <v>5149</v>
      </c>
      <c r="AA379" t="s">
        <v>5154</v>
      </c>
      <c r="AB379" t="s">
        <v>4179</v>
      </c>
      <c r="AC379" s="1" t="s">
        <v>3807</v>
      </c>
      <c r="AD379" s="6" t="s">
        <v>5963</v>
      </c>
    </row>
    <row r="380" spans="1:30" x14ac:dyDescent="0.25">
      <c r="A380" t="s">
        <v>5956</v>
      </c>
      <c r="B380" t="s">
        <v>3766</v>
      </c>
      <c r="C380" t="s">
        <v>4829</v>
      </c>
      <c r="D380" t="s">
        <v>4830</v>
      </c>
      <c r="E380" t="s">
        <v>4172</v>
      </c>
      <c r="F380" t="s">
        <v>4837</v>
      </c>
      <c r="G380" t="s">
        <v>4838</v>
      </c>
      <c r="H380" t="s">
        <v>4839</v>
      </c>
      <c r="I380" t="s">
        <v>3772</v>
      </c>
      <c r="J380" t="s">
        <v>3773</v>
      </c>
      <c r="K380" t="s">
        <v>3850</v>
      </c>
      <c r="L380" t="s">
        <v>3800</v>
      </c>
      <c r="M380" t="s">
        <v>3776</v>
      </c>
      <c r="N380" t="s">
        <v>3777</v>
      </c>
      <c r="O380" t="s">
        <v>5660</v>
      </c>
      <c r="P380" t="s">
        <v>5661</v>
      </c>
      <c r="Q380" t="s">
        <v>4834</v>
      </c>
      <c r="R380" t="s">
        <v>4840</v>
      </c>
      <c r="S380" t="s">
        <v>4266</v>
      </c>
      <c r="T380" t="s">
        <v>5664</v>
      </c>
      <c r="U380" t="s">
        <v>5665</v>
      </c>
      <c r="V380" t="s">
        <v>4841</v>
      </c>
      <c r="W380" t="s">
        <v>3782</v>
      </c>
      <c r="X380" t="s">
        <v>3804</v>
      </c>
      <c r="Y380" t="s">
        <v>3826</v>
      </c>
      <c r="Z380" t="s">
        <v>5149</v>
      </c>
      <c r="AA380" t="s">
        <v>5154</v>
      </c>
      <c r="AB380" t="s">
        <v>4179</v>
      </c>
      <c r="AC380" s="1" t="s">
        <v>3807</v>
      </c>
      <c r="AD380" s="6" t="s">
        <v>5964</v>
      </c>
    </row>
    <row r="381" spans="1:30" x14ac:dyDescent="0.25">
      <c r="A381" t="s">
        <v>5956</v>
      </c>
      <c r="B381" t="s">
        <v>3766</v>
      </c>
      <c r="C381" t="s">
        <v>4842</v>
      </c>
      <c r="D381" t="s">
        <v>4780</v>
      </c>
      <c r="E381" t="s">
        <v>4172</v>
      </c>
      <c r="F381" t="s">
        <v>4843</v>
      </c>
      <c r="G381" t="s">
        <v>4844</v>
      </c>
      <c r="H381" t="s">
        <v>4845</v>
      </c>
      <c r="I381" t="s">
        <v>3772</v>
      </c>
      <c r="J381" t="s">
        <v>3773</v>
      </c>
      <c r="K381" t="s">
        <v>3850</v>
      </c>
      <c r="L381" t="s">
        <v>3800</v>
      </c>
      <c r="M381" t="s">
        <v>3776</v>
      </c>
      <c r="N381" t="s">
        <v>3777</v>
      </c>
      <c r="O381" t="s">
        <v>5666</v>
      </c>
      <c r="P381" t="s">
        <v>5667</v>
      </c>
      <c r="Q381" t="s">
        <v>4846</v>
      </c>
      <c r="R381" t="s">
        <v>4847</v>
      </c>
      <c r="S381" t="s">
        <v>4266</v>
      </c>
      <c r="T381" t="s">
        <v>5668</v>
      </c>
      <c r="U381" t="s">
        <v>5669</v>
      </c>
      <c r="V381" t="s">
        <v>4848</v>
      </c>
      <c r="W381" t="s">
        <v>3782</v>
      </c>
      <c r="X381" t="s">
        <v>3804</v>
      </c>
      <c r="Y381" t="s">
        <v>3826</v>
      </c>
      <c r="Z381" t="s">
        <v>5149</v>
      </c>
      <c r="AA381" t="s">
        <v>5154</v>
      </c>
      <c r="AB381" t="s">
        <v>4849</v>
      </c>
      <c r="AC381" s="1" t="s">
        <v>3807</v>
      </c>
      <c r="AD381" s="6" t="s">
        <v>5965</v>
      </c>
    </row>
    <row r="382" spans="1:30" x14ac:dyDescent="0.25">
      <c r="A382" t="s">
        <v>5956</v>
      </c>
      <c r="B382" t="s">
        <v>3766</v>
      </c>
      <c r="C382" t="s">
        <v>4850</v>
      </c>
      <c r="D382" t="s">
        <v>4780</v>
      </c>
      <c r="E382" t="s">
        <v>4172</v>
      </c>
      <c r="F382" t="s">
        <v>4843</v>
      </c>
      <c r="G382" t="s">
        <v>4851</v>
      </c>
      <c r="H382" t="s">
        <v>4845</v>
      </c>
      <c r="I382" t="s">
        <v>3772</v>
      </c>
      <c r="J382" t="s">
        <v>3773</v>
      </c>
      <c r="K382" t="s">
        <v>3850</v>
      </c>
      <c r="L382" t="s">
        <v>3800</v>
      </c>
      <c r="M382" t="s">
        <v>3776</v>
      </c>
      <c r="N382" t="s">
        <v>3777</v>
      </c>
      <c r="O382" t="s">
        <v>5666</v>
      </c>
      <c r="P382" t="s">
        <v>5667</v>
      </c>
      <c r="Q382" t="s">
        <v>4846</v>
      </c>
      <c r="R382" t="s">
        <v>4852</v>
      </c>
      <c r="S382" t="s">
        <v>4266</v>
      </c>
      <c r="T382" t="s">
        <v>5413</v>
      </c>
      <c r="U382" t="s">
        <v>5414</v>
      </c>
      <c r="V382" t="s">
        <v>4558</v>
      </c>
      <c r="W382" t="s">
        <v>3782</v>
      </c>
      <c r="X382" t="s">
        <v>3804</v>
      </c>
      <c r="Y382" t="s">
        <v>3826</v>
      </c>
      <c r="Z382" t="s">
        <v>5149</v>
      </c>
      <c r="AA382" t="s">
        <v>5154</v>
      </c>
      <c r="AB382" t="s">
        <v>4179</v>
      </c>
      <c r="AC382" s="1" t="s">
        <v>3807</v>
      </c>
      <c r="AD382" s="6" t="s">
        <v>5966</v>
      </c>
    </row>
    <row r="383" spans="1:30" x14ac:dyDescent="0.25">
      <c r="A383" t="s">
        <v>5956</v>
      </c>
      <c r="B383" t="s">
        <v>3766</v>
      </c>
      <c r="C383" t="s">
        <v>4853</v>
      </c>
      <c r="D383" t="s">
        <v>3918</v>
      </c>
      <c r="E383" t="s">
        <v>4172</v>
      </c>
      <c r="F383" t="s">
        <v>4854</v>
      </c>
      <c r="G383" t="s">
        <v>4855</v>
      </c>
      <c r="H383" t="s">
        <v>4856</v>
      </c>
      <c r="I383" t="s">
        <v>3772</v>
      </c>
      <c r="J383" t="s">
        <v>3773</v>
      </c>
      <c r="K383" t="s">
        <v>3850</v>
      </c>
      <c r="L383" t="s">
        <v>3800</v>
      </c>
      <c r="M383" t="s">
        <v>3776</v>
      </c>
      <c r="N383" t="s">
        <v>3777</v>
      </c>
      <c r="O383" t="s">
        <v>5670</v>
      </c>
      <c r="P383" t="s">
        <v>5671</v>
      </c>
      <c r="Q383" t="s">
        <v>4857</v>
      </c>
      <c r="R383" t="s">
        <v>4858</v>
      </c>
      <c r="S383" t="s">
        <v>4266</v>
      </c>
      <c r="T383" t="s">
        <v>5672</v>
      </c>
      <c r="U383" t="s">
        <v>5651</v>
      </c>
      <c r="V383" t="s">
        <v>4859</v>
      </c>
      <c r="W383" t="s">
        <v>3782</v>
      </c>
      <c r="X383" t="s">
        <v>3804</v>
      </c>
      <c r="Y383" t="s">
        <v>4860</v>
      </c>
      <c r="Z383" t="s">
        <v>5151</v>
      </c>
      <c r="AA383" t="s">
        <v>5154</v>
      </c>
      <c r="AB383" t="s">
        <v>4179</v>
      </c>
      <c r="AC383" s="1" t="s">
        <v>3807</v>
      </c>
      <c r="AD383" s="6" t="s">
        <v>5967</v>
      </c>
    </row>
    <row r="384" spans="1:30" x14ac:dyDescent="0.25">
      <c r="A384" t="s">
        <v>5956</v>
      </c>
      <c r="B384" t="s">
        <v>3766</v>
      </c>
      <c r="C384" t="s">
        <v>4853</v>
      </c>
      <c r="D384" t="s">
        <v>3918</v>
      </c>
      <c r="E384" t="s">
        <v>4172</v>
      </c>
      <c r="F384" t="s">
        <v>4861</v>
      </c>
      <c r="G384" t="s">
        <v>4862</v>
      </c>
      <c r="H384" t="s">
        <v>4863</v>
      </c>
      <c r="I384" t="s">
        <v>3772</v>
      </c>
      <c r="J384" t="s">
        <v>3773</v>
      </c>
      <c r="K384" t="s">
        <v>3850</v>
      </c>
      <c r="L384" t="s">
        <v>3800</v>
      </c>
      <c r="M384" t="s">
        <v>3776</v>
      </c>
      <c r="N384" t="s">
        <v>3777</v>
      </c>
      <c r="O384" t="s">
        <v>5670</v>
      </c>
      <c r="P384" t="s">
        <v>5671</v>
      </c>
      <c r="Q384" t="s">
        <v>4857</v>
      </c>
      <c r="R384" t="s">
        <v>4688</v>
      </c>
      <c r="S384" t="s">
        <v>4266</v>
      </c>
      <c r="T384" t="s">
        <v>5673</v>
      </c>
      <c r="U384" t="s">
        <v>5674</v>
      </c>
      <c r="V384" t="s">
        <v>4864</v>
      </c>
      <c r="W384" t="s">
        <v>3782</v>
      </c>
      <c r="X384" t="s">
        <v>3804</v>
      </c>
      <c r="Y384" t="s">
        <v>4860</v>
      </c>
      <c r="Z384" t="s">
        <v>5151</v>
      </c>
      <c r="AA384" t="s">
        <v>5154</v>
      </c>
      <c r="AB384" t="s">
        <v>4179</v>
      </c>
      <c r="AC384" s="1" t="s">
        <v>3807</v>
      </c>
      <c r="AD384" s="6" t="s">
        <v>5968</v>
      </c>
    </row>
    <row r="385" spans="1:30" x14ac:dyDescent="0.25">
      <c r="A385" t="s">
        <v>5956</v>
      </c>
      <c r="B385" t="s">
        <v>3766</v>
      </c>
      <c r="C385" t="s">
        <v>4865</v>
      </c>
      <c r="D385" t="s">
        <v>3924</v>
      </c>
      <c r="E385" t="s">
        <v>4172</v>
      </c>
      <c r="F385" t="s">
        <v>4866</v>
      </c>
      <c r="G385" t="s">
        <v>4867</v>
      </c>
      <c r="H385" t="s">
        <v>4868</v>
      </c>
      <c r="I385" t="s">
        <v>3772</v>
      </c>
      <c r="J385" t="s">
        <v>3773</v>
      </c>
      <c r="K385" t="s">
        <v>3850</v>
      </c>
      <c r="L385" t="s">
        <v>3800</v>
      </c>
      <c r="M385" t="s">
        <v>3776</v>
      </c>
      <c r="N385" t="s">
        <v>3777</v>
      </c>
      <c r="O385" t="s">
        <v>5675</v>
      </c>
      <c r="P385" t="s">
        <v>5676</v>
      </c>
      <c r="Q385" t="s">
        <v>4869</v>
      </c>
      <c r="R385" t="s">
        <v>4870</v>
      </c>
      <c r="S385" t="s">
        <v>4266</v>
      </c>
      <c r="T385" t="s">
        <v>5677</v>
      </c>
      <c r="U385" t="s">
        <v>5678</v>
      </c>
      <c r="V385" t="s">
        <v>4871</v>
      </c>
      <c r="W385" t="s">
        <v>3782</v>
      </c>
      <c r="X385" t="s">
        <v>3804</v>
      </c>
      <c r="Y385" t="s">
        <v>4860</v>
      </c>
      <c r="Z385" t="s">
        <v>5151</v>
      </c>
      <c r="AA385" t="s">
        <v>5154</v>
      </c>
      <c r="AB385" t="s">
        <v>4179</v>
      </c>
      <c r="AC385" s="1" t="s">
        <v>4180</v>
      </c>
      <c r="AD385" s="6" t="s">
        <v>5969</v>
      </c>
    </row>
    <row r="386" spans="1:30" x14ac:dyDescent="0.25">
      <c r="A386" t="s">
        <v>5956</v>
      </c>
      <c r="B386" t="s">
        <v>3766</v>
      </c>
      <c r="C386" t="s">
        <v>4487</v>
      </c>
      <c r="D386" t="s">
        <v>4488</v>
      </c>
      <c r="E386" t="s">
        <v>3797</v>
      </c>
      <c r="F386" t="s">
        <v>6322</v>
      </c>
      <c r="G386" t="s">
        <v>6851</v>
      </c>
      <c r="H386" t="s">
        <v>6826</v>
      </c>
      <c r="I386" t="s">
        <v>3772</v>
      </c>
      <c r="J386" t="s">
        <v>3773</v>
      </c>
      <c r="K386" t="s">
        <v>3850</v>
      </c>
      <c r="L386" t="s">
        <v>3827</v>
      </c>
      <c r="M386" t="s">
        <v>3776</v>
      </c>
      <c r="N386" t="s">
        <v>3777</v>
      </c>
      <c r="O386" t="s">
        <v>5679</v>
      </c>
      <c r="P386" t="s">
        <v>5680</v>
      </c>
      <c r="Q386" t="s">
        <v>4872</v>
      </c>
      <c r="R386" t="s">
        <v>4873</v>
      </c>
      <c r="S386" t="s">
        <v>4266</v>
      </c>
      <c r="T386" t="s">
        <v>5681</v>
      </c>
      <c r="U386" t="s">
        <v>5682</v>
      </c>
      <c r="V386" t="s">
        <v>4874</v>
      </c>
      <c r="W386" t="s">
        <v>3782</v>
      </c>
      <c r="X386" t="s">
        <v>3804</v>
      </c>
      <c r="Y386" t="s">
        <v>3805</v>
      </c>
      <c r="Z386" t="s">
        <v>5153</v>
      </c>
      <c r="AA386" t="s">
        <v>5154</v>
      </c>
      <c r="AB386" t="s">
        <v>4875</v>
      </c>
      <c r="AC386" s="1" t="s">
        <v>4876</v>
      </c>
      <c r="AD386" s="6" t="s">
        <v>6852</v>
      </c>
    </row>
    <row r="387" spans="1:30" x14ac:dyDescent="0.25">
      <c r="A387" t="s">
        <v>5956</v>
      </c>
      <c r="B387" t="s">
        <v>3766</v>
      </c>
      <c r="C387" t="s">
        <v>4487</v>
      </c>
      <c r="D387" t="s">
        <v>4488</v>
      </c>
      <c r="E387" t="s">
        <v>3797</v>
      </c>
      <c r="F387" t="s">
        <v>6322</v>
      </c>
      <c r="G387" t="s">
        <v>6851</v>
      </c>
      <c r="H387" t="s">
        <v>6826</v>
      </c>
      <c r="I387" t="s">
        <v>3772</v>
      </c>
      <c r="J387" t="s">
        <v>3773</v>
      </c>
      <c r="K387" t="s">
        <v>3850</v>
      </c>
      <c r="L387" t="s">
        <v>3827</v>
      </c>
      <c r="M387" t="s">
        <v>3776</v>
      </c>
      <c r="N387" t="s">
        <v>3777</v>
      </c>
      <c r="O387" t="s">
        <v>5679</v>
      </c>
      <c r="P387" t="s">
        <v>5680</v>
      </c>
      <c r="Q387" t="s">
        <v>4872</v>
      </c>
      <c r="R387" t="s">
        <v>4873</v>
      </c>
      <c r="S387" t="s">
        <v>4266</v>
      </c>
      <c r="T387" t="s">
        <v>5681</v>
      </c>
      <c r="U387" t="s">
        <v>5682</v>
      </c>
      <c r="V387" t="s">
        <v>4874</v>
      </c>
      <c r="W387" t="s">
        <v>3782</v>
      </c>
      <c r="X387" t="s">
        <v>3804</v>
      </c>
      <c r="Y387" t="s">
        <v>3805</v>
      </c>
      <c r="Z387" t="s">
        <v>5153</v>
      </c>
      <c r="AA387" t="s">
        <v>5154</v>
      </c>
      <c r="AB387" t="s">
        <v>4875</v>
      </c>
      <c r="AC387" s="1" t="s">
        <v>4876</v>
      </c>
      <c r="AD387" s="6" t="s">
        <v>6852</v>
      </c>
    </row>
    <row r="388" spans="1:30" x14ac:dyDescent="0.25">
      <c r="A388" t="s">
        <v>5956</v>
      </c>
      <c r="B388" t="s">
        <v>3766</v>
      </c>
      <c r="C388" t="s">
        <v>6854</v>
      </c>
      <c r="D388" t="s">
        <v>3814</v>
      </c>
      <c r="E388" t="s">
        <v>3797</v>
      </c>
      <c r="F388" t="s">
        <v>6855</v>
      </c>
      <c r="G388" t="s">
        <v>6856</v>
      </c>
      <c r="H388" t="s">
        <v>6857</v>
      </c>
      <c r="I388" t="s">
        <v>3772</v>
      </c>
      <c r="J388" t="s">
        <v>3773</v>
      </c>
      <c r="K388" t="s">
        <v>3850</v>
      </c>
      <c r="L388" t="s">
        <v>3827</v>
      </c>
      <c r="M388" t="s">
        <v>3776</v>
      </c>
      <c r="N388" t="s">
        <v>3777</v>
      </c>
      <c r="O388" t="s">
        <v>5679</v>
      </c>
      <c r="P388" t="s">
        <v>5680</v>
      </c>
      <c r="Q388" t="s">
        <v>4872</v>
      </c>
      <c r="R388" t="s">
        <v>4877</v>
      </c>
      <c r="S388" t="s">
        <v>4266</v>
      </c>
      <c r="T388" t="s">
        <v>5681</v>
      </c>
      <c r="U388" t="s">
        <v>5682</v>
      </c>
      <c r="V388" t="s">
        <v>4874</v>
      </c>
      <c r="W388" t="s">
        <v>3782</v>
      </c>
      <c r="X388" t="s">
        <v>3804</v>
      </c>
      <c r="Y388" t="s">
        <v>3805</v>
      </c>
      <c r="Z388" t="s">
        <v>5147</v>
      </c>
      <c r="AA388" t="s">
        <v>5154</v>
      </c>
      <c r="AB388" t="s">
        <v>4875</v>
      </c>
      <c r="AC388" s="1" t="s">
        <v>4876</v>
      </c>
      <c r="AD388" s="6" t="s">
        <v>6858</v>
      </c>
    </row>
    <row r="389" spans="1:30" x14ac:dyDescent="0.25">
      <c r="A389" t="s">
        <v>5956</v>
      </c>
      <c r="B389" t="s">
        <v>3766</v>
      </c>
      <c r="C389" t="s">
        <v>6854</v>
      </c>
      <c r="D389" t="s">
        <v>3814</v>
      </c>
      <c r="E389" t="s">
        <v>3797</v>
      </c>
      <c r="F389" t="s">
        <v>6855</v>
      </c>
      <c r="G389" t="s">
        <v>6856</v>
      </c>
      <c r="H389" t="s">
        <v>6857</v>
      </c>
      <c r="I389" t="s">
        <v>3772</v>
      </c>
      <c r="J389" t="s">
        <v>3773</v>
      </c>
      <c r="K389" t="s">
        <v>3850</v>
      </c>
      <c r="L389" t="s">
        <v>3827</v>
      </c>
      <c r="M389" t="s">
        <v>3776</v>
      </c>
      <c r="N389" t="s">
        <v>3777</v>
      </c>
      <c r="O389" t="s">
        <v>5679</v>
      </c>
      <c r="P389" t="s">
        <v>5680</v>
      </c>
      <c r="Q389" t="s">
        <v>4872</v>
      </c>
      <c r="R389" t="s">
        <v>4877</v>
      </c>
      <c r="S389" t="s">
        <v>4266</v>
      </c>
      <c r="T389" t="s">
        <v>5681</v>
      </c>
      <c r="U389" t="s">
        <v>5682</v>
      </c>
      <c r="V389" t="s">
        <v>4874</v>
      </c>
      <c r="W389" t="s">
        <v>3782</v>
      </c>
      <c r="X389" t="s">
        <v>3804</v>
      </c>
      <c r="Y389" t="s">
        <v>3805</v>
      </c>
      <c r="Z389" t="s">
        <v>5147</v>
      </c>
      <c r="AA389" t="s">
        <v>5154</v>
      </c>
      <c r="AB389" t="s">
        <v>4875</v>
      </c>
      <c r="AC389" s="1" t="s">
        <v>4876</v>
      </c>
      <c r="AD389" s="6" t="s">
        <v>6858</v>
      </c>
    </row>
    <row r="390" spans="1:30" x14ac:dyDescent="0.25">
      <c r="A390" t="s">
        <v>5956</v>
      </c>
      <c r="B390" t="s">
        <v>3901</v>
      </c>
      <c r="C390" t="s">
        <v>4644</v>
      </c>
      <c r="D390" t="s">
        <v>4204</v>
      </c>
      <c r="E390" t="s">
        <v>3797</v>
      </c>
      <c r="F390" t="s">
        <v>4740</v>
      </c>
      <c r="G390" t="s">
        <v>4741</v>
      </c>
      <c r="H390" t="s">
        <v>6860</v>
      </c>
      <c r="I390" t="s">
        <v>3772</v>
      </c>
      <c r="J390" t="s">
        <v>3773</v>
      </c>
      <c r="K390" t="s">
        <v>3850</v>
      </c>
      <c r="L390" t="s">
        <v>3800</v>
      </c>
      <c r="M390" t="s">
        <v>3776</v>
      </c>
      <c r="N390" t="s">
        <v>3777</v>
      </c>
      <c r="O390" t="s">
        <v>5683</v>
      </c>
      <c r="P390" t="s">
        <v>5684</v>
      </c>
      <c r="Q390" t="s">
        <v>4878</v>
      </c>
      <c r="R390" t="s">
        <v>4879</v>
      </c>
      <c r="S390" t="s">
        <v>4266</v>
      </c>
      <c r="T390" t="s">
        <v>5685</v>
      </c>
      <c r="U390" t="s">
        <v>5682</v>
      </c>
      <c r="V390" t="s">
        <v>4880</v>
      </c>
      <c r="W390" t="s">
        <v>3782</v>
      </c>
      <c r="X390" t="s">
        <v>3804</v>
      </c>
      <c r="Y390" t="s">
        <v>3826</v>
      </c>
      <c r="Z390" t="s">
        <v>5167</v>
      </c>
      <c r="AA390" t="s">
        <v>5150</v>
      </c>
      <c r="AB390" t="s">
        <v>4881</v>
      </c>
      <c r="AC390" s="1" t="s">
        <v>3807</v>
      </c>
      <c r="AD390" s="6" t="s">
        <v>6861</v>
      </c>
    </row>
    <row r="391" spans="1:30" x14ac:dyDescent="0.25">
      <c r="A391" t="s">
        <v>5956</v>
      </c>
      <c r="B391" t="s">
        <v>3901</v>
      </c>
      <c r="C391" t="s">
        <v>6863</v>
      </c>
      <c r="D391" t="s">
        <v>3846</v>
      </c>
      <c r="E391" t="s">
        <v>3797</v>
      </c>
      <c r="F391" t="s">
        <v>4075</v>
      </c>
      <c r="G391" t="s">
        <v>6739</v>
      </c>
      <c r="H391" t="s">
        <v>6864</v>
      </c>
      <c r="I391" t="s">
        <v>3772</v>
      </c>
      <c r="J391" t="s">
        <v>3773</v>
      </c>
      <c r="K391" t="s">
        <v>3850</v>
      </c>
      <c r="L391" t="s">
        <v>3800</v>
      </c>
      <c r="M391" t="s">
        <v>3776</v>
      </c>
      <c r="N391" t="s">
        <v>3777</v>
      </c>
      <c r="O391" t="s">
        <v>5683</v>
      </c>
      <c r="P391" t="s">
        <v>5684</v>
      </c>
      <c r="Q391" t="s">
        <v>4878</v>
      </c>
      <c r="R391" t="s">
        <v>4882</v>
      </c>
      <c r="S391" t="s">
        <v>4266</v>
      </c>
      <c r="T391" t="s">
        <v>5686</v>
      </c>
      <c r="U391" t="s">
        <v>5687</v>
      </c>
      <c r="V391" t="s">
        <v>4883</v>
      </c>
      <c r="W391" t="s">
        <v>3782</v>
      </c>
      <c r="X391" t="s">
        <v>3890</v>
      </c>
      <c r="Y391" t="s">
        <v>4884</v>
      </c>
      <c r="Z391" t="s">
        <v>5155</v>
      </c>
      <c r="AA391" t="s">
        <v>5152</v>
      </c>
      <c r="AB391" t="s">
        <v>4881</v>
      </c>
      <c r="AC391" s="1" t="s">
        <v>3807</v>
      </c>
      <c r="AD391" s="6" t="s">
        <v>6865</v>
      </c>
    </row>
    <row r="392" spans="1:30" x14ac:dyDescent="0.25">
      <c r="A392" t="s">
        <v>5956</v>
      </c>
      <c r="B392" t="s">
        <v>3901</v>
      </c>
      <c r="C392" t="s">
        <v>4951</v>
      </c>
      <c r="D392" t="s">
        <v>4004</v>
      </c>
      <c r="E392" t="s">
        <v>3797</v>
      </c>
      <c r="F392" t="s">
        <v>6867</v>
      </c>
      <c r="G392" t="s">
        <v>6868</v>
      </c>
      <c r="H392" t="s">
        <v>4954</v>
      </c>
      <c r="I392" t="s">
        <v>3772</v>
      </c>
      <c r="J392" t="s">
        <v>3773</v>
      </c>
      <c r="K392" t="s">
        <v>3850</v>
      </c>
      <c r="L392" t="s">
        <v>3800</v>
      </c>
      <c r="M392" t="s">
        <v>3776</v>
      </c>
      <c r="N392" t="s">
        <v>3777</v>
      </c>
      <c r="O392" t="s">
        <v>5303</v>
      </c>
      <c r="P392" t="s">
        <v>5688</v>
      </c>
      <c r="Q392" t="s">
        <v>4885</v>
      </c>
      <c r="R392" t="s">
        <v>4886</v>
      </c>
      <c r="S392" t="s">
        <v>4266</v>
      </c>
      <c r="T392" t="s">
        <v>5689</v>
      </c>
      <c r="U392" t="s">
        <v>5678</v>
      </c>
      <c r="V392" t="s">
        <v>4887</v>
      </c>
      <c r="W392" t="s">
        <v>3782</v>
      </c>
      <c r="X392" t="s">
        <v>3890</v>
      </c>
      <c r="Y392" t="s">
        <v>4884</v>
      </c>
      <c r="Z392" t="s">
        <v>5155</v>
      </c>
      <c r="AA392" t="s">
        <v>5152</v>
      </c>
      <c r="AB392" t="s">
        <v>4881</v>
      </c>
      <c r="AC392" s="1" t="s">
        <v>3807</v>
      </c>
      <c r="AD392" s="6" t="s">
        <v>6869</v>
      </c>
    </row>
    <row r="393" spans="1:30" x14ac:dyDescent="0.25">
      <c r="A393" t="s">
        <v>5956</v>
      </c>
      <c r="B393" t="s">
        <v>3901</v>
      </c>
      <c r="C393" t="s">
        <v>4066</v>
      </c>
      <c r="D393" t="s">
        <v>3967</v>
      </c>
      <c r="E393" t="s">
        <v>3797</v>
      </c>
      <c r="F393" t="s">
        <v>4961</v>
      </c>
      <c r="G393" t="s">
        <v>4962</v>
      </c>
      <c r="H393" t="s">
        <v>6871</v>
      </c>
      <c r="I393" t="s">
        <v>3772</v>
      </c>
      <c r="J393" t="s">
        <v>3773</v>
      </c>
      <c r="K393" t="s">
        <v>3908</v>
      </c>
      <c r="L393" t="s">
        <v>3800</v>
      </c>
      <c r="M393" t="s">
        <v>3776</v>
      </c>
      <c r="N393" t="s">
        <v>3777</v>
      </c>
      <c r="O393" t="s">
        <v>5305</v>
      </c>
      <c r="P393" t="s">
        <v>5690</v>
      </c>
      <c r="Q393" t="s">
        <v>4641</v>
      </c>
      <c r="R393" t="s">
        <v>4888</v>
      </c>
      <c r="S393" t="s">
        <v>4266</v>
      </c>
      <c r="T393" t="s">
        <v>5691</v>
      </c>
      <c r="U393" t="s">
        <v>5692</v>
      </c>
      <c r="V393" t="s">
        <v>4889</v>
      </c>
      <c r="W393" t="s">
        <v>3782</v>
      </c>
      <c r="X393" t="s">
        <v>3890</v>
      </c>
      <c r="Y393" t="s">
        <v>4884</v>
      </c>
      <c r="Z393" t="s">
        <v>5157</v>
      </c>
      <c r="AA393" t="s">
        <v>5156</v>
      </c>
      <c r="AB393" t="s">
        <v>4881</v>
      </c>
      <c r="AC393" s="1" t="s">
        <v>3807</v>
      </c>
      <c r="AD393" s="6" t="s">
        <v>6872</v>
      </c>
    </row>
    <row r="394" spans="1:30" x14ac:dyDescent="0.25">
      <c r="A394" t="s">
        <v>5956</v>
      </c>
      <c r="B394" t="s">
        <v>3901</v>
      </c>
      <c r="C394" t="s">
        <v>6874</v>
      </c>
      <c r="D394" t="s">
        <v>3968</v>
      </c>
      <c r="E394" t="s">
        <v>3797</v>
      </c>
      <c r="F394" t="s">
        <v>5039</v>
      </c>
      <c r="G394" t="s">
        <v>6875</v>
      </c>
      <c r="H394" t="s">
        <v>4631</v>
      </c>
      <c r="I394" t="s">
        <v>3772</v>
      </c>
      <c r="J394" t="s">
        <v>3773</v>
      </c>
      <c r="K394" t="s">
        <v>3908</v>
      </c>
      <c r="L394" t="s">
        <v>3800</v>
      </c>
      <c r="M394" t="s">
        <v>3776</v>
      </c>
      <c r="N394" t="s">
        <v>3777</v>
      </c>
      <c r="O394" t="s">
        <v>5305</v>
      </c>
      <c r="P394" t="s">
        <v>5693</v>
      </c>
      <c r="Q394" t="s">
        <v>4890</v>
      </c>
      <c r="R394" t="s">
        <v>4891</v>
      </c>
      <c r="S394" t="s">
        <v>4266</v>
      </c>
      <c r="T394" t="s">
        <v>5691</v>
      </c>
      <c r="U394" t="s">
        <v>5692</v>
      </c>
      <c r="V394" t="s">
        <v>4892</v>
      </c>
      <c r="W394" t="s">
        <v>3782</v>
      </c>
      <c r="X394" t="s">
        <v>3890</v>
      </c>
      <c r="Y394" t="s">
        <v>4884</v>
      </c>
      <c r="Z394" t="s">
        <v>5157</v>
      </c>
      <c r="AA394" t="s">
        <v>5156</v>
      </c>
      <c r="AB394" t="s">
        <v>4881</v>
      </c>
      <c r="AC394" s="1" t="s">
        <v>3807</v>
      </c>
      <c r="AD394" s="6" t="s">
        <v>6876</v>
      </c>
    </row>
    <row r="395" spans="1:30" x14ac:dyDescent="0.25">
      <c r="A395" t="s">
        <v>5956</v>
      </c>
      <c r="B395" t="s">
        <v>3901</v>
      </c>
      <c r="C395" t="s">
        <v>4893</v>
      </c>
      <c r="D395" t="s">
        <v>4894</v>
      </c>
      <c r="E395" t="s">
        <v>3797</v>
      </c>
      <c r="F395" t="s">
        <v>4895</v>
      </c>
      <c r="G395" t="s">
        <v>4896</v>
      </c>
      <c r="H395" t="s">
        <v>4897</v>
      </c>
      <c r="I395" t="s">
        <v>3772</v>
      </c>
      <c r="J395" t="s">
        <v>3773</v>
      </c>
      <c r="K395" t="s">
        <v>3908</v>
      </c>
      <c r="L395" t="s">
        <v>3800</v>
      </c>
      <c r="M395" t="s">
        <v>3776</v>
      </c>
      <c r="N395" t="s">
        <v>3777</v>
      </c>
      <c r="O395" t="s">
        <v>5694</v>
      </c>
      <c r="P395" t="s">
        <v>5695</v>
      </c>
      <c r="Q395" t="s">
        <v>4898</v>
      </c>
      <c r="R395" t="s">
        <v>4899</v>
      </c>
      <c r="S395" t="s">
        <v>4900</v>
      </c>
      <c r="T395" t="s">
        <v>5696</v>
      </c>
      <c r="U395" t="s">
        <v>5697</v>
      </c>
      <c r="V395" t="s">
        <v>4901</v>
      </c>
      <c r="W395" t="s">
        <v>3782</v>
      </c>
      <c r="X395" t="s">
        <v>3890</v>
      </c>
      <c r="Y395" t="s">
        <v>4332</v>
      </c>
      <c r="Z395" t="s">
        <v>5155</v>
      </c>
      <c r="AA395" t="s">
        <v>5156</v>
      </c>
      <c r="AB395" t="s">
        <v>4902</v>
      </c>
      <c r="AC395" s="1" t="s">
        <v>3807</v>
      </c>
      <c r="AD395" s="6" t="s">
        <v>5970</v>
      </c>
    </row>
    <row r="396" spans="1:30" x14ac:dyDescent="0.25">
      <c r="A396" t="s">
        <v>5956</v>
      </c>
      <c r="B396" t="s">
        <v>3901</v>
      </c>
      <c r="C396" t="s">
        <v>4903</v>
      </c>
      <c r="D396" t="s">
        <v>4904</v>
      </c>
      <c r="E396" t="s">
        <v>3797</v>
      </c>
      <c r="F396" t="s">
        <v>4905</v>
      </c>
      <c r="G396" t="s">
        <v>4906</v>
      </c>
      <c r="H396" t="s">
        <v>4907</v>
      </c>
      <c r="I396" t="s">
        <v>3772</v>
      </c>
      <c r="J396" t="s">
        <v>3773</v>
      </c>
      <c r="K396" t="s">
        <v>3908</v>
      </c>
      <c r="L396" t="s">
        <v>3800</v>
      </c>
      <c r="M396" t="s">
        <v>3776</v>
      </c>
      <c r="N396" t="s">
        <v>3777</v>
      </c>
      <c r="O396" t="s">
        <v>5698</v>
      </c>
      <c r="P396" t="s">
        <v>5699</v>
      </c>
      <c r="Q396" t="s">
        <v>4908</v>
      </c>
      <c r="R396" t="s">
        <v>4909</v>
      </c>
      <c r="S396" t="s">
        <v>4900</v>
      </c>
      <c r="T396" t="s">
        <v>5700</v>
      </c>
      <c r="U396" t="s">
        <v>5701</v>
      </c>
      <c r="V396" t="s">
        <v>4910</v>
      </c>
      <c r="W396" t="s">
        <v>3782</v>
      </c>
      <c r="X396" t="s">
        <v>3890</v>
      </c>
      <c r="Y396" t="s">
        <v>4911</v>
      </c>
      <c r="Z396" t="s">
        <v>5155</v>
      </c>
      <c r="AA396" t="s">
        <v>5156</v>
      </c>
      <c r="AB396" t="s">
        <v>4902</v>
      </c>
      <c r="AC396" s="1" t="s">
        <v>3807</v>
      </c>
      <c r="AD396" s="6" t="s">
        <v>5971</v>
      </c>
    </row>
    <row r="397" spans="1:30" x14ac:dyDescent="0.25">
      <c r="A397" t="s">
        <v>5956</v>
      </c>
      <c r="B397" t="s">
        <v>3901</v>
      </c>
      <c r="C397" t="s">
        <v>4912</v>
      </c>
      <c r="D397" t="s">
        <v>4913</v>
      </c>
      <c r="E397" t="s">
        <v>3797</v>
      </c>
      <c r="F397" t="s">
        <v>4914</v>
      </c>
      <c r="G397" t="s">
        <v>4915</v>
      </c>
      <c r="H397" t="s">
        <v>4426</v>
      </c>
      <c r="I397" t="s">
        <v>3772</v>
      </c>
      <c r="J397" t="s">
        <v>3773</v>
      </c>
      <c r="K397" t="s">
        <v>3908</v>
      </c>
      <c r="L397" t="s">
        <v>3800</v>
      </c>
      <c r="M397" t="s">
        <v>3776</v>
      </c>
      <c r="N397" t="s">
        <v>3777</v>
      </c>
      <c r="O397" t="s">
        <v>5698</v>
      </c>
      <c r="P397" t="s">
        <v>5702</v>
      </c>
      <c r="Q397" t="s">
        <v>4916</v>
      </c>
      <c r="R397" t="s">
        <v>4917</v>
      </c>
      <c r="S397" t="s">
        <v>4918</v>
      </c>
      <c r="T397" t="s">
        <v>5703</v>
      </c>
      <c r="U397" t="s">
        <v>5704</v>
      </c>
      <c r="V397" t="s">
        <v>4919</v>
      </c>
      <c r="W397" t="s">
        <v>3782</v>
      </c>
      <c r="X397" t="s">
        <v>3977</v>
      </c>
      <c r="Y397" t="s">
        <v>3978</v>
      </c>
      <c r="Z397" t="s">
        <v>5155</v>
      </c>
      <c r="AA397" t="s">
        <v>5156</v>
      </c>
      <c r="AB397" t="s">
        <v>4902</v>
      </c>
      <c r="AC397" s="1" t="s">
        <v>3807</v>
      </c>
      <c r="AD397" s="6" t="s">
        <v>5972</v>
      </c>
    </row>
    <row r="398" spans="1:30" x14ac:dyDescent="0.25">
      <c r="A398" t="s">
        <v>5956</v>
      </c>
      <c r="B398" t="s">
        <v>3901</v>
      </c>
      <c r="C398" t="s">
        <v>4920</v>
      </c>
      <c r="D398" t="s">
        <v>4921</v>
      </c>
      <c r="E398" t="s">
        <v>3797</v>
      </c>
      <c r="F398" t="s">
        <v>4922</v>
      </c>
      <c r="G398" t="s">
        <v>4923</v>
      </c>
      <c r="H398" t="s">
        <v>4924</v>
      </c>
      <c r="I398" t="s">
        <v>3772</v>
      </c>
      <c r="J398" t="s">
        <v>3773</v>
      </c>
      <c r="K398" t="s">
        <v>3908</v>
      </c>
      <c r="L398" t="s">
        <v>3800</v>
      </c>
      <c r="M398" t="s">
        <v>3776</v>
      </c>
      <c r="N398" t="s">
        <v>3777</v>
      </c>
      <c r="O398" t="s">
        <v>5705</v>
      </c>
      <c r="P398" t="s">
        <v>5706</v>
      </c>
      <c r="Q398" t="s">
        <v>4925</v>
      </c>
      <c r="R398" t="s">
        <v>4926</v>
      </c>
      <c r="S398" t="s">
        <v>4900</v>
      </c>
      <c r="T398" t="s">
        <v>5696</v>
      </c>
      <c r="U398" t="s">
        <v>5697</v>
      </c>
      <c r="V398" t="s">
        <v>4901</v>
      </c>
      <c r="W398" t="s">
        <v>3782</v>
      </c>
      <c r="X398" t="s">
        <v>3890</v>
      </c>
      <c r="Y398" t="s">
        <v>4332</v>
      </c>
      <c r="Z398" t="s">
        <v>5155</v>
      </c>
      <c r="AA398" t="s">
        <v>5156</v>
      </c>
      <c r="AB398" t="s">
        <v>4902</v>
      </c>
      <c r="AC398" s="1" t="s">
        <v>3807</v>
      </c>
      <c r="AD398" s="6" t="s">
        <v>5973</v>
      </c>
    </row>
    <row r="399" spans="1:30" x14ac:dyDescent="0.25">
      <c r="A399" t="s">
        <v>5956</v>
      </c>
      <c r="B399" t="s">
        <v>4001</v>
      </c>
      <c r="C399" t="s">
        <v>3813</v>
      </c>
      <c r="D399" t="s">
        <v>3814</v>
      </c>
      <c r="E399" t="s">
        <v>3797</v>
      </c>
      <c r="F399" t="s">
        <v>3821</v>
      </c>
      <c r="G399" t="s">
        <v>6878</v>
      </c>
      <c r="H399" t="s">
        <v>6879</v>
      </c>
      <c r="I399" t="s">
        <v>3772</v>
      </c>
      <c r="J399" t="s">
        <v>3773</v>
      </c>
      <c r="K399" t="s">
        <v>3850</v>
      </c>
      <c r="L399" t="s">
        <v>3800</v>
      </c>
      <c r="M399" t="s">
        <v>3776</v>
      </c>
      <c r="N399" t="s">
        <v>3777</v>
      </c>
      <c r="O399" t="s">
        <v>5707</v>
      </c>
      <c r="P399" t="s">
        <v>5708</v>
      </c>
      <c r="Q399" t="s">
        <v>3988</v>
      </c>
      <c r="R399" t="s">
        <v>4927</v>
      </c>
      <c r="S399" t="s">
        <v>4266</v>
      </c>
      <c r="T399" t="s">
        <v>5685</v>
      </c>
      <c r="U399" t="s">
        <v>5682</v>
      </c>
      <c r="V399" t="s">
        <v>4549</v>
      </c>
      <c r="W399" t="s">
        <v>3782</v>
      </c>
      <c r="X399" t="s">
        <v>3804</v>
      </c>
      <c r="Y399" t="s">
        <v>3805</v>
      </c>
      <c r="Z399" t="s">
        <v>5151</v>
      </c>
      <c r="AA399" t="s">
        <v>5148</v>
      </c>
      <c r="AB399" t="s">
        <v>4881</v>
      </c>
      <c r="AC399" s="1" t="s">
        <v>3807</v>
      </c>
      <c r="AD399" s="6" t="s">
        <v>6880</v>
      </c>
    </row>
    <row r="400" spans="1:30" x14ac:dyDescent="0.25">
      <c r="A400" t="s">
        <v>5956</v>
      </c>
      <c r="B400" t="s">
        <v>4001</v>
      </c>
      <c r="C400" t="s">
        <v>3862</v>
      </c>
      <c r="D400" t="s">
        <v>3863</v>
      </c>
      <c r="E400" t="s">
        <v>3797</v>
      </c>
      <c r="F400" t="s">
        <v>4609</v>
      </c>
      <c r="G400" t="s">
        <v>4139</v>
      </c>
      <c r="H400" t="s">
        <v>6860</v>
      </c>
      <c r="I400" t="s">
        <v>3772</v>
      </c>
      <c r="J400" t="s">
        <v>3773</v>
      </c>
      <c r="K400" t="s">
        <v>3850</v>
      </c>
      <c r="L400" t="s">
        <v>3800</v>
      </c>
      <c r="M400" t="s">
        <v>3776</v>
      </c>
      <c r="N400" t="s">
        <v>3777</v>
      </c>
      <c r="O400" t="s">
        <v>5707</v>
      </c>
      <c r="P400" t="s">
        <v>5708</v>
      </c>
      <c r="Q400" t="s">
        <v>3988</v>
      </c>
      <c r="R400" t="s">
        <v>4928</v>
      </c>
      <c r="S400" t="s">
        <v>4266</v>
      </c>
      <c r="T400" t="s">
        <v>5685</v>
      </c>
      <c r="U400" t="s">
        <v>5682</v>
      </c>
      <c r="V400" t="s">
        <v>4880</v>
      </c>
      <c r="W400" t="s">
        <v>3782</v>
      </c>
      <c r="X400" t="s">
        <v>3804</v>
      </c>
      <c r="Y400" t="s">
        <v>3826</v>
      </c>
      <c r="Z400" t="s">
        <v>5167</v>
      </c>
      <c r="AA400" t="s">
        <v>5150</v>
      </c>
      <c r="AB400" t="s">
        <v>4881</v>
      </c>
      <c r="AC400" s="1" t="s">
        <v>3807</v>
      </c>
      <c r="AD400" s="6" t="s">
        <v>6882</v>
      </c>
    </row>
    <row r="401" spans="1:30" x14ac:dyDescent="0.25">
      <c r="A401" t="s">
        <v>5956</v>
      </c>
      <c r="B401" t="s">
        <v>4001</v>
      </c>
      <c r="C401" t="s">
        <v>3867</v>
      </c>
      <c r="D401" t="s">
        <v>3868</v>
      </c>
      <c r="E401" t="s">
        <v>3797</v>
      </c>
      <c r="F401" t="s">
        <v>4075</v>
      </c>
      <c r="G401" t="s">
        <v>4551</v>
      </c>
      <c r="H401" t="s">
        <v>3893</v>
      </c>
      <c r="I401" t="s">
        <v>3772</v>
      </c>
      <c r="J401" t="s">
        <v>3773</v>
      </c>
      <c r="K401" t="s">
        <v>3850</v>
      </c>
      <c r="L401" t="s">
        <v>3800</v>
      </c>
      <c r="M401" t="s">
        <v>3776</v>
      </c>
      <c r="N401" t="s">
        <v>3777</v>
      </c>
      <c r="O401" t="s">
        <v>5709</v>
      </c>
      <c r="P401" t="s">
        <v>5710</v>
      </c>
      <c r="Q401" t="s">
        <v>4929</v>
      </c>
      <c r="R401" t="s">
        <v>4930</v>
      </c>
      <c r="S401" t="s">
        <v>4266</v>
      </c>
      <c r="T401" t="s">
        <v>5686</v>
      </c>
      <c r="U401" t="s">
        <v>5687</v>
      </c>
      <c r="V401" t="s">
        <v>4883</v>
      </c>
      <c r="W401" t="s">
        <v>3782</v>
      </c>
      <c r="X401" t="s">
        <v>3890</v>
      </c>
      <c r="Y401" t="s">
        <v>4884</v>
      </c>
      <c r="Z401" t="s">
        <v>5155</v>
      </c>
      <c r="AA401" t="s">
        <v>5152</v>
      </c>
      <c r="AB401" t="s">
        <v>4881</v>
      </c>
      <c r="AC401" s="1" t="s">
        <v>3807</v>
      </c>
      <c r="AD401" s="6" t="s">
        <v>6884</v>
      </c>
    </row>
    <row r="402" spans="1:30" x14ac:dyDescent="0.25">
      <c r="A402" t="s">
        <v>5956</v>
      </c>
      <c r="B402" t="s">
        <v>4001</v>
      </c>
      <c r="C402" t="s">
        <v>4951</v>
      </c>
      <c r="D402" t="s">
        <v>4004</v>
      </c>
      <c r="E402" t="s">
        <v>3797</v>
      </c>
      <c r="F402" t="s">
        <v>6867</v>
      </c>
      <c r="G402" t="s">
        <v>6868</v>
      </c>
      <c r="H402" t="s">
        <v>6886</v>
      </c>
      <c r="I402" t="s">
        <v>3772</v>
      </c>
      <c r="J402" t="s">
        <v>3773</v>
      </c>
      <c r="K402" t="s">
        <v>3850</v>
      </c>
      <c r="L402" t="s">
        <v>3800</v>
      </c>
      <c r="M402" t="s">
        <v>3776</v>
      </c>
      <c r="N402" t="s">
        <v>3777</v>
      </c>
      <c r="O402" t="s">
        <v>5711</v>
      </c>
      <c r="P402" t="s">
        <v>5712</v>
      </c>
      <c r="Q402" t="s">
        <v>4931</v>
      </c>
      <c r="R402" t="s">
        <v>4932</v>
      </c>
      <c r="S402" t="s">
        <v>4266</v>
      </c>
      <c r="T402" t="s">
        <v>5689</v>
      </c>
      <c r="U402" t="s">
        <v>5678</v>
      </c>
      <c r="V402" t="s">
        <v>4887</v>
      </c>
      <c r="W402" t="s">
        <v>3782</v>
      </c>
      <c r="X402" t="s">
        <v>3890</v>
      </c>
      <c r="Y402" t="s">
        <v>4884</v>
      </c>
      <c r="Z402" t="s">
        <v>5155</v>
      </c>
      <c r="AA402" t="s">
        <v>5152</v>
      </c>
      <c r="AB402" t="s">
        <v>4881</v>
      </c>
      <c r="AC402" s="1" t="s">
        <v>3807</v>
      </c>
      <c r="AD402" s="6" t="s">
        <v>6887</v>
      </c>
    </row>
    <row r="403" spans="1:30" x14ac:dyDescent="0.25">
      <c r="A403" t="s">
        <v>5956</v>
      </c>
      <c r="B403" t="s">
        <v>4001</v>
      </c>
      <c r="C403" t="s">
        <v>4066</v>
      </c>
      <c r="D403" t="s">
        <v>3967</v>
      </c>
      <c r="E403" t="s">
        <v>3797</v>
      </c>
      <c r="F403" t="s">
        <v>4961</v>
      </c>
      <c r="G403" t="s">
        <v>4962</v>
      </c>
      <c r="H403" t="s">
        <v>6871</v>
      </c>
      <c r="I403" t="s">
        <v>3772</v>
      </c>
      <c r="J403" t="s">
        <v>3773</v>
      </c>
      <c r="K403" t="s">
        <v>4933</v>
      </c>
      <c r="L403" t="s">
        <v>3800</v>
      </c>
      <c r="M403" t="s">
        <v>3776</v>
      </c>
      <c r="N403" t="s">
        <v>3777</v>
      </c>
      <c r="O403" t="s">
        <v>5713</v>
      </c>
      <c r="P403" t="s">
        <v>5714</v>
      </c>
      <c r="Q403" t="s">
        <v>4934</v>
      </c>
      <c r="R403" t="s">
        <v>4935</v>
      </c>
      <c r="S403" t="s">
        <v>4266</v>
      </c>
      <c r="T403" t="s">
        <v>5691</v>
      </c>
      <c r="U403" t="s">
        <v>5692</v>
      </c>
      <c r="V403" t="s">
        <v>4889</v>
      </c>
      <c r="W403" t="s">
        <v>3782</v>
      </c>
      <c r="X403" t="s">
        <v>3890</v>
      </c>
      <c r="Y403" t="s">
        <v>4884</v>
      </c>
      <c r="Z403" t="s">
        <v>5157</v>
      </c>
      <c r="AA403" t="s">
        <v>5156</v>
      </c>
      <c r="AB403" t="s">
        <v>4881</v>
      </c>
      <c r="AC403" s="1" t="s">
        <v>3807</v>
      </c>
      <c r="AD403" s="6" t="s">
        <v>6889</v>
      </c>
    </row>
    <row r="404" spans="1:30" x14ac:dyDescent="0.25">
      <c r="A404" t="s">
        <v>5956</v>
      </c>
      <c r="B404" t="s">
        <v>4001</v>
      </c>
      <c r="C404" t="s">
        <v>5018</v>
      </c>
      <c r="D404" t="s">
        <v>3968</v>
      </c>
      <c r="E404" t="s">
        <v>3797</v>
      </c>
      <c r="F404" t="s">
        <v>5039</v>
      </c>
      <c r="G404" t="s">
        <v>4151</v>
      </c>
      <c r="H404" t="s">
        <v>4963</v>
      </c>
      <c r="I404" t="s">
        <v>3772</v>
      </c>
      <c r="J404" t="s">
        <v>3773</v>
      </c>
      <c r="K404" t="s">
        <v>3908</v>
      </c>
      <c r="L404" t="s">
        <v>3800</v>
      </c>
      <c r="M404" t="s">
        <v>3776</v>
      </c>
      <c r="N404" t="s">
        <v>3777</v>
      </c>
      <c r="O404" t="s">
        <v>5713</v>
      </c>
      <c r="P404" t="s">
        <v>5714</v>
      </c>
      <c r="Q404" t="s">
        <v>3953</v>
      </c>
      <c r="R404" t="s">
        <v>4936</v>
      </c>
      <c r="S404" t="s">
        <v>4266</v>
      </c>
      <c r="T404" t="s">
        <v>5691</v>
      </c>
      <c r="U404" t="s">
        <v>5692</v>
      </c>
      <c r="V404" t="s">
        <v>4892</v>
      </c>
      <c r="W404" t="s">
        <v>3782</v>
      </c>
      <c r="X404" t="s">
        <v>3890</v>
      </c>
      <c r="Y404" t="s">
        <v>4884</v>
      </c>
      <c r="Z404" t="s">
        <v>5157</v>
      </c>
      <c r="AA404" t="s">
        <v>5156</v>
      </c>
      <c r="AB404" t="s">
        <v>4881</v>
      </c>
      <c r="AC404" s="1" t="s">
        <v>3807</v>
      </c>
      <c r="AD404" s="6" t="s">
        <v>6891</v>
      </c>
    </row>
    <row r="405" spans="1:30" x14ac:dyDescent="0.25">
      <c r="A405" t="s">
        <v>5956</v>
      </c>
      <c r="B405" t="s">
        <v>4041</v>
      </c>
      <c r="C405" t="s">
        <v>6276</v>
      </c>
      <c r="D405" t="s">
        <v>3841</v>
      </c>
      <c r="E405" t="s">
        <v>3797</v>
      </c>
      <c r="F405" t="s">
        <v>4740</v>
      </c>
      <c r="G405" t="s">
        <v>6453</v>
      </c>
      <c r="H405" t="s">
        <v>6893</v>
      </c>
      <c r="I405" t="s">
        <v>3772</v>
      </c>
      <c r="J405" t="s">
        <v>3773</v>
      </c>
      <c r="K405" t="s">
        <v>3850</v>
      </c>
      <c r="L405" t="s">
        <v>3800</v>
      </c>
      <c r="M405" t="s">
        <v>3776</v>
      </c>
      <c r="N405" t="s">
        <v>3777</v>
      </c>
      <c r="O405" t="s">
        <v>5715</v>
      </c>
      <c r="P405" t="s">
        <v>5716</v>
      </c>
      <c r="Q405" t="s">
        <v>4878</v>
      </c>
      <c r="R405" t="s">
        <v>4937</v>
      </c>
      <c r="S405" t="s">
        <v>4266</v>
      </c>
      <c r="T405" t="s">
        <v>5685</v>
      </c>
      <c r="U405" t="s">
        <v>5682</v>
      </c>
      <c r="V405" t="s">
        <v>4880</v>
      </c>
      <c r="W405" t="s">
        <v>3782</v>
      </c>
      <c r="X405" t="s">
        <v>3804</v>
      </c>
      <c r="Y405" t="s">
        <v>3826</v>
      </c>
      <c r="Z405" t="s">
        <v>5167</v>
      </c>
      <c r="AA405" t="s">
        <v>5150</v>
      </c>
      <c r="AB405" t="s">
        <v>4881</v>
      </c>
      <c r="AC405" s="1" t="s">
        <v>3807</v>
      </c>
      <c r="AD405" s="6" t="s">
        <v>6894</v>
      </c>
    </row>
    <row r="406" spans="1:30" x14ac:dyDescent="0.25">
      <c r="A406" t="s">
        <v>5956</v>
      </c>
      <c r="B406" t="s">
        <v>4041</v>
      </c>
      <c r="C406" t="s">
        <v>6863</v>
      </c>
      <c r="D406" t="s">
        <v>3846</v>
      </c>
      <c r="E406" t="s">
        <v>3797</v>
      </c>
      <c r="F406" t="s">
        <v>4075</v>
      </c>
      <c r="G406" t="s">
        <v>6896</v>
      </c>
      <c r="H406" t="s">
        <v>6897</v>
      </c>
      <c r="I406" t="s">
        <v>3772</v>
      </c>
      <c r="J406" t="s">
        <v>3773</v>
      </c>
      <c r="K406" t="s">
        <v>3850</v>
      </c>
      <c r="L406" t="s">
        <v>3800</v>
      </c>
      <c r="M406" t="s">
        <v>3776</v>
      </c>
      <c r="N406" t="s">
        <v>3777</v>
      </c>
      <c r="O406" t="s">
        <v>5715</v>
      </c>
      <c r="P406" t="s">
        <v>5716</v>
      </c>
      <c r="Q406" t="s">
        <v>4878</v>
      </c>
      <c r="R406" t="s">
        <v>4938</v>
      </c>
      <c r="S406" t="s">
        <v>4266</v>
      </c>
      <c r="T406" t="s">
        <v>5686</v>
      </c>
      <c r="U406" t="s">
        <v>5687</v>
      </c>
      <c r="V406" t="s">
        <v>4883</v>
      </c>
      <c r="W406" t="s">
        <v>3782</v>
      </c>
      <c r="X406" t="s">
        <v>3890</v>
      </c>
      <c r="Y406" t="s">
        <v>4884</v>
      </c>
      <c r="Z406" t="s">
        <v>5155</v>
      </c>
      <c r="AA406" t="s">
        <v>5152</v>
      </c>
      <c r="AB406" t="s">
        <v>4881</v>
      </c>
      <c r="AC406" s="1" t="s">
        <v>3807</v>
      </c>
      <c r="AD406" s="6" t="s">
        <v>6898</v>
      </c>
    </row>
    <row r="407" spans="1:30" x14ac:dyDescent="0.25">
      <c r="A407" t="s">
        <v>5956</v>
      </c>
      <c r="B407" t="s">
        <v>4041</v>
      </c>
      <c r="C407" t="s">
        <v>4062</v>
      </c>
      <c r="D407" t="s">
        <v>4004</v>
      </c>
      <c r="E407" t="s">
        <v>3797</v>
      </c>
      <c r="F407" t="s">
        <v>6867</v>
      </c>
      <c r="G407" t="s">
        <v>6868</v>
      </c>
      <c r="H407" t="s">
        <v>4954</v>
      </c>
      <c r="I407" t="s">
        <v>3772</v>
      </c>
      <c r="J407" t="s">
        <v>3773</v>
      </c>
      <c r="K407" t="s">
        <v>3850</v>
      </c>
      <c r="L407" t="s">
        <v>3800</v>
      </c>
      <c r="M407" t="s">
        <v>3776</v>
      </c>
      <c r="N407" t="s">
        <v>3777</v>
      </c>
      <c r="O407" t="s">
        <v>5717</v>
      </c>
      <c r="P407" t="s">
        <v>5718</v>
      </c>
      <c r="Q407" t="s">
        <v>4939</v>
      </c>
      <c r="R407" t="s">
        <v>4940</v>
      </c>
      <c r="S407" t="s">
        <v>4266</v>
      </c>
      <c r="T407" t="s">
        <v>5689</v>
      </c>
      <c r="U407" t="s">
        <v>5678</v>
      </c>
      <c r="V407" t="s">
        <v>4887</v>
      </c>
      <c r="W407" t="s">
        <v>3782</v>
      </c>
      <c r="X407" t="s">
        <v>3890</v>
      </c>
      <c r="Y407" t="s">
        <v>4884</v>
      </c>
      <c r="Z407" t="s">
        <v>5155</v>
      </c>
      <c r="AA407" t="s">
        <v>5152</v>
      </c>
      <c r="AB407" t="s">
        <v>4881</v>
      </c>
      <c r="AC407" s="1" t="s">
        <v>3807</v>
      </c>
      <c r="AD407" s="6" t="s">
        <v>6900</v>
      </c>
    </row>
    <row r="408" spans="1:30" x14ac:dyDescent="0.25">
      <c r="A408" t="s">
        <v>5956</v>
      </c>
      <c r="B408" t="s">
        <v>4041</v>
      </c>
      <c r="C408" t="s">
        <v>4066</v>
      </c>
      <c r="D408" t="s">
        <v>3967</v>
      </c>
      <c r="E408" t="s">
        <v>3797</v>
      </c>
      <c r="F408" t="s">
        <v>4961</v>
      </c>
      <c r="G408" t="s">
        <v>4151</v>
      </c>
      <c r="H408" t="s">
        <v>6871</v>
      </c>
      <c r="I408" t="s">
        <v>3772</v>
      </c>
      <c r="J408" t="s">
        <v>3773</v>
      </c>
      <c r="K408" t="s">
        <v>3908</v>
      </c>
      <c r="L408" t="s">
        <v>3800</v>
      </c>
      <c r="M408" t="s">
        <v>3776</v>
      </c>
      <c r="N408" t="s">
        <v>3777</v>
      </c>
      <c r="O408" t="s">
        <v>5719</v>
      </c>
      <c r="P408" t="s">
        <v>5720</v>
      </c>
      <c r="Q408" t="s">
        <v>4941</v>
      </c>
      <c r="R408" t="s">
        <v>4942</v>
      </c>
      <c r="S408" t="s">
        <v>4266</v>
      </c>
      <c r="T408" t="s">
        <v>5691</v>
      </c>
      <c r="U408" t="s">
        <v>5692</v>
      </c>
      <c r="V408" t="s">
        <v>4889</v>
      </c>
      <c r="W408" t="s">
        <v>3782</v>
      </c>
      <c r="X408" t="s">
        <v>3890</v>
      </c>
      <c r="Y408" t="s">
        <v>4884</v>
      </c>
      <c r="Z408" t="s">
        <v>5157</v>
      </c>
      <c r="AA408" t="s">
        <v>5156</v>
      </c>
      <c r="AB408" t="s">
        <v>4881</v>
      </c>
      <c r="AC408" s="1" t="s">
        <v>3807</v>
      </c>
      <c r="AD408" s="6" t="s">
        <v>6902</v>
      </c>
    </row>
    <row r="409" spans="1:30" x14ac:dyDescent="0.25">
      <c r="A409" t="s">
        <v>5956</v>
      </c>
      <c r="B409" t="s">
        <v>4041</v>
      </c>
      <c r="C409" t="s">
        <v>6904</v>
      </c>
      <c r="D409" t="s">
        <v>3968</v>
      </c>
      <c r="E409" t="s">
        <v>3797</v>
      </c>
      <c r="F409" t="s">
        <v>5039</v>
      </c>
      <c r="G409" t="s">
        <v>4151</v>
      </c>
      <c r="H409" t="s">
        <v>4631</v>
      </c>
      <c r="I409" t="s">
        <v>3772</v>
      </c>
      <c r="J409" t="s">
        <v>3773</v>
      </c>
      <c r="K409" t="s">
        <v>3908</v>
      </c>
      <c r="L409" t="s">
        <v>3800</v>
      </c>
      <c r="M409" t="s">
        <v>3776</v>
      </c>
      <c r="N409" t="s">
        <v>3777</v>
      </c>
      <c r="O409" t="s">
        <v>5719</v>
      </c>
      <c r="P409" t="s">
        <v>5720</v>
      </c>
      <c r="Q409" t="s">
        <v>4943</v>
      </c>
      <c r="R409" t="s">
        <v>4944</v>
      </c>
      <c r="S409" t="s">
        <v>4266</v>
      </c>
      <c r="T409" t="s">
        <v>5691</v>
      </c>
      <c r="U409" t="s">
        <v>5692</v>
      </c>
      <c r="V409" t="s">
        <v>4892</v>
      </c>
      <c r="W409" t="s">
        <v>3782</v>
      </c>
      <c r="X409" t="s">
        <v>3890</v>
      </c>
      <c r="Y409" t="s">
        <v>4884</v>
      </c>
      <c r="Z409" t="s">
        <v>5157</v>
      </c>
      <c r="AA409" t="s">
        <v>5156</v>
      </c>
      <c r="AB409" t="s">
        <v>4881</v>
      </c>
      <c r="AC409" s="1" t="s">
        <v>3807</v>
      </c>
      <c r="AD409" s="6" t="s">
        <v>6905</v>
      </c>
    </row>
    <row r="410" spans="1:30" x14ac:dyDescent="0.25">
      <c r="A410" t="s">
        <v>5956</v>
      </c>
      <c r="B410" t="s">
        <v>3901</v>
      </c>
      <c r="C410" t="s">
        <v>4945</v>
      </c>
      <c r="D410" t="s">
        <v>3902</v>
      </c>
      <c r="E410" t="s">
        <v>4172</v>
      </c>
      <c r="F410" t="s">
        <v>4946</v>
      </c>
      <c r="G410" t="s">
        <v>4947</v>
      </c>
      <c r="H410" t="s">
        <v>4948</v>
      </c>
      <c r="I410" t="s">
        <v>3772</v>
      </c>
      <c r="J410" t="s">
        <v>3773</v>
      </c>
      <c r="K410" t="s">
        <v>3908</v>
      </c>
      <c r="L410" t="s">
        <v>3800</v>
      </c>
      <c r="M410" t="s">
        <v>3776</v>
      </c>
      <c r="N410" t="s">
        <v>3777</v>
      </c>
      <c r="O410" t="s">
        <v>5327</v>
      </c>
      <c r="P410" t="s">
        <v>5328</v>
      </c>
      <c r="Q410" t="s">
        <v>3778</v>
      </c>
      <c r="R410" t="s">
        <v>3779</v>
      </c>
      <c r="S410" t="s">
        <v>4266</v>
      </c>
      <c r="T410" t="s">
        <v>5337</v>
      </c>
      <c r="U410" t="s">
        <v>5338</v>
      </c>
      <c r="V410" t="s">
        <v>3781</v>
      </c>
      <c r="W410" t="s">
        <v>3782</v>
      </c>
      <c r="X410" t="s">
        <v>3890</v>
      </c>
      <c r="Y410" t="s">
        <v>4860</v>
      </c>
      <c r="Z410" t="s">
        <v>5155</v>
      </c>
      <c r="AA410" t="s">
        <v>5156</v>
      </c>
      <c r="AB410" t="s">
        <v>4881</v>
      </c>
      <c r="AC410" s="1" t="s">
        <v>3807</v>
      </c>
      <c r="AD410" s="6" t="s">
        <v>5974</v>
      </c>
    </row>
    <row r="411" spans="1:30" x14ac:dyDescent="0.25">
      <c r="A411" t="s">
        <v>5956</v>
      </c>
      <c r="B411" t="s">
        <v>3901</v>
      </c>
      <c r="C411" t="s">
        <v>3867</v>
      </c>
      <c r="D411" t="s">
        <v>3868</v>
      </c>
      <c r="E411" t="s">
        <v>4172</v>
      </c>
      <c r="F411" t="s">
        <v>4681</v>
      </c>
      <c r="G411" t="s">
        <v>4133</v>
      </c>
      <c r="H411" t="s">
        <v>4949</v>
      </c>
      <c r="I411" t="s">
        <v>3772</v>
      </c>
      <c r="J411" t="s">
        <v>3773</v>
      </c>
      <c r="K411" t="s">
        <v>3850</v>
      </c>
      <c r="L411" t="s">
        <v>3800</v>
      </c>
      <c r="M411" t="s">
        <v>3776</v>
      </c>
      <c r="N411" t="s">
        <v>3777</v>
      </c>
      <c r="O411" t="s">
        <v>5721</v>
      </c>
      <c r="P411" t="s">
        <v>5722</v>
      </c>
      <c r="Q411" t="s">
        <v>4618</v>
      </c>
      <c r="R411" t="s">
        <v>4950</v>
      </c>
      <c r="S411" t="s">
        <v>4266</v>
      </c>
      <c r="T411" t="s">
        <v>5337</v>
      </c>
      <c r="U411" t="s">
        <v>5338</v>
      </c>
      <c r="V411" t="s">
        <v>3781</v>
      </c>
      <c r="W411" t="s">
        <v>3782</v>
      </c>
      <c r="X411" t="s">
        <v>3890</v>
      </c>
      <c r="Y411" t="s">
        <v>4860</v>
      </c>
      <c r="Z411" t="s">
        <v>5151</v>
      </c>
      <c r="AA411" t="s">
        <v>5148</v>
      </c>
      <c r="AB411" t="s">
        <v>4268</v>
      </c>
      <c r="AC411" s="1" t="s">
        <v>3807</v>
      </c>
      <c r="AD411" s="6" t="s">
        <v>5975</v>
      </c>
    </row>
    <row r="412" spans="1:30" x14ac:dyDescent="0.25">
      <c r="A412" t="s">
        <v>5956</v>
      </c>
      <c r="B412" t="s">
        <v>3901</v>
      </c>
      <c r="C412" t="s">
        <v>4951</v>
      </c>
      <c r="D412" t="s">
        <v>4952</v>
      </c>
      <c r="E412" t="s">
        <v>4172</v>
      </c>
      <c r="F412" t="s">
        <v>4660</v>
      </c>
      <c r="G412" t="s">
        <v>4953</v>
      </c>
      <c r="H412" t="s">
        <v>4954</v>
      </c>
      <c r="I412" t="s">
        <v>3772</v>
      </c>
      <c r="J412" t="s">
        <v>3773</v>
      </c>
      <c r="K412" t="s">
        <v>3908</v>
      </c>
      <c r="L412" t="s">
        <v>3800</v>
      </c>
      <c r="M412" t="s">
        <v>3776</v>
      </c>
      <c r="N412" t="s">
        <v>3777</v>
      </c>
      <c r="O412" t="s">
        <v>5723</v>
      </c>
      <c r="P412" s="15" t="s">
        <v>5724</v>
      </c>
      <c r="Q412" t="s">
        <v>4885</v>
      </c>
      <c r="R412" t="s">
        <v>4852</v>
      </c>
      <c r="S412" t="s">
        <v>4266</v>
      </c>
      <c r="T412" t="s">
        <v>5337</v>
      </c>
      <c r="U412" t="s">
        <v>5338</v>
      </c>
      <c r="V412" t="s">
        <v>3781</v>
      </c>
      <c r="W412" t="s">
        <v>3782</v>
      </c>
      <c r="X412" t="s">
        <v>3890</v>
      </c>
      <c r="Y412" t="s">
        <v>3891</v>
      </c>
      <c r="Z412" t="s">
        <v>5151</v>
      </c>
      <c r="AA412" t="s">
        <v>5150</v>
      </c>
      <c r="AB412" t="s">
        <v>4881</v>
      </c>
      <c r="AC412" s="1" t="s">
        <v>4955</v>
      </c>
      <c r="AD412" s="6" t="s">
        <v>5976</v>
      </c>
    </row>
    <row r="413" spans="1:30" x14ac:dyDescent="0.25">
      <c r="A413" t="s">
        <v>5956</v>
      </c>
      <c r="B413" t="s">
        <v>3901</v>
      </c>
      <c r="C413" t="s">
        <v>4945</v>
      </c>
      <c r="D413" t="s">
        <v>3902</v>
      </c>
      <c r="E413" t="s">
        <v>4172</v>
      </c>
      <c r="F413" t="s">
        <v>4956</v>
      </c>
      <c r="G413" t="s">
        <v>4957</v>
      </c>
      <c r="H413" t="s">
        <v>4958</v>
      </c>
      <c r="I413" t="s">
        <v>3772</v>
      </c>
      <c r="J413" t="s">
        <v>3773</v>
      </c>
      <c r="K413" t="s">
        <v>3908</v>
      </c>
      <c r="L413" t="s">
        <v>3800</v>
      </c>
      <c r="M413" t="s">
        <v>3776</v>
      </c>
      <c r="N413" t="s">
        <v>3777</v>
      </c>
      <c r="O413" t="s">
        <v>5725</v>
      </c>
      <c r="P413" t="s">
        <v>5726</v>
      </c>
      <c r="Q413" t="s">
        <v>4959</v>
      </c>
      <c r="R413" t="s">
        <v>4960</v>
      </c>
      <c r="S413" t="s">
        <v>4918</v>
      </c>
      <c r="T413" t="s">
        <v>5337</v>
      </c>
      <c r="U413" t="s">
        <v>5338</v>
      </c>
      <c r="V413" t="s">
        <v>3781</v>
      </c>
      <c r="W413" t="s">
        <v>3782</v>
      </c>
      <c r="X413" t="s">
        <v>3977</v>
      </c>
      <c r="Y413" t="s">
        <v>4332</v>
      </c>
      <c r="Z413" t="s">
        <v>5155</v>
      </c>
      <c r="AA413" t="s">
        <v>5156</v>
      </c>
      <c r="AB413" t="s">
        <v>4268</v>
      </c>
      <c r="AC413" s="1" t="s">
        <v>3807</v>
      </c>
      <c r="AD413" s="6" t="s">
        <v>5977</v>
      </c>
    </row>
    <row r="414" spans="1:30" x14ac:dyDescent="0.25">
      <c r="A414" t="s">
        <v>5956</v>
      </c>
      <c r="B414" t="s">
        <v>3901</v>
      </c>
      <c r="C414" t="s">
        <v>4066</v>
      </c>
      <c r="D414" t="s">
        <v>3967</v>
      </c>
      <c r="E414" t="s">
        <v>4172</v>
      </c>
      <c r="F414" t="s">
        <v>4961</v>
      </c>
      <c r="G414" t="s">
        <v>4962</v>
      </c>
      <c r="H414" t="s">
        <v>4963</v>
      </c>
      <c r="I414" t="s">
        <v>3772</v>
      </c>
      <c r="J414" t="s">
        <v>3773</v>
      </c>
      <c r="K414" t="s">
        <v>3908</v>
      </c>
      <c r="L414" t="s">
        <v>3800</v>
      </c>
      <c r="M414" t="s">
        <v>3776</v>
      </c>
      <c r="N414" t="s">
        <v>3777</v>
      </c>
      <c r="O414" t="s">
        <v>5725</v>
      </c>
      <c r="P414" s="15" t="s">
        <v>5726</v>
      </c>
      <c r="Q414" t="s">
        <v>4964</v>
      </c>
      <c r="R414" t="s">
        <v>3779</v>
      </c>
      <c r="S414" t="s">
        <v>4153</v>
      </c>
      <c r="T414" t="s">
        <v>5337</v>
      </c>
      <c r="U414" t="s">
        <v>5338</v>
      </c>
      <c r="V414" t="s">
        <v>3781</v>
      </c>
      <c r="W414" t="s">
        <v>3782</v>
      </c>
      <c r="X414" t="s">
        <v>3977</v>
      </c>
      <c r="Y414" t="s">
        <v>4332</v>
      </c>
      <c r="Z414" t="s">
        <v>5155</v>
      </c>
      <c r="AA414" t="s">
        <v>5156</v>
      </c>
      <c r="AB414" t="s">
        <v>4268</v>
      </c>
      <c r="AC414" s="1" t="s">
        <v>3807</v>
      </c>
      <c r="AD414" s="6" t="s">
        <v>5978</v>
      </c>
    </row>
    <row r="415" spans="1:30" x14ac:dyDescent="0.25">
      <c r="A415" t="s">
        <v>5956</v>
      </c>
      <c r="B415" t="s">
        <v>3901</v>
      </c>
      <c r="C415" t="s">
        <v>4965</v>
      </c>
      <c r="D415" t="s">
        <v>4340</v>
      </c>
      <c r="E415" t="s">
        <v>4172</v>
      </c>
      <c r="F415" t="s">
        <v>4966</v>
      </c>
      <c r="G415" t="s">
        <v>4967</v>
      </c>
      <c r="H415" t="s">
        <v>4968</v>
      </c>
      <c r="I415" t="s">
        <v>3772</v>
      </c>
      <c r="J415" t="s">
        <v>3773</v>
      </c>
      <c r="K415" t="s">
        <v>3908</v>
      </c>
      <c r="L415" t="s">
        <v>3800</v>
      </c>
      <c r="M415" t="s">
        <v>3776</v>
      </c>
      <c r="N415" t="s">
        <v>3777</v>
      </c>
      <c r="O415" t="s">
        <v>5727</v>
      </c>
      <c r="P415" t="s">
        <v>5728</v>
      </c>
      <c r="Q415" t="s">
        <v>4969</v>
      </c>
      <c r="R415" t="s">
        <v>4970</v>
      </c>
      <c r="S415" t="s">
        <v>4266</v>
      </c>
      <c r="T415" t="s">
        <v>5337</v>
      </c>
      <c r="U415" t="s">
        <v>5338</v>
      </c>
      <c r="V415" t="s">
        <v>3781</v>
      </c>
      <c r="W415" t="s">
        <v>3782</v>
      </c>
      <c r="X415" t="s">
        <v>3890</v>
      </c>
      <c r="Y415" t="s">
        <v>3891</v>
      </c>
      <c r="Z415" t="s">
        <v>5155</v>
      </c>
      <c r="AA415" t="s">
        <v>5156</v>
      </c>
      <c r="AB415" t="s">
        <v>4881</v>
      </c>
      <c r="AC415" s="1" t="s">
        <v>3807</v>
      </c>
      <c r="AD415" s="6" t="s">
        <v>5979</v>
      </c>
    </row>
    <row r="416" spans="1:30" x14ac:dyDescent="0.25">
      <c r="A416" t="s">
        <v>5956</v>
      </c>
      <c r="B416" t="s">
        <v>3901</v>
      </c>
      <c r="C416" t="s">
        <v>4971</v>
      </c>
      <c r="D416" t="s">
        <v>4972</v>
      </c>
      <c r="E416" t="s">
        <v>4172</v>
      </c>
      <c r="F416" t="s">
        <v>4973</v>
      </c>
      <c r="G416" t="s">
        <v>4974</v>
      </c>
      <c r="H416" t="s">
        <v>4975</v>
      </c>
      <c r="I416" t="s">
        <v>3772</v>
      </c>
      <c r="J416" t="s">
        <v>3773</v>
      </c>
      <c r="K416" t="s">
        <v>3850</v>
      </c>
      <c r="L416" t="s">
        <v>3800</v>
      </c>
      <c r="M416" t="s">
        <v>3776</v>
      </c>
      <c r="N416" t="s">
        <v>3777</v>
      </c>
      <c r="O416" t="s">
        <v>5721</v>
      </c>
      <c r="P416" s="15" t="s">
        <v>5722</v>
      </c>
      <c r="Q416" t="s">
        <v>4976</v>
      </c>
      <c r="R416" t="s">
        <v>4977</v>
      </c>
      <c r="S416" t="s">
        <v>4266</v>
      </c>
      <c r="T416" t="s">
        <v>5729</v>
      </c>
      <c r="U416" t="s">
        <v>5730</v>
      </c>
      <c r="V416" t="s">
        <v>4978</v>
      </c>
      <c r="W416" t="s">
        <v>3782</v>
      </c>
      <c r="X416" t="s">
        <v>3890</v>
      </c>
      <c r="Y416" t="s">
        <v>4860</v>
      </c>
      <c r="Z416" t="s">
        <v>5151</v>
      </c>
      <c r="AA416" t="s">
        <v>5148</v>
      </c>
      <c r="AB416" t="s">
        <v>4268</v>
      </c>
      <c r="AC416" s="1" t="s">
        <v>3807</v>
      </c>
      <c r="AD416" s="6" t="s">
        <v>5980</v>
      </c>
    </row>
    <row r="417" spans="1:30" x14ac:dyDescent="0.25">
      <c r="A417" t="s">
        <v>5956</v>
      </c>
      <c r="B417" t="s">
        <v>3901</v>
      </c>
      <c r="C417" t="s">
        <v>4979</v>
      </c>
      <c r="D417" t="s">
        <v>3902</v>
      </c>
      <c r="E417" t="s">
        <v>4172</v>
      </c>
      <c r="F417" t="s">
        <v>4956</v>
      </c>
      <c r="G417" t="s">
        <v>4957</v>
      </c>
      <c r="H417" t="s">
        <v>4958</v>
      </c>
      <c r="I417" t="s">
        <v>3772</v>
      </c>
      <c r="J417" t="s">
        <v>3773</v>
      </c>
      <c r="K417" t="s">
        <v>3908</v>
      </c>
      <c r="L417" t="s">
        <v>3800</v>
      </c>
      <c r="M417" t="s">
        <v>3776</v>
      </c>
      <c r="N417" t="s">
        <v>3777</v>
      </c>
      <c r="O417" t="s">
        <v>5723</v>
      </c>
      <c r="P417" t="s">
        <v>5724</v>
      </c>
      <c r="Q417" t="s">
        <v>4693</v>
      </c>
      <c r="R417" t="s">
        <v>4852</v>
      </c>
      <c r="S417" t="s">
        <v>4266</v>
      </c>
      <c r="T417" t="s">
        <v>5731</v>
      </c>
      <c r="U417" t="s">
        <v>5732</v>
      </c>
      <c r="V417" t="s">
        <v>4980</v>
      </c>
      <c r="W417" t="s">
        <v>3782</v>
      </c>
      <c r="X417" t="s">
        <v>3890</v>
      </c>
      <c r="Y417" t="s">
        <v>3891</v>
      </c>
      <c r="Z417" t="s">
        <v>5155</v>
      </c>
      <c r="AA417" t="s">
        <v>5156</v>
      </c>
      <c r="AB417" t="s">
        <v>4881</v>
      </c>
      <c r="AC417" s="1" t="s">
        <v>4955</v>
      </c>
      <c r="AD417" s="6" t="s">
        <v>5981</v>
      </c>
    </row>
    <row r="418" spans="1:30" x14ac:dyDescent="0.25">
      <c r="A418" t="s">
        <v>5956</v>
      </c>
      <c r="B418" t="s">
        <v>4001</v>
      </c>
      <c r="C418" t="s">
        <v>3862</v>
      </c>
      <c r="D418" t="s">
        <v>3863</v>
      </c>
      <c r="E418" t="s">
        <v>4172</v>
      </c>
      <c r="F418" t="s">
        <v>4981</v>
      </c>
      <c r="G418" t="s">
        <v>4982</v>
      </c>
      <c r="H418" t="s">
        <v>4983</v>
      </c>
      <c r="I418" t="s">
        <v>3772</v>
      </c>
      <c r="J418" t="s">
        <v>3773</v>
      </c>
      <c r="K418" t="s">
        <v>3850</v>
      </c>
      <c r="L418" t="s">
        <v>3800</v>
      </c>
      <c r="M418" t="s">
        <v>3776</v>
      </c>
      <c r="N418" t="s">
        <v>3777</v>
      </c>
      <c r="O418" t="s">
        <v>5733</v>
      </c>
      <c r="P418" s="15" t="s">
        <v>5734</v>
      </c>
      <c r="Q418" t="s">
        <v>4984</v>
      </c>
      <c r="R418" t="s">
        <v>4985</v>
      </c>
      <c r="S418" t="s">
        <v>4266</v>
      </c>
      <c r="T418" t="s">
        <v>5735</v>
      </c>
      <c r="U418" t="s">
        <v>5687</v>
      </c>
      <c r="V418" t="s">
        <v>4986</v>
      </c>
      <c r="W418" t="s">
        <v>3782</v>
      </c>
      <c r="X418" t="s">
        <v>3804</v>
      </c>
      <c r="Y418" t="s">
        <v>3826</v>
      </c>
      <c r="Z418" t="s">
        <v>5149</v>
      </c>
      <c r="AA418" t="s">
        <v>5148</v>
      </c>
      <c r="AB418" t="s">
        <v>4268</v>
      </c>
      <c r="AC418" s="1" t="s">
        <v>3807</v>
      </c>
      <c r="AD418" s="6" t="s">
        <v>5982</v>
      </c>
    </row>
    <row r="419" spans="1:30" x14ac:dyDescent="0.25">
      <c r="A419" t="s">
        <v>5956</v>
      </c>
      <c r="B419" t="s">
        <v>4001</v>
      </c>
      <c r="C419" t="s">
        <v>4829</v>
      </c>
      <c r="D419" t="s">
        <v>4830</v>
      </c>
      <c r="E419" t="s">
        <v>4172</v>
      </c>
      <c r="F419" t="s">
        <v>3864</v>
      </c>
      <c r="G419" t="s">
        <v>4987</v>
      </c>
      <c r="H419" t="s">
        <v>4988</v>
      </c>
      <c r="I419" t="s">
        <v>3772</v>
      </c>
      <c r="J419" t="s">
        <v>3773</v>
      </c>
      <c r="K419" t="s">
        <v>3850</v>
      </c>
      <c r="L419" t="s">
        <v>3800</v>
      </c>
      <c r="M419" t="s">
        <v>3776</v>
      </c>
      <c r="N419" t="s">
        <v>3777</v>
      </c>
      <c r="O419" t="s">
        <v>5736</v>
      </c>
      <c r="P419" s="15" t="s">
        <v>5737</v>
      </c>
      <c r="Q419" t="s">
        <v>4989</v>
      </c>
      <c r="R419" t="s">
        <v>4990</v>
      </c>
      <c r="S419" t="s">
        <v>4266</v>
      </c>
      <c r="T419" t="s">
        <v>5738</v>
      </c>
      <c r="U419" t="s">
        <v>5739</v>
      </c>
      <c r="V419" t="s">
        <v>4991</v>
      </c>
      <c r="W419" t="s">
        <v>3782</v>
      </c>
      <c r="X419" t="s">
        <v>3804</v>
      </c>
      <c r="Y419" t="s">
        <v>3826</v>
      </c>
      <c r="Z419" t="s">
        <v>5151</v>
      </c>
      <c r="AA419" t="s">
        <v>5148</v>
      </c>
      <c r="AB419" t="s">
        <v>3787</v>
      </c>
      <c r="AC419" s="1" t="s">
        <v>3807</v>
      </c>
      <c r="AD419" s="6" t="s">
        <v>5983</v>
      </c>
    </row>
    <row r="420" spans="1:30" x14ac:dyDescent="0.25">
      <c r="A420" t="s">
        <v>5956</v>
      </c>
      <c r="B420" t="s">
        <v>4001</v>
      </c>
      <c r="C420" t="s">
        <v>3867</v>
      </c>
      <c r="D420" t="s">
        <v>3868</v>
      </c>
      <c r="E420" t="s">
        <v>4172</v>
      </c>
      <c r="F420" t="s">
        <v>4743</v>
      </c>
      <c r="G420" t="s">
        <v>4133</v>
      </c>
      <c r="H420" t="s">
        <v>4949</v>
      </c>
      <c r="I420" t="s">
        <v>3772</v>
      </c>
      <c r="J420" t="s">
        <v>3773</v>
      </c>
      <c r="K420" t="s">
        <v>3850</v>
      </c>
      <c r="L420" t="s">
        <v>3800</v>
      </c>
      <c r="M420" t="s">
        <v>3776</v>
      </c>
      <c r="N420" t="s">
        <v>3777</v>
      </c>
      <c r="O420" t="s">
        <v>5740</v>
      </c>
      <c r="P420" t="s">
        <v>5741</v>
      </c>
      <c r="Q420" t="s">
        <v>4992</v>
      </c>
      <c r="R420" t="s">
        <v>4993</v>
      </c>
      <c r="S420" t="s">
        <v>4266</v>
      </c>
      <c r="T420" t="s">
        <v>5735</v>
      </c>
      <c r="U420" t="s">
        <v>5687</v>
      </c>
      <c r="V420" t="s">
        <v>4887</v>
      </c>
      <c r="W420" t="s">
        <v>3782</v>
      </c>
      <c r="X420" t="s">
        <v>3890</v>
      </c>
      <c r="Y420" t="s">
        <v>4860</v>
      </c>
      <c r="Z420" t="s">
        <v>5151</v>
      </c>
      <c r="AA420" t="s">
        <v>5148</v>
      </c>
      <c r="AB420" t="s">
        <v>4268</v>
      </c>
      <c r="AC420" s="1" t="s">
        <v>3807</v>
      </c>
      <c r="AD420" s="6" t="s">
        <v>5984</v>
      </c>
    </row>
    <row r="421" spans="1:30" x14ac:dyDescent="0.25">
      <c r="A421" t="s">
        <v>5956</v>
      </c>
      <c r="B421" t="s">
        <v>4001</v>
      </c>
      <c r="C421" t="s">
        <v>4994</v>
      </c>
      <c r="D421" t="s">
        <v>3846</v>
      </c>
      <c r="E421" t="s">
        <v>4172</v>
      </c>
      <c r="F421" t="s">
        <v>4681</v>
      </c>
      <c r="G421" t="s">
        <v>4682</v>
      </c>
      <c r="H421" t="s">
        <v>4995</v>
      </c>
      <c r="I421" t="s">
        <v>3772</v>
      </c>
      <c r="J421" t="s">
        <v>3773</v>
      </c>
      <c r="K421" t="s">
        <v>3850</v>
      </c>
      <c r="L421" t="s">
        <v>3800</v>
      </c>
      <c r="M421" t="s">
        <v>3776</v>
      </c>
      <c r="N421" t="s">
        <v>3777</v>
      </c>
      <c r="O421" t="s">
        <v>5742</v>
      </c>
      <c r="P421" s="15" t="s">
        <v>5743</v>
      </c>
      <c r="Q421" t="s">
        <v>4996</v>
      </c>
      <c r="R421" t="s">
        <v>4997</v>
      </c>
      <c r="S421" t="s">
        <v>4266</v>
      </c>
      <c r="T421" t="s">
        <v>5686</v>
      </c>
      <c r="U421" t="s">
        <v>5687</v>
      </c>
      <c r="V421" t="s">
        <v>4998</v>
      </c>
      <c r="W421" t="s">
        <v>3782</v>
      </c>
      <c r="X421" t="s">
        <v>3890</v>
      </c>
      <c r="Y421" t="s">
        <v>3891</v>
      </c>
      <c r="Z421" t="s">
        <v>5151</v>
      </c>
      <c r="AA421" t="s">
        <v>5148</v>
      </c>
      <c r="AB421" t="s">
        <v>4881</v>
      </c>
      <c r="AC421" s="1" t="s">
        <v>3807</v>
      </c>
      <c r="AD421" s="6" t="s">
        <v>5985</v>
      </c>
    </row>
    <row r="422" spans="1:30" x14ac:dyDescent="0.25">
      <c r="A422" t="s">
        <v>5956</v>
      </c>
      <c r="B422" t="s">
        <v>4001</v>
      </c>
      <c r="C422" t="s">
        <v>4853</v>
      </c>
      <c r="D422" t="s">
        <v>3918</v>
      </c>
      <c r="E422" t="s">
        <v>4172</v>
      </c>
      <c r="F422" t="s">
        <v>4999</v>
      </c>
      <c r="G422" t="s">
        <v>4432</v>
      </c>
      <c r="H422" t="s">
        <v>5000</v>
      </c>
      <c r="I422" t="s">
        <v>3772</v>
      </c>
      <c r="J422" t="s">
        <v>3773</v>
      </c>
      <c r="K422" t="s">
        <v>3850</v>
      </c>
      <c r="L422" t="s">
        <v>3800</v>
      </c>
      <c r="M422" t="s">
        <v>3776</v>
      </c>
      <c r="N422" t="s">
        <v>3777</v>
      </c>
      <c r="O422" t="s">
        <v>5740</v>
      </c>
      <c r="P422" t="s">
        <v>5741</v>
      </c>
      <c r="Q422" t="s">
        <v>4992</v>
      </c>
      <c r="R422" t="s">
        <v>5001</v>
      </c>
      <c r="S422" t="s">
        <v>4266</v>
      </c>
      <c r="T422" t="s">
        <v>5729</v>
      </c>
      <c r="U422" t="s">
        <v>5730</v>
      </c>
      <c r="V422" t="s">
        <v>4978</v>
      </c>
      <c r="W422" t="s">
        <v>3782</v>
      </c>
      <c r="X422" t="s">
        <v>3890</v>
      </c>
      <c r="Y422" t="s">
        <v>4860</v>
      </c>
      <c r="Z422" t="s">
        <v>5151</v>
      </c>
      <c r="AA422" t="s">
        <v>5148</v>
      </c>
      <c r="AB422" t="s">
        <v>4268</v>
      </c>
      <c r="AC422" s="1" t="s">
        <v>3807</v>
      </c>
      <c r="AD422" s="6" t="s">
        <v>5986</v>
      </c>
    </row>
    <row r="423" spans="1:30" x14ac:dyDescent="0.25">
      <c r="A423" t="s">
        <v>5956</v>
      </c>
      <c r="B423" t="s">
        <v>4001</v>
      </c>
      <c r="C423" t="s">
        <v>4971</v>
      </c>
      <c r="D423" t="s">
        <v>4972</v>
      </c>
      <c r="E423" t="s">
        <v>4172</v>
      </c>
      <c r="F423" t="s">
        <v>4973</v>
      </c>
      <c r="G423" t="s">
        <v>4974</v>
      </c>
      <c r="H423" t="s">
        <v>4975</v>
      </c>
      <c r="I423" t="s">
        <v>3772</v>
      </c>
      <c r="J423" t="s">
        <v>3773</v>
      </c>
      <c r="K423" t="s">
        <v>3850</v>
      </c>
      <c r="L423" t="s">
        <v>3800</v>
      </c>
      <c r="M423" t="s">
        <v>3776</v>
      </c>
      <c r="N423" t="s">
        <v>3777</v>
      </c>
      <c r="O423" t="s">
        <v>5742</v>
      </c>
      <c r="P423" t="s">
        <v>5743</v>
      </c>
      <c r="Q423" t="s">
        <v>4996</v>
      </c>
      <c r="R423" t="s">
        <v>5002</v>
      </c>
      <c r="S423" t="s">
        <v>4266</v>
      </c>
      <c r="T423" t="s">
        <v>5744</v>
      </c>
      <c r="U423" t="s">
        <v>5745</v>
      </c>
      <c r="V423" t="s">
        <v>4663</v>
      </c>
      <c r="W423" t="s">
        <v>3782</v>
      </c>
      <c r="X423" t="s">
        <v>3890</v>
      </c>
      <c r="Y423" t="s">
        <v>3891</v>
      </c>
      <c r="Z423" t="s">
        <v>5151</v>
      </c>
      <c r="AA423" t="s">
        <v>5148</v>
      </c>
      <c r="AB423" t="s">
        <v>4881</v>
      </c>
      <c r="AC423" s="1" t="s">
        <v>3807</v>
      </c>
      <c r="AD423" s="6" t="s">
        <v>5987</v>
      </c>
    </row>
    <row r="424" spans="1:30" x14ac:dyDescent="0.25">
      <c r="A424" t="s">
        <v>5956</v>
      </c>
      <c r="B424" t="s">
        <v>4001</v>
      </c>
      <c r="C424" t="s">
        <v>4062</v>
      </c>
      <c r="D424" t="s">
        <v>4004</v>
      </c>
      <c r="E424" t="s">
        <v>4172</v>
      </c>
      <c r="F424" t="s">
        <v>5003</v>
      </c>
      <c r="G424" t="s">
        <v>4686</v>
      </c>
      <c r="H424" t="s">
        <v>5004</v>
      </c>
      <c r="I424" t="s">
        <v>3772</v>
      </c>
      <c r="J424" t="s">
        <v>3773</v>
      </c>
      <c r="K424" t="s">
        <v>3908</v>
      </c>
      <c r="L424" t="s">
        <v>3800</v>
      </c>
      <c r="M424" t="s">
        <v>3776</v>
      </c>
      <c r="N424" t="s">
        <v>3777</v>
      </c>
      <c r="O424" t="s">
        <v>5740</v>
      </c>
      <c r="P424" t="s">
        <v>5741</v>
      </c>
      <c r="Q424" t="s">
        <v>4992</v>
      </c>
      <c r="R424" t="s">
        <v>5005</v>
      </c>
      <c r="S424" t="s">
        <v>4918</v>
      </c>
      <c r="T424" t="s">
        <v>5729</v>
      </c>
      <c r="U424" t="s">
        <v>5730</v>
      </c>
      <c r="V424" t="s">
        <v>4978</v>
      </c>
      <c r="W424" t="s">
        <v>3782</v>
      </c>
      <c r="X424" t="s">
        <v>3890</v>
      </c>
      <c r="Y424" t="s">
        <v>4332</v>
      </c>
      <c r="Z424" t="s">
        <v>5151</v>
      </c>
      <c r="AA424" t="s">
        <v>5148</v>
      </c>
      <c r="AB424" t="s">
        <v>4268</v>
      </c>
      <c r="AC424" s="1" t="s">
        <v>3807</v>
      </c>
      <c r="AD424" s="6" t="s">
        <v>5988</v>
      </c>
    </row>
    <row r="425" spans="1:30" x14ac:dyDescent="0.25">
      <c r="A425" t="s">
        <v>5956</v>
      </c>
      <c r="B425" t="s">
        <v>4001</v>
      </c>
      <c r="C425" t="s">
        <v>5006</v>
      </c>
      <c r="D425" t="s">
        <v>4004</v>
      </c>
      <c r="E425" t="s">
        <v>4172</v>
      </c>
      <c r="F425" t="s">
        <v>4660</v>
      </c>
      <c r="G425" t="s">
        <v>5007</v>
      </c>
      <c r="H425" t="s">
        <v>4954</v>
      </c>
      <c r="I425" t="s">
        <v>3772</v>
      </c>
      <c r="J425" t="s">
        <v>3773</v>
      </c>
      <c r="K425" t="s">
        <v>3908</v>
      </c>
      <c r="L425" t="s">
        <v>3800</v>
      </c>
      <c r="M425" t="s">
        <v>3776</v>
      </c>
      <c r="N425" t="s">
        <v>3777</v>
      </c>
      <c r="O425" t="s">
        <v>5742</v>
      </c>
      <c r="P425" t="s">
        <v>5743</v>
      </c>
      <c r="Q425" t="s">
        <v>4996</v>
      </c>
      <c r="R425" t="s">
        <v>5002</v>
      </c>
      <c r="S425" t="s">
        <v>4266</v>
      </c>
      <c r="T425" t="s">
        <v>5746</v>
      </c>
      <c r="U425" t="s">
        <v>5730</v>
      </c>
      <c r="V425" t="s">
        <v>5008</v>
      </c>
      <c r="W425" t="s">
        <v>3782</v>
      </c>
      <c r="X425" t="s">
        <v>3890</v>
      </c>
      <c r="Y425" t="s">
        <v>3891</v>
      </c>
      <c r="Z425" t="s">
        <v>5151</v>
      </c>
      <c r="AA425" t="s">
        <v>5150</v>
      </c>
      <c r="AB425" t="s">
        <v>4881</v>
      </c>
      <c r="AC425" s="1" t="s">
        <v>3807</v>
      </c>
      <c r="AD425" s="6" t="s">
        <v>5989</v>
      </c>
    </row>
    <row r="426" spans="1:30" x14ac:dyDescent="0.25">
      <c r="A426" t="s">
        <v>5956</v>
      </c>
      <c r="B426" t="s">
        <v>4001</v>
      </c>
      <c r="C426" t="s">
        <v>4945</v>
      </c>
      <c r="D426" t="s">
        <v>3902</v>
      </c>
      <c r="E426" t="s">
        <v>4172</v>
      </c>
      <c r="F426" t="s">
        <v>4956</v>
      </c>
      <c r="G426" t="s">
        <v>4947</v>
      </c>
      <c r="H426" t="s">
        <v>5009</v>
      </c>
      <c r="I426" t="s">
        <v>3772</v>
      </c>
      <c r="J426" t="s">
        <v>3773</v>
      </c>
      <c r="K426" t="s">
        <v>3908</v>
      </c>
      <c r="L426" t="s">
        <v>3800</v>
      </c>
      <c r="M426" t="s">
        <v>3776</v>
      </c>
      <c r="N426" t="s">
        <v>3777</v>
      </c>
      <c r="O426" t="s">
        <v>5740</v>
      </c>
      <c r="P426" t="s">
        <v>5741</v>
      </c>
      <c r="Q426" t="s">
        <v>4992</v>
      </c>
      <c r="R426" t="s">
        <v>5005</v>
      </c>
      <c r="S426" t="s">
        <v>4918</v>
      </c>
      <c r="T426" t="s">
        <v>5747</v>
      </c>
      <c r="U426" t="s">
        <v>5748</v>
      </c>
      <c r="V426" t="s">
        <v>4892</v>
      </c>
      <c r="W426" t="s">
        <v>3782</v>
      </c>
      <c r="X426" t="s">
        <v>3977</v>
      </c>
      <c r="Y426" t="s">
        <v>4332</v>
      </c>
      <c r="Z426" t="s">
        <v>5155</v>
      </c>
      <c r="AA426" t="s">
        <v>5156</v>
      </c>
      <c r="AB426" t="s">
        <v>4268</v>
      </c>
      <c r="AC426" s="1" t="s">
        <v>3807</v>
      </c>
      <c r="AD426" s="6" t="s">
        <v>5990</v>
      </c>
    </row>
    <row r="427" spans="1:30" x14ac:dyDescent="0.25">
      <c r="A427" t="s">
        <v>5956</v>
      </c>
      <c r="B427" t="s">
        <v>4001</v>
      </c>
      <c r="C427" t="s">
        <v>4066</v>
      </c>
      <c r="D427" t="s">
        <v>3967</v>
      </c>
      <c r="E427" t="s">
        <v>4172</v>
      </c>
      <c r="F427" t="s">
        <v>4946</v>
      </c>
      <c r="G427" t="s">
        <v>5010</v>
      </c>
      <c r="H427" t="s">
        <v>5011</v>
      </c>
      <c r="I427" t="s">
        <v>3772</v>
      </c>
      <c r="J427" t="s">
        <v>3773</v>
      </c>
      <c r="K427" t="s">
        <v>3908</v>
      </c>
      <c r="L427" t="s">
        <v>3800</v>
      </c>
      <c r="M427" t="s">
        <v>3776</v>
      </c>
      <c r="N427" t="s">
        <v>3777</v>
      </c>
      <c r="O427" t="s">
        <v>5740</v>
      </c>
      <c r="P427" t="s">
        <v>5741</v>
      </c>
      <c r="Q427" t="s">
        <v>4992</v>
      </c>
      <c r="R427" t="s">
        <v>3779</v>
      </c>
      <c r="S427" t="s">
        <v>4153</v>
      </c>
      <c r="T427" t="s">
        <v>5747</v>
      </c>
      <c r="U427" t="s">
        <v>5748</v>
      </c>
      <c r="V427" t="s">
        <v>5012</v>
      </c>
      <c r="W427" t="s">
        <v>3782</v>
      </c>
      <c r="X427" t="s">
        <v>3977</v>
      </c>
      <c r="Y427" t="s">
        <v>4332</v>
      </c>
      <c r="Z427" t="s">
        <v>5155</v>
      </c>
      <c r="AA427" t="s">
        <v>5156</v>
      </c>
      <c r="AB427" t="s">
        <v>4268</v>
      </c>
      <c r="AC427" s="1" t="s">
        <v>3807</v>
      </c>
      <c r="AD427" s="6" t="s">
        <v>5991</v>
      </c>
    </row>
    <row r="428" spans="1:30" x14ac:dyDescent="0.25">
      <c r="A428" t="s">
        <v>5956</v>
      </c>
      <c r="B428" t="s">
        <v>4001</v>
      </c>
      <c r="C428" t="s">
        <v>5013</v>
      </c>
      <c r="D428" t="s">
        <v>4443</v>
      </c>
      <c r="E428" t="s">
        <v>4172</v>
      </c>
      <c r="F428" t="s">
        <v>5014</v>
      </c>
      <c r="G428" t="s">
        <v>5015</v>
      </c>
      <c r="H428" t="s">
        <v>5016</v>
      </c>
      <c r="I428" t="s">
        <v>3772</v>
      </c>
      <c r="J428" t="s">
        <v>3773</v>
      </c>
      <c r="K428" t="s">
        <v>3908</v>
      </c>
      <c r="L428" t="s">
        <v>3800</v>
      </c>
      <c r="M428" t="s">
        <v>3776</v>
      </c>
      <c r="N428" t="s">
        <v>3777</v>
      </c>
      <c r="O428" t="s">
        <v>5742</v>
      </c>
      <c r="P428" t="s">
        <v>5743</v>
      </c>
      <c r="Q428" t="s">
        <v>4996</v>
      </c>
      <c r="R428" t="s">
        <v>5017</v>
      </c>
      <c r="S428" t="s">
        <v>4266</v>
      </c>
      <c r="T428" t="s">
        <v>5731</v>
      </c>
      <c r="U428" t="s">
        <v>5732</v>
      </c>
      <c r="V428" t="s">
        <v>4980</v>
      </c>
      <c r="W428" t="s">
        <v>3782</v>
      </c>
      <c r="X428" t="s">
        <v>3890</v>
      </c>
      <c r="Y428" t="s">
        <v>3891</v>
      </c>
      <c r="Z428" t="s">
        <v>5155</v>
      </c>
      <c r="AA428" t="s">
        <v>5156</v>
      </c>
      <c r="AB428" t="s">
        <v>4881</v>
      </c>
      <c r="AC428" s="1" t="s">
        <v>3807</v>
      </c>
      <c r="AD428" s="6" t="s">
        <v>5992</v>
      </c>
    </row>
    <row r="429" spans="1:30" x14ac:dyDescent="0.25">
      <c r="A429" t="s">
        <v>5956</v>
      </c>
      <c r="B429" t="s">
        <v>4001</v>
      </c>
      <c r="C429" t="s">
        <v>5018</v>
      </c>
      <c r="D429" t="s">
        <v>3968</v>
      </c>
      <c r="E429" t="s">
        <v>4172</v>
      </c>
      <c r="F429" t="s">
        <v>5019</v>
      </c>
      <c r="G429" t="s">
        <v>4449</v>
      </c>
      <c r="H429" t="s">
        <v>5020</v>
      </c>
      <c r="I429" t="s">
        <v>3772</v>
      </c>
      <c r="J429" t="s">
        <v>3773</v>
      </c>
      <c r="K429" t="s">
        <v>3908</v>
      </c>
      <c r="L429" t="s">
        <v>3800</v>
      </c>
      <c r="M429" t="s">
        <v>3776</v>
      </c>
      <c r="N429" t="s">
        <v>3777</v>
      </c>
      <c r="O429" t="s">
        <v>5740</v>
      </c>
      <c r="P429" t="s">
        <v>5741</v>
      </c>
      <c r="Q429" t="s">
        <v>4992</v>
      </c>
      <c r="R429" t="s">
        <v>3779</v>
      </c>
      <c r="S429" t="s">
        <v>4153</v>
      </c>
      <c r="T429" t="s">
        <v>5749</v>
      </c>
      <c r="U429" t="s">
        <v>5750</v>
      </c>
      <c r="V429" t="s">
        <v>5021</v>
      </c>
      <c r="W429" t="s">
        <v>3782</v>
      </c>
      <c r="X429" t="s">
        <v>3977</v>
      </c>
      <c r="Y429" t="s">
        <v>4332</v>
      </c>
      <c r="Z429" t="s">
        <v>5155</v>
      </c>
      <c r="AA429" t="s">
        <v>5156</v>
      </c>
      <c r="AB429" t="s">
        <v>4268</v>
      </c>
      <c r="AC429" s="1" t="s">
        <v>3807</v>
      </c>
      <c r="AD429" s="6" t="s">
        <v>5993</v>
      </c>
    </row>
    <row r="430" spans="1:30" x14ac:dyDescent="0.25">
      <c r="A430" t="s">
        <v>5956</v>
      </c>
      <c r="B430" t="s">
        <v>4001</v>
      </c>
      <c r="C430" t="s">
        <v>5018</v>
      </c>
      <c r="D430" t="s">
        <v>3968</v>
      </c>
      <c r="E430" t="s">
        <v>4172</v>
      </c>
      <c r="F430" t="s">
        <v>5022</v>
      </c>
      <c r="G430" t="s">
        <v>4449</v>
      </c>
      <c r="H430" t="s">
        <v>5023</v>
      </c>
      <c r="I430" t="s">
        <v>3772</v>
      </c>
      <c r="J430" t="s">
        <v>3773</v>
      </c>
      <c r="K430" t="s">
        <v>3908</v>
      </c>
      <c r="L430" t="s">
        <v>3800</v>
      </c>
      <c r="M430" t="s">
        <v>3776</v>
      </c>
      <c r="N430" t="s">
        <v>3777</v>
      </c>
      <c r="O430" t="s">
        <v>5742</v>
      </c>
      <c r="P430" t="s">
        <v>5743</v>
      </c>
      <c r="Q430" t="s">
        <v>4996</v>
      </c>
      <c r="R430" t="s">
        <v>5024</v>
      </c>
      <c r="S430" t="s">
        <v>4266</v>
      </c>
      <c r="T430" t="s">
        <v>5731</v>
      </c>
      <c r="U430" t="s">
        <v>5732</v>
      </c>
      <c r="V430" t="s">
        <v>5025</v>
      </c>
      <c r="W430" t="s">
        <v>3782</v>
      </c>
      <c r="X430" t="s">
        <v>3890</v>
      </c>
      <c r="Y430" t="s">
        <v>3891</v>
      </c>
      <c r="Z430" t="s">
        <v>5155</v>
      </c>
      <c r="AA430" t="s">
        <v>5156</v>
      </c>
      <c r="AB430" t="s">
        <v>4881</v>
      </c>
      <c r="AC430" s="1" t="s">
        <v>3807</v>
      </c>
      <c r="AD430" s="6" t="s">
        <v>5994</v>
      </c>
    </row>
    <row r="431" spans="1:30" x14ac:dyDescent="0.25">
      <c r="A431" t="s">
        <v>5956</v>
      </c>
      <c r="B431" t="s">
        <v>4431</v>
      </c>
      <c r="C431" t="s">
        <v>5026</v>
      </c>
      <c r="D431" t="s">
        <v>3846</v>
      </c>
      <c r="E431" t="s">
        <v>4172</v>
      </c>
      <c r="F431" t="s">
        <v>5027</v>
      </c>
      <c r="G431" t="s">
        <v>5028</v>
      </c>
      <c r="H431" t="s">
        <v>5029</v>
      </c>
      <c r="I431" t="s">
        <v>3772</v>
      </c>
      <c r="J431" t="s">
        <v>3773</v>
      </c>
      <c r="K431" t="s">
        <v>3850</v>
      </c>
      <c r="L431" t="s">
        <v>3800</v>
      </c>
      <c r="M431" t="s">
        <v>3776</v>
      </c>
      <c r="N431" t="s">
        <v>3777</v>
      </c>
      <c r="O431" t="s">
        <v>5751</v>
      </c>
      <c r="P431" t="s">
        <v>5752</v>
      </c>
      <c r="Q431" t="s">
        <v>5030</v>
      </c>
      <c r="R431" t="s">
        <v>5031</v>
      </c>
      <c r="S431" t="s">
        <v>4266</v>
      </c>
      <c r="T431" t="s">
        <v>5672</v>
      </c>
      <c r="U431" t="s">
        <v>5687</v>
      </c>
      <c r="V431" t="s">
        <v>5032</v>
      </c>
      <c r="W431" t="s">
        <v>3782</v>
      </c>
      <c r="X431" t="s">
        <v>3804</v>
      </c>
      <c r="Y431" t="s">
        <v>3891</v>
      </c>
      <c r="Z431" t="s">
        <v>5149</v>
      </c>
      <c r="AA431" t="s">
        <v>5154</v>
      </c>
      <c r="AB431" t="s">
        <v>4179</v>
      </c>
      <c r="AC431" s="1" t="s">
        <v>3807</v>
      </c>
      <c r="AD431" s="6" t="s">
        <v>5995</v>
      </c>
    </row>
    <row r="432" spans="1:30" x14ac:dyDescent="0.25">
      <c r="A432" t="s">
        <v>5956</v>
      </c>
      <c r="B432" t="s">
        <v>4431</v>
      </c>
      <c r="C432" t="s">
        <v>5013</v>
      </c>
      <c r="D432" t="s">
        <v>4443</v>
      </c>
      <c r="E432" t="s">
        <v>4172</v>
      </c>
      <c r="F432" t="s">
        <v>5033</v>
      </c>
      <c r="G432" t="s">
        <v>4962</v>
      </c>
      <c r="H432" t="s">
        <v>5034</v>
      </c>
      <c r="I432" t="s">
        <v>3772</v>
      </c>
      <c r="J432" t="s">
        <v>3773</v>
      </c>
      <c r="K432" t="s">
        <v>3908</v>
      </c>
      <c r="L432" t="s">
        <v>3800</v>
      </c>
      <c r="M432" t="s">
        <v>3776</v>
      </c>
      <c r="N432" t="s">
        <v>3777</v>
      </c>
      <c r="O432" t="s">
        <v>5753</v>
      </c>
      <c r="P432" t="s">
        <v>5754</v>
      </c>
      <c r="Q432" t="s">
        <v>5035</v>
      </c>
      <c r="R432" t="s">
        <v>5002</v>
      </c>
      <c r="S432" t="s">
        <v>4266</v>
      </c>
      <c r="T432" t="s">
        <v>5755</v>
      </c>
      <c r="U432" t="s">
        <v>5756</v>
      </c>
      <c r="V432" t="s">
        <v>5036</v>
      </c>
      <c r="W432" t="s">
        <v>3782</v>
      </c>
      <c r="X432" t="s">
        <v>3977</v>
      </c>
      <c r="Y432" t="s">
        <v>4635</v>
      </c>
      <c r="Z432" t="s">
        <v>5151</v>
      </c>
      <c r="AA432" t="s">
        <v>5150</v>
      </c>
      <c r="AB432" t="s">
        <v>4179</v>
      </c>
      <c r="AC432" s="1" t="s">
        <v>3807</v>
      </c>
      <c r="AD432" s="6" t="s">
        <v>5996</v>
      </c>
    </row>
    <row r="433" spans="1:30" x14ac:dyDescent="0.25">
      <c r="A433" t="s">
        <v>5956</v>
      </c>
      <c r="B433" t="s">
        <v>4431</v>
      </c>
      <c r="C433" t="s">
        <v>5037</v>
      </c>
      <c r="D433" t="s">
        <v>5038</v>
      </c>
      <c r="E433" t="s">
        <v>4172</v>
      </c>
      <c r="F433" t="s">
        <v>5039</v>
      </c>
      <c r="G433" t="s">
        <v>5040</v>
      </c>
      <c r="H433" t="s">
        <v>5041</v>
      </c>
      <c r="I433" t="s">
        <v>3772</v>
      </c>
      <c r="J433" t="s">
        <v>3773</v>
      </c>
      <c r="K433" t="s">
        <v>3908</v>
      </c>
      <c r="L433" t="s">
        <v>3800</v>
      </c>
      <c r="M433" t="s">
        <v>3776</v>
      </c>
      <c r="N433" t="s">
        <v>3777</v>
      </c>
      <c r="O433" t="s">
        <v>5753</v>
      </c>
      <c r="P433" t="s">
        <v>5754</v>
      </c>
      <c r="Q433" t="s">
        <v>5035</v>
      </c>
      <c r="R433" t="s">
        <v>5042</v>
      </c>
      <c r="S433" t="s">
        <v>4266</v>
      </c>
      <c r="T433" t="s">
        <v>5755</v>
      </c>
      <c r="U433" t="s">
        <v>5756</v>
      </c>
      <c r="V433" t="s">
        <v>5036</v>
      </c>
      <c r="W433" t="s">
        <v>3782</v>
      </c>
      <c r="X433" t="s">
        <v>3977</v>
      </c>
      <c r="Y433" t="s">
        <v>4635</v>
      </c>
      <c r="Z433" t="s">
        <v>5151</v>
      </c>
      <c r="AA433" t="s">
        <v>5150</v>
      </c>
      <c r="AB433" t="s">
        <v>4179</v>
      </c>
      <c r="AC433" s="1" t="s">
        <v>3807</v>
      </c>
      <c r="AD433" s="6" t="s">
        <v>5997</v>
      </c>
    </row>
    <row r="434" spans="1:30" x14ac:dyDescent="0.25">
      <c r="A434" t="s">
        <v>5956</v>
      </c>
      <c r="B434" t="s">
        <v>4041</v>
      </c>
      <c r="C434" t="s">
        <v>4104</v>
      </c>
      <c r="D434" t="s">
        <v>4105</v>
      </c>
      <c r="E434" t="s">
        <v>4172</v>
      </c>
      <c r="F434" t="s">
        <v>5043</v>
      </c>
      <c r="G434" t="s">
        <v>4982</v>
      </c>
      <c r="H434" t="s">
        <v>3915</v>
      </c>
      <c r="I434" t="s">
        <v>3772</v>
      </c>
      <c r="J434" t="s">
        <v>3773</v>
      </c>
      <c r="K434" t="s">
        <v>3850</v>
      </c>
      <c r="L434" t="s">
        <v>3800</v>
      </c>
      <c r="M434" t="s">
        <v>3776</v>
      </c>
      <c r="N434" t="s">
        <v>3777</v>
      </c>
      <c r="O434" t="s">
        <v>5717</v>
      </c>
      <c r="P434" t="s">
        <v>5757</v>
      </c>
      <c r="Q434" t="s">
        <v>4931</v>
      </c>
      <c r="R434" t="s">
        <v>5044</v>
      </c>
      <c r="S434" t="s">
        <v>4266</v>
      </c>
      <c r="T434" t="s">
        <v>5337</v>
      </c>
      <c r="U434" t="s">
        <v>5338</v>
      </c>
      <c r="V434" t="s">
        <v>3781</v>
      </c>
      <c r="W434" t="s">
        <v>3782</v>
      </c>
      <c r="X434" t="s">
        <v>3804</v>
      </c>
      <c r="Y434" t="s">
        <v>3826</v>
      </c>
      <c r="Z434" t="s">
        <v>5149</v>
      </c>
      <c r="AA434" t="s">
        <v>5148</v>
      </c>
      <c r="AB434" t="s">
        <v>4268</v>
      </c>
      <c r="AC434" s="1" t="s">
        <v>3807</v>
      </c>
      <c r="AD434" s="6" t="s">
        <v>5998</v>
      </c>
    </row>
    <row r="435" spans="1:30" x14ac:dyDescent="0.25">
      <c r="A435" t="s">
        <v>5956</v>
      </c>
      <c r="B435" t="s">
        <v>4041</v>
      </c>
      <c r="C435" t="s">
        <v>3862</v>
      </c>
      <c r="D435" t="s">
        <v>3863</v>
      </c>
      <c r="E435" t="s">
        <v>4172</v>
      </c>
      <c r="F435" t="s">
        <v>5045</v>
      </c>
      <c r="G435" t="s">
        <v>4741</v>
      </c>
      <c r="H435" t="s">
        <v>5046</v>
      </c>
      <c r="I435" t="s">
        <v>3772</v>
      </c>
      <c r="J435" t="s">
        <v>3773</v>
      </c>
      <c r="K435" t="s">
        <v>3850</v>
      </c>
      <c r="L435" t="s">
        <v>3800</v>
      </c>
      <c r="M435" t="s">
        <v>3776</v>
      </c>
      <c r="N435" t="s">
        <v>3777</v>
      </c>
      <c r="O435" t="s">
        <v>5758</v>
      </c>
      <c r="P435" t="s">
        <v>5759</v>
      </c>
      <c r="Q435" t="s">
        <v>5047</v>
      </c>
      <c r="R435" t="s">
        <v>5048</v>
      </c>
      <c r="S435" t="s">
        <v>4266</v>
      </c>
      <c r="T435" t="s">
        <v>5337</v>
      </c>
      <c r="U435" t="s">
        <v>5338</v>
      </c>
      <c r="V435" t="s">
        <v>3781</v>
      </c>
      <c r="W435" t="s">
        <v>3782</v>
      </c>
      <c r="X435" t="s">
        <v>3804</v>
      </c>
      <c r="Y435" t="s">
        <v>3826</v>
      </c>
      <c r="Z435" t="s">
        <v>5151</v>
      </c>
      <c r="AA435" t="s">
        <v>5148</v>
      </c>
      <c r="AB435" t="s">
        <v>4881</v>
      </c>
      <c r="AC435" s="1" t="s">
        <v>3807</v>
      </c>
      <c r="AD435" s="6" t="s">
        <v>5999</v>
      </c>
    </row>
    <row r="436" spans="1:30" x14ac:dyDescent="0.25">
      <c r="A436" t="s">
        <v>5956</v>
      </c>
      <c r="B436" t="s">
        <v>4041</v>
      </c>
      <c r="C436" t="s">
        <v>4651</v>
      </c>
      <c r="D436" t="s">
        <v>4652</v>
      </c>
      <c r="E436" t="s">
        <v>4172</v>
      </c>
      <c r="F436" t="s">
        <v>5049</v>
      </c>
      <c r="G436" t="s">
        <v>4133</v>
      </c>
      <c r="H436" t="s">
        <v>4144</v>
      </c>
      <c r="I436" t="s">
        <v>3772</v>
      </c>
      <c r="J436" t="s">
        <v>3773</v>
      </c>
      <c r="K436" t="s">
        <v>3850</v>
      </c>
      <c r="L436" t="s">
        <v>3800</v>
      </c>
      <c r="M436" t="s">
        <v>3776</v>
      </c>
      <c r="N436" t="s">
        <v>3777</v>
      </c>
      <c r="O436" t="s">
        <v>5717</v>
      </c>
      <c r="P436" t="s">
        <v>5757</v>
      </c>
      <c r="Q436" t="s">
        <v>5050</v>
      </c>
      <c r="R436" t="s">
        <v>5051</v>
      </c>
      <c r="S436" t="s">
        <v>4266</v>
      </c>
      <c r="T436" t="s">
        <v>5337</v>
      </c>
      <c r="U436" t="s">
        <v>5338</v>
      </c>
      <c r="V436" t="s">
        <v>3781</v>
      </c>
      <c r="W436" t="s">
        <v>3782</v>
      </c>
      <c r="X436" t="s">
        <v>3890</v>
      </c>
      <c r="Y436" t="s">
        <v>4860</v>
      </c>
      <c r="Z436" t="s">
        <v>5151</v>
      </c>
      <c r="AA436" t="s">
        <v>5148</v>
      </c>
      <c r="AB436" t="s">
        <v>4268</v>
      </c>
      <c r="AC436" s="1" t="s">
        <v>3807</v>
      </c>
      <c r="AD436" s="6" t="s">
        <v>6000</v>
      </c>
    </row>
    <row r="437" spans="1:30" x14ac:dyDescent="0.25">
      <c r="A437" t="s">
        <v>5956</v>
      </c>
      <c r="B437" t="s">
        <v>4041</v>
      </c>
      <c r="C437" t="s">
        <v>5052</v>
      </c>
      <c r="D437" t="s">
        <v>4300</v>
      </c>
      <c r="E437" t="s">
        <v>4172</v>
      </c>
      <c r="F437" t="s">
        <v>5053</v>
      </c>
      <c r="G437" t="s">
        <v>5054</v>
      </c>
      <c r="H437" t="s">
        <v>3893</v>
      </c>
      <c r="I437" t="s">
        <v>3772</v>
      </c>
      <c r="J437" t="s">
        <v>3773</v>
      </c>
      <c r="K437" t="s">
        <v>3850</v>
      </c>
      <c r="L437" t="s">
        <v>3800</v>
      </c>
      <c r="M437" t="s">
        <v>3776</v>
      </c>
      <c r="N437" t="s">
        <v>3777</v>
      </c>
      <c r="O437" t="s">
        <v>5760</v>
      </c>
      <c r="P437" t="s">
        <v>5761</v>
      </c>
      <c r="Q437" t="s">
        <v>5055</v>
      </c>
      <c r="R437" t="s">
        <v>5056</v>
      </c>
      <c r="S437" t="s">
        <v>4266</v>
      </c>
      <c r="T437" t="s">
        <v>5337</v>
      </c>
      <c r="U437" t="s">
        <v>5338</v>
      </c>
      <c r="V437" t="s">
        <v>3781</v>
      </c>
      <c r="W437" t="s">
        <v>3782</v>
      </c>
      <c r="X437" t="s">
        <v>3890</v>
      </c>
      <c r="Y437" t="s">
        <v>3891</v>
      </c>
      <c r="Z437" t="s">
        <v>5151</v>
      </c>
      <c r="AA437" t="s">
        <v>5148</v>
      </c>
      <c r="AB437" t="s">
        <v>4881</v>
      </c>
      <c r="AC437" s="1" t="s">
        <v>3807</v>
      </c>
      <c r="AD437" s="6" t="s">
        <v>6001</v>
      </c>
    </row>
    <row r="438" spans="1:30" x14ac:dyDescent="0.25">
      <c r="A438" t="s">
        <v>5956</v>
      </c>
      <c r="B438" t="s">
        <v>4041</v>
      </c>
      <c r="C438" t="s">
        <v>4621</v>
      </c>
      <c r="D438" t="s">
        <v>4622</v>
      </c>
      <c r="E438" t="s">
        <v>4172</v>
      </c>
      <c r="F438" t="s">
        <v>5057</v>
      </c>
      <c r="G438" t="s">
        <v>5058</v>
      </c>
      <c r="H438" t="s">
        <v>5059</v>
      </c>
      <c r="I438" t="s">
        <v>3772</v>
      </c>
      <c r="J438" t="s">
        <v>3773</v>
      </c>
      <c r="K438" t="s">
        <v>3908</v>
      </c>
      <c r="L438" t="s">
        <v>3800</v>
      </c>
      <c r="M438" t="s">
        <v>3776</v>
      </c>
      <c r="N438" t="s">
        <v>3777</v>
      </c>
      <c r="O438" t="s">
        <v>5717</v>
      </c>
      <c r="P438" t="s">
        <v>5757</v>
      </c>
      <c r="Q438" t="s">
        <v>3948</v>
      </c>
      <c r="R438" t="s">
        <v>5060</v>
      </c>
      <c r="S438" t="s">
        <v>4918</v>
      </c>
      <c r="T438" t="s">
        <v>5337</v>
      </c>
      <c r="U438" t="s">
        <v>5338</v>
      </c>
      <c r="V438" t="s">
        <v>3781</v>
      </c>
      <c r="W438" t="s">
        <v>3782</v>
      </c>
      <c r="X438" t="s">
        <v>3890</v>
      </c>
      <c r="Y438" t="s">
        <v>4332</v>
      </c>
      <c r="Z438" t="s">
        <v>5151</v>
      </c>
      <c r="AA438" t="s">
        <v>5148</v>
      </c>
      <c r="AB438" t="s">
        <v>4268</v>
      </c>
      <c r="AC438" s="1" t="s">
        <v>3807</v>
      </c>
      <c r="AD438" s="6" t="s">
        <v>6002</v>
      </c>
    </row>
    <row r="439" spans="1:30" x14ac:dyDescent="0.25">
      <c r="A439" t="s">
        <v>5956</v>
      </c>
      <c r="B439" t="s">
        <v>4041</v>
      </c>
      <c r="C439" t="s">
        <v>4951</v>
      </c>
      <c r="D439" t="s">
        <v>4952</v>
      </c>
      <c r="E439" t="s">
        <v>4172</v>
      </c>
      <c r="F439" t="s">
        <v>4660</v>
      </c>
      <c r="G439" t="s">
        <v>4953</v>
      </c>
      <c r="H439" t="s">
        <v>5061</v>
      </c>
      <c r="I439" t="s">
        <v>3772</v>
      </c>
      <c r="J439" t="s">
        <v>3773</v>
      </c>
      <c r="K439" t="s">
        <v>3908</v>
      </c>
      <c r="L439" t="s">
        <v>3800</v>
      </c>
      <c r="M439" t="s">
        <v>3776</v>
      </c>
      <c r="N439" t="s">
        <v>3777</v>
      </c>
      <c r="O439" t="s">
        <v>5760</v>
      </c>
      <c r="P439" t="s">
        <v>5761</v>
      </c>
      <c r="Q439" t="s">
        <v>4746</v>
      </c>
      <c r="R439" t="s">
        <v>5062</v>
      </c>
      <c r="S439" t="s">
        <v>4266</v>
      </c>
      <c r="T439" t="s">
        <v>5337</v>
      </c>
      <c r="U439" t="s">
        <v>5338</v>
      </c>
      <c r="V439" t="s">
        <v>3781</v>
      </c>
      <c r="W439" t="s">
        <v>3782</v>
      </c>
      <c r="X439" t="s">
        <v>3890</v>
      </c>
      <c r="Y439" t="s">
        <v>3891</v>
      </c>
      <c r="Z439" t="s">
        <v>5151</v>
      </c>
      <c r="AA439" t="s">
        <v>5150</v>
      </c>
      <c r="AB439" t="s">
        <v>4881</v>
      </c>
      <c r="AC439" s="1" t="s">
        <v>3807</v>
      </c>
      <c r="AD439" s="6" t="s">
        <v>6003</v>
      </c>
    </row>
    <row r="440" spans="1:30" x14ac:dyDescent="0.25">
      <c r="A440" t="s">
        <v>5956</v>
      </c>
      <c r="B440" t="s">
        <v>4041</v>
      </c>
      <c r="C440" t="s">
        <v>4945</v>
      </c>
      <c r="D440" t="s">
        <v>3902</v>
      </c>
      <c r="E440" t="s">
        <v>4172</v>
      </c>
      <c r="F440" t="s">
        <v>5063</v>
      </c>
      <c r="G440" t="s">
        <v>4967</v>
      </c>
      <c r="H440" t="s">
        <v>5064</v>
      </c>
      <c r="I440" t="s">
        <v>3772</v>
      </c>
      <c r="J440" t="s">
        <v>3773</v>
      </c>
      <c r="K440" t="s">
        <v>3908</v>
      </c>
      <c r="L440" t="s">
        <v>3800</v>
      </c>
      <c r="M440" t="s">
        <v>3776</v>
      </c>
      <c r="N440" t="s">
        <v>3777</v>
      </c>
      <c r="O440" t="s">
        <v>5717</v>
      </c>
      <c r="P440" t="s">
        <v>5757</v>
      </c>
      <c r="Q440" t="s">
        <v>3921</v>
      </c>
      <c r="R440" t="s">
        <v>5060</v>
      </c>
      <c r="S440" t="s">
        <v>4918</v>
      </c>
      <c r="T440" t="s">
        <v>5337</v>
      </c>
      <c r="U440" t="s">
        <v>5338</v>
      </c>
      <c r="V440" t="s">
        <v>3781</v>
      </c>
      <c r="W440" t="s">
        <v>3782</v>
      </c>
      <c r="X440" t="s">
        <v>3977</v>
      </c>
      <c r="Y440" t="s">
        <v>4332</v>
      </c>
      <c r="Z440" t="s">
        <v>5155</v>
      </c>
      <c r="AA440" t="s">
        <v>5156</v>
      </c>
      <c r="AB440" t="s">
        <v>4268</v>
      </c>
      <c r="AC440" s="1" t="s">
        <v>3807</v>
      </c>
      <c r="AD440" s="6" t="s">
        <v>6004</v>
      </c>
    </row>
    <row r="441" spans="1:30" x14ac:dyDescent="0.25">
      <c r="A441" t="s">
        <v>5956</v>
      </c>
      <c r="B441" t="s">
        <v>4041</v>
      </c>
      <c r="C441" t="s">
        <v>5065</v>
      </c>
      <c r="D441" t="s">
        <v>5066</v>
      </c>
      <c r="E441" t="s">
        <v>4172</v>
      </c>
      <c r="F441" t="s">
        <v>4067</v>
      </c>
      <c r="G441" t="s">
        <v>4962</v>
      </c>
      <c r="H441" t="s">
        <v>4963</v>
      </c>
      <c r="I441" t="s">
        <v>3772</v>
      </c>
      <c r="J441" t="s">
        <v>3773</v>
      </c>
      <c r="K441" t="s">
        <v>3908</v>
      </c>
      <c r="L441" t="s">
        <v>3800</v>
      </c>
      <c r="M441" t="s">
        <v>3776</v>
      </c>
      <c r="N441" t="s">
        <v>3777</v>
      </c>
      <c r="O441" t="s">
        <v>5719</v>
      </c>
      <c r="P441" t="s">
        <v>5762</v>
      </c>
      <c r="Q441" t="s">
        <v>4675</v>
      </c>
      <c r="R441" t="s">
        <v>3779</v>
      </c>
      <c r="S441" t="s">
        <v>4153</v>
      </c>
      <c r="T441" t="s">
        <v>5337</v>
      </c>
      <c r="U441" t="s">
        <v>5338</v>
      </c>
      <c r="V441" t="s">
        <v>3781</v>
      </c>
      <c r="W441" t="s">
        <v>3782</v>
      </c>
      <c r="X441" t="s">
        <v>3977</v>
      </c>
      <c r="Y441" t="s">
        <v>4332</v>
      </c>
      <c r="Z441" t="s">
        <v>5155</v>
      </c>
      <c r="AA441" t="s">
        <v>5156</v>
      </c>
      <c r="AB441" t="s">
        <v>4268</v>
      </c>
      <c r="AC441" s="1" t="s">
        <v>3807</v>
      </c>
      <c r="AD441" s="6" t="s">
        <v>6005</v>
      </c>
    </row>
    <row r="442" spans="1:30" x14ac:dyDescent="0.25">
      <c r="A442" t="s">
        <v>5956</v>
      </c>
      <c r="B442" t="s">
        <v>4041</v>
      </c>
      <c r="C442" t="s">
        <v>5013</v>
      </c>
      <c r="D442" t="s">
        <v>4443</v>
      </c>
      <c r="E442" t="s">
        <v>4172</v>
      </c>
      <c r="F442" t="s">
        <v>5067</v>
      </c>
      <c r="G442" t="s">
        <v>5015</v>
      </c>
      <c r="H442" t="s">
        <v>5068</v>
      </c>
      <c r="I442" t="s">
        <v>3772</v>
      </c>
      <c r="J442" t="s">
        <v>3773</v>
      </c>
      <c r="K442" t="s">
        <v>3908</v>
      </c>
      <c r="L442" t="s">
        <v>3800</v>
      </c>
      <c r="M442" t="s">
        <v>3776</v>
      </c>
      <c r="N442" t="s">
        <v>3777</v>
      </c>
      <c r="O442" t="s">
        <v>5763</v>
      </c>
      <c r="P442" t="s">
        <v>5764</v>
      </c>
      <c r="Q442" t="s">
        <v>5069</v>
      </c>
      <c r="R442" t="s">
        <v>5070</v>
      </c>
      <c r="S442" t="s">
        <v>4266</v>
      </c>
      <c r="T442" t="s">
        <v>5337</v>
      </c>
      <c r="U442" t="s">
        <v>5338</v>
      </c>
      <c r="V442" t="s">
        <v>3781</v>
      </c>
      <c r="W442" t="s">
        <v>3782</v>
      </c>
      <c r="X442" t="s">
        <v>3890</v>
      </c>
      <c r="Y442" t="s">
        <v>3891</v>
      </c>
      <c r="Z442" t="s">
        <v>5155</v>
      </c>
      <c r="AA442" t="s">
        <v>5156</v>
      </c>
      <c r="AB442" t="s">
        <v>4881</v>
      </c>
      <c r="AC442" s="1" t="s">
        <v>3807</v>
      </c>
      <c r="AD442" s="6" t="s">
        <v>6006</v>
      </c>
    </row>
    <row r="443" spans="1:30" x14ac:dyDescent="0.25">
      <c r="A443" t="s">
        <v>5956</v>
      </c>
      <c r="B443" t="s">
        <v>4041</v>
      </c>
      <c r="C443" t="s">
        <v>5071</v>
      </c>
      <c r="D443" t="s">
        <v>5072</v>
      </c>
      <c r="E443" t="s">
        <v>4172</v>
      </c>
      <c r="F443" t="s">
        <v>5073</v>
      </c>
      <c r="G443" t="s">
        <v>4107</v>
      </c>
      <c r="H443" t="s">
        <v>5074</v>
      </c>
      <c r="I443" t="s">
        <v>3772</v>
      </c>
      <c r="J443" t="s">
        <v>3773</v>
      </c>
      <c r="K443" t="s">
        <v>3908</v>
      </c>
      <c r="L443" t="s">
        <v>3800</v>
      </c>
      <c r="M443" t="s">
        <v>3776</v>
      </c>
      <c r="N443" t="s">
        <v>3777</v>
      </c>
      <c r="O443" t="s">
        <v>5719</v>
      </c>
      <c r="P443" t="s">
        <v>5762</v>
      </c>
      <c r="Q443" t="s">
        <v>4675</v>
      </c>
      <c r="R443" t="s">
        <v>3779</v>
      </c>
      <c r="S443" t="s">
        <v>4153</v>
      </c>
      <c r="T443" t="s">
        <v>5337</v>
      </c>
      <c r="U443" t="s">
        <v>5338</v>
      </c>
      <c r="V443" t="s">
        <v>3781</v>
      </c>
      <c r="W443" t="s">
        <v>3782</v>
      </c>
      <c r="X443" t="s">
        <v>3977</v>
      </c>
      <c r="Y443" t="s">
        <v>4332</v>
      </c>
      <c r="Z443" t="s">
        <v>5155</v>
      </c>
      <c r="AA443" t="s">
        <v>5156</v>
      </c>
      <c r="AB443" t="s">
        <v>4268</v>
      </c>
      <c r="AC443" s="1" t="s">
        <v>3807</v>
      </c>
      <c r="AD443" s="6" t="s">
        <v>6007</v>
      </c>
    </row>
    <row r="444" spans="1:30" x14ac:dyDescent="0.25">
      <c r="A444" t="s">
        <v>5956</v>
      </c>
      <c r="B444" t="s">
        <v>4041</v>
      </c>
      <c r="C444" t="s">
        <v>5071</v>
      </c>
      <c r="D444" t="s">
        <v>5072</v>
      </c>
      <c r="E444" t="s">
        <v>4172</v>
      </c>
      <c r="F444" t="s">
        <v>5075</v>
      </c>
      <c r="G444" t="s">
        <v>5076</v>
      </c>
      <c r="H444" t="s">
        <v>4968</v>
      </c>
      <c r="I444" t="s">
        <v>3772</v>
      </c>
      <c r="J444" t="s">
        <v>3773</v>
      </c>
      <c r="K444" t="s">
        <v>3908</v>
      </c>
      <c r="L444" t="s">
        <v>3800</v>
      </c>
      <c r="M444" t="s">
        <v>3776</v>
      </c>
      <c r="N444" t="s">
        <v>3777</v>
      </c>
      <c r="O444" t="s">
        <v>5763</v>
      </c>
      <c r="P444" t="s">
        <v>5764</v>
      </c>
      <c r="Q444" t="s">
        <v>4667</v>
      </c>
      <c r="R444" t="s">
        <v>5070</v>
      </c>
      <c r="S444" t="s">
        <v>4266</v>
      </c>
      <c r="T444" t="s">
        <v>5337</v>
      </c>
      <c r="U444" t="s">
        <v>5338</v>
      </c>
      <c r="V444" t="s">
        <v>3781</v>
      </c>
      <c r="W444" t="s">
        <v>3782</v>
      </c>
      <c r="X444" t="s">
        <v>3890</v>
      </c>
      <c r="Y444" t="s">
        <v>3891</v>
      </c>
      <c r="Z444" t="s">
        <v>5155</v>
      </c>
      <c r="AA444" t="s">
        <v>5156</v>
      </c>
      <c r="AB444" t="s">
        <v>4881</v>
      </c>
      <c r="AC444" s="1" t="s">
        <v>3807</v>
      </c>
      <c r="AD444" s="6" t="s">
        <v>6008</v>
      </c>
    </row>
    <row r="445" spans="1:30" x14ac:dyDescent="0.25">
      <c r="A445" t="s">
        <v>5956</v>
      </c>
      <c r="B445" t="s">
        <v>4041</v>
      </c>
      <c r="C445" t="s">
        <v>4853</v>
      </c>
      <c r="D445" t="s">
        <v>3918</v>
      </c>
      <c r="E445" t="s">
        <v>4172</v>
      </c>
      <c r="F445" t="s">
        <v>4866</v>
      </c>
      <c r="G445" t="s">
        <v>4974</v>
      </c>
      <c r="H445" t="s">
        <v>5077</v>
      </c>
      <c r="I445" t="s">
        <v>3772</v>
      </c>
      <c r="J445" t="s">
        <v>3773</v>
      </c>
      <c r="K445" t="s">
        <v>3850</v>
      </c>
      <c r="L445" t="s">
        <v>3800</v>
      </c>
      <c r="M445" t="s">
        <v>3776</v>
      </c>
      <c r="N445" t="s">
        <v>3777</v>
      </c>
      <c r="O445" t="s">
        <v>5717</v>
      </c>
      <c r="P445" t="s">
        <v>5757</v>
      </c>
      <c r="Q445" t="s">
        <v>5050</v>
      </c>
      <c r="R445" t="s">
        <v>5078</v>
      </c>
      <c r="S445" t="s">
        <v>4266</v>
      </c>
      <c r="T445" t="s">
        <v>5729</v>
      </c>
      <c r="U445" t="s">
        <v>5730</v>
      </c>
      <c r="V445" t="s">
        <v>4978</v>
      </c>
      <c r="W445" t="s">
        <v>3782</v>
      </c>
      <c r="X445" t="s">
        <v>3890</v>
      </c>
      <c r="Y445" t="s">
        <v>4860</v>
      </c>
      <c r="Z445" t="s">
        <v>5151</v>
      </c>
      <c r="AA445" t="s">
        <v>5148</v>
      </c>
      <c r="AB445" t="s">
        <v>4268</v>
      </c>
      <c r="AC445" s="1" t="s">
        <v>3807</v>
      </c>
      <c r="AD445" s="6" t="s">
        <v>6009</v>
      </c>
    </row>
    <row r="446" spans="1:30" x14ac:dyDescent="0.25">
      <c r="A446" t="s">
        <v>5956</v>
      </c>
      <c r="B446" t="s">
        <v>3901</v>
      </c>
      <c r="C446" t="s">
        <v>3808</v>
      </c>
      <c r="D446" t="s">
        <v>3809</v>
      </c>
      <c r="E446" t="s">
        <v>3797</v>
      </c>
      <c r="F446" t="s">
        <v>4527</v>
      </c>
      <c r="G446" t="s">
        <v>5079</v>
      </c>
      <c r="H446" t="s">
        <v>5080</v>
      </c>
      <c r="I446" t="s">
        <v>3772</v>
      </c>
      <c r="J446" t="s">
        <v>3773</v>
      </c>
      <c r="K446" t="s">
        <v>3850</v>
      </c>
      <c r="L446" t="s">
        <v>3800</v>
      </c>
      <c r="M446" t="s">
        <v>3776</v>
      </c>
      <c r="N446" t="s">
        <v>3777</v>
      </c>
      <c r="O446" t="s">
        <v>5765</v>
      </c>
      <c r="P446" t="s">
        <v>5766</v>
      </c>
      <c r="Q446" t="s">
        <v>5221</v>
      </c>
      <c r="R446" t="s">
        <v>5081</v>
      </c>
      <c r="S446" t="s">
        <v>3780</v>
      </c>
      <c r="T446" t="s">
        <v>5767</v>
      </c>
      <c r="U446" t="s">
        <v>5768</v>
      </c>
      <c r="V446" t="s">
        <v>5222</v>
      </c>
      <c r="W446" t="s">
        <v>3782</v>
      </c>
      <c r="X446" t="s">
        <v>3804</v>
      </c>
      <c r="Y446" t="s">
        <v>5082</v>
      </c>
      <c r="Z446" t="s">
        <v>3785</v>
      </c>
      <c r="AA446" t="s">
        <v>3786</v>
      </c>
      <c r="AB446" t="s">
        <v>3787</v>
      </c>
      <c r="AC446" s="1" t="s">
        <v>3788</v>
      </c>
      <c r="AD446" s="6" t="s">
        <v>6010</v>
      </c>
    </row>
    <row r="447" spans="1:30" x14ac:dyDescent="0.25">
      <c r="A447" t="s">
        <v>5956</v>
      </c>
      <c r="B447" t="s">
        <v>3901</v>
      </c>
      <c r="C447" t="s">
        <v>3808</v>
      </c>
      <c r="D447" t="s">
        <v>3809</v>
      </c>
      <c r="E447" t="s">
        <v>3797</v>
      </c>
      <c r="F447" t="s">
        <v>4527</v>
      </c>
      <c r="G447" t="s">
        <v>5083</v>
      </c>
      <c r="H447" t="s">
        <v>3771</v>
      </c>
      <c r="I447" t="s">
        <v>3772</v>
      </c>
      <c r="J447" t="s">
        <v>3773</v>
      </c>
      <c r="K447" t="s">
        <v>3850</v>
      </c>
      <c r="L447" t="s">
        <v>3827</v>
      </c>
      <c r="M447" t="s">
        <v>3776</v>
      </c>
      <c r="N447" t="s">
        <v>3777</v>
      </c>
      <c r="O447" t="s">
        <v>5765</v>
      </c>
      <c r="P447" t="s">
        <v>5769</v>
      </c>
      <c r="Q447" t="s">
        <v>5223</v>
      </c>
      <c r="R447" t="s">
        <v>5084</v>
      </c>
      <c r="S447" t="s">
        <v>3780</v>
      </c>
      <c r="T447" t="s">
        <v>5767</v>
      </c>
      <c r="U447" t="s">
        <v>5770</v>
      </c>
      <c r="V447" t="s">
        <v>5224</v>
      </c>
      <c r="W447" t="s">
        <v>3782</v>
      </c>
      <c r="X447" t="s">
        <v>3804</v>
      </c>
      <c r="Y447" t="s">
        <v>3805</v>
      </c>
      <c r="Z447" t="s">
        <v>3785</v>
      </c>
      <c r="AA447" t="s">
        <v>3786</v>
      </c>
      <c r="AB447" t="s">
        <v>3787</v>
      </c>
      <c r="AC447" s="1" t="s">
        <v>3788</v>
      </c>
      <c r="AD447" s="6" t="s">
        <v>6011</v>
      </c>
    </row>
    <row r="448" spans="1:30" x14ac:dyDescent="0.25">
      <c r="A448" t="s">
        <v>5956</v>
      </c>
      <c r="B448" t="s">
        <v>3901</v>
      </c>
      <c r="C448" t="s">
        <v>3813</v>
      </c>
      <c r="D448" t="s">
        <v>3814</v>
      </c>
      <c r="E448" t="s">
        <v>3797</v>
      </c>
      <c r="F448" t="s">
        <v>5085</v>
      </c>
      <c r="G448" t="s">
        <v>5079</v>
      </c>
      <c r="H448" t="s">
        <v>5080</v>
      </c>
      <c r="I448" t="s">
        <v>3772</v>
      </c>
      <c r="J448" t="s">
        <v>3773</v>
      </c>
      <c r="K448" t="s">
        <v>3850</v>
      </c>
      <c r="L448" t="s">
        <v>3800</v>
      </c>
      <c r="M448" t="s">
        <v>3776</v>
      </c>
      <c r="N448" t="s">
        <v>3777</v>
      </c>
      <c r="O448" t="s">
        <v>5765</v>
      </c>
      <c r="P448" t="s">
        <v>5766</v>
      </c>
      <c r="Q448" t="s">
        <v>5225</v>
      </c>
      <c r="R448" t="s">
        <v>5086</v>
      </c>
      <c r="S448" t="s">
        <v>3780</v>
      </c>
      <c r="T448" t="s">
        <v>5767</v>
      </c>
      <c r="U448" t="s">
        <v>5768</v>
      </c>
      <c r="V448" t="s">
        <v>5226</v>
      </c>
      <c r="W448" t="s">
        <v>3782</v>
      </c>
      <c r="X448" t="s">
        <v>3804</v>
      </c>
      <c r="Y448" t="s">
        <v>5082</v>
      </c>
      <c r="Z448" t="s">
        <v>3785</v>
      </c>
      <c r="AA448" t="s">
        <v>3786</v>
      </c>
      <c r="AB448" t="s">
        <v>3787</v>
      </c>
      <c r="AC448" s="1" t="s">
        <v>3788</v>
      </c>
      <c r="AD448" s="6" t="s">
        <v>6012</v>
      </c>
    </row>
    <row r="449" spans="1:30" x14ac:dyDescent="0.25">
      <c r="A449" t="s">
        <v>5956</v>
      </c>
      <c r="B449" t="s">
        <v>3901</v>
      </c>
      <c r="C449" t="s">
        <v>3813</v>
      </c>
      <c r="D449" t="s">
        <v>3814</v>
      </c>
      <c r="E449" t="s">
        <v>3797</v>
      </c>
      <c r="F449" t="s">
        <v>5085</v>
      </c>
      <c r="G449" t="s">
        <v>5079</v>
      </c>
      <c r="H449" t="s">
        <v>3771</v>
      </c>
      <c r="I449" t="s">
        <v>3772</v>
      </c>
      <c r="J449" t="s">
        <v>3773</v>
      </c>
      <c r="K449" t="s">
        <v>3850</v>
      </c>
      <c r="L449" t="s">
        <v>3827</v>
      </c>
      <c r="M449" t="s">
        <v>3776</v>
      </c>
      <c r="N449" t="s">
        <v>3777</v>
      </c>
      <c r="O449" t="s">
        <v>5765</v>
      </c>
      <c r="P449" t="s">
        <v>5769</v>
      </c>
      <c r="Q449" t="s">
        <v>5227</v>
      </c>
      <c r="R449" t="s">
        <v>5087</v>
      </c>
      <c r="S449" t="s">
        <v>3780</v>
      </c>
      <c r="T449" t="s">
        <v>5767</v>
      </c>
      <c r="U449" t="s">
        <v>5770</v>
      </c>
      <c r="V449" t="s">
        <v>5228</v>
      </c>
      <c r="W449" t="s">
        <v>3782</v>
      </c>
      <c r="X449" t="s">
        <v>3804</v>
      </c>
      <c r="Y449" t="s">
        <v>3805</v>
      </c>
      <c r="Z449" t="s">
        <v>3785</v>
      </c>
      <c r="AA449" t="s">
        <v>3786</v>
      </c>
      <c r="AB449" t="s">
        <v>3787</v>
      </c>
      <c r="AC449" s="1" t="s">
        <v>3788</v>
      </c>
      <c r="AD449" s="6" t="s">
        <v>6013</v>
      </c>
    </row>
    <row r="450" spans="1:30" x14ac:dyDescent="0.25">
      <c r="A450" t="s">
        <v>5956</v>
      </c>
      <c r="B450" t="s">
        <v>3901</v>
      </c>
      <c r="C450" t="s">
        <v>3862</v>
      </c>
      <c r="D450" t="s">
        <v>3863</v>
      </c>
      <c r="E450" t="s">
        <v>3797</v>
      </c>
      <c r="F450" t="s">
        <v>4106</v>
      </c>
      <c r="G450" t="s">
        <v>4113</v>
      </c>
      <c r="H450" t="s">
        <v>4114</v>
      </c>
      <c r="I450" t="s">
        <v>3772</v>
      </c>
      <c r="J450" t="s">
        <v>3773</v>
      </c>
      <c r="K450" t="s">
        <v>3850</v>
      </c>
      <c r="L450" t="s">
        <v>3800</v>
      </c>
      <c r="M450" t="s">
        <v>3776</v>
      </c>
      <c r="N450" t="s">
        <v>3777</v>
      </c>
      <c r="O450" t="s">
        <v>5771</v>
      </c>
      <c r="P450" t="s">
        <v>5772</v>
      </c>
      <c r="Q450" t="s">
        <v>5190</v>
      </c>
      <c r="R450" t="s">
        <v>5088</v>
      </c>
      <c r="S450" t="s">
        <v>3780</v>
      </c>
      <c r="T450" t="s">
        <v>5773</v>
      </c>
      <c r="U450" t="s">
        <v>5774</v>
      </c>
      <c r="V450" t="s">
        <v>5191</v>
      </c>
      <c r="W450" t="s">
        <v>3782</v>
      </c>
      <c r="X450" t="s">
        <v>3804</v>
      </c>
      <c r="Y450" t="s">
        <v>3826</v>
      </c>
      <c r="Z450" t="s">
        <v>3785</v>
      </c>
      <c r="AA450" t="s">
        <v>3786</v>
      </c>
      <c r="AB450" t="s">
        <v>3787</v>
      </c>
      <c r="AC450" s="1" t="s">
        <v>3788</v>
      </c>
      <c r="AD450" s="6" t="s">
        <v>6014</v>
      </c>
    </row>
    <row r="451" spans="1:30" x14ac:dyDescent="0.25">
      <c r="A451" t="s">
        <v>5956</v>
      </c>
      <c r="B451" t="s">
        <v>3901</v>
      </c>
      <c r="C451" t="s">
        <v>3862</v>
      </c>
      <c r="D451" t="s">
        <v>3863</v>
      </c>
      <c r="E451" t="s">
        <v>3797</v>
      </c>
      <c r="F451" t="s">
        <v>4106</v>
      </c>
      <c r="G451" t="s">
        <v>5089</v>
      </c>
      <c r="H451" t="s">
        <v>3771</v>
      </c>
      <c r="I451" t="s">
        <v>3772</v>
      </c>
      <c r="J451" t="s">
        <v>3773</v>
      </c>
      <c r="K451" t="s">
        <v>3850</v>
      </c>
      <c r="L451" t="s">
        <v>3827</v>
      </c>
      <c r="M451" t="s">
        <v>3776</v>
      </c>
      <c r="N451" t="s">
        <v>3777</v>
      </c>
      <c r="O451" t="s">
        <v>5771</v>
      </c>
      <c r="P451" t="s">
        <v>5775</v>
      </c>
      <c r="Q451" t="s">
        <v>5229</v>
      </c>
      <c r="R451" t="s">
        <v>5090</v>
      </c>
      <c r="S451" t="s">
        <v>3780</v>
      </c>
      <c r="T451" t="s">
        <v>5773</v>
      </c>
      <c r="U451" t="s">
        <v>5776</v>
      </c>
      <c r="V451" t="s">
        <v>5230</v>
      </c>
      <c r="W451" t="s">
        <v>3782</v>
      </c>
      <c r="X451" t="s">
        <v>3804</v>
      </c>
      <c r="Y451" t="s">
        <v>3826</v>
      </c>
      <c r="Z451" t="s">
        <v>3785</v>
      </c>
      <c r="AA451" t="s">
        <v>3786</v>
      </c>
      <c r="AB451" t="s">
        <v>3787</v>
      </c>
      <c r="AC451" s="1" t="s">
        <v>3788</v>
      </c>
      <c r="AD451" s="6" t="s">
        <v>6015</v>
      </c>
    </row>
    <row r="452" spans="1:30" x14ac:dyDescent="0.25">
      <c r="A452" t="s">
        <v>5956</v>
      </c>
      <c r="B452" t="s">
        <v>3901</v>
      </c>
      <c r="C452" t="s">
        <v>5091</v>
      </c>
      <c r="D452" t="s">
        <v>5092</v>
      </c>
      <c r="E452" t="s">
        <v>3797</v>
      </c>
      <c r="F452" t="s">
        <v>5093</v>
      </c>
      <c r="G452" t="s">
        <v>5094</v>
      </c>
      <c r="H452" t="s">
        <v>4081</v>
      </c>
      <c r="I452" t="s">
        <v>3772</v>
      </c>
      <c r="J452" t="s">
        <v>3773</v>
      </c>
      <c r="K452" t="s">
        <v>3850</v>
      </c>
      <c r="L452" t="s">
        <v>3800</v>
      </c>
      <c r="M452" t="s">
        <v>3776</v>
      </c>
      <c r="N452" t="s">
        <v>3777</v>
      </c>
      <c r="O452" t="s">
        <v>5777</v>
      </c>
      <c r="P452" s="15" t="s">
        <v>5778</v>
      </c>
      <c r="Q452" t="s">
        <v>4053</v>
      </c>
      <c r="R452" t="s">
        <v>5095</v>
      </c>
      <c r="S452" t="s">
        <v>3780</v>
      </c>
      <c r="T452" t="s">
        <v>5779</v>
      </c>
      <c r="U452" t="s">
        <v>5780</v>
      </c>
      <c r="V452" t="s">
        <v>5231</v>
      </c>
      <c r="W452" t="s">
        <v>3782</v>
      </c>
      <c r="X452" t="s">
        <v>5096</v>
      </c>
      <c r="Y452" t="s">
        <v>4860</v>
      </c>
      <c r="Z452" t="s">
        <v>3785</v>
      </c>
      <c r="AA452" t="s">
        <v>3786</v>
      </c>
      <c r="AB452" t="s">
        <v>3787</v>
      </c>
      <c r="AC452" s="1" t="s">
        <v>3788</v>
      </c>
      <c r="AD452" s="6" t="s">
        <v>6016</v>
      </c>
    </row>
    <row r="453" spans="1:30" x14ac:dyDescent="0.25">
      <c r="A453" t="s">
        <v>5956</v>
      </c>
      <c r="B453" t="s">
        <v>3901</v>
      </c>
      <c r="C453" t="s">
        <v>5091</v>
      </c>
      <c r="D453" t="s">
        <v>5092</v>
      </c>
      <c r="E453" t="s">
        <v>3797</v>
      </c>
      <c r="F453" t="s">
        <v>5093</v>
      </c>
      <c r="G453" t="s">
        <v>5094</v>
      </c>
      <c r="H453" t="s">
        <v>3771</v>
      </c>
      <c r="I453" t="s">
        <v>3772</v>
      </c>
      <c r="J453" t="s">
        <v>3773</v>
      </c>
      <c r="K453" t="s">
        <v>3850</v>
      </c>
      <c r="L453" t="s">
        <v>3827</v>
      </c>
      <c r="M453" t="s">
        <v>3776</v>
      </c>
      <c r="N453" t="s">
        <v>3777</v>
      </c>
      <c r="O453" t="s">
        <v>5777</v>
      </c>
      <c r="P453" t="s">
        <v>5781</v>
      </c>
      <c r="Q453" t="s">
        <v>5232</v>
      </c>
      <c r="R453" t="s">
        <v>5097</v>
      </c>
      <c r="S453" t="s">
        <v>3780</v>
      </c>
      <c r="T453" t="s">
        <v>5779</v>
      </c>
      <c r="U453" t="s">
        <v>5782</v>
      </c>
      <c r="V453" t="s">
        <v>5233</v>
      </c>
      <c r="W453" t="s">
        <v>3782</v>
      </c>
      <c r="X453" t="s">
        <v>3890</v>
      </c>
      <c r="Y453" t="s">
        <v>4860</v>
      </c>
      <c r="Z453" t="s">
        <v>3785</v>
      </c>
      <c r="AA453" t="s">
        <v>3786</v>
      </c>
      <c r="AB453" t="s">
        <v>3787</v>
      </c>
      <c r="AC453" s="1" t="s">
        <v>3788</v>
      </c>
      <c r="AD453" s="6" t="s">
        <v>6017</v>
      </c>
    </row>
    <row r="454" spans="1:30" x14ac:dyDescent="0.25">
      <c r="A454" t="s">
        <v>5956</v>
      </c>
      <c r="B454" t="s">
        <v>3901</v>
      </c>
      <c r="C454" t="s">
        <v>4994</v>
      </c>
      <c r="D454" t="s">
        <v>3846</v>
      </c>
      <c r="E454" t="s">
        <v>3797</v>
      </c>
      <c r="F454" t="s">
        <v>4075</v>
      </c>
      <c r="G454" t="s">
        <v>5094</v>
      </c>
      <c r="H454" t="s">
        <v>4081</v>
      </c>
      <c r="I454" t="s">
        <v>3772</v>
      </c>
      <c r="J454" t="s">
        <v>3773</v>
      </c>
      <c r="K454" t="s">
        <v>3850</v>
      </c>
      <c r="L454" t="s">
        <v>3800</v>
      </c>
      <c r="M454" t="s">
        <v>3776</v>
      </c>
      <c r="N454" t="s">
        <v>3777</v>
      </c>
      <c r="O454" t="s">
        <v>5777</v>
      </c>
      <c r="P454" t="s">
        <v>5778</v>
      </c>
      <c r="Q454" t="s">
        <v>4053</v>
      </c>
      <c r="R454" t="s">
        <v>5095</v>
      </c>
      <c r="S454" t="s">
        <v>3780</v>
      </c>
      <c r="T454" t="s">
        <v>5779</v>
      </c>
      <c r="U454" t="s">
        <v>5780</v>
      </c>
      <c r="V454" t="s">
        <v>5231</v>
      </c>
      <c r="W454" t="s">
        <v>3782</v>
      </c>
      <c r="X454" t="s">
        <v>5096</v>
      </c>
      <c r="Y454" t="s">
        <v>4860</v>
      </c>
      <c r="Z454" t="s">
        <v>3785</v>
      </c>
      <c r="AA454" t="s">
        <v>3786</v>
      </c>
      <c r="AB454" t="s">
        <v>3787</v>
      </c>
      <c r="AC454" s="1" t="s">
        <v>3788</v>
      </c>
      <c r="AD454" s="6" t="s">
        <v>6018</v>
      </c>
    </row>
    <row r="455" spans="1:30" x14ac:dyDescent="0.25">
      <c r="A455" t="s">
        <v>5956</v>
      </c>
      <c r="B455" t="s">
        <v>3901</v>
      </c>
      <c r="C455" t="s">
        <v>4994</v>
      </c>
      <c r="D455" t="s">
        <v>3846</v>
      </c>
      <c r="E455" t="s">
        <v>3797</v>
      </c>
      <c r="F455" t="s">
        <v>4075</v>
      </c>
      <c r="G455" t="s">
        <v>5094</v>
      </c>
      <c r="H455" t="s">
        <v>3771</v>
      </c>
      <c r="I455" t="s">
        <v>3772</v>
      </c>
      <c r="J455" t="s">
        <v>3773</v>
      </c>
      <c r="K455" t="s">
        <v>3850</v>
      </c>
      <c r="L455" t="s">
        <v>3827</v>
      </c>
      <c r="M455" t="s">
        <v>3776</v>
      </c>
      <c r="N455" t="s">
        <v>3777</v>
      </c>
      <c r="O455" t="s">
        <v>5777</v>
      </c>
      <c r="P455" t="s">
        <v>5781</v>
      </c>
      <c r="Q455" t="s">
        <v>5232</v>
      </c>
      <c r="R455" t="s">
        <v>5097</v>
      </c>
      <c r="S455" t="s">
        <v>3780</v>
      </c>
      <c r="T455" t="s">
        <v>5779</v>
      </c>
      <c r="U455" t="s">
        <v>5782</v>
      </c>
      <c r="V455" t="s">
        <v>5233</v>
      </c>
      <c r="W455" t="s">
        <v>3782</v>
      </c>
      <c r="X455" t="s">
        <v>3890</v>
      </c>
      <c r="Y455" t="s">
        <v>4860</v>
      </c>
      <c r="Z455" t="s">
        <v>3785</v>
      </c>
      <c r="AA455" t="s">
        <v>3786</v>
      </c>
      <c r="AB455" t="s">
        <v>3787</v>
      </c>
      <c r="AC455" s="1" t="s">
        <v>3788</v>
      </c>
      <c r="AD455" s="6" t="s">
        <v>6019</v>
      </c>
    </row>
    <row r="456" spans="1:30" x14ac:dyDescent="0.25">
      <c r="A456" t="s">
        <v>5956</v>
      </c>
      <c r="B456" t="s">
        <v>4001</v>
      </c>
      <c r="C456" t="s">
        <v>3813</v>
      </c>
      <c r="D456" t="s">
        <v>3814</v>
      </c>
      <c r="E456" t="s">
        <v>3797</v>
      </c>
      <c r="F456" t="s">
        <v>3821</v>
      </c>
      <c r="G456" t="s">
        <v>3770</v>
      </c>
      <c r="H456" t="s">
        <v>3771</v>
      </c>
      <c r="I456" t="s">
        <v>3772</v>
      </c>
      <c r="J456" t="s">
        <v>3773</v>
      </c>
      <c r="K456" t="s">
        <v>3774</v>
      </c>
      <c r="L456" t="s">
        <v>3775</v>
      </c>
      <c r="M456" t="s">
        <v>3776</v>
      </c>
      <c r="N456" t="s">
        <v>3777</v>
      </c>
      <c r="O456" t="s">
        <v>5327</v>
      </c>
      <c r="P456" t="s">
        <v>5328</v>
      </c>
      <c r="Q456" t="s">
        <v>3778</v>
      </c>
      <c r="R456" t="s">
        <v>3779</v>
      </c>
      <c r="S456" t="s">
        <v>3780</v>
      </c>
      <c r="T456" t="s">
        <v>5337</v>
      </c>
      <c r="U456" t="s">
        <v>5338</v>
      </c>
      <c r="V456" t="s">
        <v>3781</v>
      </c>
      <c r="W456" t="s">
        <v>3782</v>
      </c>
      <c r="X456" t="s">
        <v>3804</v>
      </c>
      <c r="Y456" t="s">
        <v>5082</v>
      </c>
      <c r="Z456" t="s">
        <v>3785</v>
      </c>
      <c r="AA456" t="s">
        <v>3786</v>
      </c>
      <c r="AB456" t="s">
        <v>3787</v>
      </c>
      <c r="AC456" s="1" t="s">
        <v>3788</v>
      </c>
      <c r="AD456" s="6" t="s">
        <v>6020</v>
      </c>
    </row>
    <row r="457" spans="1:30" x14ac:dyDescent="0.25">
      <c r="A457" t="s">
        <v>5956</v>
      </c>
      <c r="B457" t="s">
        <v>4001</v>
      </c>
      <c r="C457" t="s">
        <v>3767</v>
      </c>
      <c r="D457" t="s">
        <v>3768</v>
      </c>
      <c r="E457" t="s">
        <v>3797</v>
      </c>
      <c r="F457" t="s">
        <v>3769</v>
      </c>
      <c r="G457" t="s">
        <v>3770</v>
      </c>
      <c r="H457" t="s">
        <v>3771</v>
      </c>
      <c r="I457" t="s">
        <v>3772</v>
      </c>
      <c r="J457" t="s">
        <v>3773</v>
      </c>
      <c r="K457" t="s">
        <v>3774</v>
      </c>
      <c r="L457" t="s">
        <v>3775</v>
      </c>
      <c r="M457" t="s">
        <v>3776</v>
      </c>
      <c r="N457" t="s">
        <v>3777</v>
      </c>
      <c r="O457" t="s">
        <v>5327</v>
      </c>
      <c r="P457" t="s">
        <v>5328</v>
      </c>
      <c r="Q457" t="s">
        <v>3778</v>
      </c>
      <c r="R457" t="s">
        <v>3779</v>
      </c>
      <c r="S457" t="s">
        <v>3780</v>
      </c>
      <c r="T457" t="s">
        <v>5337</v>
      </c>
      <c r="U457" t="s">
        <v>5338</v>
      </c>
      <c r="V457" t="s">
        <v>3781</v>
      </c>
      <c r="W457" t="s">
        <v>3782</v>
      </c>
      <c r="X457" t="s">
        <v>3783</v>
      </c>
      <c r="Y457" t="s">
        <v>3784</v>
      </c>
      <c r="Z457" t="s">
        <v>3785</v>
      </c>
      <c r="AA457" t="s">
        <v>3786</v>
      </c>
      <c r="AB457" t="s">
        <v>3787</v>
      </c>
      <c r="AC457" s="1" t="s">
        <v>3788</v>
      </c>
      <c r="AD457" s="6" t="s">
        <v>6021</v>
      </c>
    </row>
    <row r="458" spans="1:30" x14ac:dyDescent="0.25">
      <c r="A458" t="s">
        <v>5956</v>
      </c>
      <c r="B458" t="s">
        <v>4001</v>
      </c>
      <c r="C458" t="s">
        <v>5098</v>
      </c>
      <c r="D458" t="s">
        <v>5099</v>
      </c>
      <c r="E458" t="s">
        <v>3797</v>
      </c>
      <c r="F458" t="s">
        <v>3864</v>
      </c>
      <c r="G458" t="s">
        <v>3770</v>
      </c>
      <c r="H458" t="s">
        <v>3771</v>
      </c>
      <c r="I458" t="s">
        <v>3772</v>
      </c>
      <c r="J458" t="s">
        <v>3773</v>
      </c>
      <c r="K458" t="s">
        <v>3774</v>
      </c>
      <c r="L458" t="s">
        <v>3775</v>
      </c>
      <c r="M458" t="s">
        <v>3776</v>
      </c>
      <c r="N458" t="s">
        <v>3777</v>
      </c>
      <c r="O458" t="s">
        <v>5327</v>
      </c>
      <c r="P458" t="s">
        <v>5328</v>
      </c>
      <c r="Q458" t="s">
        <v>3778</v>
      </c>
      <c r="R458" t="s">
        <v>3779</v>
      </c>
      <c r="S458" t="s">
        <v>3780</v>
      </c>
      <c r="T458" t="s">
        <v>5337</v>
      </c>
      <c r="U458" t="s">
        <v>5338</v>
      </c>
      <c r="V458" t="s">
        <v>3781</v>
      </c>
      <c r="W458" t="s">
        <v>3782</v>
      </c>
      <c r="X458" t="s">
        <v>3804</v>
      </c>
      <c r="Y458" t="s">
        <v>3826</v>
      </c>
      <c r="Z458" t="s">
        <v>3785</v>
      </c>
      <c r="AA458" t="s">
        <v>3786</v>
      </c>
      <c r="AB458" t="s">
        <v>3787</v>
      </c>
      <c r="AC458" s="1" t="s">
        <v>3788</v>
      </c>
      <c r="AD458" s="6" t="s">
        <v>6022</v>
      </c>
    </row>
    <row r="459" spans="1:30" x14ac:dyDescent="0.25">
      <c r="A459" t="s">
        <v>5956</v>
      </c>
      <c r="B459" t="s">
        <v>4001</v>
      </c>
      <c r="C459" t="s">
        <v>3767</v>
      </c>
      <c r="D459" t="s">
        <v>3768</v>
      </c>
      <c r="E459" t="s">
        <v>3797</v>
      </c>
      <c r="F459" t="s">
        <v>3769</v>
      </c>
      <c r="G459" t="s">
        <v>3770</v>
      </c>
      <c r="H459" t="s">
        <v>3771</v>
      </c>
      <c r="I459" t="s">
        <v>3772</v>
      </c>
      <c r="J459" t="s">
        <v>3773</v>
      </c>
      <c r="K459" t="s">
        <v>3774</v>
      </c>
      <c r="L459" t="s">
        <v>3775</v>
      </c>
      <c r="M459" t="s">
        <v>3776</v>
      </c>
      <c r="N459" t="s">
        <v>3777</v>
      </c>
      <c r="O459" t="s">
        <v>5327</v>
      </c>
      <c r="P459" t="s">
        <v>5328</v>
      </c>
      <c r="Q459" t="s">
        <v>3778</v>
      </c>
      <c r="R459" t="s">
        <v>3779</v>
      </c>
      <c r="S459" t="s">
        <v>3780</v>
      </c>
      <c r="T459" t="s">
        <v>5337</v>
      </c>
      <c r="U459" t="s">
        <v>5338</v>
      </c>
      <c r="V459" t="s">
        <v>3781</v>
      </c>
      <c r="W459" t="s">
        <v>3782</v>
      </c>
      <c r="X459" t="s">
        <v>3783</v>
      </c>
      <c r="Y459" t="s">
        <v>3784</v>
      </c>
      <c r="Z459" t="s">
        <v>3785</v>
      </c>
      <c r="AA459" t="s">
        <v>3786</v>
      </c>
      <c r="AB459" t="s">
        <v>3787</v>
      </c>
      <c r="AC459" s="1" t="s">
        <v>3788</v>
      </c>
      <c r="AD459" s="6" t="s">
        <v>6021</v>
      </c>
    </row>
    <row r="460" spans="1:30" x14ac:dyDescent="0.25">
      <c r="A460" t="s">
        <v>5956</v>
      </c>
      <c r="B460" t="s">
        <v>4001</v>
      </c>
      <c r="C460" t="s">
        <v>3767</v>
      </c>
      <c r="D460" t="s">
        <v>3768</v>
      </c>
      <c r="E460" t="s">
        <v>3797</v>
      </c>
      <c r="F460" t="s">
        <v>3769</v>
      </c>
      <c r="G460" t="s">
        <v>3770</v>
      </c>
      <c r="H460" t="s">
        <v>3771</v>
      </c>
      <c r="I460" t="s">
        <v>3772</v>
      </c>
      <c r="J460" t="s">
        <v>3773</v>
      </c>
      <c r="K460" t="s">
        <v>3774</v>
      </c>
      <c r="L460" t="s">
        <v>3775</v>
      </c>
      <c r="M460" t="s">
        <v>3776</v>
      </c>
      <c r="N460" t="s">
        <v>3777</v>
      </c>
      <c r="O460" t="s">
        <v>5327</v>
      </c>
      <c r="P460" t="s">
        <v>5328</v>
      </c>
      <c r="Q460" t="s">
        <v>3778</v>
      </c>
      <c r="R460" t="s">
        <v>3779</v>
      </c>
      <c r="S460" t="s">
        <v>3780</v>
      </c>
      <c r="T460" t="s">
        <v>5337</v>
      </c>
      <c r="U460" t="s">
        <v>5338</v>
      </c>
      <c r="V460" t="s">
        <v>3781</v>
      </c>
      <c r="W460" t="s">
        <v>3782</v>
      </c>
      <c r="X460" t="s">
        <v>3783</v>
      </c>
      <c r="Y460" t="s">
        <v>3784</v>
      </c>
      <c r="Z460" t="s">
        <v>3785</v>
      </c>
      <c r="AA460" t="s">
        <v>3786</v>
      </c>
      <c r="AB460" t="s">
        <v>3787</v>
      </c>
      <c r="AC460" s="1" t="s">
        <v>3788</v>
      </c>
      <c r="AD460" s="6" t="s">
        <v>6021</v>
      </c>
    </row>
    <row r="461" spans="1:30" x14ac:dyDescent="0.25">
      <c r="A461" t="s">
        <v>5956</v>
      </c>
      <c r="B461" t="s">
        <v>4001</v>
      </c>
      <c r="C461" t="s">
        <v>4994</v>
      </c>
      <c r="D461" t="s">
        <v>3846</v>
      </c>
      <c r="E461" t="s">
        <v>3797</v>
      </c>
      <c r="F461" t="s">
        <v>4075</v>
      </c>
      <c r="G461" t="s">
        <v>3770</v>
      </c>
      <c r="H461" t="s">
        <v>3771</v>
      </c>
      <c r="I461" t="s">
        <v>3772</v>
      </c>
      <c r="J461" t="s">
        <v>3773</v>
      </c>
      <c r="K461" t="s">
        <v>3774</v>
      </c>
      <c r="L461" t="s">
        <v>3775</v>
      </c>
      <c r="M461" t="s">
        <v>3776</v>
      </c>
      <c r="N461" t="s">
        <v>3777</v>
      </c>
      <c r="O461" t="s">
        <v>5327</v>
      </c>
      <c r="P461" t="s">
        <v>5328</v>
      </c>
      <c r="Q461" t="s">
        <v>3778</v>
      </c>
      <c r="R461" t="s">
        <v>3779</v>
      </c>
      <c r="S461" t="s">
        <v>3780</v>
      </c>
      <c r="T461" t="s">
        <v>5337</v>
      </c>
      <c r="U461" t="s">
        <v>5338</v>
      </c>
      <c r="V461" t="s">
        <v>3781</v>
      </c>
      <c r="W461" t="s">
        <v>3782</v>
      </c>
      <c r="X461" t="s">
        <v>5096</v>
      </c>
      <c r="Y461" t="s">
        <v>4860</v>
      </c>
      <c r="Z461" t="s">
        <v>3785</v>
      </c>
      <c r="AA461" t="s">
        <v>3786</v>
      </c>
      <c r="AB461" t="s">
        <v>3787</v>
      </c>
      <c r="AC461" s="1" t="s">
        <v>3788</v>
      </c>
      <c r="AD461" s="6" t="s">
        <v>6023</v>
      </c>
    </row>
    <row r="462" spans="1:30" x14ac:dyDescent="0.25">
      <c r="A462" t="s">
        <v>5956</v>
      </c>
      <c r="B462" t="s">
        <v>4041</v>
      </c>
      <c r="C462" t="s">
        <v>3808</v>
      </c>
      <c r="D462" t="s">
        <v>3809</v>
      </c>
      <c r="E462" t="s">
        <v>3797</v>
      </c>
      <c r="F462" t="s">
        <v>4527</v>
      </c>
      <c r="G462" t="s">
        <v>5100</v>
      </c>
      <c r="H462" t="s">
        <v>5101</v>
      </c>
      <c r="I462" t="s">
        <v>3772</v>
      </c>
      <c r="J462" t="s">
        <v>3773</v>
      </c>
      <c r="K462" t="s">
        <v>3850</v>
      </c>
      <c r="L462" t="s">
        <v>3800</v>
      </c>
      <c r="M462" t="s">
        <v>3776</v>
      </c>
      <c r="N462" t="s">
        <v>3777</v>
      </c>
      <c r="O462" t="s">
        <v>5783</v>
      </c>
      <c r="P462" t="s">
        <v>5784</v>
      </c>
      <c r="Q462" t="s">
        <v>5234</v>
      </c>
      <c r="R462" t="s">
        <v>5102</v>
      </c>
      <c r="S462" t="s">
        <v>3780</v>
      </c>
      <c r="T462" t="s">
        <v>5785</v>
      </c>
      <c r="U462" t="s">
        <v>5786</v>
      </c>
      <c r="V462" t="s">
        <v>5235</v>
      </c>
      <c r="W462" t="s">
        <v>3782</v>
      </c>
      <c r="X462" t="s">
        <v>3804</v>
      </c>
      <c r="Y462" t="s">
        <v>5082</v>
      </c>
      <c r="Z462" t="s">
        <v>3785</v>
      </c>
      <c r="AA462" t="s">
        <v>3786</v>
      </c>
      <c r="AB462" t="s">
        <v>3787</v>
      </c>
      <c r="AC462" s="1" t="s">
        <v>3788</v>
      </c>
      <c r="AD462" s="6" t="s">
        <v>6024</v>
      </c>
    </row>
    <row r="463" spans="1:30" x14ac:dyDescent="0.25">
      <c r="A463" t="s">
        <v>5956</v>
      </c>
      <c r="B463" t="s">
        <v>4041</v>
      </c>
      <c r="C463" t="s">
        <v>3813</v>
      </c>
      <c r="D463" t="s">
        <v>3814</v>
      </c>
      <c r="E463" t="s">
        <v>3797</v>
      </c>
      <c r="F463" t="s">
        <v>5085</v>
      </c>
      <c r="G463" t="s">
        <v>5100</v>
      </c>
      <c r="H463" t="s">
        <v>5101</v>
      </c>
      <c r="I463" t="s">
        <v>3772</v>
      </c>
      <c r="J463" t="s">
        <v>3773</v>
      </c>
      <c r="K463" t="s">
        <v>3850</v>
      </c>
      <c r="L463" t="s">
        <v>3800</v>
      </c>
      <c r="M463" t="s">
        <v>3776</v>
      </c>
      <c r="N463" t="s">
        <v>3777</v>
      </c>
      <c r="O463" t="s">
        <v>5783</v>
      </c>
      <c r="P463" t="s">
        <v>5784</v>
      </c>
      <c r="Q463" t="s">
        <v>5234</v>
      </c>
      <c r="R463" t="s">
        <v>5102</v>
      </c>
      <c r="S463" t="s">
        <v>3780</v>
      </c>
      <c r="T463" t="s">
        <v>5785</v>
      </c>
      <c r="U463" t="s">
        <v>5786</v>
      </c>
      <c r="V463" t="s">
        <v>5235</v>
      </c>
      <c r="W463" t="s">
        <v>3782</v>
      </c>
      <c r="X463" t="s">
        <v>3804</v>
      </c>
      <c r="Y463" t="s">
        <v>5082</v>
      </c>
      <c r="Z463" t="s">
        <v>3785</v>
      </c>
      <c r="AA463" t="s">
        <v>3786</v>
      </c>
      <c r="AB463" t="s">
        <v>3787</v>
      </c>
      <c r="AC463" s="1" t="s">
        <v>3788</v>
      </c>
      <c r="AD463" s="6" t="s">
        <v>6025</v>
      </c>
    </row>
    <row r="464" spans="1:30" x14ac:dyDescent="0.25">
      <c r="A464" t="s">
        <v>5956</v>
      </c>
      <c r="B464" t="s">
        <v>4041</v>
      </c>
      <c r="C464" t="s">
        <v>3862</v>
      </c>
      <c r="D464" t="s">
        <v>3863</v>
      </c>
      <c r="E464" t="s">
        <v>3797</v>
      </c>
      <c r="F464" t="s">
        <v>4106</v>
      </c>
      <c r="G464" t="s">
        <v>5094</v>
      </c>
      <c r="H464" t="s">
        <v>4081</v>
      </c>
      <c r="I464" t="s">
        <v>3772</v>
      </c>
      <c r="J464" t="s">
        <v>3773</v>
      </c>
      <c r="K464" t="s">
        <v>3850</v>
      </c>
      <c r="L464" t="s">
        <v>3800</v>
      </c>
      <c r="M464" t="s">
        <v>3776</v>
      </c>
      <c r="N464" t="s">
        <v>3777</v>
      </c>
      <c r="O464" t="s">
        <v>5783</v>
      </c>
      <c r="P464" t="s">
        <v>5784</v>
      </c>
      <c r="Q464" t="s">
        <v>5234</v>
      </c>
      <c r="R464" t="s">
        <v>5103</v>
      </c>
      <c r="S464" t="s">
        <v>3780</v>
      </c>
      <c r="T464" t="s">
        <v>5785</v>
      </c>
      <c r="U464" t="s">
        <v>5786</v>
      </c>
      <c r="V464" t="s">
        <v>5235</v>
      </c>
      <c r="W464" t="s">
        <v>3782</v>
      </c>
      <c r="X464" t="s">
        <v>3804</v>
      </c>
      <c r="Y464" t="s">
        <v>3826</v>
      </c>
      <c r="Z464" t="s">
        <v>3785</v>
      </c>
      <c r="AA464" t="s">
        <v>3786</v>
      </c>
      <c r="AB464" t="s">
        <v>3787</v>
      </c>
      <c r="AC464" s="1" t="s">
        <v>3788</v>
      </c>
      <c r="AD464" s="6" t="s">
        <v>6026</v>
      </c>
    </row>
    <row r="465" spans="1:30" x14ac:dyDescent="0.25">
      <c r="A465" t="s">
        <v>5956</v>
      </c>
      <c r="B465" t="s">
        <v>4041</v>
      </c>
      <c r="C465" t="s">
        <v>4994</v>
      </c>
      <c r="D465" t="s">
        <v>3846</v>
      </c>
      <c r="E465" t="s">
        <v>3797</v>
      </c>
      <c r="F465" t="s">
        <v>4075</v>
      </c>
      <c r="G465" t="s">
        <v>5094</v>
      </c>
      <c r="H465" t="s">
        <v>4081</v>
      </c>
      <c r="I465" t="s">
        <v>3772</v>
      </c>
      <c r="J465" t="s">
        <v>3773</v>
      </c>
      <c r="K465" t="s">
        <v>3850</v>
      </c>
      <c r="L465" t="s">
        <v>3800</v>
      </c>
      <c r="M465" t="s">
        <v>3776</v>
      </c>
      <c r="N465" t="s">
        <v>3777</v>
      </c>
      <c r="O465" t="s">
        <v>5783</v>
      </c>
      <c r="P465" t="s">
        <v>5784</v>
      </c>
      <c r="Q465" t="s">
        <v>5236</v>
      </c>
      <c r="R465" t="s">
        <v>5104</v>
      </c>
      <c r="S465" t="s">
        <v>3780</v>
      </c>
      <c r="T465" t="s">
        <v>5785</v>
      </c>
      <c r="U465" t="s">
        <v>5786</v>
      </c>
      <c r="V465" t="s">
        <v>5237</v>
      </c>
      <c r="W465" t="s">
        <v>3782</v>
      </c>
      <c r="X465" t="s">
        <v>5096</v>
      </c>
      <c r="Y465" t="s">
        <v>4860</v>
      </c>
      <c r="Z465" t="s">
        <v>3785</v>
      </c>
      <c r="AA465" t="s">
        <v>3786</v>
      </c>
      <c r="AB465" t="s">
        <v>3787</v>
      </c>
      <c r="AC465" s="1" t="s">
        <v>3788</v>
      </c>
      <c r="AD465" s="6" t="s">
        <v>6027</v>
      </c>
    </row>
    <row r="466" spans="1:30" x14ac:dyDescent="0.25">
      <c r="A466" t="s">
        <v>5956</v>
      </c>
      <c r="B466" t="s">
        <v>4061</v>
      </c>
      <c r="C466" t="s">
        <v>4170</v>
      </c>
      <c r="D466" t="s">
        <v>4171</v>
      </c>
      <c r="E466" t="s">
        <v>3797</v>
      </c>
      <c r="F466" t="s">
        <v>4809</v>
      </c>
      <c r="G466" t="s">
        <v>4510</v>
      </c>
      <c r="H466" t="s">
        <v>4511</v>
      </c>
      <c r="I466" t="s">
        <v>3772</v>
      </c>
      <c r="J466" t="s">
        <v>3773</v>
      </c>
      <c r="K466" t="s">
        <v>3850</v>
      </c>
      <c r="L466" t="s">
        <v>3800</v>
      </c>
      <c r="M466" t="s">
        <v>3776</v>
      </c>
      <c r="N466" t="s">
        <v>3777</v>
      </c>
      <c r="O466" t="s">
        <v>5787</v>
      </c>
      <c r="P466" t="s">
        <v>5788</v>
      </c>
      <c r="Q466" t="s">
        <v>4794</v>
      </c>
      <c r="R466" t="s">
        <v>5105</v>
      </c>
      <c r="S466" t="s">
        <v>3780</v>
      </c>
      <c r="T466" t="s">
        <v>5789</v>
      </c>
      <c r="U466" t="s">
        <v>5790</v>
      </c>
      <c r="V466" t="s">
        <v>5238</v>
      </c>
      <c r="W466" t="s">
        <v>3782</v>
      </c>
      <c r="X466" t="s">
        <v>3804</v>
      </c>
      <c r="Y466" t="s">
        <v>3805</v>
      </c>
      <c r="Z466" t="s">
        <v>3785</v>
      </c>
      <c r="AA466" t="s">
        <v>3786</v>
      </c>
      <c r="AB466" t="s">
        <v>3787</v>
      </c>
      <c r="AC466" s="1" t="s">
        <v>3788</v>
      </c>
      <c r="AD466" s="6" t="s">
        <v>6028</v>
      </c>
    </row>
    <row r="467" spans="1:30" x14ac:dyDescent="0.25">
      <c r="A467" t="s">
        <v>5956</v>
      </c>
      <c r="B467" t="s">
        <v>4061</v>
      </c>
      <c r="C467" t="s">
        <v>3808</v>
      </c>
      <c r="D467" t="s">
        <v>3809</v>
      </c>
      <c r="E467" t="s">
        <v>3797</v>
      </c>
      <c r="F467" t="s">
        <v>3810</v>
      </c>
      <c r="G467" t="s">
        <v>4510</v>
      </c>
      <c r="H467" t="s">
        <v>4511</v>
      </c>
      <c r="I467" t="s">
        <v>3772</v>
      </c>
      <c r="J467" t="s">
        <v>3773</v>
      </c>
      <c r="K467" t="s">
        <v>3850</v>
      </c>
      <c r="L467" t="s">
        <v>3800</v>
      </c>
      <c r="M467" t="s">
        <v>3776</v>
      </c>
      <c r="N467" t="s">
        <v>3777</v>
      </c>
      <c r="O467" t="s">
        <v>5787</v>
      </c>
      <c r="P467" t="s">
        <v>5788</v>
      </c>
      <c r="Q467" t="s">
        <v>4794</v>
      </c>
      <c r="R467" t="s">
        <v>5106</v>
      </c>
      <c r="S467" t="s">
        <v>3780</v>
      </c>
      <c r="T467" t="s">
        <v>5789</v>
      </c>
      <c r="U467" t="s">
        <v>5790</v>
      </c>
      <c r="V467" t="s">
        <v>5238</v>
      </c>
      <c r="W467" t="s">
        <v>3782</v>
      </c>
      <c r="X467" t="s">
        <v>3804</v>
      </c>
      <c r="Y467" t="s">
        <v>3805</v>
      </c>
      <c r="Z467" t="s">
        <v>3785</v>
      </c>
      <c r="AA467" t="s">
        <v>3786</v>
      </c>
      <c r="AB467" t="s">
        <v>3787</v>
      </c>
      <c r="AC467" s="1" t="s">
        <v>3788</v>
      </c>
      <c r="AD467" s="6" t="s">
        <v>6029</v>
      </c>
    </row>
    <row r="468" spans="1:30" x14ac:dyDescent="0.25">
      <c r="A468" t="s">
        <v>5956</v>
      </c>
      <c r="B468" t="s">
        <v>4061</v>
      </c>
      <c r="C468" t="s">
        <v>5107</v>
      </c>
      <c r="D468" t="s">
        <v>4164</v>
      </c>
      <c r="E468" t="s">
        <v>3797</v>
      </c>
      <c r="F468" t="s">
        <v>5108</v>
      </c>
      <c r="G468" t="s">
        <v>4510</v>
      </c>
      <c r="H468" t="s">
        <v>4511</v>
      </c>
      <c r="I468" t="s">
        <v>3772</v>
      </c>
      <c r="J468" t="s">
        <v>3773</v>
      </c>
      <c r="K468" t="s">
        <v>3850</v>
      </c>
      <c r="L468" t="s">
        <v>3800</v>
      </c>
      <c r="M468" t="s">
        <v>3776</v>
      </c>
      <c r="N468" t="s">
        <v>3777</v>
      </c>
      <c r="O468" t="s">
        <v>5787</v>
      </c>
      <c r="P468" t="s">
        <v>5788</v>
      </c>
      <c r="Q468" t="s">
        <v>4794</v>
      </c>
      <c r="R468" t="s">
        <v>5109</v>
      </c>
      <c r="S468" t="s">
        <v>3780</v>
      </c>
      <c r="T468" t="s">
        <v>5789</v>
      </c>
      <c r="U468" t="s">
        <v>5790</v>
      </c>
      <c r="V468" t="s">
        <v>5238</v>
      </c>
      <c r="W468" t="s">
        <v>3782</v>
      </c>
      <c r="X468" t="s">
        <v>3804</v>
      </c>
      <c r="Y468" t="s">
        <v>3805</v>
      </c>
      <c r="Z468" t="s">
        <v>3785</v>
      </c>
      <c r="AA468" t="s">
        <v>3786</v>
      </c>
      <c r="AB468" t="s">
        <v>3787</v>
      </c>
      <c r="AC468" s="1" t="s">
        <v>3788</v>
      </c>
      <c r="AD468" s="6" t="s">
        <v>6030</v>
      </c>
    </row>
    <row r="469" spans="1:30" x14ac:dyDescent="0.25">
      <c r="A469" t="s">
        <v>5956</v>
      </c>
      <c r="B469" t="s">
        <v>4061</v>
      </c>
      <c r="C469" t="s">
        <v>5110</v>
      </c>
      <c r="D469" t="s">
        <v>4272</v>
      </c>
      <c r="E469" t="s">
        <v>3797</v>
      </c>
      <c r="F469" t="s">
        <v>3864</v>
      </c>
      <c r="G469" t="s">
        <v>5111</v>
      </c>
      <c r="H469" t="s">
        <v>5112</v>
      </c>
      <c r="I469" t="s">
        <v>3772</v>
      </c>
      <c r="J469" t="s">
        <v>3773</v>
      </c>
      <c r="K469" t="s">
        <v>3850</v>
      </c>
      <c r="L469" t="s">
        <v>3800</v>
      </c>
      <c r="M469" t="s">
        <v>3776</v>
      </c>
      <c r="N469" t="s">
        <v>3777</v>
      </c>
      <c r="O469" t="s">
        <v>5791</v>
      </c>
      <c r="P469" t="s">
        <v>5792</v>
      </c>
      <c r="Q469" t="s">
        <v>5239</v>
      </c>
      <c r="R469" t="s">
        <v>5113</v>
      </c>
      <c r="S469" t="s">
        <v>3780</v>
      </c>
      <c r="T469" t="s">
        <v>5793</v>
      </c>
      <c r="U469" t="s">
        <v>5794</v>
      </c>
      <c r="V469" t="s">
        <v>5240</v>
      </c>
      <c r="W469" t="s">
        <v>3782</v>
      </c>
      <c r="X469" t="s">
        <v>3804</v>
      </c>
      <c r="Y469" t="s">
        <v>3805</v>
      </c>
      <c r="Z469" t="s">
        <v>3785</v>
      </c>
      <c r="AA469" t="s">
        <v>3786</v>
      </c>
      <c r="AB469" t="s">
        <v>3787</v>
      </c>
      <c r="AC469" s="1" t="s">
        <v>3788</v>
      </c>
      <c r="AD469" s="6" t="s">
        <v>6031</v>
      </c>
    </row>
    <row r="470" spans="1:30" x14ac:dyDescent="0.25">
      <c r="A470" t="s">
        <v>5956</v>
      </c>
      <c r="B470" t="s">
        <v>4061</v>
      </c>
      <c r="C470" t="s">
        <v>5114</v>
      </c>
      <c r="D470" t="s">
        <v>4780</v>
      </c>
      <c r="E470" t="s">
        <v>3797</v>
      </c>
      <c r="F470" t="s">
        <v>5115</v>
      </c>
      <c r="G470" t="s">
        <v>5111</v>
      </c>
      <c r="H470" t="s">
        <v>5112</v>
      </c>
      <c r="I470" t="s">
        <v>3772</v>
      </c>
      <c r="J470" t="s">
        <v>3773</v>
      </c>
      <c r="K470" t="s">
        <v>3850</v>
      </c>
      <c r="L470" t="s">
        <v>3800</v>
      </c>
      <c r="M470" t="s">
        <v>3776</v>
      </c>
      <c r="N470" t="s">
        <v>3777</v>
      </c>
      <c r="O470" t="s">
        <v>5791</v>
      </c>
      <c r="P470" t="s">
        <v>5792</v>
      </c>
      <c r="Q470" t="s">
        <v>4781</v>
      </c>
      <c r="R470" t="s">
        <v>5116</v>
      </c>
      <c r="S470" t="s">
        <v>3780</v>
      </c>
      <c r="T470" t="s">
        <v>5793</v>
      </c>
      <c r="U470" t="s">
        <v>5794</v>
      </c>
      <c r="V470" t="s">
        <v>5194</v>
      </c>
      <c r="W470" t="s">
        <v>3782</v>
      </c>
      <c r="X470" t="s">
        <v>3804</v>
      </c>
      <c r="Y470" t="s">
        <v>3891</v>
      </c>
      <c r="Z470" t="s">
        <v>3785</v>
      </c>
      <c r="AA470" t="s">
        <v>3786</v>
      </c>
      <c r="AB470" t="s">
        <v>3787</v>
      </c>
      <c r="AC470" s="1" t="s">
        <v>3788</v>
      </c>
      <c r="AD470" s="6" t="s">
        <v>6032</v>
      </c>
    </row>
    <row r="471" spans="1:30" x14ac:dyDescent="0.25">
      <c r="A471" t="s">
        <v>5956</v>
      </c>
      <c r="B471" t="s">
        <v>4061</v>
      </c>
      <c r="C471" t="s">
        <v>5117</v>
      </c>
      <c r="D471" t="s">
        <v>5118</v>
      </c>
      <c r="E471" t="s">
        <v>3797</v>
      </c>
      <c r="F471" t="s">
        <v>3810</v>
      </c>
      <c r="G471" t="s">
        <v>5119</v>
      </c>
      <c r="H471" t="s">
        <v>3771</v>
      </c>
      <c r="I471" t="s">
        <v>3772</v>
      </c>
      <c r="J471" t="s">
        <v>3773</v>
      </c>
      <c r="K471" t="s">
        <v>3850</v>
      </c>
      <c r="L471" t="s">
        <v>3827</v>
      </c>
      <c r="M471" t="s">
        <v>3776</v>
      </c>
      <c r="N471" t="s">
        <v>3777</v>
      </c>
      <c r="O471" t="s">
        <v>5795</v>
      </c>
      <c r="P471" t="s">
        <v>5640</v>
      </c>
      <c r="Q471" t="s">
        <v>4788</v>
      </c>
      <c r="R471" t="s">
        <v>4265</v>
      </c>
      <c r="S471" t="s">
        <v>3780</v>
      </c>
      <c r="T471" t="s">
        <v>5796</v>
      </c>
      <c r="U471" t="s">
        <v>5797</v>
      </c>
      <c r="V471" t="s">
        <v>5241</v>
      </c>
      <c r="W471" t="s">
        <v>3782</v>
      </c>
      <c r="X471" t="s">
        <v>3804</v>
      </c>
      <c r="Y471" t="s">
        <v>3805</v>
      </c>
      <c r="Z471" t="s">
        <v>3785</v>
      </c>
      <c r="AA471" t="s">
        <v>3786</v>
      </c>
      <c r="AB471" t="s">
        <v>3787</v>
      </c>
      <c r="AC471" s="1" t="s">
        <v>3788</v>
      </c>
      <c r="AD471" s="6" t="s">
        <v>6033</v>
      </c>
    </row>
    <row r="472" spans="1:30" x14ac:dyDescent="0.25">
      <c r="A472" t="s">
        <v>5956</v>
      </c>
      <c r="B472" t="s">
        <v>4061</v>
      </c>
      <c r="C472" t="s">
        <v>3808</v>
      </c>
      <c r="D472" t="s">
        <v>3809</v>
      </c>
      <c r="E472" t="s">
        <v>3797</v>
      </c>
      <c r="F472" t="s">
        <v>4527</v>
      </c>
      <c r="G472" t="s">
        <v>5119</v>
      </c>
      <c r="H472" t="s">
        <v>3771</v>
      </c>
      <c r="I472" t="s">
        <v>3772</v>
      </c>
      <c r="J472" t="s">
        <v>3773</v>
      </c>
      <c r="K472" t="s">
        <v>3850</v>
      </c>
      <c r="L472" t="s">
        <v>3827</v>
      </c>
      <c r="M472" t="s">
        <v>3776</v>
      </c>
      <c r="N472" t="s">
        <v>3777</v>
      </c>
      <c r="O472" t="s">
        <v>5795</v>
      </c>
      <c r="P472" t="s">
        <v>5640</v>
      </c>
      <c r="Q472" t="s">
        <v>4785</v>
      </c>
      <c r="R472" t="s">
        <v>4791</v>
      </c>
      <c r="S472" t="s">
        <v>3780</v>
      </c>
      <c r="T472" t="s">
        <v>5796</v>
      </c>
      <c r="U472" t="s">
        <v>5797</v>
      </c>
      <c r="V472" t="s">
        <v>5242</v>
      </c>
      <c r="W472" t="s">
        <v>3782</v>
      </c>
      <c r="X472" t="s">
        <v>3804</v>
      </c>
      <c r="Y472" t="s">
        <v>3805</v>
      </c>
      <c r="Z472" t="s">
        <v>3785</v>
      </c>
      <c r="AA472" t="s">
        <v>3786</v>
      </c>
      <c r="AB472" t="s">
        <v>3787</v>
      </c>
      <c r="AC472" s="1" t="s">
        <v>3788</v>
      </c>
      <c r="AD472" s="6" t="s">
        <v>6034</v>
      </c>
    </row>
    <row r="473" spans="1:30" x14ac:dyDescent="0.25">
      <c r="A473" t="s">
        <v>5956</v>
      </c>
      <c r="B473" t="s">
        <v>4061</v>
      </c>
      <c r="C473" t="s">
        <v>5107</v>
      </c>
      <c r="D473" t="s">
        <v>4164</v>
      </c>
      <c r="E473" t="s">
        <v>3797</v>
      </c>
      <c r="F473" t="s">
        <v>4819</v>
      </c>
      <c r="G473" t="s">
        <v>4510</v>
      </c>
      <c r="H473" t="s">
        <v>3771</v>
      </c>
      <c r="I473" t="s">
        <v>3772</v>
      </c>
      <c r="J473" t="s">
        <v>3773</v>
      </c>
      <c r="K473" t="s">
        <v>3850</v>
      </c>
      <c r="L473" t="s">
        <v>3827</v>
      </c>
      <c r="M473" t="s">
        <v>3776</v>
      </c>
      <c r="N473" t="s">
        <v>3777</v>
      </c>
      <c r="O473" t="s">
        <v>5787</v>
      </c>
      <c r="P473" t="s">
        <v>5643</v>
      </c>
      <c r="Q473" t="s">
        <v>4793</v>
      </c>
      <c r="R473" t="s">
        <v>4270</v>
      </c>
      <c r="S473" t="s">
        <v>3780</v>
      </c>
      <c r="T473" t="s">
        <v>5789</v>
      </c>
      <c r="U473" t="s">
        <v>5798</v>
      </c>
      <c r="V473" t="s">
        <v>5243</v>
      </c>
      <c r="W473" t="s">
        <v>3782</v>
      </c>
      <c r="X473" t="s">
        <v>3804</v>
      </c>
      <c r="Y473" t="s">
        <v>3805</v>
      </c>
      <c r="Z473" t="s">
        <v>3785</v>
      </c>
      <c r="AA473" t="s">
        <v>3786</v>
      </c>
      <c r="AB473" t="s">
        <v>3787</v>
      </c>
      <c r="AC473" s="1" t="s">
        <v>3788</v>
      </c>
      <c r="AD473" s="6" t="s">
        <v>6035</v>
      </c>
    </row>
    <row r="474" spans="1:30" x14ac:dyDescent="0.25">
      <c r="A474" t="s">
        <v>5956</v>
      </c>
      <c r="B474" t="s">
        <v>4061</v>
      </c>
      <c r="C474" t="s">
        <v>5110</v>
      </c>
      <c r="D474" t="s">
        <v>4272</v>
      </c>
      <c r="E474" t="s">
        <v>3797</v>
      </c>
      <c r="F474" t="s">
        <v>5045</v>
      </c>
      <c r="G474" t="s">
        <v>4497</v>
      </c>
      <c r="H474" t="s">
        <v>3771</v>
      </c>
      <c r="I474" t="s">
        <v>3772</v>
      </c>
      <c r="J474" t="s">
        <v>3773</v>
      </c>
      <c r="K474" t="s">
        <v>3850</v>
      </c>
      <c r="L474" t="s">
        <v>3827</v>
      </c>
      <c r="M474" t="s">
        <v>3776</v>
      </c>
      <c r="N474" t="s">
        <v>3777</v>
      </c>
      <c r="O474" t="s">
        <v>5799</v>
      </c>
      <c r="P474" t="s">
        <v>5645</v>
      </c>
      <c r="Q474" t="s">
        <v>4781</v>
      </c>
      <c r="R474" t="s">
        <v>4796</v>
      </c>
      <c r="S474" t="s">
        <v>3780</v>
      </c>
      <c r="T474" t="s">
        <v>5800</v>
      </c>
      <c r="U474" t="s">
        <v>5801</v>
      </c>
      <c r="V474" t="s">
        <v>5194</v>
      </c>
      <c r="W474" t="s">
        <v>3782</v>
      </c>
      <c r="X474" t="s">
        <v>3804</v>
      </c>
      <c r="Y474" t="s">
        <v>3805</v>
      </c>
      <c r="Z474" t="s">
        <v>3785</v>
      </c>
      <c r="AA474" t="s">
        <v>3786</v>
      </c>
      <c r="AB474" t="s">
        <v>3787</v>
      </c>
      <c r="AC474" s="1" t="s">
        <v>3788</v>
      </c>
      <c r="AD474" s="6" t="s">
        <v>6036</v>
      </c>
    </row>
    <row r="475" spans="1:30" x14ac:dyDescent="0.25">
      <c r="A475" t="s">
        <v>5956</v>
      </c>
      <c r="B475" t="s">
        <v>4061</v>
      </c>
      <c r="C475" t="s">
        <v>5114</v>
      </c>
      <c r="D475" t="s">
        <v>4780</v>
      </c>
      <c r="E475" t="s">
        <v>3797</v>
      </c>
      <c r="F475" t="s">
        <v>5120</v>
      </c>
      <c r="G475" t="s">
        <v>4512</v>
      </c>
      <c r="H475" t="s">
        <v>3771</v>
      </c>
      <c r="I475" t="s">
        <v>3772</v>
      </c>
      <c r="J475" t="s">
        <v>3773</v>
      </c>
      <c r="K475" t="s">
        <v>3850</v>
      </c>
      <c r="L475" t="s">
        <v>3827</v>
      </c>
      <c r="M475" t="s">
        <v>3776</v>
      </c>
      <c r="N475" t="s">
        <v>3777</v>
      </c>
      <c r="O475" t="s">
        <v>5799</v>
      </c>
      <c r="P475" t="s">
        <v>5645</v>
      </c>
      <c r="Q475" t="s">
        <v>4781</v>
      </c>
      <c r="R475" t="s">
        <v>4797</v>
      </c>
      <c r="S475" t="s">
        <v>3780</v>
      </c>
      <c r="T475" t="s">
        <v>5800</v>
      </c>
      <c r="U475" t="s">
        <v>5801</v>
      </c>
      <c r="V475" t="s">
        <v>5194</v>
      </c>
      <c r="W475" t="s">
        <v>3782</v>
      </c>
      <c r="X475" t="s">
        <v>3804</v>
      </c>
      <c r="Y475" t="s">
        <v>3891</v>
      </c>
      <c r="Z475" t="s">
        <v>3785</v>
      </c>
      <c r="AA475" t="s">
        <v>3786</v>
      </c>
      <c r="AB475" t="s">
        <v>3787</v>
      </c>
      <c r="AC475" s="1" t="s">
        <v>3788</v>
      </c>
      <c r="AD475" s="6" t="s">
        <v>6037</v>
      </c>
    </row>
    <row r="476" spans="1:30" x14ac:dyDescent="0.25">
      <c r="A476" t="s">
        <v>5956</v>
      </c>
      <c r="B476" t="s">
        <v>4061</v>
      </c>
      <c r="C476" t="s">
        <v>6727</v>
      </c>
      <c r="D476" t="s">
        <v>4516</v>
      </c>
      <c r="E476" t="s">
        <v>3797</v>
      </c>
      <c r="F476" t="s">
        <v>6490</v>
      </c>
      <c r="G476" t="s">
        <v>5121</v>
      </c>
      <c r="H476" t="s">
        <v>5122</v>
      </c>
      <c r="I476" t="s">
        <v>3772</v>
      </c>
      <c r="J476" t="s">
        <v>3773</v>
      </c>
      <c r="K476" t="s">
        <v>3850</v>
      </c>
      <c r="L476" t="s">
        <v>3800</v>
      </c>
      <c r="M476" t="s">
        <v>3776</v>
      </c>
      <c r="N476" t="s">
        <v>3777</v>
      </c>
      <c r="O476" t="s">
        <v>5327</v>
      </c>
      <c r="P476" t="s">
        <v>5328</v>
      </c>
      <c r="Q476" t="s">
        <v>3778</v>
      </c>
      <c r="R476" t="s">
        <v>3779</v>
      </c>
      <c r="S476" t="s">
        <v>4266</v>
      </c>
      <c r="T476" t="s">
        <v>5337</v>
      </c>
      <c r="U476" t="s">
        <v>5338</v>
      </c>
      <c r="V476" t="s">
        <v>3781</v>
      </c>
      <c r="W476" t="s">
        <v>3782</v>
      </c>
      <c r="X476" t="s">
        <v>3783</v>
      </c>
      <c r="Y476" t="s">
        <v>3784</v>
      </c>
      <c r="Z476" t="s">
        <v>5147</v>
      </c>
      <c r="AA476" t="s">
        <v>5165</v>
      </c>
      <c r="AB476" t="s">
        <v>4268</v>
      </c>
      <c r="AC476" s="1" t="s">
        <v>3979</v>
      </c>
      <c r="AD476" s="6" t="s">
        <v>7006</v>
      </c>
    </row>
    <row r="477" spans="1:30" x14ac:dyDescent="0.25">
      <c r="A477" t="s">
        <v>5956</v>
      </c>
      <c r="B477" t="s">
        <v>4061</v>
      </c>
      <c r="C477" t="s">
        <v>6276</v>
      </c>
      <c r="D477" t="s">
        <v>3841</v>
      </c>
      <c r="E477" t="s">
        <v>3797</v>
      </c>
      <c r="F477" t="s">
        <v>4981</v>
      </c>
      <c r="G477" t="s">
        <v>5123</v>
      </c>
      <c r="H477" t="s">
        <v>5046</v>
      </c>
      <c r="I477" t="s">
        <v>3772</v>
      </c>
      <c r="J477" t="s">
        <v>3773</v>
      </c>
      <c r="K477" t="s">
        <v>3850</v>
      </c>
      <c r="L477" t="s">
        <v>3800</v>
      </c>
      <c r="M477" t="s">
        <v>3776</v>
      </c>
      <c r="N477" t="s">
        <v>3777</v>
      </c>
      <c r="O477" t="s">
        <v>5327</v>
      </c>
      <c r="P477" t="s">
        <v>5328</v>
      </c>
      <c r="Q477" t="s">
        <v>3778</v>
      </c>
      <c r="R477" t="s">
        <v>3779</v>
      </c>
      <c r="S477" t="s">
        <v>4266</v>
      </c>
      <c r="T477" t="s">
        <v>5337</v>
      </c>
      <c r="U477" t="s">
        <v>5338</v>
      </c>
      <c r="V477" t="s">
        <v>3781</v>
      </c>
      <c r="W477" t="s">
        <v>3782</v>
      </c>
      <c r="X477" t="s">
        <v>3783</v>
      </c>
      <c r="Y477" t="s">
        <v>3784</v>
      </c>
      <c r="Z477" t="s">
        <v>5147</v>
      </c>
      <c r="AA477" t="s">
        <v>5165</v>
      </c>
      <c r="AB477" t="s">
        <v>4268</v>
      </c>
      <c r="AC477" s="1" t="s">
        <v>3979</v>
      </c>
      <c r="AD477" s="6" t="s">
        <v>7008</v>
      </c>
    </row>
    <row r="478" spans="1:30" x14ac:dyDescent="0.25">
      <c r="A478" t="s">
        <v>5956</v>
      </c>
      <c r="B478" t="s">
        <v>4061</v>
      </c>
      <c r="C478" t="s">
        <v>6907</v>
      </c>
      <c r="D478" t="s">
        <v>4276</v>
      </c>
      <c r="E478" t="s">
        <v>3797</v>
      </c>
      <c r="F478" t="s">
        <v>6807</v>
      </c>
      <c r="G478" t="s">
        <v>5124</v>
      </c>
      <c r="H478" t="s">
        <v>5125</v>
      </c>
      <c r="I478" t="s">
        <v>3772</v>
      </c>
      <c r="J478" t="s">
        <v>3773</v>
      </c>
      <c r="K478" t="s">
        <v>3850</v>
      </c>
      <c r="L478" t="s">
        <v>3800</v>
      </c>
      <c r="M478" t="s">
        <v>3776</v>
      </c>
      <c r="N478" t="s">
        <v>3777</v>
      </c>
      <c r="O478" t="s">
        <v>5327</v>
      </c>
      <c r="P478" t="s">
        <v>5328</v>
      </c>
      <c r="Q478" t="s">
        <v>3778</v>
      </c>
      <c r="R478" t="s">
        <v>3779</v>
      </c>
      <c r="S478" t="s">
        <v>4266</v>
      </c>
      <c r="T478" t="s">
        <v>5337</v>
      </c>
      <c r="U478" t="s">
        <v>5338</v>
      </c>
      <c r="V478" t="s">
        <v>3781</v>
      </c>
      <c r="W478" t="s">
        <v>3782</v>
      </c>
      <c r="X478" t="s">
        <v>3783</v>
      </c>
      <c r="Y478" t="s">
        <v>3784</v>
      </c>
      <c r="Z478" t="s">
        <v>5164</v>
      </c>
      <c r="AA478" t="s">
        <v>5154</v>
      </c>
      <c r="AB478" t="s">
        <v>4268</v>
      </c>
      <c r="AC478" s="1" t="s">
        <v>3979</v>
      </c>
      <c r="AD478" s="6" t="s">
        <v>7010</v>
      </c>
    </row>
    <row r="479" spans="1:30" x14ac:dyDescent="0.25">
      <c r="A479" t="s">
        <v>5956</v>
      </c>
      <c r="B479" t="s">
        <v>4061</v>
      </c>
      <c r="C479" t="s">
        <v>4994</v>
      </c>
      <c r="D479" t="s">
        <v>3846</v>
      </c>
      <c r="E479" t="s">
        <v>3797</v>
      </c>
      <c r="F479" t="s">
        <v>4221</v>
      </c>
      <c r="G479" t="s">
        <v>4551</v>
      </c>
      <c r="H479" t="s">
        <v>5126</v>
      </c>
      <c r="I479" t="s">
        <v>3772</v>
      </c>
      <c r="J479" t="s">
        <v>3773</v>
      </c>
      <c r="K479" t="s">
        <v>3850</v>
      </c>
      <c r="L479" t="s">
        <v>3800</v>
      </c>
      <c r="M479" t="s">
        <v>3776</v>
      </c>
      <c r="N479" t="s">
        <v>3777</v>
      </c>
      <c r="O479" t="s">
        <v>5327</v>
      </c>
      <c r="P479" t="s">
        <v>5328</v>
      </c>
      <c r="Q479" t="s">
        <v>3778</v>
      </c>
      <c r="R479" t="s">
        <v>3779</v>
      </c>
      <c r="S479" t="s">
        <v>4266</v>
      </c>
      <c r="T479" t="s">
        <v>5337</v>
      </c>
      <c r="U479" t="s">
        <v>5338</v>
      </c>
      <c r="V479" t="s">
        <v>3781</v>
      </c>
      <c r="W479" t="s">
        <v>3782</v>
      </c>
      <c r="X479" t="s">
        <v>3783</v>
      </c>
      <c r="Y479" t="s">
        <v>3784</v>
      </c>
      <c r="Z479" t="s">
        <v>5164</v>
      </c>
      <c r="AA479" t="s">
        <v>5154</v>
      </c>
      <c r="AB479" t="s">
        <v>4268</v>
      </c>
      <c r="AC479" s="1" t="s">
        <v>3979</v>
      </c>
      <c r="AD479" s="6" t="s">
        <v>7012</v>
      </c>
    </row>
    <row r="480" spans="1:30" x14ac:dyDescent="0.25">
      <c r="A480" t="s">
        <v>5956</v>
      </c>
      <c r="B480" t="s">
        <v>4061</v>
      </c>
      <c r="C480" t="s">
        <v>6329</v>
      </c>
      <c r="D480" t="s">
        <v>3885</v>
      </c>
      <c r="E480" t="s">
        <v>3797</v>
      </c>
      <c r="F480" t="s">
        <v>6908</v>
      </c>
      <c r="G480" t="s">
        <v>5127</v>
      </c>
      <c r="H480" t="s">
        <v>5128</v>
      </c>
      <c r="I480" t="s">
        <v>3772</v>
      </c>
      <c r="J480" t="s">
        <v>3773</v>
      </c>
      <c r="K480" t="s">
        <v>3850</v>
      </c>
      <c r="L480" t="s">
        <v>3800</v>
      </c>
      <c r="M480" t="s">
        <v>3776</v>
      </c>
      <c r="N480" t="s">
        <v>3777</v>
      </c>
      <c r="O480" t="s">
        <v>5327</v>
      </c>
      <c r="P480" t="s">
        <v>5328</v>
      </c>
      <c r="Q480" t="s">
        <v>3778</v>
      </c>
      <c r="R480" t="s">
        <v>3779</v>
      </c>
      <c r="S480" t="s">
        <v>4266</v>
      </c>
      <c r="T480" t="s">
        <v>5337</v>
      </c>
      <c r="U480" t="s">
        <v>5338</v>
      </c>
      <c r="V480" t="s">
        <v>3781</v>
      </c>
      <c r="W480" t="s">
        <v>3782</v>
      </c>
      <c r="X480" t="s">
        <v>3783</v>
      </c>
      <c r="Y480" t="s">
        <v>3784</v>
      </c>
      <c r="Z480" t="s">
        <v>5159</v>
      </c>
      <c r="AA480" t="s">
        <v>5154</v>
      </c>
      <c r="AB480" t="s">
        <v>4268</v>
      </c>
      <c r="AC480" s="1" t="s">
        <v>3979</v>
      </c>
      <c r="AD480" s="6" t="s">
        <v>7014</v>
      </c>
    </row>
    <row r="481" spans="1:30" x14ac:dyDescent="0.25">
      <c r="A481" t="s">
        <v>5956</v>
      </c>
      <c r="B481" t="s">
        <v>4061</v>
      </c>
      <c r="C481" t="s">
        <v>4719</v>
      </c>
      <c r="D481" t="s">
        <v>4004</v>
      </c>
      <c r="E481" t="s">
        <v>3797</v>
      </c>
      <c r="F481" t="s">
        <v>4660</v>
      </c>
      <c r="G481" t="s">
        <v>4686</v>
      </c>
      <c r="H481" t="s">
        <v>5129</v>
      </c>
      <c r="I481" t="s">
        <v>3772</v>
      </c>
      <c r="J481" t="s">
        <v>3773</v>
      </c>
      <c r="K481" t="s">
        <v>3850</v>
      </c>
      <c r="L481" t="s">
        <v>3800</v>
      </c>
      <c r="M481" t="s">
        <v>3776</v>
      </c>
      <c r="N481" t="s">
        <v>3777</v>
      </c>
      <c r="O481" t="s">
        <v>5327</v>
      </c>
      <c r="P481" t="s">
        <v>5328</v>
      </c>
      <c r="Q481" t="s">
        <v>3778</v>
      </c>
      <c r="R481" t="s">
        <v>3779</v>
      </c>
      <c r="S481" t="s">
        <v>4266</v>
      </c>
      <c r="T481" t="s">
        <v>5337</v>
      </c>
      <c r="U481" t="s">
        <v>5338</v>
      </c>
      <c r="V481" t="s">
        <v>3781</v>
      </c>
      <c r="W481" t="s">
        <v>3782</v>
      </c>
      <c r="X481" t="s">
        <v>3783</v>
      </c>
      <c r="Y481" t="s">
        <v>3784</v>
      </c>
      <c r="Z481" t="s">
        <v>5159</v>
      </c>
      <c r="AA481" t="s">
        <v>5148</v>
      </c>
      <c r="AB481" t="s">
        <v>5130</v>
      </c>
      <c r="AC481" s="1" t="s">
        <v>4321</v>
      </c>
      <c r="AD481" s="6" t="s">
        <v>7016</v>
      </c>
    </row>
    <row r="482" spans="1:30" x14ac:dyDescent="0.25">
      <c r="A482" t="s">
        <v>5956</v>
      </c>
      <c r="B482" t="s">
        <v>4061</v>
      </c>
      <c r="C482" t="s">
        <v>6338</v>
      </c>
      <c r="D482" t="s">
        <v>3902</v>
      </c>
      <c r="E482" t="s">
        <v>3797</v>
      </c>
      <c r="F482" t="s">
        <v>6909</v>
      </c>
      <c r="G482" t="s">
        <v>5131</v>
      </c>
      <c r="H482" t="s">
        <v>4748</v>
      </c>
      <c r="I482" t="s">
        <v>3772</v>
      </c>
      <c r="J482" t="s">
        <v>3773</v>
      </c>
      <c r="K482" t="s">
        <v>3850</v>
      </c>
      <c r="L482" t="s">
        <v>3800</v>
      </c>
      <c r="M482" t="s">
        <v>3776</v>
      </c>
      <c r="N482" t="s">
        <v>3777</v>
      </c>
      <c r="O482" t="s">
        <v>5327</v>
      </c>
      <c r="P482" t="s">
        <v>5328</v>
      </c>
      <c r="Q482" t="s">
        <v>3778</v>
      </c>
      <c r="R482" t="s">
        <v>3779</v>
      </c>
      <c r="S482" t="s">
        <v>4266</v>
      </c>
      <c r="T482" t="s">
        <v>5337</v>
      </c>
      <c r="U482" t="s">
        <v>5338</v>
      </c>
      <c r="V482" t="s">
        <v>3781</v>
      </c>
      <c r="W482" t="s">
        <v>3782</v>
      </c>
      <c r="X482" t="s">
        <v>3783</v>
      </c>
      <c r="Y482" t="s">
        <v>3784</v>
      </c>
      <c r="Z482" t="s">
        <v>5160</v>
      </c>
      <c r="AA482" t="s">
        <v>5148</v>
      </c>
      <c r="AB482" t="s">
        <v>5130</v>
      </c>
      <c r="AC482" s="1" t="s">
        <v>4321</v>
      </c>
      <c r="AD482" s="6" t="s">
        <v>7018</v>
      </c>
    </row>
    <row r="483" spans="1:30" x14ac:dyDescent="0.25">
      <c r="A483" t="s">
        <v>5956</v>
      </c>
      <c r="B483" t="s">
        <v>4061</v>
      </c>
      <c r="C483" t="s">
        <v>6727</v>
      </c>
      <c r="D483" t="s">
        <v>4516</v>
      </c>
      <c r="E483" t="s">
        <v>3797</v>
      </c>
      <c r="F483" t="s">
        <v>6490</v>
      </c>
      <c r="G483" t="s">
        <v>4536</v>
      </c>
      <c r="H483" t="s">
        <v>5132</v>
      </c>
      <c r="I483" t="s">
        <v>3772</v>
      </c>
      <c r="J483" t="s">
        <v>3773</v>
      </c>
      <c r="K483" t="s">
        <v>3850</v>
      </c>
      <c r="L483" t="s">
        <v>3827</v>
      </c>
      <c r="M483" t="s">
        <v>3776</v>
      </c>
      <c r="N483" t="s">
        <v>3777</v>
      </c>
      <c r="O483" t="s">
        <v>5327</v>
      </c>
      <c r="P483" t="s">
        <v>5328</v>
      </c>
      <c r="Q483" t="s">
        <v>3778</v>
      </c>
      <c r="R483" t="s">
        <v>3779</v>
      </c>
      <c r="S483" t="s">
        <v>4266</v>
      </c>
      <c r="T483" t="s">
        <v>5337</v>
      </c>
      <c r="U483" t="s">
        <v>5338</v>
      </c>
      <c r="V483" t="s">
        <v>3781</v>
      </c>
      <c r="W483" t="s">
        <v>3782</v>
      </c>
      <c r="X483" t="s">
        <v>3783</v>
      </c>
      <c r="Y483" t="s">
        <v>3784</v>
      </c>
      <c r="Z483" t="s">
        <v>5163</v>
      </c>
      <c r="AA483" t="s">
        <v>5148</v>
      </c>
      <c r="AB483" t="s">
        <v>4268</v>
      </c>
      <c r="AC483" s="1" t="s">
        <v>4784</v>
      </c>
      <c r="AD483" s="6" t="s">
        <v>7020</v>
      </c>
    </row>
    <row r="484" spans="1:30" x14ac:dyDescent="0.25">
      <c r="A484" t="s">
        <v>5956</v>
      </c>
      <c r="B484" t="s">
        <v>4061</v>
      </c>
      <c r="C484" t="s">
        <v>4644</v>
      </c>
      <c r="D484" t="s">
        <v>4204</v>
      </c>
      <c r="E484" t="s">
        <v>3797</v>
      </c>
      <c r="F484" t="s">
        <v>6910</v>
      </c>
      <c r="G484" t="s">
        <v>5133</v>
      </c>
      <c r="H484" t="s">
        <v>3940</v>
      </c>
      <c r="I484" t="s">
        <v>3772</v>
      </c>
      <c r="J484" t="s">
        <v>3773</v>
      </c>
      <c r="K484" t="s">
        <v>3850</v>
      </c>
      <c r="L484" t="s">
        <v>3827</v>
      </c>
      <c r="M484" t="s">
        <v>3776</v>
      </c>
      <c r="N484" t="s">
        <v>3777</v>
      </c>
      <c r="O484" t="s">
        <v>5327</v>
      </c>
      <c r="P484" t="s">
        <v>5328</v>
      </c>
      <c r="Q484" t="s">
        <v>3778</v>
      </c>
      <c r="R484" t="s">
        <v>3779</v>
      </c>
      <c r="S484" t="s">
        <v>4266</v>
      </c>
      <c r="T484" t="s">
        <v>5337</v>
      </c>
      <c r="U484" t="s">
        <v>5338</v>
      </c>
      <c r="V484" t="s">
        <v>3781</v>
      </c>
      <c r="W484" t="s">
        <v>3782</v>
      </c>
      <c r="X484" t="s">
        <v>3783</v>
      </c>
      <c r="Y484" t="s">
        <v>3784</v>
      </c>
      <c r="Z484" t="s">
        <v>5163</v>
      </c>
      <c r="AA484" t="s">
        <v>5148</v>
      </c>
      <c r="AB484" t="s">
        <v>4268</v>
      </c>
      <c r="AC484" s="1" t="s">
        <v>4784</v>
      </c>
      <c r="AD484" s="6" t="s">
        <v>7022</v>
      </c>
    </row>
    <row r="485" spans="1:30" x14ac:dyDescent="0.25">
      <c r="A485" t="s">
        <v>5956</v>
      </c>
      <c r="B485" t="s">
        <v>4061</v>
      </c>
      <c r="C485" t="s">
        <v>6907</v>
      </c>
      <c r="D485" t="s">
        <v>4276</v>
      </c>
      <c r="E485" t="s">
        <v>3797</v>
      </c>
      <c r="F485" t="s">
        <v>6807</v>
      </c>
      <c r="G485" t="s">
        <v>5133</v>
      </c>
      <c r="H485" t="s">
        <v>5134</v>
      </c>
      <c r="I485" t="s">
        <v>3772</v>
      </c>
      <c r="J485" t="s">
        <v>3773</v>
      </c>
      <c r="K485" t="s">
        <v>3850</v>
      </c>
      <c r="L485" t="s">
        <v>3827</v>
      </c>
      <c r="M485" t="s">
        <v>3776</v>
      </c>
      <c r="N485" t="s">
        <v>3777</v>
      </c>
      <c r="O485" t="s">
        <v>5327</v>
      </c>
      <c r="P485" t="s">
        <v>5328</v>
      </c>
      <c r="Q485" t="s">
        <v>3778</v>
      </c>
      <c r="R485" t="s">
        <v>3779</v>
      </c>
      <c r="S485" t="s">
        <v>4266</v>
      </c>
      <c r="T485" t="s">
        <v>5337</v>
      </c>
      <c r="U485" t="s">
        <v>5338</v>
      </c>
      <c r="V485" t="s">
        <v>3781</v>
      </c>
      <c r="W485" t="s">
        <v>3782</v>
      </c>
      <c r="X485" t="s">
        <v>3783</v>
      </c>
      <c r="Y485" t="s">
        <v>3784</v>
      </c>
      <c r="Z485" t="s">
        <v>5164</v>
      </c>
      <c r="AA485" t="s">
        <v>5148</v>
      </c>
      <c r="AB485" t="s">
        <v>4268</v>
      </c>
      <c r="AC485" s="1" t="s">
        <v>4784</v>
      </c>
      <c r="AD485" s="6" t="s">
        <v>7024</v>
      </c>
    </row>
    <row r="486" spans="1:30" x14ac:dyDescent="0.25">
      <c r="A486" t="s">
        <v>5956</v>
      </c>
      <c r="B486" t="s">
        <v>4061</v>
      </c>
      <c r="C486" t="s">
        <v>4994</v>
      </c>
      <c r="D486" t="s">
        <v>3846</v>
      </c>
      <c r="E486" t="s">
        <v>3797</v>
      </c>
      <c r="F486" t="s">
        <v>6911</v>
      </c>
      <c r="G486" t="s">
        <v>5135</v>
      </c>
      <c r="H486" t="s">
        <v>5136</v>
      </c>
      <c r="I486" t="s">
        <v>3772</v>
      </c>
      <c r="J486" t="s">
        <v>3773</v>
      </c>
      <c r="K486" t="s">
        <v>3850</v>
      </c>
      <c r="L486" t="s">
        <v>3827</v>
      </c>
      <c r="M486" t="s">
        <v>3776</v>
      </c>
      <c r="N486" t="s">
        <v>3777</v>
      </c>
      <c r="O486" t="s">
        <v>5327</v>
      </c>
      <c r="P486" t="s">
        <v>5328</v>
      </c>
      <c r="Q486" t="s">
        <v>3778</v>
      </c>
      <c r="R486" t="s">
        <v>3779</v>
      </c>
      <c r="S486" t="s">
        <v>4266</v>
      </c>
      <c r="T486" t="s">
        <v>5337</v>
      </c>
      <c r="U486" t="s">
        <v>5338</v>
      </c>
      <c r="V486" t="s">
        <v>3781</v>
      </c>
      <c r="W486" t="s">
        <v>3782</v>
      </c>
      <c r="X486" t="s">
        <v>3783</v>
      </c>
      <c r="Y486" t="s">
        <v>3784</v>
      </c>
      <c r="Z486" t="s">
        <v>5164</v>
      </c>
      <c r="AA486" t="s">
        <v>5148</v>
      </c>
      <c r="AB486" t="s">
        <v>4268</v>
      </c>
      <c r="AC486" s="1" t="s">
        <v>4784</v>
      </c>
      <c r="AD486" s="6" t="s">
        <v>7026</v>
      </c>
    </row>
    <row r="487" spans="1:30" x14ac:dyDescent="0.25">
      <c r="A487" t="s">
        <v>5956</v>
      </c>
      <c r="B487" t="s">
        <v>4061</v>
      </c>
      <c r="C487" t="s">
        <v>6329</v>
      </c>
      <c r="D487" t="s">
        <v>3885</v>
      </c>
      <c r="E487" t="s">
        <v>3797</v>
      </c>
      <c r="F487" t="s">
        <v>6912</v>
      </c>
      <c r="G487" t="s">
        <v>4013</v>
      </c>
      <c r="H487" t="s">
        <v>3893</v>
      </c>
      <c r="I487" t="s">
        <v>3772</v>
      </c>
      <c r="J487" t="s">
        <v>3773</v>
      </c>
      <c r="K487" t="s">
        <v>3850</v>
      </c>
      <c r="L487" t="s">
        <v>3827</v>
      </c>
      <c r="M487" t="s">
        <v>3776</v>
      </c>
      <c r="N487" t="s">
        <v>3777</v>
      </c>
      <c r="O487" t="s">
        <v>5327</v>
      </c>
      <c r="P487" t="s">
        <v>5328</v>
      </c>
      <c r="Q487" t="s">
        <v>3778</v>
      </c>
      <c r="R487" t="s">
        <v>3779</v>
      </c>
      <c r="S487" t="s">
        <v>4266</v>
      </c>
      <c r="T487" t="s">
        <v>5337</v>
      </c>
      <c r="U487" t="s">
        <v>5338</v>
      </c>
      <c r="V487" t="s">
        <v>3781</v>
      </c>
      <c r="W487" t="s">
        <v>3782</v>
      </c>
      <c r="X487" t="s">
        <v>3783</v>
      </c>
      <c r="Y487" t="s">
        <v>3784</v>
      </c>
      <c r="Z487" t="s">
        <v>5159</v>
      </c>
      <c r="AA487" t="s">
        <v>5148</v>
      </c>
      <c r="AB487" t="s">
        <v>4268</v>
      </c>
      <c r="AC487" s="1" t="s">
        <v>4784</v>
      </c>
      <c r="AD487" s="6" t="s">
        <v>7028</v>
      </c>
    </row>
    <row r="488" spans="1:30" x14ac:dyDescent="0.25">
      <c r="A488" t="s">
        <v>5956</v>
      </c>
      <c r="B488" t="s">
        <v>4061</v>
      </c>
      <c r="C488" t="s">
        <v>4719</v>
      </c>
      <c r="D488" t="s">
        <v>4004</v>
      </c>
      <c r="E488" t="s">
        <v>3797</v>
      </c>
      <c r="F488" t="s">
        <v>4660</v>
      </c>
      <c r="G488" t="s">
        <v>5137</v>
      </c>
      <c r="H488" t="s">
        <v>4954</v>
      </c>
      <c r="I488" t="s">
        <v>3772</v>
      </c>
      <c r="J488" t="s">
        <v>3773</v>
      </c>
      <c r="K488" t="s">
        <v>3850</v>
      </c>
      <c r="L488" t="s">
        <v>3827</v>
      </c>
      <c r="M488" t="s">
        <v>3776</v>
      </c>
      <c r="N488" t="s">
        <v>3777</v>
      </c>
      <c r="O488" t="s">
        <v>5327</v>
      </c>
      <c r="P488" t="s">
        <v>5328</v>
      </c>
      <c r="Q488" t="s">
        <v>3778</v>
      </c>
      <c r="R488" t="s">
        <v>3779</v>
      </c>
      <c r="S488" t="s">
        <v>4266</v>
      </c>
      <c r="T488" t="s">
        <v>5337</v>
      </c>
      <c r="U488" t="s">
        <v>5338</v>
      </c>
      <c r="V488" t="s">
        <v>3781</v>
      </c>
      <c r="W488" t="s">
        <v>3782</v>
      </c>
      <c r="X488" t="s">
        <v>3783</v>
      </c>
      <c r="Y488" t="s">
        <v>3784</v>
      </c>
      <c r="Z488" t="s">
        <v>5157</v>
      </c>
      <c r="AA488" t="s">
        <v>5148</v>
      </c>
      <c r="AB488" t="s">
        <v>4268</v>
      </c>
      <c r="AC488" s="1" t="s">
        <v>4784</v>
      </c>
      <c r="AD488" s="6" t="s">
        <v>7030</v>
      </c>
    </row>
    <row r="489" spans="1:30" x14ac:dyDescent="0.25">
      <c r="A489" t="s">
        <v>5956</v>
      </c>
      <c r="B489" t="s">
        <v>4061</v>
      </c>
      <c r="C489" t="s">
        <v>4945</v>
      </c>
      <c r="D489" t="s">
        <v>3902</v>
      </c>
      <c r="E489" t="s">
        <v>3797</v>
      </c>
      <c r="F489" t="s">
        <v>6909</v>
      </c>
      <c r="G489" t="s">
        <v>5138</v>
      </c>
      <c r="H489" t="s">
        <v>4625</v>
      </c>
      <c r="I489" t="s">
        <v>3772</v>
      </c>
      <c r="J489" t="s">
        <v>3773</v>
      </c>
      <c r="K489" t="s">
        <v>3850</v>
      </c>
      <c r="L489" t="s">
        <v>3827</v>
      </c>
      <c r="M489" t="s">
        <v>3776</v>
      </c>
      <c r="N489" t="s">
        <v>3777</v>
      </c>
      <c r="O489" t="s">
        <v>5327</v>
      </c>
      <c r="P489" t="s">
        <v>5328</v>
      </c>
      <c r="Q489" t="s">
        <v>3778</v>
      </c>
      <c r="R489" t="s">
        <v>3779</v>
      </c>
      <c r="S489" t="s">
        <v>4266</v>
      </c>
      <c r="T489" t="s">
        <v>5337</v>
      </c>
      <c r="U489" t="s">
        <v>5338</v>
      </c>
      <c r="V489" t="s">
        <v>3781</v>
      </c>
      <c r="W489" t="s">
        <v>3782</v>
      </c>
      <c r="X489" t="s">
        <v>3783</v>
      </c>
      <c r="Y489" t="s">
        <v>3784</v>
      </c>
      <c r="Z489" t="s">
        <v>5157</v>
      </c>
      <c r="AA489" t="s">
        <v>5148</v>
      </c>
      <c r="AB489" t="s">
        <v>4268</v>
      </c>
      <c r="AC489" s="1" t="s">
        <v>4784</v>
      </c>
      <c r="AD489" s="6" t="s">
        <v>7032</v>
      </c>
    </row>
    <row r="490" spans="1:30" x14ac:dyDescent="0.25">
      <c r="A490" t="s">
        <v>5956</v>
      </c>
      <c r="B490" t="s">
        <v>4061</v>
      </c>
      <c r="C490" t="s">
        <v>6338</v>
      </c>
      <c r="D490" t="s">
        <v>3902</v>
      </c>
      <c r="E490" t="s">
        <v>3797</v>
      </c>
      <c r="F490" t="s">
        <v>6913</v>
      </c>
      <c r="G490" t="s">
        <v>5139</v>
      </c>
      <c r="H490" t="s">
        <v>5140</v>
      </c>
      <c r="I490" t="s">
        <v>3772</v>
      </c>
      <c r="J490" t="s">
        <v>3773</v>
      </c>
      <c r="K490" t="s">
        <v>3850</v>
      </c>
      <c r="L490" t="s">
        <v>3800</v>
      </c>
      <c r="M490" t="s">
        <v>3776</v>
      </c>
      <c r="N490" t="s">
        <v>3777</v>
      </c>
      <c r="O490" t="s">
        <v>5327</v>
      </c>
      <c r="P490" t="s">
        <v>5328</v>
      </c>
      <c r="Q490" t="s">
        <v>3778</v>
      </c>
      <c r="R490" t="s">
        <v>3779</v>
      </c>
      <c r="S490" t="s">
        <v>4266</v>
      </c>
      <c r="T490" t="s">
        <v>5337</v>
      </c>
      <c r="U490" t="s">
        <v>5338</v>
      </c>
      <c r="V490" t="s">
        <v>3781</v>
      </c>
      <c r="W490" t="s">
        <v>3782</v>
      </c>
      <c r="X490" t="s">
        <v>5096</v>
      </c>
      <c r="Y490" t="s">
        <v>4325</v>
      </c>
      <c r="Z490" t="s">
        <v>5161</v>
      </c>
      <c r="AA490" t="s">
        <v>5156</v>
      </c>
      <c r="AB490" t="s">
        <v>4849</v>
      </c>
      <c r="AC490" s="1" t="s">
        <v>4146</v>
      </c>
      <c r="AD490" s="6" t="s">
        <v>6914</v>
      </c>
    </row>
    <row r="491" spans="1:30" x14ac:dyDescent="0.25">
      <c r="A491" t="s">
        <v>5956</v>
      </c>
      <c r="B491" t="s">
        <v>4061</v>
      </c>
      <c r="C491" t="s">
        <v>4066</v>
      </c>
      <c r="D491" t="s">
        <v>3967</v>
      </c>
      <c r="E491" t="s">
        <v>3797</v>
      </c>
      <c r="F491" t="s">
        <v>5033</v>
      </c>
      <c r="G491" t="s">
        <v>5141</v>
      </c>
      <c r="H491" t="s">
        <v>5016</v>
      </c>
      <c r="I491" t="s">
        <v>3772</v>
      </c>
      <c r="J491" t="s">
        <v>3773</v>
      </c>
      <c r="K491" t="s">
        <v>3850</v>
      </c>
      <c r="L491" t="s">
        <v>3800</v>
      </c>
      <c r="M491" t="s">
        <v>3776</v>
      </c>
      <c r="N491" t="s">
        <v>3777</v>
      </c>
      <c r="O491" t="s">
        <v>5327</v>
      </c>
      <c r="P491" t="s">
        <v>5328</v>
      </c>
      <c r="Q491" t="s">
        <v>3778</v>
      </c>
      <c r="R491" t="s">
        <v>3779</v>
      </c>
      <c r="S491" t="s">
        <v>4266</v>
      </c>
      <c r="T491" t="s">
        <v>5337</v>
      </c>
      <c r="U491" t="s">
        <v>5338</v>
      </c>
      <c r="V491" t="s">
        <v>3781</v>
      </c>
      <c r="W491" t="s">
        <v>3782</v>
      </c>
      <c r="X491" t="s">
        <v>5096</v>
      </c>
      <c r="Y491" t="s">
        <v>4325</v>
      </c>
      <c r="Z491" t="s">
        <v>5168</v>
      </c>
      <c r="AA491" t="s">
        <v>5156</v>
      </c>
      <c r="AB491" t="s">
        <v>4849</v>
      </c>
      <c r="AC491" s="1" t="s">
        <v>4146</v>
      </c>
      <c r="AD491" s="6" t="s">
        <v>6916</v>
      </c>
    </row>
    <row r="492" spans="1:30" x14ac:dyDescent="0.25">
      <c r="A492" t="s">
        <v>5956</v>
      </c>
      <c r="B492" t="s">
        <v>4061</v>
      </c>
      <c r="C492" t="s">
        <v>4066</v>
      </c>
      <c r="D492" t="s">
        <v>3967</v>
      </c>
      <c r="E492" t="s">
        <v>3797</v>
      </c>
      <c r="F492" t="s">
        <v>4067</v>
      </c>
      <c r="G492" t="s">
        <v>4957</v>
      </c>
      <c r="H492" t="s">
        <v>5142</v>
      </c>
      <c r="I492" t="s">
        <v>3772</v>
      </c>
      <c r="J492" t="s">
        <v>3773</v>
      </c>
      <c r="K492" t="s">
        <v>3908</v>
      </c>
      <c r="L492" t="s">
        <v>3800</v>
      </c>
      <c r="M492" t="s">
        <v>3776</v>
      </c>
      <c r="N492" t="s">
        <v>3777</v>
      </c>
      <c r="O492" t="s">
        <v>5327</v>
      </c>
      <c r="P492" t="s">
        <v>5328</v>
      </c>
      <c r="Q492" t="s">
        <v>3778</v>
      </c>
      <c r="R492" t="s">
        <v>3779</v>
      </c>
      <c r="S492" t="s">
        <v>4266</v>
      </c>
      <c r="T492" t="s">
        <v>5337</v>
      </c>
      <c r="U492" t="s">
        <v>5338</v>
      </c>
      <c r="V492" t="s">
        <v>3781</v>
      </c>
      <c r="W492" t="s">
        <v>3782</v>
      </c>
      <c r="X492" t="s">
        <v>5096</v>
      </c>
      <c r="Y492" t="s">
        <v>4325</v>
      </c>
      <c r="Z492" t="s">
        <v>5168</v>
      </c>
      <c r="AA492" t="s">
        <v>5156</v>
      </c>
      <c r="AB492" t="s">
        <v>5143</v>
      </c>
      <c r="AC492" s="1" t="s">
        <v>4321</v>
      </c>
      <c r="AD492" s="6" t="s">
        <v>6918</v>
      </c>
    </row>
    <row r="493" spans="1:30" x14ac:dyDescent="0.25">
      <c r="A493" t="s">
        <v>5956</v>
      </c>
      <c r="B493" t="s">
        <v>4061</v>
      </c>
      <c r="C493" t="s">
        <v>6920</v>
      </c>
      <c r="D493" t="s">
        <v>3968</v>
      </c>
      <c r="E493" t="s">
        <v>3797</v>
      </c>
      <c r="F493" t="s">
        <v>6921</v>
      </c>
      <c r="G493" t="s">
        <v>4449</v>
      </c>
      <c r="H493" t="s">
        <v>4631</v>
      </c>
      <c r="I493" t="s">
        <v>3772</v>
      </c>
      <c r="J493" t="s">
        <v>3773</v>
      </c>
      <c r="K493" t="s">
        <v>3850</v>
      </c>
      <c r="L493" t="s">
        <v>3800</v>
      </c>
      <c r="M493" t="s">
        <v>3776</v>
      </c>
      <c r="N493" t="s">
        <v>3777</v>
      </c>
      <c r="O493" t="s">
        <v>5327</v>
      </c>
      <c r="P493" t="s">
        <v>5328</v>
      </c>
      <c r="Q493" t="s">
        <v>3778</v>
      </c>
      <c r="R493" t="s">
        <v>3779</v>
      </c>
      <c r="S493" t="s">
        <v>4266</v>
      </c>
      <c r="T493" t="s">
        <v>5337</v>
      </c>
      <c r="U493" t="s">
        <v>5338</v>
      </c>
      <c r="V493" t="s">
        <v>3781</v>
      </c>
      <c r="W493" t="s">
        <v>3782</v>
      </c>
      <c r="X493" t="s">
        <v>5096</v>
      </c>
      <c r="Y493" t="s">
        <v>4325</v>
      </c>
      <c r="Z493" t="s">
        <v>5169</v>
      </c>
      <c r="AA493" t="s">
        <v>5156</v>
      </c>
      <c r="AB493" t="s">
        <v>4849</v>
      </c>
      <c r="AC493" s="1" t="s">
        <v>4146</v>
      </c>
      <c r="AD493" s="6" t="s">
        <v>6922</v>
      </c>
    </row>
    <row r="494" spans="1:30" x14ac:dyDescent="0.25">
      <c r="A494" t="s">
        <v>5956</v>
      </c>
      <c r="B494" t="s">
        <v>4061</v>
      </c>
      <c r="C494" t="s">
        <v>4965</v>
      </c>
      <c r="D494" t="s">
        <v>4340</v>
      </c>
      <c r="E494" t="s">
        <v>3797</v>
      </c>
      <c r="F494" t="s">
        <v>6388</v>
      </c>
      <c r="G494" t="s">
        <v>4962</v>
      </c>
      <c r="H494" t="s">
        <v>4963</v>
      </c>
      <c r="I494" t="s">
        <v>3772</v>
      </c>
      <c r="J494" t="s">
        <v>3773</v>
      </c>
      <c r="K494" t="s">
        <v>3908</v>
      </c>
      <c r="L494" t="s">
        <v>3800</v>
      </c>
      <c r="M494" t="s">
        <v>3776</v>
      </c>
      <c r="N494" t="s">
        <v>3777</v>
      </c>
      <c r="O494" t="s">
        <v>5327</v>
      </c>
      <c r="P494" t="s">
        <v>5328</v>
      </c>
      <c r="Q494" t="s">
        <v>3778</v>
      </c>
      <c r="R494" t="s">
        <v>3779</v>
      </c>
      <c r="S494" t="s">
        <v>4266</v>
      </c>
      <c r="T494" t="s">
        <v>5337</v>
      </c>
      <c r="U494" t="s">
        <v>5338</v>
      </c>
      <c r="V494" t="s">
        <v>3781</v>
      </c>
      <c r="W494" t="s">
        <v>3782</v>
      </c>
      <c r="X494" t="s">
        <v>5096</v>
      </c>
      <c r="Y494" t="s">
        <v>4332</v>
      </c>
      <c r="Z494" t="s">
        <v>5169</v>
      </c>
      <c r="AA494" t="s">
        <v>5156</v>
      </c>
      <c r="AB494" t="s">
        <v>5143</v>
      </c>
      <c r="AC494" s="1" t="s">
        <v>4321</v>
      </c>
      <c r="AD494" s="6" t="s">
        <v>6924</v>
      </c>
    </row>
    <row r="495" spans="1:30" x14ac:dyDescent="0.25">
      <c r="AD495" t="s">
        <v>6038</v>
      </c>
    </row>
    <row r="496" spans="1:30" x14ac:dyDescent="0.25">
      <c r="AD496" t="s">
        <v>6038</v>
      </c>
    </row>
    <row r="497" spans="30:30" x14ac:dyDescent="0.25">
      <c r="AD497" t="s">
        <v>6038</v>
      </c>
    </row>
    <row r="498" spans="30:30" x14ac:dyDescent="0.25">
      <c r="AD498" t="s">
        <v>6038</v>
      </c>
    </row>
    <row r="499" spans="30:30" x14ac:dyDescent="0.25">
      <c r="AD499" t="s">
        <v>6038</v>
      </c>
    </row>
    <row r="500" spans="30:30" x14ac:dyDescent="0.25">
      <c r="AD500" t="s">
        <v>6038</v>
      </c>
    </row>
    <row r="501" spans="30:30" x14ac:dyDescent="0.25">
      <c r="AD501" t="s">
        <v>6038</v>
      </c>
    </row>
    <row r="502" spans="30:30" x14ac:dyDescent="0.25">
      <c r="AD502" t="s">
        <v>6038</v>
      </c>
    </row>
    <row r="503" spans="30:30" x14ac:dyDescent="0.25">
      <c r="AD503" t="s">
        <v>6038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cover</vt:lpstr>
      <vt:lpstr>Worksheet</vt:lpstr>
      <vt:lpstr>list1</vt:lpstr>
      <vt:lpstr>list2</vt:lpstr>
      <vt:lpstr>rez</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creator>Unknown Creator</dc:creator>
  <cp:lastModifiedBy>Olga</cp:lastModifiedBy>
  <dcterms:created xsi:type="dcterms:W3CDTF">2023-03-08T21:30:07Z</dcterms:created>
  <dcterms:modified xsi:type="dcterms:W3CDTF">2023-04-05T12:07:31Z</dcterms:modified>
</cp:coreProperties>
</file>